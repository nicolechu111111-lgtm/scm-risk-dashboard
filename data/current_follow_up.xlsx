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ta/weboffice/tmp/webet_2376038163/"/>
    </mc:Choice>
  </mc:AlternateContent>
  <bookViews>
    <workbookView windowWidth="29400" windowHeight="13520" tabRatio="866" firstSheet="6" activeTab="7"/>
  </bookViews>
  <sheets>
    <sheet name="Sum" sheetId="1" r:id="rId1"/>
    <sheet name="Sum_LA" sheetId="16" r:id="rId2"/>
    <sheet name="Sum_HOU" sheetId="17" r:id="rId3"/>
    <sheet name="Transfer" sheetId="19" r:id="rId4"/>
    <sheet name="Purchase" sheetId="4" r:id="rId5"/>
    <sheet name="Shipment Control" sheetId="13" r:id="rId6"/>
    <sheet name="Sales" sheetId="5" r:id="rId7"/>
    <sheet name="PO Check" sheetId="8" r:id="rId8"/>
    <sheet name="Weekly Sales" sheetId="2" r:id="rId9"/>
    <sheet name="Customer Code" sheetId="3" r:id="rId10"/>
    <sheet name="MX&amp;Canada" sheetId="15" r:id="rId11"/>
    <sheet name="Product List" sheetId="6" r:id="rId12"/>
    <sheet name="Case Pack" sheetId="18" r:id="rId13"/>
    <sheet name="Case Type" sheetId="12" r:id="rId14"/>
    <sheet name="Other pmt" sheetId="14" r:id="rId15"/>
    <sheet name="Petco Rec" sheetId="20" r:id="rId16"/>
    <sheet name="PSP Rec" sheetId="21" r:id="rId17"/>
    <sheet name="WpsReserved_CellImgList" sheetId="9" state="veryHidden" r:id="rId18"/>
  </sheets>
  <externalReferences>
    <externalReference r:id="rId20"/>
  </externalReferences>
  <definedNames>
    <definedName name="_xlnm._FilterDatabase" localSheetId="0" hidden="1">Sum!$A$1:$AC$62</definedName>
    <definedName name="_xlnm._FilterDatabase" localSheetId="1" hidden="1">Sum_LA!$A$1:$AA$62</definedName>
    <definedName name="_xlnm._FilterDatabase" localSheetId="2" hidden="1">Sum_HOU!$A$1:$AA$62</definedName>
    <definedName name="_xlnm._FilterDatabase" localSheetId="5" hidden="1">'Shipment Control'!$A$1:$Q$1048171</definedName>
    <definedName name="_xlnm._FilterDatabase" localSheetId="6" hidden="1">Sales!$A$1:$S$979</definedName>
    <definedName name="_xlnm._FilterDatabase" localSheetId="7" hidden="1">'PO Check'!$A$1:$AK$932</definedName>
    <definedName name="_xlnm._FilterDatabase" localSheetId="8" hidden="1">'Weekly Sales'!$A$1:$V$83</definedName>
    <definedName name="_xlnm._FilterDatabase" localSheetId="9" hidden="1">'Customer Code'!$A$1:$F$906</definedName>
    <definedName name="_xlnm._FilterDatabase" localSheetId="10" hidden="1">'MX&amp;Canada'!$A$1:$N$93</definedName>
    <definedName name="_xlnm._FilterDatabase" localSheetId="11" hidden="1">'Product List'!$A$1:$T$142</definedName>
    <definedName name="_xlnm._FilterDatabase" localSheetId="12" hidden="1">'Case Pack'!$A$1:$AP$149</definedName>
    <definedName name="_xlnm._FilterDatabase" localSheetId="13" hidden="1">'Case Type'!$A$2:$D$90</definedName>
    <definedName name="_xlnm._FilterDatabase" localSheetId="14" hidden="1">'Other pmt'!$A$4:$M$557</definedName>
    <definedName name="_xlnm._FilterDatabase" localSheetId="15" hidden="1">'Petco Rec'!$A$2:$O$167</definedName>
    <definedName name="_xlnm._FilterDatabase" localSheetId="4" hidden="1">Purchase!$A$1:$V$246</definedName>
    <definedName name="Z_3B390059_4BF5_4E30_AD66_39A4AB3D2C6F_.wvu.FilterData" localSheetId="7" hidden="1">'PO Check'!$A$1:$AI$913</definedName>
  </definedNames>
  <calcPr calcId="191029"/>
  <customWorkbookViews>
    <customWorkbookView name="过滤器1" guid="{3B390059-4BF5-4E30-AD66-39A4AB3D2C6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D1C32D996DE64517BAC2EA3820F58E62" descr="core_image_url__exec_download_1854249492"/>
        <xdr:cNvPicPr/>
      </xdr:nvPicPr>
      <xdr:blipFill>
        <a:stretch>
          <a:fillRect/>
        </a:stretch>
      </xdr:blipFill>
      <xdr:spPr>
        <a:xfrm>
          <a:off x="0" y="0"/>
          <a:ext cx="6067425" cy="7734300"/>
        </a:xfrm>
        <a:prstGeom prst="rect">
          <a:avLst/>
        </a:prstGeom>
      </xdr:spPr>
    </xdr:pic>
  </etc:cellImage>
</etc:cellImages>
</file>

<file path=xl/comments1.xml><?xml version="1.0" encoding="utf-8"?>
<comments xmlns="http://schemas.openxmlformats.org/spreadsheetml/2006/main">
  <authors>
    <author>Unknown User</author>
  </authors>
  <commentList>
    <comment ref="F1" authorId="0">
      <text>
        <r>
          <rPr>
            <b/>
            <sz val="9"/>
            <rFont val="宋体"/>
            <charset val="0"/>
          </rPr>
          <t>Blue:</t>
        </r>
        <r>
          <rPr>
            <sz val="9"/>
            <rFont val="宋体"/>
            <charset val="0"/>
          </rPr>
          <t xml:space="preserve">
订单箱数*3美金</t>
        </r>
      </text>
    </comment>
    <comment ref="J1" authorId="0">
      <text>
        <r>
          <rPr>
            <b/>
            <sz val="9"/>
            <rFont val="宋体"/>
            <charset val="0"/>
          </rPr>
          <t>Blue:</t>
        </r>
        <r>
          <rPr>
            <sz val="9"/>
            <rFont val="宋体"/>
            <charset val="0"/>
          </rPr>
          <t xml:space="preserve">
Jacky给到</t>
        </r>
      </text>
    </comment>
    <comment ref="K1" authorId="0">
      <text>
        <r>
          <rPr>
            <b/>
            <sz val="9"/>
            <rFont val="宋体"/>
            <charset val="0"/>
          </rPr>
          <t>Blue:</t>
        </r>
        <r>
          <rPr>
            <sz val="9"/>
            <rFont val="宋体"/>
            <charset val="0"/>
          </rPr>
          <t xml:space="preserve">
Petco4.5% PSP5% Petsmart2%</t>
        </r>
      </text>
    </comment>
    <comment ref="N1" authorId="0">
      <text>
        <r>
          <rPr>
            <b/>
            <sz val="9"/>
            <rFont val="宋体"/>
            <charset val="0"/>
          </rPr>
          <t>Blue:</t>
        </r>
        <r>
          <rPr>
            <sz val="9"/>
            <rFont val="宋体"/>
            <charset val="0"/>
          </rPr>
          <t xml:space="preserve">
首单6% 翻单4%</t>
        </r>
      </text>
    </comment>
    <comment ref="S45" authorId="0">
      <text>
        <r>
          <rPr>
            <b/>
            <sz val="9"/>
            <rFont val="宋体"/>
            <charset val="0"/>
          </rPr>
          <t>H66_:</t>
        </r>
        <r>
          <rPr>
            <sz val="9"/>
            <rFont val="宋体"/>
            <charset val="0"/>
          </rPr>
          <t xml:space="preserve">
JUC20260521-002</t>
        </r>
      </text>
    </comment>
    <comment ref="S49" authorId="0">
      <text>
        <r>
          <rPr>
            <b/>
            <sz val="9"/>
            <rFont val="宋体"/>
            <charset val="0"/>
          </rPr>
          <t>H66_:</t>
        </r>
        <r>
          <rPr>
            <sz val="9"/>
            <rFont val="宋体"/>
            <charset val="0"/>
          </rPr>
          <t xml:space="preserve">
JUC20260525001</t>
        </r>
      </text>
    </comment>
    <comment ref="S53" authorId="0">
      <text>
        <r>
          <rPr>
            <b/>
            <sz val="9"/>
            <rFont val="宋体"/>
            <charset val="0"/>
          </rPr>
          <t>H66_:</t>
        </r>
        <r>
          <rPr>
            <sz val="9"/>
            <rFont val="宋体"/>
            <charset val="0"/>
          </rPr>
          <t xml:space="preserve">
JUC20260521005</t>
        </r>
      </text>
    </comment>
    <comment ref="U72" authorId="0">
      <text>
        <r>
          <rPr>
            <b/>
            <sz val="9"/>
            <rFont val="宋体"/>
            <charset val="0"/>
          </rPr>
          <t>H66_:</t>
        </r>
        <r>
          <rPr>
            <sz val="9"/>
            <rFont val="宋体"/>
            <charset val="0"/>
          </rPr>
          <t xml:space="preserve">
INVOICE - COOP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<sst xmlns="http://schemas.openxmlformats.org/spreadsheetml/2006/main" count="16614" uniqueCount="2211">
  <si>
    <t>Item Code</t>
  </si>
  <si>
    <t>Product Name</t>
  </si>
  <si>
    <t>Purchased</t>
  </si>
  <si>
    <t>Arrived</t>
  </si>
  <si>
    <t>Sales Order</t>
  </si>
  <si>
    <t>Cons.</t>
  </si>
  <si>
    <t>OH 
Stock</t>
  </si>
  <si>
    <t>In-Transit</t>
  </si>
  <si>
    <t>On Hold</t>
  </si>
  <si>
    <t>Alloc.</t>
  </si>
  <si>
    <t>Avail.</t>
  </si>
  <si>
    <t>Total 
Stock</t>
  </si>
  <si>
    <t>ABC</t>
  </si>
  <si>
    <t>Wkly Fcst.</t>
  </si>
  <si>
    <t>OH 
TO</t>
  </si>
  <si>
    <t>Inv. 
TO</t>
  </si>
  <si>
    <t>LT</t>
  </si>
  <si>
    <t>SS</t>
  </si>
  <si>
    <t>Extra</t>
  </si>
  <si>
    <t>MOQ</t>
  </si>
  <si>
    <t>Plan</t>
  </si>
  <si>
    <t>LA Plan</t>
  </si>
  <si>
    <t>HOU Plan</t>
  </si>
  <si>
    <t>Case Pack</t>
  </si>
  <si>
    <t>Channel</t>
  </si>
  <si>
    <t>Case Type</t>
  </si>
  <si>
    <t>Case Qty</t>
  </si>
  <si>
    <t>CBM</t>
  </si>
  <si>
    <t>BOBO22-GN</t>
  </si>
  <si>
    <t>BOBO22-WH</t>
  </si>
  <si>
    <t>CFDL1090-BR</t>
  </si>
  <si>
    <t>CFDL1090-PK</t>
  </si>
  <si>
    <t>CFDL9000-GN-YL</t>
  </si>
  <si>
    <t>CFLS18000</t>
  </si>
  <si>
    <t>CFLS64000YE</t>
  </si>
  <si>
    <t>CFLS71000WH</t>
  </si>
  <si>
    <t>CPSH54000WH</t>
  </si>
  <si>
    <t>CPSH60007BK</t>
  </si>
  <si>
    <t>CPSL22004GN</t>
  </si>
  <si>
    <t>CPWJ0011</t>
  </si>
  <si>
    <t>CPWJ0012</t>
  </si>
  <si>
    <t>CPWJ0013</t>
  </si>
  <si>
    <t>CPWJ0014</t>
  </si>
  <si>
    <t>CPWJ0015</t>
  </si>
  <si>
    <t>CPWJ0018</t>
  </si>
  <si>
    <t>CPWJ162000PK</t>
  </si>
  <si>
    <t>CPWJ181002RD</t>
  </si>
  <si>
    <t>CPWJ18400WHSET-A</t>
  </si>
  <si>
    <t>CPWJ18500WH</t>
  </si>
  <si>
    <t>CPWJ87000</t>
  </si>
  <si>
    <t>HL-4</t>
  </si>
  <si>
    <t>LT-27</t>
  </si>
  <si>
    <t>LT-7-PK</t>
  </si>
  <si>
    <t>R-12</t>
  </si>
  <si>
    <t>R-15</t>
  </si>
  <si>
    <t>R-61</t>
  </si>
  <si>
    <t>R-62</t>
  </si>
  <si>
    <t>R-63</t>
  </si>
  <si>
    <t>R-64</t>
  </si>
  <si>
    <t>R-66</t>
  </si>
  <si>
    <t>R-71</t>
  </si>
  <si>
    <t>R-72</t>
  </si>
  <si>
    <t>R-8</t>
  </si>
  <si>
    <t>RJ510-BL</t>
  </si>
  <si>
    <t>SP-4</t>
  </si>
  <si>
    <t>SP-7</t>
  </si>
  <si>
    <t>SZP542-GN</t>
  </si>
  <si>
    <t>SZP542-WH</t>
  </si>
  <si>
    <t>T-1-BL</t>
  </si>
  <si>
    <t>T-1-BL-WH</t>
  </si>
  <si>
    <t>T-1-BR-WH</t>
  </si>
  <si>
    <t>T-1-PK</t>
  </si>
  <si>
    <t>T-41</t>
  </si>
  <si>
    <t>WJ-13</t>
  </si>
  <si>
    <t>WJ-14-B</t>
  </si>
  <si>
    <t>WJ-39-GN</t>
  </si>
  <si>
    <t>WJ-39-PK</t>
  </si>
  <si>
    <t>WJ-4</t>
  </si>
  <si>
    <t>WJ-46</t>
  </si>
  <si>
    <t>WJ-9-GN</t>
  </si>
  <si>
    <t>ZM003-BL</t>
  </si>
  <si>
    <t>ZM003-BL-WH</t>
  </si>
  <si>
    <t>ZM003-GN-WH</t>
  </si>
  <si>
    <t>ZM004</t>
  </si>
  <si>
    <t>ZM005-BL</t>
  </si>
  <si>
    <t>ZM005-MIX</t>
  </si>
  <si>
    <t>ZM005-PL</t>
  </si>
  <si>
    <t>ZM1.2-PL-BL</t>
  </si>
  <si>
    <t>ZM1.2-RD-GN</t>
  </si>
  <si>
    <t>OH TO</t>
  </si>
  <si>
    <t>Inv. TO</t>
  </si>
  <si>
    <t>SKU</t>
  </si>
  <si>
    <t>LA</t>
  </si>
  <si>
    <t>HOU</t>
  </si>
  <si>
    <t>Batch No.</t>
  </si>
  <si>
    <t>From WH</t>
  </si>
  <si>
    <t>To WH</t>
  </si>
  <si>
    <t>Planned Qty</t>
  </si>
  <si>
    <t>Actual Received Qty</t>
  </si>
  <si>
    <t>Ship Date</t>
  </si>
  <si>
    <t>Receipt Date</t>
  </si>
  <si>
    <t>Counted Shipped Qty</t>
  </si>
  <si>
    <t>Counted Received Qty</t>
  </si>
  <si>
    <t>Check</t>
  </si>
  <si>
    <t>Shortage</t>
  </si>
  <si>
    <t>Available</t>
  </si>
  <si>
    <t>LA→HOU Qty</t>
  </si>
  <si>
    <t>HOU→LA Qty</t>
  </si>
  <si>
    <t>TF20261013</t>
  </si>
  <si>
    <t>xx</t>
  </si>
  <si>
    <t>Purchase Date</t>
  </si>
  <si>
    <t>Product Code</t>
  </si>
  <si>
    <t>UPC</t>
  </si>
  <si>
    <t>Comment</t>
  </si>
  <si>
    <t>ORD QTY</t>
  </si>
  <si>
    <t>Factory Delivery Date</t>
  </si>
  <si>
    <t>ETD</t>
  </si>
  <si>
    <t>ETA</t>
  </si>
  <si>
    <t>AWA</t>
  </si>
  <si>
    <t>Order Delivery Date</t>
  </si>
  <si>
    <t>Total CTN</t>
  </si>
  <si>
    <t>Total CBM</t>
  </si>
  <si>
    <t>BOL</t>
  </si>
  <si>
    <t>CTN No.</t>
  </si>
  <si>
    <t>SEAL No.</t>
  </si>
  <si>
    <t>Cost</t>
  </si>
  <si>
    <t>Total value</t>
  </si>
  <si>
    <t>WH</t>
  </si>
  <si>
    <t>备注</t>
  </si>
  <si>
    <t>Previous</t>
  </si>
  <si>
    <t>/</t>
  </si>
  <si>
    <t>Petco Chew Toy First PO</t>
  </si>
  <si>
    <t>Petco Chew Toy Replenishment Order</t>
  </si>
  <si>
    <t>Pre-build</t>
  </si>
  <si>
    <t>PS First PO</t>
  </si>
  <si>
    <t>Pre-build for Petco</t>
  </si>
  <si>
    <t>COSU6501144420</t>
  </si>
  <si>
    <t>CSNU7581329</t>
  </si>
  <si>
    <t>CU384480</t>
  </si>
  <si>
    <t>COSU6500494050</t>
  </si>
  <si>
    <t>HOUU9018554</t>
  </si>
  <si>
    <t>CW892817</t>
  </si>
  <si>
    <t>Pre-build for PSP</t>
  </si>
  <si>
    <t>EGLV140601443027</t>
  </si>
  <si>
    <t>EMCU8565150</t>
  </si>
  <si>
    <t>EMCFHW4275</t>
  </si>
  <si>
    <t>Petsmart-First Order</t>
  </si>
  <si>
    <t>EGLV142601187337
EGLV142601187108
EGLV142601187264
COSU6452567760
EGLV142601178397
EGLV142601178401</t>
  </si>
  <si>
    <t>EGHU8236649
EGHU9624607 
EITU1741953
OOCU5431845 
GAOU6281420 
TGBU7116810</t>
  </si>
  <si>
    <t>EMCWMZ3564 
EMCWMZ3574 
EMCWMZ3594 
CV256463 
EMCWXG3894 
EMCWXF4184</t>
  </si>
  <si>
    <t>COSU6502162870</t>
  </si>
  <si>
    <t>OOCU7805501</t>
  </si>
  <si>
    <t>CU384466</t>
  </si>
  <si>
    <t>CHN3480430</t>
  </si>
  <si>
    <t>TIIU7279139</t>
  </si>
  <si>
    <t>J1342671</t>
  </si>
  <si>
    <t>COSU6504501730</t>
  </si>
  <si>
    <t>CSGU7194070</t>
  </si>
  <si>
    <t>HELGOLAND/ 2605E</t>
  </si>
  <si>
    <t>买单</t>
  </si>
  <si>
    <t>ZIM SPINEL V.8E (ZS7)</t>
  </si>
  <si>
    <t>Petsmart翻单-Phoenix（新外箱包装）</t>
  </si>
  <si>
    <t>COSU9507659320</t>
  </si>
  <si>
    <t>RFCU4029409</t>
  </si>
  <si>
    <t>NK651738</t>
  </si>
  <si>
    <t>Petsmart翻单</t>
  </si>
  <si>
    <t>ZIMUSNH22527256</t>
  </si>
  <si>
    <t>TGBU7236945</t>
  </si>
  <si>
    <t>A4250242549</t>
  </si>
  <si>
    <t>原单为1020。新增12个，共发出1032个</t>
  </si>
  <si>
    <t>NESTOS 17E</t>
  </si>
  <si>
    <t>COSCO ITALY/083E</t>
  </si>
  <si>
    <t>TGHU6187869</t>
  </si>
  <si>
    <t>OOLKWC4934</t>
  </si>
  <si>
    <t>COSU9507689560</t>
  </si>
  <si>
    <t>CSNU7716297</t>
  </si>
  <si>
    <t>NK573378</t>
  </si>
  <si>
    <t>QGD3080057</t>
  </si>
  <si>
    <t>TGBU6745655</t>
  </si>
  <si>
    <t>J0395529</t>
  </si>
  <si>
    <t>COSU9507689670</t>
  </si>
  <si>
    <t>BMOU5366123</t>
  </si>
  <si>
    <t>NK573207</t>
  </si>
  <si>
    <t>Petco US-啃咬</t>
  </si>
  <si>
    <t>1Z69306F0421532017</t>
  </si>
  <si>
    <t>Petco US-水壶</t>
  </si>
  <si>
    <t>Petco US-啃咬备货</t>
  </si>
  <si>
    <t>Mississippi (ZB6) / 18 / E</t>
  </si>
  <si>
    <t>Pet Supplies Plus-垫料首单</t>
  </si>
  <si>
    <t>漏发 1 箱，暂缓发货</t>
  </si>
  <si>
    <t>COSU9507657840</t>
  </si>
  <si>
    <t>BMOU5130565</t>
  </si>
  <si>
    <t>NK117522</t>
  </si>
  <si>
    <t>Pet Supermarket-备货</t>
  </si>
  <si>
    <t>HELGOLAND/2606E</t>
  </si>
  <si>
    <t>Q360030199</t>
  </si>
  <si>
    <t>GXYU5095959</t>
  </si>
  <si>
    <t>WHA2767206</t>
  </si>
  <si>
    <t>COSU9507903320</t>
  </si>
  <si>
    <t>DFSU1157298</t>
  </si>
  <si>
    <t>NK668073</t>
  </si>
  <si>
    <t>Pet Supplies Plus-垫料备货</t>
  </si>
  <si>
    <t>ONEYTA6PTS594900</t>
  </si>
  <si>
    <t>ONEU0036273</t>
  </si>
  <si>
    <t>CN78270BE</t>
  </si>
  <si>
    <t>PSP-4ft-货架</t>
  </si>
  <si>
    <t>渠道整合备货</t>
  </si>
  <si>
    <t>渠道整合备货-6/15订单</t>
  </si>
  <si>
    <t>渠道整合备货-6/17订单</t>
  </si>
  <si>
    <t>渠道整合备货-7/1订单</t>
  </si>
  <si>
    <t>DANUBE 24E</t>
  </si>
  <si>
    <t>TAYH6L778300</t>
  </si>
  <si>
    <t>SMCU1024883</t>
  </si>
  <si>
    <t>SML416692</t>
  </si>
  <si>
    <t>渠道整合-黑五备货订单</t>
  </si>
  <si>
    <t>COSU6464552980</t>
  </si>
  <si>
    <t>DFSU7420992</t>
  </si>
  <si>
    <t>NK671386</t>
  </si>
  <si>
    <t>HDMUSHAZUPV78300</t>
  </si>
  <si>
    <t>KOCU4003869</t>
  </si>
  <si>
    <t>26H0369844</t>
  </si>
  <si>
    <t>HDMUSHAZUQ169200</t>
  </si>
  <si>
    <t>KOCU5005130</t>
  </si>
  <si>
    <t>26H0369980</t>
  </si>
  <si>
    <t>暂缓发货</t>
  </si>
  <si>
    <t>ONEYTAOGS7382900</t>
  </si>
  <si>
    <t>TLLU4126457</t>
  </si>
  <si>
    <t>CN00498BF</t>
  </si>
  <si>
    <t>渠道整合备货-8/7订单（12 月备货）</t>
  </si>
  <si>
    <t>渠道整合备货-8/18 订单</t>
  </si>
  <si>
    <t>渠道整合备货-9/7 订单</t>
  </si>
  <si>
    <t>渠道整合备货-9/9 订单</t>
  </si>
  <si>
    <t>ONEYTA6PTAS77600</t>
  </si>
  <si>
    <t>TCLU7865257</t>
  </si>
  <si>
    <t>CN62547BE</t>
  </si>
  <si>
    <t>渠道整合备货-9/17订单</t>
  </si>
  <si>
    <t>渠道整合备货 10/15 订单</t>
  </si>
  <si>
    <t>Forwarder</t>
  </si>
  <si>
    <t>Actual Cost</t>
  </si>
  <si>
    <t>Payment Status</t>
  </si>
  <si>
    <t>ATA</t>
  </si>
  <si>
    <t>Current Status</t>
  </si>
  <si>
    <t>Newest-EWA</t>
  </si>
  <si>
    <t>Follow-up Date</t>
  </si>
  <si>
    <t>Remark</t>
  </si>
  <si>
    <t>Details</t>
  </si>
  <si>
    <t>帆领</t>
  </si>
  <si>
    <t>Paid</t>
  </si>
  <si>
    <t>📄5.28装-Petco返单水壶+Petsmart小电视</t>
  </si>
  <si>
    <t>📄6.14出1X40HQ-Petsmart首单+PSP加单+Persmart返单部分HL-4发货清单&amp;金额</t>
  </si>
  <si>
    <t>📄6.16青岛出-4X40HQ-PSP货架和PSP垫料首单发货清单&amp;金额(1)</t>
  </si>
  <si>
    <t>📄6.16上海出1X40HQ-Petsmart 路灯水壶和HL-4</t>
  </si>
  <si>
    <t>📄6.18装-Petsmart首单+返单木制品出货清单&amp;金额</t>
  </si>
  <si>
    <t>SLSH010</t>
  </si>
  <si>
    <t>买单订单编号：SLSH010-200 箱</t>
  </si>
  <si>
    <t>📄6.9号发-Petsmart-Petco-PSP 木质玩具和啃咬出货清单</t>
  </si>
  <si>
    <t>SLSH011</t>
  </si>
  <si>
    <t>买单订单编号：SLSH011-217 箱</t>
  </si>
  <si>
    <t>SLSH012</t>
  </si>
  <si>
    <t>Unpaid</t>
  </si>
  <si>
    <t>买单订单编号：SLSH012-296 箱</t>
  </si>
  <si>
    <t>📄6.24深圳发-Petsmat返单2款啃咬发货清单&amp;金额(1)</t>
  </si>
  <si>
    <t>锐行</t>
  </si>
  <si>
    <t>📄6.25青岛出-1X40HQ-Petsmart返单HL-4出货清单&amp;金额</t>
  </si>
  <si>
    <t>SLSH013</t>
  </si>
  <si>
    <t>买单订单编号：SLSH013-65 箱</t>
  </si>
  <si>
    <t>📄6.29深圳发-Petco啃咬清单&amp;金额-KEN2026052801</t>
  </si>
  <si>
    <t>船号：CSCL BOHAI SEA/077E</t>
  </si>
  <si>
    <t>📄PS订单-青岛出-7.1展品柜子有空拼箱出金额&amp;明细</t>
  </si>
  <si>
    <t>OOLU2170747970</t>
  </si>
  <si>
    <t>📄7.6宁波出-1X40HQ-PSP货架木制品+Petsmart返单WJ-13+其他等装柜明细&amp;金额</t>
  </si>
  <si>
    <t>SLSH014</t>
  </si>
  <si>
    <t>买单订单编号：SLSH014</t>
  </si>
  <si>
    <t>📄7.14深圳发-0615-0617-PS啃咬清单&amp;金额</t>
  </si>
  <si>
    <t>📄7.17装-1x40HQ-0615-0617-Petsmart剩余货物清单&amp;金额</t>
  </si>
  <si>
    <t>船号：WAN HAI 360/E030</t>
  </si>
  <si>
    <t>📄7.24装1X40HQ-青岛出-PSP垫料返单-PS订单-出货明细&amp;金额(1)</t>
  </si>
  <si>
    <t>📄8.18-青岛出-0701+0716货物明细&amp;金额(1)</t>
  </si>
  <si>
    <t>📄8.20上海出-2X40HQ-HL-4出货明细&amp;金额</t>
  </si>
  <si>
    <t>SLSH016</t>
  </si>
  <si>
    <t>买单订单编号：SLSH016</t>
  </si>
  <si>
    <t>📄8.13发-0701+0716-啃咬发深圳明细&amp;金额</t>
  </si>
  <si>
    <t>📄8.26-青岛出-1X40HQ-小电视装箱清单&amp;金额</t>
  </si>
  <si>
    <t>SM YANTIAN 2606E CPX</t>
  </si>
  <si>
    <t>📄8.30-青岛出-1X40HQ（0716和0817）发货清单&amp;金额</t>
  </si>
  <si>
    <t>📄9.21出-1X40HQ-青岛出-0716-0818-0907订单发货清单&amp;金额</t>
  </si>
  <si>
    <t>📄10.12青岛出-1x40HQ-HL-4发货数量&amp;金额</t>
  </si>
  <si>
    <t>Date</t>
  </si>
  <si>
    <t>Item</t>
  </si>
  <si>
    <t>SO/CI</t>
  </si>
  <si>
    <t>Unit Price</t>
  </si>
  <si>
    <t>Total Sales</t>
  </si>
  <si>
    <t>Customer</t>
  </si>
  <si>
    <t>Delivery Center</t>
  </si>
  <si>
    <t>ATD</t>
  </si>
  <si>
    <t>Product Cost</t>
  </si>
  <si>
    <t>Total Cost</t>
  </si>
  <si>
    <t>Sales Order Update</t>
  </si>
  <si>
    <t>Petco</t>
  </si>
  <si>
    <t>Joliet, IL</t>
  </si>
  <si>
    <t>Mira Loma, CA</t>
  </si>
  <si>
    <t>Braselton, GA</t>
  </si>
  <si>
    <t>Cranbury, NJ</t>
  </si>
  <si>
    <t>Texas (Dallas)</t>
  </si>
  <si>
    <t>Reno, NV</t>
  </si>
  <si>
    <t>0020P50135848</t>
  </si>
  <si>
    <t>PSP</t>
  </si>
  <si>
    <t>PSP Distribution-SE DC</t>
  </si>
  <si>
    <t>0020P50138092</t>
  </si>
  <si>
    <t>0020P50138093</t>
  </si>
  <si>
    <t>0020P50138094</t>
  </si>
  <si>
    <t>0020P50138095</t>
  </si>
  <si>
    <t>0020P50137882</t>
  </si>
  <si>
    <t>PSP Distribution-OR DC</t>
  </si>
  <si>
    <t>0020P50135849</t>
  </si>
  <si>
    <t>0020P50137881</t>
  </si>
  <si>
    <t>Petco - BRASELTON PHYSICAL DC</t>
  </si>
  <si>
    <t>Petco - MIRA LOMA PHYSICAL DC</t>
  </si>
  <si>
    <t>Petco-CRANBURY PHYSICAL DC</t>
  </si>
  <si>
    <t>Petco - RENO PHYSICAL DC</t>
  </si>
  <si>
    <t>Petco-JOLIET PHYSICAL DC</t>
  </si>
  <si>
    <t>Petco-TEXAS PHYSICAL DC</t>
  </si>
  <si>
    <t>Petco - JOLIET PHYSICAL DC</t>
  </si>
  <si>
    <t>Petco - TEXAS PHYSICAL DC</t>
  </si>
  <si>
    <t>Petco - CRANBURY PHYSICAL</t>
  </si>
  <si>
    <t>Pet Supermarket</t>
  </si>
  <si>
    <t>PET SUPERMARKET INC.</t>
  </si>
  <si>
    <t>Petco - CRANBURY PHYSICAL DC</t>
  </si>
  <si>
    <t>Petsmart</t>
  </si>
  <si>
    <t>Petsmart-McCarran, NV</t>
  </si>
  <si>
    <t>Petsmart-Newnan, GA</t>
  </si>
  <si>
    <t>Petsmart-Ottawa, IL</t>
  </si>
  <si>
    <t>Petsmart-Bethel, PA</t>
  </si>
  <si>
    <t>Petsmart-Phoenix, AZ</t>
  </si>
  <si>
    <t>Petsmart-Groveport, OH</t>
  </si>
  <si>
    <t>STS001</t>
  </si>
  <si>
    <t>Juchong</t>
  </si>
  <si>
    <t>Stock to Sample</t>
  </si>
  <si>
    <t>0020P50139723</t>
  </si>
  <si>
    <t>0020P50139724</t>
  </si>
  <si>
    <t>0020P50139725</t>
  </si>
  <si>
    <t>0020P50139726</t>
  </si>
  <si>
    <t>0020P50139841</t>
  </si>
  <si>
    <t>0020P50139842</t>
  </si>
  <si>
    <t>0020P50140215</t>
  </si>
  <si>
    <t>0020P50140216</t>
  </si>
  <si>
    <t>0020PM0027298</t>
  </si>
  <si>
    <t>达人寄样</t>
  </si>
  <si>
    <t>Bill</t>
  </si>
  <si>
    <t>Groveport, OH 43125 US</t>
  </si>
  <si>
    <t>Phoenix, AZ 85043 US</t>
  </si>
  <si>
    <t>Bethel, PA 19507 US</t>
  </si>
  <si>
    <t>Ottawa, IL 61350 US</t>
  </si>
  <si>
    <t>Newnan, GA 30265 US</t>
  </si>
  <si>
    <t>McCarran, NV 89434 US</t>
  </si>
  <si>
    <t>0020PM0030378</t>
  </si>
  <si>
    <t>0020PM0030379</t>
  </si>
  <si>
    <t>0020PM0030700</t>
  </si>
  <si>
    <t>0020P50141561</t>
  </si>
  <si>
    <t>展会寄样</t>
  </si>
  <si>
    <t>0020PM0028232</t>
  </si>
  <si>
    <t>0020PM0028233</t>
  </si>
  <si>
    <t>0020PM0029841</t>
  </si>
  <si>
    <t>0020PM0029844</t>
  </si>
  <si>
    <t>0020P50141871</t>
  </si>
  <si>
    <t>0020PM0032042</t>
  </si>
  <si>
    <t>0020PM0033612</t>
  </si>
  <si>
    <t>0020PM0033904</t>
  </si>
  <si>
    <t>0020PM0034948</t>
  </si>
  <si>
    <t>STS002</t>
  </si>
  <si>
    <t>0020PM0035620</t>
  </si>
  <si>
    <t>0020PM0035663</t>
  </si>
  <si>
    <t>Sales Price</t>
  </si>
  <si>
    <t>Handling Cost</t>
  </si>
  <si>
    <t>Monthly Container Rate</t>
  </si>
  <si>
    <t>Inbound Cost Update</t>
  </si>
  <si>
    <t>Transportation Cost</t>
  </si>
  <si>
    <t>Allowance</t>
  </si>
  <si>
    <t>Panalties</t>
  </si>
  <si>
    <t>Trade Spend</t>
  </si>
  <si>
    <t>Commisions</t>
  </si>
  <si>
    <t>Profit</t>
  </si>
  <si>
    <t>Update POD</t>
  </si>
  <si>
    <t>Update ATD（实际发货时间）</t>
  </si>
  <si>
    <t>Invoice Number</t>
  </si>
  <si>
    <t>COGS</t>
  </si>
  <si>
    <t>Receviable</t>
  </si>
  <si>
    <t>DIFF</t>
  </si>
  <si>
    <t>Closed Order</t>
  </si>
  <si>
    <t xml:space="preserve">应收表格取数 </t>
  </si>
  <si>
    <t>月份</t>
  </si>
  <si>
    <t>payment date</t>
  </si>
  <si>
    <t>DIFF(Y-U)</t>
  </si>
  <si>
    <t>差异%</t>
  </si>
  <si>
    <t>差异原因</t>
  </si>
  <si>
    <t>INV-260507001</t>
  </si>
  <si>
    <t>INV-260507005</t>
  </si>
  <si>
    <t>INV-260507006</t>
  </si>
  <si>
    <t>INV-260507007</t>
  </si>
  <si>
    <t>INV-260507008</t>
  </si>
  <si>
    <t>INV-260507004</t>
  </si>
  <si>
    <t>INV-260507002</t>
  </si>
  <si>
    <t>INV-260507003</t>
  </si>
  <si>
    <t>X</t>
  </si>
  <si>
    <t>JUC20260227-05</t>
  </si>
  <si>
    <t>JUC20260227-02</t>
  </si>
  <si>
    <t>JUC20260227-03</t>
  </si>
  <si>
    <t>JUC20260227-06</t>
  </si>
  <si>
    <t>JUC20260227-04</t>
  </si>
  <si>
    <t>JUC20260227-01</t>
  </si>
  <si>
    <t>JUC20260227-08</t>
  </si>
  <si>
    <t>JUC20260227-10</t>
  </si>
  <si>
    <t>JUC20260227-11</t>
  </si>
  <si>
    <t>JUC20260227-07</t>
  </si>
  <si>
    <t>JUC20260227-09</t>
  </si>
  <si>
    <t>JUC20260227-12</t>
  </si>
  <si>
    <t>JUC20260408-02</t>
  </si>
  <si>
    <t>✅️</t>
  </si>
  <si>
    <t>JUC20260408-05</t>
  </si>
  <si>
    <t>JUC20260408-01</t>
  </si>
  <si>
    <t>JUC20260407-01</t>
  </si>
  <si>
    <t>JUC20260408-04</t>
  </si>
  <si>
    <t>JUC20260408-03</t>
  </si>
  <si>
    <t>JUC20251128-01</t>
  </si>
  <si>
    <t>JUC20251128-03</t>
  </si>
  <si>
    <t>JUC20251128-04</t>
  </si>
  <si>
    <t>JUC20251128-05</t>
  </si>
  <si>
    <t>JUC20251128-06</t>
  </si>
  <si>
    <t>JUC20251128-02</t>
  </si>
  <si>
    <t>Petco MX - Rep Nov 2025</t>
  </si>
  <si>
    <t>Petco MX</t>
  </si>
  <si>
    <t>JUC20260414-01</t>
  </si>
  <si>
    <t>JUC20260414-05</t>
  </si>
  <si>
    <t>JUC20260414-02</t>
  </si>
  <si>
    <t>JUC20260414-03</t>
  </si>
  <si>
    <t>JUC20260414-04</t>
  </si>
  <si>
    <t>JUC20260414-06</t>
  </si>
  <si>
    <t>JUC202605291</t>
  </si>
  <si>
    <t>6月计提6#8-2</t>
  </si>
  <si>
    <t>09/29/2026</t>
  </si>
  <si>
    <t>JUC20260508-001</t>
  </si>
  <si>
    <t>JUC20260521001</t>
  </si>
  <si>
    <t>6月计提6#8-1</t>
  </si>
  <si>
    <t>JUC20260508-004</t>
  </si>
  <si>
    <t>JUC20260508-009</t>
  </si>
  <si>
    <t>6月计提 6#7</t>
  </si>
  <si>
    <t>JUC20260508-005</t>
  </si>
  <si>
    <t>JUC20260521004</t>
  </si>
  <si>
    <t>JUC20260508-006</t>
  </si>
  <si>
    <t>JUC20260508-011</t>
  </si>
  <si>
    <t>JUC20260508-002</t>
  </si>
  <si>
    <t>JUC20260508-012</t>
  </si>
  <si>
    <t>JUC20260508-007</t>
  </si>
  <si>
    <t>JUC20260508-003</t>
  </si>
  <si>
    <t>JUC20260529001</t>
  </si>
  <si>
    <t>6月计提6#8-3</t>
  </si>
  <si>
    <t>JUC20260529002</t>
  </si>
  <si>
    <t>JUC20260629-001</t>
  </si>
  <si>
    <t>JUC20260629-002</t>
  </si>
  <si>
    <t>JUC20260629-003</t>
  </si>
  <si>
    <t>JUC202600609-001</t>
  </si>
  <si>
    <t>JUC20260626-001</t>
  </si>
  <si>
    <t>JUC20260624-001</t>
  </si>
  <si>
    <t>JUC20260625-001</t>
  </si>
  <si>
    <t>JUC20260630-001</t>
  </si>
  <si>
    <t>JUC20260731-001</t>
  </si>
  <si>
    <t>JUC20260730-001</t>
  </si>
  <si>
    <t>JUC20260730-002</t>
  </si>
  <si>
    <t>JUC20260806-001</t>
  </si>
  <si>
    <t>JUC20260806-002</t>
  </si>
  <si>
    <t>JUC20260729-003</t>
  </si>
  <si>
    <t>JUC20260714-001</t>
  </si>
  <si>
    <t>JUC20260714-002</t>
  </si>
  <si>
    <t>JUC20260714-003</t>
  </si>
  <si>
    <t>JUC20260717-001</t>
  </si>
  <si>
    <t>JUC20260723-001</t>
  </si>
  <si>
    <t>JUC20260723-002</t>
  </si>
  <si>
    <t>JUC20260724-001</t>
  </si>
  <si>
    <t>JUC20260727-001</t>
  </si>
  <si>
    <t>JUC20260727-002</t>
  </si>
  <si>
    <t>JUC20260727-003</t>
  </si>
  <si>
    <t>JUC20260727-004</t>
  </si>
  <si>
    <t>JUC20260727-005</t>
  </si>
  <si>
    <t>JUC20260727-006</t>
  </si>
  <si>
    <t>JUC20260805-001</t>
  </si>
  <si>
    <t>JUC20260729-006</t>
  </si>
  <si>
    <t>JUC20260907-002</t>
  </si>
  <si>
    <t>JUC20260901-003</t>
  </si>
  <si>
    <t>JUC20260729-002</t>
  </si>
  <si>
    <t>JUC20260815-001</t>
  </si>
  <si>
    <t>JUC20260825-001</t>
  </si>
  <si>
    <t>JUC20260729-001</t>
  </si>
  <si>
    <t>JUC20260824-001</t>
  </si>
  <si>
    <t>JUC20260819-001</t>
  </si>
  <si>
    <t>JUC20260820-001</t>
  </si>
  <si>
    <t>JUC20260820-002</t>
  </si>
  <si>
    <t>JUC20260805-002</t>
  </si>
  <si>
    <t>JUC20260806-003</t>
  </si>
  <si>
    <t>JUC20260813-001</t>
  </si>
  <si>
    <t>JUC20260805-003</t>
  </si>
  <si>
    <t>JUC20260807-001</t>
  </si>
  <si>
    <t>JUC20260806-004</t>
  </si>
  <si>
    <t>JUC20260812-002</t>
  </si>
  <si>
    <t>JUC20260803-001</t>
  </si>
  <si>
    <t>JUC20260729-004</t>
  </si>
  <si>
    <t>JUC20260731-002</t>
  </si>
  <si>
    <t>JUC20260729-005</t>
  </si>
  <si>
    <t>JUC20260806-005</t>
  </si>
  <si>
    <t>JUC20260812-001</t>
  </si>
  <si>
    <t>JUC20260810-001</t>
  </si>
  <si>
    <t>JUC20260810-002</t>
  </si>
  <si>
    <t>JUC20260825-002</t>
  </si>
  <si>
    <t>JUC20260826-001</t>
  </si>
  <si>
    <t>JUC20260827-001</t>
  </si>
  <si>
    <t>JUC20260827-002</t>
  </si>
  <si>
    <t>JUC20260901-001</t>
  </si>
  <si>
    <t>JUC20260901-002</t>
  </si>
  <si>
    <t>JUC20260902-001</t>
  </si>
  <si>
    <t>JUC20260907-001</t>
  </si>
  <si>
    <t>JUC20260907-004</t>
  </si>
  <si>
    <t>JUC20260907-003</t>
  </si>
  <si>
    <t>JUC20260911-001</t>
  </si>
  <si>
    <t>JUC20260922-001</t>
  </si>
  <si>
    <t>JUC20260916-001</t>
  </si>
  <si>
    <t>invoice-R-8金额多出 446.4</t>
  </si>
  <si>
    <t>JUC20261006-01</t>
  </si>
  <si>
    <t>JUC20261001-001</t>
  </si>
  <si>
    <t>JUC20261005-001</t>
  </si>
  <si>
    <t>JUC20261001-002</t>
  </si>
  <si>
    <t>JUC20261010-001</t>
  </si>
  <si>
    <t>JUC20261010-002</t>
  </si>
  <si>
    <t>JUC20261010-003</t>
  </si>
  <si>
    <t>JUC20261010-004</t>
  </si>
  <si>
    <t>JUC20261010-005</t>
  </si>
  <si>
    <t>JUC20261026-001</t>
  </si>
  <si>
    <t>JUC20261015001</t>
  </si>
  <si>
    <t>JUC20261022-001</t>
  </si>
  <si>
    <t>JUC20261022-002</t>
  </si>
  <si>
    <t>JUC20261029-001</t>
  </si>
  <si>
    <t>JUC20261022-003</t>
  </si>
  <si>
    <t>JUC20261017-001</t>
  </si>
  <si>
    <t>Customer Code</t>
  </si>
  <si>
    <t>Item code</t>
  </si>
  <si>
    <t>Status</t>
  </si>
  <si>
    <t>9/19/2026</t>
  </si>
  <si>
    <t>9/26/2026</t>
  </si>
  <si>
    <t>10/3/2026</t>
  </si>
  <si>
    <t>10/10/2026</t>
  </si>
  <si>
    <t>10/17/2026</t>
  </si>
  <si>
    <t>10/24/2026</t>
  </si>
  <si>
    <t>Total sales</t>
  </si>
  <si>
    <t>上架门店数</t>
  </si>
  <si>
    <t>平均每店动销</t>
  </si>
  <si>
    <t>平均每店每周动销</t>
  </si>
  <si>
    <t>预增门店数</t>
  </si>
  <si>
    <t>周平均</t>
  </si>
  <si>
    <t>最终预测</t>
  </si>
  <si>
    <t>额外备货周数</t>
  </si>
  <si>
    <t>旺季额外备货数量</t>
  </si>
  <si>
    <t>客户</t>
  </si>
  <si>
    <t>旺季</t>
  </si>
  <si>
    <t>备货截止日</t>
  </si>
  <si>
    <t>计入周数</t>
  </si>
  <si>
    <t>倍数</t>
  </si>
  <si>
    <t>是否仍计入</t>
  </si>
  <si>
    <t>额外周数</t>
  </si>
  <si>
    <t>2026-11 黑五</t>
  </si>
  <si>
    <t>PetSmart</t>
  </si>
  <si>
    <t>Pet Supplies Plus</t>
  </si>
  <si>
    <t>2026-12 圣诞</t>
  </si>
  <si>
    <t>Store count</t>
  </si>
  <si>
    <t>Term</t>
  </si>
  <si>
    <t>Prepaid</t>
  </si>
  <si>
    <t>Normal</t>
  </si>
  <si>
    <t>Phase out</t>
  </si>
  <si>
    <t>Collect</t>
  </si>
  <si>
    <t>MMO-CLOUD WATER BOTTLE</t>
  </si>
  <si>
    <t>Petco-MX</t>
  </si>
  <si>
    <t>MINI/MOE TULIP WATER BOTTLE</t>
  </si>
  <si>
    <t>Simple Rabbit Hay Feeder</t>
  </si>
  <si>
    <t>RJ122-BL</t>
  </si>
  <si>
    <t>Rabbit Drinking Bottle (250ml)</t>
  </si>
  <si>
    <t>RJ722</t>
  </si>
  <si>
    <t>Rabbit Drinking Bottle (500ml)</t>
  </si>
  <si>
    <t>RJ723</t>
  </si>
  <si>
    <t>Rabbit Drinking Bottle (750ml)</t>
  </si>
  <si>
    <t>RJ724</t>
  </si>
  <si>
    <t>Travel Cage 7.17in(18.2cm)-Little Elf</t>
  </si>
  <si>
    <t>WJ-14-P</t>
  </si>
  <si>
    <t>Little Devil Travel Cage</t>
  </si>
  <si>
    <t>Simple Rabbit Bowl</t>
  </si>
  <si>
    <t>RJ183-BL</t>
  </si>
  <si>
    <t>Crystal Outdoor Cage</t>
  </si>
  <si>
    <t>Simple Hay/Grass Feeder</t>
  </si>
  <si>
    <t>RJ181-PK</t>
  </si>
  <si>
    <t>NONO Magnetic Water Bottle (220 ML)</t>
  </si>
  <si>
    <t>WJ-18-PL</t>
  </si>
  <si>
    <t>Tulip Toilet</t>
  </si>
  <si>
    <t>CPCS1600-OR</t>
  </si>
  <si>
    <t>Tulip Hay Feeder</t>
  </si>
  <si>
    <t>CPCJ0100-OR</t>
  </si>
  <si>
    <t>MINI/MOE SILENT CRSTL RUN WHEEL LG 8.5-White</t>
  </si>
  <si>
    <t>Bubble water bottle (color:green)</t>
  </si>
  <si>
    <t>MINI/MOE TV VIEWING CAGE</t>
  </si>
  <si>
    <t>Modern Viewing Cage (100cm)</t>
  </si>
  <si>
    <t>HL-2</t>
  </si>
  <si>
    <t>Silent Crystal Running Wheel XL</t>
  </si>
  <si>
    <t>WJ-39-WT</t>
  </si>
  <si>
    <t>triangle-shaped rabbit toilet(big)</t>
  </si>
  <si>
    <t>RJ186-BL</t>
  </si>
  <si>
    <t>D. MMO-COTTAGE VIEW CAGE</t>
  </si>
  <si>
    <t>XL Garden Travel Cage</t>
  </si>
  <si>
    <t>RJ714-PK</t>
  </si>
  <si>
    <t>RJ714-WH</t>
  </si>
  <si>
    <t>RJ714</t>
  </si>
  <si>
    <t>RJ510-PK</t>
  </si>
  <si>
    <t>RJ510-WH</t>
  </si>
  <si>
    <t>Canada order</t>
  </si>
  <si>
    <t>Canada</t>
  </si>
  <si>
    <t>M&amp;M Modern Viewing Cage 80x50x50</t>
  </si>
  <si>
    <t>HL-1</t>
  </si>
  <si>
    <t>Cotton multi color bedding</t>
  </si>
  <si>
    <t>M&amp;M Silent Crystal Running Wheel 8.5" - Blue</t>
  </si>
  <si>
    <t>BOBO22-BL</t>
  </si>
  <si>
    <t>M&amp;M Silent Crystal Running Wheel 8.5" - Clear</t>
  </si>
  <si>
    <t>BOBO22-CL</t>
  </si>
  <si>
    <t>MINI/MOE SILENT CRSTL RUN WHEEL XL 11.5 1EA</t>
  </si>
  <si>
    <t>M&amp;M Silent Crystal Running Wheel XL - Blue</t>
  </si>
  <si>
    <t>WJ-39-BL</t>
  </si>
  <si>
    <t>MINI/MOE CAMPING TENT HIDE</t>
  </si>
  <si>
    <t>Cheese Bowl</t>
  </si>
  <si>
    <t>CPSP17000-OR</t>
  </si>
  <si>
    <t>M&amp;M Cheese Shoppe</t>
  </si>
  <si>
    <t>R-23</t>
  </si>
  <si>
    <t>M&amp;M Woodland Gravity Water Dish 500ml</t>
  </si>
  <si>
    <t>WJ-18-W</t>
  </si>
  <si>
    <t>Woodland Potty</t>
  </si>
  <si>
    <t>WJ-9-WH</t>
  </si>
  <si>
    <t>Tree Stump Hide</t>
  </si>
  <si>
    <t>M&amp;M Classic Potty</t>
  </si>
  <si>
    <t>WJ-10-PK</t>
  </si>
  <si>
    <t>MINI/MOE SMALL ANIMAL FEEDING WATER BOTTLE HLDR GUMBALL 1EA</t>
  </si>
  <si>
    <t>MINI/MOE SMALL ANIMAL HOUSING SWEET BRIDGE 1EA</t>
  </si>
  <si>
    <t>Candy House</t>
  </si>
  <si>
    <t>MINI/MOE SMALL ANIMAL HOUSING CAKE HOUSE 1EA</t>
  </si>
  <si>
    <t>M&amp;M Chocolate Mountain</t>
  </si>
  <si>
    <t>R-65</t>
  </si>
  <si>
    <t>Sugar Jar</t>
  </si>
  <si>
    <t>Ceramic Candy Dish</t>
  </si>
  <si>
    <t>CPBD08001GN</t>
  </si>
  <si>
    <t>M&amp;M Water Bridge</t>
  </si>
  <si>
    <t>R-73</t>
  </si>
  <si>
    <t>M&amp;M Silent Crystal Running Wheel 6.7" - Clear</t>
  </si>
  <si>
    <t>17BOBO-CL</t>
  </si>
  <si>
    <t>M&amp;M Silent Crystal Running Wheel 6.7" - Blue</t>
  </si>
  <si>
    <t>17BOBO-BL</t>
  </si>
  <si>
    <t>MINI &amp; MOE COTTAGE HIDE</t>
  </si>
  <si>
    <t>MMO-WAVE BRIDGE</t>
  </si>
  <si>
    <t>Scuba Ladder</t>
  </si>
  <si>
    <t>R-74</t>
  </si>
  <si>
    <t>Coral Ladder</t>
  </si>
  <si>
    <t>R-76</t>
  </si>
  <si>
    <t>Ceramic Candy Bowl</t>
  </si>
  <si>
    <t>SPU</t>
  </si>
  <si>
    <t>近12月出货额(USD)</t>
  </si>
  <si>
    <t>累计占比</t>
  </si>
  <si>
    <t>ABC 分类</t>
  </si>
  <si>
    <t>Category</t>
  </si>
  <si>
    <t>Color</t>
  </si>
  <si>
    <t>卡诺产品名称</t>
  </si>
  <si>
    <t>New Product Name</t>
  </si>
  <si>
    <t>中文名称</t>
  </si>
  <si>
    <t>Material</t>
  </si>
  <si>
    <t>MSRP</t>
  </si>
  <si>
    <t>Include in Plan</t>
  </si>
  <si>
    <t>产品描述</t>
  </si>
  <si>
    <t>搜索关键词</t>
  </si>
  <si>
    <t>卖点1</t>
  </si>
  <si>
    <t>卖点2</t>
  </si>
  <si>
    <t>卖点3</t>
  </si>
  <si>
    <t>卖点4</t>
  </si>
  <si>
    <t>英文卖点1</t>
  </si>
  <si>
    <t>英文卖点2</t>
  </si>
  <si>
    <t>英文卖点3</t>
  </si>
  <si>
    <t>英文卖点4</t>
  </si>
  <si>
    <t>BOBO22</t>
  </si>
  <si>
    <t>Running Wheel</t>
  </si>
  <si>
    <t>Green</t>
  </si>
  <si>
    <t>MINI/MOE SILENT CRSTL RUN WHEEL LG 8.5-Green</t>
  </si>
  <si>
    <t>波波跑轮</t>
  </si>
  <si>
    <t>MMO-Wheels-Silent Crystal Running Wheel 8.5" Green</t>
  </si>
  <si>
    <t>跑轮-波波跑轮8.5英寸 绿色</t>
  </si>
  <si>
    <t>PS, PMMA</t>
  </si>
  <si>
    <t>①原创180°平行跑道，保护鼠鼠脊柱健康
②静音轴承，不易共振，安静不扰眠
③可自由替换支架，满足更多需求</t>
  </si>
  <si>
    <t>仓鼠跑轮静音波波跑步球滚轮金丝熊笼子生活造景专用玩具用品</t>
  </si>
  <si>
    <t>静音</t>
  </si>
  <si>
    <t>不易共振</t>
  </si>
  <si>
    <t>防滑跑道</t>
  </si>
  <si>
    <t>不易晃动</t>
  </si>
  <si>
    <t>Peace and Quiet: Completely Silent</t>
  </si>
  <si>
    <t>Disassembles for Cleaning</t>
  </si>
  <si>
    <t>Scratch Resistant Material</t>
  </si>
  <si>
    <t>Adjustable Height with Sturdy Base</t>
  </si>
  <si>
    <t>White</t>
  </si>
  <si>
    <t>MMO-Wheels-Silent Crystal Running Wheel 8.5" White</t>
  </si>
  <si>
    <t>跑轮-波波跑轮8.5英寸 白色</t>
  </si>
  <si>
    <t>PetcoUS, PetcoMX, Pet Supermarket，PSP</t>
  </si>
  <si>
    <t>CFDL1090</t>
  </si>
  <si>
    <t>Bedding</t>
  </si>
  <si>
    <t>Brown</t>
  </si>
  <si>
    <t>MINI/MOE SMALL ANIMAL BEDDING CRINKLE PAPER BROWN 1EA</t>
  </si>
  <si>
    <t>松松纸粒</t>
  </si>
  <si>
    <t>MMO-Bedding-Pebble Pebbles Soft Cocoa Brownie</t>
  </si>
  <si>
    <t>垫料-松松纸粒 可可布朗尼</t>
  </si>
  <si>
    <t>Paper</t>
  </si>
  <si>
    <t>Cooling Comfort</t>
  </si>
  <si>
    <t>99.9% Dust-Free</t>
  </si>
  <si>
    <t>14-Day Odor Control</t>
  </si>
  <si>
    <t>Absorbs 3x Its Weight</t>
  </si>
  <si>
    <t>Pink</t>
  </si>
  <si>
    <t>MINI/MOE SMALL ANIMAL BEDDING PAPER PEBBLES PSTCH/CREAM 1EA</t>
  </si>
  <si>
    <t>MMO-Bedding-Pebble Pebbles Soft Strawberry Macaron</t>
  </si>
  <si>
    <t>垫料-松松纸粒 草莓马卡龙</t>
  </si>
  <si>
    <t>CFDL9000</t>
  </si>
  <si>
    <t>Green / Yellow</t>
  </si>
  <si>
    <t>MINI/MOE SMALL ANIMAL BEDDING ROLLED PAPER FOREST MIX 1EA</t>
  </si>
  <si>
    <t>童话纸卷</t>
  </si>
  <si>
    <t>MMO-Bedding-Twirl &amp; Swirl Pistachio Lemon Swirl</t>
  </si>
  <si>
    <t>垫料-童话纸卷 开心果柠檬</t>
  </si>
  <si>
    <t>Burrow Stability</t>
  </si>
  <si>
    <t>Chew Toy</t>
  </si>
  <si>
    <t>NA</t>
  </si>
  <si>
    <t>MMO-GREEN APPLE CHEW</t>
  </si>
  <si>
    <t>苹果核啃咬</t>
  </si>
  <si>
    <t>MMO-Chewing Toys-Green Apple</t>
  </si>
  <si>
    <t>磨牙玩具-苹果核</t>
  </si>
  <si>
    <t>PetcoUS，PSP</t>
  </si>
  <si>
    <t>Alfalfa, Timothy Hay, Corn, Wheat Flour, Glutinous Rice Flour</t>
  </si>
  <si>
    <t>①融合健康磨牙、肠道护理、趣味造景3合1功能
②足够啃一个月，懒人养鼠必备
③凹型设计，可以做食碗，告别洗碗</t>
  </si>
  <si>
    <t>仓鼠粮食苹果核零食磨牙棒金丝熊营养解闷小玩具造景专用用品</t>
  </si>
  <si>
    <t>磨牙</t>
  </si>
  <si>
    <t>健康</t>
  </si>
  <si>
    <t>护肠</t>
  </si>
  <si>
    <t>造景</t>
  </si>
  <si>
    <t>Long-Lasting Mental Enrichment</t>
  </si>
  <si>
    <t>Edible and Enjoyable</t>
  </si>
  <si>
    <t>Gut-Friendly Recipe: Fiber-rich, supports digestion</t>
  </si>
  <si>
    <t>Creative Decor: Eye-catching shape for habitat styling</t>
  </si>
  <si>
    <t>MMO-CAMP LUNCH BOX CHEW</t>
  </si>
  <si>
    <t>便当盒啃咬</t>
  </si>
  <si>
    <t>MMO-Chewing Toys-Camp Lunch Box</t>
  </si>
  <si>
    <t>磨牙玩具-露营便当盒</t>
  </si>
  <si>
    <t>PetcoUS, Pet Supermarket，PSP</t>
  </si>
  <si>
    <t>Alfalfa, Corn Starch, Wheat Bran, Crushed Soybean, Timothy Hay, Glutinous Rice Flour</t>
  </si>
  <si>
    <t>①适口性好耐啃咬，让小宠实现有效磨牙
②依靠模具压制成型、晾晒+低温烘干工艺定型，健康
③买一个就等于拥有了6样磨牙零食，外面的便当盒还是一个食碗</t>
  </si>
  <si>
    <t>露营便当仓鼠磨牙零食金丝熊营养小粮食解闷玩具造景</t>
  </si>
  <si>
    <t>MMO-SHELL PEARL HAMSTER CHEW</t>
  </si>
  <si>
    <t>蚌不珠啃咬</t>
  </si>
  <si>
    <t>MMO-Chewing Toys-Shell Pearl Hamster</t>
  </si>
  <si>
    <t>磨牙玩具-蚌不珠</t>
  </si>
  <si>
    <t>PetcoUS</t>
  </si>
  <si>
    <t>Alfalfa, Timothy Hay, Crushed Soybean, Wheat Bran, Corn Starch, Glutinous Rice Flour</t>
  </si>
  <si>
    <t>Hideout</t>
  </si>
  <si>
    <t>降温沙发床</t>
  </si>
  <si>
    <t>MMO-Bowls-Ceramic Candy Dish</t>
  </si>
  <si>
    <r>
      <rPr>
        <sz val="8"/>
        <color rgb="FF000000"/>
        <rFont val="宋体-简"/>
        <charset val="134"/>
      </rPr>
      <t>躲避屋</t>
    </r>
    <r>
      <rPr>
        <sz val="8"/>
        <color rgb="FF000000"/>
        <rFont val="Arial"/>
        <charset val="134"/>
      </rPr>
      <t>-</t>
    </r>
    <r>
      <rPr>
        <sz val="8"/>
        <color rgb="FF000000"/>
        <rFont val="宋体-简"/>
        <charset val="134"/>
      </rPr>
      <t>糖果陶瓷盘</t>
    </r>
  </si>
  <si>
    <t>PetcoMX，Canada</t>
  </si>
  <si>
    <t>Ceramic</t>
  </si>
  <si>
    <t>①优选陶瓷材质，接触即降温，凉意持久，清凉度夏
②圆润流线包围，符合小宠躺卧习惯，使用舒适
③釉面光滑，脏污一擦即净，也可轻松水洗</t>
  </si>
  <si>
    <t>仓鼠降温冰垫夏天沙发床宠物降暑凉席垫金丝熊造景用品降温板</t>
  </si>
  <si>
    <t>消暑</t>
  </si>
  <si>
    <t>休憩</t>
  </si>
  <si>
    <t>均匀无缝</t>
  </si>
  <si>
    <t>Cooling Comfort: Ceramic surface stays naturally cool</t>
  </si>
  <si>
    <t>Contoured Lounge: Curved shape supports natural lounging</t>
  </si>
  <si>
    <t>Seamless Glaze: Wipes clean in seconds</t>
  </si>
  <si>
    <t>Scenic Accent: A statement piece for any habitat</t>
  </si>
  <si>
    <t>CPCJ0100</t>
  </si>
  <si>
    <t>Bowl &amp; Feeder</t>
  </si>
  <si>
    <t>Orange</t>
  </si>
  <si>
    <t>郁金香兔草架</t>
  </si>
  <si>
    <t>MMO-Rabbits &amp; Guinea Pigs Supplies-Tulip Hay Feeder</t>
  </si>
  <si>
    <t>兔用-郁金香草架</t>
  </si>
  <si>
    <t>PP</t>
  </si>
  <si>
    <t>①创意郁金香造型草架，造景好看，自然氛围十足
②粮草一体设计，上部放草，下部放粮，不浪费
③配备固定卡扣，可稳固不翻</t>
  </si>
  <si>
    <t>兔子草架食盆二合一大容量防浪费兔笼草架郁金香草架豚鼠龙猫草盒</t>
  </si>
  <si>
    <t>二合一</t>
  </si>
  <si>
    <t>大容量</t>
  </si>
  <si>
    <t>美观</t>
  </si>
  <si>
    <t>防扒防漏</t>
  </si>
  <si>
    <t>Two-in-One: Hay rack and food bowl in one</t>
  </si>
  <si>
    <t>Generous Capacity: Holds a full day of hay</t>
  </si>
  <si>
    <t>Tulip Design: A cheerful accent for any habitat</t>
  </si>
  <si>
    <t>No Scatter, No Spill: Deep tray keeps hay in place</t>
  </si>
  <si>
    <t>Toilet</t>
  </si>
  <si>
    <t>郁金香兔厕所</t>
  </si>
  <si>
    <t>MMO-Rabbits &amp; Guinea Pigs Supplies-Tulip Toilet</t>
  </si>
  <si>
    <t>兔用-郁金香厕所</t>
  </si>
  <si>
    <t>①加大空间，兔兔可自由转身，轻松学会定点如厕
②网格漏便设计，粪便尿液不易残留，避免细菌滋生污染
③分离式设计，可轻松拆洗，一冲即净，不易残留</t>
  </si>
  <si>
    <t>宠物兔子龙猫侏儒兔荷兰猪大号郁金香系列厕所尿盆宠物用品</t>
  </si>
  <si>
    <t>环保安全</t>
  </si>
  <si>
    <t>防喷防溅</t>
  </si>
  <si>
    <t>稳固防翻</t>
  </si>
  <si>
    <t>不磨脚</t>
  </si>
  <si>
    <t>Two Layer Design</t>
  </si>
  <si>
    <t>Easy to Clean</t>
  </si>
  <si>
    <t>Tip-Resistant Base: Stays put when they hop around</t>
  </si>
  <si>
    <t>Gentle on Paws: Smooth grid, no rubbing or sore spots</t>
  </si>
  <si>
    <t>Water Bottle</t>
  </si>
  <si>
    <t>NONO 磁吸水壶</t>
  </si>
  <si>
    <t>MMO-Water Bottles-NONO Magnetic Water Bottle 220ML</t>
  </si>
  <si>
    <t>水壶-NONO磁吸水壶220ml</t>
  </si>
  <si>
    <t>PetcoMX,PSP</t>
  </si>
  <si>
    <t>ABS, PP, PC, Glass</t>
  </si>
  <si>
    <t>①真空水壶，鼠鼠喝水无声
②磁吸式壁挂，可随意调整位置、高度，节省笼内空间
③220ml畅饮20天，无需频繁添水，短途出行无忧</t>
  </si>
  <si>
    <t>仓鼠磁吸水壶金丝熊饮水器真空自动吸盘喂荷兰猪蜜袋鼯喝水器</t>
  </si>
  <si>
    <t>清洗便捷</t>
  </si>
  <si>
    <t>牢固不晃</t>
  </si>
  <si>
    <t>不卡水</t>
  </si>
  <si>
    <t>Leak-Proof &amp; Anti-Drip</t>
  </si>
  <si>
    <t>Large Capacity</t>
  </si>
  <si>
    <t>Magnetic Mount</t>
  </si>
  <si>
    <t>Cream</t>
  </si>
  <si>
    <t>MINI &amp; MOE MAG CONECT WTR BTL 4 OZ</t>
  </si>
  <si>
    <t>路灯磁吸水壶-不带灯</t>
  </si>
  <si>
    <t>MMO-Water Bottles-Mag Connect Water Bottle 118ML</t>
  </si>
  <si>
    <t>水壶-路灯磁吸水壶118ml</t>
  </si>
  <si>
    <t>PP, ABS, PC, Stainless Steel, Silicone, Plastic</t>
  </si>
  <si>
    <t>①磁吸设计，不占笼内空间
②内置灯光，造景氛围十足
③畅饮15天，无需频繁添水，短途外出也不用担心</t>
  </si>
  <si>
    <t>仓鼠水壶饮水器喝水金丝熊荷兰猪兔子水樽滚珠氛围喂水器用品</t>
  </si>
  <si>
    <t>双滚珠</t>
  </si>
  <si>
    <t>方便清洗</t>
  </si>
  <si>
    <t>Glow-in-Style: Built-in LED creates a cozy, magical night-light vibe</t>
  </si>
  <si>
    <t>Height Adjustable: Flexible height for the perfect drinking posture</t>
  </si>
  <si>
    <t>Pure Flow Tech: Stainless steel nozzle for a steady, leak-proof flow</t>
  </si>
  <si>
    <t>糖纸食碗</t>
  </si>
  <si>
    <t>MMO-Bowls-Ceramic Candy Bowl</t>
  </si>
  <si>
    <t>食具-糖纸食碗</t>
  </si>
  <si>
    <t>①优选陶瓷材质，防油防污，清洗便捷
②大面积底盘防翻设计，不易推倒
③加宽加深碗体，避免洒粮</t>
  </si>
  <si>
    <t>仓鼠陶瓷食盆金丝熊饭盆糖纸食碗防翻蜜袋鼬零食大饭碗喂食器</t>
  </si>
  <si>
    <t>清凉降温</t>
  </si>
  <si>
    <t>舒适进食</t>
  </si>
  <si>
    <t>Roomy Bowl: Wide and deep, no spilled food</t>
  </si>
  <si>
    <t>Rinses Clean: Glazed ceramic wipes clean in seconds</t>
  </si>
  <si>
    <t>Comfy Dining: Low rim for easy, natural feeding</t>
  </si>
  <si>
    <t>CPSP17000</t>
  </si>
  <si>
    <t>芝吱食碗</t>
  </si>
  <si>
    <t>MMO-Bowls-Cheese Bowl</t>
  </si>
  <si>
    <t>食具-奶酪陶瓷碗</t>
  </si>
  <si>
    <t>①斜角开口设计，8.5cm大直径不怕漏
②安心陶瓷材质，釉面光滑无缝防油防污
③纯手工高温烘制，色彩鲜亮生动，轻松还原可爱芝士造型</t>
  </si>
  <si>
    <t>仓鼠食盆芝吱食碗金丝熊陶瓷碗蜜袋鼬专属防翻食盆侏儒小饭碗</t>
  </si>
  <si>
    <t>CPSP19001BU</t>
  </si>
  <si>
    <t>Ceramic Candy Hide</t>
  </si>
  <si>
    <t>糖果陶瓷窝</t>
  </si>
  <si>
    <t>MMO-Hide &amp; More-Ceramic Candy Hide</t>
  </si>
  <si>
    <r>
      <rPr>
        <sz val="8"/>
        <color rgb="FF000000"/>
        <rFont val="宋体-简"/>
        <charset val="134"/>
      </rPr>
      <t>躲避屋</t>
    </r>
    <r>
      <rPr>
        <sz val="8"/>
        <color rgb="FF000000"/>
        <rFont val="Arial"/>
        <charset val="134"/>
      </rPr>
      <t>-</t>
    </r>
    <r>
      <rPr>
        <sz val="8"/>
        <color rgb="FF000000"/>
        <rFont val="宋体-简"/>
        <charset val="134"/>
      </rPr>
      <t>糖果陶瓷躲避屋</t>
    </r>
  </si>
  <si>
    <t>PetcoMX</t>
  </si>
  <si>
    <t>Scratch Resistant</t>
  </si>
  <si>
    <t>Chew-Proof</t>
  </si>
  <si>
    <t>Temperature Regulating</t>
  </si>
  <si>
    <t>Antibacterial Material</t>
  </si>
  <si>
    <t>CPTL0800</t>
  </si>
  <si>
    <t>Cage</t>
  </si>
  <si>
    <t>Rabbit Cage</t>
  </si>
  <si>
    <t>小宠宜居别墅-兔笼</t>
  </si>
  <si>
    <t>MMO-Rabbits &amp; Guinea Pigs Supplies-Rabbit Cage</t>
  </si>
  <si>
    <t>兔用-兔笼</t>
  </si>
  <si>
    <t>PP+Stainless Steel</t>
  </si>
  <si>
    <t>Chew-Proof Wiring: Reinforced, durable coating</t>
  </si>
  <si>
    <t>Tool-Free Setup: Simple assembly in minutes</t>
  </si>
  <si>
    <t>Smooth Casters: Quiet, 360-degree mobility</t>
  </si>
  <si>
    <t>Front Door: For easy access and interaction</t>
  </si>
  <si>
    <t>MINI/MOE MUSHROOM CABIN</t>
  </si>
  <si>
    <t>复古小屋</t>
  </si>
  <si>
    <t>MMO-Wooden Hideout-Mushroom Cabin</t>
  </si>
  <si>
    <t>木制躲避屋-蘑菇小屋</t>
  </si>
  <si>
    <t>Birchwood [Basswood]</t>
  </si>
  <si>
    <t>①底下可躲藏，顶部可置物，节省笼内空间
②自带缓坡爬梯，方便小宠攀爬玩乐
③原木取材，环保使用安全</t>
  </si>
  <si>
    <t>仓鼠躲避屋爬梯造景玩具豚鼠金丝熊窝房子用品</t>
  </si>
  <si>
    <t>精致打磨</t>
  </si>
  <si>
    <t>无底设计</t>
  </si>
  <si>
    <t>休憩躲藏</t>
  </si>
  <si>
    <t>安全无钉</t>
  </si>
  <si>
    <t>Finely Sanded: Smooth to the touch, no splinters</t>
  </si>
  <si>
    <t>Open-Bottom Design: Lifts off for easy cleaning</t>
  </si>
  <si>
    <t>Cozy Hideaway: A snug spot for sleep and rest</t>
  </si>
  <si>
    <t>Nail-Free Build: Glue-free, pet-safe assembly</t>
  </si>
  <si>
    <t>MINI/MOE MUSHROOM LADDER 1EA</t>
  </si>
  <si>
    <t>旋转蘑菇</t>
  </si>
  <si>
    <t>MMO-Wooden Hideout-Mushroom Ladder</t>
  </si>
  <si>
    <t>木制躲避屋-蘑菇爬梯</t>
  </si>
  <si>
    <t>①可旋转爬梯设计，方便自由搭配其他高度平台使用
②轻松拓展笼内空间，丰富小宠生活乐趣
③原木取材，环保使用安全</t>
  </si>
  <si>
    <t>仓鼠躲避屋爬梯造景玩具花枝鼠金丝熊窝房子用品</t>
  </si>
  <si>
    <t>原木取材</t>
  </si>
  <si>
    <t>安全环保</t>
  </si>
  <si>
    <t>创意造景</t>
  </si>
  <si>
    <t>轻松攀爬</t>
  </si>
  <si>
    <t>Solid Birchwood: Natural wood, safe to chew</t>
  </si>
  <si>
    <t>Pet-Safe Finish: Water-based, no harsh chemicals</t>
  </si>
  <si>
    <t>Easy Climbing: Wide rungs for confident little feet</t>
  </si>
  <si>
    <t>MINI/MOE TREEHOUSE CABIN</t>
  </si>
  <si>
    <t>一颗树屋</t>
  </si>
  <si>
    <t>MMO-Wooden Hideout-Treehouse Cabin</t>
  </si>
  <si>
    <t>木制躲避屋-树屋</t>
  </si>
  <si>
    <t>①底下可躲藏，顶部可置物，节省笼内空间
②半包裹设计，符合小宠躲藏天性，更爱睡
③原木取材，环保使用安全</t>
  </si>
  <si>
    <t>Half-Open Den: Snug, sheltered, made for burrowing</t>
  </si>
  <si>
    <t>MINI/MOE FISHBONE BRIDGE 1EA</t>
  </si>
  <si>
    <t>鱼骨爬梯</t>
  </si>
  <si>
    <t>MMO-Wooden Hideout-Fishbone Bridge</t>
  </si>
  <si>
    <t>木制躲避屋-鱼骨桥</t>
  </si>
  <si>
    <t>①加宽爬梯，可搭配平台使用，方便鼠鼠上下互动
②木棍排列精密均匀，不担心卡脚风险
③原木取材，环保使用安全</t>
  </si>
  <si>
    <t>仓鼠爬梯造景玩具金丝熊窝房子用品</t>
  </si>
  <si>
    <t>Evenly Spaced Rungs: No pinched paws, no gaps</t>
  </si>
  <si>
    <t>MINI/MOE GARDEN TEAPOT</t>
  </si>
  <si>
    <t>园丁的茶壶</t>
  </si>
  <si>
    <t>MMO-Wooden Hideout-Garden Teapot</t>
  </si>
  <si>
    <r>
      <rPr>
        <sz val="8"/>
        <color rgb="FF000000"/>
        <rFont val="宋体-简"/>
        <charset val="134"/>
      </rPr>
      <t>木制躲避屋</t>
    </r>
    <r>
      <rPr>
        <sz val="8"/>
        <color rgb="FF000000"/>
        <rFont val="Arial"/>
        <charset val="134"/>
      </rPr>
      <t>-</t>
    </r>
    <r>
      <rPr>
        <sz val="8"/>
        <color rgb="FF000000"/>
        <rFont val="宋体-简"/>
        <charset val="134"/>
      </rPr>
      <t>花园茶壶小屋</t>
    </r>
  </si>
  <si>
    <t>①趣味茶壶造型，造景趣味十足
②既是躲避，也是水壶架，可搭配水壶使用
③原木取材，环保使用安全</t>
  </si>
  <si>
    <t>仓鼠躲避屋水壶造景玩具豚鼠金丝熊窝房子用品</t>
  </si>
  <si>
    <t>双开口支架</t>
  </si>
  <si>
    <t>Finely Sanded</t>
  </si>
  <si>
    <t>Dual-Opening Stand: Doubles as a bottle holder</t>
  </si>
  <si>
    <t>Nail-Free Assembly</t>
  </si>
  <si>
    <t>MINI &amp; MOE WOODEN BRIDGE</t>
  </si>
  <si>
    <t>摇摇椅</t>
  </si>
  <si>
    <t>MMO-Hamster Toys-Wooden Bridge</t>
  </si>
  <si>
    <t>木制躲避屋-摇摇椅</t>
  </si>
  <si>
    <t>Birchwood [Basswood, Birch]</t>
  </si>
  <si>
    <t>①不倒翁式摇椅，增加鼠鼠生活乐趣
②可作为桥梁，连接不同区域
③木棒打磨光滑，拼接紧密不伤鼠</t>
  </si>
  <si>
    <t>仓鼠森林摇摇椅解闷造景玩具金丝熊家具用品</t>
  </si>
  <si>
    <t>摇摆</t>
  </si>
  <si>
    <t>互动</t>
  </si>
  <si>
    <t>攀爬</t>
  </si>
  <si>
    <t>Rocking Design: Wobbles gently, never tips over</t>
  </si>
  <si>
    <t>Interactive Play: Connects zones for more exploring</t>
  </si>
  <si>
    <t>Easy Climbing: Smooth rungs for confident little feet</t>
  </si>
  <si>
    <t>MINI &amp; MOE GARDEN DECOR CHEW</t>
  </si>
  <si>
    <t>小花园磨牙玩具+小花朵</t>
  </si>
  <si>
    <t>MMO-Chewing Toys-Garden Decor</t>
  </si>
  <si>
    <t>磨牙玩具-小花园+小花朵</t>
  </si>
  <si>
    <t>Wood: Birchwood [Basswood, Schima, Birch]
Flower Chew: Alfalfa Hay, Corn Starch, Wheat Bran, Soybean, Timothy Hay, Glutinous Rice, Potassium Sorbate (≤0.02%)</t>
  </si>
  <si>
    <t>①搭配优选谷物草粉制作小花朵，通过啃咬呵护鼠鼠牙齿健康
②0甲醛水性漆，0刺激性油脂，使用安全
③既是造景装饰，也是攀爬玩具</t>
  </si>
  <si>
    <t>仓鼠零食磨牙棒金丝熊造景玩具仓鼠花枝鼠营养解闷用品</t>
  </si>
  <si>
    <t>安全</t>
  </si>
  <si>
    <t>Dental Health Support: Promotes healthy teeth wear through natural and safe gnawing</t>
  </si>
  <si>
    <t>Multi-Texture Experience: Mixed wood and fibers provide diverse sensations</t>
  </si>
  <si>
    <t>Interactive Play &amp; Probing: Unique structure encourages active probing and playful exploration</t>
  </si>
  <si>
    <t>Climb &amp; Explore: Adds vertical fun to any habitat</t>
  </si>
  <si>
    <t>Mushroom Spiral Staircase</t>
  </si>
  <si>
    <t>蘑菇旋转楼梯</t>
  </si>
  <si>
    <t>MMO-Hamster Toys-Mushroom Spiral Staircase</t>
  </si>
  <si>
    <t>木制躲避屋-蘑菇旋转楼梯</t>
  </si>
  <si>
    <t>Pet Supermarket,PSP</t>
  </si>
  <si>
    <t>Birchwood [Rubberwood, Spruce]</t>
  </si>
  <si>
    <t>①攀爬玩耍，让鼠鼠远离焦虑
②丰富鼠鼠生活环境，造景更有氛围感
③原木取材，环保使用安全</t>
  </si>
  <si>
    <t>仓鼠金丝熊造景玩具仓鼠花枝鼠解闷用品大全</t>
  </si>
  <si>
    <t>Spiral Climb: A fun staircase up to the next level</t>
  </si>
  <si>
    <t>Chew-Friendly Wood: Natural birch, safe to gnaw</t>
  </si>
  <si>
    <t>MINI &amp; MOE TREE DECOR CHEW</t>
  </si>
  <si>
    <t>小树磨牙玩具+小苹果</t>
  </si>
  <si>
    <t>MMO-Chewing Toys-Tree Decor</t>
  </si>
  <si>
    <t>磨牙玩具-小树+小苹果</t>
  </si>
  <si>
    <t>Tree: Birchwood [Rubberwood]
Apple Chew: Bamboo, Alfalfa Hay, Corn Starch, Wheat Bran, Soybean, Timothy Hay, Glutinous Rice, Potassium Sorbate (≤0.02%)</t>
  </si>
  <si>
    <t>①搭配优选谷物草粉制作小苹果，通过啃咬呵护鼠鼠牙齿健康
②0甲醛水性漆，0刺激性油脂，使用安全
③可自由改变零食位置，增加仓鼠觅食乐趣</t>
  </si>
  <si>
    <t>玩乐</t>
  </si>
  <si>
    <t>Interactive Foraging: Satisfies natural harvesting and chewing instincts</t>
  </si>
  <si>
    <t>Aesthetic Decor: A charming forest-themed centerpiece for any habitat</t>
  </si>
  <si>
    <t>Sustainable &amp; Refillable: Glue-free natural wood, reusable with refills</t>
  </si>
  <si>
    <t>Swinging Swing Hamster Toy</t>
  </si>
  <si>
    <t>摇摇秋千玩具</t>
  </si>
  <si>
    <t>MMO-Hamster Toys-Swinging Swing Hamster Toy</t>
  </si>
  <si>
    <t>木制躲避屋-秋千</t>
  </si>
  <si>
    <t>Birchwood [Basswood], Stainless Steel, Iron</t>
  </si>
  <si>
    <t>Swing &amp; Play: Gentle motion keeps them active</t>
  </si>
  <si>
    <t>Solid Birchwood: Natural, safe, chew-friendly</t>
  </si>
  <si>
    <t>MINI/MOE IVY BURROWING BOX</t>
  </si>
  <si>
    <t>洞穴挖掘箱</t>
  </si>
  <si>
    <t>MMO-Functional Hideout-Ivy Burrowing Box</t>
  </si>
  <si>
    <t>木制躲避屋-常春藤钻洞盒</t>
  </si>
  <si>
    <t>MDF</t>
  </si>
  <si>
    <t>①创意形状开窗，增加挖掘观赏趣味
②纵向加深设计，挖刨更自由，符合小宠天性
③体积尺寸适中，置于笼内，顶部可置物</t>
  </si>
  <si>
    <t>仓鼠挖掘盒造景玩具用品金丝熊打洞玩耍可窥躲避屋</t>
  </si>
  <si>
    <t>躲藏</t>
  </si>
  <si>
    <t>挖掘</t>
  </si>
  <si>
    <t>厚铺</t>
  </si>
  <si>
    <t>清理便捷</t>
  </si>
  <si>
    <t>Great for Digging and Burrowing</t>
  </si>
  <si>
    <t>Innovative Design</t>
  </si>
  <si>
    <t>Non-Toxic Paint</t>
  </si>
  <si>
    <t>Viewing Window for Observation</t>
  </si>
  <si>
    <t>芝士笼-100CM</t>
  </si>
  <si>
    <t>MMO-Cages-Modern Viewing Cage 100cm</t>
  </si>
  <si>
    <t>笼子-现代观景笼100cm</t>
  </si>
  <si>
    <t>PMMA+PVC+ABS</t>
  </si>
  <si>
    <t>Ultra-Transparent View (Anti-Yellowing)</t>
  </si>
  <si>
    <t>Lightweight, Easy to Reposition</t>
  </si>
  <si>
    <t>Drip-Proof Bottle &amp; Deep Feeding Layer</t>
  </si>
  <si>
    <t>Allows for 12 cm / 5 in Deep Bedding Layer</t>
  </si>
  <si>
    <t>小电视</t>
  </si>
  <si>
    <t>MMO-Cages-TV Viewing Cage</t>
  </si>
  <si>
    <t>笼子-小电视机笼子</t>
  </si>
  <si>
    <t>PSP, Petco, Petsmart, Pet Supermarket, PetcoMX，Canada</t>
  </si>
  <si>
    <t>PC, PP, HIPS</t>
  </si>
  <si>
    <t>①PC材质，高韧性防撞不易碎，可承重200斤，放心叠笼不开裂
②PC材质透光率达91%，无色差，还原真实色彩，久用不泛黄
③直角底边加高底盘，可容纳更多家具，同尺寸更大空间</t>
  </si>
  <si>
    <t>小电视笼子仓鼠笼豪华别墅金丝熊小仓鼠花枝专用透明造景房子</t>
  </si>
  <si>
    <t>高透</t>
  </si>
  <si>
    <t>通风</t>
  </si>
  <si>
    <t>Front door for easier reach</t>
  </si>
  <si>
    <t>More Impact Resistance</t>
  </si>
  <si>
    <t>More Room for Your Ideas</t>
  </si>
  <si>
    <t>Snap Together in Seconds</t>
  </si>
  <si>
    <t>MINI/MOE MINI TV TUNNEL CAGE 1EA</t>
  </si>
  <si>
    <t>奇境隧道笼</t>
  </si>
  <si>
    <t>MMO-Cages-Mini TV Tunnel Cage</t>
  </si>
  <si>
    <t>笼子-奇境隧道笼</t>
  </si>
  <si>
    <t>PET, HIPS, PP</t>
  </si>
  <si>
    <t>①全景可观，造景美观方便观赏
②体积小巧，饲养不占地方节省空间
③丰富配件，可搭配隧道或者外接浴室自由发挥创意</t>
  </si>
  <si>
    <t>仓鼠笼子迷你电视透明隧道笼金丝熊豪华别墅饲养箱耐啃咬鼠笼</t>
  </si>
  <si>
    <t>便于打理</t>
  </si>
  <si>
    <t>造景美观</t>
  </si>
  <si>
    <t>Full-View Fun</t>
  </si>
  <si>
    <t>Fits Anywhere</t>
  </si>
  <si>
    <t>Easy-Clean Base</t>
  </si>
  <si>
    <t>Your Mini Theater, Your Daily Dose of Joy</t>
  </si>
  <si>
    <t>LT-7</t>
  </si>
  <si>
    <t>花花水壶500ML</t>
  </si>
  <si>
    <t>MMO-Water Bottles-Tulip Water Bottle</t>
  </si>
  <si>
    <t>水壶-郁金香水壶</t>
  </si>
  <si>
    <t>PSP, PetcoMX</t>
  </si>
  <si>
    <t>PP, PET</t>
  </si>
  <si>
    <t>①双滚珠设计，可轻松控制出水量及出水频率，防止呛水
②轻松拿放加固稳定，不易打翻和滑落
③全身可拆分设计，内壁光滑易清理，守护健康</t>
  </si>
  <si>
    <t>兔子水壶饮水器荷兰猪龙猫喂水大容量自动续水宠物喝水用品</t>
  </si>
  <si>
    <t>Large Capacity: 16.9 fl oz, fewer refills</t>
  </si>
  <si>
    <t>Dual-Ball Nozzle: Controls flow, no choking</t>
  </si>
  <si>
    <t>Easy to Clean: Takes apart for a full rinse</t>
  </si>
  <si>
    <t>Steady Flow: No sticking, no dripping</t>
  </si>
  <si>
    <t>小熊头</t>
  </si>
  <si>
    <t>MMO-Wooden Hideout-Cottage</t>
  </si>
  <si>
    <t>木制躲避屋-小熊头</t>
  </si>
  <si>
    <t>Petsmart，Canada</t>
  </si>
  <si>
    <t>①半包裹式居室，方便仓鼠居住，加大空间更舒适
②打磨光滑无毛刺，使用安全
③森林趣味插画，造景好看拍照更出片</t>
  </si>
  <si>
    <t>仓鼠躲避屋造景玩具豚鼠金丝熊窝房子用品</t>
  </si>
  <si>
    <t>Climb &amp; Explore: Easy in-and-out for curious pets</t>
  </si>
  <si>
    <t>Cozy Hideaway: Half-open den for burrowing naps</t>
  </si>
  <si>
    <t>Storybook Decor: Forest-print cottage, photo-ready</t>
  </si>
  <si>
    <t>Resting Spot: Roomy enough to stretch and snooze</t>
  </si>
  <si>
    <t>小树桩躲避</t>
  </si>
  <si>
    <t>MMO-Wooden Hideout-Tree Stump Hide</t>
  </si>
  <si>
    <t>木制躲避屋-树桩</t>
  </si>
  <si>
    <t>Pet Supermarket，Canada</t>
  </si>
  <si>
    <t>①半包裹式居室，方便仓鼠居住休憩
②打磨光滑无毛刺，使用安全
③顶部可放置食碗or水壶，节省笼内空间</t>
  </si>
  <si>
    <t>Climb &amp; Explore: Low opening for easy in-and-out</t>
  </si>
  <si>
    <t>Cozy Hideaway: Sheltered den for burrowing naps</t>
  </si>
  <si>
    <t>Natural Decor: Tree-stump look for any habitat</t>
  </si>
  <si>
    <t>Flat Top: Holds a bowl or bottle to save space</t>
  </si>
  <si>
    <t>彩虹扭蛋机</t>
  </si>
  <si>
    <t>MMO-Wooden Hideout-Gumball Water Bottle Holder</t>
  </si>
  <si>
    <t>木制躲避屋-糖球水壶架</t>
  </si>
  <si>
    <t>PSP，Canada</t>
  </si>
  <si>
    <t>①搭配水壶高度科学，温柔呵护脊椎
②既是水樽，也是插花架，一物两用省心更省钱
③原木取材，环保使用安全</t>
  </si>
  <si>
    <t>仓鼠躲避屋爬梯水壶小甜甜造景玩具金丝熊窝房子用品</t>
  </si>
  <si>
    <t>二合一设计</t>
  </si>
  <si>
    <t>Two-in-One: Bottle holder and flower vase</t>
  </si>
  <si>
    <t>花花爬梯</t>
  </si>
  <si>
    <t>MMO-Wooden Hideout-Sweet Bridge</t>
  </si>
  <si>
    <t>木制躲避屋-甜甜桥</t>
  </si>
  <si>
    <t>仓鼠躲避屋爬梯水壶小甜甜造景玩具豚鼠金丝熊窝房子用品</t>
  </si>
  <si>
    <t>棉花糖躲避屋</t>
  </si>
  <si>
    <t>MMO-Wooden Hideout-Candy House</t>
  </si>
  <si>
    <t>木制躲避屋-糖果屋</t>
  </si>
  <si>
    <t>PetcoMX,PSP，Canada</t>
  </si>
  <si>
    <t>①底下可躲藏，顶部可置物，节省笼内空间
②粉色甜蜜配色，造景氛围十足
③原木取材，环保使用安全</t>
  </si>
  <si>
    <t>Climb &amp; Explore: Open base invites burrowing play</t>
  </si>
  <si>
    <t>Cozy Hideaway: A soft, sheltered spot to sleep</t>
  </si>
  <si>
    <t>Sweet Decor: Cotton-candy pink, photo-ready</t>
  </si>
  <si>
    <t>Flat Top: Holds a bowl or wheel to save space</t>
  </si>
  <si>
    <t>糖果小屋平台</t>
  </si>
  <si>
    <t>MMO-Wooden Hideout-Cake House</t>
  </si>
  <si>
    <t>木制躲避屋-蛋糕小屋</t>
  </si>
  <si>
    <t>①底下可躲藏，顶部可置物，节省笼内空间
②粉加宽加大平台，可放置跑轮，防止共振
③前部多开口，方便观察鼠鼠玩乐状态</t>
  </si>
  <si>
    <t>仓鼠躲避屋平台小甜甜造景玩具金丝熊窝房子用品</t>
  </si>
  <si>
    <t>Climb &amp; Explore: Front openings for easy in-and-out</t>
  </si>
  <si>
    <t>Wide Platform: Room on top for a wheel or bowl</t>
  </si>
  <si>
    <t>Peek-In View: Open front makes watching easy</t>
  </si>
  <si>
    <t>糖果铺子单居室</t>
  </si>
  <si>
    <t>MMO-Wooden Hideout-Sugar Jar</t>
  </si>
  <si>
    <t>木制躲避屋-糖罐小屋</t>
  </si>
  <si>
    <t>PetcoMX，PSP，Canada</t>
  </si>
  <si>
    <t>①底下可躲藏，顶部可置物，节省笼内空间
②糖果屋创意造型，百搭造景
③原木取材，环保使用安全</t>
  </si>
  <si>
    <t>仓鼠躲避屋平台造景玩具豚鼠金丝熊窝房子用品</t>
  </si>
  <si>
    <t>Cozy Hideaway: A quiet, sheltered spot to sleep</t>
  </si>
  <si>
    <t>Sweet Shop Decor: A candy-themed habitat accent</t>
  </si>
  <si>
    <t>MMO-STARFISH CASTLE</t>
  </si>
  <si>
    <t>海底城堡</t>
  </si>
  <si>
    <t>MMO-Wooden Hideout-Starfish Castle</t>
  </si>
  <si>
    <t>木制躲避屋-海星城堡</t>
  </si>
  <si>
    <t>Mental Enrichment</t>
  </si>
  <si>
    <t>Stylish</t>
  </si>
  <si>
    <t>Unique Design</t>
  </si>
  <si>
    <t>浪花朵朵</t>
  </si>
  <si>
    <t>MMO-Wooden Hideout-Wave Bridge</t>
  </si>
  <si>
    <t>木制躲避屋-海浪桥</t>
  </si>
  <si>
    <t>PetcoUS，Canada</t>
  </si>
  <si>
    <t>Divider</t>
  </si>
  <si>
    <t>MINI/MOE BENDABLE BIRCHWOOD FENCE</t>
  </si>
  <si>
    <t>火柴围栏</t>
  </si>
  <si>
    <t>MMO-Functional Hideout-Bendable Birchwood Fence</t>
  </si>
  <si>
    <r>
      <rPr>
        <sz val="8"/>
        <color rgb="FF000000"/>
        <rFont val="宋体-简"/>
        <charset val="134"/>
      </rPr>
      <t>隔板</t>
    </r>
    <r>
      <rPr>
        <sz val="8"/>
        <color rgb="FF000000"/>
        <rFont val="Arial"/>
        <charset val="134"/>
      </rPr>
      <t>-</t>
    </r>
    <r>
      <rPr>
        <sz val="8"/>
        <color rgb="FF000000"/>
        <rFont val="宋体-简"/>
        <charset val="134"/>
      </rPr>
      <t>可弯曲桦木围栏</t>
    </r>
  </si>
  <si>
    <t>PSP,  PetcoUS</t>
  </si>
  <si>
    <t>Birchwood [Beech], Iron</t>
  </si>
  <si>
    <t>①骨架两条柔性金属线，可弯曲任意造型，满足多样造景需求
②无毛刺，排列整齐不卡脚
③可选取喜欢的颜色，自动diy围栏</t>
  </si>
  <si>
    <t>小仓鼠用品解闷玩具木火柴围栏金丝熊装饰木栅栏分区造景大全</t>
  </si>
  <si>
    <t>光滑打磨</t>
  </si>
  <si>
    <t>加高设计</t>
  </si>
  <si>
    <t>Bendable</t>
  </si>
  <si>
    <t>Flexible</t>
  </si>
  <si>
    <t>Durable</t>
  </si>
  <si>
    <t>Shape your pet's landscape with ease</t>
  </si>
  <si>
    <t>RJ121</t>
  </si>
  <si>
    <t>Rabbit Triangle Toilet</t>
  </si>
  <si>
    <t>新款小号三角厕所</t>
  </si>
  <si>
    <t>MMO-Rabbits &amp; Guinea Pigs Supplies-Triangle Rabbit Toilet</t>
  </si>
  <si>
    <t>兔用-三角厕所</t>
  </si>
  <si>
    <t>ABS</t>
  </si>
  <si>
    <t>Raised Walls: Keeps splashes and spills inside</t>
  </si>
  <si>
    <t>Dual-Clip Lock: Stays put under weight</t>
  </si>
  <si>
    <t>Snaps Apart: Easy to take apart and rinse clean</t>
  </si>
  <si>
    <t>RJ122</t>
  </si>
  <si>
    <t>Blue</t>
  </si>
  <si>
    <t>小宠物2合1固定草架食盒</t>
  </si>
  <si>
    <t>MMO-Rabbits &amp; Guinea Pigs Supplies-Basic Hay Feeder Blue</t>
  </si>
  <si>
    <t>兔用-简约草架 蓝色</t>
  </si>
  <si>
    <t>Eco-Friendly Plastic</t>
  </si>
  <si>
    <t>①两用分类设计，节省更多空间，满足小宠多种饮食需求
② 弧形食槽，有效防止溢出扒出，不浪费粮草 
③不锈钢包边，预防小宠啃咬磨牙</t>
  </si>
  <si>
    <t>兔子草架食盆喂食器龙猫食槽兔子外置草架防浪费固定吃饭食盒</t>
  </si>
  <si>
    <t>加宽加深</t>
  </si>
  <si>
    <t>固定稳固</t>
  </si>
  <si>
    <t>Wider &amp; Deeper: Holds more, refills less often</t>
  </si>
  <si>
    <t>Lock-On Mount: Clips on tight, no tipping</t>
  </si>
  <si>
    <t>No Scatter, No Spill: Curved tray keeps food inside</t>
  </si>
  <si>
    <t>RJ181</t>
  </si>
  <si>
    <t>兔子简易草架</t>
  </si>
  <si>
    <t>MMO-Rabbits &amp; Guinea Pigs Supplies-Simple Hay/Grass Feeder Pink</t>
  </si>
  <si>
    <t>兔用-简约草架 粉色</t>
  </si>
  <si>
    <t>Bright &amp; Cheerful: A pop of color for any cage</t>
  </si>
  <si>
    <t>Easy to Clean: Rinses clean in seconds</t>
  </si>
  <si>
    <t>Non-Toxic Material: Safe for everyday contact</t>
  </si>
  <si>
    <t>RJ183</t>
  </si>
  <si>
    <t>不锈钢固定食盆</t>
  </si>
  <si>
    <t>MMO-Rabbits &amp; Guinea Pigs Supplies-Basic Bowl Blue</t>
  </si>
  <si>
    <t>兔用-简约食盆 蓝色</t>
  </si>
  <si>
    <t>ABS, Stainless Steel</t>
  </si>
  <si>
    <t>①固定稳固，不易洒漏粮食
②整体可拆，清洗便捷
③不锈钢食碗搭配彩色外壳，颜值色彩鲜亮</t>
  </si>
  <si>
    <t>安心饮食</t>
  </si>
  <si>
    <t>耐啃咬</t>
  </si>
  <si>
    <t>Safe &amp; Hygienic: Stainless steel, rust-resistant</t>
  </si>
  <si>
    <t>Chew-Resistant: Steel core stands up to gnawing</t>
  </si>
  <si>
    <t>Large Capacity: Roomy bowl for daily meals</t>
  </si>
  <si>
    <t>No Scatter, No Spill: Lock-on base stays put</t>
  </si>
  <si>
    <t>RJ183-OR</t>
  </si>
  <si>
    <t>MMO-Rabbits &amp; Guinea Pigs Supplies-Basic Bowl Orange</t>
  </si>
  <si>
    <t>兔用-简约食盆 橙色</t>
  </si>
  <si>
    <t>RJ186</t>
  </si>
  <si>
    <t>大号三角厕所</t>
  </si>
  <si>
    <t>MMO-Rabbits &amp; Guinea Pigs Supplies-Triangle Toilet Large Blue</t>
  </si>
  <si>
    <t>兔用-大号三角厕所 蓝色</t>
  </si>
  <si>
    <t>RJ510</t>
  </si>
  <si>
    <t>水晶笼（含跑轮水壶）</t>
  </si>
  <si>
    <t>MMO-Travel Cages-Crystal Travel Cage Blue</t>
  </si>
  <si>
    <t>外出笼-水晶外出笼 蓝色</t>
  </si>
  <si>
    <t>PP, PS</t>
  </si>
  <si>
    <t>①全景可观，方便观赏宠物外出萌态
②配备跑轮，外出也不用担心小宠无聊
③多面透气孔，畅快呼吸不闷热</t>
  </si>
  <si>
    <t>仓鼠外带笼大空间可提金丝熊透明外出包蜜袋鼯便携透气外出笼</t>
  </si>
  <si>
    <t>出行</t>
  </si>
  <si>
    <t>提拎</t>
  </si>
  <si>
    <t>Travel in Style</t>
  </si>
  <si>
    <t>Breathable</t>
  </si>
  <si>
    <t>Portable</t>
  </si>
  <si>
    <t>Built-in Wheel and Water Bottle</t>
  </si>
  <si>
    <t>MMO-Travel Cages-Crystal Travel Cage Pink</t>
  </si>
  <si>
    <t>外出笼-水晶外出笼 粉色</t>
  </si>
  <si>
    <t>MMO-Travel Cages-Crystal Travel Cage White</t>
  </si>
  <si>
    <t>外出笼-水晶外出笼 白色</t>
  </si>
  <si>
    <t>飞碟DIY笼</t>
  </si>
  <si>
    <t>MMO-Travel Cages-XL Garden Travel Cage</t>
  </si>
  <si>
    <t>外出笼-XL花园外出笼</t>
  </si>
  <si>
    <t>PP, ABS, PS</t>
  </si>
  <si>
    <t>①配备小宠日常生活基本起居，轻松实现拎鼠入住
②可通过隧道连接多个笼子，自由组合满足不同需求
③上开门设计，互动置物更方便。</t>
  </si>
  <si>
    <t>仓鼠隧道笼笼子便宜金丝熊透明超大豪华别墅侏儒鼠专用用品</t>
  </si>
  <si>
    <t>配置齐全</t>
  </si>
  <si>
    <t>全景高透</t>
  </si>
  <si>
    <t>通风透气</t>
  </si>
  <si>
    <t>Enlarged Space, Ready for Use</t>
  </si>
  <si>
    <t>External Tunnel Connection</t>
  </si>
  <si>
    <t>Hiding Platform</t>
  </si>
  <si>
    <t>Fully Equipped: Silent Wheel, Water Bottle, Food Bowl</t>
  </si>
  <si>
    <t>RJ714-BL</t>
  </si>
  <si>
    <t>MMO-Travel Cages-XL Garden Travel Cage Blue</t>
  </si>
  <si>
    <t>外出笼-XL花园外出笼 蓝色</t>
  </si>
  <si>
    <t>MMO-Travel Cages-XL Garden Travel Cage Pink</t>
  </si>
  <si>
    <t>外出笼-XL花园外出笼 粉色</t>
  </si>
  <si>
    <t>MMO-Travel Cages-XL Garden Travel Cage White</t>
  </si>
  <si>
    <t>外出笼-XL花园外出笼 白色</t>
  </si>
  <si>
    <t>MMO-Rabbits &amp; Guinea Pigs Supplies-Rabbit Water Bottle 250ML</t>
  </si>
  <si>
    <t>兔用-饮水瓶250ml</t>
  </si>
  <si>
    <t>PP+PET</t>
  </si>
  <si>
    <t>Fine Filtration</t>
  </si>
  <si>
    <t>Dust-Proof &amp; Leak-Proof</t>
  </si>
  <si>
    <t>Smooth Water Flow</t>
  </si>
  <si>
    <t>Pure Sip, No Drip</t>
  </si>
  <si>
    <t>MMO-Rabbits &amp; Guinea Pigs Supplies-Rabbit Water Bottle 500ML</t>
  </si>
  <si>
    <t>兔用-饮水瓶500ml</t>
  </si>
  <si>
    <t>MMO-Rabbits &amp; Guinea Pigs Supplies-Rabbit Water Bottle 750ML</t>
  </si>
  <si>
    <t>兔用-饮水瓶750ml</t>
  </si>
  <si>
    <t>精灵小屋笼</t>
  </si>
  <si>
    <t>MMO-Cages-Cottage Viewing Cage</t>
  </si>
  <si>
    <r>
      <rPr>
        <sz val="8"/>
        <color rgb="FF000000"/>
        <rFont val="宋体-简"/>
        <charset val="134"/>
      </rPr>
      <t>笼子</t>
    </r>
    <r>
      <rPr>
        <sz val="8"/>
        <color rgb="FF000000"/>
        <rFont val="Arial"/>
        <charset val="134"/>
      </rPr>
      <t>-</t>
    </r>
    <r>
      <rPr>
        <sz val="8"/>
        <color rgb="FF000000"/>
        <rFont val="宋体-简"/>
        <charset val="134"/>
      </rPr>
      <t>乡村观景笼</t>
    </r>
  </si>
  <si>
    <t>PSP, PetcoUS, PetcoMX</t>
  </si>
  <si>
    <t>PS, PET, PP</t>
  </si>
  <si>
    <t>①全景高透，无眩光一体注塑工艺，方便观察爱宠一举一动：
②超大前开门，方便日常亲密互动，轻松拿取物品
③房型坡顶，屋顶挑高49cm，可容纳直径30cm的跑轮</t>
  </si>
  <si>
    <t>精灵小屋笼子仓鼠笼豪华别墅金丝熊小仓鼠花枝专用透明造景房子</t>
  </si>
  <si>
    <t>多宠适用</t>
  </si>
  <si>
    <t>防越狱</t>
  </si>
  <si>
    <t>不惧啃咬</t>
  </si>
  <si>
    <t>BPA Free</t>
  </si>
  <si>
    <t>Ample Space to Roam and Play</t>
  </si>
  <si>
    <t>Ultra-Transparent Vision for Close Interaction</t>
  </si>
  <si>
    <t>Side Locks - Remove Lid for Easy Cleaning</t>
  </si>
  <si>
    <t>MINI/MOE ROCKING BIRDHOUSE HIDE 1EA</t>
  </si>
  <si>
    <t>MMO-Functional Hideout-Rocking Birdhouse Hide</t>
  </si>
  <si>
    <t>木制躲避屋-摇摇鸟屋</t>
  </si>
  <si>
    <t>Basswood+felt</t>
  </si>
  <si>
    <t>①不倒翁式摇摇小屋设计，让鼠鼠居住更有趣味
②顶部毛毡，可自由diy，丰富造景
③原木取材，环保使用安全</t>
  </si>
  <si>
    <t>仓鼠躲避屋摇摇小屋造景玩具花枝鼠金丝熊窝房子用品</t>
  </si>
  <si>
    <t>Climbing Fun</t>
  </si>
  <si>
    <t>Cozy Hideaway</t>
  </si>
  <si>
    <t>Habitat Decor</t>
  </si>
  <si>
    <t>Resting Spot</t>
  </si>
  <si>
    <t>升降水壶</t>
  </si>
  <si>
    <t>MMO-Water Bottles-Bubble Water Bottle Green</t>
  </si>
  <si>
    <r>
      <rPr>
        <sz val="8"/>
        <color rgb="FF000000"/>
        <rFont val="宋体-简"/>
        <charset val="134"/>
      </rPr>
      <t>水壶</t>
    </r>
    <r>
      <rPr>
        <sz val="8"/>
        <color rgb="FF000000"/>
        <rFont val="Arial"/>
        <charset val="134"/>
      </rPr>
      <t>-</t>
    </r>
    <r>
      <rPr>
        <sz val="8"/>
        <color rgb="FF000000"/>
        <rFont val="宋体-简"/>
        <charset val="134"/>
      </rPr>
      <t>果果升降水壶</t>
    </r>
    <r>
      <rPr>
        <sz val="8"/>
        <color rgb="FF000000"/>
        <rFont val="Arial"/>
        <charset val="134"/>
      </rPr>
      <t xml:space="preserve"> </t>
    </r>
    <r>
      <rPr>
        <sz val="8"/>
        <color rgb="FF000000"/>
        <rFont val="宋体-简"/>
        <charset val="134"/>
      </rPr>
      <t>绿色</t>
    </r>
  </si>
  <si>
    <t>Pet Supermarket,PetcoMX</t>
  </si>
  <si>
    <t>Glass, ABS, PP</t>
  </si>
  <si>
    <t>Adjustable Height: Set the perfect drinking level</t>
  </si>
  <si>
    <t>Sterilized Glass: Heat-safe, hygienic build</t>
  </si>
  <si>
    <t>MMO-BUBBLE WATER BOTTLE</t>
  </si>
  <si>
    <t>MMO-Water Bottles-Bubble Water Bottle White</t>
  </si>
  <si>
    <t>水壶-果果升降水壶 白色</t>
  </si>
  <si>
    <t>PetcoUS,PSP</t>
  </si>
  <si>
    <t>①出水量适中，畅饮防止呛水
②120ml容量，可供小宠畅饮10天
③内置金属配重加大底座，搭配底部防滑垫，不易翻倒位移</t>
  </si>
  <si>
    <t>果果升降仓鼠水壶食盆饮水器滚珠立式水樽喂水器金丝熊喝水器</t>
  </si>
  <si>
    <t>可调高度</t>
  </si>
  <si>
    <t>高温消毒</t>
  </si>
  <si>
    <t>T-1</t>
  </si>
  <si>
    <t>MMO-PAPER TWIST BLU/WHT</t>
  </si>
  <si>
    <t>麻花纸粒</t>
  </si>
  <si>
    <t>MMO-Bedding-Paper Twists Blueberry Tart</t>
  </si>
  <si>
    <t>垫料-麻花纸粒 蓝莓塔</t>
  </si>
  <si>
    <t>Virgin Wood Pulp</t>
  </si>
  <si>
    <t>Enrichment Play</t>
  </si>
  <si>
    <t>Blue / White</t>
  </si>
  <si>
    <t>MINI/MOE SMALL ANIMAL BEDDING PAPER TWISTS</t>
  </si>
  <si>
    <t>MMO-Bedding-Paper Twists Sea Salt Vanilla</t>
  </si>
  <si>
    <t>垫料-麻花纸粒 海盐香草</t>
  </si>
  <si>
    <t>Brown / White</t>
  </si>
  <si>
    <t>Paper twist brown / white bedding</t>
  </si>
  <si>
    <t>MMO-Bedding-Paper Twists Toasted Caramel</t>
  </si>
  <si>
    <t>垫料-麻花纸粒 焦糖</t>
  </si>
  <si>
    <t>Pet Supermarket，PSP</t>
  </si>
  <si>
    <t>MINI/MOE SMALL ANIMAL BEDDING PAPER TWISTS BUBBLEGUM 1EA</t>
  </si>
  <si>
    <t>MMO-Bedding-Paper Twists Bubblegum</t>
  </si>
  <si>
    <t>垫料-麻花纸粒 泡泡糖</t>
  </si>
  <si>
    <t>Forest Series Hamster Chew Toy &amp; Treat</t>
  </si>
  <si>
    <t>小丛林啃咬</t>
  </si>
  <si>
    <t>MMO-Chewing Toys-Forest Series Hamster Toy &amp; Treat</t>
  </si>
  <si>
    <r>
      <rPr>
        <sz val="8"/>
        <color rgb="FF000000"/>
        <rFont val="宋体-简"/>
        <charset val="134"/>
      </rPr>
      <t>磨牙玩具</t>
    </r>
    <r>
      <rPr>
        <sz val="8"/>
        <color rgb="FF000000"/>
        <rFont val="Arial"/>
        <charset val="134"/>
      </rPr>
      <t>-</t>
    </r>
    <r>
      <rPr>
        <sz val="8"/>
        <color rgb="FF000000"/>
        <rFont val="宋体-简"/>
        <charset val="134"/>
      </rPr>
      <t>森林系列仓鼠磨牙零食玩具</t>
    </r>
  </si>
  <si>
    <t>①适口性好，耐啃咬，让小宠牙齿更健康
②小树可自行拆下，改变布局，方便造景
③底盘也可以作为食碗使用</t>
  </si>
  <si>
    <t>露营丛林仓鼠磨牙零食金丝熊营养小粮食解闷玩具造景</t>
  </si>
  <si>
    <t>帐篷毛毡小屋</t>
  </si>
  <si>
    <t>MMO-Functional Hideout-Camping Tent Hide</t>
  </si>
  <si>
    <t>木制躲避屋-帐篷毛毡小屋</t>
  </si>
  <si>
    <t>PSP, Petsmart, Pet Supermarket,Canada</t>
  </si>
  <si>
    <t>Felt, Birchwood [Birch]</t>
  </si>
  <si>
    <t>①保暖但是不闷热，半包裹适合仓鼠躲藏
②三角结构支撑，仓鼠蹦跶折腾也不易翻倒
③搭配毛毡贴画，可自由diy，趣味十足</t>
  </si>
  <si>
    <t>仓鼠棉窝保暖小睡窝蜜袋鼯毛毡躲避屋金丝熊</t>
  </si>
  <si>
    <t>保暖</t>
  </si>
  <si>
    <t>稳固</t>
  </si>
  <si>
    <t>耐抓</t>
  </si>
  <si>
    <t>Warm Felt Walls</t>
  </si>
  <si>
    <t>Private Retreat</t>
  </si>
  <si>
    <t>Birchwood Frame</t>
  </si>
  <si>
    <t>Scratch-Resistant: Felt walls take the clawing</t>
  </si>
  <si>
    <t>WJ-14</t>
  </si>
  <si>
    <t>Little Devil</t>
  </si>
  <si>
    <t>小恶魔外带笼</t>
  </si>
  <si>
    <t>MMO-Travel Cages-Little Devil Travel Cage Black</t>
  </si>
  <si>
    <t>外出笼-小恶魔外出笼 黑色</t>
  </si>
  <si>
    <t>PS, HIPS, PET, Silicone</t>
  </si>
  <si>
    <t>①趣味造型，搭配硅胶提手，握感舒适，轻松提拎
②加大空间，配备锁扣，出行更安全
③360度全景通透，随时捕捉爱宠萌态，方便记录拍照</t>
  </si>
  <si>
    <t>仓鼠外带笼小恶魔笼子金丝熊用品花枝蜜袋鼯太空舱专用手提包</t>
  </si>
  <si>
    <t>轻便</t>
  </si>
  <si>
    <t>Breathable &amp; Portable</t>
  </si>
  <si>
    <t>Chew-Proof &amp; Escape-Proof</t>
  </si>
  <si>
    <t>Easy to Clean, Built-in Water Bottle &amp; Wheel</t>
  </si>
  <si>
    <t>MMO-Travel Cages-Little Elf Travel Cage 7.17in Purple</t>
  </si>
  <si>
    <t>外出笼-小精灵外出笼18.2cm 紫色</t>
  </si>
  <si>
    <t>Purple</t>
  </si>
  <si>
    <t>MMO-Travel Cages-Little Devil Travel Cage Purple</t>
  </si>
  <si>
    <t>外出笼-小恶魔外出笼 紫色</t>
  </si>
  <si>
    <t>Basswood</t>
  </si>
  <si>
    <t>WJ-39</t>
  </si>
  <si>
    <t>宽面跑轮</t>
  </si>
  <si>
    <t>MMO-Wheels-Silent Crystal Running Wheel XL Green</t>
  </si>
  <si>
    <t>跑轮-宽面跑轮 绿色</t>
  </si>
  <si>
    <t>Pet Supermarket，PSP，Canada</t>
  </si>
  <si>
    <t>ABS, PC</t>
  </si>
  <si>
    <t>①三重防共振，静音轴承搭配梯形加大底座，防滑垫和一体支架
②模拟平地，跑感更舒适，避免鼠鼠长短脚
③全鼠通用超宽跑道，28cm直径尺寸，胖鼠鼠也能伸直脊背</t>
  </si>
  <si>
    <t>加宽跑道</t>
  </si>
  <si>
    <t>大直径</t>
  </si>
  <si>
    <t>MMO-Wheels-Silent Crystal Running Wheel XL Pink</t>
  </si>
  <si>
    <t>跑轮-宽面跑轮 粉色</t>
  </si>
  <si>
    <t>MMO-Wheels-Silent Crystal Running Wheel XL White</t>
  </si>
  <si>
    <t>跑轮-宽面跑轮 白色</t>
  </si>
  <si>
    <t>MMO-Water Bottles-Cloud Water Bottle</t>
  </si>
  <si>
    <t>水壶-云朵饮水瓶</t>
  </si>
  <si>
    <t>PetcoUS, PetcoMX，Canada</t>
  </si>
  <si>
    <t>WJ-43</t>
  </si>
  <si>
    <t>Cheese Shop Hideout - Small</t>
  </si>
  <si>
    <t>奶酪商铺小号</t>
  </si>
  <si>
    <t>MMO-Hide &amp; More-Cheese Shop Hideout Small</t>
  </si>
  <si>
    <t>躲避屋-奶酪商店小号</t>
  </si>
  <si>
    <t>Cooling &amp; Heat Relief</t>
  </si>
  <si>
    <t>Resting &amp; Hiding Spot</t>
  </si>
  <si>
    <t>Stable &amp; Tip-Resistant</t>
  </si>
  <si>
    <t>Spacious Interior</t>
  </si>
  <si>
    <t>MINI/MOE RUFFLE BOWL</t>
  </si>
  <si>
    <t>罗马柱陶瓷碗</t>
  </si>
  <si>
    <t>MMO-Bowls-Ruffle Bowl</t>
  </si>
  <si>
    <t>食具-荷叶边食盆</t>
  </si>
  <si>
    <t>PSP, PetcoUS</t>
  </si>
  <si>
    <t>①倾斜开口设计，碗内10cm大直径开口，避免漏食和洒粮
②分量感十足，大底盘放置稳定，推不翻
③双釉面设计内外光滑，油污不易残留，用水一冲即可干净</t>
  </si>
  <si>
    <t>WJ-9</t>
  </si>
  <si>
    <t>MINI/MOE WOODLAND POTTY</t>
  </si>
  <si>
    <t>小树桩浴室</t>
  </si>
  <si>
    <t>MMO-Potties-Woodland Potty Green</t>
  </si>
  <si>
    <t>厕所-森林厕所 绿色</t>
  </si>
  <si>
    <t>PC, HIPS</t>
  </si>
  <si>
    <t>①全包裹设计，牢牢兜住浴沙，鼠鼠可自由翻滚
②底部防滑凹槽，加大摩擦，不易推到
③磨砂设计更有隐私，鼠鼠自在沐浴如厕</t>
  </si>
  <si>
    <t>仓鼠厕所小树桩浴室两用浴沙盒尿砂盆小金丝熊专用洗澡生活用品</t>
  </si>
  <si>
    <t>防溅</t>
  </si>
  <si>
    <t>防翻</t>
  </si>
  <si>
    <t>一冲即净</t>
  </si>
  <si>
    <t>造景百搭</t>
  </si>
  <si>
    <t>Deep Base for Bedding</t>
  </si>
  <si>
    <t>Reduces Odor</t>
  </si>
  <si>
    <t>Lid Opens for Easy Cleaning</t>
  </si>
  <si>
    <t>MMO-Potties-Woodland Potty White</t>
  </si>
  <si>
    <t>厕所-森林厕所 白色</t>
  </si>
  <si>
    <t>ZM003</t>
  </si>
  <si>
    <t>MINI/MOE SMALL ANIMAL BEDDING PAPER PEBBLES OCEAN BLUE 23LT</t>
  </si>
  <si>
    <t>吸水纸粒</t>
  </si>
  <si>
    <t>MMO-Bedding-Paper Pebbles Blueberry Sorbet</t>
  </si>
  <si>
    <t>垫料-吸水纸粒 蓝莓雪葩</t>
  </si>
  <si>
    <t>Absorbent Cotton</t>
  </si>
  <si>
    <t>High Water Capacity</t>
  </si>
  <si>
    <t>100% Virgin Wood Pulp</t>
  </si>
  <si>
    <t>MMO-PAPER PEBBLES</t>
  </si>
  <si>
    <t>MMO-Bedding-Paper Pebbles Blueberry Cream Medley</t>
  </si>
  <si>
    <t>垫料-吸水纸粒 蓝莓奶油</t>
  </si>
  <si>
    <t>PetcoUS, Pet Supermarket</t>
  </si>
  <si>
    <t>Green / White</t>
  </si>
  <si>
    <t>MMO-Bedding-Paper Pebbles Pistachio Cream Medley</t>
  </si>
  <si>
    <t>垫料-吸水纸粒 开心果奶油</t>
  </si>
  <si>
    <t>Paper straw green bedding</t>
  </si>
  <si>
    <t>游戏纸卷</t>
  </si>
  <si>
    <t>MMO-Bedding-Paper Straw Key Lime Tart</t>
  </si>
  <si>
    <t>垫料-游戏纸条 青柠塔</t>
  </si>
  <si>
    <t>Paper Strip</t>
  </si>
  <si>
    <t>Inquisitive Play</t>
  </si>
  <si>
    <t>Doubles as Play Tunnel</t>
  </si>
  <si>
    <t>Lightweight, Textured Fun</t>
  </si>
  <si>
    <t>Expands to 2.5x</t>
  </si>
  <si>
    <t>ZM005</t>
  </si>
  <si>
    <t>MMO-COTTON NESTING BALLS</t>
  </si>
  <si>
    <t>芋圆棉球</t>
  </si>
  <si>
    <t>MMO-Bedding-Cotton Nesting Balls Blueberry Meringue Puff</t>
  </si>
  <si>
    <t>垫料-芋圆棉球 蓝莓蛋白霜</t>
  </si>
  <si>
    <t>Cozy Warmth</t>
  </si>
  <si>
    <t>Nesting Support</t>
  </si>
  <si>
    <t>100% Absorbent Cotton</t>
  </si>
  <si>
    <t>Multicolor</t>
  </si>
  <si>
    <t>MMO-Bedding-Cotton Nesting Balls Rainbow Parfait Medley</t>
  </si>
  <si>
    <t>垫料-芋圆棉球 彩虹芭菲</t>
  </si>
  <si>
    <t>Pet Supermarket，Canada，PSP</t>
  </si>
  <si>
    <t>MINI/MOE SMALL ANIMAL BEDDING NESTING COTTON BALLS LAV 23LT</t>
  </si>
  <si>
    <t>MMO-Bedding-Cotton Nesting Balls Lavender Blackberry Truffle</t>
  </si>
  <si>
    <t>垫料-芋圆棉球 薰衣草黑莓松露</t>
  </si>
  <si>
    <t>ZM1.2</t>
  </si>
  <si>
    <t>Purple / Blue</t>
  </si>
  <si>
    <t>MINI/MOE SMALL ANIMAL BEDDING PAPER FLAKE LAV FIELD 50LT</t>
  </si>
  <si>
    <t>卡诺纸棉</t>
  </si>
  <si>
    <t>MMO-Bedding-Paper Flake Cotton Candy Swirl</t>
  </si>
  <si>
    <t>垫料-卡诺压缩植棉 棉花糖</t>
  </si>
  <si>
    <t>Soft, Snuggly Build</t>
  </si>
  <si>
    <t>Thermal Warmth</t>
  </si>
  <si>
    <t>Super Absorbent</t>
  </si>
  <si>
    <t>Naturally Hygienic</t>
  </si>
  <si>
    <t>Red / Green</t>
  </si>
  <si>
    <t>MINI/MOE SMALL ANIMAL BEDDING PAPER FLK XMAS CRAN/MATCHA 1EA</t>
  </si>
  <si>
    <t>MMO-Bedding-Paper Flake Xmas Cranberry Matcha</t>
  </si>
  <si>
    <t>垫料-卡诺压缩植棉 圣诞蔓越莓抹茶</t>
  </si>
  <si>
    <t>MMO-Cages-Modern Viewing Cage 80cm</t>
  </si>
  <si>
    <t>笼子-现代观景笼80cm</t>
  </si>
  <si>
    <t>防滴漏</t>
  </si>
  <si>
    <t>厚铺垫</t>
  </si>
  <si>
    <t>MMO-Wheels-Silent Crystal Running Wheel 8.5" Blue</t>
  </si>
  <si>
    <r>
      <rPr>
        <sz val="8"/>
        <color rgb="FF000000"/>
        <rFont val="宋体-简"/>
        <charset val="134"/>
      </rPr>
      <t>跑轮</t>
    </r>
    <r>
      <rPr>
        <sz val="8"/>
        <color rgb="FF000000"/>
        <rFont val="Arial"/>
        <charset val="134"/>
      </rPr>
      <t>-</t>
    </r>
    <r>
      <rPr>
        <sz val="8"/>
        <color rgb="FF000000"/>
        <rFont val="宋体-简"/>
        <charset val="134"/>
      </rPr>
      <t>波波跑轮</t>
    </r>
    <r>
      <rPr>
        <sz val="8"/>
        <color rgb="FF000000"/>
        <rFont val="Arial"/>
        <charset val="134"/>
      </rPr>
      <t>8.5</t>
    </r>
    <r>
      <rPr>
        <sz val="8"/>
        <color rgb="FF000000"/>
        <rFont val="宋体-简"/>
        <charset val="134"/>
      </rPr>
      <t>英寸</t>
    </r>
    <r>
      <rPr>
        <sz val="8"/>
        <color rgb="FF000000"/>
        <rFont val="Arial"/>
        <charset val="134"/>
      </rPr>
      <t xml:space="preserve"> </t>
    </r>
    <r>
      <rPr>
        <sz val="8"/>
        <color rgb="FF000000"/>
        <rFont val="宋体-简"/>
        <charset val="134"/>
      </rPr>
      <t>蓝色</t>
    </r>
  </si>
  <si>
    <t>Clear</t>
  </si>
  <si>
    <t>MMO-Wheels-Silent Crystal Running Wheel 8.5" Clear</t>
  </si>
  <si>
    <t>跑轮-波波跑轮8.5英寸 透明</t>
  </si>
  <si>
    <t>MMO-Wheels-Silent Crystal Running Wheel XL Blue</t>
  </si>
  <si>
    <t>跑轮-宽面跑轮 蓝色</t>
  </si>
  <si>
    <t>MMO-Wooden Hideout-Cheese Shoppe</t>
  </si>
  <si>
    <t>木制躲避屋-奶酪商店</t>
  </si>
  <si>
    <t>空间宽敞</t>
  </si>
  <si>
    <t>Cheese Shop Decor: A playful shopfront for habitat styling</t>
  </si>
  <si>
    <t>Spacious Interior: Roomy enough to stretch and snooze</t>
  </si>
  <si>
    <t>MMO-Water Bottles-Woodland Gravity Water Dish 500ML</t>
  </si>
  <si>
    <t>水壶-森林重力饮水碗500ml</t>
  </si>
  <si>
    <t>重力出水</t>
  </si>
  <si>
    <t>Gravity-Fed Flow: No ball, no clogging</t>
  </si>
  <si>
    <t>MMO-Potties-Classic Potty Pink</t>
  </si>
  <si>
    <t>厕所-经典厕所 粉色</t>
  </si>
  <si>
    <t>PVC</t>
  </si>
  <si>
    <t>MMO-Wooden Hideout-Chocolate Mountain</t>
  </si>
  <si>
    <t>木制躲避屋-巧克力山</t>
  </si>
  <si>
    <t>隧道穿越</t>
  </si>
  <si>
    <t>Tunnel Play: A fun passage to dash and hide in</t>
  </si>
  <si>
    <t>Strawberry Decor: A candy-themed habitat accent</t>
  </si>
  <si>
    <t>Smooth Finish: Hand-sanded, no splinters</t>
  </si>
  <si>
    <t>MMO-Wooden Hideout-Water Bridge</t>
  </si>
  <si>
    <t>木制躲避屋-饮水桥</t>
  </si>
  <si>
    <t>MMO-Wheels-Silent Crystal Running Wheel 6.7" Clear</t>
  </si>
  <si>
    <t>跑轮-波波跑轮6.7英寸 透明</t>
  </si>
  <si>
    <t>PS+acrylic</t>
  </si>
  <si>
    <t>易拆洗</t>
  </si>
  <si>
    <t>耐抓材质</t>
  </si>
  <si>
    <t>稳固可调</t>
  </si>
  <si>
    <t>MMO-Wheels-Silent Crystal Running Wheel 6.7" Blue</t>
  </si>
  <si>
    <t>跑轮-波波跑轮6.7英寸 蓝色</t>
  </si>
  <si>
    <t>MMO-Wooden Hideout-Scuba Ladder</t>
  </si>
  <si>
    <r>
      <rPr>
        <sz val="8"/>
        <color rgb="FF000000"/>
        <rFont val="宋体-简"/>
        <charset val="134"/>
      </rPr>
      <t>木制躲避屋</t>
    </r>
    <r>
      <rPr>
        <sz val="8"/>
        <color rgb="FF000000"/>
        <rFont val="Arial"/>
        <charset val="134"/>
      </rPr>
      <t>-</t>
    </r>
    <r>
      <rPr>
        <sz val="8"/>
        <color rgb="FF000000"/>
        <rFont val="宋体-简"/>
        <charset val="134"/>
      </rPr>
      <t>潜水梯</t>
    </r>
  </si>
  <si>
    <t>波浪造型</t>
  </si>
  <si>
    <t>躲藏休憩</t>
  </si>
  <si>
    <t>Wave Design: A flowing shape that doubles as a hideout</t>
  </si>
  <si>
    <t>Climb &amp; Explore: Gentle curve invites natural climbing</t>
  </si>
  <si>
    <t>MMO-Wooden Hideout-Coral Ladder</t>
  </si>
  <si>
    <t>木制躲避屋-珊瑚梯</t>
  </si>
  <si>
    <t>梯躲二合一</t>
  </si>
  <si>
    <t>Ladder &amp; Hideout: Climb up, then curl up inside</t>
  </si>
  <si>
    <t>CPCJ0100-PL</t>
  </si>
  <si>
    <t>698746777593</t>
  </si>
  <si>
    <r>
      <rPr>
        <sz val="8"/>
        <color rgb="FF000000"/>
        <rFont val="宋体-简"/>
        <charset val="134"/>
      </rPr>
      <t>兔用</t>
    </r>
    <r>
      <rPr>
        <sz val="8"/>
        <color rgb="FF000000"/>
        <rFont val="Arial"/>
        <charset val="134"/>
      </rPr>
      <t>-</t>
    </r>
    <r>
      <rPr>
        <sz val="8"/>
        <color rgb="FF000000"/>
        <rFont val="宋体-简"/>
        <charset val="134"/>
      </rPr>
      <t>郁金香兔草架</t>
    </r>
  </si>
  <si>
    <t>CPDB34001WH</t>
  </si>
  <si>
    <t>航线秋千</t>
  </si>
  <si>
    <t>木制躲避屋-航线秋千</t>
  </si>
  <si>
    <t>Birchwood</t>
  </si>
  <si>
    <t>①躲避秋千二合一，多种玩法拓展活动空间
②优选安心椴木，耐磨耐啃，白净无霉斑，无刺鼻气味，打磨光滑无毛刺
③创意造型，造景更出片</t>
  </si>
  <si>
    <t>仓鼠躲避屋爬梯水壶造景玩具金丝熊蜜袋鼯窝房子夏天吊床用品</t>
  </si>
  <si>
    <t>创意造型</t>
  </si>
  <si>
    <t>安心木材</t>
  </si>
  <si>
    <t>全包裹遮光</t>
  </si>
  <si>
    <t>光滑无毛刺</t>
  </si>
  <si>
    <t>Safe Birchwood: Smooth-sanded, splinter-free</t>
  </si>
  <si>
    <t>Light-Blocking Den: Fully enclosed for deeper rest</t>
  </si>
  <si>
    <t>CPDB34002WH</t>
  </si>
  <si>
    <t>音像室</t>
  </si>
  <si>
    <t>木制躲避屋-音像室</t>
  </si>
  <si>
    <t>Birchwood [Birch]</t>
  </si>
  <si>
    <t>①鼠鼠安心躲藏，全包裹遮光设计，搭配前开洞口
②优选安心椴木，耐磨耐啃，白净无霉斑，无刺鼻气味，打磨光滑无毛刺
③创意造型，造景更出片</t>
  </si>
  <si>
    <t>CPDB34003WH</t>
  </si>
  <si>
    <t>营地</t>
  </si>
  <si>
    <t>木制躲避屋-营地</t>
  </si>
  <si>
    <t>①插花、种菜、做食碗可随意搭配，满足多样DIY需求
②优选安心椴木，耐磨耐啃，白净无霉斑，无刺鼻气味，打磨光滑无毛刺
③创意造型，造景更出片</t>
  </si>
  <si>
    <t>CPPJ129000WH-22</t>
  </si>
  <si>
    <t>小木屋跑轮支架+BOBO22跑轮（8.6in）</t>
  </si>
  <si>
    <r>
      <rPr>
        <sz val="8"/>
        <color rgb="FF000000"/>
        <rFont val="宋体-简"/>
        <charset val="134"/>
      </rPr>
      <t>跑轮-小木屋跑轮支架</t>
    </r>
    <r>
      <rPr>
        <sz val="8"/>
        <color rgb="FF000000"/>
        <rFont val="Arial"/>
        <charset val="134"/>
      </rPr>
      <t>+BOBO22</t>
    </r>
    <r>
      <rPr>
        <sz val="8"/>
        <color rgb="FF000000"/>
        <rFont val="宋体-简"/>
        <charset val="134"/>
      </rPr>
      <t>跑轮（</t>
    </r>
    <r>
      <rPr>
        <sz val="8"/>
        <color rgb="FF000000"/>
        <rFont val="Arial"/>
        <charset val="134"/>
      </rPr>
      <t>8.6in</t>
    </r>
    <r>
      <rPr>
        <sz val="8"/>
        <color rgb="FF000000"/>
        <rFont val="宋体-简"/>
        <charset val="134"/>
      </rPr>
      <t>）</t>
    </r>
  </si>
  <si>
    <t>①躲避跑轮2合1，锻炼玩耍兼具休憩躲藏，更省空间
②一掀就能清理，无惧掏窝难题，无底设计，不积垃圾
③打磨光滑，无毛刺不伤鼠</t>
  </si>
  <si>
    <t>仓鼠跑轮支架躲避二合一金丝熊花枝专用运动造景解闷玩具用品</t>
  </si>
  <si>
    <t>躲避跑轮二合一</t>
  </si>
  <si>
    <t>方便清理</t>
  </si>
  <si>
    <t>百搭造景</t>
  </si>
  <si>
    <t>Hide &amp; Run: Hideout and wheel in one</t>
  </si>
  <si>
    <t>Lift-to-Clean: Open-top design, no digging required</t>
  </si>
  <si>
    <t>Mix &amp; Match: Pairs with any colorway</t>
  </si>
  <si>
    <t>CPPJ130000WH-22</t>
  </si>
  <si>
    <t>小花园跑轮支架+BOBO22跑轮（8.6in）</t>
  </si>
  <si>
    <r>
      <rPr>
        <sz val="8"/>
        <color rgb="FF000000"/>
        <rFont val="宋体-简"/>
        <charset val="134"/>
      </rPr>
      <t>跑轮-小花园跑轮支架</t>
    </r>
    <r>
      <rPr>
        <sz val="8"/>
        <color rgb="FF000000"/>
        <rFont val="Arial"/>
        <charset val="134"/>
      </rPr>
      <t>+BOBO22</t>
    </r>
    <r>
      <rPr>
        <sz val="8"/>
        <color rgb="FF000000"/>
        <rFont val="宋体-简"/>
        <charset val="134"/>
      </rPr>
      <t>跑轮（</t>
    </r>
    <r>
      <rPr>
        <sz val="8"/>
        <color rgb="FF000000"/>
        <rFont val="Arial"/>
        <charset val="134"/>
      </rPr>
      <t>8.6in</t>
    </r>
    <r>
      <rPr>
        <sz val="8"/>
        <color rgb="FF000000"/>
        <rFont val="宋体-简"/>
        <charset val="134"/>
      </rPr>
      <t>）</t>
    </r>
  </si>
  <si>
    <t>①可根据笼内空间，随心调节高度，稳固不易滑落
②原木花朵造型很百搭，搭配任意色系跑轮都好看
③打磨光滑，无毛刺不伤鼠</t>
  </si>
  <si>
    <t>高度可调节</t>
  </si>
  <si>
    <t>底座稳固</t>
  </si>
  <si>
    <t>打磨光滑</t>
  </si>
  <si>
    <t>Adjustable Height</t>
  </si>
  <si>
    <t>Sturdy Base</t>
  </si>
  <si>
    <t>CPSH52001WH</t>
  </si>
  <si>
    <t>云朵撞针水壶-250ml(8.5fl oz)</t>
  </si>
  <si>
    <r>
      <rPr>
        <sz val="8"/>
        <color rgb="FF000000"/>
        <rFont val="宋体-简"/>
        <charset val="134"/>
      </rPr>
      <t>水壶-云朵撞针水壶</t>
    </r>
    <r>
      <rPr>
        <sz val="8"/>
        <color rgb="FF000000"/>
        <rFont val="Arial"/>
        <charset val="134"/>
      </rPr>
      <t>-250ml(8.5fl oz)</t>
    </r>
  </si>
  <si>
    <t>PP, ABS, Copper, Polyester, Alloy</t>
  </si>
  <si>
    <t>①360°轻触出水，鸟宝一用就会，无需仰头，保护脊椎
②双重控水设计，防漏硅胶圈+自锁弹簧，不滴不漏不卡水
③拆装简单，清洗不费力，没有复杂零件，一冲即净无死角</t>
  </si>
  <si>
    <t>鹦鹉饮水器食盒小鸟撞针水壶鸽子虎皮外置自动喂水鸟用品大全</t>
  </si>
  <si>
    <t>干净鲜活</t>
  </si>
  <si>
    <t>清洗方便</t>
  </si>
  <si>
    <t>轻触出水</t>
  </si>
  <si>
    <t>不滴不漏</t>
  </si>
  <si>
    <t>Fresh &amp; Clean Water</t>
  </si>
  <si>
    <t>Easy to Clean: Rinses clean with no hidden corners</t>
  </si>
  <si>
    <t>Touch-to-Drink: 360° pin activates with a light touch</t>
  </si>
  <si>
    <t>Leak-Proof &amp; Drip-Free</t>
  </si>
  <si>
    <t>CPSH52002WH</t>
  </si>
  <si>
    <t>云朵撞针水壶-400ml(13.5fl oz)</t>
  </si>
  <si>
    <r>
      <rPr>
        <sz val="8"/>
        <color rgb="FF000000"/>
        <rFont val="宋体-简"/>
        <charset val="134"/>
      </rPr>
      <t>水壶-云朵撞针水壶</t>
    </r>
    <r>
      <rPr>
        <sz val="8"/>
        <color rgb="FF000000"/>
        <rFont val="Arial"/>
        <charset val="134"/>
      </rPr>
      <t>-400ml(13.5fl oz)</t>
    </r>
  </si>
  <si>
    <t>①400ml升级大容量，畅饮30天不用加水，养鸟省心
②360°轻触出水，鸟宝一用就会，无需仰头，保护脊椎
③双重控水设计，防漏硅胶圈+自锁弹簧，不滴不漏不卡水</t>
  </si>
  <si>
    <t>Large Capacity: 400 ml, up to 30 days</t>
  </si>
  <si>
    <t>CPSL33000WH</t>
  </si>
  <si>
    <t>大电视</t>
  </si>
  <si>
    <t>笼子-大电视</t>
  </si>
  <si>
    <t>PC, PET, PP, HIPS, Silicone, Stainless Steel</t>
  </si>
  <si>
    <t>①73cm大空间别墅，鼠鼠活动区域宽敞不憋闷
②约能承重2个成人体重，叠笼5年也不裂顶
③不易氧化，久用不泛黄，清晰度高</t>
  </si>
  <si>
    <t>大电视观景仓鼠笼子金丝熊笼豪华大别墅透明73基鼠笼专用用品</t>
  </si>
  <si>
    <t>大空间</t>
  </si>
  <si>
    <t>承重强</t>
  </si>
  <si>
    <t>久用不泛黄</t>
  </si>
  <si>
    <t>Room to Roam: 3.8 sq ft of floor space</t>
  </si>
  <si>
    <t>Heavy-Duty Build: Holds two adults, stack-safe</t>
  </si>
  <si>
    <t>Chew-Resistant: Made for daily gnawing</t>
  </si>
  <si>
    <t>Crystal-Clear Panels: Won't yellow over time</t>
  </si>
  <si>
    <t>CPSL38002WH</t>
  </si>
  <si>
    <t>850081655428</t>
  </si>
  <si>
    <t>Max Viewing Cage 39 in (100 cm)</t>
  </si>
  <si>
    <t>芝士笼Pro-100cm(39in)</t>
  </si>
  <si>
    <r>
      <rPr>
        <sz val="8"/>
        <color rgb="FF000000"/>
        <rFont val="宋体-简"/>
        <charset val="134"/>
      </rPr>
      <t>笼子-芝士笼</t>
    </r>
    <r>
      <rPr>
        <sz val="8"/>
        <color rgb="FF000000"/>
        <rFont val="Arial"/>
        <charset val="134"/>
      </rPr>
      <t>Pro-100cm(39in)</t>
    </r>
  </si>
  <si>
    <t>PVC, ABS, PP, PMMA, Silicone</t>
  </si>
  <si>
    <t>①15分钟搞定安装，重量仅市面同尺寸笼具50%
②跑轮狂飙也不共振，浅眠党也能在卧室养宠
③360°高透全景笼，让观赏不再雾蒙蒙</t>
  </si>
  <si>
    <t>仓鼠笼子超大豪华别墅亚克力透明蜜袋鼯金丝熊专用笼便宜大的</t>
  </si>
  <si>
    <t>安装轻松</t>
  </si>
  <si>
    <t>防止共振</t>
  </si>
  <si>
    <t>自带万向轮</t>
  </si>
  <si>
    <t>Easy Lift: 50% lighter than comparable cages</t>
  </si>
  <si>
    <t>Smooth Glide: Rolls easily</t>
  </si>
  <si>
    <t>Room to Roam: 5.5 ft² of running area</t>
  </si>
  <si>
    <t>Anti-Resonance: Stays still even at full speed</t>
  </si>
  <si>
    <t>CPSL39000WH</t>
  </si>
  <si>
    <t>Double Door Grand Cage 30 in (76.5 cm)</t>
  </si>
  <si>
    <t>很能装-75cm(29.5in)</t>
  </si>
  <si>
    <r>
      <rPr>
        <sz val="8"/>
        <color rgb="FF000000"/>
        <rFont val="宋体-简"/>
        <charset val="134"/>
      </rPr>
      <t>笼子-很能装</t>
    </r>
    <r>
      <rPr>
        <sz val="8"/>
        <color rgb="FF000000"/>
        <rFont val="Arial"/>
        <charset val="134"/>
      </rPr>
      <t>-75cm(29.5in)</t>
    </r>
  </si>
  <si>
    <t>PET, PP, HIPS, Silicone, Stainless Steel</t>
  </si>
  <si>
    <t>①75cm加大空间，各种家具随心布局
②加厚一体成型，啃咬磕碰无惧留痕
③高透PET材质，超清观赏鼠鼠萌态</t>
  </si>
  <si>
    <t>75很能装仓鼠笼子金丝熊透明豪华超大别墅</t>
  </si>
  <si>
    <t>加厚无缝</t>
  </si>
  <si>
    <t>高透清晰</t>
  </si>
  <si>
    <t>双开设计</t>
  </si>
  <si>
    <t>Dual-Door Access: No More Squeezing Your Arm Through a Tiny Hatch</t>
  </si>
  <si>
    <t>Tool-Free Quick Clean: Snaps Apart in Seconds</t>
  </si>
  <si>
    <t>Plenty of Room: No More Disappointment When Your Wheel Doesn't Fit</t>
  </si>
  <si>
    <t>Crystal-Clear View: High-transparency panels, no fogging</t>
  </si>
  <si>
    <t>CPSL39000YE</t>
  </si>
  <si>
    <t>芋泥甜筒单层冰窝</t>
  </si>
  <si>
    <r>
      <rPr>
        <sz val="8"/>
        <color rgb="FF000000"/>
        <rFont val="宋体-简"/>
        <charset val="134"/>
      </rPr>
      <t>躲避屋</t>
    </r>
    <r>
      <rPr>
        <sz val="8"/>
        <color rgb="FF000000"/>
        <rFont val="Arial"/>
        <charset val="134"/>
      </rPr>
      <t>-</t>
    </r>
    <r>
      <rPr>
        <sz val="8"/>
        <color rgb="FF000000"/>
        <rFont val="宋体-简"/>
        <charset val="134"/>
      </rPr>
      <t>芋泥甜筒单层冰窝</t>
    </r>
  </si>
  <si>
    <t>①萌趣造型吸睛，宽敞空间，鼠鼠自由进出，舒适躺卧
②窝体厚重，底盘扎实，防翻防位移，不怕鼠崽拆家折腾
③日常使用无惧高温，夏日纵享持久清凉</t>
  </si>
  <si>
    <t>仓鼠陶瓷冰窝躲避屋造景房子金丝熊碗水樽饮水器夏季降温专用</t>
  </si>
  <si>
    <t>萌趣造型</t>
  </si>
  <si>
    <t>耐啃防翻</t>
  </si>
  <si>
    <t>降温消暑</t>
  </si>
  <si>
    <t>Playful Design</t>
  </si>
  <si>
    <t>Chew-Proof &amp; Tip-Resistant</t>
  </si>
  <si>
    <t>Rinses Clean</t>
  </si>
  <si>
    <t>CPSL50000WH</t>
  </si>
  <si>
    <t>牛奶芝士陶瓷碗</t>
  </si>
  <si>
    <r>
      <rPr>
        <sz val="8"/>
        <color rgb="FF000000"/>
        <rFont val="宋体-简"/>
        <charset val="134"/>
      </rPr>
      <t>食具</t>
    </r>
    <r>
      <rPr>
        <sz val="8"/>
        <color rgb="FF000000"/>
        <rFont val="Arial"/>
        <charset val="134"/>
      </rPr>
      <t>-</t>
    </r>
    <r>
      <rPr>
        <sz val="8"/>
        <color rgb="FF000000"/>
        <rFont val="宋体-简"/>
        <charset val="134"/>
      </rPr>
      <t>牛奶芝士陶瓷碗</t>
    </r>
  </si>
  <si>
    <t>①加大加宽，宽敞大空间，侏儒、金丝熊、蜥蜴都爱睡
②优质陶瓷，安全好清洗，一冲即净
③釉下彩绘更安全，严苛品控，硬度高经久耐用</t>
  </si>
  <si>
    <t>仓鼠躲避屋夏天金丝熊冰陶瓷窝食盆玩具降温冰垫两用食碗大号</t>
  </si>
  <si>
    <t>釉下彩绘</t>
  </si>
  <si>
    <t>躺卧自如</t>
  </si>
  <si>
    <t>Exquisite Hand-Painted Glaze</t>
  </si>
  <si>
    <t>Roomy Enough to Lounge</t>
  </si>
  <si>
    <t>CPSP17000-WH</t>
  </si>
  <si>
    <t>698746776749</t>
  </si>
  <si>
    <t>食具-芝吱食碗</t>
  </si>
  <si>
    <t>CPSP35000YE</t>
  </si>
  <si>
    <t>甜筒食碗</t>
  </si>
  <si>
    <t>食具-甜筒食碗</t>
  </si>
  <si>
    <t>①一物两用，躲避+食碗二合一
②陶瓷材质，安全好清洗，一冲即净
③窝体厚重，底盘扎实，防翻防位移</t>
  </si>
  <si>
    <t>一物两用</t>
  </si>
  <si>
    <t>Two-in-One: Bowl and hideout in one</t>
  </si>
  <si>
    <t>CPSP43000GN</t>
  </si>
  <si>
    <t>芝士陶瓷锅</t>
  </si>
  <si>
    <t>食具-芝士陶瓷锅</t>
  </si>
  <si>
    <t>①1“锅”4用，陶瓷窝+降温层+食盆+浴室
②陶瓷材质，搭配冰块、冰盒，凉爽降温，再也不怕鼠鼠中暑
③方便清洗，一冲即净，干净无死角</t>
  </si>
  <si>
    <t>一物三用</t>
  </si>
  <si>
    <t>Multi-Use: Hideout, cooling pad, bowl and bath</t>
  </si>
  <si>
    <t>CPWJ19600</t>
  </si>
  <si>
    <t>波波跑轮Pro-22cm(8.6in)</t>
  </si>
  <si>
    <r>
      <rPr>
        <sz val="8"/>
        <color rgb="FF000000"/>
        <rFont val="宋体-简"/>
        <charset val="134"/>
      </rPr>
      <t>跑轮</t>
    </r>
    <r>
      <rPr>
        <sz val="8"/>
        <color rgb="FF000000"/>
        <rFont val="Arial"/>
        <charset val="134"/>
      </rPr>
      <t>-</t>
    </r>
    <r>
      <rPr>
        <sz val="8"/>
        <color rgb="FF000000"/>
        <rFont val="宋体-简"/>
        <charset val="134"/>
      </rPr>
      <t>波波跑轮</t>
    </r>
    <r>
      <rPr>
        <sz val="8"/>
        <color rgb="FF000000"/>
        <rFont val="Arial"/>
        <charset val="134"/>
      </rPr>
      <t>Pro-22cm(8.6in)</t>
    </r>
  </si>
  <si>
    <t>CPWJ216002YE</t>
  </si>
  <si>
    <t>陶瓷沙发椅</t>
  </si>
  <si>
    <r>
      <rPr>
        <sz val="8"/>
        <color rgb="FF000000"/>
        <rFont val="宋体-简"/>
        <charset val="134"/>
      </rPr>
      <t>躲避屋</t>
    </r>
    <r>
      <rPr>
        <sz val="8"/>
        <color rgb="FF000000"/>
        <rFont val="Arial"/>
        <charset val="134"/>
      </rPr>
      <t>-</t>
    </r>
    <r>
      <rPr>
        <sz val="8"/>
        <color rgb="FF000000"/>
        <rFont val="宋体-简"/>
        <charset val="134"/>
      </rPr>
      <t>陶瓷沙发椅</t>
    </r>
  </si>
  <si>
    <t>①鼠鼠牌豪华大沙发，加宽加大，金丝熊也可用
②陶瓷材质，清凉消暑，适合夏天使用
③方便清洗，一冲即净，干净无死角</t>
  </si>
  <si>
    <t>仓鼠冰垫夏天陶瓷降温造景用品散热板金丝熊专用沙发凉席冰屋</t>
  </si>
  <si>
    <t>清凉消暑</t>
  </si>
  <si>
    <t>沙发造型</t>
  </si>
  <si>
    <t>加宽加大</t>
  </si>
  <si>
    <t>舒适躺卧</t>
  </si>
  <si>
    <t>Sofa-Shaped Design</t>
  </si>
  <si>
    <t>Wider &amp; Roomier</t>
  </si>
  <si>
    <t>Comfy Lounging</t>
  </si>
  <si>
    <t>LT-7-GN</t>
  </si>
  <si>
    <t>850062627543</t>
  </si>
  <si>
    <t>Flower Water Bottle 16.9 fl oz (500 ml)</t>
  </si>
  <si>
    <r>
      <rPr>
        <sz val="8"/>
        <color rgb="FF000000"/>
        <rFont val="宋体-简"/>
        <charset val="134"/>
      </rPr>
      <t>水壶-花花水壶</t>
    </r>
    <r>
      <rPr>
        <sz val="8"/>
        <color rgb="FF000000"/>
        <rFont val="Arial"/>
        <charset val="134"/>
      </rPr>
      <t>500ML</t>
    </r>
  </si>
  <si>
    <t>LT-7-WH</t>
  </si>
  <si>
    <t>850062627536</t>
  </si>
  <si>
    <t>RJ122-MT</t>
  </si>
  <si>
    <t>698746777609</t>
  </si>
  <si>
    <t>Mint</t>
  </si>
  <si>
    <t>Rabbit Hay &amp; Food Combo Feeder</t>
  </si>
  <si>
    <r>
      <rPr>
        <sz val="8"/>
        <color rgb="FF000000"/>
        <rFont val="宋体-简"/>
        <charset val="134"/>
      </rPr>
      <t>食具-小宠物</t>
    </r>
    <r>
      <rPr>
        <sz val="8"/>
        <color rgb="FF000000"/>
        <rFont val="Arial"/>
        <charset val="134"/>
      </rPr>
      <t>2</t>
    </r>
    <r>
      <rPr>
        <sz val="8"/>
        <color rgb="FF000000"/>
        <rFont val="宋体-简"/>
        <charset val="134"/>
      </rPr>
      <t>合</t>
    </r>
    <r>
      <rPr>
        <sz val="8"/>
        <color rgb="FF000000"/>
        <rFont val="Arial"/>
        <charset val="134"/>
      </rPr>
      <t>1</t>
    </r>
    <r>
      <rPr>
        <sz val="8"/>
        <color rgb="FF000000"/>
        <rFont val="宋体-简"/>
        <charset val="134"/>
      </rPr>
      <t>固定草架食盒</t>
    </r>
  </si>
  <si>
    <t>S-2</t>
  </si>
  <si>
    <t>Bath Sand</t>
  </si>
  <si>
    <t>抖音浴沙1kg(2.2lbs)</t>
  </si>
  <si>
    <r>
      <rPr>
        <sz val="8"/>
        <color rgb="FF000000"/>
        <rFont val="宋体-简"/>
        <charset val="134"/>
      </rPr>
      <t>浴沙</t>
    </r>
    <r>
      <rPr>
        <sz val="8"/>
        <color rgb="FF000000"/>
        <rFont val="Arial"/>
        <charset val="134"/>
      </rPr>
      <t>-</t>
    </r>
    <r>
      <rPr>
        <sz val="8"/>
        <color rgb="FF000000"/>
        <rFont val="宋体-简"/>
        <charset val="134"/>
      </rPr>
      <t>抖音浴沙</t>
    </r>
    <r>
      <rPr>
        <sz val="8"/>
        <color rgb="FF000000"/>
        <rFont val="Arial"/>
        <charset val="134"/>
      </rPr>
      <t>1kg(2.2lbs)</t>
    </r>
  </si>
  <si>
    <t>Natural Silica Sand</t>
  </si>
  <si>
    <t>①天然硅砂，拒绝化学添加，不含杂志，使用0顾虑
②吸附体表多余油脂，温和清洁肌肤，蓬松毛发
③0.1mm颗粒直径，细腻不扬尘，呵护爱鼠呼吸道健康</t>
  </si>
  <si>
    <t>仓鼠浴沙尿沙二合一垫料尿砂宠物除臭垫料金丝熊厕所必备用品</t>
  </si>
  <si>
    <t>天然硅砂</t>
  </si>
  <si>
    <t>轻松去油</t>
  </si>
  <si>
    <t>细腻低尘</t>
  </si>
  <si>
    <t>温和清洁</t>
  </si>
  <si>
    <t>100% Natural Silica Sand</t>
  </si>
  <si>
    <t>Absorbs Excess Oils</t>
  </si>
  <si>
    <t>Ultra-Fine &amp; Low-Dust</t>
  </si>
  <si>
    <t>Gentle, Chemical-Free Clean</t>
  </si>
  <si>
    <t>WJ-4-WT</t>
  </si>
  <si>
    <t>850030338112</t>
  </si>
  <si>
    <t>Cloud Water Bottle 16.9 fl oz (500 ml)</t>
  </si>
  <si>
    <t>气球花水壶</t>
  </si>
  <si>
    <t>水壶-气球花水壶</t>
  </si>
  <si>
    <t>①双滚珠设计，可轻松控制出水量及出水频率，防止呛水
②螺旋挂扣设计，加固稳定，适配市面上大多数笼子
③全身可拆分设计，内壁光滑易清理，守护健康</t>
  </si>
  <si>
    <t>兔子饮水器水壶自动滚珠气球花龙猫喂食器花朵形状</t>
  </si>
  <si>
    <t>WJ-14-PL</t>
  </si>
  <si>
    <t>850081655367</t>
  </si>
  <si>
    <t>Little Elf</t>
  </si>
  <si>
    <t>Little Devil Travel Cage 7.17 in (18.2 cm)</t>
  </si>
  <si>
    <r>
      <rPr>
        <sz val="8"/>
        <color rgb="FF000000"/>
        <rFont val="宋体-简"/>
        <charset val="134"/>
      </rPr>
      <t>外出笼</t>
    </r>
    <r>
      <rPr>
        <sz val="8"/>
        <color rgb="FF000000"/>
        <rFont val="Arial"/>
        <charset val="134"/>
      </rPr>
      <t>-</t>
    </r>
    <r>
      <rPr>
        <sz val="8"/>
        <color rgb="FF000000"/>
        <rFont val="宋体-简"/>
        <charset val="134"/>
      </rPr>
      <t>小恶魔外带笼</t>
    </r>
  </si>
  <si>
    <t>WJ-39-WH</t>
  </si>
  <si>
    <t>Whisper-Quiet Wide Running Wheel 11 in (28 cm)</t>
  </si>
  <si>
    <r>
      <rPr>
        <sz val="8"/>
        <color rgb="FF000000"/>
        <rFont val="宋体-简"/>
        <charset val="134"/>
      </rPr>
      <t>跑轮</t>
    </r>
    <r>
      <rPr>
        <sz val="8"/>
        <color rgb="FF000000"/>
        <rFont val="Arial"/>
        <charset val="134"/>
      </rPr>
      <t>-</t>
    </r>
    <r>
      <rPr>
        <sz val="8"/>
        <color rgb="FF000000"/>
        <rFont val="宋体-简"/>
        <charset val="134"/>
      </rPr>
      <t>宽面跑轮</t>
    </r>
  </si>
  <si>
    <t>CFLS114000GN</t>
  </si>
  <si>
    <t>Sweet Shop Chew Toy</t>
  </si>
  <si>
    <t>甜品派对磨牙零食</t>
  </si>
  <si>
    <t>磨牙玩具-甜品派对磨牙零食</t>
  </si>
  <si>
    <t>Alfalfa, Corn Starch, Crushed Soybean, Timothy Hay, Potassium Sorbate (preservative)</t>
  </si>
  <si>
    <t>CPDB25003YE</t>
  </si>
  <si>
    <t>Loft Playhouse Hideout with Slide</t>
  </si>
  <si>
    <t>乡间日记-阁楼滑梯房</t>
  </si>
  <si>
    <r>
      <rPr>
        <sz val="8"/>
        <color rgb="FF000000"/>
        <rFont val="宋体-简"/>
        <charset val="134"/>
      </rPr>
      <t>木制躲避屋-乡间日记</t>
    </r>
    <r>
      <rPr>
        <sz val="8"/>
        <color rgb="FF000000"/>
        <rFont val="Arial"/>
        <charset val="134"/>
      </rPr>
      <t>-</t>
    </r>
    <r>
      <rPr>
        <sz val="8"/>
        <color rgb="FF000000"/>
        <rFont val="宋体-简"/>
        <charset val="134"/>
      </rPr>
      <t>阁楼滑梯房</t>
    </r>
  </si>
  <si>
    <t>CPDB25005YE</t>
  </si>
  <si>
    <t>Two-Room Cloud Cottage Hideout</t>
  </si>
  <si>
    <t>乡间日记-露营多居室-小号</t>
  </si>
  <si>
    <r>
      <rPr>
        <sz val="8"/>
        <color rgb="FF000000"/>
        <rFont val="宋体-简"/>
        <charset val="134"/>
      </rPr>
      <t>木制躲避屋-乡间日记</t>
    </r>
    <r>
      <rPr>
        <sz val="8"/>
        <color rgb="FF000000"/>
        <rFont val="Arial"/>
        <charset val="134"/>
      </rPr>
      <t>-</t>
    </r>
    <r>
      <rPr>
        <sz val="8"/>
        <color rgb="FF000000"/>
        <rFont val="宋体-简"/>
        <charset val="134"/>
      </rPr>
      <t>露营多居室</t>
    </r>
    <r>
      <rPr>
        <sz val="8"/>
        <color rgb="FF000000"/>
        <rFont val="Arial"/>
        <charset val="134"/>
      </rPr>
      <t>-</t>
    </r>
    <r>
      <rPr>
        <sz val="8"/>
        <color rgb="FF000000"/>
        <rFont val="宋体-简"/>
        <charset val="134"/>
      </rPr>
      <t>小号</t>
    </r>
  </si>
  <si>
    <t>CPWJ149000BN</t>
  </si>
  <si>
    <t>Bendable Woodland Fence</t>
  </si>
  <si>
    <t>小森林围栏</t>
  </si>
  <si>
    <t>隔板-小森林围栏</t>
  </si>
  <si>
    <t>Birchwood [Birch], Metal Wire Core</t>
  </si>
  <si>
    <t>CPDB61002RD</t>
  </si>
  <si>
    <t>Meadow Cottage Hideout</t>
  </si>
  <si>
    <t>红砖小木屋</t>
  </si>
  <si>
    <t>木制躲避屋-红砖小木屋</t>
  </si>
  <si>
    <t>CPDB61001RD</t>
  </si>
  <si>
    <t>Backyard Platform</t>
  </si>
  <si>
    <t>乡间露台</t>
  </si>
  <si>
    <t>木制躲避屋-乡间露台</t>
  </si>
  <si>
    <t>CPDB61003RD</t>
  </si>
  <si>
    <t>3-Tier Leafy Climbing Toy</t>
  </si>
  <si>
    <t>树叶爬梯</t>
  </si>
  <si>
    <t>木制躲避屋-树叶爬梯</t>
  </si>
  <si>
    <t>CPWJ183002WH</t>
  </si>
  <si>
    <t>Round Platform</t>
  </si>
  <si>
    <t>空间平台-冰川白</t>
  </si>
  <si>
    <r>
      <rPr>
        <sz val="8"/>
        <color rgb="FF000000"/>
        <rFont val="宋体-简"/>
        <charset val="134"/>
      </rPr>
      <t>躲避屋</t>
    </r>
    <r>
      <rPr>
        <sz val="8"/>
        <color rgb="FF000000"/>
        <rFont val="Arial"/>
        <charset val="134"/>
      </rPr>
      <t>-</t>
    </r>
    <r>
      <rPr>
        <sz val="8"/>
        <color rgb="FF000000"/>
        <rFont val="宋体-简"/>
        <charset val="134"/>
      </rPr>
      <t>空间平台</t>
    </r>
    <r>
      <rPr>
        <sz val="8"/>
        <color rgb="FF000000"/>
        <rFont val="Arial"/>
        <charset val="134"/>
      </rPr>
      <t>-</t>
    </r>
    <r>
      <rPr>
        <sz val="8"/>
        <color rgb="FF000000"/>
        <rFont val="宋体-简"/>
        <charset val="134"/>
      </rPr>
      <t>冰川白</t>
    </r>
  </si>
  <si>
    <t>HIPS</t>
  </si>
  <si>
    <t>CPSH55000BK</t>
  </si>
  <si>
    <t>路灯水壶站立款-棕色（普通款）-170ml(5.8fl oz)</t>
  </si>
  <si>
    <r>
      <rPr>
        <sz val="8"/>
        <color rgb="FF000000"/>
        <rFont val="宋体-简"/>
        <charset val="134"/>
      </rPr>
      <t>水壶-路灯水壶站立款</t>
    </r>
    <r>
      <rPr>
        <sz val="8"/>
        <color rgb="FF000000"/>
        <rFont val="Arial"/>
        <charset val="134"/>
      </rPr>
      <t>-</t>
    </r>
    <r>
      <rPr>
        <sz val="8"/>
        <color rgb="FF000000"/>
        <rFont val="宋体-简"/>
        <charset val="134"/>
      </rPr>
      <t>棕色（普通款）</t>
    </r>
    <r>
      <rPr>
        <sz val="8"/>
        <color rgb="FF000000"/>
        <rFont val="Arial"/>
        <charset val="134"/>
      </rPr>
      <t>-170ml(5.8fl oz)</t>
    </r>
  </si>
  <si>
    <t>PP, HIPS, PC, Stainless Steel, Silicone, Plastic</t>
  </si>
  <si>
    <t>①稳固底座，胖鼠扒拉不位移，无惧侧翻打湿垫料
②定制护颈高度，鼠鼠喝水无需歪头，颈椎不再受累
③拆装10秒搞定，清洁不费劲随时开灯关灯</t>
  </si>
  <si>
    <t>稳固防打翻</t>
  </si>
  <si>
    <t>护颈高度</t>
  </si>
  <si>
    <t>随时开关灯</t>
  </si>
  <si>
    <t>Tip-Resistant Base</t>
  </si>
  <si>
    <t>Neck-Friendly Height</t>
  </si>
  <si>
    <t>Light On/Off Anytime</t>
  </si>
  <si>
    <t>CPSH56000PK</t>
  </si>
  <si>
    <t>newsku001</t>
  </si>
  <si>
    <t>芝士笼Pro-120cm(47in)</t>
  </si>
  <si>
    <r>
      <rPr>
        <sz val="8"/>
        <color rgb="FF000000"/>
        <rFont val="宋体-简"/>
        <charset val="134"/>
      </rPr>
      <t>笼子</t>
    </r>
    <r>
      <rPr>
        <sz val="8"/>
        <color rgb="FF000000"/>
        <rFont val="Arial"/>
        <charset val="134"/>
      </rPr>
      <t>-</t>
    </r>
    <r>
      <rPr>
        <sz val="8"/>
        <color rgb="FF000000"/>
        <rFont val="宋体-简"/>
        <charset val="134"/>
      </rPr>
      <t>芝士笼</t>
    </r>
    <r>
      <rPr>
        <sz val="8"/>
        <color rgb="FF000000"/>
        <rFont val="Arial"/>
        <charset val="134"/>
      </rPr>
      <t>Pro-120cm(47in)</t>
    </r>
  </si>
  <si>
    <t>CPWJ197004YE</t>
  </si>
  <si>
    <t>Lemon Yellow</t>
  </si>
  <si>
    <t>Flower Running Wheel 10.2 in (26 cm)</t>
  </si>
  <si>
    <t>花朵跑轮Pro-26cm(10.2in)</t>
  </si>
  <si>
    <r>
      <rPr>
        <sz val="8"/>
        <color rgb="FF000000"/>
        <rFont val="宋体-简"/>
        <charset val="134"/>
      </rPr>
      <t>跑轮-花朵跑轮</t>
    </r>
    <r>
      <rPr>
        <sz val="8"/>
        <color rgb="FF000000"/>
        <rFont val="Arial"/>
        <charset val="134"/>
      </rPr>
      <t>Pro-26cm(10.2in)</t>
    </r>
  </si>
  <si>
    <t>PC, ABS, HIPS, Stainless Steel</t>
  </si>
  <si>
    <t>①升级不锈钢双轴，高效静音，运行稳定，静享安眠
②8°缓坡跑道，防止甩飞，增加摩擦的同时，呵护爱宠脊椎
③高度可升降调节，一体跑盘，不易藏污纳垢</t>
  </si>
  <si>
    <t>仓鼠跑轮花朵静音滚轮金丝熊宠物玩具跑步球造景专用用品大号</t>
  </si>
  <si>
    <t>静音双轴</t>
  </si>
  <si>
    <t>缓坡跑道</t>
  </si>
  <si>
    <t>高度可调</t>
  </si>
  <si>
    <t>一体跑盘</t>
  </si>
  <si>
    <t>CPWJ206002RD</t>
  </si>
  <si>
    <t>Cherry Red</t>
  </si>
  <si>
    <t>newsku002</t>
  </si>
  <si>
    <t>花朵跑轮24cm(9.5in)</t>
  </si>
  <si>
    <r>
      <rPr>
        <sz val="8"/>
        <color rgb="FF000000"/>
        <rFont val="宋体-简"/>
        <charset val="134"/>
      </rPr>
      <t>跑轮-花朵跑轮</t>
    </r>
    <r>
      <rPr>
        <sz val="8"/>
        <color rgb="FF000000"/>
        <rFont val="Arial"/>
        <charset val="134"/>
      </rPr>
      <t>24cm(9.5in)</t>
    </r>
  </si>
  <si>
    <t>newsku003</t>
  </si>
  <si>
    <t>花朵跑轮26cm(10.2in)</t>
  </si>
  <si>
    <r>
      <rPr>
        <sz val="8"/>
        <color rgb="FF000000"/>
        <rFont val="宋体-简"/>
        <charset val="134"/>
      </rPr>
      <t>跑轮-花朵跑轮</t>
    </r>
    <r>
      <rPr>
        <sz val="8"/>
        <color rgb="FF000000"/>
        <rFont val="Arial"/>
        <charset val="134"/>
      </rPr>
      <t>26cm(10.2in)</t>
    </r>
  </si>
  <si>
    <t>Case Version</t>
  </si>
  <si>
    <t>Purchase Switch Date</t>
  </si>
  <si>
    <t>Recorad Date</t>
  </si>
  <si>
    <t>Legacy Stock&amp;in-transit</t>
  </si>
  <si>
    <t>Est. Sales Transition Date</t>
  </si>
  <si>
    <t>Act. Sales Transition Date</t>
  </si>
  <si>
    <t>Switch Inform</t>
  </si>
  <si>
    <t>Length/in</t>
  </si>
  <si>
    <t>Width/in</t>
  </si>
  <si>
    <t>Height/in</t>
  </si>
  <si>
    <t>Lth w/ pack/in</t>
  </si>
  <si>
    <t>Wth w/ pack/in</t>
  </si>
  <si>
    <t>Hgt w/ pack/in</t>
  </si>
  <si>
    <t>Case Length/in</t>
  </si>
  <si>
    <t>Case Width/in</t>
  </si>
  <si>
    <t>Case Height/in</t>
  </si>
  <si>
    <t>Length/cm</t>
  </si>
  <si>
    <t>Width/cm</t>
  </si>
  <si>
    <t>Height/cm</t>
  </si>
  <si>
    <t>Lth w/ pack/cm</t>
  </si>
  <si>
    <t>Wth w/ pack/cm</t>
  </si>
  <si>
    <t>Hgt w/ pack/cm</t>
  </si>
  <si>
    <t>Case Length/cm</t>
  </si>
  <si>
    <t>Case Width/cm</t>
  </si>
  <si>
    <t>Case Height/cm</t>
  </si>
  <si>
    <t>产品净重 (g)</t>
  </si>
  <si>
    <t>产品净重 (oz)</t>
  </si>
  <si>
    <t>单箱净重 (kg)</t>
  </si>
  <si>
    <t>单箱净重 (oz)</t>
  </si>
  <si>
    <t>单箱毛重 (kg)</t>
  </si>
  <si>
    <t>单箱毛重 (oz)</t>
  </si>
  <si>
    <t>包装方式</t>
  </si>
  <si>
    <t>额外尺寸</t>
  </si>
  <si>
    <t>修改历史</t>
  </si>
  <si>
    <t>V3</t>
  </si>
  <si>
    <t>C</t>
  </si>
  <si>
    <t>Pending Transition</t>
  </si>
  <si>
    <t>V2</t>
  </si>
  <si>
    <t>D</t>
  </si>
  <si>
    <t>B</t>
  </si>
  <si>
    <t>A</t>
  </si>
  <si>
    <t>V1</t>
  </si>
  <si>
    <t>彩盒+围卡+吊牌</t>
  </si>
  <si>
    <t>箱规潜在更新，调整为18</t>
  </si>
  <si>
    <t>彩盒</t>
  </si>
  <si>
    <t>跑轮高度可调节：23~30cm
跑轮直径：22cm</t>
  </si>
  <si>
    <t>20260924箱规调整，由C8变为A8</t>
  </si>
  <si>
    <t>跑轮高度可调节：31.2~38.8cm</t>
  </si>
  <si>
    <t>箱规即将修改：D4</t>
  </si>
  <si>
    <t>Transition Completed</t>
  </si>
  <si>
    <t>小号八边封</t>
  </si>
  <si>
    <t>背卡</t>
  </si>
  <si>
    <t>挂卡+袋子</t>
  </si>
  <si>
    <t>20260603调整，因工厂测量错误，箱型由C变为A</t>
  </si>
  <si>
    <t>棕盒+贴纸</t>
  </si>
  <si>
    <t>吊牌</t>
  </si>
  <si>
    <t>20260518箱规调整，由B48变为A48</t>
  </si>
  <si>
    <t>S1</t>
  </si>
  <si>
    <t>前门：45.5*18 cm</t>
  </si>
  <si>
    <t>S2</t>
  </si>
  <si>
    <t>前门：27*15 cm
含腿高度：39 cm</t>
  </si>
  <si>
    <t>F</t>
  </si>
  <si>
    <t>双折卡头</t>
  </si>
  <si>
    <t>S3</t>
  </si>
  <si>
    <t>前门：45.5*18cm</t>
  </si>
  <si>
    <t>容积：</t>
  </si>
  <si>
    <t>此外箱高度相比普通C箱略高，仍记录为C箱</t>
  </si>
  <si>
    <t>彩盒/棕盒+贴纸</t>
  </si>
  <si>
    <t>大号八边封</t>
  </si>
  <si>
    <t>20260924，产品淘汰</t>
  </si>
  <si>
    <t>压缩包装</t>
  </si>
  <si>
    <t>20260518调整，由A7变为C14；20260924，产品转为特供PSP</t>
  </si>
  <si>
    <t>彩盒/棕盒</t>
  </si>
  <si>
    <t>跑轮直径：22cm</t>
  </si>
  <si>
    <t>前门：45.5*18 cm
顶门：44.4*26.4 cm</t>
  </si>
  <si>
    <t>白盒+彩贴</t>
  </si>
  <si>
    <t>围卡</t>
  </si>
  <si>
    <t>彩盒/棕盒+围卡</t>
  </si>
  <si>
    <t>棕盒</t>
  </si>
  <si>
    <t>In</t>
  </si>
  <si>
    <t>cm</t>
  </si>
  <si>
    <t>Case Length</t>
  </si>
  <si>
    <t>Case Width</t>
  </si>
  <si>
    <t>Case Height</t>
  </si>
  <si>
    <t>每托盘箱数</t>
  </si>
  <si>
    <t>每层数量TI</t>
  </si>
  <si>
    <t>托盘层数HI</t>
  </si>
  <si>
    <t>托盘高度(in)</t>
  </si>
  <si>
    <t>[0309SupplierPayDetails465512399574]0309</t>
  </si>
  <si>
    <t>Remit To Supplier Name</t>
  </si>
  <si>
    <t>Check#</t>
  </si>
  <si>
    <t>Check Date</t>
  </si>
  <si>
    <r>
      <rPr>
        <b/>
        <sz val="11"/>
        <color rgb="FF000000"/>
        <rFont val="Calibri"/>
        <charset val="134"/>
      </rPr>
      <t>Payment Method</t>
    </r>
    <r>
      <rPr>
        <b/>
        <sz val="11"/>
        <color rgb="FF000000"/>
        <rFont val="Calibri"/>
        <charset val="134"/>
      </rPr>
      <t xml:space="preserve"> </t>
    </r>
  </si>
  <si>
    <t>Amount Paid</t>
  </si>
  <si>
    <t>Discount Taken</t>
  </si>
  <si>
    <t>SIERRA VALLEY RAW AND NATURAL FOOD</t>
  </si>
  <si>
    <t>703224</t>
  </si>
  <si>
    <t>03/09/2026</t>
  </si>
  <si>
    <t>ACH BANK</t>
  </si>
  <si>
    <t>Transactions</t>
  </si>
  <si>
    <t>Payment Method</t>
  </si>
  <si>
    <t>Invoice/Credit Memo#</t>
  </si>
  <si>
    <t>Type</t>
  </si>
  <si>
    <t>Invoice/Credit Memo Amount</t>
  </si>
  <si>
    <t>Unpaid Amount</t>
  </si>
  <si>
    <t>Currency</t>
  </si>
  <si>
    <t>Settlement#</t>
  </si>
  <si>
    <t>STANDARD</t>
  </si>
  <si>
    <t>USD</t>
  </si>
  <si>
    <t>JUC20251128-06-COOP</t>
  </si>
  <si>
    <t>CREDIT</t>
  </si>
  <si>
    <t>JUC20251128-01-DDA</t>
  </si>
  <si>
    <t>JUC20251128-01-COOP</t>
  </si>
  <si>
    <t>JUC20251128-02-DDA</t>
  </si>
  <si>
    <t>JUC20251128-02-COOP</t>
  </si>
  <si>
    <t>JUC20251128-03-DDA</t>
  </si>
  <si>
    <t>JUC20251128-03-COOP</t>
  </si>
  <si>
    <t>JUC20251128-04-DDA</t>
  </si>
  <si>
    <t>JUC20251128-04-COOP</t>
  </si>
  <si>
    <t>JUC20251128-05-DDA</t>
  </si>
  <si>
    <t>JUC20251128-05-COOP</t>
  </si>
  <si>
    <t>JUC20251128-06-DDA</t>
  </si>
  <si>
    <t>[0309SupplierPayDetails465512399574]0601</t>
  </si>
  <si>
    <r>
      <rPr>
        <sz val="11"/>
        <color rgb="FF000000"/>
        <rFont val="Calibri"/>
        <charset val="134"/>
      </rPr>
      <t>SUPPLIER</t>
    </r>
    <r>
      <rPr>
        <sz val="11"/>
        <color rgb="FF000000"/>
        <rFont val="Calibri"/>
        <charset val="134"/>
      </rPr>
      <t xml:space="preserve"> </t>
    </r>
  </si>
  <si>
    <t>Payment Details</t>
  </si>
  <si>
    <t>722400</t>
  </si>
  <si>
    <t>06/01/2026</t>
  </si>
  <si>
    <t>JUC20260408-03-COOP</t>
  </si>
  <si>
    <t>JUC20260414-02-COOP</t>
  </si>
  <si>
    <t>JUC20260408-03-DDA</t>
  </si>
  <si>
    <t>JUC20260414-02-DDA</t>
  </si>
  <si>
    <t>[0309SupplierPayDetails465512399574]0602</t>
  </si>
  <si>
    <t>984601</t>
  </si>
  <si>
    <t>06/02/2026</t>
  </si>
  <si>
    <t>NETTING</t>
  </si>
  <si>
    <t>1002284</t>
  </si>
  <si>
    <t>Netting Details</t>
  </si>
  <si>
    <t>Netting Currency</t>
  </si>
  <si>
    <t>Total Netted Amount</t>
  </si>
  <si>
    <t>Source</t>
  </si>
  <si>
    <t>Inv Amount</t>
  </si>
  <si>
    <t>Netted Amount</t>
  </si>
  <si>
    <t>Applied Discount</t>
  </si>
  <si>
    <t>Payment Info</t>
  </si>
  <si>
    <t>Customer/Supplier</t>
  </si>
  <si>
    <t>Payables</t>
  </si>
  <si>
    <r>
      <rPr>
        <sz val="11"/>
        <color rgb="FF000000"/>
        <rFont val="Calibri"/>
        <charset val="134"/>
      </rPr>
      <t>1,802.84</t>
    </r>
    <r>
      <rPr>
        <sz val="11"/>
        <color rgb="FF000000"/>
        <rFont val="Calibri"/>
        <charset val="134"/>
      </rPr>
      <t xml:space="preserve"> </t>
    </r>
  </si>
  <si>
    <t>Receivables</t>
  </si>
  <si>
    <t>162907</t>
  </si>
  <si>
    <r>
      <rPr>
        <sz val="11"/>
        <color rgb="FF000000"/>
        <rFont val="Calibri"/>
        <charset val="134"/>
      </rPr>
      <t>-1,802.84</t>
    </r>
    <r>
      <rPr>
        <sz val="11"/>
        <color rgb="FF000000"/>
        <rFont val="Calibri"/>
        <charset val="134"/>
      </rPr>
      <t xml:space="preserve"> </t>
    </r>
  </si>
  <si>
    <t>1002284-1</t>
  </si>
  <si>
    <t>[0309SupplierPayDetails465512399574]0603</t>
  </si>
  <si>
    <t>723409</t>
  </si>
  <si>
    <t>06/03/2026</t>
  </si>
  <si>
    <t>JUC20260414-03-DDA</t>
  </si>
  <si>
    <t>DMQJUC20260508-005</t>
  </si>
  <si>
    <t>JUC20260414-03-COOP</t>
  </si>
  <si>
    <t>[0309SupplierPayDetails465512399574]0617</t>
  </si>
  <si>
    <t>726382</t>
  </si>
  <si>
    <t>06/17/2026</t>
  </si>
  <si>
    <t>JUC20260508-002-DDA</t>
  </si>
  <si>
    <t>JUC20260508-001-DDA</t>
  </si>
  <si>
    <t>JUC20260508-001-COOP</t>
  </si>
  <si>
    <t>JUC20260508-005-DDA</t>
  </si>
  <si>
    <t>JUC20260508-005-COOP</t>
  </si>
  <si>
    <t>JUC20260508-002-COOP</t>
  </si>
  <si>
    <t>JUC20260508-004-DDA</t>
  </si>
  <si>
    <t>JUC20260508-004-COOP</t>
  </si>
  <si>
    <t>JUC20260508-006-DDA</t>
  </si>
  <si>
    <t>JUC20260508-006-COOP</t>
  </si>
  <si>
    <t>[0309SupplierPayDetails465512399574]0622</t>
  </si>
  <si>
    <t>727323</t>
  </si>
  <si>
    <t>06/22/2026</t>
  </si>
  <si>
    <t>JUC20260508-007-COOP</t>
  </si>
  <si>
    <t>JUC20260508-007-DDA</t>
  </si>
  <si>
    <t>[0309SupplierPayDetails465512399574]0701</t>
  </si>
  <si>
    <t>729149</t>
  </si>
  <si>
    <t>07/01/2026</t>
  </si>
  <si>
    <t>DMQJUC20260508-001</t>
  </si>
  <si>
    <t>JUC20260508-012-COOP</t>
  </si>
  <si>
    <t>JUC20260508-012-DDA</t>
  </si>
  <si>
    <t>[0309SupplierPayDetails465512399574]0706</t>
  </si>
  <si>
    <t>730809</t>
  </si>
  <si>
    <t>07/06/2026</t>
  </si>
  <si>
    <t>JUC20260508-009-DDA</t>
  </si>
  <si>
    <t>JUC20260508-011-DDA</t>
  </si>
  <si>
    <t>JUC20260508-011-COOP</t>
  </si>
  <si>
    <t>JUC20260508-009-COOP</t>
  </si>
  <si>
    <t>[0309SupplierPayDetails465512399574]0707</t>
  </si>
  <si>
    <t>731036</t>
  </si>
  <si>
    <t>07/07/2026</t>
  </si>
  <si>
    <t>JUC20260508-003-COOP</t>
  </si>
  <si>
    <t>JUC20260521004-COOP</t>
  </si>
  <si>
    <t>JUC20260508-003-DDA</t>
  </si>
  <si>
    <t>JUC20260521004-DDA</t>
  </si>
  <si>
    <t>[0309SupplierPayDetails465512399574]0710</t>
  </si>
  <si>
    <t>999518</t>
  </si>
  <si>
    <t>07/10/2026</t>
  </si>
  <si>
    <t>1011415</t>
  </si>
  <si>
    <r>
      <rPr>
        <sz val="11"/>
        <color rgb="FF000000"/>
        <rFont val="Calibri"/>
        <charset val="134"/>
      </rPr>
      <t>1,480.66</t>
    </r>
    <r>
      <rPr>
        <sz val="11"/>
        <color rgb="FF000000"/>
        <rFont val="Calibri"/>
        <charset val="134"/>
      </rPr>
      <t xml:space="preserve"> </t>
    </r>
  </si>
  <si>
    <t>166778</t>
  </si>
  <si>
    <r>
      <rPr>
        <sz val="11"/>
        <color rgb="FF000000"/>
        <rFont val="Calibri"/>
        <charset val="134"/>
      </rPr>
      <t>-1,480.66</t>
    </r>
    <r>
      <rPr>
        <sz val="11"/>
        <color rgb="FF000000"/>
        <rFont val="Calibri"/>
        <charset val="134"/>
      </rPr>
      <t xml:space="preserve"> </t>
    </r>
  </si>
  <si>
    <t>1011415-1</t>
  </si>
  <si>
    <t>[0309SupplierPayDetails465512399574]0713</t>
  </si>
  <si>
    <t>732202</t>
  </si>
  <si>
    <t>07/13/2026</t>
  </si>
  <si>
    <t>JUC20260521001-COOP</t>
  </si>
  <si>
    <t>JUC20260521001-DDA</t>
  </si>
  <si>
    <t>[0309SupplierPayDetails465512399574]0722</t>
  </si>
  <si>
    <t>734021</t>
  </si>
  <si>
    <t>07/22/2026</t>
  </si>
  <si>
    <t>JUC202600609-001-COOP</t>
  </si>
  <si>
    <t>JUC202600609-001-DDA</t>
  </si>
  <si>
    <t>[0309SupplierPayDetails465512399574]0724</t>
  </si>
  <si>
    <t>1006560</t>
  </si>
  <si>
    <t>07/24/2026</t>
  </si>
  <si>
    <t>1017473</t>
  </si>
  <si>
    <r>
      <rPr>
        <sz val="11"/>
        <color rgb="FF000000"/>
        <rFont val="Calibri"/>
        <charset val="134"/>
      </rPr>
      <t>2,000.00</t>
    </r>
    <r>
      <rPr>
        <sz val="11"/>
        <color rgb="FF000000"/>
        <rFont val="Calibri"/>
        <charset val="134"/>
      </rPr>
      <t xml:space="preserve"> </t>
    </r>
  </si>
  <si>
    <t>167976</t>
  </si>
  <si>
    <r>
      <rPr>
        <sz val="11"/>
        <color rgb="FF000000"/>
        <rFont val="Calibri"/>
        <charset val="134"/>
      </rPr>
      <t>-2,000.00</t>
    </r>
    <r>
      <rPr>
        <sz val="11"/>
        <color rgb="FF000000"/>
        <rFont val="Calibri"/>
        <charset val="134"/>
      </rPr>
      <t xml:space="preserve"> </t>
    </r>
  </si>
  <si>
    <t>1017473-1</t>
  </si>
  <si>
    <t>[0309SupplierPayDetails465512399574]0803</t>
  </si>
  <si>
    <t>736523</t>
  </si>
  <si>
    <t>08/03/2026</t>
  </si>
  <si>
    <t>JUC20260624-001-COOP</t>
  </si>
  <si>
    <t>JUC20260624-001-DDA</t>
  </si>
  <si>
    <t>[0309SupplierPayDetails465512399574]0804</t>
  </si>
  <si>
    <t>1012640</t>
  </si>
  <si>
    <t>08/04/2026</t>
  </si>
  <si>
    <t>1020552</t>
  </si>
  <si>
    <r>
      <rPr>
        <sz val="11"/>
        <color rgb="FF000000"/>
        <rFont val="Calibri"/>
        <charset val="134"/>
      </rPr>
      <t>969.25</t>
    </r>
    <r>
      <rPr>
        <sz val="11"/>
        <color rgb="FF000000"/>
        <rFont val="Calibri"/>
        <charset val="134"/>
      </rPr>
      <t xml:space="preserve"> </t>
    </r>
  </si>
  <si>
    <t>168531</t>
  </si>
  <si>
    <r>
      <rPr>
        <sz val="11"/>
        <color rgb="FF000000"/>
        <rFont val="Calibri"/>
        <charset val="134"/>
      </rPr>
      <t>-725.54</t>
    </r>
    <r>
      <rPr>
        <sz val="11"/>
        <color rgb="FF000000"/>
        <rFont val="Calibri"/>
        <charset val="134"/>
      </rPr>
      <t xml:space="preserve"> </t>
    </r>
  </si>
  <si>
    <t>1020552-1</t>
  </si>
  <si>
    <t>168685</t>
  </si>
  <si>
    <r>
      <rPr>
        <sz val="11"/>
        <color rgb="FF000000"/>
        <rFont val="Calibri"/>
        <charset val="134"/>
      </rPr>
      <t>-243.71</t>
    </r>
    <r>
      <rPr>
        <sz val="11"/>
        <color rgb="FF000000"/>
        <rFont val="Calibri"/>
        <charset val="134"/>
      </rPr>
      <t xml:space="preserve"> </t>
    </r>
  </si>
  <si>
    <t>[0309SupplierPayDetails465512399574]0805</t>
  </si>
  <si>
    <t>737523</t>
  </si>
  <si>
    <t>08/05/2026</t>
  </si>
  <si>
    <t>JUC20260626-001-COOP</t>
  </si>
  <si>
    <t>JUC20260626-001-DDA</t>
  </si>
  <si>
    <t>[0309SupplierPayDetails465512399574]0810</t>
  </si>
  <si>
    <t>738654</t>
  </si>
  <si>
    <t>08/10/2026</t>
  </si>
  <si>
    <t>JUC20260630-001-DDA</t>
  </si>
  <si>
    <t>JUC20260630-001-COOP</t>
  </si>
  <si>
    <t>JUC20260625-001-DDA</t>
  </si>
  <si>
    <t>DMQJUC20260714-002</t>
  </si>
  <si>
    <t>JUC20260625-001-COOP</t>
  </si>
  <si>
    <t>[0309SupplierPayDetails465512399574]0824</t>
  </si>
  <si>
    <t>741581</t>
  </si>
  <si>
    <t>08/24/2026</t>
  </si>
  <si>
    <t>DMQJUC20260723-001</t>
  </si>
  <si>
    <t>DMQJUC20260723-002</t>
  </si>
  <si>
    <t>JUC20260714-001-DDA</t>
  </si>
  <si>
    <t>JUC20260714-001-COOP</t>
  </si>
  <si>
    <t>DMQJUC20260727-004</t>
  </si>
  <si>
    <t>[0309SupplierPayDetails465512399574]0831</t>
  </si>
  <si>
    <t>743034</t>
  </si>
  <si>
    <t>08/31/2026</t>
  </si>
  <si>
    <t>JUC20260714-003-DDA</t>
  </si>
  <si>
    <t>JUC20260714-002-DDA</t>
  </si>
  <si>
    <t>JUC20260714-002-COOP</t>
  </si>
  <si>
    <t>JUC20260714-003-COOP</t>
  </si>
  <si>
    <t>[0309SupplierPayDetails465512399574]0901</t>
  </si>
  <si>
    <t>1027667</t>
  </si>
  <si>
    <t>09/01/2026</t>
  </si>
  <si>
    <t>1034551</t>
  </si>
  <si>
    <r>
      <rPr>
        <sz val="11"/>
        <color rgb="FF000000"/>
        <rFont val="Calibri"/>
        <charset val="134"/>
      </rPr>
      <t>1,518.73</t>
    </r>
    <r>
      <rPr>
        <sz val="11"/>
        <color rgb="FF000000"/>
        <rFont val="Calibri"/>
        <charset val="134"/>
      </rPr>
      <t xml:space="preserve"> </t>
    </r>
  </si>
  <si>
    <t>170339</t>
  </si>
  <si>
    <r>
      <rPr>
        <sz val="11"/>
        <color rgb="FF000000"/>
        <rFont val="Calibri"/>
        <charset val="134"/>
      </rPr>
      <t>-1,518.73</t>
    </r>
    <r>
      <rPr>
        <sz val="11"/>
        <color rgb="FF000000"/>
        <rFont val="Calibri"/>
        <charset val="134"/>
      </rPr>
      <t xml:space="preserve"> </t>
    </r>
  </si>
  <si>
    <t>1034551-1</t>
  </si>
  <si>
    <t>[0309SupplierPayDetails465512399574]0908</t>
  </si>
  <si>
    <t>745211</t>
  </si>
  <si>
    <t>09/08/2026</t>
  </si>
  <si>
    <t>JUC20260727-006-COOP</t>
  </si>
  <si>
    <t>JUC20260717-001-DDA</t>
  </si>
  <si>
    <t>JUC20260717-001-COOP</t>
  </si>
  <si>
    <t>JUC20260723-001-DDA</t>
  </si>
  <si>
    <t>JUC20260723-001-COOP</t>
  </si>
  <si>
    <t>JUC20260723-002-DDA</t>
  </si>
  <si>
    <t>JUC20260723-002-COOP</t>
  </si>
  <si>
    <t>JUC20260727-001-DDA</t>
  </si>
  <si>
    <t>JUC20260727-001-COOP</t>
  </si>
  <si>
    <t>JUC20260727-002-DDA</t>
  </si>
  <si>
    <t>JUC20260727-002-COOP</t>
  </si>
  <si>
    <t>JUC20260727-003-DDA</t>
  </si>
  <si>
    <t>JUC20260727-003-COOP</t>
  </si>
  <si>
    <t>JUC20260727-004-DDA</t>
  </si>
  <si>
    <t>JUC20260727-004-COOP</t>
  </si>
  <si>
    <t>JUC20260727-005-DDA</t>
  </si>
  <si>
    <t>JUC20260727-005-COOP</t>
  </si>
  <si>
    <t>JUC20260727-006-DDA</t>
  </si>
  <si>
    <t>已记录-JUC2026-0723-002</t>
  </si>
  <si>
    <t>[0309SupplierPayDetails465512399574]0909</t>
  </si>
  <si>
    <t>745381</t>
  </si>
  <si>
    <t>09/09/2026</t>
  </si>
  <si>
    <t>JUC20260729-001-DDA</t>
  </si>
  <si>
    <t>JUC20260729-001-COOP</t>
  </si>
  <si>
    <t>JUC20260729-002-COOP</t>
  </si>
  <si>
    <t>JUC20260729-002-DDA</t>
  </si>
  <si>
    <t>0903</t>
  </si>
  <si>
    <t xml:space="preserve">SUPPLIER </t>
  </si>
  <si>
    <t xml:space="preserve">Payment Method </t>
  </si>
  <si>
    <t>09/02/2026</t>
  </si>
  <si>
    <t>JUC20260724-001-COOP</t>
  </si>
  <si>
    <t>JUC20260724-001-DDA</t>
  </si>
  <si>
    <t>Payment amount</t>
  </si>
  <si>
    <t>Invoice</t>
  </si>
  <si>
    <t>Description</t>
  </si>
  <si>
    <t>Amount in transaction currency</t>
  </si>
  <si>
    <t>Cash discount amount</t>
  </si>
  <si>
    <t>[0831SupplierPayDetails(25)114946324587]0921 6279.35</t>
  </si>
  <si>
    <t>748067</t>
  </si>
  <si>
    <t>09/21/2026</t>
  </si>
  <si>
    <t>JUC20260805-002-COOP</t>
  </si>
  <si>
    <t>JUC20260805-002-DDA</t>
  </si>
  <si>
    <t>[0831SupplierPayDetails(25)114946324587]0922 4705.03</t>
  </si>
  <si>
    <t>748231</t>
  </si>
  <si>
    <t>09/22/2026</t>
  </si>
  <si>
    <t>JUC20260813-001-DDA</t>
  </si>
  <si>
    <t>JUC20260813-001-COOP</t>
  </si>
  <si>
    <t>[0831SupplierPayDetails(25)114946324587]0923 9545.70</t>
  </si>
  <si>
    <t>748376</t>
  </si>
  <si>
    <t>09/23/2026</t>
  </si>
  <si>
    <t>JUC20260806-003-COOP</t>
  </si>
  <si>
    <t>JUC20260806-003-DDA</t>
  </si>
  <si>
    <t>[0831SupplierPayDetails(25)114946324587]0928 3987.49</t>
  </si>
  <si>
    <t>749494</t>
  </si>
  <si>
    <t>09/28/2026</t>
  </si>
  <si>
    <t>JUC20260805-003-COOP</t>
  </si>
  <si>
    <t>JUC20260805-003-DDA</t>
  </si>
  <si>
    <t>[0831SupplierPayDetails(25)114946324587]0929 5109.01</t>
  </si>
  <si>
    <t>749650</t>
  </si>
  <si>
    <t>JUC20260820-001-DDA</t>
  </si>
  <si>
    <t>JUC20260820-001-COOP</t>
  </si>
  <si>
    <t>[0831SupplierPayDetails(25)114946324587]0930 2816.44</t>
  </si>
  <si>
    <t>749802</t>
  </si>
  <si>
    <t>09/30/2026</t>
  </si>
  <si>
    <t>JUC20260807-001-COOP</t>
  </si>
  <si>
    <t>JUC20260807-001-DDA</t>
  </si>
  <si>
    <t>[0831SupplierPayDetails(25)114946324587]1005 28812.74</t>
  </si>
  <si>
    <t>751651</t>
  </si>
  <si>
    <t>10/05/2026</t>
  </si>
  <si>
    <t>JUC20260825-001-DDA</t>
  </si>
  <si>
    <t>JUC20260825-001-COOP</t>
  </si>
  <si>
    <t>JUC20260824-001-COOP</t>
  </si>
  <si>
    <t>JUC20260819-001-COOP</t>
  </si>
  <si>
    <t>JUC20260824-001-DDA</t>
  </si>
  <si>
    <t>JUC20260819-001-DDA</t>
  </si>
  <si>
    <t>[0831SupplierPayDetails(25)114946324587]1005 32122.29</t>
  </si>
  <si>
    <t>[0831SupplierPayDetails(25)114946324587]1006 759.76</t>
  </si>
  <si>
    <t>1045670</t>
  </si>
  <si>
    <t>10/06/2026</t>
  </si>
  <si>
    <t>752076</t>
  </si>
  <si>
    <t>10/08/2026</t>
  </si>
  <si>
    <t>1046546</t>
  </si>
  <si>
    <r>
      <rPr>
        <sz val="11"/>
        <color rgb="FF000000"/>
        <rFont val="Calibri"/>
        <charset val="134"/>
      </rPr>
      <t>759.76</t>
    </r>
    <r>
      <rPr>
        <sz val="11"/>
        <color rgb="FF000000"/>
        <rFont val="Calibri"/>
        <charset val="134"/>
      </rPr>
      <t xml:space="preserve"> </t>
    </r>
  </si>
  <si>
    <t>174511</t>
  </si>
  <si>
    <r>
      <rPr>
        <sz val="11"/>
        <color rgb="FF000000"/>
        <rFont val="Calibri"/>
        <charset val="134"/>
      </rPr>
      <t>-759.76</t>
    </r>
    <r>
      <rPr>
        <sz val="11"/>
        <color rgb="FF000000"/>
        <rFont val="Calibri"/>
        <charset val="134"/>
      </rPr>
      <t xml:space="preserve"> </t>
    </r>
  </si>
  <si>
    <t>1046546-1</t>
  </si>
  <si>
    <t>[0831SupplierPayDetails(25)114946324587]1008 12483.31</t>
  </si>
  <si>
    <t>JUC20260815-001-DDA</t>
  </si>
  <si>
    <t>JUC20260815-001-COOP</t>
  </si>
  <si>
    <t>1006 759.76</t>
  </si>
  <si>
    <t>是</t>
  </si>
  <si>
    <r>
      <rPr>
        <sz val="9"/>
        <color rgb="FF000000"/>
        <rFont val="Arial"/>
        <charset val="134"/>
        <scheme val="minor"/>
      </rPr>
      <t>759.76</t>
    </r>
    <r>
      <rPr>
        <sz val="11"/>
        <color rgb="FF000000"/>
        <rFont val="Calibri"/>
        <charset val="134"/>
      </rPr>
      <t xml:space="preserve"> </t>
    </r>
  </si>
  <si>
    <r>
      <rPr>
        <sz val="9"/>
        <color rgb="FF000000"/>
        <rFont val="Arial"/>
        <charset val="134"/>
        <scheme val="minor"/>
      </rPr>
      <t>-759.76</t>
    </r>
    <r>
      <rPr>
        <sz val="11"/>
        <color rgb="FF000000"/>
        <rFont val="Calibri"/>
        <charset val="134"/>
      </rPr>
      <t xml:space="preserve"> </t>
    </r>
  </si>
  <si>
    <t>6/29/2026</t>
  </si>
  <si>
    <t>Marketing Allowances</t>
  </si>
  <si>
    <t>Marketing Allowance on Multiple POs</t>
  </si>
  <si>
    <t>Bank Dollar Deduct</t>
  </si>
  <si>
    <t>Bank Dollar Debit</t>
  </si>
  <si>
    <t>7/6/2026</t>
  </si>
  <si>
    <t>JUC20260529002-1</t>
  </si>
  <si>
    <t>7/27/2026</t>
  </si>
  <si>
    <t>EDI CHBK May 26</t>
  </si>
  <si>
    <t>May 2026 EDI Chargebacks</t>
  </si>
  <si>
    <t>8/24/2026</t>
  </si>
  <si>
    <t>8/31/2026</t>
  </si>
  <si>
    <t>8/9/2026</t>
  </si>
  <si>
    <t>8/26/2026</t>
  </si>
  <si>
    <t>0032-000006195 - PSP AR Invoice</t>
  </si>
  <si>
    <t>9/18/2026</t>
  </si>
  <si>
    <t>0032-000006195</t>
  </si>
  <si>
    <t>0032-000006525 - PSP AR Invoice</t>
  </si>
  <si>
    <t>0032-000006525</t>
  </si>
  <si>
    <t>0032-000008659 - PSP AR Invoice</t>
  </si>
  <si>
    <t>0032-000008659</t>
  </si>
  <si>
    <t>0032-000008783 - PSP AR Invoice</t>
  </si>
  <si>
    <t>0032-000008783</t>
  </si>
  <si>
    <t>9/28/2026</t>
  </si>
  <si>
    <t>10/13/2026</t>
  </si>
  <si>
    <t>10/05/2006</t>
  </si>
  <si>
    <t>petsmart 257,301.11</t>
  </si>
  <si>
    <t>10/19/2026</t>
  </si>
  <si>
    <t>Invoice Net Amount</t>
  </si>
  <si>
    <t>Invoice Date</t>
  </si>
  <si>
    <t>Invoice #</t>
  </si>
  <si>
    <t>Related PO</t>
  </si>
  <si>
    <t>Invoice Gross Amount</t>
  </si>
  <si>
    <t>Discount Amount</t>
  </si>
  <si>
    <t>发票净额</t>
  </si>
  <si>
    <t>发票日期</t>
  </si>
  <si>
    <t>发票号</t>
  </si>
  <si>
    <t>关联 PO</t>
  </si>
  <si>
    <t>发票总额</t>
  </si>
  <si>
    <t>折扣金额</t>
  </si>
  <si>
    <t>0017184002</t>
  </si>
  <si>
    <t>ZU-003396</t>
  </si>
  <si>
    <t>付款日期</t>
  </si>
  <si>
    <t>Invoice(清洗)</t>
  </si>
  <si>
    <t>来源文件</t>
  </si>
  <si>
    <t>行号</t>
  </si>
  <si>
    <t>JUC20251128-001</t>
  </si>
  <si>
    <t>0309 Supplier Pay Details 46551.23 995.74.xlsx</t>
  </si>
  <si>
    <t>JUC20251128-006</t>
  </si>
  <si>
    <t>JUC20251128-003</t>
  </si>
  <si>
    <t>JUC20251128-004</t>
  </si>
  <si>
    <t>JUC20251128-005</t>
  </si>
  <si>
    <t>JUC20251128-002</t>
  </si>
  <si>
    <t>JUC20260408-003</t>
  </si>
  <si>
    <t>0601 Supplier Pay Details (4) 10897.42 233.10.xlsx</t>
  </si>
  <si>
    <t>JUC20260414-002</t>
  </si>
  <si>
    <t>0602 Supplier Pay Details (2) 1802.84 36.79.xlsx</t>
  </si>
  <si>
    <t>JUC20260414-003</t>
  </si>
  <si>
    <t>0603 Supplier Pay Details (3) 1710.93 39.91.xlsx</t>
  </si>
  <si>
    <t>0617 Supplier Pay Details (5) 18972.85 407.62.xlsx</t>
  </si>
  <si>
    <t>0622 Supplier Pay Details (6) 6914.47 147.90.xlsx</t>
  </si>
  <si>
    <t>0701 Supplier Pay Details (8) 5317.10 127.54.xlsx</t>
  </si>
  <si>
    <t>0706 Supplier Pay Details (9) 12286.75 262.82.xlsx</t>
  </si>
  <si>
    <t>JUC20260521-004</t>
  </si>
  <si>
    <t>0707 Supplier Pay Details (12) 12589.32 269.29.xlsx</t>
  </si>
  <si>
    <t>0710 Supplier Pay Details (14) 1480.66 30.22.xlsx</t>
  </si>
  <si>
    <t>JUC20260521-001</t>
  </si>
  <si>
    <t>0713 Supplier Pay Details (15) 10273.27 219.75.xlsx</t>
  </si>
  <si>
    <t>0722 Supplier Pay Details (16) 1325.90 29.81.xlsx</t>
  </si>
  <si>
    <t>0724 Supplier Pay Details (18) 2000.00 40.82.xlsx</t>
  </si>
  <si>
    <t>0803 Supplier Pay Details (19) 825.57 19.62.xlsx</t>
  </si>
  <si>
    <t>0804 Supplier Pay Details (20) 969.25 19.78.xlsx</t>
  </si>
  <si>
    <t>0805 Supplier Pay Details (21) 2989.43 63.95.xlsx</t>
  </si>
  <si>
    <t>0810 Supplier Pay Details (22) 5252.97 117.13.xlsx</t>
  </si>
  <si>
    <t>0824 Supplier Pay Details 2207.07 60.97.xlsx</t>
  </si>
  <si>
    <t>0831 Supplier Pay Details (25) 11494.63 245.87.xlsx</t>
  </si>
  <si>
    <t>0901 Supplier Pay Details (26) 1518.73 30.99.xlsx</t>
  </si>
  <si>
    <t>743354</t>
  </si>
  <si>
    <t>0902 Supplier Pay Details 5,383.70.xlsx</t>
  </si>
  <si>
    <t>0908 Supplier Pay Details (27) 79144.03 1694.41.xlsx</t>
  </si>
  <si>
    <t>0909 Supplier Pay Details (28) 14543.91 311.10.xlsx</t>
  </si>
  <si>
    <t>0921 Supplier Pay Details 6279.35 134.32.xlsx</t>
  </si>
  <si>
    <t>0922 Supplier Pay Details_4705.03 100.64.xlsx</t>
  </si>
  <si>
    <t>0923 Supplier Pay Details_9545.70 204.19.xlsx</t>
  </si>
  <si>
    <t>0928 Supplier Pay Details_3987.49 85.29.xlsx</t>
  </si>
  <si>
    <t>0929 Supplier Pay Details 5109.01 109.28.xlsx</t>
  </si>
  <si>
    <t>0930 Supplier Pay Details 2816.44 60.24.xlsx</t>
  </si>
  <si>
    <t>1005 Supplier Pay Details 28,812.74.xlsx</t>
  </si>
  <si>
    <r>
      <rPr>
        <sz val="10"/>
        <color rgb="FF000000"/>
        <rFont val="宋体"/>
        <charset val="134"/>
      </rPr>
      <t>1006 Supplier Pay Details</t>
    </r>
    <r>
      <rPr>
        <sz val="10"/>
        <color rgb="FF000000"/>
        <rFont val="宋体"/>
        <charset val="134"/>
      </rPr>
      <t xml:space="preserve">  </t>
    </r>
    <r>
      <rPr>
        <sz val="10"/>
        <color rgb="FF000000"/>
        <rFont val="宋体"/>
        <charset val="134"/>
      </rPr>
      <t>759.76.xlsx</t>
    </r>
  </si>
  <si>
    <t>1008 Supplier Pay Details_12483.31 267.76.xlsx</t>
  </si>
  <si>
    <t>付款参考号</t>
  </si>
  <si>
    <t>JUC20260529-001</t>
  </si>
  <si>
    <t>EFT000032880</t>
  </si>
  <si>
    <t>0706_PSP 9,013.40.xlsx</t>
  </si>
  <si>
    <t>JUC20260529-002</t>
  </si>
  <si>
    <t>EFT000033438</t>
  </si>
  <si>
    <t>0727_PSP 3,654.23.xlsx</t>
  </si>
  <si>
    <t>EFT000034248</t>
  </si>
  <si>
    <t>0824_PSP 11,929.65.xlsx</t>
  </si>
  <si>
    <t>EFT000034460</t>
  </si>
  <si>
    <r>
      <rPr>
        <sz val="10"/>
        <color rgb="FF000000"/>
        <rFont val="宋体"/>
        <charset val="134"/>
      </rPr>
      <t>0831_PSP 35,428.62</t>
    </r>
    <r>
      <rPr>
        <sz val="10"/>
        <color rgb="FF000000"/>
        <rFont val="宋体"/>
        <charset val="134"/>
      </rPr>
      <t xml:space="preserve">  </t>
    </r>
    <r>
      <rPr>
        <sz val="10"/>
        <color rgb="FF000000"/>
        <rFont val="宋体"/>
        <charset val="134"/>
      </rPr>
      <t>.xlsx</t>
    </r>
  </si>
  <si>
    <t>EFT000035181</t>
  </si>
  <si>
    <t>0921 Payment advice_7655.68.xlsx</t>
  </si>
  <si>
    <t>EFT000035393</t>
  </si>
  <si>
    <t>0928 Payment advice_63835.30.xlsx</t>
  </si>
  <si>
    <t>EFT000035612</t>
  </si>
  <si>
    <t>1005 Payment advice 32122.29.xlsx</t>
  </si>
  <si>
    <t>EFT000035815</t>
  </si>
  <si>
    <t>1013 Payment advice 11,113.15.xlsx</t>
  </si>
  <si>
    <t>EFT000035976</t>
  </si>
  <si>
    <t>1019_PSP 2,710.17.xlsx</t>
  </si>
  <si>
    <t>0032-000008983</t>
  </si>
  <si>
    <t>0032-000008983 - PSP AR Invoice</t>
  </si>
  <si>
    <t>0032-000009203</t>
  </si>
  <si>
    <t>0032-000009203 - PSP AR Invoice</t>
  </si>
  <si>
    <t>0032-000009886</t>
  </si>
  <si>
    <t>0032-000009886 - PSP AR Invoice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</si>
</sst>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0"/>
    <numFmt numFmtId="178" formatCode="[$-10409]m/d/yyyy"/>
    <numFmt numFmtId="179" formatCode="[$-10409]#,##0.00"/>
    <numFmt numFmtId="180" formatCode="0.00_);[Red]\(0.00\)"/>
    <numFmt numFmtId="181" formatCode="yyyy/m/d;@"/>
    <numFmt numFmtId="182" formatCode="yyyy\-m\-d"/>
    <numFmt numFmtId="183" formatCode="yyyy&quot;-&quot;m&quot;-&quot;d"/>
    <numFmt numFmtId="184" formatCode="\$#,##0.00;\-\$#,##0.00"/>
    <numFmt numFmtId="185" formatCode="0_);[Red]\(0\)"/>
    <numFmt numFmtId="186" formatCode="m&quot;月&quot;d&quot;日&quot;;@"/>
    <numFmt numFmtId="187" formatCode="#,##0.00_ "/>
    <numFmt numFmtId="188" formatCode="&quot;￥&quot;#,##0.00_);[Red]\(&quot;￥&quot;#,##0.00\)"/>
    <numFmt numFmtId="189" formatCode="0.0"/>
    <numFmt numFmtId="190" formatCode="_ * #,##0_ ;_ * \-#,##0_ ;_ * &quot;-&quot;??_ ;_ @_ "/>
  </numFmts>
  <fonts count="76">
    <font>
      <sz val="10"/>
      <color rgb="FF000000"/>
      <name val="Arial"/>
      <charset val="134"/>
      <scheme val="minor"/>
    </font>
    <font>
      <b/>
      <sz val="10"/>
      <color rgb="FFFFFFFF"/>
      <name val="宋体"/>
      <charset val="134"/>
    </font>
    <font>
      <sz val="10"/>
      <color rgb="FF000000"/>
      <name val="宋体"/>
      <charset val="134"/>
    </font>
    <font>
      <sz val="10"/>
      <color rgb="FF1F6F54"/>
      <name val="宋体"/>
      <charset val="134"/>
    </font>
    <font>
      <sz val="10"/>
      <color rgb="FF417FF9"/>
      <name val="Arial"/>
      <charset val="134"/>
      <scheme val="minor"/>
    </font>
    <font>
      <sz val="11"/>
      <color rgb="FF000000"/>
      <name val="宋体"/>
      <charset val="134"/>
    </font>
    <font>
      <b/>
      <sz val="11"/>
      <color rgb="FF000000"/>
      <name val="Calibri"/>
      <charset val="134"/>
    </font>
    <font>
      <sz val="11"/>
      <color rgb="FF000000"/>
      <name val="Calibri"/>
      <charset val="134"/>
    </font>
    <font>
      <sz val="9"/>
      <color rgb="FF000000"/>
      <name val="Calibri"/>
      <charset val="134"/>
    </font>
    <font>
      <b/>
      <sz val="12"/>
      <color rgb="FF000000"/>
      <name val="Calibri"/>
      <charset val="134"/>
    </font>
    <font>
      <b/>
      <sz val="9"/>
      <color rgb="FF000000"/>
      <name val="Calibri"/>
      <charset val="134"/>
    </font>
    <font>
      <sz val="11"/>
      <color rgb="FF417FF9"/>
      <name val="宋体"/>
      <charset val="134"/>
    </font>
    <font>
      <sz val="11"/>
      <color rgb="FF417FF9"/>
      <name val="Calibri"/>
      <charset val="134"/>
    </font>
    <font>
      <sz val="9"/>
      <color rgb="FF417FF9"/>
      <name val="Calibri"/>
      <charset val="134"/>
    </font>
    <font>
      <sz val="10"/>
      <color rgb="FF000000"/>
      <name val="Arial"/>
      <charset val="134"/>
    </font>
    <font>
      <b/>
      <sz val="9"/>
      <color rgb="FF000000"/>
      <name val="Arial"/>
      <charset val="134"/>
      <scheme val="minor"/>
    </font>
    <font>
      <sz val="9"/>
      <color rgb="FF000000"/>
      <name val="Arial"/>
      <charset val="134"/>
      <scheme val="minor"/>
    </font>
    <font>
      <sz val="9"/>
      <color rgb="FF000000"/>
      <name val="Arial"/>
      <charset val="134"/>
    </font>
    <font>
      <b/>
      <sz val="10"/>
      <color rgb="FF000000"/>
      <name val="Arial"/>
      <charset val="134"/>
      <scheme val="minor"/>
    </font>
    <font>
      <b/>
      <sz val="8"/>
      <color rgb="FF000000"/>
      <name val="Arial"/>
      <charset val="134"/>
    </font>
    <font>
      <sz val="8"/>
      <color rgb="FF000000"/>
      <name val="Arial"/>
      <charset val="134"/>
    </font>
    <font>
      <b/>
      <sz val="8"/>
      <color rgb="FF000000"/>
      <name val="Arial"/>
      <charset val="134"/>
      <scheme val="minor"/>
    </font>
    <font>
      <sz val="8"/>
      <color theme="1"/>
      <name val="Arial"/>
      <charset val="134"/>
      <scheme val="minor"/>
    </font>
    <font>
      <sz val="8"/>
      <color rgb="FF000000"/>
      <name val="Arial"/>
      <charset val="134"/>
      <scheme val="minor"/>
    </font>
    <font>
      <sz val="8"/>
      <color rgb="FF000000"/>
      <name val="宋体-简"/>
      <charset val="134"/>
    </font>
    <font>
      <sz val="8"/>
      <color rgb="FF1F282C"/>
      <name val="Arial"/>
      <charset val="134"/>
    </font>
    <font>
      <b/>
      <sz val="9"/>
      <color rgb="FF000000"/>
      <name val="Arial"/>
      <charset val="134"/>
    </font>
    <font>
      <b/>
      <sz val="9"/>
      <color theme="1"/>
      <name val="Arial"/>
      <charset val="134"/>
      <scheme val="minor"/>
    </font>
    <font>
      <sz val="8"/>
      <color rgb="FF1F282C"/>
      <name val="Arial"/>
      <charset val="134"/>
      <scheme val="minor"/>
    </font>
    <font>
      <b/>
      <sz val="8"/>
      <color theme="1"/>
      <name val="Arial"/>
      <charset val="134"/>
    </font>
    <font>
      <sz val="10"/>
      <color theme="1"/>
      <name val="Arial"/>
      <charset val="134"/>
      <scheme val="minor"/>
    </font>
    <font>
      <b/>
      <sz val="8"/>
      <color theme="1"/>
      <name val="宋体-简"/>
      <charset val="134"/>
    </font>
    <font>
      <b/>
      <sz val="11"/>
      <color rgb="FF000000"/>
      <name val="宋体-简"/>
      <charset val="134"/>
    </font>
    <font>
      <b/>
      <sz val="11"/>
      <color rgb="FF000000"/>
      <name val="宋体"/>
      <charset val="134"/>
    </font>
    <font>
      <b/>
      <sz val="8"/>
      <color theme="1"/>
      <name val="Arial"/>
      <charset val="134"/>
      <scheme val="minor"/>
    </font>
    <font>
      <b/>
      <sz val="10"/>
      <color rgb="FF000000"/>
      <name val="Arial"/>
      <charset val="134"/>
    </font>
    <font>
      <u/>
      <sz val="10"/>
      <color rgb="FF000000"/>
      <name val="Arial"/>
      <charset val="134"/>
    </font>
    <font>
      <sz val="8"/>
      <color rgb="FF417FF9"/>
      <name val="Arial"/>
      <charset val="134"/>
      <scheme val="minor"/>
    </font>
    <font>
      <sz val="8"/>
      <color rgb="FF417FF9"/>
      <name val="Arial"/>
      <charset val="134"/>
    </font>
    <font>
      <b/>
      <sz val="8"/>
      <color rgb="FF417FF9"/>
      <name val="Arial"/>
      <charset val="134"/>
    </font>
    <font>
      <sz val="10"/>
      <color rgb="FF417FF9"/>
      <name val="Arial"/>
      <charset val="134"/>
    </font>
    <font>
      <b/>
      <sz val="8"/>
      <color rgb="FF417FF9"/>
      <name val="Arial"/>
      <charset val="134"/>
      <scheme val="minor"/>
    </font>
    <font>
      <b/>
      <sz val="10"/>
      <color rgb="FF417FF9"/>
      <name val="Arial"/>
      <charset val="134"/>
      <scheme val="minor"/>
    </font>
    <font>
      <sz val="10"/>
      <color rgb="FFC00000"/>
      <name val="Arial"/>
      <charset val="134"/>
    </font>
    <font>
      <b/>
      <sz val="9.1"/>
      <color rgb="FF1F282C"/>
      <name val="Arial"/>
      <charset val="134"/>
      <scheme val="minor"/>
    </font>
    <font>
      <u/>
      <sz val="10.5"/>
      <color rgb="FF0000FF"/>
      <name val="Arial"/>
      <charset val="134"/>
      <scheme val="minor"/>
    </font>
    <font>
      <sz val="8"/>
      <color rgb="FFFF0000"/>
      <name val="Arial"/>
      <charset val="134"/>
      <scheme val="minor"/>
    </font>
    <font>
      <sz val="8"/>
      <color rgb="FFFF0000"/>
      <name val="Arial"/>
      <charset val="134"/>
    </font>
    <font>
      <sz val="9"/>
      <color rgb="FF000000"/>
      <name val="微软雅黑"/>
      <charset val="134"/>
    </font>
    <font>
      <b/>
      <sz val="11"/>
      <color rgb="FF000000"/>
      <name val="Arial"/>
      <charset val="134"/>
    </font>
    <font>
      <sz val="11"/>
      <color rgb="FF000000"/>
      <name val="微软雅黑"/>
      <charset val="134"/>
    </font>
    <font>
      <b/>
      <sz val="10"/>
      <color rgb="FF000000"/>
      <name val="Arial Unicode MS"/>
      <charset val="134"/>
    </font>
    <font>
      <sz val="10"/>
      <color rgb="FF000000"/>
      <name val="Arial Unicode MS"/>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name val="Carlito"/>
      <charset val="134"/>
    </font>
    <font>
      <sz val="9"/>
      <name val="宋体"/>
      <charset val="0"/>
    </font>
    <font>
      <b/>
      <sz val="9"/>
      <name val="宋体"/>
      <charset val="0"/>
    </font>
  </fonts>
  <fills count="56">
    <fill>
      <patternFill patternType="none"/>
    </fill>
    <fill>
      <patternFill patternType="gray125"/>
    </fill>
    <fill>
      <patternFill patternType="solid">
        <fgColor rgb="FF305496"/>
        <bgColor indexed="64"/>
      </patternFill>
    </fill>
    <fill>
      <patternFill patternType="solid">
        <fgColor rgb="FF1F6F54"/>
        <bgColor indexed="64"/>
      </patternFill>
    </fill>
    <fill>
      <patternFill patternType="solid">
        <fgColor rgb="FFFEEB9B"/>
        <bgColor indexed="64"/>
      </patternFill>
    </fill>
    <fill>
      <patternFill patternType="solid">
        <fgColor rgb="FFD9D9D9"/>
        <bgColor indexed="64"/>
      </patternFill>
    </fill>
    <fill>
      <patternFill patternType="solid">
        <fgColor rgb="FFC9C9C9"/>
        <bgColor indexed="64"/>
      </patternFill>
    </fill>
    <fill>
      <patternFill patternType="solid">
        <fgColor rgb="FFFFFFFF"/>
        <bgColor indexed="64"/>
      </patternFill>
    </fill>
    <fill>
      <patternFill patternType="solid">
        <fgColor rgb="FFF4B083"/>
        <bgColor indexed="64"/>
      </patternFill>
    </fill>
    <fill>
      <patternFill patternType="solid">
        <fgColor rgb="FFFBE4D5"/>
        <bgColor indexed="64"/>
      </patternFill>
    </fill>
    <fill>
      <patternFill patternType="solid">
        <fgColor rgb="FFFFFF00"/>
        <bgColor indexed="64"/>
      </patternFill>
    </fill>
    <fill>
      <patternFill patternType="solid">
        <fgColor rgb="FFE2F0D9"/>
        <bgColor indexed="64"/>
      </patternFill>
    </fill>
    <fill>
      <patternFill patternType="solid">
        <fgColor rgb="FFDEEBF7"/>
        <bgColor indexed="64"/>
      </patternFill>
    </fill>
    <fill>
      <patternFill patternType="solid">
        <fgColor theme="0"/>
        <bgColor theme="0"/>
      </patternFill>
    </fill>
    <fill>
      <patternFill patternType="solid">
        <fgColor rgb="FFA5A5A5"/>
        <bgColor indexed="64"/>
      </patternFill>
    </fill>
    <fill>
      <patternFill patternType="solid">
        <fgColor rgb="FF5B9BD5"/>
        <bgColor indexed="64"/>
      </patternFill>
    </fill>
    <fill>
      <patternFill patternType="solid">
        <fgColor rgb="FFDCE6F1"/>
        <bgColor rgb="FFDCE6F1"/>
      </patternFill>
    </fill>
    <fill>
      <patternFill patternType="solid">
        <fgColor rgb="FF00B0F0"/>
        <bgColor indexed="64"/>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8FAADC"/>
        <bgColor indexed="64"/>
      </patternFill>
    </fill>
    <fill>
      <patternFill patternType="solid">
        <fgColor theme="7" tint="0.8"/>
        <bgColor indexed="64"/>
      </patternFill>
    </fill>
    <fill>
      <patternFill patternType="solid">
        <fgColor rgb="FFD9EAD3"/>
        <bgColor indexed="64"/>
      </patternFill>
    </fill>
    <fill>
      <patternFill patternType="solid">
        <fgColor theme="9"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95B3D7"/>
      </bottom>
      <diagonal/>
    </border>
    <border>
      <left/>
      <right/>
      <top style="thin">
        <color rgb="FF95B3D7"/>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3" fillId="0" borderId="0" applyFont="0" applyFill="0" applyBorder="0" applyAlignment="0" applyProtection="0">
      <alignment vertical="center"/>
    </xf>
    <xf numFmtId="44" fontId="53" fillId="0" borderId="0" applyFont="0" applyFill="0" applyBorder="0" applyAlignment="0" applyProtection="0">
      <alignment vertical="center"/>
    </xf>
    <xf numFmtId="9" fontId="53" fillId="0" borderId="0" applyFont="0" applyFill="0" applyBorder="0" applyAlignment="0" applyProtection="0">
      <alignment vertical="center"/>
    </xf>
    <xf numFmtId="41" fontId="53" fillId="0" borderId="0" applyFont="0" applyFill="0" applyBorder="0" applyAlignment="0" applyProtection="0">
      <alignment vertical="center"/>
    </xf>
    <xf numFmtId="42" fontId="53" fillId="0" borderId="0" applyFon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3" fillId="26" borderId="18" applyNumberFormat="0" applyFon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19" applyNumberFormat="0" applyFill="0" applyAlignment="0" applyProtection="0">
      <alignment vertical="center"/>
    </xf>
    <xf numFmtId="0" fontId="60" fillId="0" borderId="19" applyNumberFormat="0" applyFill="0" applyAlignment="0" applyProtection="0">
      <alignment vertical="center"/>
    </xf>
    <xf numFmtId="0" fontId="61" fillId="0" borderId="20" applyNumberFormat="0" applyFill="0" applyAlignment="0" applyProtection="0">
      <alignment vertical="center"/>
    </xf>
    <xf numFmtId="0" fontId="61" fillId="0" borderId="0" applyNumberFormat="0" applyFill="0" applyBorder="0" applyAlignment="0" applyProtection="0">
      <alignment vertical="center"/>
    </xf>
    <xf numFmtId="0" fontId="62" fillId="27" borderId="21" applyNumberFormat="0" applyAlignment="0" applyProtection="0">
      <alignment vertical="center"/>
    </xf>
    <xf numFmtId="0" fontId="63" fillId="28" borderId="22" applyNumberFormat="0" applyAlignment="0" applyProtection="0">
      <alignment vertical="center"/>
    </xf>
    <xf numFmtId="0" fontId="64" fillId="28" borderId="21" applyNumberFormat="0" applyAlignment="0" applyProtection="0">
      <alignment vertical="center"/>
    </xf>
    <xf numFmtId="0" fontId="65" fillId="14" borderId="23" applyNumberFormat="0" applyAlignment="0" applyProtection="0">
      <alignment vertical="center"/>
    </xf>
    <xf numFmtId="0" fontId="66" fillId="0" borderId="24" applyNumberFormat="0" applyFill="0" applyAlignment="0" applyProtection="0">
      <alignment vertical="center"/>
    </xf>
    <xf numFmtId="0" fontId="67" fillId="0" borderId="25" applyNumberFormat="0" applyFill="0" applyAlignment="0" applyProtection="0">
      <alignment vertical="center"/>
    </xf>
    <xf numFmtId="0" fontId="68" fillId="29" borderId="0" applyNumberFormat="0" applyBorder="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1" fillId="32" borderId="0" applyNumberFormat="0" applyBorder="0" applyAlignment="0" applyProtection="0">
      <alignment vertical="center"/>
    </xf>
    <xf numFmtId="0" fontId="72" fillId="33" borderId="0" applyNumberFormat="0" applyBorder="0" applyAlignment="0" applyProtection="0">
      <alignment vertical="center"/>
    </xf>
    <xf numFmtId="0" fontId="72" fillId="34" borderId="0" applyNumberFormat="0" applyBorder="0" applyAlignment="0" applyProtection="0">
      <alignment vertical="center"/>
    </xf>
    <xf numFmtId="0" fontId="71" fillId="35" borderId="0" applyNumberFormat="0" applyBorder="0" applyAlignment="0" applyProtection="0">
      <alignment vertical="center"/>
    </xf>
    <xf numFmtId="0" fontId="71" fillId="36"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pplyNumberFormat="0" applyBorder="0" applyAlignment="0" applyProtection="0">
      <alignment vertical="center"/>
    </xf>
    <xf numFmtId="0" fontId="71" fillId="39" borderId="0" applyNumberFormat="0" applyBorder="0" applyAlignment="0" applyProtection="0">
      <alignment vertical="center"/>
    </xf>
    <xf numFmtId="0" fontId="71" fillId="40" borderId="0" applyNumberFormat="0" applyBorder="0" applyAlignment="0" applyProtection="0">
      <alignment vertical="center"/>
    </xf>
    <xf numFmtId="0" fontId="72" fillId="41" borderId="0" applyNumberFormat="0" applyBorder="0" applyAlignment="0" applyProtection="0">
      <alignment vertical="center"/>
    </xf>
    <xf numFmtId="0" fontId="72" fillId="42" borderId="0" applyNumberFormat="0" applyBorder="0" applyAlignment="0" applyProtection="0">
      <alignment vertical="center"/>
    </xf>
    <xf numFmtId="0" fontId="71" fillId="43" borderId="0" applyNumberFormat="0" applyBorder="0" applyAlignment="0" applyProtection="0">
      <alignment vertical="center"/>
    </xf>
    <xf numFmtId="0" fontId="71" fillId="44" borderId="0" applyNumberFormat="0" applyBorder="0" applyAlignment="0" applyProtection="0">
      <alignment vertical="center"/>
    </xf>
    <xf numFmtId="0" fontId="72" fillId="45" borderId="0" applyNumberFormat="0" applyBorder="0" applyAlignment="0" applyProtection="0">
      <alignment vertical="center"/>
    </xf>
    <xf numFmtId="0" fontId="72" fillId="46" borderId="0" applyNumberFormat="0" applyBorder="0" applyAlignment="0" applyProtection="0">
      <alignment vertical="center"/>
    </xf>
    <xf numFmtId="0" fontId="71" fillId="47" borderId="0" applyNumberFormat="0" applyBorder="0" applyAlignment="0" applyProtection="0">
      <alignment vertical="center"/>
    </xf>
    <xf numFmtId="0" fontId="71" fillId="48" borderId="0" applyNumberFormat="0" applyBorder="0" applyAlignment="0" applyProtection="0">
      <alignment vertical="center"/>
    </xf>
    <xf numFmtId="0" fontId="72" fillId="49" borderId="0" applyNumberFormat="0" applyBorder="0" applyAlignment="0" applyProtection="0">
      <alignment vertical="center"/>
    </xf>
    <xf numFmtId="0" fontId="72" fillId="50" borderId="0" applyNumberFormat="0" applyBorder="0" applyAlignment="0" applyProtection="0">
      <alignment vertical="center"/>
    </xf>
    <xf numFmtId="0" fontId="71" fillId="51" borderId="0" applyNumberFormat="0" applyBorder="0" applyAlignment="0" applyProtection="0">
      <alignment vertical="center"/>
    </xf>
    <xf numFmtId="0" fontId="71" fillId="52" borderId="0" applyNumberFormat="0" applyBorder="0" applyAlignment="0" applyProtection="0">
      <alignment vertical="center"/>
    </xf>
    <xf numFmtId="0" fontId="72" fillId="53" borderId="0" applyNumberFormat="0" applyBorder="0" applyAlignment="0" applyProtection="0">
      <alignment vertical="center"/>
    </xf>
    <xf numFmtId="0" fontId="72" fillId="54" borderId="0" applyNumberFormat="0" applyBorder="0" applyAlignment="0" applyProtection="0">
      <alignment vertical="center"/>
    </xf>
    <xf numFmtId="0" fontId="71" fillId="55" borderId="0" applyNumberFormat="0" applyBorder="0" applyAlignment="0" applyProtection="0">
      <alignment vertical="center"/>
    </xf>
    <xf numFmtId="0" fontId="73" fillId="0" borderId="0"/>
  </cellStyleXfs>
  <cellXfs count="378">
    <xf numFmtId="0" fontId="0" fillId="0" borderId="0" xfId="0" applyFont="1" applyAlignment="1"/>
    <xf numFmtId="0" fontId="1" fillId="2" borderId="1" xfId="0" applyFont="1" applyFill="1" applyBorder="1" applyAlignment="1">
      <alignment horizontal="center" vertical="center" wrapText="1"/>
    </xf>
    <xf numFmtId="176" fontId="2" fillId="0" borderId="1" xfId="0" applyNumberFormat="1" applyFont="1" applyBorder="1" applyAlignment="1">
      <alignment horizontal="center"/>
    </xf>
    <xf numFmtId="0" fontId="2" fillId="0" borderId="1" xfId="0" applyFont="1" applyBorder="1"/>
    <xf numFmtId="4" fontId="2" fillId="0" borderId="1" xfId="0" applyNumberFormat="1" applyFont="1" applyBorder="1" applyAlignment="1">
      <alignment horizontal="right"/>
    </xf>
    <xf numFmtId="0" fontId="1" fillId="3" borderId="1" xfId="0" applyFont="1" applyFill="1" applyBorder="1" applyAlignment="1">
      <alignment horizontal="center" vertical="center" wrapText="1"/>
    </xf>
    <xf numFmtId="0" fontId="3" fillId="0" borderId="1" xfId="0" applyFont="1" applyBorder="1"/>
    <xf numFmtId="0" fontId="4" fillId="4" borderId="0" xfId="0" applyFont="1" applyFill="1" applyAlignment="1"/>
    <xf numFmtId="0" fontId="5" fillId="5" borderId="0" xfId="0" applyFont="1" applyFill="1" applyAlignment="1">
      <alignment vertical="center"/>
    </xf>
    <xf numFmtId="0" fontId="6" fillId="6" borderId="2" xfId="0" applyFont="1" applyFill="1" applyBorder="1" applyAlignment="1">
      <alignment horizontal="left" vertical="top" wrapText="1"/>
    </xf>
    <xf numFmtId="0" fontId="7" fillId="7" borderId="3" xfId="0" applyFont="1" applyFill="1" applyBorder="1" applyAlignment="1">
      <alignment horizontal="left" vertical="top" wrapText="1"/>
    </xf>
    <xf numFmtId="0" fontId="7" fillId="0" borderId="0" xfId="0" applyFont="1" applyAlignment="1">
      <alignment horizontal="left" vertical="top" wrapText="1"/>
    </xf>
    <xf numFmtId="0" fontId="8" fillId="0" borderId="2" xfId="0" applyFont="1" applyBorder="1" applyAlignment="1">
      <alignment horizontal="left" vertical="top" wrapText="1"/>
    </xf>
    <xf numFmtId="0" fontId="8" fillId="0" borderId="2" xfId="0" applyFont="1" applyBorder="1" applyAlignment="1">
      <alignment horizontal="right" vertical="top" wrapText="1"/>
    </xf>
    <xf numFmtId="177" fontId="8" fillId="0" borderId="2" xfId="0" applyNumberFormat="1" applyFont="1" applyBorder="1" applyAlignment="1">
      <alignment horizontal="right" vertical="top" wrapText="1"/>
    </xf>
    <xf numFmtId="4" fontId="8" fillId="0" borderId="2" xfId="0" applyNumberFormat="1" applyFont="1" applyBorder="1" applyAlignment="1">
      <alignment horizontal="righ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9"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7" borderId="7" xfId="0" applyFont="1" applyFill="1" applyBorder="1" applyAlignment="1">
      <alignment horizontal="left" vertical="top" wrapText="1"/>
    </xf>
    <xf numFmtId="0" fontId="6" fillId="8" borderId="2" xfId="0" applyFont="1" applyFill="1" applyBorder="1" applyAlignment="1">
      <alignment horizontal="left" vertical="top" wrapText="1"/>
    </xf>
    <xf numFmtId="0" fontId="6" fillId="8" borderId="2" xfId="0" applyFont="1" applyFill="1" applyBorder="1" applyAlignment="1">
      <alignment horizontal="justify" vertical="top" wrapText="1"/>
    </xf>
    <xf numFmtId="0" fontId="7" fillId="0" borderId="2" xfId="0" applyFont="1" applyBorder="1" applyAlignment="1">
      <alignment vertical="top" wrapText="1"/>
    </xf>
    <xf numFmtId="0" fontId="7" fillId="0" borderId="0" xfId="0" applyFont="1" applyAlignment="1">
      <alignment horizontal="left"/>
    </xf>
    <xf numFmtId="0" fontId="7" fillId="0" borderId="0" xfId="0" applyFont="1"/>
    <xf numFmtId="0" fontId="10" fillId="0" borderId="0" xfId="0" applyFont="1" applyAlignment="1">
      <alignment horizontal="left" vertical="top" wrapText="1"/>
    </xf>
    <xf numFmtId="0" fontId="9" fillId="0" borderId="6" xfId="0" applyFont="1" applyBorder="1" applyAlignment="1">
      <alignment horizontal="left" vertical="top" wrapText="1"/>
    </xf>
    <xf numFmtId="0" fontId="6" fillId="9" borderId="2" xfId="0" applyFont="1" applyFill="1" applyBorder="1" applyAlignment="1">
      <alignment horizontal="left" vertical="top" wrapText="1"/>
    </xf>
    <xf numFmtId="0" fontId="7" fillId="0" borderId="2" xfId="0" applyFont="1" applyBorder="1" applyAlignment="1">
      <alignment horizontal="right" vertical="top" wrapText="1"/>
    </xf>
    <xf numFmtId="0" fontId="7" fillId="0" borderId="3" xfId="0" applyFont="1" applyBorder="1" applyAlignment="1">
      <alignment vertical="top" wrapText="1"/>
    </xf>
    <xf numFmtId="0" fontId="11" fillId="4" borderId="0" xfId="0" applyFont="1" applyFill="1" applyAlignment="1">
      <alignment vertical="center"/>
    </xf>
    <xf numFmtId="0" fontId="12" fillId="4" borderId="7" xfId="0" applyFont="1" applyFill="1" applyBorder="1" applyAlignment="1">
      <alignment horizontal="left" vertical="top" wrapText="1"/>
    </xf>
    <xf numFmtId="0" fontId="13" fillId="4" borderId="2" xfId="0" applyFont="1" applyFill="1" applyBorder="1" applyAlignment="1">
      <alignment horizontal="left" vertical="top" wrapText="1"/>
    </xf>
    <xf numFmtId="0" fontId="13" fillId="4" borderId="2" xfId="0" applyFont="1" applyFill="1" applyBorder="1" applyAlignment="1">
      <alignment horizontal="right" vertical="top" wrapText="1"/>
    </xf>
    <xf numFmtId="4" fontId="13" fillId="4" borderId="2" xfId="0" applyNumberFormat="1" applyFont="1" applyFill="1" applyBorder="1" applyAlignment="1">
      <alignment horizontal="right" vertical="top" wrapText="1"/>
    </xf>
    <xf numFmtId="0" fontId="12" fillId="4" borderId="2" xfId="0" applyFont="1" applyFill="1" applyBorder="1" applyAlignment="1">
      <alignment vertical="top" wrapText="1"/>
    </xf>
    <xf numFmtId="4" fontId="8" fillId="10" borderId="2" xfId="0" applyNumberFormat="1" applyFont="1" applyFill="1" applyBorder="1" applyAlignment="1">
      <alignment horizontal="right" vertical="top" wrapText="1"/>
    </xf>
    <xf numFmtId="0" fontId="8" fillId="10" borderId="2" xfId="0" applyFont="1" applyFill="1" applyBorder="1" applyAlignment="1">
      <alignment horizontal="left" vertical="top" wrapText="1"/>
    </xf>
    <xf numFmtId="0" fontId="14" fillId="0" borderId="0" xfId="0" applyFont="1" applyAlignment="1"/>
    <xf numFmtId="0" fontId="15" fillId="0" borderId="0" xfId="0" applyFont="1" applyAlignment="1">
      <alignment horizontal="left" vertical="top" wrapText="1"/>
    </xf>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43" fontId="16" fillId="0" borderId="2" xfId="0" applyNumberFormat="1" applyFont="1" applyBorder="1" applyAlignment="1">
      <alignment horizontal="right" vertical="top" wrapText="1"/>
    </xf>
    <xf numFmtId="4" fontId="16" fillId="0" borderId="2" xfId="0" applyNumberFormat="1" applyFont="1" applyBorder="1" applyAlignment="1">
      <alignment horizontal="right" vertical="top" wrapText="1"/>
    </xf>
    <xf numFmtId="0" fontId="7" fillId="0" borderId="3" xfId="0" applyFont="1" applyBorder="1" applyAlignment="1">
      <alignment horizontal="right" vertical="top" wrapText="1"/>
    </xf>
    <xf numFmtId="0" fontId="5" fillId="0" borderId="0" xfId="0" applyFont="1"/>
    <xf numFmtId="177" fontId="16" fillId="0" borderId="2" xfId="0" applyNumberFormat="1" applyFont="1" applyBorder="1" applyAlignment="1">
      <alignment horizontal="right" vertical="top" wrapText="1"/>
    </xf>
    <xf numFmtId="0" fontId="8" fillId="0" borderId="0" xfId="0" applyFont="1" applyAlignment="1">
      <alignment horizontal="left" vertical="top" wrapText="1"/>
    </xf>
    <xf numFmtId="0" fontId="10" fillId="0" borderId="6" xfId="0" applyFont="1" applyBorder="1" applyAlignment="1">
      <alignment wrapText="1"/>
    </xf>
    <xf numFmtId="0" fontId="10" fillId="0" borderId="6" xfId="0" applyFont="1" applyBorder="1" applyAlignment="1">
      <alignment horizontal="right" wrapText="1"/>
    </xf>
    <xf numFmtId="178" fontId="8" fillId="0" borderId="0" xfId="0" applyNumberFormat="1" applyFont="1" applyAlignment="1">
      <alignment horizontal="left" vertical="top" wrapText="1"/>
    </xf>
    <xf numFmtId="179" fontId="8" fillId="0" borderId="0" xfId="0" applyNumberFormat="1" applyFont="1" applyAlignment="1">
      <alignment horizontal="right" vertical="top" wrapText="1"/>
    </xf>
    <xf numFmtId="0" fontId="10" fillId="0" borderId="0" xfId="0" applyFont="1" applyAlignment="1">
      <alignment vertical="top" wrapText="1"/>
    </xf>
    <xf numFmtId="179" fontId="8" fillId="0" borderId="0" xfId="0" applyNumberFormat="1" applyFont="1" applyAlignment="1">
      <alignment vertical="top" wrapText="1"/>
    </xf>
    <xf numFmtId="179" fontId="10" fillId="0" borderId="4" xfId="0" applyNumberFormat="1" applyFont="1" applyBorder="1" applyAlignment="1">
      <alignment vertical="top" wrapText="1"/>
    </xf>
    <xf numFmtId="0" fontId="17" fillId="0" borderId="2" xfId="0" applyFont="1" applyBorder="1" applyAlignment="1">
      <alignment horizontal="left" vertical="top" wrapText="1"/>
    </xf>
    <xf numFmtId="4" fontId="17" fillId="0" borderId="2" xfId="0" applyNumberFormat="1" applyFont="1" applyBorder="1" applyAlignment="1">
      <alignment horizontal="right" vertical="top" wrapText="1"/>
    </xf>
    <xf numFmtId="0" fontId="7" fillId="7" borderId="0" xfId="0" applyFont="1" applyFill="1" applyAlignment="1">
      <alignment horizontal="left" vertical="top" wrapText="1"/>
    </xf>
    <xf numFmtId="0" fontId="16" fillId="0" borderId="0" xfId="0" applyFont="1" applyAlignment="1">
      <alignment horizontal="left" vertical="top" wrapText="1"/>
    </xf>
    <xf numFmtId="177" fontId="16" fillId="0" borderId="0" xfId="0" applyNumberFormat="1" applyFont="1" applyAlignment="1">
      <alignment horizontal="right" vertical="top" wrapText="1"/>
    </xf>
    <xf numFmtId="0" fontId="6" fillId="8" borderId="0" xfId="0" applyFont="1" applyFill="1" applyAlignment="1">
      <alignment horizontal="left" vertical="top" wrapText="1"/>
    </xf>
    <xf numFmtId="0" fontId="16" fillId="0" borderId="0" xfId="0" applyFont="1" applyAlignment="1">
      <alignment horizontal="right" vertical="top" wrapText="1"/>
    </xf>
    <xf numFmtId="4" fontId="16" fillId="0" borderId="0" xfId="0" applyNumberFormat="1" applyFont="1" applyAlignment="1">
      <alignment horizontal="right" vertical="top" wrapText="1"/>
    </xf>
    <xf numFmtId="0" fontId="7" fillId="0" borderId="0" xfId="0" applyFont="1" applyAlignment="1">
      <alignment horizontal="right" vertical="top" wrapText="1"/>
    </xf>
    <xf numFmtId="0" fontId="17" fillId="0" borderId="0" xfId="0" applyFont="1" applyAlignment="1">
      <alignment horizontal="left" vertical="top" wrapText="1"/>
    </xf>
    <xf numFmtId="0" fontId="7" fillId="0" borderId="0" xfId="0" applyFont="1" applyAlignment="1">
      <alignment vertical="top" wrapText="1"/>
    </xf>
    <xf numFmtId="4" fontId="0" fillId="0" borderId="0" xfId="0" applyNumberFormat="1" applyFont="1" applyAlignment="1"/>
    <xf numFmtId="58" fontId="14" fillId="0" borderId="0" xfId="0" applyNumberFormat="1" applyFont="1" applyAlignment="1"/>
    <xf numFmtId="0" fontId="18" fillId="0" borderId="8" xfId="0" applyFont="1" applyBorder="1" applyAlignment="1">
      <alignment horizontal="left" wrapText="1"/>
    </xf>
    <xf numFmtId="0" fontId="18" fillId="0" borderId="9" xfId="0" applyFont="1" applyBorder="1" applyAlignment="1">
      <alignment horizontal="left" wrapText="1"/>
    </xf>
    <xf numFmtId="4" fontId="0" fillId="0" borderId="10" xfId="0" applyNumberFormat="1" applyBorder="1" applyAlignment="1">
      <alignment horizontal="left" wrapText="1"/>
    </xf>
    <xf numFmtId="14" fontId="0" fillId="0" borderId="10" xfId="0" applyNumberFormat="1" applyBorder="1" applyAlignment="1">
      <alignment horizontal="left" wrapText="1"/>
    </xf>
    <xf numFmtId="0" fontId="0" fillId="0" borderId="10" xfId="0" applyBorder="1" applyAlignment="1">
      <alignment horizontal="left" wrapText="1"/>
    </xf>
    <xf numFmtId="4" fontId="0" fillId="0" borderId="10" xfId="0" applyNumberFormat="1" applyFont="1" applyBorder="1" applyAlignment="1">
      <alignment horizontal="left" wrapText="1"/>
    </xf>
    <xf numFmtId="14" fontId="0" fillId="0" borderId="10" xfId="0" applyNumberFormat="1" applyFont="1" applyBorder="1" applyAlignment="1">
      <alignment horizontal="left" wrapText="1"/>
    </xf>
    <xf numFmtId="0" fontId="0" fillId="0" borderId="10" xfId="0" applyFont="1" applyBorder="1" applyAlignment="1">
      <alignment horizontal="left" wrapText="1"/>
    </xf>
    <xf numFmtId="0" fontId="18" fillId="0" borderId="10" xfId="0" applyFont="1" applyBorder="1" applyAlignment="1">
      <alignment horizontal="left" wrapText="1"/>
    </xf>
    <xf numFmtId="4" fontId="18" fillId="0" borderId="10" xfId="0" applyNumberFormat="1" applyFont="1" applyBorder="1" applyAlignment="1">
      <alignment horizontal="left" wrapText="1"/>
    </xf>
    <xf numFmtId="0" fontId="0" fillId="0" borderId="0" xfId="0" applyFont="1" applyFill="1" applyBorder="1" applyAlignment="1"/>
    <xf numFmtId="0" fontId="14" fillId="11" borderId="0" xfId="0" applyFont="1" applyFill="1" applyAlignment="1">
      <alignment horizontal="center"/>
    </xf>
    <xf numFmtId="0" fontId="0" fillId="11" borderId="0" xfId="0" applyFont="1" applyFill="1" applyAlignment="1">
      <alignment horizontal="center"/>
    </xf>
    <xf numFmtId="0" fontId="14" fillId="12" borderId="0" xfId="0" applyFont="1" applyFill="1" applyAlignment="1">
      <alignment horizontal="center"/>
    </xf>
    <xf numFmtId="0" fontId="0" fillId="12" borderId="0" xfId="0" applyFont="1" applyFill="1" applyAlignment="1">
      <alignment horizontal="center"/>
    </xf>
    <xf numFmtId="0" fontId="19" fillId="0" borderId="2" xfId="0" applyFont="1" applyBorder="1" applyAlignment="1">
      <alignment horizontal="left"/>
    </xf>
    <xf numFmtId="0" fontId="20" fillId="0" borderId="2" xfId="0" applyFont="1" applyBorder="1" applyAlignment="1">
      <alignment horizontal="left"/>
    </xf>
    <xf numFmtId="180" fontId="20" fillId="0" borderId="2" xfId="0" applyNumberFormat="1" applyFont="1" applyBorder="1" applyAlignment="1">
      <alignment horizontal="left"/>
    </xf>
    <xf numFmtId="180" fontId="20" fillId="0" borderId="0" xfId="0" applyNumberFormat="1" applyFont="1" applyFill="1" applyBorder="1" applyAlignment="1">
      <alignment horizontal="left"/>
    </xf>
    <xf numFmtId="0" fontId="20" fillId="0" borderId="0" xfId="0" applyFont="1" applyFill="1" applyBorder="1" applyAlignment="1">
      <alignment horizontal="left"/>
    </xf>
    <xf numFmtId="0" fontId="21" fillId="0" borderId="2" xfId="0" applyFont="1" applyBorder="1" applyAlignment="1">
      <alignment horizontal="left"/>
    </xf>
    <xf numFmtId="0" fontId="22" fillId="0" borderId="2" xfId="0" applyNumberFormat="1" applyFont="1" applyBorder="1" applyAlignment="1"/>
    <xf numFmtId="14" fontId="20" fillId="0" borderId="2" xfId="0" applyNumberFormat="1" applyFont="1" applyBorder="1" applyAlignment="1">
      <alignment horizontal="left"/>
    </xf>
    <xf numFmtId="181" fontId="20" fillId="0" borderId="2" xfId="0" applyNumberFormat="1" applyFont="1" applyBorder="1" applyAlignment="1">
      <alignment horizontal="left"/>
    </xf>
    <xf numFmtId="49" fontId="22" fillId="0" borderId="2" xfId="0" applyNumberFormat="1" applyFont="1" applyBorder="1" applyAlignment="1"/>
    <xf numFmtId="0" fontId="20" fillId="7" borderId="2" xfId="0" applyFont="1" applyFill="1" applyBorder="1" applyAlignment="1">
      <alignment horizontal="left"/>
    </xf>
    <xf numFmtId="0" fontId="20" fillId="13" borderId="2" xfId="0" applyFont="1" applyFill="1" applyBorder="1" applyAlignment="1">
      <alignment horizontal="left"/>
    </xf>
    <xf numFmtId="0" fontId="20" fillId="14" borderId="2" xfId="0" applyFont="1" applyFill="1" applyBorder="1" applyAlignment="1">
      <alignment horizontal="left"/>
    </xf>
    <xf numFmtId="180" fontId="20" fillId="14" borderId="2" xfId="0" applyNumberFormat="1" applyFont="1" applyFill="1" applyBorder="1" applyAlignment="1">
      <alignment horizontal="left"/>
    </xf>
    <xf numFmtId="0" fontId="20" fillId="0" borderId="2" xfId="0" applyFont="1" applyFill="1" applyBorder="1" applyAlignment="1">
      <alignment horizontal="left"/>
    </xf>
    <xf numFmtId="1" fontId="0" fillId="0" borderId="0" xfId="0" applyNumberFormat="1" applyFont="1" applyAlignment="1"/>
    <xf numFmtId="1" fontId="19" fillId="0" borderId="2" xfId="0" applyNumberFormat="1" applyFont="1" applyBorder="1" applyAlignment="1">
      <alignment horizontal="left"/>
    </xf>
    <xf numFmtId="0" fontId="20" fillId="0" borderId="2" xfId="3" applyNumberFormat="1" applyFont="1" applyBorder="1" applyAlignment="1">
      <alignment horizontal="left"/>
    </xf>
    <xf numFmtId="1" fontId="20" fillId="13" borderId="2" xfId="0" applyNumberFormat="1" applyFont="1" applyFill="1" applyBorder="1" applyAlignment="1">
      <alignment horizontal="left"/>
    </xf>
    <xf numFmtId="0" fontId="23" fillId="0" borderId="2" xfId="0" applyFont="1" applyBorder="1" applyAlignment="1">
      <alignment horizontal="left"/>
    </xf>
    <xf numFmtId="1" fontId="20" fillId="0" borderId="2" xfId="0" applyNumberFormat="1" applyFont="1" applyBorder="1" applyAlignment="1">
      <alignment horizontal="left"/>
    </xf>
    <xf numFmtId="49" fontId="22" fillId="0" borderId="2" xfId="0" applyNumberFormat="1" applyFont="1" applyFill="1" applyBorder="1" applyAlignment="1"/>
    <xf numFmtId="0" fontId="24" fillId="0" borderId="2" xfId="0" applyFont="1" applyBorder="1" applyAlignment="1">
      <alignment horizontal="left"/>
    </xf>
    <xf numFmtId="0" fontId="22" fillId="0" borderId="2" xfId="0" applyFont="1" applyFill="1" applyBorder="1" applyAlignment="1">
      <alignment horizontal="left"/>
    </xf>
    <xf numFmtId="49" fontId="20" fillId="0" borderId="2" xfId="0" applyNumberFormat="1" applyFont="1" applyFill="1" applyBorder="1" applyAlignment="1"/>
    <xf numFmtId="0" fontId="0" fillId="0" borderId="2" xfId="0" applyFont="1" applyBorder="1" applyAlignment="1"/>
    <xf numFmtId="0" fontId="25" fillId="0" borderId="2" xfId="0" applyFont="1" applyBorder="1" applyAlignment="1">
      <alignment horizontal="left" vertical="center" wrapText="1"/>
    </xf>
    <xf numFmtId="0" fontId="15" fillId="0" borderId="0" xfId="0" applyFont="1" applyAlignment="1">
      <alignment wrapText="1"/>
    </xf>
    <xf numFmtId="182" fontId="20" fillId="0" borderId="2" xfId="0" applyNumberFormat="1" applyFont="1" applyFill="1" applyBorder="1" applyAlignment="1">
      <alignment horizontal="left"/>
    </xf>
    <xf numFmtId="0" fontId="0" fillId="0" borderId="0" xfId="0" applyNumberFormat="1" applyFont="1" applyAlignment="1"/>
    <xf numFmtId="0" fontId="0" fillId="0" borderId="0" xfId="0" applyFont="1" applyFill="1" applyAlignment="1"/>
    <xf numFmtId="182" fontId="26" fillId="0" borderId="2" xfId="0" applyNumberFormat="1" applyFont="1" applyFill="1" applyBorder="1" applyAlignment="1">
      <alignment horizontal="left" wrapText="1"/>
    </xf>
    <xf numFmtId="49" fontId="27" fillId="0" borderId="2" xfId="0" applyNumberFormat="1" applyFont="1" applyBorder="1" applyAlignment="1">
      <alignment wrapText="1"/>
    </xf>
    <xf numFmtId="49" fontId="27" fillId="0" borderId="2" xfId="0" applyNumberFormat="1" applyFont="1" applyBorder="1" applyAlignment="1">
      <alignment horizontal="left" wrapText="1"/>
    </xf>
    <xf numFmtId="0" fontId="27" fillId="0" borderId="2" xfId="0" applyNumberFormat="1" applyFont="1" applyBorder="1" applyAlignment="1">
      <alignment horizontal="left" wrapText="1"/>
    </xf>
    <xf numFmtId="0" fontId="27" fillId="0" borderId="2" xfId="0" applyFont="1" applyBorder="1" applyAlignment="1">
      <alignment horizontal="left" wrapText="1"/>
    </xf>
    <xf numFmtId="182" fontId="27" fillId="0" borderId="2" xfId="0" applyNumberFormat="1" applyFont="1" applyFill="1" applyBorder="1" applyAlignment="1">
      <alignment horizontal="left" wrapText="1"/>
    </xf>
    <xf numFmtId="183" fontId="27" fillId="0" borderId="2" xfId="0" applyNumberFormat="1" applyFont="1" applyBorder="1" applyAlignment="1">
      <alignment horizontal="left" wrapText="1"/>
    </xf>
    <xf numFmtId="49" fontId="20" fillId="0" borderId="2" xfId="0" applyNumberFormat="1" applyFont="1" applyFill="1" applyBorder="1" applyAlignment="1">
      <alignment horizontal="left"/>
    </xf>
    <xf numFmtId="0" fontId="22" fillId="0" borderId="2" xfId="0" applyFont="1" applyBorder="1" applyAlignment="1">
      <alignment horizontal="left"/>
    </xf>
    <xf numFmtId="0" fontId="22" fillId="0" borderId="2" xfId="0" applyNumberFormat="1" applyFont="1" applyBorder="1" applyAlignment="1">
      <alignment horizontal="left"/>
    </xf>
    <xf numFmtId="182" fontId="22" fillId="0" borderId="2" xfId="0" applyNumberFormat="1" applyFont="1" applyFill="1" applyBorder="1" applyAlignment="1">
      <alignment horizontal="left"/>
    </xf>
    <xf numFmtId="184" fontId="22" fillId="0" borderId="2" xfId="0" applyNumberFormat="1" applyFont="1" applyBorder="1" applyAlignment="1">
      <alignment horizontal="left"/>
    </xf>
    <xf numFmtId="49" fontId="22" fillId="0" borderId="2" xfId="0" applyNumberFormat="1" applyFont="1" applyFill="1" applyBorder="1" applyAlignment="1">
      <alignment horizontal="left"/>
    </xf>
    <xf numFmtId="49" fontId="20" fillId="7" borderId="2" xfId="0" applyNumberFormat="1" applyFont="1" applyFill="1" applyBorder="1" applyAlignment="1">
      <alignment horizontal="left"/>
    </xf>
    <xf numFmtId="49" fontId="22" fillId="0" borderId="2" xfId="0" applyNumberFormat="1" applyFont="1" applyBorder="1" applyAlignment="1">
      <alignment horizontal="left"/>
    </xf>
    <xf numFmtId="0" fontId="28" fillId="0" borderId="2" xfId="0" applyFont="1" applyBorder="1" applyAlignment="1">
      <alignment horizontal="left" vertical="center" wrapText="1"/>
    </xf>
    <xf numFmtId="0" fontId="28" fillId="0" borderId="2" xfId="0" applyNumberFormat="1" applyFont="1" applyBorder="1" applyAlignment="1">
      <alignment horizontal="left" vertical="center" wrapText="1"/>
    </xf>
    <xf numFmtId="0" fontId="28" fillId="0" borderId="11" xfId="0" applyFont="1" applyBorder="1" applyAlignment="1">
      <alignment horizontal="left" vertical="center" wrapText="1"/>
    </xf>
    <xf numFmtId="0" fontId="0" fillId="0" borderId="2" xfId="0" applyNumberFormat="1" applyFont="1" applyBorder="1" applyAlignment="1"/>
    <xf numFmtId="49" fontId="22" fillId="7" borderId="2" xfId="0" applyNumberFormat="1" applyFont="1" applyFill="1" applyBorder="1" applyAlignment="1">
      <alignment horizontal="left"/>
    </xf>
    <xf numFmtId="0" fontId="29" fillId="0" borderId="2" xfId="0" applyFont="1" applyFill="1" applyBorder="1" applyAlignment="1"/>
    <xf numFmtId="0" fontId="20" fillId="0" borderId="12" xfId="0" applyFont="1" applyFill="1" applyBorder="1" applyAlignment="1">
      <alignment horizontal="left"/>
    </xf>
    <xf numFmtId="0" fontId="20" fillId="7" borderId="12" xfId="0" applyFont="1" applyFill="1" applyBorder="1" applyAlignment="1">
      <alignment horizontal="left"/>
    </xf>
    <xf numFmtId="0" fontId="20" fillId="0" borderId="11" xfId="0" applyFont="1" applyFill="1" applyBorder="1" applyAlignment="1">
      <alignment horizontal="left"/>
    </xf>
    <xf numFmtId="0" fontId="20" fillId="10" borderId="12" xfId="0" applyFont="1" applyFill="1" applyBorder="1" applyAlignment="1">
      <alignment horizontal="left"/>
    </xf>
    <xf numFmtId="1" fontId="20" fillId="10" borderId="2" xfId="0" applyNumberFormat="1" applyFont="1" applyFill="1" applyBorder="1" applyAlignment="1">
      <alignment horizontal="left"/>
    </xf>
    <xf numFmtId="49" fontId="30" fillId="0" borderId="2" xfId="0" applyNumberFormat="1" applyFont="1" applyFill="1" applyBorder="1" applyAlignment="1"/>
    <xf numFmtId="0" fontId="0" fillId="0" borderId="0" xfId="0" applyFont="1" applyAlignment="1">
      <alignment wrapText="1"/>
    </xf>
    <xf numFmtId="0" fontId="0" fillId="10" borderId="0" xfId="0" applyFont="1" applyFill="1" applyAlignment="1"/>
    <xf numFmtId="0" fontId="29" fillId="0" borderId="2" xfId="0" applyFont="1" applyFill="1" applyBorder="1" applyAlignment="1">
      <alignment wrapText="1"/>
    </xf>
    <xf numFmtId="0" fontId="29" fillId="15" borderId="2" xfId="0" applyFont="1" applyFill="1" applyBorder="1" applyAlignment="1">
      <alignment wrapText="1"/>
    </xf>
    <xf numFmtId="0" fontId="19" fillId="15" borderId="2" xfId="0" applyFont="1" applyFill="1" applyBorder="1" applyAlignment="1">
      <alignment wrapText="1"/>
    </xf>
    <xf numFmtId="0" fontId="31" fillId="0" borderId="2" xfId="0" applyFont="1" applyFill="1" applyBorder="1" applyAlignment="1">
      <alignment wrapText="1"/>
    </xf>
    <xf numFmtId="0" fontId="14" fillId="0" borderId="0" xfId="0" applyFont="1" applyAlignment="1">
      <alignment vertical="center" wrapText="1"/>
    </xf>
    <xf numFmtId="0" fontId="30" fillId="0" borderId="0" xfId="0" applyFont="1"/>
    <xf numFmtId="0" fontId="6" fillId="12" borderId="2" xfId="0" applyFont="1" applyFill="1" applyBorder="1" applyAlignment="1">
      <alignment horizontal="center" vertical="center" wrapText="1"/>
    </xf>
    <xf numFmtId="0" fontId="32" fillId="12" borderId="2" xfId="0" applyFont="1" applyFill="1" applyBorder="1" applyAlignment="1">
      <alignment horizontal="center" vertical="center" wrapText="1"/>
    </xf>
    <xf numFmtId="10" fontId="0" fillId="0" borderId="0" xfId="0" applyNumberFormat="1" applyFont="1" applyAlignment="1"/>
    <xf numFmtId="0" fontId="14" fillId="0" borderId="2" xfId="0" applyFont="1" applyBorder="1" applyAlignment="1">
      <alignment vertical="center" wrapText="1"/>
    </xf>
    <xf numFmtId="181" fontId="14" fillId="0" borderId="2" xfId="0" applyNumberFormat="1" applyFont="1" applyBorder="1" applyAlignment="1">
      <alignment vertical="center" wrapText="1"/>
    </xf>
    <xf numFmtId="10" fontId="0" fillId="0" borderId="0" xfId="0" applyNumberFormat="1" applyFont="1" applyFill="1" applyAlignment="1"/>
    <xf numFmtId="0" fontId="5" fillId="0" borderId="0" xfId="0" applyNumberFormat="1" applyFont="1"/>
    <xf numFmtId="0" fontId="5" fillId="0" borderId="0" xfId="0" applyNumberFormat="1" applyFont="1" applyFill="1" applyBorder="1"/>
    <xf numFmtId="0" fontId="5" fillId="0" borderId="0" xfId="0" applyFont="1" applyFill="1" applyBorder="1"/>
    <xf numFmtId="0" fontId="6" fillId="0" borderId="0"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14" fillId="0" borderId="0" xfId="0" applyFont="1" applyFill="1" applyBorder="1" applyAlignment="1">
      <alignment vertical="center" wrapText="1"/>
    </xf>
    <xf numFmtId="181" fontId="14" fillId="0" borderId="0" xfId="0" applyNumberFormat="1" applyFont="1" applyFill="1" applyBorder="1" applyAlignment="1">
      <alignment vertical="center" wrapText="1"/>
    </xf>
    <xf numFmtId="185" fontId="0" fillId="0" borderId="0" xfId="0" applyNumberFormat="1" applyFont="1" applyAlignment="1"/>
    <xf numFmtId="0" fontId="23" fillId="10" borderId="12" xfId="0" applyFont="1" applyFill="1" applyBorder="1" applyAlignment="1">
      <alignment horizontal="left"/>
    </xf>
    <xf numFmtId="0" fontId="33" fillId="16" borderId="13" xfId="0" applyFont="1" applyFill="1" applyBorder="1"/>
    <xf numFmtId="0" fontId="5" fillId="0" borderId="13" xfId="0" applyFont="1" applyBorder="1"/>
    <xf numFmtId="0" fontId="33" fillId="16" borderId="14" xfId="0" applyFont="1" applyFill="1" applyBorder="1"/>
    <xf numFmtId="0" fontId="18" fillId="0" borderId="0" xfId="0" applyFont="1" applyAlignment="1">
      <alignment horizontal="center" vertical="center"/>
    </xf>
    <xf numFmtId="0" fontId="4" fillId="0" borderId="0" xfId="0" applyFont="1" applyAlignment="1"/>
    <xf numFmtId="0" fontId="0" fillId="0" borderId="0" xfId="0" applyFont="1" applyAlignment="1">
      <alignment horizontal="left"/>
    </xf>
    <xf numFmtId="0" fontId="0" fillId="0" borderId="0" xfId="0" applyFont="1" applyAlignment="1">
      <alignment horizontal="center"/>
    </xf>
    <xf numFmtId="0" fontId="0" fillId="0" borderId="0" xfId="0" applyFont="1" applyFill="1" applyAlignment="1">
      <alignment horizontal="center"/>
    </xf>
    <xf numFmtId="43" fontId="0" fillId="12" borderId="0" xfId="0" applyNumberFormat="1" applyFont="1" applyFill="1" applyAlignment="1">
      <alignment horizontal="center"/>
    </xf>
    <xf numFmtId="186" fontId="0" fillId="0" borderId="0" xfId="0" applyNumberFormat="1" applyFont="1" applyAlignment="1">
      <alignment horizontal="center"/>
    </xf>
    <xf numFmtId="0" fontId="0" fillId="17" borderId="0" xfId="0" applyFont="1" applyFill="1" applyAlignment="1">
      <alignment horizontal="center"/>
    </xf>
    <xf numFmtId="49" fontId="34" fillId="0" borderId="2" xfId="0" applyNumberFormat="1" applyFont="1" applyBorder="1" applyAlignment="1">
      <alignment horizontal="center" vertical="center"/>
    </xf>
    <xf numFmtId="49" fontId="19" fillId="0" borderId="2" xfId="0" applyNumberFormat="1" applyFont="1" applyBorder="1" applyAlignment="1">
      <alignment horizontal="center" vertical="center"/>
    </xf>
    <xf numFmtId="49" fontId="19" fillId="0" borderId="2" xfId="0" applyNumberFormat="1" applyFont="1" applyBorder="1" applyAlignment="1">
      <alignment horizontal="center" vertical="center" wrapText="1"/>
    </xf>
    <xf numFmtId="4" fontId="34" fillId="0" borderId="2" xfId="0" applyNumberFormat="1" applyFont="1" applyBorder="1" applyAlignment="1">
      <alignment horizontal="center" vertical="center"/>
    </xf>
    <xf numFmtId="182" fontId="19" fillId="0" borderId="2" xfId="0" applyNumberFormat="1" applyFont="1" applyBorder="1" applyAlignment="1">
      <alignment horizontal="center" vertical="center"/>
    </xf>
    <xf numFmtId="49" fontId="19" fillId="0" borderId="0" xfId="0" applyNumberFormat="1" applyFont="1" applyFill="1" applyAlignment="1">
      <alignment horizontal="center" vertical="center"/>
    </xf>
    <xf numFmtId="43" fontId="35" fillId="12" borderId="0" xfId="0" applyNumberFormat="1" applyFont="1" applyFill="1" applyAlignment="1">
      <alignment horizontal="center" vertical="center"/>
    </xf>
    <xf numFmtId="0" fontId="35" fillId="0" borderId="0" xfId="0" applyFont="1" applyAlignment="1">
      <alignment horizontal="center" vertical="center" wrapText="1"/>
    </xf>
    <xf numFmtId="186" fontId="35" fillId="0" borderId="0" xfId="0" applyNumberFormat="1" applyFont="1" applyAlignment="1">
      <alignment horizontal="center" vertical="center"/>
    </xf>
    <xf numFmtId="0" fontId="35" fillId="17" borderId="0" xfId="0" applyFont="1" applyFill="1" applyAlignment="1">
      <alignment horizontal="center" vertical="center"/>
    </xf>
    <xf numFmtId="0" fontId="35" fillId="0" borderId="0" xfId="0" applyFont="1" applyAlignment="1">
      <alignment horizontal="center" vertical="center"/>
    </xf>
    <xf numFmtId="49" fontId="22" fillId="18" borderId="2" xfId="0" applyNumberFormat="1" applyFont="1" applyFill="1" applyBorder="1" applyAlignment="1">
      <alignment horizontal="left"/>
    </xf>
    <xf numFmtId="4" fontId="22" fillId="0" borderId="2" xfId="0" applyNumberFormat="1" applyFont="1" applyBorder="1" applyAlignment="1">
      <alignment horizontal="right"/>
    </xf>
    <xf numFmtId="4" fontId="22" fillId="0" borderId="2" xfId="0" applyNumberFormat="1" applyFont="1" applyBorder="1" applyAlignment="1"/>
    <xf numFmtId="4" fontId="20" fillId="0" borderId="2" xfId="0" applyNumberFormat="1" applyFont="1" applyBorder="1" applyAlignment="1">
      <alignment horizontal="center"/>
    </xf>
    <xf numFmtId="4" fontId="22" fillId="13" borderId="2" xfId="0" applyNumberFormat="1" applyFont="1" applyFill="1" applyBorder="1" applyAlignment="1"/>
    <xf numFmtId="182" fontId="22" fillId="0" borderId="2" xfId="0" applyNumberFormat="1" applyFont="1" applyBorder="1" applyAlignment="1">
      <alignment horizontal="left"/>
    </xf>
    <xf numFmtId="49" fontId="22" fillId="18" borderId="2" xfId="0" applyNumberFormat="1" applyFont="1" applyFill="1" applyBorder="1" applyAlignment="1">
      <alignment horizontal="center"/>
    </xf>
    <xf numFmtId="187" fontId="22" fillId="0" borderId="0" xfId="0" applyNumberFormat="1" applyFont="1" applyFill="1" applyAlignment="1">
      <alignment horizontal="center"/>
    </xf>
    <xf numFmtId="187" fontId="0" fillId="0" borderId="0" xfId="0" applyNumberFormat="1" applyFont="1" applyAlignment="1"/>
    <xf numFmtId="187" fontId="14" fillId="17" borderId="0" xfId="0" applyNumberFormat="1" applyFont="1" applyFill="1" applyAlignment="1">
      <alignment horizontal="center"/>
    </xf>
    <xf numFmtId="187" fontId="0" fillId="0" borderId="0" xfId="0" applyNumberFormat="1" applyFont="1" applyAlignment="1">
      <alignment horizontal="center"/>
    </xf>
    <xf numFmtId="10" fontId="14" fillId="0" borderId="0" xfId="0" applyNumberFormat="1" applyFont="1" applyAlignment="1">
      <alignment horizontal="center"/>
    </xf>
    <xf numFmtId="187" fontId="0" fillId="0" borderId="0" xfId="0" applyNumberFormat="1" applyFont="1" applyAlignment="1">
      <alignment horizontal="center" wrapText="1"/>
    </xf>
    <xf numFmtId="49" fontId="22" fillId="19" borderId="2" xfId="0" applyNumberFormat="1" applyFont="1" applyFill="1" applyBorder="1" applyAlignment="1">
      <alignment horizontal="left"/>
    </xf>
    <xf numFmtId="4" fontId="22" fillId="19" borderId="2" xfId="0" applyNumberFormat="1" applyFont="1" applyFill="1" applyBorder="1" applyAlignment="1"/>
    <xf numFmtId="182" fontId="22" fillId="19" borderId="2" xfId="0" applyNumberFormat="1" applyFont="1" applyFill="1" applyBorder="1" applyAlignment="1">
      <alignment horizontal="left"/>
    </xf>
    <xf numFmtId="49" fontId="22" fillId="0" borderId="2" xfId="0" applyNumberFormat="1" applyFont="1" applyBorder="1" applyAlignment="1">
      <alignment horizontal="center"/>
    </xf>
    <xf numFmtId="187" fontId="36" fillId="17" borderId="0" xfId="0" applyNumberFormat="1" applyFont="1" applyFill="1" applyAlignment="1">
      <alignment horizontal="center"/>
    </xf>
    <xf numFmtId="186" fontId="14" fillId="0" borderId="0" xfId="0" applyNumberFormat="1" applyFont="1" applyAlignment="1">
      <alignment horizontal="center"/>
    </xf>
    <xf numFmtId="4" fontId="20" fillId="0" borderId="2" xfId="0" applyNumberFormat="1" applyFont="1" applyBorder="1" applyAlignment="1"/>
    <xf numFmtId="49" fontId="22" fillId="20" borderId="2" xfId="0" applyNumberFormat="1" applyFont="1" applyFill="1" applyBorder="1" applyAlignment="1">
      <alignment horizontal="left"/>
    </xf>
    <xf numFmtId="4" fontId="20" fillId="0" borderId="2" xfId="0" applyNumberFormat="1" applyFont="1" applyBorder="1" applyAlignment="1">
      <alignment horizontal="right"/>
    </xf>
    <xf numFmtId="49" fontId="22" fillId="20" borderId="2" xfId="0" applyNumberFormat="1" applyFont="1" applyFill="1" applyBorder="1" applyAlignment="1">
      <alignment horizontal="center"/>
    </xf>
    <xf numFmtId="0" fontId="22" fillId="0" borderId="2" xfId="0" applyFont="1" applyBorder="1"/>
    <xf numFmtId="49" fontId="22" fillId="10" borderId="2" xfId="0" applyNumberFormat="1" applyFont="1" applyFill="1" applyBorder="1" applyAlignment="1">
      <alignment horizontal="center"/>
    </xf>
    <xf numFmtId="187" fontId="14" fillId="0" borderId="0" xfId="0" applyNumberFormat="1" applyFont="1" applyAlignment="1">
      <alignment horizontal="center"/>
    </xf>
    <xf numFmtId="0" fontId="22" fillId="7" borderId="2" xfId="0" applyNumberFormat="1" applyFont="1" applyFill="1" applyBorder="1" applyAlignment="1">
      <alignment horizontal="left"/>
    </xf>
    <xf numFmtId="49" fontId="19" fillId="10" borderId="2" xfId="0" applyNumberFormat="1" applyFont="1" applyFill="1" applyBorder="1" applyAlignment="1">
      <alignment horizontal="center" wrapText="1"/>
    </xf>
    <xf numFmtId="0" fontId="37" fillId="0" borderId="2" xfId="0" applyNumberFormat="1" applyFont="1" applyBorder="1" applyAlignment="1">
      <alignment horizontal="left"/>
    </xf>
    <xf numFmtId="4" fontId="37" fillId="0" borderId="2" xfId="0" applyNumberFormat="1" applyFont="1" applyBorder="1" applyAlignment="1">
      <alignment horizontal="right"/>
    </xf>
    <xf numFmtId="4" fontId="37" fillId="0" borderId="2" xfId="0" applyNumberFormat="1" applyFont="1" applyBorder="1" applyAlignment="1"/>
    <xf numFmtId="4" fontId="38" fillId="0" borderId="2" xfId="0" applyNumberFormat="1" applyFont="1" applyBorder="1" applyAlignment="1">
      <alignment horizontal="center"/>
    </xf>
    <xf numFmtId="4" fontId="37" fillId="13" borderId="2" xfId="0" applyNumberFormat="1" applyFont="1" applyFill="1" applyBorder="1" applyAlignment="1"/>
    <xf numFmtId="182" fontId="37" fillId="0" borderId="2" xfId="0" applyNumberFormat="1" applyFont="1" applyBorder="1" applyAlignment="1">
      <alignment horizontal="left"/>
    </xf>
    <xf numFmtId="49" fontId="39" fillId="10" borderId="2" xfId="0" applyNumberFormat="1" applyFont="1" applyFill="1" applyBorder="1" applyAlignment="1">
      <alignment horizontal="center" wrapText="1"/>
    </xf>
    <xf numFmtId="187" fontId="37" fillId="0" borderId="0" xfId="0" applyNumberFormat="1" applyFont="1" applyFill="1" applyAlignment="1">
      <alignment horizontal="center"/>
    </xf>
    <xf numFmtId="43" fontId="4" fillId="12" borderId="0" xfId="0" applyNumberFormat="1" applyFont="1" applyFill="1" applyAlignment="1">
      <alignment horizontal="center"/>
    </xf>
    <xf numFmtId="187" fontId="40" fillId="0" borderId="0" xfId="0" applyNumberFormat="1" applyFont="1" applyAlignment="1">
      <alignment horizontal="center"/>
    </xf>
    <xf numFmtId="186" fontId="40" fillId="0" borderId="0" xfId="0" applyNumberFormat="1" applyFont="1" applyAlignment="1">
      <alignment horizontal="center"/>
    </xf>
    <xf numFmtId="187" fontId="4" fillId="0" borderId="0" xfId="0" applyNumberFormat="1" applyFont="1" applyAlignment="1">
      <alignment horizontal="center"/>
    </xf>
    <xf numFmtId="187" fontId="41" fillId="0" borderId="0" xfId="0" applyNumberFormat="1" applyFont="1" applyFill="1" applyAlignment="1">
      <alignment horizontal="center"/>
    </xf>
    <xf numFmtId="43" fontId="42" fillId="12" borderId="0" xfId="0" applyNumberFormat="1" applyFont="1" applyFill="1" applyAlignment="1">
      <alignment horizontal="center"/>
    </xf>
    <xf numFmtId="49" fontId="20" fillId="10" borderId="2" xfId="0" applyNumberFormat="1" applyFont="1" applyFill="1" applyBorder="1" applyAlignment="1">
      <alignment horizontal="center" wrapText="1"/>
    </xf>
    <xf numFmtId="10" fontId="43" fillId="0" borderId="0" xfId="0" applyNumberFormat="1" applyFont="1" applyAlignment="1">
      <alignment horizontal="center"/>
    </xf>
    <xf numFmtId="49" fontId="20" fillId="10" borderId="2" xfId="0" applyNumberFormat="1" applyFont="1" applyFill="1" applyBorder="1" applyAlignment="1">
      <alignment horizontal="center"/>
    </xf>
    <xf numFmtId="1" fontId="22" fillId="19" borderId="15" xfId="0" applyNumberFormat="1" applyFont="1" applyFill="1" applyBorder="1" applyAlignment="1">
      <alignment horizontal="left"/>
    </xf>
    <xf numFmtId="1" fontId="22" fillId="19" borderId="2" xfId="0" applyNumberFormat="1" applyFont="1" applyFill="1" applyBorder="1" applyAlignment="1">
      <alignment horizontal="left"/>
    </xf>
    <xf numFmtId="49" fontId="22" fillId="7" borderId="15" xfId="0" applyNumberFormat="1" applyFont="1" applyFill="1" applyBorder="1" applyAlignment="1">
      <alignment horizontal="left"/>
    </xf>
    <xf numFmtId="4" fontId="30" fillId="0" borderId="0" xfId="0" applyNumberFormat="1" applyFont="1"/>
    <xf numFmtId="182" fontId="30" fillId="0" borderId="0" xfId="0" applyNumberFormat="1" applyFont="1" applyAlignment="1">
      <alignment horizontal="left"/>
    </xf>
    <xf numFmtId="0" fontId="22" fillId="10" borderId="2" xfId="0" applyNumberFormat="1" applyFont="1" applyFill="1" applyBorder="1" applyAlignment="1">
      <alignment horizontal="left"/>
    </xf>
    <xf numFmtId="0" fontId="14" fillId="0" borderId="0" xfId="0" applyFont="1" applyFill="1" applyAlignment="1"/>
    <xf numFmtId="0" fontId="44" fillId="0" borderId="0" xfId="0" applyNumberFormat="1" applyFont="1" applyFill="1" applyAlignment="1"/>
    <xf numFmtId="26" fontId="44" fillId="0" borderId="0" xfId="0" applyNumberFormat="1" applyFont="1" applyFill="1" applyAlignment="1"/>
    <xf numFmtId="0" fontId="45" fillId="0" borderId="0" xfId="6" applyFont="1" applyAlignment="1"/>
    <xf numFmtId="26" fontId="0" fillId="0" borderId="0" xfId="0" applyNumberFormat="1" applyFont="1" applyAlignment="1"/>
    <xf numFmtId="0" fontId="0" fillId="12" borderId="0" xfId="0" applyFont="1" applyFill="1" applyAlignment="1"/>
    <xf numFmtId="0" fontId="0" fillId="0" borderId="0" xfId="0" applyFont="1" applyAlignment="1">
      <alignment horizontal="center" wrapText="1"/>
    </xf>
    <xf numFmtId="182" fontId="20" fillId="0" borderId="0" xfId="0" applyNumberFormat="1" applyFont="1" applyFill="1" applyBorder="1" applyAlignment="1">
      <alignment horizontal="left"/>
    </xf>
    <xf numFmtId="0" fontId="0" fillId="0" borderId="0" xfId="0" applyNumberFormat="1" applyFont="1" applyFill="1" applyBorder="1" applyAlignment="1"/>
    <xf numFmtId="0" fontId="26" fillId="0" borderId="2" xfId="0" applyFont="1" applyBorder="1" applyAlignment="1">
      <alignment horizontal="left" wrapText="1"/>
    </xf>
    <xf numFmtId="49" fontId="20" fillId="0" borderId="2" xfId="0" applyNumberFormat="1" applyFont="1" applyBorder="1" applyAlignment="1"/>
    <xf numFmtId="0" fontId="22" fillId="13" borderId="2" xfId="0" applyFont="1" applyFill="1" applyBorder="1" applyAlignment="1">
      <alignment horizontal="left"/>
    </xf>
    <xf numFmtId="183" fontId="22" fillId="0" borderId="2" xfId="0" applyNumberFormat="1" applyFont="1" applyBorder="1" applyAlignment="1">
      <alignment horizontal="left"/>
    </xf>
    <xf numFmtId="49" fontId="22" fillId="13" borderId="2" xfId="0" applyNumberFormat="1" applyFont="1" applyFill="1" applyBorder="1" applyAlignment="1">
      <alignment horizontal="left"/>
    </xf>
    <xf numFmtId="0" fontId="22" fillId="13" borderId="2" xfId="0" applyNumberFormat="1" applyFont="1" applyFill="1" applyBorder="1" applyAlignment="1">
      <alignment horizontal="left"/>
    </xf>
    <xf numFmtId="49" fontId="23" fillId="0" borderId="2" xfId="0" applyNumberFormat="1" applyFont="1" applyBorder="1" applyAlignment="1"/>
    <xf numFmtId="0" fontId="23" fillId="0" borderId="2" xfId="0" applyNumberFormat="1" applyFont="1" applyBorder="1" applyAlignment="1">
      <alignment horizontal="left"/>
    </xf>
    <xf numFmtId="0" fontId="23" fillId="7" borderId="2" xfId="0" applyNumberFormat="1" applyFont="1" applyFill="1" applyBorder="1" applyAlignment="1">
      <alignment horizontal="left"/>
    </xf>
    <xf numFmtId="49" fontId="22" fillId="10" borderId="2" xfId="0" applyNumberFormat="1" applyFont="1" applyFill="1" applyBorder="1" applyAlignment="1"/>
    <xf numFmtId="0" fontId="20" fillId="10" borderId="2" xfId="0" applyFont="1" applyFill="1" applyBorder="1" applyAlignment="1">
      <alignment horizontal="left"/>
    </xf>
    <xf numFmtId="0" fontId="22" fillId="10" borderId="2" xfId="0" applyFont="1" applyFill="1" applyBorder="1" applyAlignment="1">
      <alignment horizontal="left"/>
    </xf>
    <xf numFmtId="0" fontId="46" fillId="0" borderId="2" xfId="0" applyFont="1" applyBorder="1" applyAlignment="1">
      <alignment horizontal="left"/>
    </xf>
    <xf numFmtId="0" fontId="46" fillId="0" borderId="2" xfId="0" applyNumberFormat="1" applyFont="1" applyBorder="1" applyAlignment="1">
      <alignment horizontal="left"/>
    </xf>
    <xf numFmtId="49" fontId="47" fillId="0" borderId="2" xfId="0" applyNumberFormat="1" applyFont="1" applyBorder="1" applyAlignment="1"/>
    <xf numFmtId="0" fontId="22" fillId="0" borderId="2" xfId="0" applyNumberFormat="1" applyFont="1" applyFill="1" applyBorder="1" applyAlignment="1">
      <alignment horizontal="left"/>
    </xf>
    <xf numFmtId="0" fontId="22" fillId="7" borderId="2" xfId="0" applyFont="1" applyFill="1" applyBorder="1" applyAlignment="1">
      <alignment horizontal="left"/>
    </xf>
    <xf numFmtId="0" fontId="48" fillId="7" borderId="2" xfId="0" applyFont="1" applyFill="1" applyBorder="1" applyAlignment="1">
      <alignment horizontal="left" vertical="center"/>
    </xf>
    <xf numFmtId="49" fontId="20" fillId="0" borderId="2" xfId="0" applyNumberFormat="1" applyFont="1" applyBorder="1" applyAlignment="1">
      <alignment horizontal="left"/>
    </xf>
    <xf numFmtId="14" fontId="22" fillId="0" borderId="2" xfId="0" applyNumberFormat="1" applyFont="1" applyFill="1" applyBorder="1" applyAlignment="1">
      <alignment horizontal="left"/>
    </xf>
    <xf numFmtId="0" fontId="28" fillId="10" borderId="2" xfId="0" applyNumberFormat="1" applyFont="1" applyFill="1" applyBorder="1" applyAlignment="1">
      <alignment horizontal="left" vertical="center" wrapText="1"/>
    </xf>
    <xf numFmtId="49" fontId="20" fillId="0" borderId="2" xfId="0" applyNumberFormat="1" applyFont="1" applyBorder="1" applyAlignment="1">
      <alignment horizontal="left" vertical="center"/>
    </xf>
    <xf numFmtId="49" fontId="20" fillId="7" borderId="2" xfId="0" applyNumberFormat="1" applyFont="1" applyFill="1" applyBorder="1" applyAlignment="1">
      <alignment horizontal="left" vertical="center"/>
    </xf>
    <xf numFmtId="182" fontId="20" fillId="0" borderId="15" xfId="0" applyNumberFormat="1" applyFont="1" applyFill="1" applyBorder="1" applyAlignment="1">
      <alignment horizontal="left"/>
    </xf>
    <xf numFmtId="0" fontId="22" fillId="0" borderId="15" xfId="0" applyNumberFormat="1" applyFont="1" applyBorder="1" applyAlignment="1">
      <alignment horizontal="left"/>
    </xf>
    <xf numFmtId="0" fontId="20" fillId="0" borderId="15" xfId="0" applyFont="1" applyBorder="1" applyAlignment="1">
      <alignment horizontal="left"/>
    </xf>
    <xf numFmtId="182" fontId="22" fillId="0" borderId="15" xfId="0" applyNumberFormat="1" applyFont="1" applyFill="1" applyBorder="1" applyAlignment="1">
      <alignment horizontal="left"/>
    </xf>
    <xf numFmtId="0" fontId="22" fillId="0" borderId="15" xfId="0" applyFont="1" applyBorder="1" applyAlignment="1">
      <alignment horizontal="left"/>
    </xf>
    <xf numFmtId="0" fontId="49" fillId="0" borderId="2" xfId="0" applyFont="1" applyFill="1" applyBorder="1" applyAlignment="1">
      <alignment horizontal="center" vertical="center"/>
    </xf>
    <xf numFmtId="0" fontId="20" fillId="0" borderId="2" xfId="0" applyFont="1" applyBorder="1" applyAlignment="1">
      <alignment horizontal="left" vertical="center"/>
    </xf>
    <xf numFmtId="0" fontId="20" fillId="7" borderId="2" xfId="0" applyFont="1" applyFill="1" applyBorder="1" applyAlignment="1">
      <alignment horizontal="left" vertical="center"/>
    </xf>
    <xf numFmtId="188" fontId="20" fillId="0" borderId="2" xfId="0" applyNumberFormat="1" applyFont="1" applyFill="1" applyBorder="1" applyAlignment="1">
      <alignment horizontal="left" vertical="center"/>
    </xf>
    <xf numFmtId="183" fontId="20" fillId="0" borderId="2" xfId="0" applyNumberFormat="1" applyFont="1" applyBorder="1" applyAlignment="1">
      <alignment horizontal="center" vertical="center"/>
    </xf>
    <xf numFmtId="0" fontId="20" fillId="0" borderId="2" xfId="0" applyNumberFormat="1" applyFont="1" applyFill="1" applyBorder="1" applyAlignment="1">
      <alignment horizontal="center" vertical="center"/>
    </xf>
    <xf numFmtId="0" fontId="50" fillId="0" borderId="2" xfId="0" applyFont="1" applyFill="1" applyBorder="1" applyAlignment="1">
      <alignment vertical="center"/>
    </xf>
    <xf numFmtId="0" fontId="20" fillId="0" borderId="2" xfId="0" applyNumberFormat="1" applyFont="1" applyBorder="1" applyAlignment="1">
      <alignment horizontal="left"/>
    </xf>
    <xf numFmtId="0" fontId="20" fillId="7" borderId="16" xfId="0" applyFont="1" applyFill="1" applyBorder="1" applyAlignment="1">
      <alignment horizontal="center" vertical="center"/>
    </xf>
    <xf numFmtId="0" fontId="20" fillId="7" borderId="11" xfId="0" applyFont="1" applyFill="1" applyBorder="1" applyAlignment="1">
      <alignment horizontal="center" vertical="center"/>
    </xf>
    <xf numFmtId="183" fontId="22" fillId="0" borderId="2" xfId="0" applyNumberFormat="1" applyFont="1" applyBorder="1" applyAlignment="1">
      <alignment horizontal="center" vertical="center"/>
    </xf>
    <xf numFmtId="0" fontId="50" fillId="0" borderId="2" xfId="0" applyFont="1" applyFill="1" applyBorder="1" applyAlignment="1">
      <alignment horizontal="left" vertical="center"/>
    </xf>
    <xf numFmtId="0" fontId="22" fillId="7" borderId="11" xfId="0" applyFont="1" applyFill="1" applyBorder="1" applyAlignment="1">
      <alignment horizontal="center" vertical="center"/>
    </xf>
    <xf numFmtId="0" fontId="14" fillId="0" borderId="2" xfId="0" applyFont="1" applyBorder="1" applyAlignment="1"/>
    <xf numFmtId="183" fontId="22" fillId="0" borderId="2" xfId="0" applyNumberFormat="1" applyFont="1" applyBorder="1" applyAlignment="1">
      <alignment horizontal="center"/>
    </xf>
    <xf numFmtId="0" fontId="20" fillId="7" borderId="16" xfId="0" applyFont="1" applyFill="1" applyBorder="1" applyAlignment="1">
      <alignment horizontal="center"/>
    </xf>
    <xf numFmtId="0" fontId="22" fillId="7" borderId="11" xfId="0" applyFont="1" applyFill="1" applyBorder="1" applyAlignment="1">
      <alignment horizontal="center"/>
    </xf>
    <xf numFmtId="0" fontId="5" fillId="0" borderId="0" xfId="0" applyFont="1" applyAlignment="1"/>
    <xf numFmtId="183" fontId="20" fillId="0" borderId="2" xfId="0" applyNumberFormat="1" applyFont="1" applyBorder="1" applyAlignment="1">
      <alignment horizontal="left"/>
    </xf>
    <xf numFmtId="0" fontId="0" fillId="0" borderId="0" xfId="0" applyFont="1" applyBorder="1" applyAlignment="1"/>
    <xf numFmtId="0" fontId="0" fillId="7" borderId="0" xfId="0" applyFont="1" applyFill="1" applyBorder="1" applyAlignment="1"/>
    <xf numFmtId="1" fontId="0" fillId="0" borderId="0" xfId="0" applyNumberFormat="1" applyFont="1" applyBorder="1" applyAlignment="1">
      <alignment horizontal="left"/>
    </xf>
    <xf numFmtId="0" fontId="0" fillId="0" borderId="0" xfId="0" applyNumberFormat="1" applyFont="1" applyBorder="1" applyAlignment="1">
      <alignment horizontal="left"/>
    </xf>
    <xf numFmtId="183" fontId="22" fillId="0" borderId="0" xfId="0" applyNumberFormat="1" applyFont="1" applyBorder="1" applyAlignment="1">
      <alignment horizontal="center"/>
    </xf>
    <xf numFmtId="183" fontId="22" fillId="0" borderId="0" xfId="0" applyNumberFormat="1" applyFont="1" applyBorder="1" applyAlignment="1">
      <alignment horizontal="left"/>
    </xf>
    <xf numFmtId="0" fontId="0" fillId="0" borderId="0" xfId="0" applyNumberFormat="1" applyFont="1" applyBorder="1" applyAlignment="1"/>
    <xf numFmtId="0" fontId="19" fillId="0" borderId="2" xfId="0" applyFont="1" applyFill="1" applyBorder="1" applyAlignment="1">
      <alignment horizontal="left"/>
    </xf>
    <xf numFmtId="0" fontId="19" fillId="7" borderId="2" xfId="0" applyFont="1" applyFill="1" applyBorder="1" applyAlignment="1">
      <alignment horizontal="left"/>
    </xf>
    <xf numFmtId="1" fontId="19" fillId="0" borderId="2" xfId="0" applyNumberFormat="1" applyFont="1" applyFill="1" applyBorder="1" applyAlignment="1">
      <alignment horizontal="left"/>
    </xf>
    <xf numFmtId="0" fontId="19" fillId="0" borderId="2" xfId="0" applyNumberFormat="1" applyFont="1" applyFill="1" applyBorder="1" applyAlignment="1">
      <alignment horizontal="left"/>
    </xf>
    <xf numFmtId="183" fontId="20" fillId="0" borderId="2" xfId="0" applyNumberFormat="1" applyFont="1" applyFill="1" applyBorder="1" applyAlignment="1">
      <alignment horizontal="center"/>
    </xf>
    <xf numFmtId="183" fontId="20" fillId="0" borderId="2" xfId="0" applyNumberFormat="1" applyFont="1" applyFill="1" applyBorder="1" applyAlignment="1">
      <alignment horizontal="left"/>
    </xf>
    <xf numFmtId="182" fontId="20" fillId="0" borderId="2" xfId="0" applyNumberFormat="1" applyFont="1" applyBorder="1" applyAlignment="1">
      <alignment horizontal="left"/>
    </xf>
    <xf numFmtId="183" fontId="20" fillId="0" borderId="2" xfId="0" applyNumberFormat="1" applyFont="1" applyBorder="1" applyAlignment="1">
      <alignment horizontal="center"/>
    </xf>
    <xf numFmtId="189" fontId="22" fillId="0" borderId="2" xfId="0" applyNumberFormat="1" applyFont="1" applyBorder="1" applyAlignment="1">
      <alignment horizontal="left"/>
    </xf>
    <xf numFmtId="49" fontId="0" fillId="0" borderId="0" xfId="0" applyNumberFormat="1" applyAlignment="1">
      <alignment horizontal="left" vertical="center"/>
    </xf>
    <xf numFmtId="0" fontId="20" fillId="0" borderId="16" xfId="0" applyFont="1" applyBorder="1" applyAlignment="1">
      <alignment horizontal="center" vertical="center" wrapText="1"/>
    </xf>
    <xf numFmtId="0" fontId="20" fillId="0" borderId="11" xfId="0" applyFont="1" applyBorder="1" applyAlignment="1">
      <alignment horizontal="center" vertical="center" wrapText="1"/>
    </xf>
    <xf numFmtId="49" fontId="20" fillId="19" borderId="2" xfId="0" applyNumberFormat="1" applyFont="1" applyFill="1" applyBorder="1" applyAlignment="1">
      <alignment horizontal="left"/>
    </xf>
    <xf numFmtId="0" fontId="20" fillId="0" borderId="2" xfId="0" applyFont="1" applyBorder="1" applyAlignment="1">
      <alignment horizontal="left" wrapText="1"/>
    </xf>
    <xf numFmtId="0" fontId="20" fillId="0" borderId="16" xfId="0" applyFont="1" applyBorder="1" applyAlignment="1">
      <alignment horizontal="center" wrapText="1"/>
    </xf>
    <xf numFmtId="0" fontId="20" fillId="0" borderId="11" xfId="0" applyFont="1" applyBorder="1" applyAlignment="1">
      <alignment horizontal="center" wrapText="1"/>
    </xf>
    <xf numFmtId="1" fontId="22" fillId="0" borderId="2" xfId="0" applyNumberFormat="1" applyFont="1" applyFill="1" applyBorder="1" applyAlignment="1">
      <alignment horizontal="left"/>
    </xf>
    <xf numFmtId="183" fontId="22" fillId="0" borderId="2" xfId="0" applyNumberFormat="1" applyFont="1" applyFill="1" applyBorder="1" applyAlignment="1">
      <alignment horizontal="left"/>
    </xf>
    <xf numFmtId="189" fontId="22" fillId="0" borderId="2" xfId="0" applyNumberFormat="1" applyFont="1" applyFill="1" applyBorder="1" applyAlignment="1">
      <alignment horizontal="left"/>
    </xf>
    <xf numFmtId="0" fontId="20" fillId="0" borderId="16" xfId="0" applyFont="1" applyBorder="1" applyAlignment="1">
      <alignment horizontal="center"/>
    </xf>
    <xf numFmtId="0" fontId="20" fillId="0" borderId="11" xfId="0" applyFont="1" applyBorder="1" applyAlignment="1">
      <alignment horizontal="center"/>
    </xf>
    <xf numFmtId="0" fontId="20" fillId="0" borderId="2" xfId="0" applyFont="1" applyBorder="1" applyAlignment="1">
      <alignment horizontal="center" vertical="center"/>
    </xf>
    <xf numFmtId="0" fontId="20" fillId="0" borderId="16" xfId="0" applyFont="1" applyBorder="1" applyAlignment="1">
      <alignment horizontal="left"/>
    </xf>
    <xf numFmtId="14" fontId="0" fillId="0" borderId="0" xfId="0" applyNumberFormat="1" applyFont="1" applyAlignment="1"/>
    <xf numFmtId="58" fontId="22" fillId="0" borderId="2" xfId="0" applyNumberFormat="1" applyFont="1" applyBorder="1" applyAlignment="1">
      <alignment horizontal="left"/>
    </xf>
    <xf numFmtId="0" fontId="22" fillId="21" borderId="2" xfId="0" applyNumberFormat="1" applyFont="1" applyFill="1" applyBorder="1" applyAlignment="1">
      <alignment horizontal="left"/>
    </xf>
    <xf numFmtId="183" fontId="22" fillId="0" borderId="2" xfId="0" applyNumberFormat="1" applyFont="1" applyFill="1" applyBorder="1" applyAlignment="1">
      <alignment horizontal="center"/>
    </xf>
    <xf numFmtId="49" fontId="23" fillId="0" borderId="2" xfId="0" applyNumberFormat="1" applyFont="1" applyFill="1" applyBorder="1" applyAlignment="1">
      <alignment horizontal="left"/>
    </xf>
    <xf numFmtId="1" fontId="23" fillId="19" borderId="2" xfId="0" applyNumberFormat="1" applyFont="1" applyFill="1" applyBorder="1" applyAlignment="1">
      <alignment horizontal="left"/>
    </xf>
    <xf numFmtId="0" fontId="23" fillId="10" borderId="2" xfId="0" applyFont="1" applyFill="1" applyBorder="1" applyAlignment="1">
      <alignment horizontal="left"/>
    </xf>
    <xf numFmtId="0" fontId="23" fillId="0" borderId="2" xfId="0" applyFont="1" applyFill="1" applyBorder="1" applyAlignment="1">
      <alignment horizontal="left"/>
    </xf>
    <xf numFmtId="1" fontId="23" fillId="0" borderId="2" xfId="0" applyNumberFormat="1" applyFont="1" applyFill="1" applyBorder="1" applyAlignment="1">
      <alignment horizontal="left"/>
    </xf>
    <xf numFmtId="0" fontId="23" fillId="21" borderId="2" xfId="0" applyFont="1" applyFill="1" applyBorder="1" applyAlignment="1">
      <alignment horizontal="left"/>
    </xf>
    <xf numFmtId="49" fontId="23" fillId="0" borderId="15" xfId="0" applyNumberFormat="1" applyFont="1" applyFill="1" applyBorder="1" applyAlignment="1">
      <alignment horizontal="left"/>
    </xf>
    <xf numFmtId="1" fontId="23" fillId="0" borderId="15" xfId="0" applyNumberFormat="1" applyFont="1" applyFill="1" applyBorder="1" applyAlignment="1">
      <alignment horizontal="left"/>
    </xf>
    <xf numFmtId="0" fontId="23" fillId="0" borderId="15" xfId="0" applyFont="1" applyFill="1" applyBorder="1" applyAlignment="1">
      <alignment horizontal="left"/>
    </xf>
    <xf numFmtId="0" fontId="23" fillId="21" borderId="15" xfId="0" applyFont="1" applyFill="1" applyBorder="1" applyAlignment="1">
      <alignment horizontal="left"/>
    </xf>
    <xf numFmtId="183" fontId="22" fillId="0" borderId="15" xfId="0" applyNumberFormat="1" applyFont="1" applyFill="1" applyBorder="1" applyAlignment="1">
      <alignment horizontal="center"/>
    </xf>
    <xf numFmtId="183" fontId="20" fillId="0" borderId="15" xfId="0" applyNumberFormat="1" applyFont="1" applyFill="1" applyBorder="1" applyAlignment="1">
      <alignment horizontal="center"/>
    </xf>
    <xf numFmtId="0" fontId="22" fillId="0" borderId="15" xfId="0" applyNumberFormat="1" applyFont="1" applyFill="1" applyBorder="1" applyAlignment="1">
      <alignment horizontal="left"/>
    </xf>
    <xf numFmtId="189" fontId="22" fillId="0" borderId="15" xfId="0" applyNumberFormat="1" applyFont="1" applyFill="1" applyBorder="1" applyAlignment="1">
      <alignment horizontal="left"/>
    </xf>
    <xf numFmtId="0" fontId="22" fillId="0" borderId="15" xfId="0" applyFont="1" applyFill="1" applyBorder="1" applyAlignment="1">
      <alignment horizontal="left"/>
    </xf>
    <xf numFmtId="0" fontId="20" fillId="0" borderId="15" xfId="0" applyFont="1" applyFill="1" applyBorder="1" applyAlignment="1">
      <alignment horizontal="left"/>
    </xf>
    <xf numFmtId="190" fontId="0" fillId="0" borderId="0" xfId="0" applyNumberFormat="1" applyFont="1" applyAlignment="1"/>
    <xf numFmtId="190" fontId="18" fillId="0" borderId="17" xfId="0" applyNumberFormat="1" applyFont="1" applyBorder="1" applyAlignment="1">
      <alignment horizontal="center" vertical="center"/>
    </xf>
    <xf numFmtId="190" fontId="18" fillId="0" borderId="17" xfId="0" applyNumberFormat="1" applyFont="1" applyBorder="1" applyAlignment="1">
      <alignment horizontal="center"/>
    </xf>
    <xf numFmtId="190" fontId="18" fillId="22" borderId="17" xfId="0" applyNumberFormat="1" applyFont="1" applyFill="1" applyBorder="1" applyAlignment="1">
      <alignment horizontal="center" vertical="center"/>
    </xf>
    <xf numFmtId="0" fontId="18" fillId="0" borderId="17" xfId="0" applyFont="1" applyBorder="1" applyAlignment="1">
      <alignment horizontal="center"/>
    </xf>
    <xf numFmtId="190" fontId="51" fillId="0" borderId="17" xfId="0" applyNumberFormat="1" applyFont="1" applyBorder="1"/>
    <xf numFmtId="181" fontId="0" fillId="0" borderId="17" xfId="0" applyNumberFormat="1" applyFont="1" applyBorder="1" applyAlignment="1"/>
    <xf numFmtId="190" fontId="0" fillId="0" borderId="17" xfId="0" applyNumberFormat="1" applyFont="1" applyBorder="1" applyAlignment="1"/>
    <xf numFmtId="190" fontId="52" fillId="0" borderId="17" xfId="0" applyNumberFormat="1" applyFont="1" applyBorder="1"/>
    <xf numFmtId="190" fontId="52" fillId="0" borderId="0" xfId="0" applyNumberFormat="1" applyFont="1"/>
    <xf numFmtId="0" fontId="0" fillId="0" borderId="0" xfId="0" applyFont="1" applyFill="1" applyAlignment="1">
      <alignment vertical="top"/>
    </xf>
    <xf numFmtId="0" fontId="0" fillId="23" borderId="0" xfId="0" applyFont="1" applyFill="1" applyAlignment="1"/>
    <xf numFmtId="0" fontId="0" fillId="24" borderId="0" xfId="0" applyFont="1" applyFill="1" applyAlignment="1"/>
    <xf numFmtId="0" fontId="26" fillId="0" borderId="2" xfId="0" applyFont="1" applyBorder="1" applyAlignment="1">
      <alignment horizontal="left" vertical="top"/>
    </xf>
    <xf numFmtId="182" fontId="26" fillId="0" borderId="2" xfId="0" applyNumberFormat="1" applyFont="1" applyBorder="1" applyAlignment="1">
      <alignment horizontal="left" vertical="top"/>
    </xf>
    <xf numFmtId="0" fontId="26" fillId="23" borderId="2" xfId="0" applyFont="1" applyFill="1" applyBorder="1" applyAlignment="1">
      <alignment horizontal="left" vertical="top" wrapText="1"/>
    </xf>
    <xf numFmtId="0" fontId="26" fillId="0" borderId="2" xfId="0" applyFont="1" applyBorder="1" applyAlignment="1">
      <alignment horizontal="left" vertical="top" wrapText="1"/>
    </xf>
    <xf numFmtId="190" fontId="26" fillId="0" borderId="2" xfId="0" applyNumberFormat="1" applyFont="1" applyBorder="1" applyAlignment="1">
      <alignment horizontal="left" vertical="top"/>
    </xf>
    <xf numFmtId="0" fontId="26" fillId="25" borderId="2" xfId="0" applyFont="1" applyFill="1" applyBorder="1" applyAlignment="1">
      <alignment horizontal="left" vertical="top"/>
    </xf>
    <xf numFmtId="0" fontId="26" fillId="24" borderId="2" xfId="0" applyFont="1" applyFill="1" applyBorder="1" applyAlignment="1">
      <alignment horizontal="left" vertical="top" wrapText="1"/>
    </xf>
    <xf numFmtId="0" fontId="20" fillId="23" borderId="2" xfId="0" applyFont="1" applyFill="1" applyBorder="1" applyAlignment="1">
      <alignment horizontal="left"/>
    </xf>
    <xf numFmtId="190" fontId="20" fillId="0" borderId="2" xfId="0" applyNumberFormat="1" applyFont="1" applyBorder="1" applyAlignment="1">
      <alignment horizontal="left"/>
    </xf>
    <xf numFmtId="0" fontId="20" fillId="25" borderId="2" xfId="0" applyFont="1" applyFill="1" applyBorder="1" applyAlignment="1">
      <alignment horizontal="left"/>
    </xf>
    <xf numFmtId="0" fontId="20" fillId="24" borderId="2" xfId="0" applyFont="1" applyFill="1" applyBorder="1" applyAlignment="1">
      <alignment horizontal="left"/>
    </xf>
    <xf numFmtId="0" fontId="15" fillId="0" borderId="0" xfId="0" applyFont="1" applyFill="1" applyAlignment="1">
      <alignment vertical="top" wrapText="1"/>
    </xf>
    <xf numFmtId="190" fontId="0" fillId="0" borderId="0" xfId="0" applyNumberFormat="1" applyFont="1" applyFill="1" applyAlignment="1"/>
    <xf numFmtId="0" fontId="0" fillId="25" borderId="0" xfId="0" applyFont="1" applyFill="1" applyAlignment="1"/>
    <xf numFmtId="190" fontId="0" fillId="0" borderId="0" xfId="0" applyNumberFormat="1" applyFont="1" applyFill="1" applyAlignment="1">
      <alignment wrapText="1"/>
    </xf>
    <xf numFmtId="0" fontId="0" fillId="0" borderId="0" xfId="0" applyFont="1" applyFill="1" applyAlignment="1">
      <alignment wrapText="1"/>
    </xf>
    <xf numFmtId="182" fontId="26" fillId="0" borderId="2" xfId="0" applyNumberFormat="1" applyFont="1" applyBorder="1" applyAlignment="1">
      <alignment horizontal="left" vertical="top" wrapText="1"/>
    </xf>
    <xf numFmtId="190" fontId="26" fillId="0" borderId="2" xfId="0" applyNumberFormat="1" applyFont="1" applyBorder="1" applyAlignment="1">
      <alignment horizontal="left" vertical="top" wrapText="1"/>
    </xf>
    <xf numFmtId="0" fontId="26" fillId="25" borderId="2" xfId="0" applyFont="1" applyFill="1" applyBorder="1" applyAlignment="1">
      <alignment horizontal="left" vertical="top" wrapText="1"/>
    </xf>
    <xf numFmtId="190" fontId="20" fillId="0" borderId="2" xfId="0" applyNumberFormat="1" applyFont="1" applyBorder="1" applyAlignment="1">
      <alignment horizontal="left" wrapText="1"/>
    </xf>
    <xf numFmtId="0" fontId="14" fillId="0" borderId="0" xfId="0" applyFont="1" applyAlignment="1" quotePrefix="1"/>
    <xf numFmtId="0" fontId="0" fillId="0" borderId="10" xfId="0" applyBorder="1" applyAlignment="1" quotePrefix="1">
      <alignment horizontal="left" wrapText="1"/>
    </xf>
    <xf numFmtId="0" fontId="0" fillId="0" borderId="10" xfId="0" applyFont="1" applyBorder="1" applyAlignment="1" quotePrefix="1">
      <alignment horizontal="lef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3">
    <dxf>
      <font>
        <color rgb="FF9C0006"/>
      </font>
      <fill>
        <patternFill patternType="solid">
          <bgColor rgb="FFFFC7CE"/>
        </patternFill>
      </fill>
    </dxf>
    <dxf>
      <font>
        <color rgb="FF9C6500"/>
      </font>
      <fill>
        <patternFill patternType="solid">
          <bgColor rgb="FFFFEB9C"/>
        </patternFill>
      </fill>
    </dxf>
    <dxf>
      <fill>
        <patternFill patternType="solid">
          <bgColor rgb="FFFF0C01"/>
        </patternFill>
      </fill>
    </dxf>
    <dxf>
      <font>
        <color rgb="FFD73434"/>
      </font>
      <fill>
        <patternFill patternType="solid">
          <bgColor rgb="FFFEC8CE"/>
        </patternFill>
      </fill>
    </dxf>
    <dxf>
      <font>
        <color rgb="FFDCC776"/>
      </font>
      <fill>
        <patternFill patternType="solid">
          <bgColor rgb="FFFEEB9B"/>
        </patternFill>
      </fill>
    </dxf>
    <dxf>
      <fill>
        <patternFill patternType="solid">
          <bgColor rgb="FF5B9BD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customXml" Target="../customXml/item5.xml"/><Relationship Id="rId27" Type="http://schemas.openxmlformats.org/officeDocument/2006/relationships/customXml" Target="../customXml/item4.xml"/><Relationship Id="rId26" Type="http://schemas.openxmlformats.org/officeDocument/2006/relationships/customXml" Target="../customXml/item3.xml"/><Relationship Id="rId25" Type="http://www.wps.cn/officeDocument/2020/cellImage" Target="cellimag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2.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581025</xdr:colOff>
      <xdr:row>47</xdr:row>
      <xdr:rowOff>123825</xdr:rowOff>
    </xdr:to>
    <xdr:pic>
      <xdr:nvPicPr>
        <xdr:cNvPr id="3" name="ID_D1C32D996DE64517BAC2EA3820F58E62" descr="core_image_url__exec_download_1854249492"/>
        <xdr:cNvPicPr/>
      </xdr:nvPicPr>
      <xdr:blipFill>
        <a:stretch>
          <a:fillRect/>
        </a:stretch>
      </xdr:blipFill>
      <xdr:spPr>
        <a:xfrm>
          <a:off x="0" y="0"/>
          <a:ext cx="6067425" cy="7734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37;&#20316;&#34920;1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Below="0" summaryRight="0"/>
  </sheetPr>
  <dimension ref="A1:AC62"/>
  <sheetViews>
    <sheetView workbookViewId="0">
      <pane xSplit="2" ySplit="1" topLeftCell="C2" activePane="bottomRight" state="frozen"/>
      <selection/>
      <selection pane="topRight"/>
      <selection pane="bottomLeft"/>
      <selection pane="bottomRight" activeCell="I2" sqref="I2:I3"/>
    </sheetView>
  </sheetViews>
  <sheetFormatPr defaultColWidth="16.4095238095238" defaultRowHeight="12.75"/>
  <cols>
    <col min="1" max="1" width="16.5047619047619" style="115" customWidth="1"/>
    <col min="2" max="2" width="32.3619047619048" style="115" customWidth="1"/>
    <col min="3" max="3" width="9.21904761904762" style="115" customWidth="1"/>
    <col min="4" max="4" width="10" style="115" customWidth="1"/>
    <col min="5" max="5" width="7.36190476190476" style="115" customWidth="1"/>
    <col min="6" max="6" width="10.8571428571429" style="115" customWidth="1"/>
    <col min="7" max="7" width="7.57142857142857" style="115" customWidth="1"/>
    <col min="8" max="8" width="5.64761904761905" style="115" customWidth="1"/>
    <col min="9" max="9" width="6.64761904761905" style="115" customWidth="1"/>
    <col min="10" max="12" width="5.5047619047619" style="115" customWidth="1"/>
    <col min="13" max="13" width="8.03809523809524" style="115" customWidth="1"/>
    <col min="14" max="14" width="4.46666666666667" style="115" customWidth="1"/>
    <col min="15" max="15" width="5.21904761904762" style="370" customWidth="1"/>
    <col min="16" max="17" width="4.07619047619048" style="371" customWidth="1"/>
    <col min="18" max="18" width="3.57142857142857" style="115" customWidth="1"/>
    <col min="19" max="19" width="3.71428571428571" style="115" customWidth="1"/>
    <col min="20" max="20" width="6.28571428571429" style="372" customWidth="1"/>
    <col min="21" max="21" width="4.42857142857143" style="373" customWidth="1"/>
    <col min="22" max="23" width="4.28571428571429" style="115" customWidth="1"/>
    <col min="24" max="24" width="5" style="115" customWidth="1"/>
    <col min="25" max="25" width="5.28571428571429" style="115" customWidth="1"/>
    <col min="26" max="26" width="17.4380952380952" style="115" customWidth="1"/>
    <col min="27" max="29" width="5" style="115" customWidth="1"/>
    <col min="30" max="16384" width="16.4095238095238" style="115" customWidth="1"/>
  </cols>
  <sheetData>
    <row r="1" s="369" customFormat="1" ht="32" customHeight="1" spans="1:29">
      <c r="A1" s="361" t="s">
        <v>0</v>
      </c>
      <c r="B1" s="361" t="s">
        <v>1</v>
      </c>
      <c r="C1" s="374">
        <v>46125</v>
      </c>
      <c r="D1" s="361" t="s">
        <v>2</v>
      </c>
      <c r="E1" s="361" t="s">
        <v>3</v>
      </c>
      <c r="F1" s="361" t="s">
        <v>4</v>
      </c>
      <c r="G1" s="361" t="s">
        <v>5</v>
      </c>
      <c r="H1" s="360" t="s">
        <v>6</v>
      </c>
      <c r="I1" s="361" t="s">
        <v>7</v>
      </c>
      <c r="J1" s="361" t="s">
        <v>8</v>
      </c>
      <c r="K1" s="361" t="s">
        <v>9</v>
      </c>
      <c r="L1" s="361" t="s">
        <v>10</v>
      </c>
      <c r="M1" s="360" t="s">
        <v>11</v>
      </c>
      <c r="N1" s="361" t="s">
        <v>12</v>
      </c>
      <c r="O1" s="375" t="s">
        <v>13</v>
      </c>
      <c r="P1" s="376" t="s">
        <v>14</v>
      </c>
      <c r="Q1" s="376" t="s">
        <v>15</v>
      </c>
      <c r="R1" s="361" t="s">
        <v>16</v>
      </c>
      <c r="S1" s="361" t="s">
        <v>17</v>
      </c>
      <c r="T1" s="375" t="s">
        <v>18</v>
      </c>
      <c r="U1" s="361" t="s">
        <v>19</v>
      </c>
      <c r="V1" s="364" t="s">
        <v>20</v>
      </c>
      <c r="W1" s="364" t="s">
        <v>21</v>
      </c>
      <c r="X1" s="364" t="s">
        <v>22</v>
      </c>
      <c r="Y1" s="361" t="s">
        <v>23</v>
      </c>
      <c r="Z1" s="361" t="s">
        <v>24</v>
      </c>
      <c r="AA1" s="361" t="s">
        <v>25</v>
      </c>
      <c r="AB1" s="361" t="s">
        <v>26</v>
      </c>
      <c r="AC1" s="361" t="s">
        <v>27</v>
      </c>
    </row>
    <row r="2" s="115" customFormat="1" spans="1:29">
      <c r="A2" s="86" t="s">
        <v>28</v>
      </c>
      <c r="B2" s="86" t="str">
        <f>_xlfn.XLOOKUP(A2,'Product List'!B:B,'Product List'!I:I)</f>
        <v>MINI/MOE SILENT CRSTL RUN WHEEL LG 8.5-Green</v>
      </c>
      <c r="C2" s="86">
        <v>0</v>
      </c>
      <c r="D2" s="86">
        <f>SUMIFS(Purchase!F:F,Purchase!C:C,A2,Purchase!I:I,"&gt;"&amp;$C$1,Purchase!V:V,"&lt;&gt;暂缓发货")</f>
        <v>744</v>
      </c>
      <c r="E2" s="86">
        <f>SUMIFS(Purchase!F:F,Purchase!C:C,A2,Purchase!J:J,"&gt;0",Purchase!I:I,"&gt;"&amp;$C$1)</f>
        <v>744</v>
      </c>
      <c r="F2" s="86">
        <f>SUMIFS(Sales!E:E,Sales!C:C,A2,Sales!K:K,"&gt;"&amp;$C$1)</f>
        <v>376</v>
      </c>
      <c r="G2" s="86">
        <f>SUMIFS(Sales!E:E,Sales!C:C,A2,Sales!K:K,"&gt;"&amp;$C$1,Sales!L:L,"&gt;0")</f>
        <v>368</v>
      </c>
      <c r="H2" s="365">
        <f ca="1">C2+E2-G2-SUMIFS(Transfer!V:V,Transfer!O:O,A2)+SUMIFS(Transfer!W:W,Transfer!O:O,A2)</f>
        <v>376</v>
      </c>
      <c r="I2" s="86">
        <f ca="1">D2-E2+SUMIFS(Transfer!V:V,Transfer!O:O,A2)-SUMIFS(Transfer!W:W,Transfer!O:O,A2)</f>
        <v>0</v>
      </c>
      <c r="J2" s="86">
        <f>SUMIFS(Purchase!F:F,Purchase!C:C,A2,Purchase!V:V,"暂缓发货")</f>
        <v>0</v>
      </c>
      <c r="K2" s="86">
        <f t="shared" ref="K2:K62" si="0">F2-G2</f>
        <v>8</v>
      </c>
      <c r="L2" s="86">
        <f ca="1" t="shared" ref="L2:L62" si="1">H2-K2</f>
        <v>368</v>
      </c>
      <c r="M2" s="365">
        <f ca="1" t="shared" ref="M2:M62" si="2">H2+I2-K2</f>
        <v>368</v>
      </c>
      <c r="N2" s="86" t="str">
        <f ca="1">_xlfn.XLOOKUP(A2,'Product List'!B:B,'Product List'!F:F)</f>
        <v>C</v>
      </c>
      <c r="O2" s="366">
        <f>SUMIF('Weekly Sales'!B:B,A2,'Weekly Sales'!R:R)</f>
        <v>12.6666666666667</v>
      </c>
      <c r="P2" s="367">
        <f ca="1" t="shared" ref="P2:P62" si="3">IF(O2=0,999,ROUNDDOWN((L2)/O2,0))</f>
        <v>29</v>
      </c>
      <c r="Q2" s="367">
        <f ca="1" t="shared" ref="Q2:Q62" si="4">IF(O2=0,999,ROUNDDOWN((M2)/O2,0))</f>
        <v>29</v>
      </c>
      <c r="R2" s="86">
        <f>_xlfn.XLOOKUP(A2,'Product List'!B:B,'Product List'!P:P)</f>
        <v>10</v>
      </c>
      <c r="S2" s="86">
        <f ca="1" t="shared" ref="S2:S62" si="5">IF(N2="A",6,IF(N2="B",5,2))</f>
        <v>2</v>
      </c>
      <c r="T2" s="377">
        <f ca="1">SUMIF('Weekly Sales'!B:B,A2,'Weekly Sales'!T:T)</f>
        <v>0</v>
      </c>
      <c r="U2" s="315">
        <f>_xlfn.XLOOKUP(A2,'Product List'!B:B,'Product List'!O:O)</f>
        <v>1000</v>
      </c>
      <c r="V2" s="368">
        <f ca="1" t="shared" ref="V2:V62" si="6">ROUNDUP(MAX(0,O2*(R2+S2+2)+T2-M2)/Y2,0)*Y2</f>
        <v>0</v>
      </c>
      <c r="W2" s="368">
        <f ca="1">_xlfn.XLOOKUP(A2,Sum_LA!A:A,Sum_LA!V:V)</f>
        <v>0</v>
      </c>
      <c r="X2" s="368">
        <f ca="1">_xlfn.XLOOKUP(A2,Sum_HOU!A:A,Sum_HOU!V:V)</f>
        <v>192</v>
      </c>
      <c r="Y2" s="86">
        <f ca="1" t="array" ref="Y2">_xlfn.XLOOKUP(1,('Case Pack'!A:A=A2)*('Case Pack'!F:F&lt;=TODAY()),'Case Pack'!D:D,"未找到箱规")</f>
        <v>16</v>
      </c>
      <c r="Z2" s="86" t="str">
        <f>_xlfn.XLOOKUP(A2,'Product List'!B:B,'Product List'!M:M)</f>
        <v>PSP</v>
      </c>
      <c r="AA2" s="86" t="str">
        <f ca="1" t="array" ref="AA2">_xlfn.XLOOKUP(1,('Case Pack'!A:A=A2)*('Case Pack'!F:F&lt;=TODAY()),'Case Pack'!G:G,"未找到箱规")</f>
        <v>C</v>
      </c>
      <c r="AB2" s="86">
        <f ca="1" t="shared" ref="AB2:AB62" si="7">V2/Y2</f>
        <v>0</v>
      </c>
      <c r="AC2" s="86">
        <f ca="1">_xlfn.XLOOKUP(AA2,'Case Type'!A:A,'Case Type'!H:H)*AB2</f>
        <v>0</v>
      </c>
    </row>
    <row r="3" s="115" customFormat="1" spans="1:29">
      <c r="A3" s="86" t="s">
        <v>29</v>
      </c>
      <c r="B3" s="86" t="str">
        <f>_xlfn.XLOOKUP(A3,'Product List'!B:B,'Product List'!I:I)</f>
        <v>MINI/MOE SILENT CRSTL RUN WHEEL LG 8.5-White</v>
      </c>
      <c r="C3" s="86">
        <v>412</v>
      </c>
      <c r="D3" s="86">
        <f>SUMIFS(Purchase!F:F,Purchase!C:C,A3,Purchase!I:I,"&gt;"&amp;$C$1,Purchase!V:V,"&lt;&gt;暂缓发货")</f>
        <v>7336</v>
      </c>
      <c r="E3" s="86">
        <f>SUMIFS(Purchase!F:F,Purchase!C:C,A3,Purchase!J:J,"&gt;0",Purchase!I:I,"&gt;"&amp;$C$1)</f>
        <v>7336</v>
      </c>
      <c r="F3" s="86">
        <f>SUMIFS(Sales!E:E,Sales!C:C,A3,Sales!K:K,"&gt;"&amp;$C$1)</f>
        <v>4748</v>
      </c>
      <c r="G3" s="86">
        <f>SUMIFS(Sales!E:E,Sales!C:C,A3,Sales!K:K,"&gt;"&amp;$C$1,Sales!L:L,"&gt;0")</f>
        <v>3876</v>
      </c>
      <c r="H3" s="365">
        <f ca="1">C3+E3-G3-SUMIFS(Transfer!V:V,Transfer!O:O,A3)+SUMIFS(Transfer!W:W,Transfer!O:O,A3)</f>
        <v>3872</v>
      </c>
      <c r="I3" s="86">
        <f ca="1">D3-E3+SUMIFS(Transfer!V:V,Transfer!O:O,A3)-SUMIFS(Transfer!W:W,Transfer!O:O,A3)</f>
        <v>0</v>
      </c>
      <c r="J3" s="86">
        <f>SUMIFS(Purchase!F:F,Purchase!C:C,A3,Purchase!V:V,"暂缓发货")</f>
        <v>1352</v>
      </c>
      <c r="K3" s="86">
        <f t="shared" si="0"/>
        <v>872</v>
      </c>
      <c r="L3" s="86">
        <f ca="1" t="shared" si="1"/>
        <v>3000</v>
      </c>
      <c r="M3" s="365">
        <f ca="1" t="shared" si="2"/>
        <v>3000</v>
      </c>
      <c r="N3" s="86" t="str">
        <f ca="1">_xlfn.XLOOKUP(A3,'Product List'!B:B,'Product List'!F:F)</f>
        <v>A</v>
      </c>
      <c r="O3" s="366">
        <f>SUMIF('Weekly Sales'!B:B,A3,'Weekly Sales'!R:R)</f>
        <v>95.5</v>
      </c>
      <c r="P3" s="367">
        <f ca="1" t="shared" si="3"/>
        <v>31</v>
      </c>
      <c r="Q3" s="367">
        <f ca="1" t="shared" si="4"/>
        <v>31</v>
      </c>
      <c r="R3" s="86">
        <f>_xlfn.XLOOKUP(A3,'Product List'!B:B,'Product List'!P:P)</f>
        <v>10</v>
      </c>
      <c r="S3" s="86">
        <f ca="1" t="shared" si="5"/>
        <v>6</v>
      </c>
      <c r="T3" s="377">
        <f ca="1">SUMIF('Weekly Sales'!B:B,A3,'Weekly Sales'!T:T)</f>
        <v>620.75</v>
      </c>
      <c r="U3" s="315">
        <f>_xlfn.XLOOKUP(A3,'Product List'!B:B,'Product List'!O:O)</f>
        <v>1000</v>
      </c>
      <c r="V3" s="368">
        <f ca="1" t="shared" si="6"/>
        <v>0</v>
      </c>
      <c r="W3" s="368">
        <f ca="1">_xlfn.XLOOKUP(A3,Sum_LA!A:A,Sum_LA!V:V)</f>
        <v>0</v>
      </c>
      <c r="X3" s="368">
        <f ca="1">_xlfn.XLOOKUP(A3,Sum_HOU!A:A,Sum_HOU!V:V)</f>
        <v>0</v>
      </c>
      <c r="Y3" s="86">
        <f ca="1" t="array" ref="Y3">_xlfn.XLOOKUP(1,('Case Pack'!A:A=A3)*('Case Pack'!F:F&lt;=TODAY()),'Case Pack'!D:D,"未找到箱规")</f>
        <v>16</v>
      </c>
      <c r="Z3" s="86" t="str">
        <f>_xlfn.XLOOKUP(A3,'Product List'!B:B,'Product List'!M:M)</f>
        <v>PetcoUS, PetcoMX, Pet Supermarket，PSP</v>
      </c>
      <c r="AA3" s="86" t="str">
        <f ca="1" t="array" ref="AA3">_xlfn.XLOOKUP(1,('Case Pack'!A:A=A3)*('Case Pack'!F:F&lt;=TODAY()),'Case Pack'!G:G,"未找到箱规")</f>
        <v>C</v>
      </c>
      <c r="AB3" s="86">
        <f ca="1" t="shared" si="7"/>
        <v>0</v>
      </c>
      <c r="AC3" s="86">
        <f ca="1">_xlfn.XLOOKUP(AA3,'Case Type'!A:A,'Case Type'!H:H)*AB3</f>
        <v>0</v>
      </c>
    </row>
    <row r="4" s="115" customFormat="1" spans="1:29">
      <c r="A4" s="86" t="s">
        <v>30</v>
      </c>
      <c r="B4" s="86" t="str">
        <f>_xlfn.XLOOKUP(A4,'Product List'!B:B,'Product List'!I:I)</f>
        <v>MINI/MOE SMALL ANIMAL BEDDING CRINKLE PAPER BROWN 1EA</v>
      </c>
      <c r="C4" s="86">
        <v>0</v>
      </c>
      <c r="D4" s="86">
        <f>SUMIFS(Purchase!F:F,Purchase!C:C,A4,Purchase!I:I,"&gt;"&amp;$C$1,Purchase!V:V,"&lt;&gt;暂缓发货")</f>
        <v>1260</v>
      </c>
      <c r="E4" s="86">
        <f>SUMIFS(Purchase!F:F,Purchase!C:C,A4,Purchase!J:J,"&gt;0",Purchase!I:I,"&gt;"&amp;$C$1)</f>
        <v>1260</v>
      </c>
      <c r="F4" s="86">
        <f>SUMIFS(Sales!E:E,Sales!C:C,A4,Sales!K:K,"&gt;"&amp;$C$1)</f>
        <v>630</v>
      </c>
      <c r="G4" s="86">
        <f>SUMIFS(Sales!E:E,Sales!C:C,A4,Sales!K:K,"&gt;"&amp;$C$1,Sales!L:L,"&gt;0")</f>
        <v>630</v>
      </c>
      <c r="H4" s="365">
        <f ca="1">C4+E4-G4-SUMIFS(Transfer!V:V,Transfer!O:O,A4)+SUMIFS(Transfer!W:W,Transfer!O:O,A4)</f>
        <v>630</v>
      </c>
      <c r="I4" s="86">
        <f ca="1">D4-E4+SUMIFS(Transfer!V:V,Transfer!O:O,A4)-SUMIFS(Transfer!W:W,Transfer!O:O,A4)</f>
        <v>0</v>
      </c>
      <c r="J4" s="86">
        <f>SUMIFS(Purchase!F:F,Purchase!C:C,A4,Purchase!V:V,"暂缓发货")</f>
        <v>0</v>
      </c>
      <c r="K4" s="86">
        <f t="shared" si="0"/>
        <v>0</v>
      </c>
      <c r="L4" s="86">
        <f ca="1" t="shared" si="1"/>
        <v>630</v>
      </c>
      <c r="M4" s="365">
        <f ca="1" t="shared" si="2"/>
        <v>630</v>
      </c>
      <c r="N4" s="86" t="str">
        <f ca="1">_xlfn.XLOOKUP(A4,'Product List'!B:B,'Product List'!F:F)</f>
        <v>C</v>
      </c>
      <c r="O4" s="366">
        <f>SUMIF('Weekly Sales'!B:B,A4,'Weekly Sales'!R:R)</f>
        <v>6</v>
      </c>
      <c r="P4" s="367">
        <f ca="1" t="shared" si="3"/>
        <v>105</v>
      </c>
      <c r="Q4" s="367">
        <f ca="1" t="shared" si="4"/>
        <v>105</v>
      </c>
      <c r="R4" s="86">
        <f>_xlfn.XLOOKUP(A4,'Product List'!B:B,'Product List'!P:P)</f>
        <v>10</v>
      </c>
      <c r="S4" s="86">
        <f ca="1" t="shared" si="5"/>
        <v>2</v>
      </c>
      <c r="T4" s="377">
        <f ca="1">SUMIF('Weekly Sales'!B:B,A4,'Weekly Sales'!T:T)</f>
        <v>0</v>
      </c>
      <c r="U4" s="315">
        <f>_xlfn.XLOOKUP(A4,'Product List'!B:B,'Product List'!O:O)</f>
        <v>1000</v>
      </c>
      <c r="V4" s="368">
        <f ca="1" t="shared" si="6"/>
        <v>0</v>
      </c>
      <c r="W4" s="368">
        <f ca="1">_xlfn.XLOOKUP(A4,Sum_LA!A:A,Sum_LA!V:V)</f>
        <v>0</v>
      </c>
      <c r="X4" s="368">
        <f ca="1">_xlfn.XLOOKUP(A4,Sum_HOU!A:A,Sum_HOU!V:V)</f>
        <v>90</v>
      </c>
      <c r="Y4" s="86">
        <f ca="1" t="array" ref="Y4">_xlfn.XLOOKUP(1,('Case Pack'!A:A=A4)*('Case Pack'!F:F&lt;=TODAY()),'Case Pack'!D:D,"未找到箱规")</f>
        <v>30</v>
      </c>
      <c r="Z4" s="86" t="str">
        <f>_xlfn.XLOOKUP(A4,'Product List'!B:B,'Product List'!M:M)</f>
        <v>PSP</v>
      </c>
      <c r="AA4" s="86" t="str">
        <f ca="1" t="array" ref="AA4">_xlfn.XLOOKUP(1,('Case Pack'!A:A=A4)*('Case Pack'!F:F&lt;=TODAY()),'Case Pack'!G:G,"未找到箱规")</f>
        <v>A</v>
      </c>
      <c r="AB4" s="86">
        <f ca="1" t="shared" si="7"/>
        <v>0</v>
      </c>
      <c r="AC4" s="86">
        <f ca="1">_xlfn.XLOOKUP(AA4,'Case Type'!A:A,'Case Type'!H:H)*AB4</f>
        <v>0</v>
      </c>
    </row>
    <row r="5" s="115" customFormat="1" spans="1:29">
      <c r="A5" s="86" t="s">
        <v>31</v>
      </c>
      <c r="B5" s="86" t="str">
        <f>_xlfn.XLOOKUP(A5,'Product List'!B:B,'Product List'!I:I)</f>
        <v>MINI/MOE SMALL ANIMAL BEDDING PAPER PEBBLES PSTCH/CREAM 1EA</v>
      </c>
      <c r="C5" s="86">
        <v>0</v>
      </c>
      <c r="D5" s="86">
        <f>SUMIFS(Purchase!F:F,Purchase!C:C,A5,Purchase!I:I,"&gt;"&amp;$C$1,Purchase!V:V,"&lt;&gt;暂缓发货")</f>
        <v>1260</v>
      </c>
      <c r="E5" s="86">
        <f>SUMIFS(Purchase!F:F,Purchase!C:C,A5,Purchase!J:J,"&gt;0",Purchase!I:I,"&gt;"&amp;$C$1)</f>
        <v>1260</v>
      </c>
      <c r="F5" s="86">
        <f>SUMIFS(Sales!E:E,Sales!C:C,A5,Sales!K:K,"&gt;"&amp;$C$1)</f>
        <v>630</v>
      </c>
      <c r="G5" s="86">
        <f>SUMIFS(Sales!E:E,Sales!C:C,A5,Sales!K:K,"&gt;"&amp;$C$1,Sales!L:L,"&gt;0")</f>
        <v>630</v>
      </c>
      <c r="H5" s="365">
        <f ca="1">C5+E5-G5-SUMIFS(Transfer!V:V,Transfer!O:O,A5)+SUMIFS(Transfer!W:W,Transfer!O:O,A5)</f>
        <v>630</v>
      </c>
      <c r="I5" s="86">
        <f ca="1">D5-E5+SUMIFS(Transfer!V:V,Transfer!O:O,A5)-SUMIFS(Transfer!W:W,Transfer!O:O,A5)</f>
        <v>0</v>
      </c>
      <c r="J5" s="86">
        <f>SUMIFS(Purchase!F:F,Purchase!C:C,A5,Purchase!V:V,"暂缓发货")</f>
        <v>0</v>
      </c>
      <c r="K5" s="86">
        <f t="shared" si="0"/>
        <v>0</v>
      </c>
      <c r="L5" s="86">
        <f ca="1" t="shared" si="1"/>
        <v>630</v>
      </c>
      <c r="M5" s="365">
        <f ca="1" t="shared" si="2"/>
        <v>630</v>
      </c>
      <c r="N5" s="86" t="str">
        <f ca="1">_xlfn.XLOOKUP(A5,'Product List'!B:B,'Product List'!F:F)</f>
        <v>C</v>
      </c>
      <c r="O5" s="366">
        <f>SUMIF('Weekly Sales'!B:B,A5,'Weekly Sales'!R:R)</f>
        <v>1.33333333333333</v>
      </c>
      <c r="P5" s="367">
        <f ca="1" t="shared" si="3"/>
        <v>472</v>
      </c>
      <c r="Q5" s="367">
        <f ca="1" t="shared" si="4"/>
        <v>472</v>
      </c>
      <c r="R5" s="86">
        <f>_xlfn.XLOOKUP(A5,'Product List'!B:B,'Product List'!P:P)</f>
        <v>10</v>
      </c>
      <c r="S5" s="86">
        <f ca="1" t="shared" si="5"/>
        <v>2</v>
      </c>
      <c r="T5" s="377">
        <f ca="1">SUMIF('Weekly Sales'!B:B,A5,'Weekly Sales'!T:T)</f>
        <v>0</v>
      </c>
      <c r="U5" s="315">
        <f>_xlfn.XLOOKUP(A5,'Product List'!B:B,'Product List'!O:O)</f>
        <v>1000</v>
      </c>
      <c r="V5" s="368">
        <f ca="1" t="shared" si="6"/>
        <v>0</v>
      </c>
      <c r="W5" s="368">
        <f ca="1">_xlfn.XLOOKUP(A5,Sum_LA!A:A,Sum_LA!V:V)</f>
        <v>0</v>
      </c>
      <c r="X5" s="368">
        <f ca="1">_xlfn.XLOOKUP(A5,Sum_HOU!A:A,Sum_HOU!V:V)</f>
        <v>30</v>
      </c>
      <c r="Y5" s="86">
        <f ca="1" t="array" ref="Y5">_xlfn.XLOOKUP(1,('Case Pack'!A:A=A5)*('Case Pack'!F:F&lt;=TODAY()),'Case Pack'!D:D,"未找到箱规")</f>
        <v>30</v>
      </c>
      <c r="Z5" s="86" t="str">
        <f>_xlfn.XLOOKUP(A5,'Product List'!B:B,'Product List'!M:M)</f>
        <v>PSP</v>
      </c>
      <c r="AA5" s="86" t="str">
        <f ca="1" t="array" ref="AA5">_xlfn.XLOOKUP(1,('Case Pack'!A:A=A5)*('Case Pack'!F:F&lt;=TODAY()),'Case Pack'!G:G,"未找到箱规")</f>
        <v>A</v>
      </c>
      <c r="AB5" s="86">
        <f ca="1" t="shared" si="7"/>
        <v>0</v>
      </c>
      <c r="AC5" s="86">
        <f ca="1">_xlfn.XLOOKUP(AA5,'Case Type'!A:A,'Case Type'!H:H)*AB5</f>
        <v>0</v>
      </c>
    </row>
    <row r="6" s="115" customFormat="1" spans="1:29">
      <c r="A6" s="86" t="s">
        <v>32</v>
      </c>
      <c r="B6" s="86" t="str">
        <f>_xlfn.XLOOKUP(A6,'Product List'!B:B,'Product List'!I:I)</f>
        <v>MINI/MOE SMALL ANIMAL BEDDING ROLLED PAPER FOREST MIX 1EA</v>
      </c>
      <c r="C6" s="86">
        <v>0</v>
      </c>
      <c r="D6" s="86">
        <f>SUMIFS(Purchase!F:F,Purchase!C:C,A6,Purchase!I:I,"&gt;"&amp;$C$1,Purchase!V:V,"&lt;&gt;暂缓发货")</f>
        <v>3420</v>
      </c>
      <c r="E6" s="86">
        <f>SUMIFS(Purchase!F:F,Purchase!C:C,A6,Purchase!J:J,"&gt;0",Purchase!I:I,"&gt;"&amp;$C$1)</f>
        <v>3420</v>
      </c>
      <c r="F6" s="86">
        <f>SUMIFS(Sales!E:E,Sales!C:C,A6,Sales!K:K,"&gt;"&amp;$C$1)</f>
        <v>2040</v>
      </c>
      <c r="G6" s="86">
        <f>SUMIFS(Sales!E:E,Sales!C:C,A6,Sales!K:K,"&gt;"&amp;$C$1,Sales!L:L,"&gt;0")</f>
        <v>2040</v>
      </c>
      <c r="H6" s="365">
        <f ca="1">C6+E6-G6-SUMIFS(Transfer!V:V,Transfer!O:O,A6)+SUMIFS(Transfer!W:W,Transfer!O:O,A6)</f>
        <v>1380</v>
      </c>
      <c r="I6" s="86">
        <f ca="1">D6-E6+SUMIFS(Transfer!V:V,Transfer!O:O,A6)-SUMIFS(Transfer!W:W,Transfer!O:O,A6)</f>
        <v>0</v>
      </c>
      <c r="J6" s="86">
        <f>SUMIFS(Purchase!F:F,Purchase!C:C,A6,Purchase!V:V,"暂缓发货")</f>
        <v>0</v>
      </c>
      <c r="K6" s="86">
        <f t="shared" si="0"/>
        <v>0</v>
      </c>
      <c r="L6" s="86">
        <f ca="1" t="shared" si="1"/>
        <v>1380</v>
      </c>
      <c r="M6" s="365">
        <f ca="1" t="shared" si="2"/>
        <v>1380</v>
      </c>
      <c r="N6" s="86" t="str">
        <f ca="1">_xlfn.XLOOKUP(A6,'Product List'!B:B,'Product List'!F:F)</f>
        <v>B</v>
      </c>
      <c r="O6" s="366">
        <f>SUMIF('Weekly Sales'!B:B,A6,'Weekly Sales'!R:R)</f>
        <v>4</v>
      </c>
      <c r="P6" s="367">
        <f ca="1" t="shared" si="3"/>
        <v>345</v>
      </c>
      <c r="Q6" s="367">
        <f ca="1" t="shared" si="4"/>
        <v>345</v>
      </c>
      <c r="R6" s="86">
        <f>_xlfn.XLOOKUP(A6,'Product List'!B:B,'Product List'!P:P)</f>
        <v>10</v>
      </c>
      <c r="S6" s="86">
        <f ca="1" t="shared" si="5"/>
        <v>5</v>
      </c>
      <c r="T6" s="377">
        <f ca="1">SUMIF('Weekly Sales'!B:B,A6,'Weekly Sales'!T:T)</f>
        <v>21</v>
      </c>
      <c r="U6" s="315">
        <f>_xlfn.XLOOKUP(A6,'Product List'!B:B,'Product List'!O:O)</f>
        <v>1000</v>
      </c>
      <c r="V6" s="368">
        <f ca="1" t="shared" si="6"/>
        <v>0</v>
      </c>
      <c r="W6" s="368">
        <f ca="1">_xlfn.XLOOKUP(A6,Sum_LA!A:A,Sum_LA!V:V)</f>
        <v>0</v>
      </c>
      <c r="X6" s="368">
        <f ca="1">_xlfn.XLOOKUP(A6,Sum_HOU!A:A,Sum_HOU!V:V)</f>
        <v>90</v>
      </c>
      <c r="Y6" s="86">
        <f ca="1" t="array" ref="Y6">_xlfn.XLOOKUP(1,('Case Pack'!A:A=A6)*('Case Pack'!F:F&lt;=TODAY()),'Case Pack'!D:D,"未找到箱规")</f>
        <v>30</v>
      </c>
      <c r="Z6" s="86" t="str">
        <f>_xlfn.XLOOKUP(A6,'Product List'!B:B,'Product List'!M:M)</f>
        <v>PSP</v>
      </c>
      <c r="AA6" s="86" t="str">
        <f ca="1" t="array" ref="AA6">_xlfn.XLOOKUP(1,('Case Pack'!A:A=A6)*('Case Pack'!F:F&lt;=TODAY()),'Case Pack'!G:G,"未找到箱规")</f>
        <v>A</v>
      </c>
      <c r="AB6" s="86">
        <f ca="1" t="shared" si="7"/>
        <v>0</v>
      </c>
      <c r="AC6" s="86">
        <f ca="1">_xlfn.XLOOKUP(AA6,'Case Type'!A:A,'Case Type'!H:H)*AB6</f>
        <v>0</v>
      </c>
    </row>
    <row r="7" s="115" customFormat="1" spans="1:29">
      <c r="A7" s="94" t="s">
        <v>33</v>
      </c>
      <c r="B7" s="86" t="str">
        <f>_xlfn.XLOOKUP(A7,'Product List'!B:B,'Product List'!I:I)</f>
        <v>MMO-GREEN APPLE CHEW</v>
      </c>
      <c r="C7" s="86">
        <v>0</v>
      </c>
      <c r="D7" s="86">
        <f>SUMIFS(Purchase!F:F,Purchase!C:C,A7,Purchase!I:I,"&gt;"&amp;$C$1,Purchase!V:V,"&lt;&gt;暂缓发货")</f>
        <v>9936</v>
      </c>
      <c r="E7" s="86">
        <f>SUMIFS(Purchase!F:F,Purchase!C:C,A7,Purchase!J:J,"&gt;0",Purchase!I:I,"&gt;"&amp;$C$1)</f>
        <v>9936</v>
      </c>
      <c r="F7" s="86">
        <f>SUMIFS(Sales!E:E,Sales!C:C,A7,Sales!K:K,"&gt;"&amp;$C$1)</f>
        <v>5568</v>
      </c>
      <c r="G7" s="86">
        <f>SUMIFS(Sales!E:E,Sales!C:C,A7,Sales!K:K,"&gt;"&amp;$C$1,Sales!L:L,"&gt;0")</f>
        <v>4560</v>
      </c>
      <c r="H7" s="365">
        <f ca="1">C7+E7-G7-SUMIFS(Transfer!V:V,Transfer!O:O,A7)+SUMIFS(Transfer!W:W,Transfer!O:O,A7)</f>
        <v>5376</v>
      </c>
      <c r="I7" s="86">
        <f ca="1">D7-E7+SUMIFS(Transfer!V:V,Transfer!O:O,A7)-SUMIFS(Transfer!W:W,Transfer!O:O,A7)</f>
        <v>0</v>
      </c>
      <c r="J7" s="86">
        <f>SUMIFS(Purchase!F:F,Purchase!C:C,A7,Purchase!V:V,"暂缓发货")</f>
        <v>2112</v>
      </c>
      <c r="K7" s="86">
        <f t="shared" si="0"/>
        <v>1008</v>
      </c>
      <c r="L7" s="86">
        <f ca="1" t="shared" si="1"/>
        <v>4368</v>
      </c>
      <c r="M7" s="365">
        <f ca="1" t="shared" si="2"/>
        <v>4368</v>
      </c>
      <c r="N7" s="86" t="str">
        <f ca="1">_xlfn.XLOOKUP(A7,'Product List'!B:B,'Product List'!F:F)</f>
        <v>B</v>
      </c>
      <c r="O7" s="366">
        <f>SUMIF('Weekly Sales'!B:B,A7,'Weekly Sales'!R:R)</f>
        <v>150.166666666666</v>
      </c>
      <c r="P7" s="367">
        <f ca="1" t="shared" si="3"/>
        <v>29</v>
      </c>
      <c r="Q7" s="367">
        <f ca="1" t="shared" si="4"/>
        <v>29</v>
      </c>
      <c r="R7" s="86">
        <f>_xlfn.XLOOKUP(A7,'Product List'!B:B,'Product List'!P:P)</f>
        <v>10</v>
      </c>
      <c r="S7" s="86">
        <f ca="1" t="shared" si="5"/>
        <v>5</v>
      </c>
      <c r="T7" s="377">
        <f ca="1">SUMIF('Weekly Sales'!B:B,A7,'Weekly Sales'!T:T)</f>
        <v>498.708333333332</v>
      </c>
      <c r="U7" s="315">
        <f>_xlfn.XLOOKUP(A7,'Product List'!B:B,'Product List'!O:O)</f>
        <v>1000</v>
      </c>
      <c r="V7" s="368">
        <f ca="1" t="shared" si="6"/>
        <v>0</v>
      </c>
      <c r="W7" s="368">
        <f ca="1">_xlfn.XLOOKUP(A7,Sum_LA!A:A,Sum_LA!V:V)</f>
        <v>0</v>
      </c>
      <c r="X7" s="368">
        <f ca="1">_xlfn.XLOOKUP(A7,Sum_HOU!A:A,Sum_HOU!V:V)</f>
        <v>144</v>
      </c>
      <c r="Y7" s="86">
        <f ca="1" t="array" ref="Y7">_xlfn.XLOOKUP(1,('Case Pack'!A:A=A7)*('Case Pack'!F:F&lt;=TODAY()),'Case Pack'!D:D,"未找到箱规")</f>
        <v>48</v>
      </c>
      <c r="Z7" s="86" t="str">
        <f>_xlfn.XLOOKUP(A7,'Product List'!B:B,'Product List'!M:M)</f>
        <v>PetcoUS，PSP</v>
      </c>
      <c r="AA7" s="86" t="str">
        <f ca="1" t="array" ref="AA7">_xlfn.XLOOKUP(1,('Case Pack'!A:A=A7)*('Case Pack'!F:F&lt;=TODAY()),'Case Pack'!G:G,"未找到箱规")</f>
        <v>B</v>
      </c>
      <c r="AB7" s="86">
        <f ca="1" t="shared" si="7"/>
        <v>0</v>
      </c>
      <c r="AC7" s="86">
        <f ca="1">_xlfn.XLOOKUP(AA7,'Case Type'!A:A,'Case Type'!H:H)*AB7</f>
        <v>0</v>
      </c>
    </row>
    <row r="8" s="115" customFormat="1" spans="1:29">
      <c r="A8" s="94" t="s">
        <v>34</v>
      </c>
      <c r="B8" s="86" t="str">
        <f>_xlfn.XLOOKUP(A8,'Product List'!B:B,'Product List'!I:I)</f>
        <v>MMO-CAMP LUNCH BOX CHEW</v>
      </c>
      <c r="C8" s="86">
        <v>0</v>
      </c>
      <c r="D8" s="86">
        <f>SUMIFS(Purchase!F:F,Purchase!C:C,A8,Purchase!I:I,"&gt;"&amp;$C$1,Purchase!V:V,"&lt;&gt;暂缓发货")</f>
        <v>10800</v>
      </c>
      <c r="E8" s="86">
        <f>SUMIFS(Purchase!F:F,Purchase!C:C,A8,Purchase!J:J,"&gt;0",Purchase!I:I,"&gt;"&amp;$C$1)</f>
        <v>10800</v>
      </c>
      <c r="F8" s="86">
        <f>SUMIFS(Sales!E:E,Sales!C:C,A8,Sales!K:K,"&gt;"&amp;$C$1)</f>
        <v>6768</v>
      </c>
      <c r="G8" s="86">
        <f>SUMIFS(Sales!E:E,Sales!C:C,A8,Sales!K:K,"&gt;"&amp;$C$1,Sales!L:L,"&gt;0")</f>
        <v>5616</v>
      </c>
      <c r="H8" s="365">
        <f ca="1">C8+E8-G8-SUMIFS(Transfer!V:V,Transfer!O:O,A8)+SUMIFS(Transfer!W:W,Transfer!O:O,A8)</f>
        <v>5184</v>
      </c>
      <c r="I8" s="86">
        <f ca="1">D8-E8+SUMIFS(Transfer!V:V,Transfer!O:O,A8)-SUMIFS(Transfer!W:W,Transfer!O:O,A8)</f>
        <v>0</v>
      </c>
      <c r="J8" s="86">
        <f>SUMIFS(Purchase!F:F,Purchase!C:C,A8,Purchase!V:V,"暂缓发货")</f>
        <v>2160</v>
      </c>
      <c r="K8" s="86">
        <f t="shared" si="0"/>
        <v>1152</v>
      </c>
      <c r="L8" s="86">
        <f ca="1" t="shared" si="1"/>
        <v>4032</v>
      </c>
      <c r="M8" s="365">
        <f ca="1" t="shared" si="2"/>
        <v>4032</v>
      </c>
      <c r="N8" s="86" t="str">
        <f ca="1">_xlfn.XLOOKUP(A8,'Product List'!B:B,'Product List'!F:F)</f>
        <v>B</v>
      </c>
      <c r="O8" s="366">
        <f>SUMIF('Weekly Sales'!B:B,A8,'Weekly Sales'!R:R)</f>
        <v>167.833333333333</v>
      </c>
      <c r="P8" s="367">
        <f ca="1" t="shared" si="3"/>
        <v>24</v>
      </c>
      <c r="Q8" s="367">
        <f ca="1" t="shared" si="4"/>
        <v>24</v>
      </c>
      <c r="R8" s="86">
        <f>_xlfn.XLOOKUP(A8,'Product List'!B:B,'Product List'!P:P)</f>
        <v>10</v>
      </c>
      <c r="S8" s="86">
        <f ca="1" t="shared" si="5"/>
        <v>5</v>
      </c>
      <c r="T8" s="377">
        <f ca="1">SUMIF('Weekly Sales'!B:B,A8,'Weekly Sales'!T:T)</f>
        <v>560.458333333332</v>
      </c>
      <c r="U8" s="315">
        <f>_xlfn.XLOOKUP(A8,'Product List'!B:B,'Product List'!O:O)</f>
        <v>1000</v>
      </c>
      <c r="V8" s="368">
        <f ca="1" t="shared" si="6"/>
        <v>0</v>
      </c>
      <c r="W8" s="368">
        <f ca="1">_xlfn.XLOOKUP(A8,Sum_LA!A:A,Sum_LA!V:V)</f>
        <v>0</v>
      </c>
      <c r="X8" s="368">
        <f ca="1">_xlfn.XLOOKUP(A8,Sum_HOU!A:A,Sum_HOU!V:V)</f>
        <v>216</v>
      </c>
      <c r="Y8" s="86">
        <f ca="1" t="array" ref="Y8">_xlfn.XLOOKUP(1,('Case Pack'!A:A=A8)*('Case Pack'!F:F&lt;=TODAY()),'Case Pack'!D:D,"未找到箱规")</f>
        <v>72</v>
      </c>
      <c r="Z8" s="86" t="str">
        <f>_xlfn.XLOOKUP(A8,'Product List'!B:B,'Product List'!M:M)</f>
        <v>PetcoUS, Pet Supermarket，PSP</v>
      </c>
      <c r="AA8" s="86" t="str">
        <f ca="1" t="array" ref="AA8">_xlfn.XLOOKUP(1,('Case Pack'!A:A=A8)*('Case Pack'!F:F&lt;=TODAY()),'Case Pack'!G:G,"未找到箱规")</f>
        <v>B</v>
      </c>
      <c r="AB8" s="86">
        <f ca="1" t="shared" si="7"/>
        <v>0</v>
      </c>
      <c r="AC8" s="86">
        <f ca="1">_xlfn.XLOOKUP(AA8,'Case Type'!A:A,'Case Type'!H:H)*AB8</f>
        <v>0</v>
      </c>
    </row>
    <row r="9" s="115" customFormat="1" spans="1:29">
      <c r="A9" s="94" t="s">
        <v>35</v>
      </c>
      <c r="B9" s="86" t="str">
        <f>_xlfn.XLOOKUP(A9,'Product List'!B:B,'Product List'!I:I)</f>
        <v>MMO-SHELL PEARL HAMSTER CHEW</v>
      </c>
      <c r="C9" s="86">
        <v>0</v>
      </c>
      <c r="D9" s="86">
        <f>SUMIFS(Purchase!F:F,Purchase!C:C,A9,Purchase!I:I,"&gt;"&amp;$C$1,Purchase!V:V,"&lt;&gt;暂缓发货")</f>
        <v>5248</v>
      </c>
      <c r="E9" s="86">
        <f>SUMIFS(Purchase!F:F,Purchase!C:C,A9,Purchase!J:J,"&gt;0",Purchase!I:I,"&gt;"&amp;$C$1)</f>
        <v>5248</v>
      </c>
      <c r="F9" s="86">
        <f>SUMIFS(Sales!E:E,Sales!C:C,A9,Sales!K:K,"&gt;"&amp;$C$1)</f>
        <v>2112</v>
      </c>
      <c r="G9" s="86">
        <f>SUMIFS(Sales!E:E,Sales!C:C,A9,Sales!K:K,"&gt;"&amp;$C$1,Sales!L:L,"&gt;0")</f>
        <v>2112</v>
      </c>
      <c r="H9" s="365">
        <f ca="1">C9+E9-G9-SUMIFS(Transfer!V:V,Transfer!O:O,A9)+SUMIFS(Transfer!W:W,Transfer!O:O,A9)</f>
        <v>3136</v>
      </c>
      <c r="I9" s="86">
        <f ca="1">D9-E9+SUMIFS(Transfer!V:V,Transfer!O:O,A9)-SUMIFS(Transfer!W:W,Transfer!O:O,A9)</f>
        <v>0</v>
      </c>
      <c r="J9" s="86">
        <f>SUMIFS(Purchase!F:F,Purchase!C:C,A9,Purchase!V:V,"暂缓发货")</f>
        <v>640</v>
      </c>
      <c r="K9" s="86">
        <f t="shared" si="0"/>
        <v>0</v>
      </c>
      <c r="L9" s="86">
        <f ca="1" t="shared" si="1"/>
        <v>3136</v>
      </c>
      <c r="M9" s="365">
        <f ca="1" t="shared" si="2"/>
        <v>3136</v>
      </c>
      <c r="N9" s="86" t="str">
        <f ca="1">_xlfn.XLOOKUP(A9,'Product List'!B:B,'Product List'!F:F)</f>
        <v>C</v>
      </c>
      <c r="O9" s="366">
        <f>SUMIF('Weekly Sales'!B:B,A9,'Weekly Sales'!R:R)</f>
        <v>31.1666666666667</v>
      </c>
      <c r="P9" s="367">
        <f ca="1" t="shared" si="3"/>
        <v>100</v>
      </c>
      <c r="Q9" s="367">
        <f ca="1" t="shared" si="4"/>
        <v>100</v>
      </c>
      <c r="R9" s="86">
        <f>_xlfn.XLOOKUP(A9,'Product List'!B:B,'Product List'!P:P)</f>
        <v>10</v>
      </c>
      <c r="S9" s="86">
        <f ca="1" t="shared" si="5"/>
        <v>2</v>
      </c>
      <c r="T9" s="377">
        <f ca="1">SUMIF('Weekly Sales'!B:B,A9,'Weekly Sales'!T:T)</f>
        <v>0</v>
      </c>
      <c r="U9" s="315">
        <f>_xlfn.XLOOKUP(A9,'Product List'!B:B,'Product List'!O:O)</f>
        <v>1000</v>
      </c>
      <c r="V9" s="368">
        <f ca="1" t="shared" si="6"/>
        <v>0</v>
      </c>
      <c r="W9" s="368">
        <f ca="1">_xlfn.XLOOKUP(A9,Sum_LA!A:A,Sum_LA!V:V)</f>
        <v>0</v>
      </c>
      <c r="X9" s="368">
        <f ca="1">_xlfn.XLOOKUP(A9,Sum_HOU!A:A,Sum_HOU!V:V)</f>
        <v>0</v>
      </c>
      <c r="Y9" s="86">
        <f ca="1" t="array" ref="Y9">_xlfn.XLOOKUP(1,('Case Pack'!A:A=A9)*('Case Pack'!F:F&lt;=TODAY()),'Case Pack'!D:D,"未找到箱规")</f>
        <v>64</v>
      </c>
      <c r="Z9" s="86" t="str">
        <f>_xlfn.XLOOKUP(A9,'Product List'!B:B,'Product List'!M:M)</f>
        <v>PetcoUS</v>
      </c>
      <c r="AA9" s="86" t="str">
        <f ca="1" t="array" ref="AA9">_xlfn.XLOOKUP(1,('Case Pack'!A:A=A9)*('Case Pack'!F:F&lt;=TODAY()),'Case Pack'!G:G,"未找到箱规")</f>
        <v>B</v>
      </c>
      <c r="AB9" s="86">
        <f ca="1" t="shared" si="7"/>
        <v>0</v>
      </c>
      <c r="AC9" s="86">
        <f ca="1">_xlfn.XLOOKUP(AA9,'Case Type'!A:A,'Case Type'!H:H)*AB9</f>
        <v>0</v>
      </c>
    </row>
    <row r="10" s="115" customFormat="1" spans="1:29">
      <c r="A10" s="94" t="s">
        <v>36</v>
      </c>
      <c r="B10" s="86" t="str">
        <f>_xlfn.XLOOKUP(A10,'Product List'!B:B,'Product List'!I:I)</f>
        <v>NONO Magnetic Water Bottle (220 ML)</v>
      </c>
      <c r="C10" s="86">
        <v>0</v>
      </c>
      <c r="D10" s="86">
        <f>SUMIFS(Purchase!F:F,Purchase!C:C,A10,Purchase!I:I,"&gt;"&amp;$C$1,Purchase!V:V,"&lt;&gt;暂缓发货")</f>
        <v>1260</v>
      </c>
      <c r="E10" s="86">
        <f>SUMIFS(Purchase!F:F,Purchase!C:C,A10,Purchase!J:J,"&gt;0",Purchase!I:I,"&gt;"&amp;$C$1)</f>
        <v>1260</v>
      </c>
      <c r="F10" s="86">
        <f>SUMIFS(Sales!E:E,Sales!C:C,A10,Sales!K:K,"&gt;"&amp;$C$1)</f>
        <v>660</v>
      </c>
      <c r="G10" s="86">
        <f>SUMIFS(Sales!E:E,Sales!C:C,A10,Sales!K:K,"&gt;"&amp;$C$1,Sales!L:L,"&gt;0")</f>
        <v>660</v>
      </c>
      <c r="H10" s="365">
        <f ca="1">C10+E10-G10-SUMIFS(Transfer!V:V,Transfer!O:O,A10)+SUMIFS(Transfer!W:W,Transfer!O:O,A10)</f>
        <v>600</v>
      </c>
      <c r="I10" s="86">
        <f ca="1">D10-E10+SUMIFS(Transfer!V:V,Transfer!O:O,A10)-SUMIFS(Transfer!W:W,Transfer!O:O,A10)</f>
        <v>0</v>
      </c>
      <c r="J10" s="86">
        <f>SUMIFS(Purchase!F:F,Purchase!C:C,A10,Purchase!V:V,"暂缓发货")</f>
        <v>0</v>
      </c>
      <c r="K10" s="86">
        <f t="shared" si="0"/>
        <v>0</v>
      </c>
      <c r="L10" s="86">
        <f ca="1" t="shared" si="1"/>
        <v>600</v>
      </c>
      <c r="M10" s="365">
        <f ca="1" t="shared" si="2"/>
        <v>600</v>
      </c>
      <c r="N10" s="86" t="str">
        <f ca="1">_xlfn.XLOOKUP(A10,'Product List'!B:B,'Product List'!F:F)</f>
        <v>C</v>
      </c>
      <c r="O10" s="366">
        <f>SUMIF('Weekly Sales'!B:B,A10,'Weekly Sales'!R:R)</f>
        <v>7.66666666666667</v>
      </c>
      <c r="P10" s="367">
        <f ca="1" t="shared" si="3"/>
        <v>78</v>
      </c>
      <c r="Q10" s="367">
        <f ca="1" t="shared" si="4"/>
        <v>78</v>
      </c>
      <c r="R10" s="86">
        <f>_xlfn.XLOOKUP(A10,'Product List'!B:B,'Product List'!P:P)</f>
        <v>10</v>
      </c>
      <c r="S10" s="86">
        <f ca="1" t="shared" si="5"/>
        <v>2</v>
      </c>
      <c r="T10" s="377">
        <f ca="1">SUMIF('Weekly Sales'!B:B,A10,'Weekly Sales'!T:T)</f>
        <v>0</v>
      </c>
      <c r="U10" s="315">
        <f>_xlfn.XLOOKUP(A10,'Product List'!B:B,'Product List'!O:O)</f>
        <v>500</v>
      </c>
      <c r="V10" s="368">
        <f ca="1" t="shared" si="6"/>
        <v>0</v>
      </c>
      <c r="W10" s="368">
        <f ca="1">_xlfn.XLOOKUP(A10,Sum_LA!A:A,Sum_LA!V:V)</f>
        <v>0</v>
      </c>
      <c r="X10" s="368">
        <f ca="1">_xlfn.XLOOKUP(A10,Sum_HOU!A:A,Sum_HOU!V:V)</f>
        <v>120</v>
      </c>
      <c r="Y10" s="86">
        <f ca="1" t="array" ref="Y10">_xlfn.XLOOKUP(1,('Case Pack'!A:A=A10)*('Case Pack'!F:F&lt;=TODAY()),'Case Pack'!D:D,"未找到箱规")</f>
        <v>60</v>
      </c>
      <c r="Z10" s="86" t="str">
        <f>_xlfn.XLOOKUP(A10,'Product List'!B:B,'Product List'!M:M)</f>
        <v>PetcoMX,PSP</v>
      </c>
      <c r="AA10" s="86" t="str">
        <f ca="1" t="array" ref="AA10">_xlfn.XLOOKUP(1,('Case Pack'!A:A=A10)*('Case Pack'!F:F&lt;=TODAY()),'Case Pack'!G:G,"未找到箱规")</f>
        <v>A</v>
      </c>
      <c r="AB10" s="86">
        <f ca="1" t="shared" si="7"/>
        <v>0</v>
      </c>
      <c r="AC10" s="86">
        <f ca="1">_xlfn.XLOOKUP(AA10,'Case Type'!A:A,'Case Type'!H:H)*AB10</f>
        <v>0</v>
      </c>
    </row>
    <row r="11" s="115" customFormat="1" spans="1:29">
      <c r="A11" s="94" t="s">
        <v>37</v>
      </c>
      <c r="B11" s="86" t="str">
        <f>_xlfn.XLOOKUP(A11,'Product List'!B:B,'Product List'!I:I)</f>
        <v>MINI &amp; MOE MAG CONECT WTR BTL 4 OZ</v>
      </c>
      <c r="C11" s="86">
        <v>0</v>
      </c>
      <c r="D11" s="86">
        <f>SUMIFS(Purchase!F:F,Purchase!C:C,A11,Purchase!I:I,"&gt;"&amp;$C$1,Purchase!V:V,"&lt;&gt;暂缓发货")</f>
        <v>15606</v>
      </c>
      <c r="E11" s="86">
        <f>SUMIFS(Purchase!F:F,Purchase!C:C,A11,Purchase!J:J,"&gt;0",Purchase!I:I,"&gt;"&amp;$C$1)</f>
        <v>15606</v>
      </c>
      <c r="F11" s="86">
        <f>SUMIFS(Sales!E:E,Sales!C:C,A11,Sales!K:K,"&gt;"&amp;$C$1)</f>
        <v>6912</v>
      </c>
      <c r="G11" s="86">
        <f>SUMIFS(Sales!E:E,Sales!C:C,A11,Sales!K:K,"&gt;"&amp;$C$1,Sales!L:L,"&gt;0")</f>
        <v>6912</v>
      </c>
      <c r="H11" s="365">
        <f ca="1">C11+E11-G11-SUMIFS(Transfer!V:V,Transfer!O:O,A11)+SUMIFS(Transfer!W:W,Transfer!O:O,A11)</f>
        <v>8694</v>
      </c>
      <c r="I11" s="86">
        <f ca="1">D11-E11+SUMIFS(Transfer!V:V,Transfer!O:O,A11)-SUMIFS(Transfer!W:W,Transfer!O:O,A11)</f>
        <v>0</v>
      </c>
      <c r="J11" s="86">
        <f>SUMIFS(Purchase!F:F,Purchase!C:C,A11,Purchase!V:V,"暂缓发货")</f>
        <v>432</v>
      </c>
      <c r="K11" s="86">
        <f t="shared" si="0"/>
        <v>0</v>
      </c>
      <c r="L11" s="86">
        <f ca="1" t="shared" si="1"/>
        <v>8694</v>
      </c>
      <c r="M11" s="365">
        <f ca="1" t="shared" si="2"/>
        <v>8694</v>
      </c>
      <c r="N11" s="86" t="str">
        <f ca="1">_xlfn.XLOOKUP(A11,'Product List'!B:B,'Product List'!F:F)</f>
        <v>A</v>
      </c>
      <c r="O11" s="366">
        <f>SUMIF('Weekly Sales'!B:B,A11,'Weekly Sales'!R:R)</f>
        <v>315</v>
      </c>
      <c r="P11" s="367">
        <f ca="1" t="shared" si="3"/>
        <v>27</v>
      </c>
      <c r="Q11" s="367">
        <f ca="1" t="shared" si="4"/>
        <v>27</v>
      </c>
      <c r="R11" s="86">
        <f>_xlfn.XLOOKUP(A11,'Product List'!B:B,'Product List'!P:P)</f>
        <v>10</v>
      </c>
      <c r="S11" s="86">
        <f ca="1" t="shared" si="5"/>
        <v>6</v>
      </c>
      <c r="T11" s="377">
        <f ca="1">SUMIF('Weekly Sales'!B:B,A11,'Weekly Sales'!T:T)</f>
        <v>2047.5</v>
      </c>
      <c r="U11" s="315">
        <f>_xlfn.XLOOKUP(A11,'Product List'!B:B,'Product List'!O:O)</f>
        <v>500</v>
      </c>
      <c r="V11" s="368">
        <f ca="1" t="shared" si="6"/>
        <v>0</v>
      </c>
      <c r="W11" s="368">
        <f ca="1">_xlfn.XLOOKUP(A11,Sum_LA!A:A,Sum_LA!V:V)</f>
        <v>0</v>
      </c>
      <c r="X11" s="368">
        <f ca="1">_xlfn.XLOOKUP(A11,Sum_HOU!A:A,Sum_HOU!V:V)</f>
        <v>0</v>
      </c>
      <c r="Y11" s="86">
        <f ca="1" t="array" ref="Y11">_xlfn.XLOOKUP(1,('Case Pack'!A:A=A11)*('Case Pack'!F:F&lt;=TODAY()),'Case Pack'!D:D,"未找到箱规")</f>
        <v>54</v>
      </c>
      <c r="Z11" s="86" t="str">
        <f>_xlfn.XLOOKUP(A11,'Product List'!B:B,'Product List'!M:M)</f>
        <v>Petsmart</v>
      </c>
      <c r="AA11" s="86" t="str">
        <f ca="1" t="array" ref="AA11">_xlfn.XLOOKUP(1,('Case Pack'!A:A=A11)*('Case Pack'!F:F&lt;=TODAY()),'Case Pack'!G:G,"未找到箱规")</f>
        <v>A</v>
      </c>
      <c r="AB11" s="86">
        <f ca="1" t="shared" si="7"/>
        <v>0</v>
      </c>
      <c r="AC11" s="86">
        <f ca="1">_xlfn.XLOOKUP(AA11,'Case Type'!A:A,'Case Type'!H:H)*AB11</f>
        <v>0</v>
      </c>
    </row>
    <row r="12" s="115" customFormat="1" spans="1:29">
      <c r="A12" s="94" t="s">
        <v>38</v>
      </c>
      <c r="B12" s="86" t="str">
        <f>_xlfn.XLOOKUP(A12,'Product List'!B:B,'Product List'!I:I)</f>
        <v>Ceramic Candy Bowl</v>
      </c>
      <c r="C12" s="86">
        <v>0</v>
      </c>
      <c r="D12" s="86">
        <f>SUMIFS(Purchase!F:F,Purchase!C:C,A12,Purchase!I:I,"&gt;"&amp;$C$1,Purchase!V:V,"&lt;&gt;暂缓发货")</f>
        <v>1248</v>
      </c>
      <c r="E12" s="86">
        <f>SUMIFS(Purchase!F:F,Purchase!C:C,A12,Purchase!J:J,"&gt;0",Purchase!I:I,"&gt;"&amp;$C$1)</f>
        <v>1248</v>
      </c>
      <c r="F12" s="86">
        <f>SUMIFS(Sales!E:E,Sales!C:C,A12,Sales!K:K,"&gt;"&amp;$C$1)</f>
        <v>672</v>
      </c>
      <c r="G12" s="86">
        <f>SUMIFS(Sales!E:E,Sales!C:C,A12,Sales!K:K,"&gt;"&amp;$C$1,Sales!L:L,"&gt;0")</f>
        <v>672</v>
      </c>
      <c r="H12" s="365">
        <f ca="1">C12+E12-G12-SUMIFS(Transfer!V:V,Transfer!O:O,A12)+SUMIFS(Transfer!W:W,Transfer!O:O,A12)</f>
        <v>576</v>
      </c>
      <c r="I12" s="86">
        <f ca="1">D12-E12+SUMIFS(Transfer!V:V,Transfer!O:O,A12)-SUMIFS(Transfer!W:W,Transfer!O:O,A12)</f>
        <v>0</v>
      </c>
      <c r="J12" s="86">
        <f>SUMIFS(Purchase!F:F,Purchase!C:C,A12,Purchase!V:V,"暂缓发货")</f>
        <v>0</v>
      </c>
      <c r="K12" s="86">
        <f t="shared" si="0"/>
        <v>0</v>
      </c>
      <c r="L12" s="86">
        <f ca="1" t="shared" si="1"/>
        <v>576</v>
      </c>
      <c r="M12" s="365">
        <f ca="1" t="shared" si="2"/>
        <v>576</v>
      </c>
      <c r="N12" s="86" t="str">
        <f ca="1">_xlfn.XLOOKUP(A12,'Product List'!B:B,'Product List'!F:F)</f>
        <v>C</v>
      </c>
      <c r="O12" s="366">
        <f>SUMIF('Weekly Sales'!B:B,A12,'Weekly Sales'!R:R)</f>
        <v>2.16666666666667</v>
      </c>
      <c r="P12" s="367">
        <f ca="1" t="shared" si="3"/>
        <v>265</v>
      </c>
      <c r="Q12" s="367">
        <f ca="1" t="shared" si="4"/>
        <v>265</v>
      </c>
      <c r="R12" s="86">
        <f>_xlfn.XLOOKUP(A12,'Product List'!B:B,'Product List'!P:P)</f>
        <v>15</v>
      </c>
      <c r="S12" s="86">
        <f ca="1" t="shared" si="5"/>
        <v>2</v>
      </c>
      <c r="T12" s="377">
        <f ca="1">SUMIF('Weekly Sales'!B:B,A12,'Weekly Sales'!T:T)</f>
        <v>0</v>
      </c>
      <c r="U12" s="315">
        <f>_xlfn.XLOOKUP(A12,'Product List'!B:B,'Product List'!O:O)</f>
        <v>2000</v>
      </c>
      <c r="V12" s="368">
        <f ca="1" t="shared" si="6"/>
        <v>0</v>
      </c>
      <c r="W12" s="368">
        <f ca="1">_xlfn.XLOOKUP(A12,Sum_LA!A:A,Sum_LA!V:V)</f>
        <v>0</v>
      </c>
      <c r="X12" s="368">
        <f ca="1">_xlfn.XLOOKUP(A12,Sum_HOU!A:A,Sum_HOU!V:V)</f>
        <v>48</v>
      </c>
      <c r="Y12" s="86">
        <f ca="1" t="array" ref="Y12">_xlfn.XLOOKUP(1,('Case Pack'!A:A=A12)*('Case Pack'!F:F&lt;=TODAY()),'Case Pack'!D:D,"未找到箱规")</f>
        <v>48</v>
      </c>
      <c r="Z12" s="86" t="str">
        <f>_xlfn.XLOOKUP(A12,'Product List'!B:B,'Product List'!M:M)</f>
        <v>PetcoMX,PSP</v>
      </c>
      <c r="AA12" s="86" t="str">
        <f ca="1" t="array" ref="AA12">_xlfn.XLOOKUP(1,('Case Pack'!A:A=A12)*('Case Pack'!F:F&lt;=TODAY()),'Case Pack'!G:G,"未找到箱规")</f>
        <v>B</v>
      </c>
      <c r="AB12" s="86">
        <f ca="1" t="shared" si="7"/>
        <v>0</v>
      </c>
      <c r="AC12" s="86">
        <f ca="1">_xlfn.XLOOKUP(AA12,'Case Type'!A:A,'Case Type'!H:H)*AB12</f>
        <v>0</v>
      </c>
    </row>
    <row r="13" s="115" customFormat="1" spans="1:29">
      <c r="A13" s="86" t="s">
        <v>39</v>
      </c>
      <c r="B13" s="86" t="str">
        <f>_xlfn.XLOOKUP(A13,'Product List'!B:B,'Product List'!I:I)</f>
        <v>MINI/MOE MUSHROOM CABIN</v>
      </c>
      <c r="C13" s="86">
        <v>0</v>
      </c>
      <c r="D13" s="86">
        <f>SUMIFS(Purchase!F:F,Purchase!C:C,A13,Purchase!I:I,"&gt;"&amp;$C$1,Purchase!V:V,"&lt;&gt;暂缓发货")</f>
        <v>2368</v>
      </c>
      <c r="E13" s="86">
        <f>SUMIFS(Purchase!F:F,Purchase!C:C,A13,Purchase!J:J,"&gt;0",Purchase!I:I,"&gt;"&amp;$C$1)</f>
        <v>1856</v>
      </c>
      <c r="F13" s="86">
        <f>SUMIFS(Sales!E:E,Sales!C:C,A13,Sales!K:K,"&gt;"&amp;$C$1)</f>
        <v>1360</v>
      </c>
      <c r="G13" s="86">
        <f>SUMIFS(Sales!E:E,Sales!C:C,A13,Sales!K:K,"&gt;"&amp;$C$1,Sales!L:L,"&gt;0")</f>
        <v>1296</v>
      </c>
      <c r="H13" s="365">
        <f ca="1">C13+E13-G13-SUMIFS(Transfer!V:V,Transfer!O:O,A13)+SUMIFS(Transfer!W:W,Transfer!O:O,A13)</f>
        <v>560</v>
      </c>
      <c r="I13" s="86">
        <f ca="1">D13-E13+SUMIFS(Transfer!V:V,Transfer!O:O,A13)-SUMIFS(Transfer!W:W,Transfer!O:O,A13)</f>
        <v>512</v>
      </c>
      <c r="J13" s="86">
        <f>SUMIFS(Purchase!F:F,Purchase!C:C,A13,Purchase!V:V,"暂缓发货")</f>
        <v>0</v>
      </c>
      <c r="K13" s="86">
        <f t="shared" si="0"/>
        <v>64</v>
      </c>
      <c r="L13" s="86">
        <f ca="1" t="shared" si="1"/>
        <v>496</v>
      </c>
      <c r="M13" s="365">
        <f ca="1" t="shared" si="2"/>
        <v>1008</v>
      </c>
      <c r="N13" s="86" t="str">
        <f ca="1">_xlfn.XLOOKUP(A13,'Product List'!B:B,'Product List'!F:F)</f>
        <v>B</v>
      </c>
      <c r="O13" s="366">
        <f>SUMIF('Weekly Sales'!B:B,A13,'Weekly Sales'!R:R)</f>
        <v>28.3333333333333</v>
      </c>
      <c r="P13" s="367">
        <f ca="1" t="shared" si="3"/>
        <v>17</v>
      </c>
      <c r="Q13" s="367">
        <f ca="1" t="shared" si="4"/>
        <v>35</v>
      </c>
      <c r="R13" s="86">
        <f>_xlfn.XLOOKUP(A13,'Product List'!B:B,'Product List'!P:P)</f>
        <v>15</v>
      </c>
      <c r="S13" s="86">
        <f ca="1" t="shared" si="5"/>
        <v>5</v>
      </c>
      <c r="T13" s="377">
        <f ca="1">SUMIF('Weekly Sales'!B:B,A13,'Weekly Sales'!T:T)</f>
        <v>148.75</v>
      </c>
      <c r="U13" s="315">
        <f>_xlfn.XLOOKUP(A13,'Product List'!B:B,'Product List'!O:O)</f>
        <v>500</v>
      </c>
      <c r="V13" s="368">
        <f ca="1" t="shared" si="6"/>
        <v>0</v>
      </c>
      <c r="W13" s="368">
        <f ca="1">_xlfn.XLOOKUP(A13,Sum_LA!A:A,Sum_LA!V:V)</f>
        <v>0</v>
      </c>
      <c r="X13" s="368">
        <f ca="1">_xlfn.XLOOKUP(A13,Sum_HOU!A:A,Sum_HOU!V:V)</f>
        <v>784</v>
      </c>
      <c r="Y13" s="86">
        <f ca="1" t="array" ref="Y13">_xlfn.XLOOKUP(1,('Case Pack'!A:A=A13)*('Case Pack'!F:F&lt;=TODAY()),'Case Pack'!D:D,"未找到箱规")</f>
        <v>16</v>
      </c>
      <c r="Z13" s="86" t="str">
        <f>_xlfn.XLOOKUP(A13,'Product List'!B:B,'Product List'!M:M)</f>
        <v>PSP</v>
      </c>
      <c r="AA13" s="86" t="str">
        <f ca="1" t="array" ref="AA13">_xlfn.XLOOKUP(1,('Case Pack'!A:A=A13)*('Case Pack'!F:F&lt;=TODAY()),'Case Pack'!G:G,"未找到箱规")</f>
        <v>C</v>
      </c>
      <c r="AB13" s="86">
        <f ca="1" t="shared" si="7"/>
        <v>0</v>
      </c>
      <c r="AC13" s="86">
        <f ca="1">_xlfn.XLOOKUP(AA13,'Case Type'!A:A,'Case Type'!H:H)*AB13</f>
        <v>0</v>
      </c>
    </row>
    <row r="14" s="115" customFormat="1" spans="1:29">
      <c r="A14" s="96" t="s">
        <v>40</v>
      </c>
      <c r="B14" s="86" t="str">
        <f>_xlfn.XLOOKUP(A14,'Product List'!B:B,'Product List'!I:I)</f>
        <v>MINI/MOE MUSHROOM LADDER 1EA</v>
      </c>
      <c r="C14" s="86">
        <v>0</v>
      </c>
      <c r="D14" s="86">
        <f>SUMIFS(Purchase!F:F,Purchase!C:C,A14,Purchase!I:I,"&gt;"&amp;$C$1,Purchase!V:V,"&lt;&gt;暂缓发货")</f>
        <v>1260</v>
      </c>
      <c r="E14" s="86">
        <f>SUMIFS(Purchase!F:F,Purchase!C:C,A14,Purchase!J:J,"&gt;0",Purchase!I:I,"&gt;"&amp;$C$1)</f>
        <v>1260</v>
      </c>
      <c r="F14" s="86">
        <f>SUMIFS(Sales!E:E,Sales!C:C,A14,Sales!K:K,"&gt;"&amp;$C$1)</f>
        <v>630</v>
      </c>
      <c r="G14" s="86">
        <f>SUMIFS(Sales!E:E,Sales!C:C,A14,Sales!K:K,"&gt;"&amp;$C$1,Sales!L:L,"&gt;0")</f>
        <v>630</v>
      </c>
      <c r="H14" s="365">
        <f ca="1">C14+E14-G14-SUMIFS(Transfer!V:V,Transfer!O:O,A14)+SUMIFS(Transfer!W:W,Transfer!O:O,A14)</f>
        <v>630</v>
      </c>
      <c r="I14" s="86">
        <f ca="1">D14-E14+SUMIFS(Transfer!V:V,Transfer!O:O,A14)-SUMIFS(Transfer!W:W,Transfer!O:O,A14)</f>
        <v>0</v>
      </c>
      <c r="J14" s="86">
        <f>SUMIFS(Purchase!F:F,Purchase!C:C,A14,Purchase!V:V,"暂缓发货")</f>
        <v>0</v>
      </c>
      <c r="K14" s="86">
        <f t="shared" si="0"/>
        <v>0</v>
      </c>
      <c r="L14" s="86">
        <f ca="1" t="shared" si="1"/>
        <v>630</v>
      </c>
      <c r="M14" s="365">
        <f ca="1" t="shared" si="2"/>
        <v>630</v>
      </c>
      <c r="N14" s="86" t="str">
        <f ca="1">_xlfn.XLOOKUP(A14,'Product List'!B:B,'Product List'!F:F)</f>
        <v>C</v>
      </c>
      <c r="O14" s="366">
        <f>SUMIF('Weekly Sales'!B:B,A14,'Weekly Sales'!R:R)</f>
        <v>3</v>
      </c>
      <c r="P14" s="367">
        <f ca="1" t="shared" si="3"/>
        <v>210</v>
      </c>
      <c r="Q14" s="367">
        <f ca="1" t="shared" si="4"/>
        <v>210</v>
      </c>
      <c r="R14" s="86">
        <f>_xlfn.XLOOKUP(A14,'Product List'!B:B,'Product List'!P:P)</f>
        <v>15</v>
      </c>
      <c r="S14" s="86">
        <f ca="1" t="shared" si="5"/>
        <v>2</v>
      </c>
      <c r="T14" s="377">
        <f ca="1">SUMIF('Weekly Sales'!B:B,A14,'Weekly Sales'!T:T)</f>
        <v>0</v>
      </c>
      <c r="U14" s="315">
        <f>_xlfn.XLOOKUP(A14,'Product List'!B:B,'Product List'!O:O)</f>
        <v>500</v>
      </c>
      <c r="V14" s="368">
        <f ca="1" t="shared" si="6"/>
        <v>0</v>
      </c>
      <c r="W14" s="368">
        <f ca="1">_xlfn.XLOOKUP(A14,Sum_LA!A:A,Sum_LA!V:V)</f>
        <v>0</v>
      </c>
      <c r="X14" s="368">
        <f ca="1">_xlfn.XLOOKUP(A14,Sum_HOU!A:A,Sum_HOU!V:V)</f>
        <v>60</v>
      </c>
      <c r="Y14" s="86">
        <f ca="1" t="array" ref="Y14">_xlfn.XLOOKUP(1,('Case Pack'!A:A=A14)*('Case Pack'!F:F&lt;=TODAY()),'Case Pack'!D:D,"未找到箱规")</f>
        <v>30</v>
      </c>
      <c r="Z14" s="86" t="str">
        <f>_xlfn.XLOOKUP(A14,'Product List'!B:B,'Product List'!M:M)</f>
        <v>PSP</v>
      </c>
      <c r="AA14" s="86" t="str">
        <f ca="1" t="array" ref="AA14">_xlfn.XLOOKUP(1,('Case Pack'!A:A=A14)*('Case Pack'!F:F&lt;=TODAY()),'Case Pack'!G:G,"未找到箱规")</f>
        <v>C</v>
      </c>
      <c r="AB14" s="86">
        <f ca="1" t="shared" si="7"/>
        <v>0</v>
      </c>
      <c r="AC14" s="86">
        <f ca="1">_xlfn.XLOOKUP(AA14,'Case Type'!A:A,'Case Type'!H:H)*AB14</f>
        <v>0</v>
      </c>
    </row>
    <row r="15" s="115" customFormat="1" spans="1:29">
      <c r="A15" s="86" t="s">
        <v>41</v>
      </c>
      <c r="B15" s="86" t="str">
        <f>_xlfn.XLOOKUP(A15,'Product List'!B:B,'Product List'!I:I)</f>
        <v>MINI/MOE TREEHOUSE CABIN</v>
      </c>
      <c r="C15" s="86">
        <v>0</v>
      </c>
      <c r="D15" s="86">
        <f>SUMIFS(Purchase!F:F,Purchase!C:C,A15,Purchase!I:I,"&gt;"&amp;$C$1,Purchase!V:V,"&lt;&gt;暂缓发货")</f>
        <v>2370</v>
      </c>
      <c r="E15" s="86">
        <f>SUMIFS(Purchase!F:F,Purchase!C:C,A15,Purchase!J:J,"&gt;0",Purchase!I:I,"&gt;"&amp;$C$1)</f>
        <v>2370</v>
      </c>
      <c r="F15" s="86">
        <f>SUMIFS(Sales!E:E,Sales!C:C,A15,Sales!K:K,"&gt;"&amp;$C$1)</f>
        <v>1440</v>
      </c>
      <c r="G15" s="86">
        <f>SUMIFS(Sales!E:E,Sales!C:C,A15,Sales!K:K,"&gt;"&amp;$C$1,Sales!L:L,"&gt;0")</f>
        <v>1410</v>
      </c>
      <c r="H15" s="365">
        <f ca="1">C15+E15-G15-SUMIFS(Transfer!V:V,Transfer!O:O,A15)+SUMIFS(Transfer!W:W,Transfer!O:O,A15)</f>
        <v>960</v>
      </c>
      <c r="I15" s="86">
        <f ca="1">D15-E15+SUMIFS(Transfer!V:V,Transfer!O:O,A15)-SUMIFS(Transfer!W:W,Transfer!O:O,A15)</f>
        <v>0</v>
      </c>
      <c r="J15" s="86">
        <f>SUMIFS(Purchase!F:F,Purchase!C:C,A15,Purchase!V:V,"暂缓发货")</f>
        <v>0</v>
      </c>
      <c r="K15" s="86">
        <f t="shared" si="0"/>
        <v>30</v>
      </c>
      <c r="L15" s="86">
        <f ca="1" t="shared" si="1"/>
        <v>930</v>
      </c>
      <c r="M15" s="365">
        <f ca="1" t="shared" si="2"/>
        <v>930</v>
      </c>
      <c r="N15" s="86" t="str">
        <f ca="1">_xlfn.XLOOKUP(A15,'Product List'!B:B,'Product List'!F:F)</f>
        <v>C</v>
      </c>
      <c r="O15" s="366">
        <f>SUMIF('Weekly Sales'!B:B,A15,'Weekly Sales'!R:R)</f>
        <v>22.8333333333333</v>
      </c>
      <c r="P15" s="367">
        <f ca="1" t="shared" si="3"/>
        <v>40</v>
      </c>
      <c r="Q15" s="367">
        <f ca="1" t="shared" si="4"/>
        <v>40</v>
      </c>
      <c r="R15" s="86">
        <f>_xlfn.XLOOKUP(A15,'Product List'!B:B,'Product List'!P:P)</f>
        <v>15</v>
      </c>
      <c r="S15" s="86">
        <f ca="1" t="shared" si="5"/>
        <v>2</v>
      </c>
      <c r="T15" s="377">
        <f ca="1">SUMIF('Weekly Sales'!B:B,A15,'Weekly Sales'!T:T)</f>
        <v>0</v>
      </c>
      <c r="U15" s="315">
        <f>_xlfn.XLOOKUP(A15,'Product List'!B:B,'Product List'!O:O)</f>
        <v>500</v>
      </c>
      <c r="V15" s="368">
        <f ca="1" t="shared" si="6"/>
        <v>0</v>
      </c>
      <c r="W15" s="368">
        <f ca="1">_xlfn.XLOOKUP(A15,Sum_LA!A:A,Sum_LA!V:V)</f>
        <v>0</v>
      </c>
      <c r="X15" s="368">
        <f ca="1">_xlfn.XLOOKUP(A15,Sum_HOU!A:A,Sum_HOU!V:V)</f>
        <v>450</v>
      </c>
      <c r="Y15" s="86">
        <f ca="1" t="array" ref="Y15">_xlfn.XLOOKUP(1,('Case Pack'!A:A=A15)*('Case Pack'!F:F&lt;=TODAY()),'Case Pack'!D:D,"未找到箱规")</f>
        <v>30</v>
      </c>
      <c r="Z15" s="86" t="str">
        <f>_xlfn.XLOOKUP(A15,'Product List'!B:B,'Product List'!M:M)</f>
        <v>PSP</v>
      </c>
      <c r="AA15" s="86" t="str">
        <f ca="1" t="array" ref="AA15">_xlfn.XLOOKUP(1,('Case Pack'!A:A=A15)*('Case Pack'!F:F&lt;=TODAY()),'Case Pack'!G:G,"未找到箱规")</f>
        <v>C</v>
      </c>
      <c r="AB15" s="86">
        <f ca="1" t="shared" si="7"/>
        <v>0</v>
      </c>
      <c r="AC15" s="86">
        <f ca="1">_xlfn.XLOOKUP(AA15,'Case Type'!A:A,'Case Type'!H:H)*AB15</f>
        <v>0</v>
      </c>
    </row>
    <row r="16" s="115" customFormat="1" spans="1:29">
      <c r="A16" s="96" t="s">
        <v>42</v>
      </c>
      <c r="B16" s="86" t="str">
        <f>_xlfn.XLOOKUP(A16,'Product List'!B:B,'Product List'!I:I)</f>
        <v>MINI/MOE FISHBONE BRIDGE 1EA</v>
      </c>
      <c r="C16" s="86">
        <v>0</v>
      </c>
      <c r="D16" s="86">
        <f>SUMIFS(Purchase!F:F,Purchase!C:C,A16,Purchase!I:I,"&gt;"&amp;$C$1,Purchase!V:V,"&lt;&gt;暂缓发货")</f>
        <v>1260</v>
      </c>
      <c r="E16" s="86">
        <f>SUMIFS(Purchase!F:F,Purchase!C:C,A16,Purchase!J:J,"&gt;0",Purchase!I:I,"&gt;"&amp;$C$1)</f>
        <v>1260</v>
      </c>
      <c r="F16" s="86">
        <f>SUMIFS(Sales!E:E,Sales!C:C,A16,Sales!K:K,"&gt;"&amp;$C$1)</f>
        <v>810</v>
      </c>
      <c r="G16" s="86">
        <f>SUMIFS(Sales!E:E,Sales!C:C,A16,Sales!K:K,"&gt;"&amp;$C$1,Sales!L:L,"&gt;0")</f>
        <v>810</v>
      </c>
      <c r="H16" s="365">
        <f ca="1">C16+E16-G16-SUMIFS(Transfer!V:V,Transfer!O:O,A16)+SUMIFS(Transfer!W:W,Transfer!O:O,A16)</f>
        <v>450</v>
      </c>
      <c r="I16" s="86">
        <f ca="1">D16-E16+SUMIFS(Transfer!V:V,Transfer!O:O,A16)-SUMIFS(Transfer!W:W,Transfer!O:O,A16)</f>
        <v>0</v>
      </c>
      <c r="J16" s="86">
        <f>SUMIFS(Purchase!F:F,Purchase!C:C,A16,Purchase!V:V,"暂缓发货")</f>
        <v>0</v>
      </c>
      <c r="K16" s="86">
        <f t="shared" si="0"/>
        <v>0</v>
      </c>
      <c r="L16" s="86">
        <f ca="1" t="shared" si="1"/>
        <v>450</v>
      </c>
      <c r="M16" s="365">
        <f ca="1" t="shared" si="2"/>
        <v>450</v>
      </c>
      <c r="N16" s="86" t="str">
        <f ca="1">_xlfn.XLOOKUP(A16,'Product List'!B:B,'Product List'!F:F)</f>
        <v>C</v>
      </c>
      <c r="O16" s="366">
        <f>SUMIF('Weekly Sales'!B:B,A16,'Weekly Sales'!R:R)</f>
        <v>0.833333333333333</v>
      </c>
      <c r="P16" s="367">
        <f ca="1" t="shared" si="3"/>
        <v>540</v>
      </c>
      <c r="Q16" s="367">
        <f ca="1" t="shared" si="4"/>
        <v>540</v>
      </c>
      <c r="R16" s="86">
        <f>_xlfn.XLOOKUP(A16,'Product List'!B:B,'Product List'!P:P)</f>
        <v>15</v>
      </c>
      <c r="S16" s="86">
        <f ca="1" t="shared" si="5"/>
        <v>2</v>
      </c>
      <c r="T16" s="377">
        <f ca="1">SUMIF('Weekly Sales'!B:B,A16,'Weekly Sales'!T:T)</f>
        <v>0</v>
      </c>
      <c r="U16" s="315">
        <f>_xlfn.XLOOKUP(A16,'Product List'!B:B,'Product List'!O:O)</f>
        <v>500</v>
      </c>
      <c r="V16" s="368">
        <f ca="1" t="shared" si="6"/>
        <v>0</v>
      </c>
      <c r="W16" s="368">
        <f ca="1">_xlfn.XLOOKUP(A16,Sum_LA!A:A,Sum_LA!V:V)</f>
        <v>0</v>
      </c>
      <c r="X16" s="368">
        <f ca="1">_xlfn.XLOOKUP(A16,Sum_HOU!A:A,Sum_HOU!V:V)</f>
        <v>30</v>
      </c>
      <c r="Y16" s="86">
        <f ca="1" t="array" ref="Y16">_xlfn.XLOOKUP(1,('Case Pack'!A:A=A16)*('Case Pack'!F:F&lt;=TODAY()),'Case Pack'!D:D,"未找到箱规")</f>
        <v>30</v>
      </c>
      <c r="Z16" s="86" t="str">
        <f>_xlfn.XLOOKUP(A16,'Product List'!B:B,'Product List'!M:M)</f>
        <v>PSP</v>
      </c>
      <c r="AA16" s="86" t="str">
        <f ca="1" t="array" ref="AA16">_xlfn.XLOOKUP(1,('Case Pack'!A:A=A16)*('Case Pack'!F:F&lt;=TODAY()),'Case Pack'!G:G,"未找到箱规")</f>
        <v>B</v>
      </c>
      <c r="AB16" s="86">
        <f ca="1" t="shared" si="7"/>
        <v>0</v>
      </c>
      <c r="AC16" s="86">
        <f ca="1">_xlfn.XLOOKUP(AA16,'Case Type'!A:A,'Case Type'!H:H)*AB16</f>
        <v>0</v>
      </c>
    </row>
    <row r="17" s="115" customFormat="1" spans="1:29">
      <c r="A17" s="86" t="s">
        <v>43</v>
      </c>
      <c r="B17" s="86" t="str">
        <f>_xlfn.XLOOKUP(A17,'Product List'!B:B,'Product List'!I:I)</f>
        <v>MINI/MOE GARDEN TEAPOT</v>
      </c>
      <c r="C17" s="86">
        <v>0</v>
      </c>
      <c r="D17" s="86">
        <f>SUMIFS(Purchase!F:F,Purchase!C:C,A17,Purchase!I:I,"&gt;"&amp;$C$1,Purchase!V:V,"&lt;&gt;暂缓发货")</f>
        <v>1950</v>
      </c>
      <c r="E17" s="86">
        <f>SUMIFS(Purchase!F:F,Purchase!C:C,A17,Purchase!J:J,"&gt;0",Purchase!I:I,"&gt;"&amp;$C$1)</f>
        <v>1440</v>
      </c>
      <c r="F17" s="86">
        <f>SUMIFS(Sales!E:E,Sales!C:C,A17,Sales!K:K,"&gt;"&amp;$C$1)</f>
        <v>1440</v>
      </c>
      <c r="G17" s="86">
        <f>SUMIFS(Sales!E:E,Sales!C:C,A17,Sales!K:K,"&gt;"&amp;$C$1,Sales!L:L,"&gt;0")</f>
        <v>1440</v>
      </c>
      <c r="H17" s="365">
        <f ca="1">C17+E17-G17-SUMIFS(Transfer!V:V,Transfer!O:O,A17)+SUMIFS(Transfer!W:W,Transfer!O:O,A17)</f>
        <v>0</v>
      </c>
      <c r="I17" s="86">
        <f ca="1">D17-E17+SUMIFS(Transfer!V:V,Transfer!O:O,A17)-SUMIFS(Transfer!W:W,Transfer!O:O,A17)</f>
        <v>510</v>
      </c>
      <c r="J17" s="86">
        <f>SUMIFS(Purchase!F:F,Purchase!C:C,A17,Purchase!V:V,"暂缓发货")</f>
        <v>0</v>
      </c>
      <c r="K17" s="86">
        <f t="shared" si="0"/>
        <v>0</v>
      </c>
      <c r="L17" s="86">
        <f ca="1" t="shared" si="1"/>
        <v>0</v>
      </c>
      <c r="M17" s="365">
        <f ca="1" t="shared" si="2"/>
        <v>510</v>
      </c>
      <c r="N17" s="86" t="str">
        <f ca="1">_xlfn.XLOOKUP(A17,'Product List'!B:B,'Product List'!F:F)</f>
        <v>C</v>
      </c>
      <c r="O17" s="366">
        <f>SUMIF('Weekly Sales'!B:B,A17,'Weekly Sales'!R:R)</f>
        <v>5.16666666666667</v>
      </c>
      <c r="P17" s="367">
        <f ca="1" t="shared" si="3"/>
        <v>0</v>
      </c>
      <c r="Q17" s="367">
        <f ca="1" t="shared" si="4"/>
        <v>98</v>
      </c>
      <c r="R17" s="86">
        <f>_xlfn.XLOOKUP(A17,'Product List'!B:B,'Product List'!P:P)</f>
        <v>15</v>
      </c>
      <c r="S17" s="86">
        <f ca="1" t="shared" si="5"/>
        <v>2</v>
      </c>
      <c r="T17" s="377">
        <f ca="1">SUMIF('Weekly Sales'!B:B,A17,'Weekly Sales'!T:T)</f>
        <v>0</v>
      </c>
      <c r="U17" s="315">
        <f>_xlfn.XLOOKUP(A17,'Product List'!B:B,'Product List'!O:O)</f>
        <v>500</v>
      </c>
      <c r="V17" s="368">
        <f ca="1" t="shared" si="6"/>
        <v>0</v>
      </c>
      <c r="W17" s="368">
        <f ca="1">_xlfn.XLOOKUP(A17,Sum_LA!A:A,Sum_LA!V:V)</f>
        <v>0</v>
      </c>
      <c r="X17" s="368">
        <f ca="1">_xlfn.XLOOKUP(A17,Sum_HOU!A:A,Sum_HOU!V:V)</f>
        <v>120</v>
      </c>
      <c r="Y17" s="86">
        <f ca="1" t="array" ref="Y17">_xlfn.XLOOKUP(1,('Case Pack'!A:A=A17)*('Case Pack'!F:F&lt;=TODAY()),'Case Pack'!D:D,"未找到箱规")</f>
        <v>30</v>
      </c>
      <c r="Z17" s="86" t="str">
        <f>_xlfn.XLOOKUP(A17,'Product List'!B:B,'Product List'!M:M)</f>
        <v>PSP</v>
      </c>
      <c r="AA17" s="86" t="str">
        <f ca="1" t="array" ref="AA17">_xlfn.XLOOKUP(1,('Case Pack'!A:A=A17)*('Case Pack'!F:F&lt;=TODAY()),'Case Pack'!G:G,"未找到箱规")</f>
        <v>C</v>
      </c>
      <c r="AB17" s="86">
        <f ca="1" t="shared" si="7"/>
        <v>0</v>
      </c>
      <c r="AC17" s="86">
        <f ca="1">_xlfn.XLOOKUP(AA17,'Case Type'!A:A,'Case Type'!H:H)*AB17</f>
        <v>0</v>
      </c>
    </row>
    <row r="18" s="115" customFormat="1" spans="1:29">
      <c r="A18" s="94" t="s">
        <v>44</v>
      </c>
      <c r="B18" s="86" t="str">
        <f>_xlfn.XLOOKUP(A18,'Product List'!B:B,'Product List'!I:I)</f>
        <v>MINI &amp; MOE WOODEN BRIDGE</v>
      </c>
      <c r="C18" s="86">
        <v>0</v>
      </c>
      <c r="D18" s="86">
        <f>SUMIFS(Purchase!F:F,Purchase!C:C,A18,Purchase!I:I,"&gt;"&amp;$C$1,Purchase!V:V,"&lt;&gt;暂缓发货")</f>
        <v>13872</v>
      </c>
      <c r="E18" s="86">
        <f>SUMIFS(Purchase!F:F,Purchase!C:C,A18,Purchase!J:J,"&gt;0",Purchase!I:I,"&gt;"&amp;$C$1)</f>
        <v>8256</v>
      </c>
      <c r="F18" s="86">
        <f>SUMIFS(Sales!E:E,Sales!C:C,A18,Sales!K:K,"&gt;"&amp;$C$1)</f>
        <v>6864</v>
      </c>
      <c r="G18" s="86">
        <f>SUMIFS(Sales!E:E,Sales!C:C,A18,Sales!K:K,"&gt;"&amp;$C$1,Sales!L:L,"&gt;0")</f>
        <v>6864</v>
      </c>
      <c r="H18" s="365">
        <f ca="1">C18+E18-G18-SUMIFS(Transfer!V:V,Transfer!O:O,A18)+SUMIFS(Transfer!W:W,Transfer!O:O,A18)</f>
        <v>1392</v>
      </c>
      <c r="I18" s="86">
        <f ca="1">D18-E18+SUMIFS(Transfer!V:V,Transfer!O:O,A18)-SUMIFS(Transfer!W:W,Transfer!O:O,A18)</f>
        <v>5616</v>
      </c>
      <c r="J18" s="86">
        <f>SUMIFS(Purchase!F:F,Purchase!C:C,A18,Purchase!V:V,"暂缓发货")</f>
        <v>0</v>
      </c>
      <c r="K18" s="86">
        <f t="shared" si="0"/>
        <v>0</v>
      </c>
      <c r="L18" s="86">
        <f ca="1" t="shared" si="1"/>
        <v>1392</v>
      </c>
      <c r="M18" s="365">
        <f ca="1" t="shared" si="2"/>
        <v>7008</v>
      </c>
      <c r="N18" s="86" t="str">
        <f ca="1">_xlfn.XLOOKUP(A18,'Product List'!B:B,'Product List'!F:F)</f>
        <v>A</v>
      </c>
      <c r="O18" s="366">
        <f>SUMIF('Weekly Sales'!B:B,A18,'Weekly Sales'!R:R)</f>
        <v>193</v>
      </c>
      <c r="P18" s="367">
        <f ca="1" t="shared" si="3"/>
        <v>7</v>
      </c>
      <c r="Q18" s="367">
        <f ca="1" t="shared" si="4"/>
        <v>36</v>
      </c>
      <c r="R18" s="86">
        <f>_xlfn.XLOOKUP(A18,'Product List'!B:B,'Product List'!P:P)</f>
        <v>15</v>
      </c>
      <c r="S18" s="86">
        <f ca="1" t="shared" si="5"/>
        <v>6</v>
      </c>
      <c r="T18" s="377">
        <f ca="1">SUMIF('Weekly Sales'!B:B,A18,'Weekly Sales'!T:T)</f>
        <v>1254.5</v>
      </c>
      <c r="U18" s="315">
        <f>_xlfn.XLOOKUP(A18,'Product List'!B:B,'Product List'!O:O)</f>
        <v>500</v>
      </c>
      <c r="V18" s="368">
        <f ca="1" t="shared" si="6"/>
        <v>0</v>
      </c>
      <c r="W18" s="368">
        <f ca="1">_xlfn.XLOOKUP(A18,Sum_LA!A:A,Sum_LA!V:V)</f>
        <v>0</v>
      </c>
      <c r="X18" s="368">
        <f ca="1">_xlfn.XLOOKUP(A18,Sum_HOU!A:A,Sum_HOU!V:V)</f>
        <v>0</v>
      </c>
      <c r="Y18" s="86">
        <f ca="1" t="array" ref="Y18">_xlfn.XLOOKUP(1,('Case Pack'!A:A=A18)*('Case Pack'!F:F&lt;=TODAY()),'Case Pack'!D:D,"未找到箱规")</f>
        <v>48</v>
      </c>
      <c r="Z18" s="86" t="str">
        <f>_xlfn.XLOOKUP(A18,'Product List'!B:B,'Product List'!M:M)</f>
        <v>Petsmart</v>
      </c>
      <c r="AA18" s="86" t="str">
        <f ca="1" t="array" ref="AA18">_xlfn.XLOOKUP(1,('Case Pack'!A:A=A18)*('Case Pack'!F:F&lt;=TODAY()),'Case Pack'!G:G,"未找到箱规")</f>
        <v>A</v>
      </c>
      <c r="AB18" s="86">
        <f ca="1" t="shared" si="7"/>
        <v>0</v>
      </c>
      <c r="AC18" s="86">
        <f ca="1">_xlfn.XLOOKUP(AA18,'Case Type'!A:A,'Case Type'!H:H)*AB18</f>
        <v>0</v>
      </c>
    </row>
    <row r="19" s="115" customFormat="1" spans="1:29">
      <c r="A19" s="94" t="s">
        <v>45</v>
      </c>
      <c r="B19" s="86" t="str">
        <f>_xlfn.XLOOKUP(A19,'Product List'!B:B,'Product List'!I:I)</f>
        <v>MINI &amp; MOE GARDEN DECOR CHEW</v>
      </c>
      <c r="C19" s="86">
        <v>0</v>
      </c>
      <c r="D19" s="86">
        <f>SUMIFS(Purchase!F:F,Purchase!C:C,A19,Purchase!I:I,"&gt;"&amp;$C$1,Purchase!V:V,"&lt;&gt;暂缓发货")</f>
        <v>17370</v>
      </c>
      <c r="E19" s="86">
        <f>SUMIFS(Purchase!F:F,Purchase!C:C,A19,Purchase!J:J,"&gt;0",Purchase!I:I,"&gt;"&amp;$C$1)</f>
        <v>10980</v>
      </c>
      <c r="F19" s="86">
        <f>SUMIFS(Sales!E:E,Sales!C:C,A19,Sales!K:K,"&gt;"&amp;$C$1)</f>
        <v>8595</v>
      </c>
      <c r="G19" s="86">
        <f>SUMIFS(Sales!E:E,Sales!C:C,A19,Sales!K:K,"&gt;"&amp;$C$1,Sales!L:L,"&gt;0")</f>
        <v>8595</v>
      </c>
      <c r="H19" s="365">
        <f ca="1">C19+E19-G19-SUMIFS(Transfer!V:V,Transfer!O:O,A19)+SUMIFS(Transfer!W:W,Transfer!O:O,A19)</f>
        <v>2385</v>
      </c>
      <c r="I19" s="86">
        <f ca="1">D19-E19+SUMIFS(Transfer!V:V,Transfer!O:O,A19)-SUMIFS(Transfer!W:W,Transfer!O:O,A19)</f>
        <v>6390</v>
      </c>
      <c r="J19" s="86">
        <f>SUMIFS(Purchase!F:F,Purchase!C:C,A19,Purchase!V:V,"暂缓发货")</f>
        <v>0</v>
      </c>
      <c r="K19" s="86">
        <f t="shared" si="0"/>
        <v>0</v>
      </c>
      <c r="L19" s="86">
        <f ca="1" t="shared" si="1"/>
        <v>2385</v>
      </c>
      <c r="M19" s="365">
        <f ca="1" t="shared" si="2"/>
        <v>8775</v>
      </c>
      <c r="N19" s="86" t="str">
        <f ca="1">_xlfn.XLOOKUP(A19,'Product List'!B:B,'Product List'!F:F)</f>
        <v>A</v>
      </c>
      <c r="O19" s="366">
        <f>SUMIF('Weekly Sales'!B:B,A19,'Weekly Sales'!R:R)</f>
        <v>263.75</v>
      </c>
      <c r="P19" s="367">
        <f ca="1" t="shared" si="3"/>
        <v>9</v>
      </c>
      <c r="Q19" s="367">
        <f ca="1" t="shared" si="4"/>
        <v>33</v>
      </c>
      <c r="R19" s="86">
        <f>_xlfn.XLOOKUP(A19,'Product List'!B:B,'Product List'!P:P)</f>
        <v>10</v>
      </c>
      <c r="S19" s="86">
        <f ca="1" t="shared" si="5"/>
        <v>6</v>
      </c>
      <c r="T19" s="377">
        <f ca="1">SUMIF('Weekly Sales'!B:B,A19,'Weekly Sales'!T:T)</f>
        <v>1714.375</v>
      </c>
      <c r="U19" s="315">
        <f>_xlfn.XLOOKUP(A19,'Product List'!B:B,'Product List'!O:O)</f>
        <v>500</v>
      </c>
      <c r="V19" s="368">
        <f ca="1" t="shared" si="6"/>
        <v>0</v>
      </c>
      <c r="W19" s="368">
        <f ca="1">_xlfn.XLOOKUP(A19,Sum_LA!A:A,Sum_LA!V:V)</f>
        <v>0</v>
      </c>
      <c r="X19" s="368">
        <f ca="1">_xlfn.XLOOKUP(A19,Sum_HOU!A:A,Sum_HOU!V:V)</f>
        <v>0</v>
      </c>
      <c r="Y19" s="86">
        <f ca="1" t="array" ref="Y19">_xlfn.XLOOKUP(1,('Case Pack'!A:A=A19)*('Case Pack'!F:F&lt;=TODAY()),'Case Pack'!D:D,"未找到箱规")</f>
        <v>45</v>
      </c>
      <c r="Z19" s="86" t="str">
        <f>_xlfn.XLOOKUP(A19,'Product List'!B:B,'Product List'!M:M)</f>
        <v>Petsmart</v>
      </c>
      <c r="AA19" s="86" t="str">
        <f ca="1" t="array" ref="AA19">_xlfn.XLOOKUP(1,('Case Pack'!A:A=A19)*('Case Pack'!F:F&lt;=TODAY()),'Case Pack'!G:G,"未找到箱规")</f>
        <v>B</v>
      </c>
      <c r="AB19" s="86">
        <f ca="1" t="shared" si="7"/>
        <v>0</v>
      </c>
      <c r="AC19" s="86">
        <f ca="1">_xlfn.XLOOKUP(AA19,'Case Type'!A:A,'Case Type'!H:H)*AB19</f>
        <v>0</v>
      </c>
    </row>
    <row r="20" s="115" customFormat="1" spans="1:29">
      <c r="A20" s="94" t="s">
        <v>46</v>
      </c>
      <c r="B20" s="86" t="str">
        <f>_xlfn.XLOOKUP(A20,'Product List'!B:B,'Product List'!I:I)</f>
        <v>Mushroom Spiral Staircase</v>
      </c>
      <c r="C20" s="86">
        <v>144</v>
      </c>
      <c r="D20" s="86">
        <f>SUMIFS(Purchase!F:F,Purchase!C:C,A20,Purchase!I:I,"&gt;"&amp;$C$1,Purchase!V:V,"&lt;&gt;暂缓发货")</f>
        <v>1656</v>
      </c>
      <c r="E20" s="86">
        <f>SUMIFS(Purchase!F:F,Purchase!C:C,A20,Purchase!J:J,"&gt;0",Purchase!I:I,"&gt;"&amp;$C$1)</f>
        <v>1656</v>
      </c>
      <c r="F20" s="86">
        <f>SUMIFS(Sales!E:E,Sales!C:C,A20,Sales!K:K,"&gt;"&amp;$C$1)</f>
        <v>936</v>
      </c>
      <c r="G20" s="86">
        <f>SUMIFS(Sales!E:E,Sales!C:C,A20,Sales!K:K,"&gt;"&amp;$C$1,Sales!L:L,"&gt;0")</f>
        <v>936</v>
      </c>
      <c r="H20" s="365">
        <f ca="1">C20+E20-G20-SUMIFS(Transfer!V:V,Transfer!O:O,A20)+SUMIFS(Transfer!W:W,Transfer!O:O,A20)</f>
        <v>864</v>
      </c>
      <c r="I20" s="86">
        <f ca="1">D20-E20+SUMIFS(Transfer!V:V,Transfer!O:O,A20)-SUMIFS(Transfer!W:W,Transfer!O:O,A20)</f>
        <v>0</v>
      </c>
      <c r="J20" s="86">
        <f>SUMIFS(Purchase!F:F,Purchase!C:C,A20,Purchase!V:V,"暂缓发货")</f>
        <v>0</v>
      </c>
      <c r="K20" s="86">
        <f t="shared" si="0"/>
        <v>0</v>
      </c>
      <c r="L20" s="86">
        <f ca="1" t="shared" si="1"/>
        <v>864</v>
      </c>
      <c r="M20" s="365">
        <f ca="1" t="shared" si="2"/>
        <v>864</v>
      </c>
      <c r="N20" s="86" t="str">
        <f ca="1">_xlfn.XLOOKUP(A20,'Product List'!B:B,'Product List'!F:F)</f>
        <v>C</v>
      </c>
      <c r="O20" s="366">
        <f>SUMIF('Weekly Sales'!B:B,A20,'Weekly Sales'!R:R)</f>
        <v>3.66666666666667</v>
      </c>
      <c r="P20" s="367">
        <f ca="1" t="shared" si="3"/>
        <v>235</v>
      </c>
      <c r="Q20" s="367">
        <f ca="1" t="shared" si="4"/>
        <v>235</v>
      </c>
      <c r="R20" s="86">
        <f>_xlfn.XLOOKUP(A20,'Product List'!B:B,'Product List'!P:P)</f>
        <v>15</v>
      </c>
      <c r="S20" s="86">
        <f ca="1" t="shared" si="5"/>
        <v>2</v>
      </c>
      <c r="T20" s="377">
        <f ca="1">SUMIF('Weekly Sales'!B:B,A20,'Weekly Sales'!T:T)</f>
        <v>0</v>
      </c>
      <c r="U20" s="315">
        <f>_xlfn.XLOOKUP(A20,'Product List'!B:B,'Product List'!O:O)</f>
        <v>500</v>
      </c>
      <c r="V20" s="368">
        <f ca="1" t="shared" si="6"/>
        <v>0</v>
      </c>
      <c r="W20" s="368">
        <f ca="1">_xlfn.XLOOKUP(A20,Sum_LA!A:A,Sum_LA!V:V)</f>
        <v>0</v>
      </c>
      <c r="X20" s="368">
        <f ca="1">_xlfn.XLOOKUP(A20,Sum_HOU!A:A,Sum_HOU!V:V)</f>
        <v>72</v>
      </c>
      <c r="Y20" s="86">
        <f ca="1" t="array" ref="Y20">_xlfn.XLOOKUP(1,('Case Pack'!A:A=A20)*('Case Pack'!F:F&lt;=TODAY()),'Case Pack'!D:D,"未找到箱规")</f>
        <v>72</v>
      </c>
      <c r="Z20" s="86" t="str">
        <f>_xlfn.XLOOKUP(A20,'Product List'!B:B,'Product List'!M:M)</f>
        <v>Pet Supermarket,PSP</v>
      </c>
      <c r="AA20" s="86" t="str">
        <f ca="1" t="array" ref="AA20">_xlfn.XLOOKUP(1,('Case Pack'!A:A=A20)*('Case Pack'!F:F&lt;=TODAY()),'Case Pack'!G:G,"未找到箱规")</f>
        <v>B</v>
      </c>
      <c r="AB20" s="86">
        <f ca="1" t="shared" si="7"/>
        <v>0</v>
      </c>
      <c r="AC20" s="86">
        <f ca="1">_xlfn.XLOOKUP(AA20,'Case Type'!A:A,'Case Type'!H:H)*AB20</f>
        <v>0</v>
      </c>
    </row>
    <row r="21" s="115" customFormat="1" spans="1:29">
      <c r="A21" s="94" t="s">
        <v>47</v>
      </c>
      <c r="B21" s="86" t="str">
        <f>_xlfn.XLOOKUP(A21,'Product List'!B:B,'Product List'!I:I)</f>
        <v>MINI &amp; MOE TREE DECOR CHEW</v>
      </c>
      <c r="C21" s="86">
        <v>0</v>
      </c>
      <c r="D21" s="86">
        <f>SUMIFS(Purchase!F:F,Purchase!C:C,A21,Purchase!I:I,"&gt;"&amp;$C$1,Purchase!V:V,"&lt;&gt;暂缓发货")</f>
        <v>14728</v>
      </c>
      <c r="E21" s="86">
        <f>SUMIFS(Purchase!F:F,Purchase!C:C,A21,Purchase!J:J,"&gt;0",Purchase!I:I,"&gt;"&amp;$C$1)</f>
        <v>10920</v>
      </c>
      <c r="F21" s="86">
        <f>SUMIFS(Sales!E:E,Sales!C:C,A21,Sales!K:K,"&gt;"&amp;$C$1)</f>
        <v>8316</v>
      </c>
      <c r="G21" s="86">
        <f>SUMIFS(Sales!E:E,Sales!C:C,A21,Sales!K:K,"&gt;"&amp;$C$1,Sales!L:L,"&gt;0")</f>
        <v>8316</v>
      </c>
      <c r="H21" s="365">
        <f ca="1">C21+E21-G21-SUMIFS(Transfer!V:V,Transfer!O:O,A21)+SUMIFS(Transfer!W:W,Transfer!O:O,A21)</f>
        <v>2604</v>
      </c>
      <c r="I21" s="86">
        <f ca="1">D21-E21+SUMIFS(Transfer!V:V,Transfer!O:O,A21)-SUMIFS(Transfer!W:W,Transfer!O:O,A21)</f>
        <v>3808</v>
      </c>
      <c r="J21" s="86">
        <f>SUMIFS(Purchase!F:F,Purchase!C:C,A21,Purchase!V:V,"暂缓发货")</f>
        <v>0</v>
      </c>
      <c r="K21" s="86">
        <f t="shared" si="0"/>
        <v>0</v>
      </c>
      <c r="L21" s="86">
        <f ca="1" t="shared" si="1"/>
        <v>2604</v>
      </c>
      <c r="M21" s="365">
        <f ca="1" t="shared" si="2"/>
        <v>6412</v>
      </c>
      <c r="N21" s="86" t="str">
        <f ca="1">_xlfn.XLOOKUP(A21,'Product List'!B:B,'Product List'!F:F)</f>
        <v>A</v>
      </c>
      <c r="O21" s="366">
        <f>SUMIF('Weekly Sales'!B:B,A21,'Weekly Sales'!R:R)</f>
        <v>201</v>
      </c>
      <c r="P21" s="367">
        <f ca="1" t="shared" si="3"/>
        <v>12</v>
      </c>
      <c r="Q21" s="367">
        <f ca="1" t="shared" si="4"/>
        <v>31</v>
      </c>
      <c r="R21" s="86">
        <f>_xlfn.XLOOKUP(A21,'Product List'!B:B,'Product List'!P:P)</f>
        <v>10</v>
      </c>
      <c r="S21" s="86">
        <f ca="1" t="shared" si="5"/>
        <v>6</v>
      </c>
      <c r="T21" s="377">
        <f ca="1">SUMIF('Weekly Sales'!B:B,A21,'Weekly Sales'!T:T)</f>
        <v>1306.5</v>
      </c>
      <c r="U21" s="315">
        <f>_xlfn.XLOOKUP(A21,'Product List'!B:B,'Product List'!O:O)</f>
        <v>500</v>
      </c>
      <c r="V21" s="368">
        <f ca="1" t="shared" si="6"/>
        <v>0</v>
      </c>
      <c r="W21" s="368">
        <f ca="1">_xlfn.XLOOKUP(A21,Sum_LA!A:A,Sum_LA!V:V)</f>
        <v>0</v>
      </c>
      <c r="X21" s="368">
        <f ca="1">_xlfn.XLOOKUP(A21,Sum_HOU!A:A,Sum_HOU!V:V)</f>
        <v>0</v>
      </c>
      <c r="Y21" s="86">
        <f ca="1" t="array" ref="Y21">_xlfn.XLOOKUP(1,('Case Pack'!A:A=A21)*('Case Pack'!F:F&lt;=TODAY()),'Case Pack'!D:D,"未找到箱规")</f>
        <v>28</v>
      </c>
      <c r="Z21" s="86" t="str">
        <f>_xlfn.XLOOKUP(A21,'Product List'!B:B,'Product List'!M:M)</f>
        <v>Petsmart</v>
      </c>
      <c r="AA21" s="86" t="str">
        <f ca="1" t="array" ref="AA21">_xlfn.XLOOKUP(1,('Case Pack'!A:A=A21)*('Case Pack'!F:F&lt;=TODAY()),'Case Pack'!G:G,"未找到箱规")</f>
        <v>B</v>
      </c>
      <c r="AB21" s="86">
        <f ca="1" t="shared" si="7"/>
        <v>0</v>
      </c>
      <c r="AC21" s="86">
        <f ca="1">_xlfn.XLOOKUP(AA21,'Case Type'!A:A,'Case Type'!H:H)*AB21</f>
        <v>0</v>
      </c>
    </row>
    <row r="22" s="115" customFormat="1" spans="1:29">
      <c r="A22" s="94" t="s">
        <v>48</v>
      </c>
      <c r="B22" s="86" t="str">
        <f>_xlfn.XLOOKUP(A22,'Product List'!B:B,'Product List'!I:I)</f>
        <v>Swinging Swing Hamster Toy</v>
      </c>
      <c r="C22" s="86">
        <v>144</v>
      </c>
      <c r="D22" s="86">
        <f>SUMIFS(Purchase!F:F,Purchase!C:C,A22,Purchase!I:I,"&gt;"&amp;$C$1,Purchase!V:V,"&lt;&gt;暂缓发货")</f>
        <v>336</v>
      </c>
      <c r="E22" s="86">
        <f>SUMIFS(Purchase!F:F,Purchase!C:C,A22,Purchase!J:J,"&gt;0",Purchase!I:I,"&gt;"&amp;$C$1)</f>
        <v>336</v>
      </c>
      <c r="F22" s="86">
        <f>SUMIFS(Sales!E:E,Sales!C:C,A22,Sales!K:K,"&gt;"&amp;$C$1)</f>
        <v>192</v>
      </c>
      <c r="G22" s="86">
        <f>SUMIFS(Sales!E:E,Sales!C:C,A22,Sales!K:K,"&gt;"&amp;$C$1,Sales!L:L,"&gt;0")</f>
        <v>192</v>
      </c>
      <c r="H22" s="365">
        <f ca="1">C22+E22-G22-SUMIFS(Transfer!V:V,Transfer!O:O,A22)+SUMIFS(Transfer!W:W,Transfer!O:O,A22)</f>
        <v>288</v>
      </c>
      <c r="I22" s="86">
        <f ca="1">D22-E22+SUMIFS(Transfer!V:V,Transfer!O:O,A22)-SUMIFS(Transfer!W:W,Transfer!O:O,A22)</f>
        <v>0</v>
      </c>
      <c r="J22" s="86">
        <f>SUMIFS(Purchase!F:F,Purchase!C:C,A22,Purchase!V:V,"暂缓发货")</f>
        <v>0</v>
      </c>
      <c r="K22" s="86">
        <f t="shared" si="0"/>
        <v>0</v>
      </c>
      <c r="L22" s="86">
        <f ca="1" t="shared" si="1"/>
        <v>288</v>
      </c>
      <c r="M22" s="365">
        <f ca="1" t="shared" si="2"/>
        <v>288</v>
      </c>
      <c r="N22" s="86" t="str">
        <f ca="1">_xlfn.XLOOKUP(A22,'Product List'!B:B,'Product List'!F:F)</f>
        <v>C</v>
      </c>
      <c r="O22" s="366">
        <f>SUMIF('Weekly Sales'!B:B,A22,'Weekly Sales'!R:R)</f>
        <v>0</v>
      </c>
      <c r="P22" s="367">
        <f ca="1" t="shared" si="3"/>
        <v>999</v>
      </c>
      <c r="Q22" s="367">
        <f ca="1" t="shared" si="4"/>
        <v>999</v>
      </c>
      <c r="R22" s="86">
        <f>_xlfn.XLOOKUP(A22,'Product List'!B:B,'Product List'!P:P)</f>
        <v>15</v>
      </c>
      <c r="S22" s="86">
        <f ca="1" t="shared" si="5"/>
        <v>2</v>
      </c>
      <c r="T22" s="377">
        <f ca="1">SUMIF('Weekly Sales'!B:B,A22,'Weekly Sales'!T:T)</f>
        <v>0</v>
      </c>
      <c r="U22" s="315">
        <f>_xlfn.XLOOKUP(A22,'Product List'!B:B,'Product List'!O:O)</f>
        <v>500</v>
      </c>
      <c r="V22" s="368">
        <f ca="1" t="shared" si="6"/>
        <v>0</v>
      </c>
      <c r="W22" s="368">
        <f ca="1">_xlfn.XLOOKUP(A22,Sum_LA!A:A,Sum_LA!V:V)</f>
        <v>0</v>
      </c>
      <c r="X22" s="368">
        <f ca="1">_xlfn.XLOOKUP(A22,Sum_HOU!A:A,Sum_HOU!V:V)</f>
        <v>0</v>
      </c>
      <c r="Y22" s="86">
        <f ca="1" t="array" ref="Y22">_xlfn.XLOOKUP(1,('Case Pack'!A:A=A22)*('Case Pack'!F:F&lt;=TODAY()),'Case Pack'!D:D,"未找到箱规")</f>
        <v>48</v>
      </c>
      <c r="Z22" s="86" t="str">
        <f>_xlfn.XLOOKUP(A22,'Product List'!B:B,'Product List'!M:M)</f>
        <v>Pet Supermarket</v>
      </c>
      <c r="AA22" s="86" t="str">
        <f ca="1" t="array" ref="AA22">_xlfn.XLOOKUP(1,('Case Pack'!A:A=A22)*('Case Pack'!F:F&lt;=TODAY()),'Case Pack'!G:G,"未找到箱规")</f>
        <v>B</v>
      </c>
      <c r="AB22" s="86">
        <f ca="1" t="shared" si="7"/>
        <v>0</v>
      </c>
      <c r="AC22" s="86">
        <f ca="1">_xlfn.XLOOKUP(AA22,'Case Type'!A:A,'Case Type'!H:H)*AB22</f>
        <v>0</v>
      </c>
    </row>
    <row r="23" s="115" customFormat="1" spans="1:29">
      <c r="A23" s="86" t="s">
        <v>49</v>
      </c>
      <c r="B23" s="86" t="str">
        <f>_xlfn.XLOOKUP(A23,'Product List'!B:B,'Product List'!I:I)</f>
        <v>MINI/MOE IVY BURROWING BOX</v>
      </c>
      <c r="C23" s="86">
        <v>0</v>
      </c>
      <c r="D23" s="86">
        <f>SUMIFS(Purchase!F:F,Purchase!C:C,A23,Purchase!I:I,"&gt;"&amp;$C$1,Purchase!V:V,"&lt;&gt;暂缓发货")</f>
        <v>1388</v>
      </c>
      <c r="E23" s="86">
        <f>SUMIFS(Purchase!F:F,Purchase!C:C,A23,Purchase!J:J,"&gt;0",Purchase!I:I,"&gt;"&amp;$C$1)</f>
        <v>1388</v>
      </c>
      <c r="F23" s="86">
        <f>SUMIFS(Sales!E:E,Sales!C:C,A23,Sales!K:K,"&gt;"&amp;$C$1)</f>
        <v>1188</v>
      </c>
      <c r="G23" s="86">
        <f>SUMIFS(Sales!E:E,Sales!C:C,A23,Sales!K:K,"&gt;"&amp;$C$1,Sales!L:L,"&gt;0")</f>
        <v>1188</v>
      </c>
      <c r="H23" s="365">
        <f ca="1">C23+E23-G23-SUMIFS(Transfer!V:V,Transfer!O:O,A23)+SUMIFS(Transfer!W:W,Transfer!O:O,A23)</f>
        <v>200</v>
      </c>
      <c r="I23" s="86">
        <f ca="1">D23-E23+SUMIFS(Transfer!V:V,Transfer!O:O,A23)-SUMIFS(Transfer!W:W,Transfer!O:O,A23)</f>
        <v>0</v>
      </c>
      <c r="J23" s="86">
        <f>SUMIFS(Purchase!F:F,Purchase!C:C,A23,Purchase!V:V,"暂缓发货")</f>
        <v>0</v>
      </c>
      <c r="K23" s="86">
        <f t="shared" si="0"/>
        <v>0</v>
      </c>
      <c r="L23" s="86">
        <f ca="1" t="shared" si="1"/>
        <v>200</v>
      </c>
      <c r="M23" s="365">
        <f ca="1" t="shared" si="2"/>
        <v>200</v>
      </c>
      <c r="N23" s="86" t="str">
        <f ca="1">_xlfn.XLOOKUP(A23,'Product List'!B:B,'Product List'!F:F)</f>
        <v>B</v>
      </c>
      <c r="O23" s="366">
        <f>SUMIF('Weekly Sales'!B:B,A23,'Weekly Sales'!R:R)</f>
        <v>3.16666666666667</v>
      </c>
      <c r="P23" s="367">
        <f ca="1" t="shared" si="3"/>
        <v>63</v>
      </c>
      <c r="Q23" s="367">
        <f ca="1" t="shared" si="4"/>
        <v>63</v>
      </c>
      <c r="R23" s="86">
        <f>_xlfn.XLOOKUP(A23,'Product List'!B:B,'Product List'!P:P)</f>
        <v>15</v>
      </c>
      <c r="S23" s="86">
        <f ca="1" t="shared" si="5"/>
        <v>5</v>
      </c>
      <c r="T23" s="377">
        <f ca="1">SUMIF('Weekly Sales'!B:B,A23,'Weekly Sales'!T:T)</f>
        <v>16.625</v>
      </c>
      <c r="U23" s="315">
        <f>_xlfn.XLOOKUP(A23,'Product List'!B:B,'Product List'!O:O)</f>
        <v>500</v>
      </c>
      <c r="V23" s="368">
        <f ca="1" t="shared" si="6"/>
        <v>0</v>
      </c>
      <c r="W23" s="368">
        <f ca="1">_xlfn.XLOOKUP(A23,Sum_LA!A:A,Sum_LA!V:V)</f>
        <v>0</v>
      </c>
      <c r="X23" s="368">
        <f ca="1">_xlfn.XLOOKUP(A23,Sum_HOU!A:A,Sum_HOU!V:V)</f>
        <v>88</v>
      </c>
      <c r="Y23" s="86">
        <f ca="1" t="array" ref="Y23">_xlfn.XLOOKUP(1,('Case Pack'!A:A=A23)*('Case Pack'!F:F&lt;=TODAY()),'Case Pack'!D:D,"未找到箱规")</f>
        <v>4</v>
      </c>
      <c r="Z23" s="86" t="str">
        <f>_xlfn.XLOOKUP(A23,'Product List'!B:B,'Product List'!M:M)</f>
        <v>PSP</v>
      </c>
      <c r="AA23" s="86" t="str">
        <f ca="1" t="array" ref="AA23">_xlfn.XLOOKUP(1,('Case Pack'!A:A=A23)*('Case Pack'!F:F&lt;=TODAY()),'Case Pack'!G:G,"未找到箱规")</f>
        <v>D</v>
      </c>
      <c r="AB23" s="86">
        <f ca="1" t="shared" si="7"/>
        <v>0</v>
      </c>
      <c r="AC23" s="86">
        <f ca="1">_xlfn.XLOOKUP(AA23,'Case Type'!A:A,'Case Type'!H:H)*AB23</f>
        <v>0</v>
      </c>
    </row>
    <row r="24" s="115" customFormat="1" spans="1:29">
      <c r="A24" s="86" t="s">
        <v>50</v>
      </c>
      <c r="B24" s="86" t="str">
        <f>_xlfn.XLOOKUP(A24,'Product List'!B:B,'Product List'!I:I)</f>
        <v>MINI/MOE TV VIEWING CAGE</v>
      </c>
      <c r="C24" s="86">
        <v>211</v>
      </c>
      <c r="D24" s="86">
        <f>SUMIFS(Purchase!F:F,Purchase!C:C,A24,Purchase!I:I,"&gt;"&amp;$C$1,Purchase!V:V,"&lt;&gt;暂缓发货")</f>
        <v>17428</v>
      </c>
      <c r="E24" s="86">
        <f>SUMIFS(Purchase!F:F,Purchase!C:C,A24,Purchase!J:J,"&gt;0",Purchase!I:I,"&gt;"&amp;$C$1)</f>
        <v>15386</v>
      </c>
      <c r="F24" s="86">
        <f>SUMIFS(Sales!E:E,Sales!C:C,A24,Sales!K:K,"&gt;"&amp;$C$1)</f>
        <v>12188</v>
      </c>
      <c r="G24" s="86">
        <f>SUMIFS(Sales!E:E,Sales!C:C,A24,Sales!K:K,"&gt;"&amp;$C$1,Sales!L:L,"&gt;0")</f>
        <v>11032</v>
      </c>
      <c r="H24" s="365">
        <f ca="1">C24+E24-G24-SUMIFS(Transfer!V:V,Transfer!O:O,A24)+SUMIFS(Transfer!W:W,Transfer!O:O,A24)</f>
        <v>4565</v>
      </c>
      <c r="I24" s="86">
        <f ca="1">D24-E24+SUMIFS(Transfer!V:V,Transfer!O:O,A24)-SUMIFS(Transfer!W:W,Transfer!O:O,A24)</f>
        <v>2042</v>
      </c>
      <c r="J24" s="86">
        <f>SUMIFS(Purchase!F:F,Purchase!C:C,A24,Purchase!V:V,"暂缓发货")</f>
        <v>0</v>
      </c>
      <c r="K24" s="86">
        <f t="shared" si="0"/>
        <v>1156</v>
      </c>
      <c r="L24" s="86">
        <f ca="1" t="shared" si="1"/>
        <v>3409</v>
      </c>
      <c r="M24" s="365">
        <f ca="1" t="shared" si="2"/>
        <v>5451</v>
      </c>
      <c r="N24" s="86" t="str">
        <f ca="1">_xlfn.XLOOKUP(A24,'Product List'!B:B,'Product List'!F:F)</f>
        <v>A</v>
      </c>
      <c r="O24" s="366">
        <f>SUMIF('Weekly Sales'!B:B,A24,'Weekly Sales'!R:R)</f>
        <v>234.083333333333</v>
      </c>
      <c r="P24" s="367">
        <f ca="1" t="shared" si="3"/>
        <v>14</v>
      </c>
      <c r="Q24" s="367">
        <f ca="1" t="shared" si="4"/>
        <v>23</v>
      </c>
      <c r="R24" s="86">
        <f>_xlfn.XLOOKUP(A24,'Product List'!B:B,'Product List'!P:P)</f>
        <v>10</v>
      </c>
      <c r="S24" s="86">
        <f ca="1" t="shared" si="5"/>
        <v>6</v>
      </c>
      <c r="T24" s="377">
        <f ca="1">SUMIF('Weekly Sales'!B:B,A24,'Weekly Sales'!T:T)</f>
        <v>1578.875</v>
      </c>
      <c r="U24" s="315">
        <f>_xlfn.XLOOKUP(A24,'Product List'!B:B,'Product List'!O:O)</f>
        <v>1000</v>
      </c>
      <c r="V24" s="368">
        <f ca="1" t="shared" si="6"/>
        <v>342</v>
      </c>
      <c r="W24" s="368">
        <f ca="1">_xlfn.XLOOKUP(A24,Sum_LA!A:A,Sum_LA!V:V)</f>
        <v>0</v>
      </c>
      <c r="X24" s="368">
        <f ca="1">_xlfn.XLOOKUP(A24,Sum_HOU!A:A,Sum_HOU!V:V)</f>
        <v>409</v>
      </c>
      <c r="Y24" s="86">
        <f ca="1" t="array" ref="Y24">_xlfn.XLOOKUP(1,('Case Pack'!A:A=A24)*('Case Pack'!F:F&lt;=TODAY()),'Case Pack'!D:D,"未找到箱规")</f>
        <v>1</v>
      </c>
      <c r="Z24" s="86" t="str">
        <f>_xlfn.XLOOKUP(A24,'Product List'!B:B,'Product List'!M:M)</f>
        <v>PSP, Petco, Petsmart, Pet Supermarket, PetcoMX，Canada</v>
      </c>
      <c r="AA24" s="86" t="str">
        <f ca="1" t="array" ref="AA24">_xlfn.XLOOKUP(1,('Case Pack'!A:A=A24)*('Case Pack'!F:F&lt;=TODAY()),'Case Pack'!G:G,"未找到箱规")</f>
        <v>S1</v>
      </c>
      <c r="AB24" s="86">
        <f ca="1" t="shared" si="7"/>
        <v>342</v>
      </c>
      <c r="AC24" s="86">
        <f ca="1">_xlfn.XLOOKUP(AA24,'Case Type'!A:A,'Case Type'!H:H)*AB24</f>
        <v>25.308777929958</v>
      </c>
    </row>
    <row r="25" s="115" customFormat="1" spans="1:29">
      <c r="A25" s="86" t="s">
        <v>51</v>
      </c>
      <c r="B25" s="86" t="str">
        <f>_xlfn.XLOOKUP(A25,'Product List'!B:B,'Product List'!I:I)</f>
        <v>MINI/MOE MINI TV TUNNEL CAGE 1EA</v>
      </c>
      <c r="C25" s="86">
        <v>0</v>
      </c>
      <c r="D25" s="86">
        <f>SUMIFS(Purchase!F:F,Purchase!C:C,A25,Purchase!I:I,"&gt;"&amp;$C$1,Purchase!V:V,"&lt;&gt;暂缓发货")</f>
        <v>1000</v>
      </c>
      <c r="E25" s="86">
        <f>SUMIFS(Purchase!F:F,Purchase!C:C,A25,Purchase!J:J,"&gt;0",Purchase!I:I,"&gt;"&amp;$C$1)</f>
        <v>1000</v>
      </c>
      <c r="F25" s="86">
        <f>SUMIFS(Sales!E:E,Sales!C:C,A25,Sales!K:K,"&gt;"&amp;$C$1)</f>
        <v>603</v>
      </c>
      <c r="G25" s="86">
        <f>SUMIFS(Sales!E:E,Sales!C:C,A25,Sales!K:K,"&gt;"&amp;$C$1,Sales!L:L,"&gt;0")</f>
        <v>603</v>
      </c>
      <c r="H25" s="365">
        <f ca="1">C25+E25-G25-SUMIFS(Transfer!V:V,Transfer!O:O,A25)+SUMIFS(Transfer!W:W,Transfer!O:O,A25)</f>
        <v>397</v>
      </c>
      <c r="I25" s="86">
        <f ca="1">D25-E25+SUMIFS(Transfer!V:V,Transfer!O:O,A25)-SUMIFS(Transfer!W:W,Transfer!O:O,A25)</f>
        <v>0</v>
      </c>
      <c r="J25" s="86">
        <f>SUMIFS(Purchase!F:F,Purchase!C:C,A25,Purchase!V:V,"暂缓发货")</f>
        <v>0</v>
      </c>
      <c r="K25" s="86">
        <f t="shared" si="0"/>
        <v>0</v>
      </c>
      <c r="L25" s="86">
        <f ca="1" t="shared" si="1"/>
        <v>397</v>
      </c>
      <c r="M25" s="365">
        <f ca="1" t="shared" si="2"/>
        <v>397</v>
      </c>
      <c r="N25" s="86" t="str">
        <f ca="1">_xlfn.XLOOKUP(A25,'Product List'!B:B,'Product List'!F:F)</f>
        <v>A</v>
      </c>
      <c r="O25" s="366">
        <f>SUMIF('Weekly Sales'!B:B,A25,'Weekly Sales'!R:R)</f>
        <v>0.666666666666667</v>
      </c>
      <c r="P25" s="367">
        <f ca="1" t="shared" si="3"/>
        <v>595</v>
      </c>
      <c r="Q25" s="367">
        <f ca="1" t="shared" si="4"/>
        <v>595</v>
      </c>
      <c r="R25" s="86">
        <f>_xlfn.XLOOKUP(A25,'Product List'!B:B,'Product List'!P:P)</f>
        <v>10</v>
      </c>
      <c r="S25" s="86">
        <f ca="1" t="shared" si="5"/>
        <v>6</v>
      </c>
      <c r="T25" s="377">
        <f ca="1">SUMIF('Weekly Sales'!B:B,A25,'Weekly Sales'!T:T)</f>
        <v>7</v>
      </c>
      <c r="U25" s="315">
        <f>_xlfn.XLOOKUP(A25,'Product List'!B:B,'Product List'!O:O)</f>
        <v>1000</v>
      </c>
      <c r="V25" s="368">
        <f ca="1" t="shared" si="6"/>
        <v>0</v>
      </c>
      <c r="W25" s="368">
        <f ca="1">_xlfn.XLOOKUP(A25,Sum_LA!A:A,Sum_LA!V:V)</f>
        <v>0</v>
      </c>
      <c r="X25" s="368">
        <f ca="1">_xlfn.XLOOKUP(A25,Sum_HOU!A:A,Sum_HOU!V:V)</f>
        <v>19</v>
      </c>
      <c r="Y25" s="86">
        <f ca="1" t="array" ref="Y25">_xlfn.XLOOKUP(1,('Case Pack'!A:A=A25)*('Case Pack'!F:F&lt;=TODAY()),'Case Pack'!D:D,"未找到箱规")</f>
        <v>1</v>
      </c>
      <c r="Z25" s="86" t="str">
        <f>_xlfn.XLOOKUP(A25,'Product List'!B:B,'Product List'!M:M)</f>
        <v>PSP</v>
      </c>
      <c r="AA25" s="86" t="str">
        <f ca="1" t="array" ref="AA25">_xlfn.XLOOKUP(1,('Case Pack'!A:A=A25)*('Case Pack'!F:F&lt;=TODAY()),'Case Pack'!G:G,"未找到箱规")</f>
        <v>S2</v>
      </c>
      <c r="AB25" s="86">
        <f ca="1" t="shared" si="7"/>
        <v>0</v>
      </c>
      <c r="AC25" s="86">
        <f ca="1">_xlfn.XLOOKUP(AA25,'Case Type'!A:A,'Case Type'!H:H)*AB25</f>
        <v>0</v>
      </c>
    </row>
    <row r="26" s="115" customFormat="1" spans="1:29">
      <c r="A26" s="86" t="s">
        <v>52</v>
      </c>
      <c r="B26" s="86" t="str">
        <f>_xlfn.XLOOKUP(A26,'Product List'!B:B,'Product List'!I:I)</f>
        <v>MINI/MOE TULIP WATER BOTTLE</v>
      </c>
      <c r="C26" s="86">
        <v>0</v>
      </c>
      <c r="D26" s="86">
        <f>SUMIFS(Purchase!F:F,Purchase!C:C,A26,Purchase!I:I,"&gt;"&amp;$C$1,Purchase!V:V,"&lt;&gt;暂缓发货")</f>
        <v>3180</v>
      </c>
      <c r="E26" s="86">
        <f>SUMIFS(Purchase!F:F,Purchase!C:C,A26,Purchase!J:J,"&gt;0",Purchase!I:I,"&gt;"&amp;$C$1)</f>
        <v>3180</v>
      </c>
      <c r="F26" s="86">
        <f>SUMIFS(Sales!E:E,Sales!C:C,A26,Sales!K:K,"&gt;"&amp;$C$1)</f>
        <v>1620</v>
      </c>
      <c r="G26" s="86">
        <f>SUMIFS(Sales!E:E,Sales!C:C,A26,Sales!K:K,"&gt;"&amp;$C$1,Sales!L:L,"&gt;0")</f>
        <v>1560</v>
      </c>
      <c r="H26" s="365">
        <f ca="1">C26+E26-G26-SUMIFS(Transfer!V:V,Transfer!O:O,A26)+SUMIFS(Transfer!W:W,Transfer!O:O,A26)</f>
        <v>1620</v>
      </c>
      <c r="I26" s="86">
        <f ca="1">D26-E26+SUMIFS(Transfer!V:V,Transfer!O:O,A26)-SUMIFS(Transfer!W:W,Transfer!O:O,A26)</f>
        <v>0</v>
      </c>
      <c r="J26" s="86">
        <f>SUMIFS(Purchase!F:F,Purchase!C:C,A26,Purchase!V:V,"暂缓发货")</f>
        <v>0</v>
      </c>
      <c r="K26" s="86">
        <f t="shared" si="0"/>
        <v>60</v>
      </c>
      <c r="L26" s="86">
        <f ca="1" t="shared" si="1"/>
        <v>1560</v>
      </c>
      <c r="M26" s="365">
        <f ca="1" t="shared" si="2"/>
        <v>1560</v>
      </c>
      <c r="N26" s="86" t="str">
        <f ca="1">_xlfn.XLOOKUP(A26,'Product List'!B:B,'Product List'!F:F)</f>
        <v>C</v>
      </c>
      <c r="O26" s="366">
        <f>SUMIF('Weekly Sales'!B:B,A26,'Weekly Sales'!R:R)</f>
        <v>53.6666666666667</v>
      </c>
      <c r="P26" s="367">
        <f ca="1" t="shared" si="3"/>
        <v>29</v>
      </c>
      <c r="Q26" s="367">
        <f ca="1" t="shared" si="4"/>
        <v>29</v>
      </c>
      <c r="R26" s="86">
        <f>_xlfn.XLOOKUP(A26,'Product List'!B:B,'Product List'!P:P)</f>
        <v>10</v>
      </c>
      <c r="S26" s="86">
        <f ca="1" t="shared" si="5"/>
        <v>2</v>
      </c>
      <c r="T26" s="377">
        <f ca="1">SUMIF('Weekly Sales'!B:B,A26,'Weekly Sales'!T:T)</f>
        <v>0</v>
      </c>
      <c r="U26" s="315">
        <f>_xlfn.XLOOKUP(A26,'Product List'!B:B,'Product List'!O:O)</f>
        <v>1000</v>
      </c>
      <c r="V26" s="368">
        <f ca="1" t="shared" si="6"/>
        <v>0</v>
      </c>
      <c r="W26" s="368">
        <f ca="1">_xlfn.XLOOKUP(A26,Sum_LA!A:A,Sum_LA!V:V)</f>
        <v>0</v>
      </c>
      <c r="X26" s="368">
        <f ca="1">_xlfn.XLOOKUP(A26,Sum_HOU!A:A,Sum_HOU!V:V)</f>
        <v>780</v>
      </c>
      <c r="Y26" s="86">
        <f ca="1" t="array" ref="Y26">_xlfn.XLOOKUP(1,('Case Pack'!A:A=A26)*('Case Pack'!F:F&lt;=TODAY()),'Case Pack'!D:D,"未找到箱规")</f>
        <v>60</v>
      </c>
      <c r="Z26" s="86" t="str">
        <f>_xlfn.XLOOKUP(A26,'Product List'!B:B,'Product List'!M:M)</f>
        <v>PSP, PetcoMX</v>
      </c>
      <c r="AA26" s="86" t="str">
        <f ca="1" t="array" ref="AA26">_xlfn.XLOOKUP(1,('Case Pack'!A:A=A26)*('Case Pack'!F:F&lt;=TODAY()),'Case Pack'!G:G,"未找到箱规")</f>
        <v>C</v>
      </c>
      <c r="AB26" s="86">
        <f ca="1" t="shared" si="7"/>
        <v>0</v>
      </c>
      <c r="AC26" s="86">
        <f ca="1">_xlfn.XLOOKUP(AA26,'Case Type'!A:A,'Case Type'!H:H)*AB26</f>
        <v>0</v>
      </c>
    </row>
    <row r="27" s="115" customFormat="1" spans="1:29">
      <c r="A27" s="94" t="s">
        <v>53</v>
      </c>
      <c r="B27" s="86" t="str">
        <f>_xlfn.XLOOKUP(A27,'Product List'!B:B,'Product List'!I:I)</f>
        <v>MINI &amp; MOE COTTAGE HIDE</v>
      </c>
      <c r="C27" s="86">
        <v>0</v>
      </c>
      <c r="D27" s="86">
        <f>SUMIFS(Purchase!F:F,Purchase!C:C,A27,Purchase!I:I,"&gt;"&amp;$C$1,Purchase!V:V,"&lt;&gt;暂缓发货")</f>
        <v>8784</v>
      </c>
      <c r="E27" s="86">
        <f>SUMIFS(Purchase!F:F,Purchase!C:C,A27,Purchase!J:J,"&gt;0",Purchase!I:I,"&gt;"&amp;$C$1)</f>
        <v>6552</v>
      </c>
      <c r="F27" s="86">
        <f>SUMIFS(Sales!E:E,Sales!C:C,A27,Sales!K:K,"&gt;"&amp;$C$1)</f>
        <v>5592</v>
      </c>
      <c r="G27" s="86">
        <f>SUMIFS(Sales!E:E,Sales!C:C,A27,Sales!K:K,"&gt;"&amp;$C$1,Sales!L:L,"&gt;0")</f>
        <v>5592</v>
      </c>
      <c r="H27" s="365">
        <f ca="1">C27+E27-G27-SUMIFS(Transfer!V:V,Transfer!O:O,A27)+SUMIFS(Transfer!W:W,Transfer!O:O,A27)</f>
        <v>960</v>
      </c>
      <c r="I27" s="86">
        <f ca="1">D27-E27+SUMIFS(Transfer!V:V,Transfer!O:O,A27)-SUMIFS(Transfer!W:W,Transfer!O:O,A27)</f>
        <v>2232</v>
      </c>
      <c r="J27" s="86">
        <f>SUMIFS(Purchase!F:F,Purchase!C:C,A27,Purchase!V:V,"暂缓发货")</f>
        <v>0</v>
      </c>
      <c r="K27" s="86">
        <f t="shared" si="0"/>
        <v>0</v>
      </c>
      <c r="L27" s="86">
        <f ca="1" t="shared" si="1"/>
        <v>960</v>
      </c>
      <c r="M27" s="365">
        <f ca="1" t="shared" si="2"/>
        <v>3192</v>
      </c>
      <c r="N27" s="86" t="str">
        <f ca="1">_xlfn.XLOOKUP(A27,'Product List'!B:B,'Product List'!F:F)</f>
        <v>A</v>
      </c>
      <c r="O27" s="366">
        <f>SUMIF('Weekly Sales'!B:B,A27,'Weekly Sales'!R:R)</f>
        <v>86</v>
      </c>
      <c r="P27" s="367">
        <f ca="1" t="shared" si="3"/>
        <v>11</v>
      </c>
      <c r="Q27" s="367">
        <f ca="1" t="shared" si="4"/>
        <v>37</v>
      </c>
      <c r="R27" s="86">
        <f>_xlfn.XLOOKUP(A27,'Product List'!B:B,'Product List'!P:P)</f>
        <v>15</v>
      </c>
      <c r="S27" s="86">
        <f ca="1" t="shared" si="5"/>
        <v>6</v>
      </c>
      <c r="T27" s="377">
        <f ca="1">SUMIF('Weekly Sales'!B:B,A27,'Weekly Sales'!T:T)</f>
        <v>559</v>
      </c>
      <c r="U27" s="315">
        <f>_xlfn.XLOOKUP(A27,'Product List'!B:B,'Product List'!O:O)</f>
        <v>500</v>
      </c>
      <c r="V27" s="368">
        <f ca="1" t="shared" si="6"/>
        <v>0</v>
      </c>
      <c r="W27" s="368">
        <f ca="1">_xlfn.XLOOKUP(A27,Sum_LA!A:A,Sum_LA!V:V)</f>
        <v>0</v>
      </c>
      <c r="X27" s="368">
        <f ca="1">_xlfn.XLOOKUP(A27,Sum_HOU!A:A,Sum_HOU!V:V)</f>
        <v>0</v>
      </c>
      <c r="Y27" s="86">
        <f ca="1" t="array" ref="Y27">_xlfn.XLOOKUP(1,('Case Pack'!A:A=A27)*('Case Pack'!F:F&lt;=TODAY()),'Case Pack'!D:D,"未找到箱规")</f>
        <v>24</v>
      </c>
      <c r="Z27" s="86" t="str">
        <f>_xlfn.XLOOKUP(A27,'Product List'!B:B,'Product List'!M:M)</f>
        <v>Petsmart，Canada</v>
      </c>
      <c r="AA27" s="86" t="str">
        <f ca="1" t="array" ref="AA27">_xlfn.XLOOKUP(1,('Case Pack'!A:A=A27)*('Case Pack'!F:F&lt;=TODAY()),'Case Pack'!G:G,"未找到箱规")</f>
        <v>C</v>
      </c>
      <c r="AB27" s="86">
        <f ca="1" t="shared" si="7"/>
        <v>0</v>
      </c>
      <c r="AC27" s="86">
        <f ca="1">_xlfn.XLOOKUP(AA27,'Case Type'!A:A,'Case Type'!H:H)*AB27</f>
        <v>0</v>
      </c>
    </row>
    <row r="28" s="115" customFormat="1" spans="1:29">
      <c r="A28" s="86" t="s">
        <v>54</v>
      </c>
      <c r="B28" s="86" t="str">
        <f>_xlfn.XLOOKUP(A28,'Product List'!B:B,'Product List'!I:I)</f>
        <v>Tree Stump Hide</v>
      </c>
      <c r="C28" s="86">
        <v>120</v>
      </c>
      <c r="D28" s="86">
        <f>SUMIFS(Purchase!F:F,Purchase!C:C,A28,Purchase!I:I,"&gt;"&amp;$C$1,Purchase!V:V,"&lt;&gt;暂缓发货")</f>
        <v>312</v>
      </c>
      <c r="E28" s="86">
        <f>SUMIFS(Purchase!F:F,Purchase!C:C,A28,Purchase!J:J,"&gt;0",Purchase!I:I,"&gt;"&amp;$C$1)</f>
        <v>312</v>
      </c>
      <c r="F28" s="86">
        <f>SUMIFS(Sales!E:E,Sales!C:C,A28,Sales!K:K,"&gt;"&amp;$C$1)</f>
        <v>216</v>
      </c>
      <c r="G28" s="86">
        <f>SUMIFS(Sales!E:E,Sales!C:C,A28,Sales!K:K,"&gt;"&amp;$C$1,Sales!L:L,"&gt;0")</f>
        <v>216</v>
      </c>
      <c r="H28" s="365">
        <f ca="1">C28+E28-G28-SUMIFS(Transfer!V:V,Transfer!O:O,A28)+SUMIFS(Transfer!W:W,Transfer!O:O,A28)</f>
        <v>216</v>
      </c>
      <c r="I28" s="86">
        <f ca="1">D28-E28+SUMIFS(Transfer!V:V,Transfer!O:O,A28)-SUMIFS(Transfer!W:W,Transfer!O:O,A28)</f>
        <v>0</v>
      </c>
      <c r="J28" s="86">
        <f>SUMIFS(Purchase!F:F,Purchase!C:C,A28,Purchase!V:V,"暂缓发货")</f>
        <v>0</v>
      </c>
      <c r="K28" s="86">
        <f t="shared" si="0"/>
        <v>0</v>
      </c>
      <c r="L28" s="86">
        <f ca="1" t="shared" si="1"/>
        <v>216</v>
      </c>
      <c r="M28" s="365">
        <f ca="1" t="shared" si="2"/>
        <v>216</v>
      </c>
      <c r="N28" s="86" t="str">
        <f ca="1">_xlfn.XLOOKUP(A28,'Product List'!B:B,'Product List'!F:F)</f>
        <v>C</v>
      </c>
      <c r="O28" s="366">
        <f>SUMIF('Weekly Sales'!B:B,A28,'Weekly Sales'!R:R)</f>
        <v>0</v>
      </c>
      <c r="P28" s="367">
        <f ca="1" t="shared" si="3"/>
        <v>999</v>
      </c>
      <c r="Q28" s="367">
        <f ca="1" t="shared" si="4"/>
        <v>999</v>
      </c>
      <c r="R28" s="86">
        <f>_xlfn.XLOOKUP(A28,'Product List'!B:B,'Product List'!P:P)</f>
        <v>15</v>
      </c>
      <c r="S28" s="86">
        <f ca="1" t="shared" si="5"/>
        <v>2</v>
      </c>
      <c r="T28" s="377">
        <f ca="1">SUMIF('Weekly Sales'!B:B,A28,'Weekly Sales'!T:T)</f>
        <v>0</v>
      </c>
      <c r="U28" s="315">
        <f>_xlfn.XLOOKUP(A28,'Product List'!B:B,'Product List'!O:O)</f>
        <v>500</v>
      </c>
      <c r="V28" s="368">
        <f ca="1" t="shared" si="6"/>
        <v>0</v>
      </c>
      <c r="W28" s="368">
        <f ca="1">_xlfn.XLOOKUP(A28,Sum_LA!A:A,Sum_LA!V:V)</f>
        <v>0</v>
      </c>
      <c r="X28" s="368">
        <f ca="1">_xlfn.XLOOKUP(A28,Sum_HOU!A:A,Sum_HOU!V:V)</f>
        <v>0</v>
      </c>
      <c r="Y28" s="86">
        <f ca="1" t="array" ref="Y28">_xlfn.XLOOKUP(1,('Case Pack'!A:A=A28)*('Case Pack'!F:F&lt;=TODAY()),'Case Pack'!D:D,"未找到箱规")</f>
        <v>24</v>
      </c>
      <c r="Z28" s="86" t="str">
        <f>_xlfn.XLOOKUP(A28,'Product List'!B:B,'Product List'!M:M)</f>
        <v>Pet Supermarket，Canada</v>
      </c>
      <c r="AA28" s="86" t="str">
        <f ca="1" t="array" ref="AA28">_xlfn.XLOOKUP(1,('Case Pack'!A:A=A28)*('Case Pack'!F:F&lt;=TODAY()),'Case Pack'!G:G,"未找到箱规")</f>
        <v>B</v>
      </c>
      <c r="AB28" s="86">
        <f ca="1" t="shared" si="7"/>
        <v>0</v>
      </c>
      <c r="AC28" s="86">
        <f ca="1">_xlfn.XLOOKUP(AA28,'Case Type'!A:A,'Case Type'!H:H)*AB28</f>
        <v>0</v>
      </c>
    </row>
    <row r="29" s="115" customFormat="1" spans="1:29">
      <c r="A29" s="86" t="s">
        <v>55</v>
      </c>
      <c r="B29" s="86" t="str">
        <f>_xlfn.XLOOKUP(A29,'Product List'!B:B,'Product List'!I:I)</f>
        <v>MINI/MOE SMALL ANIMAL FEEDING WATER BOTTLE HLDR GUMBALL 1EA</v>
      </c>
      <c r="C29" s="86">
        <v>0</v>
      </c>
      <c r="D29" s="86">
        <f>SUMIFS(Purchase!F:F,Purchase!C:C,A29,Purchase!I:I,"&gt;"&amp;$C$1,Purchase!V:V,"&lt;&gt;暂缓发货")</f>
        <v>1258</v>
      </c>
      <c r="E29" s="86">
        <f>SUMIFS(Purchase!F:F,Purchase!C:C,A29,Purchase!J:J,"&gt;0",Purchase!I:I,"&gt;"&amp;$C$1)</f>
        <v>1258</v>
      </c>
      <c r="F29" s="86">
        <f>SUMIFS(Sales!E:E,Sales!C:C,A29,Sales!K:K,"&gt;"&amp;$C$1)</f>
        <v>612</v>
      </c>
      <c r="G29" s="86">
        <f>SUMIFS(Sales!E:E,Sales!C:C,A29,Sales!K:K,"&gt;"&amp;$C$1,Sales!L:L,"&gt;0")</f>
        <v>612</v>
      </c>
      <c r="H29" s="365">
        <f ca="1">C29+E29-G29-SUMIFS(Transfer!V:V,Transfer!O:O,A29)+SUMIFS(Transfer!W:W,Transfer!O:O,A29)</f>
        <v>646</v>
      </c>
      <c r="I29" s="86">
        <f ca="1">D29-E29+SUMIFS(Transfer!V:V,Transfer!O:O,A29)-SUMIFS(Transfer!W:W,Transfer!O:O,A29)</f>
        <v>0</v>
      </c>
      <c r="J29" s="86">
        <f>SUMIFS(Purchase!F:F,Purchase!C:C,A29,Purchase!V:V,"暂缓发货")</f>
        <v>0</v>
      </c>
      <c r="K29" s="86">
        <f t="shared" si="0"/>
        <v>0</v>
      </c>
      <c r="L29" s="86">
        <f ca="1" t="shared" si="1"/>
        <v>646</v>
      </c>
      <c r="M29" s="365">
        <f ca="1" t="shared" si="2"/>
        <v>646</v>
      </c>
      <c r="N29" s="86" t="str">
        <f ca="1">_xlfn.XLOOKUP(A29,'Product List'!B:B,'Product List'!F:F)</f>
        <v>C</v>
      </c>
      <c r="O29" s="366">
        <f>SUMIF('Weekly Sales'!B:B,A29,'Weekly Sales'!R:R)</f>
        <v>0.333333333333333</v>
      </c>
      <c r="P29" s="367">
        <f ca="1" t="shared" si="3"/>
        <v>1938</v>
      </c>
      <c r="Q29" s="367">
        <f ca="1" t="shared" si="4"/>
        <v>1938</v>
      </c>
      <c r="R29" s="86">
        <f>_xlfn.XLOOKUP(A29,'Product List'!B:B,'Product List'!P:P)</f>
        <v>15</v>
      </c>
      <c r="S29" s="86">
        <f ca="1" t="shared" si="5"/>
        <v>2</v>
      </c>
      <c r="T29" s="377">
        <f ca="1">SUMIF('Weekly Sales'!B:B,A29,'Weekly Sales'!T:T)</f>
        <v>0</v>
      </c>
      <c r="U29" s="315">
        <f>_xlfn.XLOOKUP(A29,'Product List'!B:B,'Product List'!O:O)</f>
        <v>500</v>
      </c>
      <c r="V29" s="368">
        <f ca="1" t="shared" si="6"/>
        <v>0</v>
      </c>
      <c r="W29" s="368">
        <f ca="1">_xlfn.XLOOKUP(A29,Sum_LA!A:A,Sum_LA!V:V)</f>
        <v>0</v>
      </c>
      <c r="X29" s="368">
        <f ca="1">_xlfn.XLOOKUP(A29,Sum_HOU!A:A,Sum_HOU!V:V)</f>
        <v>34</v>
      </c>
      <c r="Y29" s="86">
        <f ca="1" t="array" ref="Y29">_xlfn.XLOOKUP(1,('Case Pack'!A:A=A29)*('Case Pack'!F:F&lt;=TODAY()),'Case Pack'!D:D,"未找到箱规")</f>
        <v>34</v>
      </c>
      <c r="Z29" s="86" t="str">
        <f>_xlfn.XLOOKUP(A29,'Product List'!B:B,'Product List'!M:M)</f>
        <v>PSP，Canada</v>
      </c>
      <c r="AA29" s="86" t="str">
        <f ca="1" t="array" ref="AA29">_xlfn.XLOOKUP(1,('Case Pack'!A:A=A29)*('Case Pack'!F:F&lt;=TODAY()),'Case Pack'!G:G,"未找到箱规")</f>
        <v>C</v>
      </c>
      <c r="AB29" s="86">
        <f ca="1" t="shared" si="7"/>
        <v>0</v>
      </c>
      <c r="AC29" s="86">
        <f ca="1">_xlfn.XLOOKUP(AA29,'Case Type'!A:A,'Case Type'!H:H)*AB29</f>
        <v>0</v>
      </c>
    </row>
    <row r="30" s="115" customFormat="1" spans="1:29">
      <c r="A30" s="86" t="s">
        <v>56</v>
      </c>
      <c r="B30" s="86" t="str">
        <f>_xlfn.XLOOKUP(A30,'Product List'!B:B,'Product List'!I:I)</f>
        <v>MINI/MOE SMALL ANIMAL HOUSING SWEET BRIDGE 1EA</v>
      </c>
      <c r="C30" s="86">
        <v>0</v>
      </c>
      <c r="D30" s="86">
        <f>SUMIFS(Purchase!F:F,Purchase!C:C,A30,Purchase!I:I,"&gt;"&amp;$C$1,Purchase!V:V,"&lt;&gt;暂缓发货")</f>
        <v>1260</v>
      </c>
      <c r="E30" s="86">
        <f>SUMIFS(Purchase!F:F,Purchase!C:C,A30,Purchase!J:J,"&gt;0",Purchase!I:I,"&gt;"&amp;$C$1)</f>
        <v>1260</v>
      </c>
      <c r="F30" s="86">
        <f>SUMIFS(Sales!E:E,Sales!C:C,A30,Sales!K:K,"&gt;"&amp;$C$1)</f>
        <v>700</v>
      </c>
      <c r="G30" s="86">
        <f>SUMIFS(Sales!E:E,Sales!C:C,A30,Sales!K:K,"&gt;"&amp;$C$1,Sales!L:L,"&gt;0")</f>
        <v>700</v>
      </c>
      <c r="H30" s="365">
        <f ca="1">C30+E30-G30-SUMIFS(Transfer!V:V,Transfer!O:O,A30)+SUMIFS(Transfer!W:W,Transfer!O:O,A30)</f>
        <v>560</v>
      </c>
      <c r="I30" s="86">
        <f ca="1">D30-E30+SUMIFS(Transfer!V:V,Transfer!O:O,A30)-SUMIFS(Transfer!W:W,Transfer!O:O,A30)</f>
        <v>0</v>
      </c>
      <c r="J30" s="86">
        <f>SUMIFS(Purchase!F:F,Purchase!C:C,A30,Purchase!V:V,"暂缓发货")</f>
        <v>0</v>
      </c>
      <c r="K30" s="86">
        <f t="shared" si="0"/>
        <v>0</v>
      </c>
      <c r="L30" s="86">
        <f ca="1" t="shared" si="1"/>
        <v>560</v>
      </c>
      <c r="M30" s="365">
        <f ca="1" t="shared" si="2"/>
        <v>560</v>
      </c>
      <c r="N30" s="86" t="str">
        <f ca="1">_xlfn.XLOOKUP(A30,'Product List'!B:B,'Product List'!F:F)</f>
        <v>C</v>
      </c>
      <c r="O30" s="366">
        <f>SUMIF('Weekly Sales'!B:B,A30,'Weekly Sales'!R:R)</f>
        <v>1.83333333333333</v>
      </c>
      <c r="P30" s="367">
        <f ca="1" t="shared" si="3"/>
        <v>305</v>
      </c>
      <c r="Q30" s="367">
        <f ca="1" t="shared" si="4"/>
        <v>305</v>
      </c>
      <c r="R30" s="86">
        <f>_xlfn.XLOOKUP(A30,'Product List'!B:B,'Product List'!P:P)</f>
        <v>15</v>
      </c>
      <c r="S30" s="86">
        <f ca="1" t="shared" si="5"/>
        <v>2</v>
      </c>
      <c r="T30" s="377">
        <f ca="1">SUMIF('Weekly Sales'!B:B,A30,'Weekly Sales'!T:T)</f>
        <v>0</v>
      </c>
      <c r="U30" s="315">
        <f>_xlfn.XLOOKUP(A30,'Product List'!B:B,'Product List'!O:O)</f>
        <v>500</v>
      </c>
      <c r="V30" s="368">
        <f ca="1" t="shared" si="6"/>
        <v>0</v>
      </c>
      <c r="W30" s="368">
        <f ca="1">_xlfn.XLOOKUP(A30,Sum_LA!A:A,Sum_LA!V:V)</f>
        <v>0</v>
      </c>
      <c r="X30" s="368">
        <f ca="1">_xlfn.XLOOKUP(A30,Sum_HOU!A:A,Sum_HOU!V:V)</f>
        <v>70</v>
      </c>
      <c r="Y30" s="86">
        <f ca="1" t="array" ref="Y30">_xlfn.XLOOKUP(1,('Case Pack'!A:A=A30)*('Case Pack'!F:F&lt;=TODAY()),'Case Pack'!D:D,"未找到箱规")</f>
        <v>70</v>
      </c>
      <c r="Z30" s="86" t="str">
        <f>_xlfn.XLOOKUP(A30,'Product List'!B:B,'Product List'!M:M)</f>
        <v>PSP，Canada</v>
      </c>
      <c r="AA30" s="86" t="str">
        <f ca="1" t="array" ref="AA30">_xlfn.XLOOKUP(1,('Case Pack'!A:A=A30)*('Case Pack'!F:F&lt;=TODAY()),'Case Pack'!G:G,"未找到箱规")</f>
        <v>A</v>
      </c>
      <c r="AB30" s="86">
        <f ca="1" t="shared" si="7"/>
        <v>0</v>
      </c>
      <c r="AC30" s="86">
        <f ca="1">_xlfn.XLOOKUP(AA30,'Case Type'!A:A,'Case Type'!H:H)*AB30</f>
        <v>0</v>
      </c>
    </row>
    <row r="31" s="115" customFormat="1" spans="1:29">
      <c r="A31" s="94" t="s">
        <v>57</v>
      </c>
      <c r="B31" s="86" t="str">
        <f>_xlfn.XLOOKUP(A31,'Product List'!B:B,'Product List'!I:I)</f>
        <v>Candy House</v>
      </c>
      <c r="C31" s="86">
        <v>0</v>
      </c>
      <c r="D31" s="86">
        <f>SUMIFS(Purchase!F:F,Purchase!C:C,A31,Purchase!I:I,"&gt;"&amp;$C$1,Purchase!V:V,"&lt;&gt;暂缓发货")</f>
        <v>1242</v>
      </c>
      <c r="E31" s="86">
        <f>SUMIFS(Purchase!F:F,Purchase!C:C,A31,Purchase!J:J,"&gt;0",Purchase!I:I,"&gt;"&amp;$C$1)</f>
        <v>1242</v>
      </c>
      <c r="F31" s="86">
        <f>SUMIFS(Sales!E:E,Sales!C:C,A31,Sales!K:K,"&gt;"&amp;$C$1)</f>
        <v>621</v>
      </c>
      <c r="G31" s="86">
        <f>SUMIFS(Sales!E:E,Sales!C:C,A31,Sales!K:K,"&gt;"&amp;$C$1,Sales!L:L,"&gt;0")</f>
        <v>621</v>
      </c>
      <c r="H31" s="365">
        <f ca="1">C31+E31-G31-SUMIFS(Transfer!V:V,Transfer!O:O,A31)+SUMIFS(Transfer!W:W,Transfer!O:O,A31)</f>
        <v>621</v>
      </c>
      <c r="I31" s="86">
        <f ca="1">D31-E31+SUMIFS(Transfer!V:V,Transfer!O:O,A31)-SUMIFS(Transfer!W:W,Transfer!O:O,A31)</f>
        <v>0</v>
      </c>
      <c r="J31" s="86">
        <f>SUMIFS(Purchase!F:F,Purchase!C:C,A31,Purchase!V:V,"暂缓发货")</f>
        <v>0</v>
      </c>
      <c r="K31" s="86">
        <f t="shared" si="0"/>
        <v>0</v>
      </c>
      <c r="L31" s="86">
        <f ca="1" t="shared" si="1"/>
        <v>621</v>
      </c>
      <c r="M31" s="365">
        <f ca="1" t="shared" si="2"/>
        <v>621</v>
      </c>
      <c r="N31" s="86" t="str">
        <f ca="1">_xlfn.XLOOKUP(A31,'Product List'!B:B,'Product List'!F:F)</f>
        <v>C</v>
      </c>
      <c r="O31" s="366">
        <f>SUMIF('Weekly Sales'!B:B,A31,'Weekly Sales'!R:R)</f>
        <v>3.16666666666667</v>
      </c>
      <c r="P31" s="367">
        <f ca="1" t="shared" si="3"/>
        <v>196</v>
      </c>
      <c r="Q31" s="367">
        <f ca="1" t="shared" si="4"/>
        <v>196</v>
      </c>
      <c r="R31" s="86">
        <f>_xlfn.XLOOKUP(A31,'Product List'!B:B,'Product List'!P:P)</f>
        <v>15</v>
      </c>
      <c r="S31" s="86">
        <f ca="1" t="shared" si="5"/>
        <v>2</v>
      </c>
      <c r="T31" s="377">
        <f ca="1">SUMIF('Weekly Sales'!B:B,A31,'Weekly Sales'!T:T)</f>
        <v>0</v>
      </c>
      <c r="U31" s="315">
        <f>_xlfn.XLOOKUP(A31,'Product List'!B:B,'Product List'!O:O)</f>
        <v>500</v>
      </c>
      <c r="V31" s="368">
        <f ca="1" t="shared" si="6"/>
        <v>0</v>
      </c>
      <c r="W31" s="368">
        <f ca="1">_xlfn.XLOOKUP(A31,Sum_LA!A:A,Sum_LA!V:V)</f>
        <v>0</v>
      </c>
      <c r="X31" s="368">
        <f ca="1">_xlfn.XLOOKUP(A31,Sum_HOU!A:A,Sum_HOU!V:V)</f>
        <v>81</v>
      </c>
      <c r="Y31" s="86">
        <f ca="1" t="array" ref="Y31">_xlfn.XLOOKUP(1,('Case Pack'!A:A=A31)*('Case Pack'!F:F&lt;=TODAY()),'Case Pack'!D:D,"未找到箱规")</f>
        <v>27</v>
      </c>
      <c r="Z31" s="86" t="str">
        <f>_xlfn.XLOOKUP(A31,'Product List'!B:B,'Product List'!M:M)</f>
        <v>PetcoMX,PSP，Canada</v>
      </c>
      <c r="AA31" s="86" t="str">
        <f ca="1" t="array" ref="AA31">_xlfn.XLOOKUP(1,('Case Pack'!A:A=A31)*('Case Pack'!F:F&lt;=TODAY()),'Case Pack'!G:G,"未找到箱规")</f>
        <v>C</v>
      </c>
      <c r="AB31" s="86">
        <f ca="1" t="shared" si="7"/>
        <v>0</v>
      </c>
      <c r="AC31" s="86">
        <f ca="1">_xlfn.XLOOKUP(AA31,'Case Type'!A:A,'Case Type'!H:H)*AB31</f>
        <v>0</v>
      </c>
    </row>
    <row r="32" s="115" customFormat="1" spans="1:29">
      <c r="A32" s="86" t="s">
        <v>58</v>
      </c>
      <c r="B32" s="86" t="str">
        <f>_xlfn.XLOOKUP(A32,'Product List'!B:B,'Product List'!I:I)</f>
        <v>MINI/MOE SMALL ANIMAL HOUSING CAKE HOUSE 1EA</v>
      </c>
      <c r="C32" s="86">
        <v>0</v>
      </c>
      <c r="D32" s="86">
        <f>SUMIFS(Purchase!F:F,Purchase!C:C,A32,Purchase!I:I,"&gt;"&amp;$C$1,Purchase!V:V,"&lt;&gt;暂缓发货")</f>
        <v>1248</v>
      </c>
      <c r="E32" s="86">
        <f>SUMIFS(Purchase!F:F,Purchase!C:C,A32,Purchase!J:J,"&gt;0",Purchase!I:I,"&gt;"&amp;$C$1)</f>
        <v>1248</v>
      </c>
      <c r="F32" s="86">
        <f>SUMIFS(Sales!E:E,Sales!C:C,A32,Sales!K:K,"&gt;"&amp;$C$1)</f>
        <v>312</v>
      </c>
      <c r="G32" s="86">
        <f>SUMIFS(Sales!E:E,Sales!C:C,A32,Sales!K:K,"&gt;"&amp;$C$1,Sales!L:L,"&gt;0")</f>
        <v>312</v>
      </c>
      <c r="H32" s="365">
        <f ca="1">C32+E32-G32-SUMIFS(Transfer!V:V,Transfer!O:O,A32)+SUMIFS(Transfer!W:W,Transfer!O:O,A32)</f>
        <v>936</v>
      </c>
      <c r="I32" s="86">
        <f ca="1">D32-E32+SUMIFS(Transfer!V:V,Transfer!O:O,A32)-SUMIFS(Transfer!W:W,Transfer!O:O,A32)</f>
        <v>0</v>
      </c>
      <c r="J32" s="86">
        <f>SUMIFS(Purchase!F:F,Purchase!C:C,A32,Purchase!V:V,"暂缓发货")</f>
        <v>0</v>
      </c>
      <c r="K32" s="86">
        <f t="shared" si="0"/>
        <v>0</v>
      </c>
      <c r="L32" s="86">
        <f ca="1" t="shared" si="1"/>
        <v>936</v>
      </c>
      <c r="M32" s="365">
        <f ca="1" t="shared" si="2"/>
        <v>936</v>
      </c>
      <c r="N32" s="86" t="str">
        <f ca="1">_xlfn.XLOOKUP(A32,'Product List'!B:B,'Product List'!F:F)</f>
        <v>C</v>
      </c>
      <c r="O32" s="366">
        <f>SUMIF('Weekly Sales'!B:B,A32,'Weekly Sales'!R:R)</f>
        <v>4.16666666666667</v>
      </c>
      <c r="P32" s="367">
        <f ca="1" t="shared" si="3"/>
        <v>224</v>
      </c>
      <c r="Q32" s="367">
        <f ca="1" t="shared" si="4"/>
        <v>224</v>
      </c>
      <c r="R32" s="86">
        <f>_xlfn.XLOOKUP(A32,'Product List'!B:B,'Product List'!P:P)</f>
        <v>15</v>
      </c>
      <c r="S32" s="86">
        <f ca="1" t="shared" si="5"/>
        <v>2</v>
      </c>
      <c r="T32" s="377">
        <f ca="1">SUMIF('Weekly Sales'!B:B,A32,'Weekly Sales'!T:T)</f>
        <v>0</v>
      </c>
      <c r="U32" s="315">
        <f>_xlfn.XLOOKUP(A32,'Product List'!B:B,'Product List'!O:O)</f>
        <v>500</v>
      </c>
      <c r="V32" s="368">
        <f ca="1" t="shared" si="6"/>
        <v>0</v>
      </c>
      <c r="W32" s="368">
        <f ca="1">_xlfn.XLOOKUP(A32,Sum_LA!A:A,Sum_LA!V:V)</f>
        <v>0</v>
      </c>
      <c r="X32" s="368">
        <f ca="1">_xlfn.XLOOKUP(A32,Sum_HOU!A:A,Sum_HOU!V:V)</f>
        <v>91</v>
      </c>
      <c r="Y32" s="86">
        <f ca="1" t="array" ref="Y32">_xlfn.XLOOKUP(1,('Case Pack'!A:A=A32)*('Case Pack'!F:F&lt;=TODAY()),'Case Pack'!D:D,"未找到箱规")</f>
        <v>13</v>
      </c>
      <c r="Z32" s="86" t="str">
        <f>_xlfn.XLOOKUP(A32,'Product List'!B:B,'Product List'!M:M)</f>
        <v>PSP，Canada</v>
      </c>
      <c r="AA32" s="86" t="str">
        <f ca="1" t="array" ref="AA32">_xlfn.XLOOKUP(1,('Case Pack'!A:A=A32)*('Case Pack'!F:F&lt;=TODAY()),'Case Pack'!G:G,"未找到箱规")</f>
        <v>C</v>
      </c>
      <c r="AB32" s="86">
        <f ca="1" t="shared" si="7"/>
        <v>0</v>
      </c>
      <c r="AC32" s="86">
        <f ca="1">_xlfn.XLOOKUP(AA32,'Case Type'!A:A,'Case Type'!H:H)*AB32</f>
        <v>0</v>
      </c>
    </row>
    <row r="33" s="115" customFormat="1" spans="1:29">
      <c r="A33" s="94" t="s">
        <v>59</v>
      </c>
      <c r="B33" s="86" t="str">
        <f>_xlfn.XLOOKUP(A33,'Product List'!B:B,'Product List'!I:I)</f>
        <v>Sugar Jar</v>
      </c>
      <c r="C33" s="86">
        <v>0</v>
      </c>
      <c r="D33" s="86">
        <f>SUMIFS(Purchase!F:F,Purchase!C:C,A33,Purchase!I:I,"&gt;"&amp;$C$1,Purchase!V:V,"&lt;&gt;暂缓发货")</f>
        <v>1242</v>
      </c>
      <c r="E33" s="86">
        <f>SUMIFS(Purchase!F:F,Purchase!C:C,A33,Purchase!J:J,"&gt;0",Purchase!I:I,"&gt;"&amp;$C$1)</f>
        <v>1242</v>
      </c>
      <c r="F33" s="86">
        <f>SUMIFS(Sales!E:E,Sales!C:C,A33,Sales!K:K,"&gt;"&amp;$C$1)</f>
        <v>621</v>
      </c>
      <c r="G33" s="86">
        <f>SUMIFS(Sales!E:E,Sales!C:C,A33,Sales!K:K,"&gt;"&amp;$C$1,Sales!L:L,"&gt;0")</f>
        <v>621</v>
      </c>
      <c r="H33" s="365">
        <f ca="1">C33+E33-G33-SUMIFS(Transfer!V:V,Transfer!O:O,A33)+SUMIFS(Transfer!W:W,Transfer!O:O,A33)</f>
        <v>621</v>
      </c>
      <c r="I33" s="86">
        <f ca="1">D33-E33+SUMIFS(Transfer!V:V,Transfer!O:O,A33)-SUMIFS(Transfer!W:W,Transfer!O:O,A33)</f>
        <v>0</v>
      </c>
      <c r="J33" s="86">
        <f>SUMIFS(Purchase!F:F,Purchase!C:C,A33,Purchase!V:V,"暂缓发货")</f>
        <v>0</v>
      </c>
      <c r="K33" s="86">
        <f t="shared" si="0"/>
        <v>0</v>
      </c>
      <c r="L33" s="86">
        <f ca="1" t="shared" si="1"/>
        <v>621</v>
      </c>
      <c r="M33" s="365">
        <f ca="1" t="shared" si="2"/>
        <v>621</v>
      </c>
      <c r="N33" s="86" t="str">
        <f ca="1">_xlfn.XLOOKUP(A33,'Product List'!B:B,'Product List'!F:F)</f>
        <v>C</v>
      </c>
      <c r="O33" s="366">
        <f>SUMIF('Weekly Sales'!B:B,A33,'Weekly Sales'!R:R)</f>
        <v>0.833333333333333</v>
      </c>
      <c r="P33" s="367">
        <f ca="1" t="shared" si="3"/>
        <v>745</v>
      </c>
      <c r="Q33" s="367">
        <f ca="1" t="shared" si="4"/>
        <v>745</v>
      </c>
      <c r="R33" s="86">
        <f>_xlfn.XLOOKUP(A33,'Product List'!B:B,'Product List'!P:P)</f>
        <v>15</v>
      </c>
      <c r="S33" s="86">
        <f ca="1" t="shared" si="5"/>
        <v>2</v>
      </c>
      <c r="T33" s="377">
        <f ca="1">SUMIF('Weekly Sales'!B:B,A33,'Weekly Sales'!T:T)</f>
        <v>0</v>
      </c>
      <c r="U33" s="315">
        <f>_xlfn.XLOOKUP(A33,'Product List'!B:B,'Product List'!O:O)</f>
        <v>500</v>
      </c>
      <c r="V33" s="368">
        <f ca="1" t="shared" si="6"/>
        <v>0</v>
      </c>
      <c r="W33" s="368">
        <f ca="1">_xlfn.XLOOKUP(A33,Sum_LA!A:A,Sum_LA!V:V)</f>
        <v>0</v>
      </c>
      <c r="X33" s="368">
        <f ca="1">_xlfn.XLOOKUP(A33,Sum_HOU!A:A,Sum_HOU!V:V)</f>
        <v>27</v>
      </c>
      <c r="Y33" s="86">
        <f ca="1" t="array" ref="Y33">_xlfn.XLOOKUP(1,('Case Pack'!A:A=A33)*('Case Pack'!F:F&lt;=TODAY()),'Case Pack'!D:D,"未找到箱规")</f>
        <v>27</v>
      </c>
      <c r="Z33" s="86" t="str">
        <f>_xlfn.XLOOKUP(A33,'Product List'!B:B,'Product List'!M:M)</f>
        <v>PetcoMX，PSP，Canada</v>
      </c>
      <c r="AA33" s="86" t="str">
        <f ca="1" t="array" ref="AA33">_xlfn.XLOOKUP(1,('Case Pack'!A:A=A33)*('Case Pack'!F:F&lt;=TODAY()),'Case Pack'!G:G,"未找到箱规")</f>
        <v>C</v>
      </c>
      <c r="AB33" s="86">
        <f ca="1" t="shared" si="7"/>
        <v>0</v>
      </c>
      <c r="AC33" s="86">
        <f ca="1">_xlfn.XLOOKUP(AA33,'Case Type'!A:A,'Case Type'!H:H)*AB33</f>
        <v>0</v>
      </c>
    </row>
    <row r="34" s="115" customFormat="1" spans="1:29">
      <c r="A34" s="86" t="s">
        <v>60</v>
      </c>
      <c r="B34" s="86" t="str">
        <f>_xlfn.XLOOKUP(A34,'Product List'!B:B,'Product List'!I:I)</f>
        <v>MMO-STARFISH CASTLE</v>
      </c>
      <c r="C34" s="86">
        <v>504</v>
      </c>
      <c r="D34" s="86">
        <f>SUMIFS(Purchase!F:F,Purchase!C:C,A34,Purchase!I:I,"&gt;"&amp;$C$1,Purchase!V:V,"&lt;&gt;暂缓发货")</f>
        <v>1840</v>
      </c>
      <c r="E34" s="86">
        <f>SUMIFS(Purchase!F:F,Purchase!C:C,A34,Purchase!J:J,"&gt;0",Purchase!I:I,"&gt;"&amp;$C$1)</f>
        <v>1840</v>
      </c>
      <c r="F34" s="86">
        <f>SUMIFS(Sales!E:E,Sales!C:C,A34,Sales!K:K,"&gt;"&amp;$C$1)</f>
        <v>2244</v>
      </c>
      <c r="G34" s="86">
        <f>SUMIFS(Sales!E:E,Sales!C:C,A34,Sales!K:K,"&gt;"&amp;$C$1,Sales!L:L,"&gt;0")</f>
        <v>2104</v>
      </c>
      <c r="H34" s="365">
        <f ca="1">C34+E34-G34-SUMIFS(Transfer!V:V,Transfer!O:O,A34)+SUMIFS(Transfer!W:W,Transfer!O:O,A34)</f>
        <v>240</v>
      </c>
      <c r="I34" s="86">
        <f ca="1">D34-E34+SUMIFS(Transfer!V:V,Transfer!O:O,A34)-SUMIFS(Transfer!W:W,Transfer!O:O,A34)</f>
        <v>0</v>
      </c>
      <c r="J34" s="86">
        <f>SUMIFS(Purchase!F:F,Purchase!C:C,A34,Purchase!V:V,"暂缓发货")</f>
        <v>0</v>
      </c>
      <c r="K34" s="86">
        <f t="shared" si="0"/>
        <v>140</v>
      </c>
      <c r="L34" s="86">
        <f ca="1" t="shared" si="1"/>
        <v>100</v>
      </c>
      <c r="M34" s="365">
        <f ca="1" t="shared" si="2"/>
        <v>100</v>
      </c>
      <c r="N34" s="86" t="str">
        <f ca="1">_xlfn.XLOOKUP(A34,'Product List'!B:B,'Product List'!F:F)</f>
        <v>B</v>
      </c>
      <c r="O34" s="366">
        <f>SUMIF('Weekly Sales'!B:B,A34,'Weekly Sales'!R:R)</f>
        <v>0</v>
      </c>
      <c r="P34" s="367">
        <f ca="1" t="shared" si="3"/>
        <v>999</v>
      </c>
      <c r="Q34" s="367">
        <f ca="1" t="shared" si="4"/>
        <v>999</v>
      </c>
      <c r="R34" s="86">
        <f>_xlfn.XLOOKUP(A34,'Product List'!B:B,'Product List'!P:P)</f>
        <v>15</v>
      </c>
      <c r="S34" s="86">
        <f ca="1" t="shared" si="5"/>
        <v>5</v>
      </c>
      <c r="T34" s="377">
        <f ca="1">SUMIF('Weekly Sales'!B:B,A34,'Weekly Sales'!T:T)</f>
        <v>0</v>
      </c>
      <c r="U34" s="315">
        <f>_xlfn.XLOOKUP(A34,'Product List'!B:B,'Product List'!O:O)</f>
        <v>500</v>
      </c>
      <c r="V34" s="368">
        <f ca="1" t="shared" si="6"/>
        <v>0</v>
      </c>
      <c r="W34" s="368">
        <f ca="1">_xlfn.XLOOKUP(A34,Sum_LA!A:A,Sum_LA!V:V)</f>
        <v>0</v>
      </c>
      <c r="X34" s="368">
        <f ca="1">_xlfn.XLOOKUP(A34,Sum_HOU!A:A,Sum_HOU!V:V)</f>
        <v>0</v>
      </c>
      <c r="Y34" s="86">
        <f ca="1" t="array" ref="Y34">_xlfn.XLOOKUP(1,('Case Pack'!A:A=A34)*('Case Pack'!F:F&lt;=TODAY()),'Case Pack'!D:D,"未找到箱规")</f>
        <v>20</v>
      </c>
      <c r="Z34" s="86" t="str">
        <f>_xlfn.XLOOKUP(A34,'Product List'!B:B,'Product List'!M:M)</f>
        <v>PetcoUS</v>
      </c>
      <c r="AA34" s="86" t="str">
        <f ca="1" t="array" ref="AA34">_xlfn.XLOOKUP(1,('Case Pack'!A:A=A34)*('Case Pack'!F:F&lt;=TODAY()),'Case Pack'!G:G,"未找到箱规")</f>
        <v>C</v>
      </c>
      <c r="AB34" s="86">
        <f ca="1" t="shared" si="7"/>
        <v>0</v>
      </c>
      <c r="AC34" s="86">
        <f ca="1">_xlfn.XLOOKUP(AA34,'Case Type'!A:A,'Case Type'!H:H)*AB34</f>
        <v>0</v>
      </c>
    </row>
    <row r="35" s="115" customFormat="1" spans="1:29">
      <c r="A35" s="86" t="s">
        <v>61</v>
      </c>
      <c r="B35" s="86" t="str">
        <f>_xlfn.XLOOKUP(A35,'Product List'!B:B,'Product List'!I:I)</f>
        <v>MMO-WAVE BRIDGE</v>
      </c>
      <c r="C35" s="86">
        <v>352</v>
      </c>
      <c r="D35" s="86">
        <f>SUMIFS(Purchase!F:F,Purchase!C:C,A35,Purchase!I:I,"&gt;"&amp;$C$1,Purchase!V:V,"&lt;&gt;暂缓发货")</f>
        <v>2508</v>
      </c>
      <c r="E35" s="86">
        <f>SUMIFS(Purchase!F:F,Purchase!C:C,A35,Purchase!J:J,"&gt;0",Purchase!I:I,"&gt;"&amp;$C$1)</f>
        <v>2508</v>
      </c>
      <c r="F35" s="86">
        <f>SUMIFS(Sales!E:E,Sales!C:C,A35,Sales!K:K,"&gt;"&amp;$C$1)</f>
        <v>2853</v>
      </c>
      <c r="G35" s="86">
        <f>SUMIFS(Sales!E:E,Sales!C:C,A35,Sales!K:K,"&gt;"&amp;$C$1,Sales!L:L,"&gt;0")</f>
        <v>2853</v>
      </c>
      <c r="H35" s="365">
        <f ca="1">C35+E35-G35-SUMIFS(Transfer!V:V,Transfer!O:O,A35)+SUMIFS(Transfer!W:W,Transfer!O:O,A35)</f>
        <v>7</v>
      </c>
      <c r="I35" s="86">
        <f ca="1">D35-E35+SUMIFS(Transfer!V:V,Transfer!O:O,A35)-SUMIFS(Transfer!W:W,Transfer!O:O,A35)</f>
        <v>0</v>
      </c>
      <c r="J35" s="86">
        <f>SUMIFS(Purchase!F:F,Purchase!C:C,A35,Purchase!V:V,"暂缓发货")</f>
        <v>0</v>
      </c>
      <c r="K35" s="86">
        <f t="shared" si="0"/>
        <v>0</v>
      </c>
      <c r="L35" s="86">
        <f ca="1" t="shared" si="1"/>
        <v>7</v>
      </c>
      <c r="M35" s="365">
        <f ca="1" t="shared" si="2"/>
        <v>7</v>
      </c>
      <c r="N35" s="86" t="str">
        <f ca="1">_xlfn.XLOOKUP(A35,'Product List'!B:B,'Product List'!F:F)</f>
        <v>B</v>
      </c>
      <c r="O35" s="366">
        <f>SUMIF('Weekly Sales'!B:B,A35,'Weekly Sales'!R:R)</f>
        <v>0</v>
      </c>
      <c r="P35" s="367">
        <f ca="1" t="shared" si="3"/>
        <v>999</v>
      </c>
      <c r="Q35" s="367">
        <f ca="1" t="shared" si="4"/>
        <v>999</v>
      </c>
      <c r="R35" s="86">
        <f>_xlfn.XLOOKUP(A35,'Product List'!B:B,'Product List'!P:P)</f>
        <v>15</v>
      </c>
      <c r="S35" s="86">
        <f ca="1" t="shared" si="5"/>
        <v>5</v>
      </c>
      <c r="T35" s="377">
        <f ca="1">SUMIF('Weekly Sales'!B:B,A35,'Weekly Sales'!T:T)</f>
        <v>0</v>
      </c>
      <c r="U35" s="315">
        <f>_xlfn.XLOOKUP(A35,'Product List'!B:B,'Product List'!O:O)</f>
        <v>500</v>
      </c>
      <c r="V35" s="368">
        <f ca="1" t="shared" si="6"/>
        <v>0</v>
      </c>
      <c r="W35" s="368">
        <f ca="1">_xlfn.XLOOKUP(A35,Sum_LA!A:A,Sum_LA!V:V)</f>
        <v>0</v>
      </c>
      <c r="X35" s="368">
        <f ca="1">_xlfn.XLOOKUP(A35,Sum_HOU!A:A,Sum_HOU!V:V)</f>
        <v>0</v>
      </c>
      <c r="Y35" s="86">
        <f ca="1" t="array" ref="Y35">_xlfn.XLOOKUP(1,('Case Pack'!A:A=A35)*('Case Pack'!F:F&lt;=TODAY()),'Case Pack'!D:D,"未找到箱规")</f>
        <v>33</v>
      </c>
      <c r="Z35" s="86" t="str">
        <f>_xlfn.XLOOKUP(A35,'Product List'!B:B,'Product List'!M:M)</f>
        <v>PetcoUS，Canada</v>
      </c>
      <c r="AA35" s="86" t="str">
        <f ca="1" t="array" ref="AA35">_xlfn.XLOOKUP(1,('Case Pack'!A:A=A35)*('Case Pack'!F:F&lt;=TODAY()),'Case Pack'!G:G,"未找到箱规")</f>
        <v>C</v>
      </c>
      <c r="AB35" s="86">
        <f ca="1" t="shared" si="7"/>
        <v>0</v>
      </c>
      <c r="AC35" s="86">
        <f ca="1">_xlfn.XLOOKUP(AA35,'Case Type'!A:A,'Case Type'!H:H)*AB35</f>
        <v>0</v>
      </c>
    </row>
    <row r="36" s="115" customFormat="1" spans="1:29">
      <c r="A36" s="86" t="s">
        <v>62</v>
      </c>
      <c r="B36" s="86" t="str">
        <f>_xlfn.XLOOKUP(A36,'Product List'!B:B,'Product List'!I:I)</f>
        <v>MINI/MOE BENDABLE BIRCHWOOD FENCE</v>
      </c>
      <c r="C36" s="86">
        <f>746</f>
        <v>746</v>
      </c>
      <c r="D36" s="86">
        <f>SUMIFS(Purchase!F:F,Purchase!C:C,A36,Purchase!I:I,"&gt;"&amp;$C$1,Purchase!V:V,"&lt;&gt;暂缓发货")</f>
        <v>2592</v>
      </c>
      <c r="E36" s="86">
        <f>SUMIFS(Purchase!F:F,Purchase!C:C,A36,Purchase!J:J,"&gt;0",Purchase!I:I,"&gt;"&amp;$C$1)</f>
        <v>2592</v>
      </c>
      <c r="F36" s="86">
        <f>SUMIFS(Sales!E:E,Sales!C:C,A36,Sales!K:K,"&gt;"&amp;$C$1)</f>
        <v>2634</v>
      </c>
      <c r="G36" s="86">
        <f>SUMIFS(Sales!E:E,Sales!C:C,A36,Sales!K:K,"&gt;"&amp;$C$1,Sales!L:L,"&gt;0")</f>
        <v>2634</v>
      </c>
      <c r="H36" s="365">
        <f ca="1">C36+E36-G36-SUMIFS(Transfer!V:V,Transfer!O:O,A36)+SUMIFS(Transfer!W:W,Transfer!O:O,A36)</f>
        <v>704</v>
      </c>
      <c r="I36" s="86">
        <f ca="1">D36-E36+SUMIFS(Transfer!V:V,Transfer!O:O,A36)-SUMIFS(Transfer!W:W,Transfer!O:O,A36)</f>
        <v>0</v>
      </c>
      <c r="J36" s="86">
        <f>SUMIFS(Purchase!F:F,Purchase!C:C,A36,Purchase!V:V,"暂缓发货")</f>
        <v>0</v>
      </c>
      <c r="K36" s="86">
        <f t="shared" si="0"/>
        <v>0</v>
      </c>
      <c r="L36" s="86">
        <f ca="1" t="shared" si="1"/>
        <v>704</v>
      </c>
      <c r="M36" s="365">
        <f ca="1" t="shared" si="2"/>
        <v>704</v>
      </c>
      <c r="N36" s="86" t="str">
        <f ca="1">_xlfn.XLOOKUP(A36,'Product List'!B:B,'Product List'!F:F)</f>
        <v>B</v>
      </c>
      <c r="O36" s="366">
        <f>SUMIF('Weekly Sales'!B:B,A36,'Weekly Sales'!R:R)</f>
        <v>16</v>
      </c>
      <c r="P36" s="367">
        <f ca="1" t="shared" si="3"/>
        <v>44</v>
      </c>
      <c r="Q36" s="367">
        <f ca="1" t="shared" si="4"/>
        <v>44</v>
      </c>
      <c r="R36" s="86">
        <f>_xlfn.XLOOKUP(A36,'Product List'!B:B,'Product List'!P:P)</f>
        <v>15</v>
      </c>
      <c r="S36" s="86">
        <f ca="1" t="shared" si="5"/>
        <v>5</v>
      </c>
      <c r="T36" s="377">
        <f ca="1">SUMIF('Weekly Sales'!B:B,A36,'Weekly Sales'!T:T)</f>
        <v>84</v>
      </c>
      <c r="U36" s="315">
        <f>_xlfn.XLOOKUP(A36,'Product List'!B:B,'Product List'!O:O)</f>
        <v>500</v>
      </c>
      <c r="V36" s="368">
        <f ca="1" t="shared" si="6"/>
        <v>0</v>
      </c>
      <c r="W36" s="368">
        <f ca="1">_xlfn.XLOOKUP(A36,Sum_LA!A:A,Sum_LA!V:V)</f>
        <v>0</v>
      </c>
      <c r="X36" s="368">
        <f ca="1">_xlfn.XLOOKUP(A36,Sum_HOU!A:A,Sum_HOU!V:V)</f>
        <v>448</v>
      </c>
      <c r="Y36" s="86">
        <f ca="1" t="array" ref="Y36">_xlfn.XLOOKUP(1,('Case Pack'!A:A=A36)*('Case Pack'!F:F&lt;=TODAY()),'Case Pack'!D:D,"未找到箱规")</f>
        <v>32</v>
      </c>
      <c r="Z36" s="86" t="str">
        <f>_xlfn.XLOOKUP(A36,'Product List'!B:B,'Product List'!M:M)</f>
        <v>PSP,  PetcoUS</v>
      </c>
      <c r="AA36" s="86" t="str">
        <f ca="1" t="array" ref="AA36">_xlfn.XLOOKUP(1,('Case Pack'!A:A=A36)*('Case Pack'!F:F&lt;=TODAY()),'Case Pack'!G:G,"未找到箱规")</f>
        <v>F</v>
      </c>
      <c r="AB36" s="86">
        <f ca="1" t="shared" si="7"/>
        <v>0</v>
      </c>
      <c r="AC36" s="86">
        <f ca="1">_xlfn.XLOOKUP(AA36,'Case Type'!A:A,'Case Type'!H:H)*AB36</f>
        <v>0</v>
      </c>
    </row>
    <row r="37" s="115" customFormat="1" spans="1:29">
      <c r="A37" s="94" t="s">
        <v>63</v>
      </c>
      <c r="B37" s="86" t="str">
        <f>_xlfn.XLOOKUP(A37,'Product List'!B:B,'Product List'!I:I)</f>
        <v>Crystal Outdoor Cage</v>
      </c>
      <c r="C37" s="86">
        <v>0</v>
      </c>
      <c r="D37" s="86">
        <f>SUMIFS(Purchase!F:F,Purchase!C:C,A37,Purchase!I:I,"&gt;"&amp;$C$1,Purchase!V:V,"&lt;&gt;暂缓发货")</f>
        <v>1250</v>
      </c>
      <c r="E37" s="86">
        <f>SUMIFS(Purchase!F:F,Purchase!C:C,A37,Purchase!J:J,"&gt;0",Purchase!I:I,"&gt;"&amp;$C$1)</f>
        <v>1250</v>
      </c>
      <c r="F37" s="86">
        <f>SUMIFS(Sales!E:E,Sales!C:C,A37,Sales!K:K,"&gt;"&amp;$C$1)</f>
        <v>305</v>
      </c>
      <c r="G37" s="86">
        <f>SUMIFS(Sales!E:E,Sales!C:C,A37,Sales!K:K,"&gt;"&amp;$C$1,Sales!L:L,"&gt;0")</f>
        <v>305</v>
      </c>
      <c r="H37" s="365">
        <f ca="1">C37+E37-G37-SUMIFS(Transfer!V:V,Transfer!O:O,A37)+SUMIFS(Transfer!W:W,Transfer!O:O,A37)</f>
        <v>945</v>
      </c>
      <c r="I37" s="86">
        <f ca="1">D37-E37+SUMIFS(Transfer!V:V,Transfer!O:O,A37)-SUMIFS(Transfer!W:W,Transfer!O:O,A37)</f>
        <v>0</v>
      </c>
      <c r="J37" s="86">
        <f>SUMIFS(Purchase!F:F,Purchase!C:C,A37,Purchase!V:V,"暂缓发货")</f>
        <v>0</v>
      </c>
      <c r="K37" s="86">
        <f t="shared" si="0"/>
        <v>0</v>
      </c>
      <c r="L37" s="86">
        <f ca="1" t="shared" si="1"/>
        <v>945</v>
      </c>
      <c r="M37" s="365">
        <f ca="1" t="shared" si="2"/>
        <v>945</v>
      </c>
      <c r="N37" s="86" t="str">
        <f ca="1">_xlfn.XLOOKUP(A37,'Product List'!B:B,'Product List'!F:F)</f>
        <v>C</v>
      </c>
      <c r="O37" s="366">
        <f>SUMIF('Weekly Sales'!B:B,A37,'Weekly Sales'!R:R)</f>
        <v>0.666666666666667</v>
      </c>
      <c r="P37" s="367">
        <f ca="1" t="shared" si="3"/>
        <v>1417</v>
      </c>
      <c r="Q37" s="367">
        <f ca="1" t="shared" si="4"/>
        <v>1417</v>
      </c>
      <c r="R37" s="86">
        <f>_xlfn.XLOOKUP(A37,'Product List'!B:B,'Product List'!P:P)</f>
        <v>10</v>
      </c>
      <c r="S37" s="86">
        <f ca="1" t="shared" si="5"/>
        <v>2</v>
      </c>
      <c r="T37" s="377">
        <f ca="1">SUMIF('Weekly Sales'!B:B,A37,'Weekly Sales'!T:T)</f>
        <v>0</v>
      </c>
      <c r="U37" s="315">
        <f>_xlfn.XLOOKUP(A37,'Product List'!B:B,'Product List'!O:O)</f>
        <v>1000</v>
      </c>
      <c r="V37" s="368">
        <f ca="1" t="shared" si="6"/>
        <v>0</v>
      </c>
      <c r="W37" s="368">
        <f ca="1">_xlfn.XLOOKUP(A37,Sum_LA!A:A,Sum_LA!V:V)</f>
        <v>0</v>
      </c>
      <c r="X37" s="368">
        <f ca="1">_xlfn.XLOOKUP(A37,Sum_HOU!A:A,Sum_HOU!V:V)</f>
        <v>10</v>
      </c>
      <c r="Y37" s="86">
        <f ca="1" t="array" ref="Y37">_xlfn.XLOOKUP(1,('Case Pack'!A:A=A37)*('Case Pack'!F:F&lt;=TODAY()),'Case Pack'!D:D,"未找到箱规")</f>
        <v>5</v>
      </c>
      <c r="Z37" s="86" t="str">
        <f>_xlfn.XLOOKUP(A37,'Product List'!B:B,'Product List'!M:M)</f>
        <v>PetcoMX,PSP，Canada</v>
      </c>
      <c r="AA37" s="86" t="str">
        <f ca="1" t="array" ref="AA37">_xlfn.XLOOKUP(1,('Case Pack'!A:A=A37)*('Case Pack'!F:F&lt;=TODAY()),'Case Pack'!G:G,"未找到箱规")</f>
        <v>A</v>
      </c>
      <c r="AB37" s="86">
        <f ca="1" t="shared" si="7"/>
        <v>0</v>
      </c>
      <c r="AC37" s="86">
        <f ca="1">_xlfn.XLOOKUP(AA37,'Case Type'!A:A,'Case Type'!H:H)*AB37</f>
        <v>0</v>
      </c>
    </row>
    <row r="38" s="115" customFormat="1" spans="1:29">
      <c r="A38" s="94" t="s">
        <v>64</v>
      </c>
      <c r="B38" s="86" t="str">
        <f>_xlfn.XLOOKUP(A38,'Product List'!B:B,'Product List'!I:I)</f>
        <v>D. MMO-COTTAGE VIEW CAGE</v>
      </c>
      <c r="C38" s="86">
        <v>0</v>
      </c>
      <c r="D38" s="86">
        <f>SUMIFS(Purchase!F:F,Purchase!C:C,A38,Purchase!I:I,"&gt;"&amp;$C$1,Purchase!V:V,"&lt;&gt;暂缓发货")</f>
        <v>741</v>
      </c>
      <c r="E38" s="86">
        <f>SUMIFS(Purchase!F:F,Purchase!C:C,A38,Purchase!J:J,"&gt;0",Purchase!I:I,"&gt;"&amp;$C$1)</f>
        <v>741</v>
      </c>
      <c r="F38" s="86">
        <f>SUMIFS(Sales!E:E,Sales!C:C,A38,Sales!K:K,"&gt;"&amp;$C$1)</f>
        <v>306</v>
      </c>
      <c r="G38" s="86">
        <f>SUMIFS(Sales!E:E,Sales!C:C,A38,Sales!K:K,"&gt;"&amp;$C$1,Sales!L:L,"&gt;0")</f>
        <v>137</v>
      </c>
      <c r="H38" s="365">
        <f ca="1">C38+E38-G38-SUMIFS(Transfer!V:V,Transfer!O:O,A38)+SUMIFS(Transfer!W:W,Transfer!O:O,A38)</f>
        <v>604</v>
      </c>
      <c r="I38" s="86">
        <f ca="1">D38-E38+SUMIFS(Transfer!V:V,Transfer!O:O,A38)-SUMIFS(Transfer!W:W,Transfer!O:O,A38)</f>
        <v>0</v>
      </c>
      <c r="J38" s="86">
        <f>SUMIFS(Purchase!F:F,Purchase!C:C,A38,Purchase!V:V,"暂缓发货")</f>
        <v>0</v>
      </c>
      <c r="K38" s="86">
        <f t="shared" si="0"/>
        <v>169</v>
      </c>
      <c r="L38" s="86">
        <f ca="1" t="shared" si="1"/>
        <v>435</v>
      </c>
      <c r="M38" s="365">
        <f ca="1" t="shared" si="2"/>
        <v>435</v>
      </c>
      <c r="N38" s="86" t="str">
        <f ca="1">_xlfn.XLOOKUP(A38,'Product List'!B:B,'Product List'!F:F)</f>
        <v>A</v>
      </c>
      <c r="O38" s="366">
        <f>SUMIF('Weekly Sales'!B:B,A38,'Weekly Sales'!R:R)</f>
        <v>0</v>
      </c>
      <c r="P38" s="367">
        <f ca="1" t="shared" si="3"/>
        <v>999</v>
      </c>
      <c r="Q38" s="367">
        <f ca="1" t="shared" si="4"/>
        <v>999</v>
      </c>
      <c r="R38" s="86">
        <f>_xlfn.XLOOKUP(A38,'Product List'!B:B,'Product List'!P:P)</f>
        <v>10</v>
      </c>
      <c r="S38" s="86">
        <f ca="1" t="shared" si="5"/>
        <v>6</v>
      </c>
      <c r="T38" s="377">
        <f ca="1">SUMIF('Weekly Sales'!B:B,A38,'Weekly Sales'!T:T)</f>
        <v>0</v>
      </c>
      <c r="U38" s="315">
        <f>_xlfn.XLOOKUP(A38,'Product List'!B:B,'Product List'!O:O)</f>
        <v>1000</v>
      </c>
      <c r="V38" s="368">
        <f ca="1" t="shared" si="6"/>
        <v>0</v>
      </c>
      <c r="W38" s="368">
        <f ca="1">_xlfn.XLOOKUP(A38,Sum_LA!A:A,Sum_LA!V:V)</f>
        <v>0</v>
      </c>
      <c r="X38" s="368">
        <f ca="1">_xlfn.XLOOKUP(A38,Sum_HOU!A:A,Sum_HOU!V:V)</f>
        <v>0</v>
      </c>
      <c r="Y38" s="86">
        <f ca="1" t="array" ref="Y38">_xlfn.XLOOKUP(1,('Case Pack'!A:A=A38)*('Case Pack'!F:F&lt;=TODAY()),'Case Pack'!D:D,"未找到箱规")</f>
        <v>1</v>
      </c>
      <c r="Z38" s="86" t="str">
        <f>_xlfn.XLOOKUP(A38,'Product List'!B:B,'Product List'!M:M)</f>
        <v>PSP, PetcoUS, PetcoMX</v>
      </c>
      <c r="AA38" s="86" t="str">
        <f ca="1" t="array" ref="AA38">_xlfn.XLOOKUP(1,('Case Pack'!A:A=A38)*('Case Pack'!F:F&lt;=TODAY()),'Case Pack'!G:G,"未找到箱规")</f>
        <v>S3</v>
      </c>
      <c r="AB38" s="86">
        <f ca="1" t="shared" si="7"/>
        <v>0</v>
      </c>
      <c r="AC38" s="86">
        <f ca="1">_xlfn.XLOOKUP(AA38,'Case Type'!A:A,'Case Type'!H:H)*AB38</f>
        <v>0</v>
      </c>
    </row>
    <row r="39" s="115" customFormat="1" spans="1:29">
      <c r="A39" s="86" t="s">
        <v>65</v>
      </c>
      <c r="B39" s="86" t="str">
        <f>_xlfn.XLOOKUP(A39,'Product List'!B:B,'Product List'!I:I)</f>
        <v>MINI/MOE ROCKING BIRDHOUSE HIDE 1EA</v>
      </c>
      <c r="C39" s="86">
        <v>0</v>
      </c>
      <c r="D39" s="86">
        <f>SUMIFS(Purchase!F:F,Purchase!C:C,A39,Purchase!I:I,"&gt;"&amp;$C$1,Purchase!V:V,"&lt;&gt;暂缓发货")</f>
        <v>0</v>
      </c>
      <c r="E39" s="86">
        <f>SUMIFS(Purchase!F:F,Purchase!C:C,A39,Purchase!J:J,"&gt;0",Purchase!I:I,"&gt;"&amp;$C$1)</f>
        <v>0</v>
      </c>
      <c r="F39" s="86">
        <f>SUMIFS(Sales!E:E,Sales!C:C,A39,Sales!K:K,"&gt;"&amp;$C$1)</f>
        <v>0</v>
      </c>
      <c r="G39" s="86">
        <f>SUMIFS(Sales!E:E,Sales!C:C,A39,Sales!K:K,"&gt;"&amp;$C$1,Sales!L:L,"&gt;0")</f>
        <v>0</v>
      </c>
      <c r="H39" s="365">
        <f ca="1">C39+E39-G39-SUMIFS(Transfer!V:V,Transfer!O:O,A39)+SUMIFS(Transfer!W:W,Transfer!O:O,A39)</f>
        <v>0</v>
      </c>
      <c r="I39" s="86">
        <f ca="1">D39-E39+SUMIFS(Transfer!V:V,Transfer!O:O,A39)-SUMIFS(Transfer!W:W,Transfer!O:O,A39)</f>
        <v>0</v>
      </c>
      <c r="J39" s="86">
        <f>SUMIFS(Purchase!F:F,Purchase!C:C,A39,Purchase!V:V,"暂缓发货")</f>
        <v>0</v>
      </c>
      <c r="K39" s="86">
        <f t="shared" si="0"/>
        <v>0</v>
      </c>
      <c r="L39" s="86">
        <f ca="1" t="shared" si="1"/>
        <v>0</v>
      </c>
      <c r="M39" s="365">
        <f ca="1" t="shared" si="2"/>
        <v>0</v>
      </c>
      <c r="N39" s="86" t="str">
        <f ca="1">_xlfn.XLOOKUP(A39,'Product List'!B:B,'Product List'!F:F)</f>
        <v>C</v>
      </c>
      <c r="O39" s="366">
        <f>SUMIF('Weekly Sales'!B:B,A39,'Weekly Sales'!R:R)</f>
        <v>0</v>
      </c>
      <c r="P39" s="367">
        <f ca="1" t="shared" si="3"/>
        <v>999</v>
      </c>
      <c r="Q39" s="367">
        <f ca="1" t="shared" si="4"/>
        <v>999</v>
      </c>
      <c r="R39" s="86">
        <f>_xlfn.XLOOKUP(A39,'Product List'!B:B,'Product List'!P:P)</f>
        <v>10</v>
      </c>
      <c r="S39" s="86">
        <f ca="1" t="shared" si="5"/>
        <v>2</v>
      </c>
      <c r="T39" s="377">
        <f ca="1">SUMIF('Weekly Sales'!B:B,A39,'Weekly Sales'!T:T)</f>
        <v>0</v>
      </c>
      <c r="U39" s="315">
        <f>_xlfn.XLOOKUP(A39,'Product List'!B:B,'Product List'!O:O)</f>
        <v>500</v>
      </c>
      <c r="V39" s="368">
        <f ca="1" t="shared" si="6"/>
        <v>0</v>
      </c>
      <c r="W39" s="368">
        <f ca="1">_xlfn.XLOOKUP(A39,Sum_LA!A:A,Sum_LA!V:V)</f>
        <v>0</v>
      </c>
      <c r="X39" s="368">
        <f ca="1">_xlfn.XLOOKUP(A39,Sum_HOU!A:A,Sum_HOU!V:V)</f>
        <v>0</v>
      </c>
      <c r="Y39" s="86">
        <f ca="1" t="array" ref="Y39">_xlfn.XLOOKUP(1,('Case Pack'!A:A=A39)*('Case Pack'!F:F&lt;=TODAY()),'Case Pack'!D:D,"未找到箱规")</f>
        <v>18</v>
      </c>
      <c r="Z39" s="86" t="str">
        <f>_xlfn.XLOOKUP(A39,'Product List'!B:B,'Product List'!M:M)</f>
        <v>PSP</v>
      </c>
      <c r="AA39" s="86" t="str">
        <f ca="1" t="array" ref="AA39">_xlfn.XLOOKUP(1,('Case Pack'!A:A=A39)*('Case Pack'!F:F&lt;=TODAY()),'Case Pack'!G:G,"未找到箱规")</f>
        <v>C</v>
      </c>
      <c r="AB39" s="86">
        <f ca="1" t="shared" si="7"/>
        <v>0</v>
      </c>
      <c r="AC39" s="86">
        <f ca="1">_xlfn.XLOOKUP(AA39,'Case Type'!A:A,'Case Type'!H:H)*AB39</f>
        <v>0</v>
      </c>
    </row>
    <row r="40" s="115" customFormat="1" spans="1:29">
      <c r="A40" s="94" t="s">
        <v>66</v>
      </c>
      <c r="B40" s="86" t="str">
        <f>_xlfn.XLOOKUP(A40,'Product List'!B:B,'Product List'!I:I)</f>
        <v>Bubble water bottle (color:green)</v>
      </c>
      <c r="C40" s="86">
        <v>144</v>
      </c>
      <c r="D40" s="86">
        <f>SUMIFS(Purchase!F:F,Purchase!C:C,A40,Purchase!I:I,"&gt;"&amp;$C$1,Purchase!V:V,"&lt;&gt;暂缓发货")</f>
        <v>288</v>
      </c>
      <c r="E40" s="86">
        <f>SUMIFS(Purchase!F:F,Purchase!C:C,A40,Purchase!J:J,"&gt;0",Purchase!I:I,"&gt;"&amp;$C$1)</f>
        <v>288</v>
      </c>
      <c r="F40" s="86">
        <f>SUMIFS(Sales!E:E,Sales!C:C,A40,Sales!K:K,"&gt;"&amp;$C$1)</f>
        <v>198</v>
      </c>
      <c r="G40" s="86">
        <f>SUMIFS(Sales!E:E,Sales!C:C,A40,Sales!K:K,"&gt;"&amp;$C$1,Sales!L:L,"&gt;0")</f>
        <v>198</v>
      </c>
      <c r="H40" s="365">
        <f ca="1">C40+E40-G40-SUMIFS(Transfer!V:V,Transfer!O:O,A40)+SUMIFS(Transfer!W:W,Transfer!O:O,A40)</f>
        <v>234</v>
      </c>
      <c r="I40" s="86">
        <f ca="1">D40-E40+SUMIFS(Transfer!V:V,Transfer!O:O,A40)-SUMIFS(Transfer!W:W,Transfer!O:O,A40)</f>
        <v>0</v>
      </c>
      <c r="J40" s="86">
        <f>SUMIFS(Purchase!F:F,Purchase!C:C,A40,Purchase!V:V,"暂缓发货")</f>
        <v>0</v>
      </c>
      <c r="K40" s="86">
        <f t="shared" si="0"/>
        <v>0</v>
      </c>
      <c r="L40" s="86">
        <f ca="1" t="shared" si="1"/>
        <v>234</v>
      </c>
      <c r="M40" s="365">
        <f ca="1" t="shared" si="2"/>
        <v>234</v>
      </c>
      <c r="N40" s="86" t="str">
        <f ca="1">_xlfn.XLOOKUP(A40,'Product List'!B:B,'Product List'!F:F)</f>
        <v>C</v>
      </c>
      <c r="O40" s="366">
        <f>SUMIF('Weekly Sales'!B:B,A40,'Weekly Sales'!R:R)</f>
        <v>0</v>
      </c>
      <c r="P40" s="367">
        <f ca="1" t="shared" si="3"/>
        <v>999</v>
      </c>
      <c r="Q40" s="367">
        <f ca="1" t="shared" si="4"/>
        <v>999</v>
      </c>
      <c r="R40" s="86">
        <f>_xlfn.XLOOKUP(A40,'Product List'!B:B,'Product List'!P:P)</f>
        <v>10</v>
      </c>
      <c r="S40" s="86">
        <f ca="1" t="shared" si="5"/>
        <v>2</v>
      </c>
      <c r="T40" s="377">
        <f ca="1">SUMIF('Weekly Sales'!B:B,A40,'Weekly Sales'!T:T)</f>
        <v>0</v>
      </c>
      <c r="U40" s="315">
        <f>_xlfn.XLOOKUP(A40,'Product List'!B:B,'Product List'!O:O)</f>
        <v>1000</v>
      </c>
      <c r="V40" s="368">
        <f ca="1" t="shared" si="6"/>
        <v>0</v>
      </c>
      <c r="W40" s="368">
        <f ca="1">_xlfn.XLOOKUP(A40,Sum_LA!A:A,Sum_LA!V:V)</f>
        <v>0</v>
      </c>
      <c r="X40" s="368">
        <f ca="1">_xlfn.XLOOKUP(A40,Sum_HOU!A:A,Sum_HOU!V:V)</f>
        <v>0</v>
      </c>
      <c r="Y40" s="86">
        <f ca="1" t="array" ref="Y40">_xlfn.XLOOKUP(1,('Case Pack'!A:A=A40)*('Case Pack'!F:F&lt;=TODAY()),'Case Pack'!D:D,"未找到箱规")</f>
        <v>18</v>
      </c>
      <c r="Z40" s="86" t="str">
        <f>_xlfn.XLOOKUP(A40,'Product List'!B:B,'Product List'!M:M)</f>
        <v>Pet Supermarket,PetcoMX</v>
      </c>
      <c r="AA40" s="86" t="str">
        <f ca="1" t="array" ref="AA40">_xlfn.XLOOKUP(1,('Case Pack'!A:A=A40)*('Case Pack'!F:F&lt;=TODAY()),'Case Pack'!G:G,"未找到箱规")</f>
        <v>B</v>
      </c>
      <c r="AB40" s="86">
        <f ca="1" t="shared" si="7"/>
        <v>0</v>
      </c>
      <c r="AC40" s="86">
        <f ca="1">_xlfn.XLOOKUP(AA40,'Case Type'!A:A,'Case Type'!H:H)*AB40</f>
        <v>0</v>
      </c>
    </row>
    <row r="41" s="115" customFormat="1" spans="1:29">
      <c r="A41" s="86" t="s">
        <v>67</v>
      </c>
      <c r="B41" s="86" t="str">
        <f>_xlfn.XLOOKUP(A41,'Product List'!B:B,'Product List'!I:I)</f>
        <v>MMO-BUBBLE WATER BOTTLE</v>
      </c>
      <c r="C41" s="86">
        <v>360</v>
      </c>
      <c r="D41" s="86">
        <f>SUMIFS(Purchase!F:F,Purchase!C:C,A41,Purchase!I:I,"&gt;"&amp;$C$1,Purchase!V:V,"&lt;&gt;暂缓发货")</f>
        <v>18648</v>
      </c>
      <c r="E41" s="86">
        <f>SUMIFS(Purchase!F:F,Purchase!C:C,A41,Purchase!J:J,"&gt;0",Purchase!I:I,"&gt;"&amp;$C$1)</f>
        <v>18648</v>
      </c>
      <c r="F41" s="86">
        <f>SUMIFS(Sales!E:E,Sales!C:C,A41,Sales!K:K,"&gt;"&amp;$C$1)</f>
        <v>13590</v>
      </c>
      <c r="G41" s="86">
        <f>SUMIFS(Sales!E:E,Sales!C:C,A41,Sales!K:K,"&gt;"&amp;$C$1,Sales!L:L,"&gt;0")</f>
        <v>10566</v>
      </c>
      <c r="H41" s="365">
        <f ca="1">C41+E41-G41-SUMIFS(Transfer!V:V,Transfer!O:O,A41)+SUMIFS(Transfer!W:W,Transfer!O:O,A41)</f>
        <v>8442</v>
      </c>
      <c r="I41" s="86">
        <f ca="1">D41-E41+SUMIFS(Transfer!V:V,Transfer!O:O,A41)-SUMIFS(Transfer!W:W,Transfer!O:O,A41)</f>
        <v>0</v>
      </c>
      <c r="J41" s="86">
        <f>SUMIFS(Purchase!F:F,Purchase!C:C,A41,Purchase!V:V,"暂缓发货")</f>
        <v>5124</v>
      </c>
      <c r="K41" s="86">
        <f t="shared" si="0"/>
        <v>3024</v>
      </c>
      <c r="L41" s="86">
        <f ca="1" t="shared" si="1"/>
        <v>5418</v>
      </c>
      <c r="M41" s="365">
        <f ca="1" t="shared" si="2"/>
        <v>5418</v>
      </c>
      <c r="N41" s="86" t="str">
        <f ca="1">_xlfn.XLOOKUP(A41,'Product List'!B:B,'Product List'!F:F)</f>
        <v>A</v>
      </c>
      <c r="O41" s="366">
        <f>SUMIF('Weekly Sales'!B:B,A41,'Weekly Sales'!R:R)</f>
        <v>321.166666666667</v>
      </c>
      <c r="P41" s="367">
        <f ca="1" t="shared" si="3"/>
        <v>16</v>
      </c>
      <c r="Q41" s="367">
        <f ca="1" t="shared" si="4"/>
        <v>16</v>
      </c>
      <c r="R41" s="86">
        <f>_xlfn.XLOOKUP(A41,'Product List'!B:B,'Product List'!P:P)</f>
        <v>10</v>
      </c>
      <c r="S41" s="86">
        <f ca="1" t="shared" si="5"/>
        <v>6</v>
      </c>
      <c r="T41" s="377">
        <f ca="1">SUMIF('Weekly Sales'!B:B,A41,'Weekly Sales'!T:T)</f>
        <v>2101.58333333334</v>
      </c>
      <c r="U41" s="315">
        <f>_xlfn.XLOOKUP(A41,'Product List'!B:B,'Product List'!O:O)</f>
        <v>1000</v>
      </c>
      <c r="V41" s="368">
        <f ca="1" t="shared" si="6"/>
        <v>2478</v>
      </c>
      <c r="W41" s="368">
        <f ca="1">_xlfn.XLOOKUP(A41,Sum_LA!A:A,Sum_LA!V:V)</f>
        <v>2394</v>
      </c>
      <c r="X41" s="368">
        <f ca="1">_xlfn.XLOOKUP(A41,Sum_HOU!A:A,Sum_HOU!V:V)</f>
        <v>126</v>
      </c>
      <c r="Y41" s="86">
        <f ca="1" t="array" ref="Y41">_xlfn.XLOOKUP(1,('Case Pack'!A:A=A41)*('Case Pack'!F:F&lt;=TODAY()),'Case Pack'!D:D,"未找到箱规")</f>
        <v>42</v>
      </c>
      <c r="Z41" s="86" t="str">
        <f>_xlfn.XLOOKUP(A41,'Product List'!B:B,'Product List'!M:M)</f>
        <v>PetcoUS,PSP</v>
      </c>
      <c r="AA41" s="86" t="str">
        <f ca="1" t="array" ref="AA41">_xlfn.XLOOKUP(1,('Case Pack'!A:A=A41)*('Case Pack'!F:F&lt;=TODAY()),'Case Pack'!G:G,"未找到箱规")</f>
        <v>C</v>
      </c>
      <c r="AB41" s="86">
        <f ca="1" t="shared" si="7"/>
        <v>59</v>
      </c>
      <c r="AC41" s="86">
        <f ca="1">_xlfn.XLOOKUP(AA41,'Case Type'!A:A,'Case Type'!H:H)*AB41</f>
        <v>9.2816330496</v>
      </c>
    </row>
    <row r="42" s="115" customFormat="1" spans="1:29">
      <c r="A42" s="86" t="s">
        <v>68</v>
      </c>
      <c r="B42" s="86" t="str">
        <f>_xlfn.XLOOKUP(A42,'Product List'!B:B,'Product List'!I:I)</f>
        <v>MMO-PAPER TWIST BLU/WHT</v>
      </c>
      <c r="C42" s="86">
        <v>936</v>
      </c>
      <c r="D42" s="86">
        <f>SUMIFS(Purchase!F:F,Purchase!C:C,A42,Purchase!I:I,"&gt;"&amp;$C$1,Purchase!V:V,"&lt;&gt;暂缓发货")</f>
        <v>4740</v>
      </c>
      <c r="E42" s="86">
        <f>SUMIFS(Purchase!F:F,Purchase!C:C,A42,Purchase!J:J,"&gt;0",Purchase!I:I,"&gt;"&amp;$C$1)</f>
        <v>4740</v>
      </c>
      <c r="F42" s="86">
        <f>SUMIFS(Sales!E:E,Sales!C:C,A42,Sales!K:K,"&gt;"&amp;$C$1)</f>
        <v>2136</v>
      </c>
      <c r="G42" s="86">
        <f>SUMIFS(Sales!E:E,Sales!C:C,A42,Sales!K:K,"&gt;"&amp;$C$1,Sales!L:L,"&gt;0")</f>
        <v>2136</v>
      </c>
      <c r="H42" s="365">
        <f ca="1">C42+E42-G42-SUMIFS(Transfer!V:V,Transfer!O:O,A42)+SUMIFS(Transfer!W:W,Transfer!O:O,A42)</f>
        <v>3540</v>
      </c>
      <c r="I42" s="86">
        <f ca="1">D42-E42+SUMIFS(Transfer!V:V,Transfer!O:O,A42)-SUMIFS(Transfer!W:W,Transfer!O:O,A42)</f>
        <v>0</v>
      </c>
      <c r="J42" s="86">
        <f>SUMIFS(Purchase!F:F,Purchase!C:C,A42,Purchase!V:V,"暂缓发货")</f>
        <v>0</v>
      </c>
      <c r="K42" s="86">
        <f t="shared" si="0"/>
        <v>0</v>
      </c>
      <c r="L42" s="86">
        <f ca="1" t="shared" si="1"/>
        <v>3540</v>
      </c>
      <c r="M42" s="365">
        <f ca="1" t="shared" si="2"/>
        <v>3540</v>
      </c>
      <c r="N42" s="86" t="str">
        <f ca="1">_xlfn.XLOOKUP(A42,'Product List'!B:B,'Product List'!F:F)</f>
        <v>B</v>
      </c>
      <c r="O42" s="366">
        <f>SUMIF('Weekly Sales'!B:B,A42,'Weekly Sales'!R:R)</f>
        <v>48.5</v>
      </c>
      <c r="P42" s="367">
        <f ca="1" t="shared" si="3"/>
        <v>72</v>
      </c>
      <c r="Q42" s="367">
        <f ca="1" t="shared" si="4"/>
        <v>72</v>
      </c>
      <c r="R42" s="86">
        <f>_xlfn.XLOOKUP(A42,'Product List'!B:B,'Product List'!P:P)</f>
        <v>10</v>
      </c>
      <c r="S42" s="86">
        <f ca="1" t="shared" si="5"/>
        <v>5</v>
      </c>
      <c r="T42" s="377">
        <f ca="1">SUMIF('Weekly Sales'!B:B,A42,'Weekly Sales'!T:T)</f>
        <v>157.625</v>
      </c>
      <c r="U42" s="315">
        <f>_xlfn.XLOOKUP(A42,'Product List'!B:B,'Product List'!O:O)</f>
        <v>500</v>
      </c>
      <c r="V42" s="368">
        <f ca="1" t="shared" si="6"/>
        <v>0</v>
      </c>
      <c r="W42" s="368">
        <f ca="1">_xlfn.XLOOKUP(A42,Sum_LA!A:A,Sum_LA!V:V)</f>
        <v>0</v>
      </c>
      <c r="X42" s="368">
        <f ca="1">_xlfn.XLOOKUP(A42,Sum_HOU!A:A,Sum_HOU!V:V)</f>
        <v>0</v>
      </c>
      <c r="Y42" s="86">
        <f ca="1" t="array" ref="Y42">_xlfn.XLOOKUP(1,('Case Pack'!A:A=A42)*('Case Pack'!F:F&lt;=TODAY()),'Case Pack'!D:D,"未找到箱规")</f>
        <v>30</v>
      </c>
      <c r="Z42" s="86" t="str">
        <f>_xlfn.XLOOKUP(A42,'Product List'!B:B,'Product List'!M:M)</f>
        <v>PetcoUS，PSP</v>
      </c>
      <c r="AA42" s="86" t="str">
        <f ca="1" t="array" ref="AA42">_xlfn.XLOOKUP(1,('Case Pack'!A:A=A42)*('Case Pack'!F:F&lt;=TODAY()),'Case Pack'!G:G,"未找到箱规")</f>
        <v>A</v>
      </c>
      <c r="AB42" s="86">
        <f ca="1" t="shared" si="7"/>
        <v>0</v>
      </c>
      <c r="AC42" s="86">
        <f ca="1">_xlfn.XLOOKUP(AA42,'Case Type'!A:A,'Case Type'!H:H)*AB42</f>
        <v>0</v>
      </c>
    </row>
    <row r="43" s="115" customFormat="1" spans="1:29">
      <c r="A43" s="86" t="s">
        <v>69</v>
      </c>
      <c r="B43" s="86" t="str">
        <f>_xlfn.XLOOKUP(A43,'Product List'!B:B,'Product List'!I:I)</f>
        <v>MINI/MOE SMALL ANIMAL BEDDING PAPER TWISTS</v>
      </c>
      <c r="C43" s="86">
        <v>0</v>
      </c>
      <c r="D43" s="86">
        <f>SUMIFS(Purchase!F:F,Purchase!C:C,A43,Purchase!I:I,"&gt;"&amp;$C$1,Purchase!V:V,"&lt;&gt;暂缓发货")</f>
        <v>3420</v>
      </c>
      <c r="E43" s="86">
        <f>SUMIFS(Purchase!F:F,Purchase!C:C,A43,Purchase!J:J,"&gt;0",Purchase!I:I,"&gt;"&amp;$C$1)</f>
        <v>3390</v>
      </c>
      <c r="F43" s="86">
        <f>SUMIFS(Sales!E:E,Sales!C:C,A43,Sales!K:K,"&gt;"&amp;$C$1)</f>
        <v>2010</v>
      </c>
      <c r="G43" s="86">
        <f>SUMIFS(Sales!E:E,Sales!C:C,A43,Sales!K:K,"&gt;"&amp;$C$1,Sales!L:L,"&gt;0")</f>
        <v>2010</v>
      </c>
      <c r="H43" s="365">
        <f ca="1">C43+E43-G43-SUMIFS(Transfer!V:V,Transfer!O:O,A43)+SUMIFS(Transfer!W:W,Transfer!O:O,A43)</f>
        <v>1380</v>
      </c>
      <c r="I43" s="86">
        <f ca="1">D43-E43+SUMIFS(Transfer!V:V,Transfer!O:O,A43)-SUMIFS(Transfer!W:W,Transfer!O:O,A43)</f>
        <v>30</v>
      </c>
      <c r="J43" s="86">
        <f>SUMIFS(Purchase!F:F,Purchase!C:C,A43,Purchase!V:V,"暂缓发货")</f>
        <v>0</v>
      </c>
      <c r="K43" s="86">
        <f t="shared" si="0"/>
        <v>0</v>
      </c>
      <c r="L43" s="86">
        <f ca="1" t="shared" si="1"/>
        <v>1380</v>
      </c>
      <c r="M43" s="365">
        <f ca="1" t="shared" si="2"/>
        <v>1410</v>
      </c>
      <c r="N43" s="86" t="str">
        <f ca="1">_xlfn.XLOOKUP(A43,'Product List'!B:B,'Product List'!F:F)</f>
        <v>C</v>
      </c>
      <c r="O43" s="366">
        <f>SUMIF('Weekly Sales'!B:B,A43,'Weekly Sales'!R:R)</f>
        <v>9.16666666666667</v>
      </c>
      <c r="P43" s="367">
        <f ca="1" t="shared" si="3"/>
        <v>150</v>
      </c>
      <c r="Q43" s="367">
        <f ca="1" t="shared" si="4"/>
        <v>153</v>
      </c>
      <c r="R43" s="86">
        <f>_xlfn.XLOOKUP(A43,'Product List'!B:B,'Product List'!P:P)</f>
        <v>10</v>
      </c>
      <c r="S43" s="86">
        <f ca="1" t="shared" si="5"/>
        <v>2</v>
      </c>
      <c r="T43" s="377">
        <f ca="1">SUMIF('Weekly Sales'!B:B,A43,'Weekly Sales'!T:T)</f>
        <v>0</v>
      </c>
      <c r="U43" s="315">
        <f>_xlfn.XLOOKUP(A43,'Product List'!B:B,'Product List'!O:O)</f>
        <v>1000</v>
      </c>
      <c r="V43" s="368">
        <f ca="1" t="shared" si="6"/>
        <v>0</v>
      </c>
      <c r="W43" s="368">
        <f ca="1">_xlfn.XLOOKUP(A43,Sum_LA!A:A,Sum_LA!V:V)</f>
        <v>0</v>
      </c>
      <c r="X43" s="368">
        <f ca="1">_xlfn.XLOOKUP(A43,Sum_HOU!A:A,Sum_HOU!V:V)</f>
        <v>150</v>
      </c>
      <c r="Y43" s="86">
        <f ca="1" t="array" ref="Y43">_xlfn.XLOOKUP(1,('Case Pack'!A:A=A43)*('Case Pack'!F:F&lt;=TODAY()),'Case Pack'!D:D,"未找到箱规")</f>
        <v>30</v>
      </c>
      <c r="Z43" s="86" t="str">
        <f>_xlfn.XLOOKUP(A43,'Product List'!B:B,'Product List'!M:M)</f>
        <v>PSP</v>
      </c>
      <c r="AA43" s="86" t="str">
        <f ca="1" t="array" ref="AA43">_xlfn.XLOOKUP(1,('Case Pack'!A:A=A43)*('Case Pack'!F:F&lt;=TODAY()),'Case Pack'!G:G,"未找到箱规")</f>
        <v>A</v>
      </c>
      <c r="AB43" s="86">
        <f ca="1" t="shared" si="7"/>
        <v>0</v>
      </c>
      <c r="AC43" s="86">
        <f ca="1">_xlfn.XLOOKUP(AA43,'Case Type'!A:A,'Case Type'!H:H)*AB43</f>
        <v>0</v>
      </c>
    </row>
    <row r="44" s="115" customFormat="1" spans="1:29">
      <c r="A44" s="86" t="s">
        <v>70</v>
      </c>
      <c r="B44" s="86" t="str">
        <f>_xlfn.XLOOKUP(A44,'Product List'!B:B,'Product List'!I:I)</f>
        <v>Paper twist brown / white bedding</v>
      </c>
      <c r="C44" s="86">
        <v>0</v>
      </c>
      <c r="D44" s="86">
        <f>SUMIFS(Purchase!F:F,Purchase!C:C,A44,Purchase!I:I,"&gt;"&amp;$C$1,Purchase!V:V,"&lt;&gt;暂缓发货")</f>
        <v>1860</v>
      </c>
      <c r="E44" s="86">
        <f>SUMIFS(Purchase!F:F,Purchase!C:C,A44,Purchase!J:J,"&gt;0",Purchase!I:I,"&gt;"&amp;$C$1)</f>
        <v>1860</v>
      </c>
      <c r="F44" s="86">
        <f>SUMIFS(Sales!E:E,Sales!C:C,A44,Sales!K:K,"&gt;"&amp;$C$1)</f>
        <v>930</v>
      </c>
      <c r="G44" s="86">
        <f>SUMIFS(Sales!E:E,Sales!C:C,A44,Sales!K:K,"&gt;"&amp;$C$1,Sales!L:L,"&gt;0")</f>
        <v>930</v>
      </c>
      <c r="H44" s="365">
        <f ca="1">C44+E44-G44-SUMIFS(Transfer!V:V,Transfer!O:O,A44)+SUMIFS(Transfer!W:W,Transfer!O:O,A44)</f>
        <v>930</v>
      </c>
      <c r="I44" s="86">
        <f ca="1">D44-E44+SUMIFS(Transfer!V:V,Transfer!O:O,A44)-SUMIFS(Transfer!W:W,Transfer!O:O,A44)</f>
        <v>0</v>
      </c>
      <c r="J44" s="86">
        <f>SUMIFS(Purchase!F:F,Purchase!C:C,A44,Purchase!V:V,"暂缓发货")</f>
        <v>0</v>
      </c>
      <c r="K44" s="86">
        <f t="shared" si="0"/>
        <v>0</v>
      </c>
      <c r="L44" s="86">
        <f ca="1" t="shared" si="1"/>
        <v>930</v>
      </c>
      <c r="M44" s="365">
        <f ca="1" t="shared" si="2"/>
        <v>930</v>
      </c>
      <c r="N44" s="86" t="str">
        <f ca="1">_xlfn.XLOOKUP(A44,'Product List'!B:B,'Product List'!F:F)</f>
        <v>C</v>
      </c>
      <c r="O44" s="366">
        <f>SUMIF('Weekly Sales'!B:B,A44,'Weekly Sales'!R:R)</f>
        <v>0.5</v>
      </c>
      <c r="P44" s="367">
        <f ca="1" t="shared" si="3"/>
        <v>1860</v>
      </c>
      <c r="Q44" s="367">
        <f ca="1" t="shared" si="4"/>
        <v>1860</v>
      </c>
      <c r="R44" s="86">
        <f>_xlfn.XLOOKUP(A44,'Product List'!B:B,'Product List'!P:P)</f>
        <v>10</v>
      </c>
      <c r="S44" s="86">
        <f ca="1" t="shared" si="5"/>
        <v>2</v>
      </c>
      <c r="T44" s="377">
        <f ca="1">SUMIF('Weekly Sales'!B:B,A44,'Weekly Sales'!T:T)</f>
        <v>0</v>
      </c>
      <c r="U44" s="315">
        <f>_xlfn.XLOOKUP(A44,'Product List'!B:B,'Product List'!O:O)</f>
        <v>1000</v>
      </c>
      <c r="V44" s="368">
        <f ca="1" t="shared" si="6"/>
        <v>0</v>
      </c>
      <c r="W44" s="368">
        <f ca="1">_xlfn.XLOOKUP(A44,Sum_LA!A:A,Sum_LA!V:V)</f>
        <v>0</v>
      </c>
      <c r="X44" s="368">
        <f ca="1">_xlfn.XLOOKUP(A44,Sum_HOU!A:A,Sum_HOU!V:V)</f>
        <v>30</v>
      </c>
      <c r="Y44" s="86">
        <f ca="1" t="array" ref="Y44">_xlfn.XLOOKUP(1,('Case Pack'!A:A=A44)*('Case Pack'!F:F&lt;=TODAY()),'Case Pack'!D:D,"未找到箱规")</f>
        <v>30</v>
      </c>
      <c r="Z44" s="86" t="str">
        <f>_xlfn.XLOOKUP(A44,'Product List'!B:B,'Product List'!M:M)</f>
        <v>Pet Supermarket，PSP</v>
      </c>
      <c r="AA44" s="86" t="str">
        <f ca="1" t="array" ref="AA44">_xlfn.XLOOKUP(1,('Case Pack'!A:A=A44)*('Case Pack'!F:F&lt;=TODAY()),'Case Pack'!G:G,"未找到箱规")</f>
        <v>A</v>
      </c>
      <c r="AB44" s="86">
        <f ca="1" t="shared" si="7"/>
        <v>0</v>
      </c>
      <c r="AC44" s="86">
        <f ca="1">_xlfn.XLOOKUP(AA44,'Case Type'!A:A,'Case Type'!H:H)*AB44</f>
        <v>0</v>
      </c>
    </row>
    <row r="45" s="115" customFormat="1" spans="1:29">
      <c r="A45" s="86" t="s">
        <v>71</v>
      </c>
      <c r="B45" s="86" t="str">
        <f>_xlfn.XLOOKUP(A45,'Product List'!B:B,'Product List'!I:I)</f>
        <v>MINI/MOE SMALL ANIMAL BEDDING PAPER TWISTS BUBBLEGUM 1EA</v>
      </c>
      <c r="C45" s="86">
        <v>0</v>
      </c>
      <c r="D45" s="86">
        <f>SUMIFS(Purchase!F:F,Purchase!C:C,A45,Purchase!I:I,"&gt;"&amp;$C$1,Purchase!V:V,"&lt;&gt;暂缓发货")</f>
        <v>1260</v>
      </c>
      <c r="E45" s="86">
        <f>SUMIFS(Purchase!F:F,Purchase!C:C,A45,Purchase!J:J,"&gt;0",Purchase!I:I,"&gt;"&amp;$C$1)</f>
        <v>1260</v>
      </c>
      <c r="F45" s="86">
        <f>SUMIFS(Sales!E:E,Sales!C:C,A45,Sales!K:K,"&gt;"&amp;$C$1)</f>
        <v>660</v>
      </c>
      <c r="G45" s="86">
        <f>SUMIFS(Sales!E:E,Sales!C:C,A45,Sales!K:K,"&gt;"&amp;$C$1,Sales!L:L,"&gt;0")</f>
        <v>660</v>
      </c>
      <c r="H45" s="365">
        <f ca="1">C45+E45-G45-SUMIFS(Transfer!V:V,Transfer!O:O,A45)+SUMIFS(Transfer!W:W,Transfer!O:O,A45)</f>
        <v>600</v>
      </c>
      <c r="I45" s="86">
        <f ca="1">D45-E45+SUMIFS(Transfer!V:V,Transfer!O:O,A45)-SUMIFS(Transfer!W:W,Transfer!O:O,A45)</f>
        <v>0</v>
      </c>
      <c r="J45" s="86">
        <f>SUMIFS(Purchase!F:F,Purchase!C:C,A45,Purchase!V:V,"暂缓发货")</f>
        <v>0</v>
      </c>
      <c r="K45" s="86">
        <f t="shared" si="0"/>
        <v>0</v>
      </c>
      <c r="L45" s="86">
        <f ca="1" t="shared" si="1"/>
        <v>600</v>
      </c>
      <c r="M45" s="365">
        <f ca="1" t="shared" si="2"/>
        <v>600</v>
      </c>
      <c r="N45" s="86" t="str">
        <f ca="1">_xlfn.XLOOKUP(A45,'Product List'!B:B,'Product List'!F:F)</f>
        <v>C</v>
      </c>
      <c r="O45" s="366">
        <f>SUMIF('Weekly Sales'!B:B,A45,'Weekly Sales'!R:R)</f>
        <v>1.66666666666667</v>
      </c>
      <c r="P45" s="367">
        <f ca="1" t="shared" si="3"/>
        <v>359</v>
      </c>
      <c r="Q45" s="367">
        <f ca="1" t="shared" si="4"/>
        <v>359</v>
      </c>
      <c r="R45" s="86">
        <f>_xlfn.XLOOKUP(A45,'Product List'!B:B,'Product List'!P:P)</f>
        <v>10</v>
      </c>
      <c r="S45" s="86">
        <f ca="1" t="shared" si="5"/>
        <v>2</v>
      </c>
      <c r="T45" s="377">
        <f ca="1">SUMIF('Weekly Sales'!B:B,A45,'Weekly Sales'!T:T)</f>
        <v>0</v>
      </c>
      <c r="U45" s="315">
        <f>_xlfn.XLOOKUP(A45,'Product List'!B:B,'Product List'!O:O)</f>
        <v>1000</v>
      </c>
      <c r="V45" s="368">
        <f ca="1" t="shared" si="6"/>
        <v>0</v>
      </c>
      <c r="W45" s="368">
        <f ca="1">_xlfn.XLOOKUP(A45,Sum_LA!A:A,Sum_LA!V:V)</f>
        <v>0</v>
      </c>
      <c r="X45" s="368">
        <f ca="1">_xlfn.XLOOKUP(A45,Sum_HOU!A:A,Sum_HOU!V:V)</f>
        <v>30</v>
      </c>
      <c r="Y45" s="86">
        <f ca="1" t="array" ref="Y45">_xlfn.XLOOKUP(1,('Case Pack'!A:A=A45)*('Case Pack'!F:F&lt;=TODAY()),'Case Pack'!D:D,"未找到箱规")</f>
        <v>30</v>
      </c>
      <c r="Z45" s="86" t="str">
        <f>_xlfn.XLOOKUP(A45,'Product List'!B:B,'Product List'!M:M)</f>
        <v>PSP</v>
      </c>
      <c r="AA45" s="86" t="str">
        <f ca="1" t="array" ref="AA45">_xlfn.XLOOKUP(1,('Case Pack'!A:A=A45)*('Case Pack'!F:F&lt;=TODAY()),'Case Pack'!G:G,"未找到箱规")</f>
        <v>A</v>
      </c>
      <c r="AB45" s="86">
        <f ca="1" t="shared" si="7"/>
        <v>0</v>
      </c>
      <c r="AC45" s="86">
        <f ca="1">_xlfn.XLOOKUP(AA45,'Case Type'!A:A,'Case Type'!H:H)*AB45</f>
        <v>0</v>
      </c>
    </row>
    <row r="46" s="115" customFormat="1" spans="1:29">
      <c r="A46" s="94" t="s">
        <v>72</v>
      </c>
      <c r="B46" s="86" t="str">
        <f>_xlfn.XLOOKUP(A46,'Product List'!B:B,'Product List'!I:I)</f>
        <v>Forest Series Hamster Chew Toy &amp; Treat</v>
      </c>
      <c r="C46" s="86">
        <v>0</v>
      </c>
      <c r="D46" s="86">
        <f>SUMIFS(Purchase!F:F,Purchase!C:C,A46,Purchase!I:I,"&gt;"&amp;$C$1,Purchase!V:V,"&lt;&gt;暂缓发货")</f>
        <v>1560</v>
      </c>
      <c r="E46" s="86">
        <f>SUMIFS(Purchase!F:F,Purchase!C:C,A46,Purchase!J:J,"&gt;0",Purchase!I:I,"&gt;"&amp;$C$1)</f>
        <v>1560</v>
      </c>
      <c r="F46" s="86">
        <f>SUMIFS(Sales!E:E,Sales!C:C,A46,Sales!K:K,"&gt;"&amp;$C$1)</f>
        <v>1020</v>
      </c>
      <c r="G46" s="86">
        <f>SUMIFS(Sales!E:E,Sales!C:C,A46,Sales!K:K,"&gt;"&amp;$C$1,Sales!L:L,"&gt;0")</f>
        <v>1020</v>
      </c>
      <c r="H46" s="365">
        <f ca="1">C46+E46-G46-SUMIFS(Transfer!V:V,Transfer!O:O,A46)+SUMIFS(Transfer!W:W,Transfer!O:O,A46)</f>
        <v>540</v>
      </c>
      <c r="I46" s="86">
        <f ca="1">D46-E46+SUMIFS(Transfer!V:V,Transfer!O:O,A46)-SUMIFS(Transfer!W:W,Transfer!O:O,A46)</f>
        <v>0</v>
      </c>
      <c r="J46" s="86">
        <f>SUMIFS(Purchase!F:F,Purchase!C:C,A46,Purchase!V:V,"暂缓发货")</f>
        <v>0</v>
      </c>
      <c r="K46" s="86">
        <f t="shared" si="0"/>
        <v>0</v>
      </c>
      <c r="L46" s="86">
        <f ca="1" t="shared" si="1"/>
        <v>540</v>
      </c>
      <c r="M46" s="365">
        <f ca="1" t="shared" si="2"/>
        <v>540</v>
      </c>
      <c r="N46" s="86" t="str">
        <f ca="1">_xlfn.XLOOKUP(A46,'Product List'!B:B,'Product List'!F:F)</f>
        <v>C</v>
      </c>
      <c r="O46" s="366">
        <f>SUMIF('Weekly Sales'!B:B,A46,'Weekly Sales'!R:R)</f>
        <v>3</v>
      </c>
      <c r="P46" s="367">
        <f ca="1" t="shared" si="3"/>
        <v>180</v>
      </c>
      <c r="Q46" s="367">
        <f ca="1" t="shared" si="4"/>
        <v>180</v>
      </c>
      <c r="R46" s="86">
        <f>_xlfn.XLOOKUP(A46,'Product List'!B:B,'Product List'!P:P)</f>
        <v>10</v>
      </c>
      <c r="S46" s="86">
        <f ca="1" t="shared" si="5"/>
        <v>2</v>
      </c>
      <c r="T46" s="377">
        <f ca="1">SUMIF('Weekly Sales'!B:B,A46,'Weekly Sales'!T:T)</f>
        <v>0</v>
      </c>
      <c r="U46" s="315">
        <f>_xlfn.XLOOKUP(A46,'Product List'!B:B,'Product List'!O:O)</f>
        <v>1000</v>
      </c>
      <c r="V46" s="368">
        <f ca="1" t="shared" si="6"/>
        <v>0</v>
      </c>
      <c r="W46" s="368">
        <f ca="1">_xlfn.XLOOKUP(A46,Sum_LA!A:A,Sum_LA!V:V)</f>
        <v>0</v>
      </c>
      <c r="X46" s="368">
        <f ca="1">_xlfn.XLOOKUP(A46,Sum_HOU!A:A,Sum_HOU!V:V)</f>
        <v>60</v>
      </c>
      <c r="Y46" s="86">
        <f ca="1" t="array" ref="Y46">_xlfn.XLOOKUP(1,('Case Pack'!A:A=A46)*('Case Pack'!F:F&lt;=TODAY()),'Case Pack'!D:D,"未找到箱规")</f>
        <v>60</v>
      </c>
      <c r="Z46" s="86" t="str">
        <f>_xlfn.XLOOKUP(A46,'Product List'!B:B,'Product List'!M:M)</f>
        <v>Pet Supermarket,PSP</v>
      </c>
      <c r="AA46" s="86" t="str">
        <f ca="1" t="array" ref="AA46">_xlfn.XLOOKUP(1,('Case Pack'!A:A=A46)*('Case Pack'!F:F&lt;=TODAY()),'Case Pack'!G:G,"未找到箱规")</f>
        <v>B</v>
      </c>
      <c r="AB46" s="86">
        <f ca="1" t="shared" si="7"/>
        <v>0</v>
      </c>
      <c r="AC46" s="86">
        <f ca="1">_xlfn.XLOOKUP(AA46,'Case Type'!A:A,'Case Type'!H:H)*AB46</f>
        <v>0</v>
      </c>
    </row>
    <row r="47" s="115" customFormat="1" spans="1:29">
      <c r="A47" s="86" t="s">
        <v>73</v>
      </c>
      <c r="B47" s="86" t="str">
        <f>_xlfn.XLOOKUP(A47,'Product List'!B:B,'Product List'!I:I)</f>
        <v>MINI/MOE CAMPING TENT HIDE</v>
      </c>
      <c r="C47" s="86">
        <v>132</v>
      </c>
      <c r="D47" s="86">
        <f>SUMIFS(Purchase!F:F,Purchase!C:C,A47,Purchase!I:I,"&gt;"&amp;$C$1,Purchase!V:V,"&lt;&gt;暂缓发货")</f>
        <v>16584</v>
      </c>
      <c r="E47" s="86">
        <f>SUMIFS(Purchase!F:F,Purchase!C:C,A47,Purchase!J:J,"&gt;0",Purchase!I:I,"&gt;"&amp;$C$1)</f>
        <v>10068</v>
      </c>
      <c r="F47" s="86">
        <f>SUMIFS(Sales!E:E,Sales!C:C,A47,Sales!K:K,"&gt;"&amp;$C$1)</f>
        <v>9348</v>
      </c>
      <c r="G47" s="86">
        <f>SUMIFS(Sales!E:E,Sales!C:C,A47,Sales!K:K,"&gt;"&amp;$C$1,Sales!L:L,"&gt;0")</f>
        <v>9276</v>
      </c>
      <c r="H47" s="365">
        <f ca="1">C47+E47-G47-SUMIFS(Transfer!V:V,Transfer!O:O,A47)+SUMIFS(Transfer!W:W,Transfer!O:O,A47)</f>
        <v>924</v>
      </c>
      <c r="I47" s="86">
        <f ca="1">D47-E47+SUMIFS(Transfer!V:V,Transfer!O:O,A47)-SUMIFS(Transfer!W:W,Transfer!O:O,A47)</f>
        <v>6516</v>
      </c>
      <c r="J47" s="86">
        <f>SUMIFS(Purchase!F:F,Purchase!C:C,A47,Purchase!V:V,"暂缓发货")</f>
        <v>0</v>
      </c>
      <c r="K47" s="86">
        <f t="shared" si="0"/>
        <v>72</v>
      </c>
      <c r="L47" s="86">
        <f ca="1" t="shared" si="1"/>
        <v>852</v>
      </c>
      <c r="M47" s="365">
        <f ca="1" t="shared" si="2"/>
        <v>7368</v>
      </c>
      <c r="N47" s="86" t="str">
        <f ca="1">_xlfn.XLOOKUP(A47,'Product List'!B:B,'Product List'!F:F)</f>
        <v>A</v>
      </c>
      <c r="O47" s="366">
        <f>SUMIF('Weekly Sales'!B:B,A47,'Weekly Sales'!R:R)</f>
        <v>231</v>
      </c>
      <c r="P47" s="367">
        <f ca="1" t="shared" si="3"/>
        <v>3</v>
      </c>
      <c r="Q47" s="367">
        <f ca="1" t="shared" si="4"/>
        <v>31</v>
      </c>
      <c r="R47" s="86">
        <f>_xlfn.XLOOKUP(A47,'Product List'!B:B,'Product List'!P:P)</f>
        <v>15</v>
      </c>
      <c r="S47" s="86">
        <f ca="1" t="shared" si="5"/>
        <v>6</v>
      </c>
      <c r="T47" s="377">
        <f ca="1">SUMIF('Weekly Sales'!B:B,A47,'Weekly Sales'!T:T)</f>
        <v>1669.5</v>
      </c>
      <c r="U47" s="315">
        <f>_xlfn.XLOOKUP(A47,'Product List'!B:B,'Product List'!O:O)</f>
        <v>500</v>
      </c>
      <c r="V47" s="368">
        <f ca="1" t="shared" si="6"/>
        <v>0</v>
      </c>
      <c r="W47" s="368">
        <f ca="1">_xlfn.XLOOKUP(A47,Sum_LA!A:A,Sum_LA!V:V)</f>
        <v>0</v>
      </c>
      <c r="X47" s="368">
        <f ca="1">_xlfn.XLOOKUP(A47,Sum_HOU!A:A,Sum_HOU!V:V)</f>
        <v>1422</v>
      </c>
      <c r="Y47" s="86">
        <f ca="1" t="array" ref="Y47">_xlfn.XLOOKUP(1,('Case Pack'!A:A=A47)*('Case Pack'!F:F&lt;=TODAY()),'Case Pack'!D:D,"未找到箱规")</f>
        <v>18</v>
      </c>
      <c r="Z47" s="86" t="str">
        <f>_xlfn.XLOOKUP(A47,'Product List'!B:B,'Product List'!M:M)</f>
        <v>PSP, Petsmart, Pet Supermarket,Canada</v>
      </c>
      <c r="AA47" s="86" t="str">
        <f ca="1" t="array" ref="AA47">_xlfn.XLOOKUP(1,('Case Pack'!A:A=A47)*('Case Pack'!F:F&lt;=TODAY()),'Case Pack'!G:G,"未找到箱规")</f>
        <v>B</v>
      </c>
      <c r="AB47" s="86">
        <f ca="1" t="shared" si="7"/>
        <v>0</v>
      </c>
      <c r="AC47" s="86">
        <f ca="1">_xlfn.XLOOKUP(AA47,'Case Type'!A:A,'Case Type'!H:H)*AB47</f>
        <v>0</v>
      </c>
    </row>
    <row r="48" s="115" customFormat="1" spans="1:29">
      <c r="A48" s="94" t="s">
        <v>74</v>
      </c>
      <c r="B48" s="86" t="str">
        <f>_xlfn.XLOOKUP(A48,'Product List'!B:B,'Product List'!I:I)</f>
        <v>Little Devil Travel Cage</v>
      </c>
      <c r="C48" s="86">
        <v>0</v>
      </c>
      <c r="D48" s="86">
        <f>SUMIFS(Purchase!F:F,Purchase!C:C,A48,Purchase!I:I,"&gt;"&amp;$C$1,Purchase!V:V,"&lt;&gt;暂缓发货")</f>
        <v>1260</v>
      </c>
      <c r="E48" s="86">
        <f>SUMIFS(Purchase!F:F,Purchase!C:C,A48,Purchase!J:J,"&gt;0",Purchase!I:I,"&gt;"&amp;$C$1)</f>
        <v>1260</v>
      </c>
      <c r="F48" s="86">
        <f>SUMIFS(Sales!E:E,Sales!C:C,A48,Sales!K:K,"&gt;"&amp;$C$1)</f>
        <v>612</v>
      </c>
      <c r="G48" s="86">
        <f>SUMIFS(Sales!E:E,Sales!C:C,A48,Sales!K:K,"&gt;"&amp;$C$1,Sales!L:L,"&gt;0")</f>
        <v>612</v>
      </c>
      <c r="H48" s="365">
        <f ca="1">C48+E48-G48-SUMIFS(Transfer!V:V,Transfer!O:O,A48)+SUMIFS(Transfer!W:W,Transfer!O:O,A48)</f>
        <v>648</v>
      </c>
      <c r="I48" s="86">
        <f ca="1">D48-E48+SUMIFS(Transfer!V:V,Transfer!O:O,A48)-SUMIFS(Transfer!W:W,Transfer!O:O,A48)</f>
        <v>0</v>
      </c>
      <c r="J48" s="86">
        <f>SUMIFS(Purchase!F:F,Purchase!C:C,A48,Purchase!V:V,"暂缓发货")</f>
        <v>0</v>
      </c>
      <c r="K48" s="86">
        <f t="shared" si="0"/>
        <v>0</v>
      </c>
      <c r="L48" s="86">
        <f ca="1" t="shared" si="1"/>
        <v>648</v>
      </c>
      <c r="M48" s="365">
        <f ca="1" t="shared" si="2"/>
        <v>648</v>
      </c>
      <c r="N48" s="86" t="str">
        <f ca="1">_xlfn.XLOOKUP(A48,'Product List'!B:B,'Product List'!F:F)</f>
        <v>C</v>
      </c>
      <c r="O48" s="366">
        <f>SUMIF('Weekly Sales'!B:B,A48,'Weekly Sales'!R:R)</f>
        <v>4</v>
      </c>
      <c r="P48" s="367">
        <f ca="1" t="shared" si="3"/>
        <v>162</v>
      </c>
      <c r="Q48" s="367">
        <f ca="1" t="shared" si="4"/>
        <v>162</v>
      </c>
      <c r="R48" s="86">
        <f>_xlfn.XLOOKUP(A48,'Product List'!B:B,'Product List'!P:P)</f>
        <v>10</v>
      </c>
      <c r="S48" s="86">
        <f ca="1" t="shared" si="5"/>
        <v>2</v>
      </c>
      <c r="T48" s="377">
        <f ca="1">SUMIF('Weekly Sales'!B:B,A48,'Weekly Sales'!T:T)</f>
        <v>0</v>
      </c>
      <c r="U48" s="315">
        <f>_xlfn.XLOOKUP(A48,'Product List'!B:B,'Product List'!O:O)</f>
        <v>1000</v>
      </c>
      <c r="V48" s="368">
        <f ca="1" t="shared" si="6"/>
        <v>0</v>
      </c>
      <c r="W48" s="368">
        <f ca="1">_xlfn.XLOOKUP(A48,Sum_LA!A:A,Sum_LA!V:V)</f>
        <v>0</v>
      </c>
      <c r="X48" s="368">
        <f ca="1">_xlfn.XLOOKUP(A48,Sum_HOU!A:A,Sum_HOU!V:V)</f>
        <v>72</v>
      </c>
      <c r="Y48" s="86">
        <f ca="1" t="array" ref="Y48">_xlfn.XLOOKUP(1,('Case Pack'!A:A=A48)*('Case Pack'!F:F&lt;=TODAY()),'Case Pack'!D:D,"未找到箱规")</f>
        <v>18</v>
      </c>
      <c r="Z48" s="86" t="str">
        <f>_xlfn.XLOOKUP(A48,'Product List'!B:B,'Product List'!M:M)</f>
        <v>PetcoMX,PSP，Canada</v>
      </c>
      <c r="AA48" s="86" t="str">
        <f ca="1" t="array" ref="AA48">_xlfn.XLOOKUP(1,('Case Pack'!A:A=A48)*('Case Pack'!F:F&lt;=TODAY()),'Case Pack'!G:G,"未找到箱规")</f>
        <v>C</v>
      </c>
      <c r="AB48" s="86">
        <f ca="1" t="shared" si="7"/>
        <v>0</v>
      </c>
      <c r="AC48" s="86">
        <f ca="1">_xlfn.XLOOKUP(AA48,'Case Type'!A:A,'Case Type'!H:H)*AB48</f>
        <v>0</v>
      </c>
    </row>
    <row r="49" s="115" customFormat="1" spans="1:29">
      <c r="A49" s="86" t="s">
        <v>75</v>
      </c>
      <c r="B49" s="86" t="str">
        <f>_xlfn.XLOOKUP(A49,'Product List'!B:B,'Product List'!I:I)</f>
        <v>Silent Crystal Running Wheel XL</v>
      </c>
      <c r="C49" s="86">
        <v>150</v>
      </c>
      <c r="D49" s="86">
        <f>SUMIFS(Purchase!F:F,Purchase!C:C,A49,Purchase!I:I,"&gt;"&amp;$C$1,Purchase!V:V,"&lt;&gt;暂缓发货")</f>
        <v>1356</v>
      </c>
      <c r="E49" s="86">
        <f>SUMIFS(Purchase!F:F,Purchase!C:C,A49,Purchase!J:J,"&gt;0",Purchase!I:I,"&gt;"&amp;$C$1)</f>
        <v>1356</v>
      </c>
      <c r="F49" s="86">
        <f>SUMIFS(Sales!E:E,Sales!C:C,A49,Sales!K:K,"&gt;"&amp;$C$1)</f>
        <v>699</v>
      </c>
      <c r="G49" s="86">
        <f>SUMIFS(Sales!E:E,Sales!C:C,A49,Sales!K:K,"&gt;"&amp;$C$1,Sales!L:L,"&gt;0")</f>
        <v>699</v>
      </c>
      <c r="H49" s="365">
        <f ca="1">C49+E49-G49-SUMIFS(Transfer!V:V,Transfer!O:O,A49)+SUMIFS(Transfer!W:W,Transfer!O:O,A49)</f>
        <v>807</v>
      </c>
      <c r="I49" s="86">
        <f ca="1">D49-E49+SUMIFS(Transfer!V:V,Transfer!O:O,A49)-SUMIFS(Transfer!W:W,Transfer!O:O,A49)</f>
        <v>0</v>
      </c>
      <c r="J49" s="86">
        <f>SUMIFS(Purchase!F:F,Purchase!C:C,A49,Purchase!V:V,"暂缓发货")</f>
        <v>0</v>
      </c>
      <c r="K49" s="86">
        <f t="shared" si="0"/>
        <v>0</v>
      </c>
      <c r="L49" s="86">
        <f ca="1" t="shared" si="1"/>
        <v>807</v>
      </c>
      <c r="M49" s="365">
        <f ca="1" t="shared" si="2"/>
        <v>807</v>
      </c>
      <c r="N49" s="86" t="str">
        <f ca="1">_xlfn.XLOOKUP(A49,'Product List'!B:B,'Product List'!F:F)</f>
        <v>B</v>
      </c>
      <c r="O49" s="366">
        <f>SUMIF('Weekly Sales'!B:B,A49,'Weekly Sales'!R:R)</f>
        <v>0.5</v>
      </c>
      <c r="P49" s="367">
        <f ca="1" t="shared" si="3"/>
        <v>1614</v>
      </c>
      <c r="Q49" s="367">
        <f ca="1" t="shared" si="4"/>
        <v>1614</v>
      </c>
      <c r="R49" s="86">
        <f>_xlfn.XLOOKUP(A49,'Product List'!B:B,'Product List'!P:P)</f>
        <v>10</v>
      </c>
      <c r="S49" s="86">
        <f ca="1" t="shared" si="5"/>
        <v>5</v>
      </c>
      <c r="T49" s="377">
        <f ca="1">SUMIF('Weekly Sales'!B:B,A49,'Weekly Sales'!T:T)</f>
        <v>2.625</v>
      </c>
      <c r="U49" s="315">
        <f>_xlfn.XLOOKUP(A49,'Product List'!B:B,'Product List'!O:O)</f>
        <v>1000</v>
      </c>
      <c r="V49" s="368">
        <f ca="1" t="shared" si="6"/>
        <v>0</v>
      </c>
      <c r="W49" s="368">
        <f ca="1">_xlfn.XLOOKUP(A49,Sum_LA!A:A,Sum_LA!V:V)</f>
        <v>0</v>
      </c>
      <c r="X49" s="368">
        <f ca="1">_xlfn.XLOOKUP(A49,Sum_HOU!A:A,Sum_HOU!V:V)</f>
        <v>12</v>
      </c>
      <c r="Y49" s="86">
        <f ca="1" t="array" ref="Y49">_xlfn.XLOOKUP(1,('Case Pack'!A:A=A49)*('Case Pack'!F:F&lt;=TODAY()),'Case Pack'!D:D,"未找到箱规")</f>
        <v>4</v>
      </c>
      <c r="Z49" s="86" t="str">
        <f>_xlfn.XLOOKUP(A49,'Product List'!B:B,'Product List'!M:M)</f>
        <v>Pet Supermarket，PSP，Canada</v>
      </c>
      <c r="AA49" s="86" t="str">
        <f ca="1" t="array" ref="AA49">_xlfn.XLOOKUP(1,('Case Pack'!A:A=A49)*('Case Pack'!F:F&lt;=TODAY()),'Case Pack'!G:G,"未找到箱规")</f>
        <v>D</v>
      </c>
      <c r="AB49" s="86">
        <f ca="1" t="shared" si="7"/>
        <v>0</v>
      </c>
      <c r="AC49" s="86">
        <f ca="1">_xlfn.XLOOKUP(AA49,'Case Type'!A:A,'Case Type'!H:H)*AB49</f>
        <v>0</v>
      </c>
    </row>
    <row r="50" s="115" customFormat="1" spans="1:29">
      <c r="A50" s="86" t="s">
        <v>76</v>
      </c>
      <c r="B50" s="86" t="str">
        <f>_xlfn.XLOOKUP(A50,'Product List'!B:B,'Product List'!I:I)</f>
        <v>MINI/MOE SILENT CRSTL RUN WHEEL XL 11.5 1EA</v>
      </c>
      <c r="C50" s="86">
        <v>0</v>
      </c>
      <c r="D50" s="86">
        <f>SUMIFS(Purchase!F:F,Purchase!C:C,A50,Purchase!I:I,"&gt;"&amp;$C$1,Purchase!V:V,"&lt;&gt;暂缓发货")</f>
        <v>1326</v>
      </c>
      <c r="E50" s="86">
        <f>SUMIFS(Purchase!F:F,Purchase!C:C,A50,Purchase!J:J,"&gt;0",Purchase!I:I,"&gt;"&amp;$C$1)</f>
        <v>1326</v>
      </c>
      <c r="F50" s="86">
        <f>SUMIFS(Sales!E:E,Sales!C:C,A50,Sales!K:K,"&gt;"&amp;$C$1)</f>
        <v>684</v>
      </c>
      <c r="G50" s="86">
        <f>SUMIFS(Sales!E:E,Sales!C:C,A50,Sales!K:K,"&gt;"&amp;$C$1,Sales!L:L,"&gt;0")</f>
        <v>597</v>
      </c>
      <c r="H50" s="365">
        <f ca="1">C50+E50-G50-SUMIFS(Transfer!V:V,Transfer!O:O,A50)+SUMIFS(Transfer!W:W,Transfer!O:O,A50)</f>
        <v>729</v>
      </c>
      <c r="I50" s="86">
        <f ca="1">D50-E50+SUMIFS(Transfer!V:V,Transfer!O:O,A50)-SUMIFS(Transfer!W:W,Transfer!O:O,A50)</f>
        <v>0</v>
      </c>
      <c r="J50" s="86">
        <f>SUMIFS(Purchase!F:F,Purchase!C:C,A50,Purchase!V:V,"暂缓发货")</f>
        <v>0</v>
      </c>
      <c r="K50" s="86">
        <f t="shared" si="0"/>
        <v>87</v>
      </c>
      <c r="L50" s="86">
        <f ca="1" t="shared" si="1"/>
        <v>642</v>
      </c>
      <c r="M50" s="365">
        <f ca="1" t="shared" si="2"/>
        <v>642</v>
      </c>
      <c r="N50" s="86" t="str">
        <f ca="1">_xlfn.XLOOKUP(A50,'Product List'!B:B,'Product List'!F:F)</f>
        <v>B</v>
      </c>
      <c r="O50" s="366">
        <f>SUMIF('Weekly Sales'!B:B,A50,'Weekly Sales'!R:R)</f>
        <v>17.5</v>
      </c>
      <c r="P50" s="367">
        <f ca="1" t="shared" si="3"/>
        <v>36</v>
      </c>
      <c r="Q50" s="367">
        <f ca="1" t="shared" si="4"/>
        <v>36</v>
      </c>
      <c r="R50" s="86">
        <f>_xlfn.XLOOKUP(A50,'Product List'!B:B,'Product List'!P:P)</f>
        <v>10</v>
      </c>
      <c r="S50" s="86">
        <f ca="1" t="shared" si="5"/>
        <v>5</v>
      </c>
      <c r="T50" s="377">
        <f ca="1">SUMIF('Weekly Sales'!B:B,A50,'Weekly Sales'!T:T)</f>
        <v>91.875</v>
      </c>
      <c r="U50" s="315">
        <f>_xlfn.XLOOKUP(A50,'Product List'!B:B,'Product List'!O:O)</f>
        <v>1000</v>
      </c>
      <c r="V50" s="368">
        <f ca="1" t="shared" si="6"/>
        <v>0</v>
      </c>
      <c r="W50" s="368">
        <f ca="1">_xlfn.XLOOKUP(A50,Sum_LA!A:A,Sum_LA!V:V)</f>
        <v>0</v>
      </c>
      <c r="X50" s="368">
        <f ca="1">_xlfn.XLOOKUP(A50,Sum_HOU!A:A,Sum_HOU!V:V)</f>
        <v>392</v>
      </c>
      <c r="Y50" s="86">
        <f ca="1" t="array" ref="Y50">_xlfn.XLOOKUP(1,('Case Pack'!A:A=A50)*('Case Pack'!F:F&lt;=TODAY()),'Case Pack'!D:D,"未找到箱规")</f>
        <v>4</v>
      </c>
      <c r="Z50" s="86" t="str">
        <f>_xlfn.XLOOKUP(A50,'Product List'!B:B,'Product List'!M:M)</f>
        <v>PSP，Canada</v>
      </c>
      <c r="AA50" s="86" t="str">
        <f ca="1" t="array" ref="AA50">_xlfn.XLOOKUP(1,('Case Pack'!A:A=A50)*('Case Pack'!F:F&lt;=TODAY()),'Case Pack'!G:G,"未找到箱规")</f>
        <v>D</v>
      </c>
      <c r="AB50" s="86">
        <f ca="1" t="shared" si="7"/>
        <v>0</v>
      </c>
      <c r="AC50" s="86">
        <f ca="1">_xlfn.XLOOKUP(AA50,'Case Type'!A:A,'Case Type'!H:H)*AB50</f>
        <v>0</v>
      </c>
    </row>
    <row r="51" s="115" customFormat="1" spans="1:29">
      <c r="A51" s="86" t="s">
        <v>77</v>
      </c>
      <c r="B51" s="86" t="str">
        <f>_xlfn.XLOOKUP(A51,'Product List'!B:B,'Product List'!I:I)</f>
        <v>MMO-CLOUD WATER BOTTLE</v>
      </c>
      <c r="C51" s="86">
        <v>720</v>
      </c>
      <c r="D51" s="86">
        <f>SUMIFS(Purchase!F:F,Purchase!C:C,A51,Purchase!I:I,"&gt;"&amp;$C$1,Purchase!V:V,"&lt;&gt;暂缓发货")</f>
        <v>17600</v>
      </c>
      <c r="E51" s="86">
        <f>SUMIFS(Purchase!F:F,Purchase!C:C,A51,Purchase!J:J,"&gt;0",Purchase!I:I,"&gt;"&amp;$C$1)</f>
        <v>17600</v>
      </c>
      <c r="F51" s="86">
        <f>SUMIFS(Sales!E:E,Sales!C:C,A51,Sales!K:K,"&gt;"&amp;$C$1)</f>
        <v>12170</v>
      </c>
      <c r="G51" s="86">
        <f>SUMIFS(Sales!E:E,Sales!C:C,A51,Sales!K:K,"&gt;"&amp;$C$1,Sales!L:L,"&gt;0")</f>
        <v>9670</v>
      </c>
      <c r="H51" s="365">
        <f ca="1">C51+E51-G51-SUMIFS(Transfer!V:V,Transfer!O:O,A51)+SUMIFS(Transfer!W:W,Transfer!O:O,A51)</f>
        <v>8650</v>
      </c>
      <c r="I51" s="86">
        <f ca="1">D51-E51+SUMIFS(Transfer!V:V,Transfer!O:O,A51)-SUMIFS(Transfer!W:W,Transfer!O:O,A51)</f>
        <v>0</v>
      </c>
      <c r="J51" s="86">
        <f>SUMIFS(Purchase!F:F,Purchase!C:C,A51,Purchase!V:V,"暂缓发货")</f>
        <v>0</v>
      </c>
      <c r="K51" s="86">
        <f t="shared" si="0"/>
        <v>2500</v>
      </c>
      <c r="L51" s="86">
        <f ca="1" t="shared" si="1"/>
        <v>6150</v>
      </c>
      <c r="M51" s="365">
        <f ca="1" t="shared" si="2"/>
        <v>6150</v>
      </c>
      <c r="N51" s="86" t="str">
        <f ca="1">_xlfn.XLOOKUP(A51,'Product List'!B:B,'Product List'!F:F)</f>
        <v>B</v>
      </c>
      <c r="O51" s="366">
        <f>SUMIF('Weekly Sales'!B:B,A51,'Weekly Sales'!R:R)</f>
        <v>309.333333333333</v>
      </c>
      <c r="P51" s="367">
        <f ca="1" t="shared" si="3"/>
        <v>19</v>
      </c>
      <c r="Q51" s="367">
        <f ca="1" t="shared" si="4"/>
        <v>19</v>
      </c>
      <c r="R51" s="86">
        <f>_xlfn.XLOOKUP(A51,'Product List'!B:B,'Product List'!P:P)</f>
        <v>10</v>
      </c>
      <c r="S51" s="86">
        <f ca="1" t="shared" si="5"/>
        <v>5</v>
      </c>
      <c r="T51" s="377">
        <f ca="1">SUMIF('Weekly Sales'!B:B,A51,'Weekly Sales'!T:T)</f>
        <v>1005.33333333333</v>
      </c>
      <c r="U51" s="315">
        <f>_xlfn.XLOOKUP(A51,'Product List'!B:B,'Product List'!O:O)</f>
        <v>1000</v>
      </c>
      <c r="V51" s="368">
        <f ca="1" t="shared" si="6"/>
        <v>150</v>
      </c>
      <c r="W51" s="368">
        <f ca="1">_xlfn.XLOOKUP(A51,Sum_LA!A:A,Sum_LA!V:V)</f>
        <v>150</v>
      </c>
      <c r="X51" s="368">
        <f ca="1">_xlfn.XLOOKUP(A51,Sum_HOU!A:A,Sum_HOU!V:V)</f>
        <v>0</v>
      </c>
      <c r="Y51" s="86">
        <f ca="1" t="array" ref="Y51">_xlfn.XLOOKUP(1,('Case Pack'!A:A=A51)*('Case Pack'!F:F&lt;=TODAY()),'Case Pack'!D:D,"未找到箱规")</f>
        <v>50</v>
      </c>
      <c r="Z51" s="86" t="str">
        <f>_xlfn.XLOOKUP(A51,'Product List'!B:B,'Product List'!M:M)</f>
        <v>PetcoUS, PetcoMX，Canada</v>
      </c>
      <c r="AA51" s="86" t="str">
        <f ca="1" t="array" ref="AA51">_xlfn.XLOOKUP(1,('Case Pack'!A:A=A51)*('Case Pack'!F:F&lt;=TODAY()),'Case Pack'!G:G,"未找到箱规")</f>
        <v>A</v>
      </c>
      <c r="AB51" s="86">
        <f ca="1" t="shared" si="7"/>
        <v>3</v>
      </c>
      <c r="AC51" s="86">
        <f ca="1">_xlfn.XLOOKUP(AA51,'Case Type'!A:A,'Case Type'!H:H)*AB51</f>
        <v>0.33036321024</v>
      </c>
    </row>
    <row r="52" s="115" customFormat="1" spans="1:29">
      <c r="A52" s="86" t="s">
        <v>78</v>
      </c>
      <c r="B52" s="86" t="str">
        <f>_xlfn.XLOOKUP(A52,'Product List'!B:B,'Product List'!I:I)</f>
        <v>MINI/MOE RUFFLE BOWL</v>
      </c>
      <c r="C52" s="86">
        <v>1000</v>
      </c>
      <c r="D52" s="86">
        <f>SUMIFS(Purchase!F:F,Purchase!C:C,A52,Purchase!I:I,"&gt;"&amp;$C$1,Purchase!V:V,"&lt;&gt;暂缓发货")</f>
        <v>9792</v>
      </c>
      <c r="E52" s="86">
        <f>SUMIFS(Purchase!F:F,Purchase!C:C,A52,Purchase!J:J,"&gt;0",Purchase!I:I,"&gt;"&amp;$C$1)</f>
        <v>9792</v>
      </c>
      <c r="F52" s="86">
        <f>SUMIFS(Sales!E:E,Sales!C:C,A52,Sales!K:K,"&gt;"&amp;$C$1)</f>
        <v>4936</v>
      </c>
      <c r="G52" s="86">
        <f>SUMIFS(Sales!E:E,Sales!C:C,A52,Sales!K:K,"&gt;"&amp;$C$1,Sales!L:L,"&gt;0")</f>
        <v>4408</v>
      </c>
      <c r="H52" s="365">
        <f ca="1">C52+E52-G52-SUMIFS(Transfer!V:V,Transfer!O:O,A52)+SUMIFS(Transfer!W:W,Transfer!O:O,A52)</f>
        <v>6384</v>
      </c>
      <c r="I52" s="86">
        <f ca="1">D52-E52+SUMIFS(Transfer!V:V,Transfer!O:O,A52)-SUMIFS(Transfer!W:W,Transfer!O:O,A52)</f>
        <v>0</v>
      </c>
      <c r="J52" s="86">
        <f>SUMIFS(Purchase!F:F,Purchase!C:C,A52,Purchase!V:V,"暂缓发货")</f>
        <v>2736</v>
      </c>
      <c r="K52" s="86">
        <f t="shared" si="0"/>
        <v>528</v>
      </c>
      <c r="L52" s="86">
        <f ca="1" t="shared" si="1"/>
        <v>5856</v>
      </c>
      <c r="M52" s="365">
        <f ca="1" t="shared" si="2"/>
        <v>5856</v>
      </c>
      <c r="N52" s="86" t="str">
        <f ca="1">_xlfn.XLOOKUP(A52,'Product List'!B:B,'Product List'!F:F)</f>
        <v>B</v>
      </c>
      <c r="O52" s="366">
        <f>SUMIF('Weekly Sales'!B:B,A52,'Weekly Sales'!R:R)</f>
        <v>84.3333333333334</v>
      </c>
      <c r="P52" s="367">
        <f ca="1" t="shared" si="3"/>
        <v>69</v>
      </c>
      <c r="Q52" s="367">
        <f ca="1" t="shared" si="4"/>
        <v>69</v>
      </c>
      <c r="R52" s="86">
        <f>_xlfn.XLOOKUP(A52,'Product List'!B:B,'Product List'!P:P)</f>
        <v>15</v>
      </c>
      <c r="S52" s="86">
        <f ca="1" t="shared" si="5"/>
        <v>5</v>
      </c>
      <c r="T52" s="377">
        <f ca="1">SUMIF('Weekly Sales'!B:B,A52,'Weekly Sales'!T:T)</f>
        <v>286.416666666667</v>
      </c>
      <c r="U52" s="315">
        <f>_xlfn.XLOOKUP(A52,'Product List'!B:B,'Product List'!O:O)</f>
        <v>2000</v>
      </c>
      <c r="V52" s="368">
        <f ca="1" t="shared" si="6"/>
        <v>0</v>
      </c>
      <c r="W52" s="368">
        <f ca="1">_xlfn.XLOOKUP(A52,Sum_LA!A:A,Sum_LA!V:V)</f>
        <v>0</v>
      </c>
      <c r="X52" s="368">
        <f ca="1">_xlfn.XLOOKUP(A52,Sum_HOU!A:A,Sum_HOU!V:V)</f>
        <v>192</v>
      </c>
      <c r="Y52" s="86">
        <f ca="1" t="array" ref="Y52">_xlfn.XLOOKUP(1,('Case Pack'!A:A=A52)*('Case Pack'!F:F&lt;=TODAY()),'Case Pack'!D:D,"未找到箱规")</f>
        <v>48</v>
      </c>
      <c r="Z52" s="86" t="str">
        <f>_xlfn.XLOOKUP(A52,'Product List'!B:B,'Product List'!M:M)</f>
        <v>PSP, PetcoUS</v>
      </c>
      <c r="AA52" s="86" t="str">
        <f ca="1" t="array" ref="AA52">_xlfn.XLOOKUP(1,('Case Pack'!A:A=A52)*('Case Pack'!F:F&lt;=TODAY()),'Case Pack'!G:G,"未找到箱规")</f>
        <v>B</v>
      </c>
      <c r="AB52" s="86">
        <f ca="1" t="shared" si="7"/>
        <v>0</v>
      </c>
      <c r="AC52" s="86">
        <f ca="1">_xlfn.XLOOKUP(AA52,'Case Type'!A:A,'Case Type'!H:H)*AB52</f>
        <v>0</v>
      </c>
    </row>
    <row r="53" s="115" customFormat="1" spans="1:29">
      <c r="A53" s="86" t="s">
        <v>79</v>
      </c>
      <c r="B53" s="86" t="str">
        <f>_xlfn.XLOOKUP(A53,'Product List'!B:B,'Product List'!I:I)</f>
        <v>MINI/MOE WOODLAND POTTY</v>
      </c>
      <c r="C53" s="86">
        <v>0</v>
      </c>
      <c r="D53" s="86">
        <f>SUMIFS(Purchase!F:F,Purchase!C:C,A53,Purchase!I:I,"&gt;"&amp;$C$1,Purchase!V:V,"&lt;&gt;暂缓发货")</f>
        <v>1332</v>
      </c>
      <c r="E53" s="86">
        <f>SUMIFS(Purchase!F:F,Purchase!C:C,A53,Purchase!J:J,"&gt;0",Purchase!I:I,"&gt;"&amp;$C$1)</f>
        <v>1008</v>
      </c>
      <c r="F53" s="86">
        <f>SUMIFS(Sales!E:E,Sales!C:C,A53,Sales!K:K,"&gt;"&amp;$C$1)</f>
        <v>720</v>
      </c>
      <c r="G53" s="86">
        <f>SUMIFS(Sales!E:E,Sales!C:C,A53,Sales!K:K,"&gt;"&amp;$C$1,Sales!L:L,"&gt;0")</f>
        <v>684</v>
      </c>
      <c r="H53" s="365">
        <f ca="1">C53+E53-G53-SUMIFS(Transfer!V:V,Transfer!O:O,A53)+SUMIFS(Transfer!W:W,Transfer!O:O,A53)</f>
        <v>324</v>
      </c>
      <c r="I53" s="86">
        <f ca="1">D53-E53+SUMIFS(Transfer!V:V,Transfer!O:O,A53)-SUMIFS(Transfer!W:W,Transfer!O:O,A53)</f>
        <v>324</v>
      </c>
      <c r="J53" s="86">
        <f>SUMIFS(Purchase!F:F,Purchase!C:C,A53,Purchase!V:V,"暂缓发货")</f>
        <v>0</v>
      </c>
      <c r="K53" s="86">
        <f t="shared" si="0"/>
        <v>36</v>
      </c>
      <c r="L53" s="86">
        <f ca="1" t="shared" si="1"/>
        <v>288</v>
      </c>
      <c r="M53" s="365">
        <f ca="1" t="shared" si="2"/>
        <v>612</v>
      </c>
      <c r="N53" s="86" t="str">
        <f ca="1">_xlfn.XLOOKUP(A53,'Product List'!B:B,'Product List'!F:F)</f>
        <v>C</v>
      </c>
      <c r="O53" s="366">
        <f>SUMIF('Weekly Sales'!B:B,A53,'Weekly Sales'!R:R)</f>
        <v>17</v>
      </c>
      <c r="P53" s="367">
        <f ca="1" t="shared" si="3"/>
        <v>16</v>
      </c>
      <c r="Q53" s="367">
        <f ca="1" t="shared" si="4"/>
        <v>36</v>
      </c>
      <c r="R53" s="86">
        <f>_xlfn.XLOOKUP(A53,'Product List'!B:B,'Product List'!P:P)</f>
        <v>10</v>
      </c>
      <c r="S53" s="86">
        <f ca="1" t="shared" si="5"/>
        <v>2</v>
      </c>
      <c r="T53" s="377">
        <f ca="1">SUMIF('Weekly Sales'!B:B,A53,'Weekly Sales'!T:T)</f>
        <v>0</v>
      </c>
      <c r="U53" s="315">
        <f>_xlfn.XLOOKUP(A53,'Product List'!B:B,'Product List'!O:O)</f>
        <v>500</v>
      </c>
      <c r="V53" s="368">
        <f ca="1" t="shared" si="6"/>
        <v>0</v>
      </c>
      <c r="W53" s="368">
        <f ca="1">_xlfn.XLOOKUP(A53,Sum_LA!A:A,Sum_LA!V:V)</f>
        <v>0</v>
      </c>
      <c r="X53" s="368">
        <f ca="1">_xlfn.XLOOKUP(A53,Sum_HOU!A:A,Sum_HOU!V:V)</f>
        <v>252</v>
      </c>
      <c r="Y53" s="86">
        <f ca="1" t="array" ref="Y53">_xlfn.XLOOKUP(1,('Case Pack'!A:A=A53)*('Case Pack'!F:F&lt;=TODAY()),'Case Pack'!D:D,"未找到箱规")</f>
        <v>36</v>
      </c>
      <c r="Z53" s="86" t="str">
        <f>_xlfn.XLOOKUP(A53,'Product List'!B:B,'Product List'!M:M)</f>
        <v>PSP</v>
      </c>
      <c r="AA53" s="86" t="str">
        <f ca="1" t="array" ref="AA53">_xlfn.XLOOKUP(1,('Case Pack'!A:A=A53)*('Case Pack'!F:F&lt;=TODAY()),'Case Pack'!G:G,"未找到箱规")</f>
        <v>C</v>
      </c>
      <c r="AB53" s="86">
        <f ca="1" t="shared" si="7"/>
        <v>0</v>
      </c>
      <c r="AC53" s="86">
        <f ca="1">_xlfn.XLOOKUP(AA53,'Case Type'!A:A,'Case Type'!H:H)*AB53</f>
        <v>0</v>
      </c>
    </row>
    <row r="54" s="115" customFormat="1" spans="1:29">
      <c r="A54" s="86" t="s">
        <v>80</v>
      </c>
      <c r="B54" s="86" t="str">
        <f>_xlfn.XLOOKUP(A54,'Product List'!B:B,'Product List'!I:I)</f>
        <v>MINI/MOE SMALL ANIMAL BEDDING PAPER PEBBLES OCEAN BLUE 23LT</v>
      </c>
      <c r="C54" s="86">
        <v>0</v>
      </c>
      <c r="D54" s="86">
        <f>SUMIFS(Purchase!F:F,Purchase!C:C,A54,Purchase!I:I,"&gt;"&amp;$C$1,Purchase!V:V,"&lt;&gt;暂缓发货")</f>
        <v>3360</v>
      </c>
      <c r="E54" s="86">
        <f>SUMIFS(Purchase!F:F,Purchase!C:C,A54,Purchase!J:J,"&gt;0",Purchase!I:I,"&gt;"&amp;$C$1)</f>
        <v>3360</v>
      </c>
      <c r="F54" s="86">
        <f>SUMIFS(Sales!E:E,Sales!C:C,A54,Sales!K:K,"&gt;"&amp;$C$1)</f>
        <v>2016</v>
      </c>
      <c r="G54" s="86">
        <f>SUMIFS(Sales!E:E,Sales!C:C,A54,Sales!K:K,"&gt;"&amp;$C$1,Sales!L:L,"&gt;0")</f>
        <v>2016</v>
      </c>
      <c r="H54" s="365">
        <f ca="1">C54+E54-G54-SUMIFS(Transfer!V:V,Transfer!O:O,A54)+SUMIFS(Transfer!W:W,Transfer!O:O,A54)</f>
        <v>1344</v>
      </c>
      <c r="I54" s="86">
        <f ca="1">D54-E54+SUMIFS(Transfer!V:V,Transfer!O:O,A54)-SUMIFS(Transfer!W:W,Transfer!O:O,A54)</f>
        <v>0</v>
      </c>
      <c r="J54" s="86">
        <f>SUMIFS(Purchase!F:F,Purchase!C:C,A54,Purchase!V:V,"暂缓发货")</f>
        <v>0</v>
      </c>
      <c r="K54" s="86">
        <f t="shared" si="0"/>
        <v>0</v>
      </c>
      <c r="L54" s="86">
        <f ca="1" t="shared" si="1"/>
        <v>1344</v>
      </c>
      <c r="M54" s="365">
        <f ca="1" t="shared" si="2"/>
        <v>1344</v>
      </c>
      <c r="N54" s="86" t="str">
        <f ca="1">_xlfn.XLOOKUP(A54,'Product List'!B:B,'Product List'!F:F)</f>
        <v>B</v>
      </c>
      <c r="O54" s="366">
        <f>SUMIF('Weekly Sales'!B:B,A54,'Weekly Sales'!R:R)</f>
        <v>15.3333333333333</v>
      </c>
      <c r="P54" s="367">
        <f ca="1" t="shared" si="3"/>
        <v>87</v>
      </c>
      <c r="Q54" s="367">
        <f ca="1" t="shared" si="4"/>
        <v>87</v>
      </c>
      <c r="R54" s="86">
        <f>_xlfn.XLOOKUP(A54,'Product List'!B:B,'Product List'!P:P)</f>
        <v>10</v>
      </c>
      <c r="S54" s="86">
        <f ca="1" t="shared" si="5"/>
        <v>5</v>
      </c>
      <c r="T54" s="377">
        <f ca="1">SUMIF('Weekly Sales'!B:B,A54,'Weekly Sales'!T:T)</f>
        <v>80.4999999999998</v>
      </c>
      <c r="U54" s="315">
        <f>_xlfn.XLOOKUP(A54,'Product List'!B:B,'Product List'!O:O)</f>
        <v>1000</v>
      </c>
      <c r="V54" s="368">
        <f ca="1" t="shared" si="6"/>
        <v>0</v>
      </c>
      <c r="W54" s="368">
        <f ca="1">_xlfn.XLOOKUP(A54,Sum_LA!A:A,Sum_LA!V:V)</f>
        <v>0</v>
      </c>
      <c r="X54" s="368">
        <f ca="1">_xlfn.XLOOKUP(A54,Sum_HOU!A:A,Sum_HOU!V:V)</f>
        <v>348</v>
      </c>
      <c r="Y54" s="86">
        <f ca="1" t="array" ref="Y54">_xlfn.XLOOKUP(1,('Case Pack'!A:A=A54)*('Case Pack'!F:F&lt;=TODAY()),'Case Pack'!D:D,"未找到箱规")</f>
        <v>12</v>
      </c>
      <c r="Z54" s="86" t="str">
        <f>_xlfn.XLOOKUP(A54,'Product List'!B:B,'Product List'!M:M)</f>
        <v>PSP</v>
      </c>
      <c r="AA54" s="86" t="str">
        <f ca="1" t="array" ref="AA54">_xlfn.XLOOKUP(1,('Case Pack'!A:A=A54)*('Case Pack'!F:F&lt;=TODAY()),'Case Pack'!G:G,"未找到箱规")</f>
        <v>B</v>
      </c>
      <c r="AB54" s="86">
        <f ca="1" t="shared" si="7"/>
        <v>0</v>
      </c>
      <c r="AC54" s="86">
        <f ca="1">_xlfn.XLOOKUP(AA54,'Case Type'!A:A,'Case Type'!H:H)*AB54</f>
        <v>0</v>
      </c>
    </row>
    <row r="55" s="115" customFormat="1" spans="1:29">
      <c r="A55" s="86" t="s">
        <v>81</v>
      </c>
      <c r="B55" s="86" t="str">
        <f>_xlfn.XLOOKUP(A55,'Product List'!B:B,'Product List'!I:I)</f>
        <v>MMO-PAPER PEBBLES</v>
      </c>
      <c r="C55" s="86">
        <v>705</v>
      </c>
      <c r="D55" s="86">
        <f>SUMIFS(Purchase!F:F,Purchase!C:C,A55,Purchase!I:I,"&gt;"&amp;$C$1,Purchase!V:V,"&lt;&gt;暂缓发货")</f>
        <v>6456</v>
      </c>
      <c r="E55" s="86">
        <f>SUMIFS(Purchase!F:F,Purchase!C:C,A55,Purchase!J:J,"&gt;0",Purchase!I:I,"&gt;"&amp;$C$1)</f>
        <v>6456</v>
      </c>
      <c r="F55" s="86">
        <f>SUMIFS(Sales!E:E,Sales!C:C,A55,Sales!K:K,"&gt;"&amp;$C$1)</f>
        <v>2481</v>
      </c>
      <c r="G55" s="86">
        <f>SUMIFS(Sales!E:E,Sales!C:C,A55,Sales!K:K,"&gt;"&amp;$C$1,Sales!L:L,"&gt;0")</f>
        <v>2421</v>
      </c>
      <c r="H55" s="365">
        <f ca="1">C55+E55-G55-SUMIFS(Transfer!V:V,Transfer!O:O,A55)+SUMIFS(Transfer!W:W,Transfer!O:O,A55)</f>
        <v>4740</v>
      </c>
      <c r="I55" s="86">
        <f ca="1">D55-E55+SUMIFS(Transfer!V:V,Transfer!O:O,A55)-SUMIFS(Transfer!W:W,Transfer!O:O,A55)</f>
        <v>0</v>
      </c>
      <c r="J55" s="86">
        <f>SUMIFS(Purchase!F:F,Purchase!C:C,A55,Purchase!V:V,"暂缓发货")</f>
        <v>0</v>
      </c>
      <c r="K55" s="86">
        <f t="shared" si="0"/>
        <v>60</v>
      </c>
      <c r="L55" s="86">
        <f ca="1" t="shared" si="1"/>
        <v>4680</v>
      </c>
      <c r="M55" s="365">
        <f ca="1" t="shared" si="2"/>
        <v>4680</v>
      </c>
      <c r="N55" s="86" t="str">
        <f ca="1">_xlfn.XLOOKUP(A55,'Product List'!B:B,'Product List'!F:F)</f>
        <v>B</v>
      </c>
      <c r="O55" s="366">
        <f>SUMIF('Weekly Sales'!B:B,A55,'Weekly Sales'!R:R)</f>
        <v>43.6666666666667</v>
      </c>
      <c r="P55" s="367">
        <f ca="1" t="shared" si="3"/>
        <v>107</v>
      </c>
      <c r="Q55" s="367">
        <f ca="1" t="shared" si="4"/>
        <v>107</v>
      </c>
      <c r="R55" s="86">
        <f>_xlfn.XLOOKUP(A55,'Product List'!B:B,'Product List'!P:P)</f>
        <v>10</v>
      </c>
      <c r="S55" s="86">
        <f ca="1" t="shared" si="5"/>
        <v>5</v>
      </c>
      <c r="T55" s="377">
        <f ca="1">SUMIF('Weekly Sales'!B:B,A55,'Weekly Sales'!T:T)</f>
        <v>141.916666666667</v>
      </c>
      <c r="U55" s="315">
        <f>_xlfn.XLOOKUP(A55,'Product List'!B:B,'Product List'!O:O)</f>
        <v>1000</v>
      </c>
      <c r="V55" s="368">
        <f ca="1" t="shared" si="6"/>
        <v>0</v>
      </c>
      <c r="W55" s="368">
        <f ca="1">_xlfn.XLOOKUP(A55,Sum_LA!A:A,Sum_LA!V:V)</f>
        <v>0</v>
      </c>
      <c r="X55" s="368">
        <f ca="1">_xlfn.XLOOKUP(A55,Sum_HOU!A:A,Sum_HOU!V:V)</f>
        <v>0</v>
      </c>
      <c r="Y55" s="86">
        <f ca="1" t="array" ref="Y55">_xlfn.XLOOKUP(1,('Case Pack'!A:A=A55)*('Case Pack'!F:F&lt;=TODAY()),'Case Pack'!D:D,"未找到箱规")</f>
        <v>12</v>
      </c>
      <c r="Z55" s="86" t="str">
        <f>_xlfn.XLOOKUP(A55,'Product List'!B:B,'Product List'!M:M)</f>
        <v>PetcoUS, Pet Supermarket</v>
      </c>
      <c r="AA55" s="86" t="str">
        <f ca="1" t="array" ref="AA55">_xlfn.XLOOKUP(1,('Case Pack'!A:A=A55)*('Case Pack'!F:F&lt;=TODAY()),'Case Pack'!G:G,"未找到箱规")</f>
        <v>B</v>
      </c>
      <c r="AB55" s="86">
        <f ca="1" t="shared" si="7"/>
        <v>0</v>
      </c>
      <c r="AC55" s="86">
        <f ca="1">_xlfn.XLOOKUP(AA55,'Case Type'!A:A,'Case Type'!H:H)*AB55</f>
        <v>0</v>
      </c>
    </row>
    <row r="56" s="115" customFormat="1" spans="1:29">
      <c r="A56" s="86" t="s">
        <v>82</v>
      </c>
      <c r="B56" s="86" t="str">
        <f>_xlfn.XLOOKUP(A56,'Product List'!B:B,'Product List'!I:I)</f>
        <v>MINI/MOE SMALL ANIMAL BEDDING PAPER PEBBLES PSTCH/CREAM 1EA</v>
      </c>
      <c r="C56" s="86">
        <v>0</v>
      </c>
      <c r="D56" s="86">
        <f>SUMIFS(Purchase!F:F,Purchase!C:C,A56,Purchase!I:I,"&gt;"&amp;$C$1,Purchase!V:V,"&lt;&gt;暂缓发货")</f>
        <v>1248</v>
      </c>
      <c r="E56" s="86">
        <f>SUMIFS(Purchase!F:F,Purchase!C:C,A56,Purchase!J:J,"&gt;0",Purchase!I:I,"&gt;"&amp;$C$1)</f>
        <v>1248</v>
      </c>
      <c r="F56" s="86">
        <f>SUMIFS(Sales!E:E,Sales!C:C,A56,Sales!K:K,"&gt;"&amp;$C$1)</f>
        <v>612</v>
      </c>
      <c r="G56" s="86">
        <f>SUMIFS(Sales!E:E,Sales!C:C,A56,Sales!K:K,"&gt;"&amp;$C$1,Sales!L:L,"&gt;0")</f>
        <v>612</v>
      </c>
      <c r="H56" s="365">
        <f ca="1">C56+E56-G56-SUMIFS(Transfer!V:V,Transfer!O:O,A56)+SUMIFS(Transfer!W:W,Transfer!O:O,A56)</f>
        <v>636</v>
      </c>
      <c r="I56" s="86">
        <f ca="1">D56-E56+SUMIFS(Transfer!V:V,Transfer!O:O,A56)-SUMIFS(Transfer!W:W,Transfer!O:O,A56)</f>
        <v>0</v>
      </c>
      <c r="J56" s="86">
        <f>SUMIFS(Purchase!F:F,Purchase!C:C,A56,Purchase!V:V,"暂缓发货")</f>
        <v>0</v>
      </c>
      <c r="K56" s="86">
        <f t="shared" si="0"/>
        <v>0</v>
      </c>
      <c r="L56" s="86">
        <f ca="1" t="shared" si="1"/>
        <v>636</v>
      </c>
      <c r="M56" s="365">
        <f ca="1" t="shared" si="2"/>
        <v>636</v>
      </c>
      <c r="N56" s="86" t="str">
        <f ca="1">_xlfn.XLOOKUP(A56,'Product List'!B:B,'Product List'!F:F)</f>
        <v>C</v>
      </c>
      <c r="O56" s="366">
        <f>SUMIF('Weekly Sales'!B:B,A56,'Weekly Sales'!R:R)</f>
        <v>0.5</v>
      </c>
      <c r="P56" s="367">
        <f ca="1" t="shared" si="3"/>
        <v>1272</v>
      </c>
      <c r="Q56" s="367">
        <f ca="1" t="shared" si="4"/>
        <v>1272</v>
      </c>
      <c r="R56" s="86">
        <f>_xlfn.XLOOKUP(A56,'Product List'!B:B,'Product List'!P:P)</f>
        <v>10</v>
      </c>
      <c r="S56" s="86">
        <f ca="1" t="shared" si="5"/>
        <v>2</v>
      </c>
      <c r="T56" s="377">
        <f ca="1">SUMIF('Weekly Sales'!B:B,A56,'Weekly Sales'!T:T)</f>
        <v>0</v>
      </c>
      <c r="U56" s="315">
        <f>_xlfn.XLOOKUP(A56,'Product List'!B:B,'Product List'!O:O)</f>
        <v>1000</v>
      </c>
      <c r="V56" s="368">
        <f ca="1" t="shared" si="6"/>
        <v>0</v>
      </c>
      <c r="W56" s="368">
        <f ca="1">_xlfn.XLOOKUP(A56,Sum_LA!A:A,Sum_LA!V:V)</f>
        <v>0</v>
      </c>
      <c r="X56" s="368">
        <f ca="1">_xlfn.XLOOKUP(A56,Sum_HOU!A:A,Sum_HOU!V:V)</f>
        <v>12</v>
      </c>
      <c r="Y56" s="86">
        <f ca="1" t="array" ref="Y56">_xlfn.XLOOKUP(1,('Case Pack'!A:A=A56)*('Case Pack'!F:F&lt;=TODAY()),'Case Pack'!D:D,"未找到箱规")</f>
        <v>12</v>
      </c>
      <c r="Z56" s="86" t="str">
        <f>_xlfn.XLOOKUP(A56,'Product List'!B:B,'Product List'!M:M)</f>
        <v>PSP</v>
      </c>
      <c r="AA56" s="86" t="str">
        <f ca="1" t="array" ref="AA56">_xlfn.XLOOKUP(1,('Case Pack'!A:A=A56)*('Case Pack'!F:F&lt;=TODAY()),'Case Pack'!G:G,"未找到箱规")</f>
        <v>B</v>
      </c>
      <c r="AB56" s="86">
        <f ca="1" t="shared" si="7"/>
        <v>0</v>
      </c>
      <c r="AC56" s="86">
        <f ca="1">_xlfn.XLOOKUP(AA56,'Case Type'!A:A,'Case Type'!H:H)*AB56</f>
        <v>0</v>
      </c>
    </row>
    <row r="57" s="115" customFormat="1" spans="1:29">
      <c r="A57" s="86" t="s">
        <v>83</v>
      </c>
      <c r="B57" s="86" t="str">
        <f>_xlfn.XLOOKUP(A57,'Product List'!B:B,'Product List'!I:I)</f>
        <v>Paper straw green bedding</v>
      </c>
      <c r="C57" s="86">
        <v>0</v>
      </c>
      <c r="D57" s="86">
        <f>SUMIFS(Purchase!F:F,Purchase!C:C,A57,Purchase!I:I,"&gt;"&amp;$C$1,Purchase!V:V,"&lt;&gt;暂缓发货")</f>
        <v>600</v>
      </c>
      <c r="E57" s="86">
        <f>SUMIFS(Purchase!F:F,Purchase!C:C,A57,Purchase!J:J,"&gt;0",Purchase!I:I,"&gt;"&amp;$C$1)</f>
        <v>600</v>
      </c>
      <c r="F57" s="86">
        <f>SUMIFS(Sales!E:E,Sales!C:C,A57,Sales!K:K,"&gt;"&amp;$C$1)</f>
        <v>300</v>
      </c>
      <c r="G57" s="86">
        <f>SUMIFS(Sales!E:E,Sales!C:C,A57,Sales!K:K,"&gt;"&amp;$C$1,Sales!L:L,"&gt;0")</f>
        <v>300</v>
      </c>
      <c r="H57" s="365">
        <f ca="1">C57+E57-G57-SUMIFS(Transfer!V:V,Transfer!O:O,A57)+SUMIFS(Transfer!W:W,Transfer!O:O,A57)</f>
        <v>300</v>
      </c>
      <c r="I57" s="86">
        <f ca="1">D57-E57+SUMIFS(Transfer!V:V,Transfer!O:O,A57)-SUMIFS(Transfer!W:W,Transfer!O:O,A57)</f>
        <v>0</v>
      </c>
      <c r="J57" s="86">
        <f>SUMIFS(Purchase!F:F,Purchase!C:C,A57,Purchase!V:V,"暂缓发货")</f>
        <v>0</v>
      </c>
      <c r="K57" s="86">
        <f t="shared" si="0"/>
        <v>0</v>
      </c>
      <c r="L57" s="86">
        <f ca="1" t="shared" si="1"/>
        <v>300</v>
      </c>
      <c r="M57" s="365">
        <f ca="1" t="shared" si="2"/>
        <v>300</v>
      </c>
      <c r="N57" s="86" t="str">
        <f ca="1">_xlfn.XLOOKUP(A57,'Product List'!B:B,'Product List'!F:F)</f>
        <v>C</v>
      </c>
      <c r="O57" s="366">
        <f>SUMIF('Weekly Sales'!B:B,A57,'Weekly Sales'!R:R)</f>
        <v>0</v>
      </c>
      <c r="P57" s="367">
        <f ca="1" t="shared" si="3"/>
        <v>999</v>
      </c>
      <c r="Q57" s="367">
        <f ca="1" t="shared" si="4"/>
        <v>999</v>
      </c>
      <c r="R57" s="86">
        <f>_xlfn.XLOOKUP(A57,'Product List'!B:B,'Product List'!P:P)</f>
        <v>10</v>
      </c>
      <c r="S57" s="86">
        <f ca="1" t="shared" si="5"/>
        <v>2</v>
      </c>
      <c r="T57" s="377">
        <f ca="1">SUMIF('Weekly Sales'!B:B,A57,'Weekly Sales'!T:T)</f>
        <v>0</v>
      </c>
      <c r="U57" s="315">
        <f>_xlfn.XLOOKUP(A57,'Product List'!B:B,'Product List'!O:O)</f>
        <v>1000</v>
      </c>
      <c r="V57" s="368">
        <f ca="1" t="shared" si="6"/>
        <v>0</v>
      </c>
      <c r="W57" s="368">
        <f ca="1">_xlfn.XLOOKUP(A57,Sum_LA!A:A,Sum_LA!V:V)</f>
        <v>0</v>
      </c>
      <c r="X57" s="368">
        <f ca="1">_xlfn.XLOOKUP(A57,Sum_HOU!A:A,Sum_HOU!V:V)</f>
        <v>0</v>
      </c>
      <c r="Y57" s="86">
        <f ca="1" t="array" ref="Y57">_xlfn.XLOOKUP(1,('Case Pack'!A:A=A57)*('Case Pack'!F:F&lt;=TODAY()),'Case Pack'!D:D,"未找到箱规")</f>
        <v>30</v>
      </c>
      <c r="Z57" s="86" t="str">
        <f>_xlfn.XLOOKUP(A57,'Product List'!B:B,'Product List'!M:M)</f>
        <v>Pet Supermarket</v>
      </c>
      <c r="AA57" s="86" t="str">
        <f ca="1" t="array" ref="AA57">_xlfn.XLOOKUP(1,('Case Pack'!A:A=A57)*('Case Pack'!F:F&lt;=TODAY()),'Case Pack'!G:G,"未找到箱规")</f>
        <v>C</v>
      </c>
      <c r="AB57" s="86">
        <f ca="1" t="shared" si="7"/>
        <v>0</v>
      </c>
      <c r="AC57" s="86">
        <f ca="1">_xlfn.XLOOKUP(AA57,'Case Type'!A:A,'Case Type'!H:H)*AB57</f>
        <v>0</v>
      </c>
    </row>
    <row r="58" s="115" customFormat="1" spans="1:29">
      <c r="A58" s="86" t="s">
        <v>84</v>
      </c>
      <c r="B58" s="86" t="str">
        <f>_xlfn.XLOOKUP(A58,'Product List'!B:B,'Product List'!I:I)</f>
        <v>MMO-COTTON NESTING BALLS</v>
      </c>
      <c r="C58" s="86">
        <v>930</v>
      </c>
      <c r="D58" s="86">
        <f>SUMIFS(Purchase!F:F,Purchase!C:C,A58,Purchase!I:I,"&gt;"&amp;$C$1,Purchase!V:V,"&lt;&gt;暂缓发货")</f>
        <v>6272</v>
      </c>
      <c r="E58" s="86">
        <f>SUMIFS(Purchase!F:F,Purchase!C:C,A58,Purchase!J:J,"&gt;0",Purchase!I:I,"&gt;"&amp;$C$1)</f>
        <v>6272</v>
      </c>
      <c r="F58" s="86">
        <f>SUMIFS(Sales!E:E,Sales!C:C,A58,Sales!K:K,"&gt;"&amp;$C$1)</f>
        <v>2530</v>
      </c>
      <c r="G58" s="86">
        <f>SUMIFS(Sales!E:E,Sales!C:C,A58,Sales!K:K,"&gt;"&amp;$C$1,Sales!L:L,"&gt;0")</f>
        <v>2466</v>
      </c>
      <c r="H58" s="365">
        <f ca="1">C58+E58-G58-SUMIFS(Transfer!V:V,Transfer!O:O,A58)+SUMIFS(Transfer!W:W,Transfer!O:O,A58)</f>
        <v>4736</v>
      </c>
      <c r="I58" s="86">
        <f ca="1">D58-E58+SUMIFS(Transfer!V:V,Transfer!O:O,A58)-SUMIFS(Transfer!W:W,Transfer!O:O,A58)</f>
        <v>0</v>
      </c>
      <c r="J58" s="86">
        <f>SUMIFS(Purchase!F:F,Purchase!C:C,A58,Purchase!V:V,"暂缓发货")</f>
        <v>0</v>
      </c>
      <c r="K58" s="86">
        <f t="shared" si="0"/>
        <v>64</v>
      </c>
      <c r="L58" s="86">
        <f ca="1" t="shared" si="1"/>
        <v>4672</v>
      </c>
      <c r="M58" s="365">
        <f ca="1" t="shared" si="2"/>
        <v>4672</v>
      </c>
      <c r="N58" s="86" t="str">
        <f ca="1">_xlfn.XLOOKUP(A58,'Product List'!B:B,'Product List'!F:F)</f>
        <v>C</v>
      </c>
      <c r="O58" s="366">
        <f>SUMIF('Weekly Sales'!B:B,A58,'Weekly Sales'!R:R)</f>
        <v>48.5</v>
      </c>
      <c r="P58" s="367">
        <f ca="1" t="shared" si="3"/>
        <v>96</v>
      </c>
      <c r="Q58" s="367">
        <f ca="1" t="shared" si="4"/>
        <v>96</v>
      </c>
      <c r="R58" s="86">
        <f>_xlfn.XLOOKUP(A58,'Product List'!B:B,'Product List'!P:P)</f>
        <v>10</v>
      </c>
      <c r="S58" s="86">
        <f ca="1" t="shared" si="5"/>
        <v>2</v>
      </c>
      <c r="T58" s="377">
        <f ca="1">SUMIF('Weekly Sales'!B:B,A58,'Weekly Sales'!T:T)</f>
        <v>0</v>
      </c>
      <c r="U58" s="315">
        <f>_xlfn.XLOOKUP(A58,'Product List'!B:B,'Product List'!O:O)</f>
        <v>1000</v>
      </c>
      <c r="V58" s="368">
        <f ca="1" t="shared" si="6"/>
        <v>0</v>
      </c>
      <c r="W58" s="368">
        <f ca="1">_xlfn.XLOOKUP(A58,Sum_LA!A:A,Sum_LA!V:V)</f>
        <v>0</v>
      </c>
      <c r="X58" s="368">
        <f ca="1">_xlfn.XLOOKUP(A58,Sum_HOU!A:A,Sum_HOU!V:V)</f>
        <v>0</v>
      </c>
      <c r="Y58" s="86">
        <f ca="1" t="array" ref="Y58">_xlfn.XLOOKUP(1,('Case Pack'!A:A=A58)*('Case Pack'!F:F&lt;=TODAY()),'Case Pack'!D:D,"未找到箱规")</f>
        <v>32</v>
      </c>
      <c r="Z58" s="86" t="str">
        <f>_xlfn.XLOOKUP(A58,'Product List'!B:B,'Product List'!M:M)</f>
        <v>PetcoUS</v>
      </c>
      <c r="AA58" s="86" t="str">
        <f ca="1" t="array" ref="AA58">_xlfn.XLOOKUP(1,('Case Pack'!A:A=A58)*('Case Pack'!F:F&lt;=TODAY()),'Case Pack'!G:G,"未找到箱规")</f>
        <v>A</v>
      </c>
      <c r="AB58" s="86">
        <f ca="1" t="shared" si="7"/>
        <v>0</v>
      </c>
      <c r="AC58" s="86">
        <f ca="1">_xlfn.XLOOKUP(AA58,'Case Type'!A:A,'Case Type'!H:H)*AB58</f>
        <v>0</v>
      </c>
    </row>
    <row r="59" s="115" customFormat="1" spans="1:29">
      <c r="A59" s="94" t="s">
        <v>85</v>
      </c>
      <c r="B59" s="86" t="str">
        <f>_xlfn.XLOOKUP(A59,'Product List'!B:B,'Product List'!I:I)</f>
        <v>Cotton multi color bedding</v>
      </c>
      <c r="C59" s="86">
        <v>0</v>
      </c>
      <c r="D59" s="86">
        <f>SUMIFS(Purchase!F:F,Purchase!C:C,A59,Purchase!I:I,"&gt;"&amp;$C$1,Purchase!V:V,"&lt;&gt;暂缓发货")</f>
        <v>1920</v>
      </c>
      <c r="E59" s="86">
        <f>SUMIFS(Purchase!F:F,Purchase!C:C,A59,Purchase!J:J,"&gt;0",Purchase!I:I,"&gt;"&amp;$C$1)</f>
        <v>1920</v>
      </c>
      <c r="F59" s="86">
        <f>SUMIFS(Sales!E:E,Sales!C:C,A59,Sales!K:K,"&gt;"&amp;$C$1)</f>
        <v>928</v>
      </c>
      <c r="G59" s="86">
        <f>SUMIFS(Sales!E:E,Sales!C:C,A59,Sales!K:K,"&gt;"&amp;$C$1,Sales!L:L,"&gt;0")</f>
        <v>928</v>
      </c>
      <c r="H59" s="365">
        <f ca="1">C59+E59-G59-SUMIFS(Transfer!V:V,Transfer!O:O,A59)+SUMIFS(Transfer!W:W,Transfer!O:O,A59)</f>
        <v>992</v>
      </c>
      <c r="I59" s="86">
        <f ca="1">D59-E59+SUMIFS(Transfer!V:V,Transfer!O:O,A59)-SUMIFS(Transfer!W:W,Transfer!O:O,A59)</f>
        <v>0</v>
      </c>
      <c r="J59" s="86">
        <f>SUMIFS(Purchase!F:F,Purchase!C:C,A59,Purchase!V:V,"暂缓发货")</f>
        <v>0</v>
      </c>
      <c r="K59" s="86">
        <f t="shared" si="0"/>
        <v>0</v>
      </c>
      <c r="L59" s="86">
        <f ca="1" t="shared" si="1"/>
        <v>992</v>
      </c>
      <c r="M59" s="365">
        <f ca="1" t="shared" si="2"/>
        <v>992</v>
      </c>
      <c r="N59" s="86" t="str">
        <f ca="1">_xlfn.XLOOKUP(A59,'Product List'!B:B,'Product List'!F:F)</f>
        <v>C</v>
      </c>
      <c r="O59" s="366">
        <f>SUMIF('Weekly Sales'!B:B,A59,'Weekly Sales'!R:R)</f>
        <v>2.5</v>
      </c>
      <c r="P59" s="367">
        <f ca="1" t="shared" si="3"/>
        <v>396</v>
      </c>
      <c r="Q59" s="367">
        <f ca="1" t="shared" si="4"/>
        <v>396</v>
      </c>
      <c r="R59" s="86">
        <f>_xlfn.XLOOKUP(A59,'Product List'!B:B,'Product List'!P:P)</f>
        <v>10</v>
      </c>
      <c r="S59" s="86">
        <f ca="1" t="shared" si="5"/>
        <v>2</v>
      </c>
      <c r="T59" s="377">
        <f ca="1">SUMIF('Weekly Sales'!B:B,A59,'Weekly Sales'!T:T)</f>
        <v>0</v>
      </c>
      <c r="U59" s="315">
        <f>_xlfn.XLOOKUP(A59,'Product List'!B:B,'Product List'!O:O)</f>
        <v>1000</v>
      </c>
      <c r="V59" s="368">
        <f ca="1" t="shared" si="6"/>
        <v>0</v>
      </c>
      <c r="W59" s="368">
        <f ca="1">_xlfn.XLOOKUP(A59,Sum_LA!A:A,Sum_LA!V:V)</f>
        <v>0</v>
      </c>
      <c r="X59" s="368">
        <f ca="1">_xlfn.XLOOKUP(A59,Sum_HOU!A:A,Sum_HOU!V:V)</f>
        <v>64</v>
      </c>
      <c r="Y59" s="86">
        <f ca="1" t="array" ref="Y59">_xlfn.XLOOKUP(1,('Case Pack'!A:A=A59)*('Case Pack'!F:F&lt;=TODAY()),'Case Pack'!D:D,"未找到箱规")</f>
        <v>32</v>
      </c>
      <c r="Z59" s="86" t="str">
        <f>_xlfn.XLOOKUP(A59,'Product List'!B:B,'Product List'!M:M)</f>
        <v>Pet Supermarket，Canada，PSP</v>
      </c>
      <c r="AA59" s="86" t="str">
        <f ca="1" t="array" ref="AA59">_xlfn.XLOOKUP(1,('Case Pack'!A:A=A59)*('Case Pack'!F:F&lt;=TODAY()),'Case Pack'!G:G,"未找到箱规")</f>
        <v>A</v>
      </c>
      <c r="AB59" s="86">
        <f ca="1" t="shared" si="7"/>
        <v>0</v>
      </c>
      <c r="AC59" s="86">
        <f ca="1">_xlfn.XLOOKUP(AA59,'Case Type'!A:A,'Case Type'!H:H)*AB59</f>
        <v>0</v>
      </c>
    </row>
    <row r="60" s="115" customFormat="1" spans="1:29">
      <c r="A60" s="86" t="s">
        <v>86</v>
      </c>
      <c r="B60" s="86" t="str">
        <f>_xlfn.XLOOKUP(A60,'Product List'!B:B,'Product List'!I:I)</f>
        <v>MINI/MOE SMALL ANIMAL BEDDING NESTING COTTON BALLS LAV 23LT</v>
      </c>
      <c r="C60" s="86">
        <v>0</v>
      </c>
      <c r="D60" s="86">
        <f>SUMIFS(Purchase!F:F,Purchase!C:C,A60,Purchase!I:I,"&gt;"&amp;$C$1,Purchase!V:V,"&lt;&gt;暂缓发货")</f>
        <v>3456</v>
      </c>
      <c r="E60" s="86">
        <f>SUMIFS(Purchase!F:F,Purchase!C:C,A60,Purchase!J:J,"&gt;0",Purchase!I:I,"&gt;"&amp;$C$1)</f>
        <v>3456</v>
      </c>
      <c r="F60" s="86">
        <f>SUMIFS(Sales!E:E,Sales!C:C,A60,Sales!K:K,"&gt;"&amp;$C$1)</f>
        <v>2432</v>
      </c>
      <c r="G60" s="86">
        <f>SUMIFS(Sales!E:E,Sales!C:C,A60,Sales!K:K,"&gt;"&amp;$C$1,Sales!L:L,"&gt;0")</f>
        <v>2432</v>
      </c>
      <c r="H60" s="365">
        <f ca="1">C60+E60-G60-SUMIFS(Transfer!V:V,Transfer!O:O,A60)+SUMIFS(Transfer!W:W,Transfer!O:O,A60)</f>
        <v>1024</v>
      </c>
      <c r="I60" s="86">
        <f ca="1">D60-E60+SUMIFS(Transfer!V:V,Transfer!O:O,A60)-SUMIFS(Transfer!W:W,Transfer!O:O,A60)</f>
        <v>0</v>
      </c>
      <c r="J60" s="86">
        <f>SUMIFS(Purchase!F:F,Purchase!C:C,A60,Purchase!V:V,"暂缓发货")</f>
        <v>0</v>
      </c>
      <c r="K60" s="86">
        <f t="shared" si="0"/>
        <v>0</v>
      </c>
      <c r="L60" s="86">
        <f ca="1" t="shared" si="1"/>
        <v>1024</v>
      </c>
      <c r="M60" s="365">
        <f ca="1" t="shared" si="2"/>
        <v>1024</v>
      </c>
      <c r="N60" s="86" t="str">
        <f ca="1">_xlfn.XLOOKUP(A60,'Product List'!B:B,'Product List'!F:F)</f>
        <v>C</v>
      </c>
      <c r="O60" s="366">
        <f>SUMIF('Weekly Sales'!B:B,A60,'Weekly Sales'!R:R)</f>
        <v>28.3333333333333</v>
      </c>
      <c r="P60" s="367">
        <f ca="1" t="shared" si="3"/>
        <v>36</v>
      </c>
      <c r="Q60" s="367">
        <f ca="1" t="shared" si="4"/>
        <v>36</v>
      </c>
      <c r="R60" s="86">
        <f>_xlfn.XLOOKUP(A60,'Product List'!B:B,'Product List'!P:P)</f>
        <v>10</v>
      </c>
      <c r="S60" s="86">
        <f ca="1" t="shared" si="5"/>
        <v>2</v>
      </c>
      <c r="T60" s="377">
        <f ca="1">SUMIF('Weekly Sales'!B:B,A60,'Weekly Sales'!T:T)</f>
        <v>0</v>
      </c>
      <c r="U60" s="315">
        <f>_xlfn.XLOOKUP(A60,'Product List'!B:B,'Product List'!O:O)</f>
        <v>1000</v>
      </c>
      <c r="V60" s="368">
        <f ca="1" t="shared" si="6"/>
        <v>0</v>
      </c>
      <c r="W60" s="368">
        <f ca="1">_xlfn.XLOOKUP(A60,Sum_LA!A:A,Sum_LA!V:V)</f>
        <v>0</v>
      </c>
      <c r="X60" s="368">
        <f ca="1">_xlfn.XLOOKUP(A60,Sum_HOU!A:A,Sum_HOU!V:V)</f>
        <v>416</v>
      </c>
      <c r="Y60" s="86">
        <f ca="1" t="array" ref="Y60">_xlfn.XLOOKUP(1,('Case Pack'!A:A=A60)*('Case Pack'!F:F&lt;=TODAY()),'Case Pack'!D:D,"未找到箱规")</f>
        <v>32</v>
      </c>
      <c r="Z60" s="86" t="str">
        <f>_xlfn.XLOOKUP(A60,'Product List'!B:B,'Product List'!M:M)</f>
        <v>PSP</v>
      </c>
      <c r="AA60" s="86" t="str">
        <f ca="1" t="array" ref="AA60">_xlfn.XLOOKUP(1,('Case Pack'!A:A=A60)*('Case Pack'!F:F&lt;=TODAY()),'Case Pack'!G:G,"未找到箱规")</f>
        <v>A</v>
      </c>
      <c r="AB60" s="86">
        <f ca="1" t="shared" si="7"/>
        <v>0</v>
      </c>
      <c r="AC60" s="86">
        <f ca="1">_xlfn.XLOOKUP(AA60,'Case Type'!A:A,'Case Type'!H:H)*AB60</f>
        <v>0</v>
      </c>
    </row>
    <row r="61" s="115" customFormat="1" spans="1:29">
      <c r="A61" s="86" t="s">
        <v>87</v>
      </c>
      <c r="B61" s="86" t="str">
        <f>_xlfn.XLOOKUP(A61,'Product List'!B:B,'Product List'!I:I)</f>
        <v>MINI/MOE SMALL ANIMAL BEDDING PAPER FLAKE LAV FIELD 50LT</v>
      </c>
      <c r="C61" s="86">
        <v>0</v>
      </c>
      <c r="D61" s="86">
        <f>SUMIFS(Purchase!F:F,Purchase!C:C,A61,Purchase!I:I,"&gt;"&amp;$C$1,Purchase!V:V,"&lt;&gt;暂缓发货")</f>
        <v>3360</v>
      </c>
      <c r="E61" s="86">
        <f>SUMIFS(Purchase!F:F,Purchase!C:C,A61,Purchase!J:J,"&gt;0",Purchase!I:I,"&gt;"&amp;$C$1)</f>
        <v>3360</v>
      </c>
      <c r="F61" s="86">
        <f>SUMIFS(Sales!E:E,Sales!C:C,A61,Sales!K:K,"&gt;"&amp;$C$1)</f>
        <v>2072</v>
      </c>
      <c r="G61" s="86">
        <f>SUMIFS(Sales!E:E,Sales!C:C,A61,Sales!K:K,"&gt;"&amp;$C$1,Sales!L:L,"&gt;0")</f>
        <v>2072</v>
      </c>
      <c r="H61" s="365">
        <f ca="1">C61+E61-G61-SUMIFS(Transfer!V:V,Transfer!O:O,A61)+SUMIFS(Transfer!W:W,Transfer!O:O,A61)</f>
        <v>1288</v>
      </c>
      <c r="I61" s="86">
        <f ca="1">D61-E61+SUMIFS(Transfer!V:V,Transfer!O:O,A61)-SUMIFS(Transfer!W:W,Transfer!O:O,A61)</f>
        <v>0</v>
      </c>
      <c r="J61" s="86">
        <f>SUMIFS(Purchase!F:F,Purchase!C:C,A61,Purchase!V:V,"暂缓发货")</f>
        <v>0</v>
      </c>
      <c r="K61" s="86">
        <f t="shared" si="0"/>
        <v>0</v>
      </c>
      <c r="L61" s="86">
        <f ca="1" t="shared" si="1"/>
        <v>1288</v>
      </c>
      <c r="M61" s="365">
        <f ca="1" t="shared" si="2"/>
        <v>1288</v>
      </c>
      <c r="N61" s="86" t="str">
        <f ca="1">_xlfn.XLOOKUP(A61,'Product List'!B:B,'Product List'!F:F)</f>
        <v>B</v>
      </c>
      <c r="O61" s="366">
        <f>SUMIF('Weekly Sales'!B:B,A61,'Weekly Sales'!R:R)</f>
        <v>18.5</v>
      </c>
      <c r="P61" s="367">
        <f ca="1" t="shared" si="3"/>
        <v>69</v>
      </c>
      <c r="Q61" s="367">
        <f ca="1" t="shared" si="4"/>
        <v>69</v>
      </c>
      <c r="R61" s="86">
        <f>_xlfn.XLOOKUP(A61,'Product List'!B:B,'Product List'!P:P)</f>
        <v>10</v>
      </c>
      <c r="S61" s="86">
        <f ca="1" t="shared" si="5"/>
        <v>5</v>
      </c>
      <c r="T61" s="377">
        <f ca="1">SUMIF('Weekly Sales'!B:B,A61,'Weekly Sales'!T:T)</f>
        <v>97.125</v>
      </c>
      <c r="U61" s="315">
        <f>_xlfn.XLOOKUP(A61,'Product List'!B:B,'Product List'!O:O)</f>
        <v>1000</v>
      </c>
      <c r="V61" s="368">
        <f ca="1" t="shared" si="6"/>
        <v>0</v>
      </c>
      <c r="W61" s="368">
        <f ca="1">_xlfn.XLOOKUP(A61,Sum_LA!A:A,Sum_LA!V:V)</f>
        <v>0</v>
      </c>
      <c r="X61" s="368">
        <f ca="1">_xlfn.XLOOKUP(A61,Sum_HOU!A:A,Sum_HOU!V:V)</f>
        <v>420</v>
      </c>
      <c r="Y61" s="86">
        <f ca="1" t="array" ref="Y61">_xlfn.XLOOKUP(1,('Case Pack'!A:A=A61)*('Case Pack'!F:F&lt;=TODAY()),'Case Pack'!D:D,"未找到箱规")</f>
        <v>14</v>
      </c>
      <c r="Z61" s="86" t="str">
        <f>_xlfn.XLOOKUP(A61,'Product List'!B:B,'Product List'!M:M)</f>
        <v>PSP</v>
      </c>
      <c r="AA61" s="86" t="str">
        <f ca="1" t="array" ref="AA61">_xlfn.XLOOKUP(1,('Case Pack'!A:A=A61)*('Case Pack'!F:F&lt;=TODAY()),'Case Pack'!G:G,"未找到箱规")</f>
        <v>C</v>
      </c>
      <c r="AB61" s="86">
        <f ca="1" t="shared" si="7"/>
        <v>0</v>
      </c>
      <c r="AC61" s="86">
        <f ca="1">_xlfn.XLOOKUP(AA61,'Case Type'!A:A,'Case Type'!H:H)*AB61</f>
        <v>0</v>
      </c>
    </row>
    <row r="62" s="115" customFormat="1" spans="1:29">
      <c r="A62" s="86" t="s">
        <v>88</v>
      </c>
      <c r="B62" s="86" t="str">
        <f>_xlfn.XLOOKUP(A62,'Product List'!B:B,'Product List'!I:I)</f>
        <v>MINI/MOE SMALL ANIMAL BEDDING PAPER FLK XMAS CRAN/MATCHA 1EA</v>
      </c>
      <c r="C62" s="86">
        <v>0</v>
      </c>
      <c r="D62" s="86">
        <f>SUMIFS(Purchase!F:F,Purchase!C:C,A62,Purchase!I:I,"&gt;"&amp;$C$1,Purchase!V:V,"&lt;&gt;暂缓发货")</f>
        <v>1260</v>
      </c>
      <c r="E62" s="86">
        <f>SUMIFS(Purchase!F:F,Purchase!C:C,A62,Purchase!J:J,"&gt;0",Purchase!I:I,"&gt;"&amp;$C$1)</f>
        <v>1260</v>
      </c>
      <c r="F62" s="86">
        <f>SUMIFS(Sales!E:E,Sales!C:C,A62,Sales!K:K,"&gt;"&amp;$C$1)</f>
        <v>630</v>
      </c>
      <c r="G62" s="86">
        <f>SUMIFS(Sales!E:E,Sales!C:C,A62,Sales!K:K,"&gt;"&amp;$C$1,Sales!L:L,"&gt;0")</f>
        <v>630</v>
      </c>
      <c r="H62" s="365">
        <f ca="1">C62+E62-G62-SUMIFS(Transfer!V:V,Transfer!O:O,A62)+SUMIFS(Transfer!W:W,Transfer!O:O,A62)</f>
        <v>630</v>
      </c>
      <c r="I62" s="86">
        <f ca="1">D62-E62+SUMIFS(Transfer!V:V,Transfer!O:O,A62)-SUMIFS(Transfer!W:W,Transfer!O:O,A62)</f>
        <v>0</v>
      </c>
      <c r="J62" s="86">
        <f>SUMIFS(Purchase!F:F,Purchase!C:C,A62,Purchase!V:V,"暂缓发货")</f>
        <v>0</v>
      </c>
      <c r="K62" s="86">
        <f t="shared" si="0"/>
        <v>0</v>
      </c>
      <c r="L62" s="86">
        <f ca="1" t="shared" si="1"/>
        <v>630</v>
      </c>
      <c r="M62" s="365">
        <f ca="1" t="shared" si="2"/>
        <v>630</v>
      </c>
      <c r="N62" s="86" t="str">
        <f ca="1">_xlfn.XLOOKUP(A62,'Product List'!B:B,'Product List'!F:F)</f>
        <v>C</v>
      </c>
      <c r="O62" s="366">
        <f>SUMIF('Weekly Sales'!B:B,A62,'Weekly Sales'!R:R)</f>
        <v>0.333333333333333</v>
      </c>
      <c r="P62" s="367">
        <f ca="1" t="shared" si="3"/>
        <v>1890</v>
      </c>
      <c r="Q62" s="367">
        <f ca="1" t="shared" si="4"/>
        <v>1890</v>
      </c>
      <c r="R62" s="86">
        <f>_xlfn.XLOOKUP(A62,'Product List'!B:B,'Product List'!P:P)</f>
        <v>10</v>
      </c>
      <c r="S62" s="86">
        <f ca="1" t="shared" si="5"/>
        <v>2</v>
      </c>
      <c r="T62" s="377">
        <f ca="1">SUMIF('Weekly Sales'!B:B,A62,'Weekly Sales'!T:T)</f>
        <v>0</v>
      </c>
      <c r="U62" s="315">
        <f>_xlfn.XLOOKUP(A62,'Product List'!B:B,'Product List'!O:O)</f>
        <v>1000</v>
      </c>
      <c r="V62" s="368">
        <f ca="1" t="shared" si="6"/>
        <v>0</v>
      </c>
      <c r="W62" s="368">
        <f ca="1">_xlfn.XLOOKUP(A62,Sum_LA!A:A,Sum_LA!V:V)</f>
        <v>0</v>
      </c>
      <c r="X62" s="368">
        <f ca="1">_xlfn.XLOOKUP(A62,Sum_HOU!A:A,Sum_HOU!V:V)</f>
        <v>14</v>
      </c>
      <c r="Y62" s="86">
        <f ca="1" t="array" ref="Y62">_xlfn.XLOOKUP(1,('Case Pack'!A:A=A62)*('Case Pack'!F:F&lt;=TODAY()),'Case Pack'!D:D,"未找到箱规")</f>
        <v>14</v>
      </c>
      <c r="Z62" s="86" t="str">
        <f>_xlfn.XLOOKUP(A62,'Product List'!B:B,'Product List'!M:M)</f>
        <v>PSP</v>
      </c>
      <c r="AA62" s="86" t="str">
        <f ca="1" t="array" ref="AA62">_xlfn.XLOOKUP(1,('Case Pack'!A:A=A62)*('Case Pack'!F:F&lt;=TODAY()),'Case Pack'!G:G,"未找到箱规")</f>
        <v>C</v>
      </c>
      <c r="AB62" s="86">
        <f ca="1" t="shared" si="7"/>
        <v>0</v>
      </c>
      <c r="AC62" s="86">
        <f ca="1">_xlfn.XLOOKUP(AA62,'Case Type'!A:A,'Case Type'!H:H)*AB62</f>
        <v>0</v>
      </c>
    </row>
  </sheetData>
  <sheetProtection formatCells="0" formatColumns="0" formatRows="0" insertRows="0" insertColumns="0" insertHyperlinks="0" deleteColumns="0" deleteRows="0" sort="0" autoFilter="0" pivotTables="0"/>
  <autoFilter xmlns:etc="http://www.wps.cn/officeDocument/2017/etCustomData" ref="A1:AC62" etc:filterBottomFollowUsedRange="0">
    <sortState ref="A1:AC62">
      <sortCondition ref="A1"/>
    </sortState>
    <extLst/>
  </autoFilter>
  <conditionalFormatting sqref="P1">
    <cfRule type="cellIs" dxfId="0" priority="2" operator="lessThan">
      <formula>5</formula>
    </cfRule>
    <cfRule type="cellIs" dxfId="1" priority="1" operator="between">
      <formula>5</formula>
      <formula>10</formula>
    </cfRule>
  </conditionalFormatting>
  <conditionalFormatting sqref="Q1">
    <cfRule type="cellIs" dxfId="0" priority="4" operator="lessThan">
      <formula>5</formula>
    </cfRule>
    <cfRule type="cellIs" dxfId="1" priority="3" operator="between">
      <formula>5</formula>
      <formula>10</formula>
    </cfRule>
  </conditionalFormatting>
  <conditionalFormatting sqref="A38">
    <cfRule type="expression" dxfId="2" priority="9">
      <formula>AND(SUMPRODUCT(IFERROR(1*(($A$38&amp;"x")=(A38&amp;"x")),0))&gt;1,NOT(ISBLANK(A38)))</formula>
    </cfRule>
  </conditionalFormatting>
  <conditionalFormatting sqref="L38">
    <cfRule type="cellIs" dxfId="3" priority="8" operator="lessThan">
      <formula>0</formula>
    </cfRule>
  </conditionalFormatting>
  <conditionalFormatting sqref="V38">
    <cfRule type="cellIs" dxfId="4" priority="7" operator="greaterThan">
      <formula>0</formula>
    </cfRule>
  </conditionalFormatting>
  <conditionalFormatting sqref="P2:P1048576">
    <cfRule type="cellIs" dxfId="0" priority="6" operator="lessThan">
      <formula>5</formula>
    </cfRule>
    <cfRule type="cellIs" dxfId="1" priority="5" operator="between">
      <formula>5</formula>
      <formula>10</formula>
    </cfRule>
  </conditionalFormatting>
  <conditionalFormatting sqref="A1:A37 A39:A62">
    <cfRule type="expression" dxfId="2" priority="12">
      <formula>AND(SUMPRODUCT(IFERROR(1*(($A$1:$A$37&amp;"x")=(A1&amp;"x")),0))+SUMPRODUCT(IFERROR(1*(($A$39:$A$62&amp;"x")=(A1&amp;"x")),0))&gt;1,NOT(ISBLANK(A1)))</formula>
    </cfRule>
  </conditionalFormatting>
  <conditionalFormatting sqref="L2:L37 L39:L62">
    <cfRule type="cellIs" dxfId="3" priority="11" operator="lessThan">
      <formula>0</formula>
    </cfRule>
  </conditionalFormatting>
  <conditionalFormatting sqref="V2:X37 W38:X38 V39:X62">
    <cfRule type="cellIs" dxfId="4" priority="10" operator="greaterThan">
      <formula>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Below="0" summaryRight="0"/>
  </sheetPr>
  <dimension ref="A1:AA62"/>
  <sheetViews>
    <sheetView zoomScale="60" zoomScaleNormal="60" workbookViewId="0">
      <pane xSplit="2" ySplit="1" topLeftCell="C35" activePane="bottomRight" state="frozen"/>
      <selection/>
      <selection pane="topRight"/>
      <selection pane="bottomLeft"/>
      <selection pane="bottomRight" activeCell="H2" sqref="H2"/>
    </sheetView>
  </sheetViews>
  <sheetFormatPr defaultColWidth="12.6285714285714" defaultRowHeight="12.75"/>
  <cols>
    <col min="1" max="1" width="16.1333333333333" customWidth="1"/>
    <col min="2" max="2" width="37.6761904761905" customWidth="1"/>
    <col min="3" max="3" width="9.21904761904762" customWidth="1"/>
    <col min="4" max="7" width="6.02857142857143" customWidth="1"/>
    <col min="8" max="8" width="6.87619047619048" style="356" customWidth="1"/>
    <col min="9" max="11" width="8" customWidth="1"/>
    <col min="12" max="12" width="7.77142857142857" customWidth="1"/>
    <col min="13" max="13" width="7.77142857142857" style="356" customWidth="1"/>
    <col min="14" max="14" width="3.59047619047619" customWidth="1"/>
    <col min="15" max="15" width="7.77142857142857" style="345" customWidth="1"/>
    <col min="16" max="17" width="7.77142857142857" customWidth="1"/>
    <col min="18" max="19" width="5.62857142857143" customWidth="1"/>
    <col min="20" max="20" width="5.62857142857143" style="345" customWidth="1"/>
    <col min="21" max="21" width="5.62857142857143" customWidth="1"/>
    <col min="22" max="22" width="10.2666666666667" style="357" customWidth="1"/>
    <col min="23" max="23" width="8.87619047619048" customWidth="1"/>
    <col min="24" max="24" width="12.3428571428571" customWidth="1"/>
    <col min="25" max="25" width="9" customWidth="1"/>
    <col min="26" max="26" width="8" customWidth="1"/>
    <col min="27" max="27" width="9.28571428571429" customWidth="1"/>
    <col min="28" max="16384" width="12.6285714285714" style="115"/>
  </cols>
  <sheetData>
    <row r="1" s="355" customFormat="1" ht="24" spans="1:27">
      <c r="A1" s="358" t="s">
        <v>0</v>
      </c>
      <c r="B1" s="358" t="s">
        <v>1</v>
      </c>
      <c r="C1" s="359">
        <v>46125</v>
      </c>
      <c r="D1" s="358" t="s">
        <v>2</v>
      </c>
      <c r="E1" s="358" t="s">
        <v>3</v>
      </c>
      <c r="F1" s="358" t="s">
        <v>4</v>
      </c>
      <c r="G1" s="358" t="s">
        <v>5</v>
      </c>
      <c r="H1" s="360" t="s">
        <v>6</v>
      </c>
      <c r="I1" s="358" t="s">
        <v>7</v>
      </c>
      <c r="J1" s="358" t="s">
        <v>8</v>
      </c>
      <c r="K1" s="358" t="s">
        <v>9</v>
      </c>
      <c r="L1" s="358" t="s">
        <v>10</v>
      </c>
      <c r="M1" s="360" t="s">
        <v>11</v>
      </c>
      <c r="N1" s="361" t="s">
        <v>12</v>
      </c>
      <c r="O1" s="362" t="s">
        <v>13</v>
      </c>
      <c r="P1" s="363" t="s">
        <v>89</v>
      </c>
      <c r="Q1" s="363" t="s">
        <v>90</v>
      </c>
      <c r="R1" s="358" t="s">
        <v>16</v>
      </c>
      <c r="S1" s="358" t="s">
        <v>17</v>
      </c>
      <c r="T1" s="362" t="s">
        <v>18</v>
      </c>
      <c r="U1" s="358" t="s">
        <v>19</v>
      </c>
      <c r="V1" s="364" t="s">
        <v>20</v>
      </c>
      <c r="W1" s="358" t="s">
        <v>23</v>
      </c>
      <c r="X1" s="358" t="s">
        <v>24</v>
      </c>
      <c r="Y1" s="358" t="s">
        <v>25</v>
      </c>
      <c r="Z1" s="358" t="s">
        <v>26</v>
      </c>
      <c r="AA1" s="358" t="s">
        <v>27</v>
      </c>
    </row>
    <row r="2" spans="1:27">
      <c r="A2" s="86" t="s">
        <v>28</v>
      </c>
      <c r="B2" s="86" t="str">
        <f>_xlfn.XLOOKUP(A2,'Product List'!B:B,'Product List'!I:I)</f>
        <v>MINI/MOE SILENT CRSTL RUN WHEEL LG 8.5-Green</v>
      </c>
      <c r="C2" s="86">
        <v>0</v>
      </c>
      <c r="D2" s="86">
        <f>SUMIFS(Purchase!F:F,Purchase!C:C,A2,Purchase!I:I,"&gt;"&amp;$C$1,Purchase!V:V,"&lt;&gt;暂缓发货",Purchase!U:U,"LA")</f>
        <v>744</v>
      </c>
      <c r="E2" s="86">
        <f>SUMIFS(Purchase!F:F,Purchase!C:C,A2,Purchase!J:J,"&gt;0",Purchase!I:I,"&gt;"&amp;$C$1,Purchase!U:U,"LA")</f>
        <v>744</v>
      </c>
      <c r="F2" s="86">
        <f>SUMIFS(Sales!E:E,Sales!C:C,A2,Sales!K:K,"&gt;"&amp;$C$1,Sales!I:I,"LA")</f>
        <v>376</v>
      </c>
      <c r="G2" s="86">
        <f>SUMIFS(Sales!E:E,Sales!C:C,A2,Sales!K:K,"&gt;"&amp;$C$1,Sales!L:L,"&gt;0",Sales!I:I,"LA")</f>
        <v>368</v>
      </c>
      <c r="H2" s="365">
        <f ca="1">C2+E2-G2+SUMIFS(Transfer!W:W,Transfer!O:O,A2,Transfer!Q:Q,"LA",Transfer!U:U,"&gt;"&amp;$C$1)-SUMIFS(Transfer!V:V,Transfer!O:O,A2,Transfer!P:P,"LA",Transfer!T:T,"&gt;"&amp;$C$1)</f>
        <v>376</v>
      </c>
      <c r="I2" s="86">
        <f ca="1">D2-E2+SUMIFS(Transfer!V:V,Transfer!O:O,A2,Transfer!Q:Q,"LA")-SUMIFS(Transfer!W:W,Transfer!O:O,A2,Transfer!Q:Q,"LA")</f>
        <v>0</v>
      </c>
      <c r="J2" s="86">
        <f>SUMIFS(Purchase!F:F,Purchase!C:C,A2,Purchase!V:V,"暂缓发货",Purchase!U:U,"LA")</f>
        <v>0</v>
      </c>
      <c r="K2" s="86">
        <f t="shared" ref="K2:K62" si="0">F2-G2</f>
        <v>8</v>
      </c>
      <c r="L2" s="86">
        <f ca="1" t="shared" ref="L2:L62" si="1">H2-K2</f>
        <v>368</v>
      </c>
      <c r="M2" s="365">
        <f ca="1" t="shared" ref="M2:M62" si="2">H2+I2-K2</f>
        <v>368</v>
      </c>
      <c r="N2" s="86" t="str">
        <f ca="1">_xlfn.XLOOKUP(A2,'Product List'!B:B,'Product List'!F:F)</f>
        <v>C</v>
      </c>
      <c r="O2" s="366">
        <f>SUMIFS('Weekly Sales'!R:R,'Weekly Sales'!B:B,A2,'Weekly Sales'!U:U,"LA")</f>
        <v>0</v>
      </c>
      <c r="P2" s="367">
        <f ca="1" t="shared" ref="P2:P62" si="3">IF(O2=0,999,ROUNDDOWN((L2)/O2,0))</f>
        <v>999</v>
      </c>
      <c r="Q2" s="367">
        <f ca="1" t="shared" ref="Q2:Q62" si="4">IF(O2=0,999,ROUNDDOWN((M2)/O2,0))</f>
        <v>999</v>
      </c>
      <c r="R2" s="86">
        <f>_xlfn.XLOOKUP(A2,'Product List'!B:B,'Product List'!P:P)</f>
        <v>10</v>
      </c>
      <c r="S2" s="86">
        <f ca="1" t="shared" ref="S2:S62" si="5">IF(N2="A",6,IF(N2="B",5,2))</f>
        <v>2</v>
      </c>
      <c r="T2" s="366">
        <f ca="1">SUMIFS('Weekly Sales'!T:T,'Weekly Sales'!B:B,A2,'Weekly Sales'!U:U,"LA")</f>
        <v>0</v>
      </c>
      <c r="U2" s="86">
        <f>_xlfn.XLOOKUP(A2,'Product List'!B:B,'Product List'!O:O)</f>
        <v>1000</v>
      </c>
      <c r="V2" s="368">
        <f ca="1" t="shared" ref="V2:V62" si="6">ROUNDUP(MAX(0,O2*(R2+S2+2)+T2-M2)/W2,0)*W2</f>
        <v>0</v>
      </c>
      <c r="W2" s="86" cm="1">
        <f ca="1" t="array" ref="W2">_xlfn.XLOOKUP(1,('Case Pack'!A:A=A2)*('Case Pack'!F:F&lt;=TODAY()),'Case Pack'!D:D,"未找到箱规")</f>
        <v>16</v>
      </c>
      <c r="X2" s="86" t="str">
        <f>_xlfn.XLOOKUP(A2,'Product List'!B:B,'Product List'!M:M)</f>
        <v>PSP</v>
      </c>
      <c r="Y2" s="86" t="str" cm="1">
        <f ca="1" t="array" ref="Y2">_xlfn.XLOOKUP(1,('Case Pack'!A:A=A2)*('Case Pack'!F:F&lt;=TODAY()),'Case Pack'!G:G,"未找到箱规")</f>
        <v>C</v>
      </c>
      <c r="Z2" s="86">
        <f ca="1" t="shared" ref="Z2:Z62" si="7">V2/W2</f>
        <v>0</v>
      </c>
      <c r="AA2" s="86">
        <f ca="1">_xlfn.XLOOKUP(Y2,'Case Type'!A:A,'Case Type'!H:H)*Z2</f>
        <v>0</v>
      </c>
    </row>
    <row r="3" spans="1:27">
      <c r="A3" s="86" t="s">
        <v>29</v>
      </c>
      <c r="B3" s="86" t="str">
        <f>_xlfn.XLOOKUP(A3,'Product List'!B:B,'Product List'!I:I)</f>
        <v>MINI/MOE SILENT CRSTL RUN WHEEL LG 8.5-White</v>
      </c>
      <c r="C3" s="86">
        <v>412</v>
      </c>
      <c r="D3" s="86">
        <f>SUMIFS(Purchase!F:F,Purchase!C:C,A3,Purchase!I:I,"&gt;"&amp;$C$1,Purchase!V:V,"&lt;&gt;暂缓发货",Purchase!U:U,"LA")</f>
        <v>7336</v>
      </c>
      <c r="E3" s="86">
        <f>SUMIFS(Purchase!F:F,Purchase!C:C,A3,Purchase!J:J,"&gt;0",Purchase!I:I,"&gt;"&amp;$C$1,Purchase!U:U,"LA")</f>
        <v>7336</v>
      </c>
      <c r="F3" s="86">
        <f>SUMIFS(Sales!E:E,Sales!C:C,A3,Sales!K:K,"&gt;"&amp;$C$1,Sales!I:I,"LA")</f>
        <v>4748</v>
      </c>
      <c r="G3" s="86">
        <f>SUMIFS(Sales!E:E,Sales!C:C,A3,Sales!K:K,"&gt;"&amp;$C$1,Sales!L:L,"&gt;0",Sales!I:I,"LA")</f>
        <v>3876</v>
      </c>
      <c r="H3" s="365">
        <f ca="1">C3+E3-G3+SUMIFS(Transfer!W:W,Transfer!O:O,A3,Transfer!Q:Q,"LA",Transfer!U:U,"&gt;"&amp;$C$1)-SUMIFS(Transfer!V:V,Transfer!O:O,A3,Transfer!P:P,"LA",Transfer!T:T,"&gt;"&amp;$C$1)</f>
        <v>3872</v>
      </c>
      <c r="I3" s="86">
        <f ca="1">D3-E3+SUMIFS(Transfer!V:V,Transfer!O:O,A3,Transfer!Q:Q,"LA")-SUMIFS(Transfer!W:W,Transfer!O:O,A3,Transfer!Q:Q,"LA")</f>
        <v>0</v>
      </c>
      <c r="J3" s="86">
        <f>SUMIFS(Purchase!F:F,Purchase!C:C,A3,Purchase!V:V,"暂缓发货",Purchase!U:U,"LA")</f>
        <v>1352</v>
      </c>
      <c r="K3" s="86">
        <f t="shared" si="0"/>
        <v>872</v>
      </c>
      <c r="L3" s="86">
        <f ca="1" t="shared" si="1"/>
        <v>3000</v>
      </c>
      <c r="M3" s="365">
        <f ca="1" t="shared" si="2"/>
        <v>3000</v>
      </c>
      <c r="N3" s="86" t="str">
        <f ca="1">_xlfn.XLOOKUP(A3,'Product List'!B:B,'Product List'!F:F)</f>
        <v>A</v>
      </c>
      <c r="O3" s="366">
        <f>SUMIFS('Weekly Sales'!R:R,'Weekly Sales'!B:B,A3,'Weekly Sales'!U:U,"LA")</f>
        <v>95.5</v>
      </c>
      <c r="P3" s="367">
        <f ca="1" t="shared" si="3"/>
        <v>31</v>
      </c>
      <c r="Q3" s="367">
        <f ca="1" t="shared" si="4"/>
        <v>31</v>
      </c>
      <c r="R3" s="86">
        <f>_xlfn.XLOOKUP(A3,'Product List'!B:B,'Product List'!P:P)</f>
        <v>10</v>
      </c>
      <c r="S3" s="86">
        <f ca="1" t="shared" si="5"/>
        <v>6</v>
      </c>
      <c r="T3" s="366">
        <f ca="1">SUMIFS('Weekly Sales'!T:T,'Weekly Sales'!B:B,A3,'Weekly Sales'!U:U,"LA")</f>
        <v>620.75</v>
      </c>
      <c r="U3" s="86">
        <f>_xlfn.XLOOKUP(A3,'Product List'!B:B,'Product List'!O:O)</f>
        <v>1000</v>
      </c>
      <c r="V3" s="368">
        <f ca="1" t="shared" si="6"/>
        <v>0</v>
      </c>
      <c r="W3" s="86" cm="1">
        <f ca="1" t="array" ref="W3">_xlfn.XLOOKUP(1,('Case Pack'!A:A=A3)*('Case Pack'!F:F&lt;=TODAY()),'Case Pack'!D:D,"未找到箱规")</f>
        <v>16</v>
      </c>
      <c r="X3" s="86" t="str">
        <f>_xlfn.XLOOKUP(A3,'Product List'!B:B,'Product List'!M:M)</f>
        <v>PetcoUS, PetcoMX, Pet Supermarket，PSP</v>
      </c>
      <c r="Y3" s="86" t="str" cm="1">
        <f ca="1" t="array" ref="Y3">_xlfn.XLOOKUP(1,('Case Pack'!A:A=A3)*('Case Pack'!F:F&lt;=TODAY()),'Case Pack'!G:G,"未找到箱规")</f>
        <v>C</v>
      </c>
      <c r="Z3" s="86">
        <f ca="1" t="shared" si="7"/>
        <v>0</v>
      </c>
      <c r="AA3" s="86">
        <f ca="1">_xlfn.XLOOKUP(Y3,'Case Type'!A:A,'Case Type'!H:H)*Z3</f>
        <v>0</v>
      </c>
    </row>
    <row r="4" spans="1:27">
      <c r="A4" s="86" t="s">
        <v>30</v>
      </c>
      <c r="B4" s="86" t="str">
        <f>_xlfn.XLOOKUP(A4,'Product List'!B:B,'Product List'!I:I)</f>
        <v>MINI/MOE SMALL ANIMAL BEDDING CRINKLE PAPER BROWN 1EA</v>
      </c>
      <c r="C4" s="86">
        <v>0</v>
      </c>
      <c r="D4" s="86">
        <f>SUMIFS(Purchase!F:F,Purchase!C:C,A4,Purchase!I:I,"&gt;"&amp;$C$1,Purchase!V:V,"&lt;&gt;暂缓发货",Purchase!U:U,"LA")</f>
        <v>1260</v>
      </c>
      <c r="E4" s="86">
        <f>SUMIFS(Purchase!F:F,Purchase!C:C,A4,Purchase!J:J,"&gt;0",Purchase!I:I,"&gt;"&amp;$C$1,Purchase!U:U,"LA")</f>
        <v>1260</v>
      </c>
      <c r="F4" s="86">
        <f>SUMIFS(Sales!E:E,Sales!C:C,A4,Sales!K:K,"&gt;"&amp;$C$1,Sales!I:I,"LA")</f>
        <v>630</v>
      </c>
      <c r="G4" s="86">
        <f>SUMIFS(Sales!E:E,Sales!C:C,A4,Sales!K:K,"&gt;"&amp;$C$1,Sales!L:L,"&gt;0",Sales!I:I,"LA")</f>
        <v>630</v>
      </c>
      <c r="H4" s="365">
        <f ca="1">C4+E4-G4+SUMIFS(Transfer!W:W,Transfer!O:O,A4,Transfer!Q:Q,"LA",Transfer!U:U,"&gt;"&amp;$C$1)-SUMIFS(Transfer!V:V,Transfer!O:O,A4,Transfer!P:P,"LA",Transfer!T:T,"&gt;"&amp;$C$1)</f>
        <v>630</v>
      </c>
      <c r="I4" s="86">
        <f ca="1">D4-E4+SUMIFS(Transfer!V:V,Transfer!O:O,A4,Transfer!Q:Q,"LA")-SUMIFS(Transfer!W:W,Transfer!O:O,A4,Transfer!Q:Q,"LA")</f>
        <v>0</v>
      </c>
      <c r="J4" s="86">
        <f>SUMIFS(Purchase!F:F,Purchase!C:C,A4,Purchase!V:V,"暂缓发货",Purchase!U:U,"LA")</f>
        <v>0</v>
      </c>
      <c r="K4" s="86">
        <f t="shared" si="0"/>
        <v>0</v>
      </c>
      <c r="L4" s="86">
        <f ca="1" t="shared" si="1"/>
        <v>630</v>
      </c>
      <c r="M4" s="365">
        <f ca="1" t="shared" si="2"/>
        <v>630</v>
      </c>
      <c r="N4" s="86" t="str">
        <f ca="1">_xlfn.XLOOKUP(A4,'Product List'!B:B,'Product List'!F:F)</f>
        <v>C</v>
      </c>
      <c r="O4" s="366">
        <f>SUMIFS('Weekly Sales'!R:R,'Weekly Sales'!B:B,A4,'Weekly Sales'!U:U,"LA")</f>
        <v>0</v>
      </c>
      <c r="P4" s="367">
        <f ca="1" t="shared" si="3"/>
        <v>999</v>
      </c>
      <c r="Q4" s="367">
        <f ca="1" t="shared" si="4"/>
        <v>999</v>
      </c>
      <c r="R4" s="86">
        <f>_xlfn.XLOOKUP(A4,'Product List'!B:B,'Product List'!P:P)</f>
        <v>10</v>
      </c>
      <c r="S4" s="86">
        <f ca="1" t="shared" si="5"/>
        <v>2</v>
      </c>
      <c r="T4" s="366">
        <f ca="1">SUMIFS('Weekly Sales'!T:T,'Weekly Sales'!B:B,A4,'Weekly Sales'!U:U,"LA")</f>
        <v>0</v>
      </c>
      <c r="U4" s="86">
        <f>_xlfn.XLOOKUP(A4,'Product List'!B:B,'Product List'!O:O)</f>
        <v>1000</v>
      </c>
      <c r="V4" s="368">
        <f ca="1" t="shared" si="6"/>
        <v>0</v>
      </c>
      <c r="W4" s="86" cm="1">
        <f ca="1" t="array" ref="W4">_xlfn.XLOOKUP(1,('Case Pack'!A:A=A4)*('Case Pack'!F:F&lt;=TODAY()),'Case Pack'!D:D,"未找到箱规")</f>
        <v>30</v>
      </c>
      <c r="X4" s="86" t="str">
        <f>_xlfn.XLOOKUP(A4,'Product List'!B:B,'Product List'!M:M)</f>
        <v>PSP</v>
      </c>
      <c r="Y4" s="86" t="str" cm="1">
        <f ca="1" t="array" ref="Y4">_xlfn.XLOOKUP(1,('Case Pack'!A:A=A4)*('Case Pack'!F:F&lt;=TODAY()),'Case Pack'!G:G,"未找到箱规")</f>
        <v>A</v>
      </c>
      <c r="Z4" s="86">
        <f ca="1" t="shared" si="7"/>
        <v>0</v>
      </c>
      <c r="AA4" s="86">
        <f ca="1">_xlfn.XLOOKUP(Y4,'Case Type'!A:A,'Case Type'!H:H)*Z4</f>
        <v>0</v>
      </c>
    </row>
    <row r="5" spans="1:27">
      <c r="A5" s="86" t="s">
        <v>31</v>
      </c>
      <c r="B5" s="86" t="str">
        <f>_xlfn.XLOOKUP(A5,'Product List'!B:B,'Product List'!I:I)</f>
        <v>MINI/MOE SMALL ANIMAL BEDDING PAPER PEBBLES PSTCH/CREAM 1EA</v>
      </c>
      <c r="C5" s="86">
        <v>0</v>
      </c>
      <c r="D5" s="86">
        <f>SUMIFS(Purchase!F:F,Purchase!C:C,A5,Purchase!I:I,"&gt;"&amp;$C$1,Purchase!V:V,"&lt;&gt;暂缓发货",Purchase!U:U,"LA")</f>
        <v>1260</v>
      </c>
      <c r="E5" s="86">
        <f>SUMIFS(Purchase!F:F,Purchase!C:C,A5,Purchase!J:J,"&gt;0",Purchase!I:I,"&gt;"&amp;$C$1,Purchase!U:U,"LA")</f>
        <v>1260</v>
      </c>
      <c r="F5" s="86">
        <f>SUMIFS(Sales!E:E,Sales!C:C,A5,Sales!K:K,"&gt;"&amp;$C$1,Sales!I:I,"LA")</f>
        <v>630</v>
      </c>
      <c r="G5" s="86">
        <f>SUMIFS(Sales!E:E,Sales!C:C,A5,Sales!K:K,"&gt;"&amp;$C$1,Sales!L:L,"&gt;0",Sales!I:I,"LA")</f>
        <v>630</v>
      </c>
      <c r="H5" s="365">
        <f ca="1">C5+E5-G5+SUMIFS(Transfer!W:W,Transfer!O:O,A5,Transfer!Q:Q,"LA",Transfer!U:U,"&gt;"&amp;$C$1)-SUMIFS(Transfer!V:V,Transfer!O:O,A5,Transfer!P:P,"LA",Transfer!T:T,"&gt;"&amp;$C$1)</f>
        <v>630</v>
      </c>
      <c r="I5" s="86">
        <f ca="1">D5-E5+SUMIFS(Transfer!V:V,Transfer!O:O,A5,Transfer!Q:Q,"LA")-SUMIFS(Transfer!W:W,Transfer!O:O,A5,Transfer!Q:Q,"LA")</f>
        <v>0</v>
      </c>
      <c r="J5" s="86">
        <f>SUMIFS(Purchase!F:F,Purchase!C:C,A5,Purchase!V:V,"暂缓发货",Purchase!U:U,"LA")</f>
        <v>0</v>
      </c>
      <c r="K5" s="86">
        <f t="shared" si="0"/>
        <v>0</v>
      </c>
      <c r="L5" s="86">
        <f ca="1" t="shared" si="1"/>
        <v>630</v>
      </c>
      <c r="M5" s="365">
        <f ca="1" t="shared" si="2"/>
        <v>630</v>
      </c>
      <c r="N5" s="86" t="str">
        <f ca="1">_xlfn.XLOOKUP(A5,'Product List'!B:B,'Product List'!F:F)</f>
        <v>C</v>
      </c>
      <c r="O5" s="366">
        <f>SUMIFS('Weekly Sales'!R:R,'Weekly Sales'!B:B,A5,'Weekly Sales'!U:U,"LA")</f>
        <v>0</v>
      </c>
      <c r="P5" s="367">
        <f ca="1" t="shared" si="3"/>
        <v>999</v>
      </c>
      <c r="Q5" s="367">
        <f ca="1" t="shared" si="4"/>
        <v>999</v>
      </c>
      <c r="R5" s="86">
        <f>_xlfn.XLOOKUP(A5,'Product List'!B:B,'Product List'!P:P)</f>
        <v>10</v>
      </c>
      <c r="S5" s="86">
        <f ca="1" t="shared" si="5"/>
        <v>2</v>
      </c>
      <c r="T5" s="366">
        <f ca="1">SUMIFS('Weekly Sales'!T:T,'Weekly Sales'!B:B,A5,'Weekly Sales'!U:U,"LA")</f>
        <v>0</v>
      </c>
      <c r="U5" s="86">
        <f>_xlfn.XLOOKUP(A5,'Product List'!B:B,'Product List'!O:O)</f>
        <v>1000</v>
      </c>
      <c r="V5" s="368">
        <f ca="1" t="shared" si="6"/>
        <v>0</v>
      </c>
      <c r="W5" s="86" cm="1">
        <f ca="1" t="array" ref="W5">_xlfn.XLOOKUP(1,('Case Pack'!A:A=A5)*('Case Pack'!F:F&lt;=TODAY()),'Case Pack'!D:D,"未找到箱规")</f>
        <v>30</v>
      </c>
      <c r="X5" s="86" t="str">
        <f>_xlfn.XLOOKUP(A5,'Product List'!B:B,'Product List'!M:M)</f>
        <v>PSP</v>
      </c>
      <c r="Y5" s="86" t="str" cm="1">
        <f ca="1" t="array" ref="Y5">_xlfn.XLOOKUP(1,('Case Pack'!A:A=A5)*('Case Pack'!F:F&lt;=TODAY()),'Case Pack'!G:G,"未找到箱规")</f>
        <v>A</v>
      </c>
      <c r="Z5" s="86">
        <f ca="1" t="shared" si="7"/>
        <v>0</v>
      </c>
      <c r="AA5" s="86">
        <f ca="1">_xlfn.XLOOKUP(Y5,'Case Type'!A:A,'Case Type'!H:H)*Z5</f>
        <v>0</v>
      </c>
    </row>
    <row r="6" spans="1:27">
      <c r="A6" s="86" t="s">
        <v>32</v>
      </c>
      <c r="B6" s="86" t="str">
        <f>_xlfn.XLOOKUP(A6,'Product List'!B:B,'Product List'!I:I)</f>
        <v>MINI/MOE SMALL ANIMAL BEDDING ROLLED PAPER FOREST MIX 1EA</v>
      </c>
      <c r="C6" s="86">
        <v>0</v>
      </c>
      <c r="D6" s="86">
        <f>SUMIFS(Purchase!F:F,Purchase!C:C,A6,Purchase!I:I,"&gt;"&amp;$C$1,Purchase!V:V,"&lt;&gt;暂缓发货",Purchase!U:U,"LA")</f>
        <v>3420</v>
      </c>
      <c r="E6" s="86">
        <f>SUMIFS(Purchase!F:F,Purchase!C:C,A6,Purchase!J:J,"&gt;0",Purchase!I:I,"&gt;"&amp;$C$1,Purchase!U:U,"LA")</f>
        <v>3420</v>
      </c>
      <c r="F6" s="86">
        <f>SUMIFS(Sales!E:E,Sales!C:C,A6,Sales!K:K,"&gt;"&amp;$C$1,Sales!I:I,"LA")</f>
        <v>2040</v>
      </c>
      <c r="G6" s="86">
        <f>SUMIFS(Sales!E:E,Sales!C:C,A6,Sales!K:K,"&gt;"&amp;$C$1,Sales!L:L,"&gt;0",Sales!I:I,"LA")</f>
        <v>2040</v>
      </c>
      <c r="H6" s="365">
        <f ca="1">C6+E6-G6+SUMIFS(Transfer!W:W,Transfer!O:O,A6,Transfer!Q:Q,"LA",Transfer!U:U,"&gt;"&amp;$C$1)-SUMIFS(Transfer!V:V,Transfer!O:O,A6,Transfer!P:P,"LA",Transfer!T:T,"&gt;"&amp;$C$1)</f>
        <v>1380</v>
      </c>
      <c r="I6" s="86">
        <f ca="1">D6-E6+SUMIFS(Transfer!V:V,Transfer!O:O,A6,Transfer!Q:Q,"LA")-SUMIFS(Transfer!W:W,Transfer!O:O,A6,Transfer!Q:Q,"LA")</f>
        <v>0</v>
      </c>
      <c r="J6" s="86">
        <f>SUMIFS(Purchase!F:F,Purchase!C:C,A6,Purchase!V:V,"暂缓发货",Purchase!U:U,"LA")</f>
        <v>0</v>
      </c>
      <c r="K6" s="86">
        <f t="shared" si="0"/>
        <v>0</v>
      </c>
      <c r="L6" s="86">
        <f ca="1" t="shared" si="1"/>
        <v>1380</v>
      </c>
      <c r="M6" s="365">
        <f ca="1" t="shared" si="2"/>
        <v>1380</v>
      </c>
      <c r="N6" s="86" t="str">
        <f ca="1">_xlfn.XLOOKUP(A6,'Product List'!B:B,'Product List'!F:F)</f>
        <v>B</v>
      </c>
      <c r="O6" s="366">
        <f>SUMIFS('Weekly Sales'!R:R,'Weekly Sales'!B:B,A6,'Weekly Sales'!U:U,"LA")</f>
        <v>0</v>
      </c>
      <c r="P6" s="367">
        <f ca="1" t="shared" si="3"/>
        <v>999</v>
      </c>
      <c r="Q6" s="367">
        <f ca="1" t="shared" si="4"/>
        <v>999</v>
      </c>
      <c r="R6" s="86">
        <f>_xlfn.XLOOKUP(A6,'Product List'!B:B,'Product List'!P:P)</f>
        <v>10</v>
      </c>
      <c r="S6" s="86">
        <f ca="1" t="shared" si="5"/>
        <v>5</v>
      </c>
      <c r="T6" s="366">
        <f ca="1">SUMIFS('Weekly Sales'!T:T,'Weekly Sales'!B:B,A6,'Weekly Sales'!U:U,"LA")</f>
        <v>0</v>
      </c>
      <c r="U6" s="86">
        <f>_xlfn.XLOOKUP(A6,'Product List'!B:B,'Product List'!O:O)</f>
        <v>1000</v>
      </c>
      <c r="V6" s="368">
        <f ca="1" t="shared" si="6"/>
        <v>0</v>
      </c>
      <c r="W6" s="86" cm="1">
        <f ca="1" t="array" ref="W6">_xlfn.XLOOKUP(1,('Case Pack'!A:A=A6)*('Case Pack'!F:F&lt;=TODAY()),'Case Pack'!D:D,"未找到箱规")</f>
        <v>30</v>
      </c>
      <c r="X6" s="86" t="str">
        <f>_xlfn.XLOOKUP(A6,'Product List'!B:B,'Product List'!M:M)</f>
        <v>PSP</v>
      </c>
      <c r="Y6" s="86" t="str" cm="1">
        <f ca="1" t="array" ref="Y6">_xlfn.XLOOKUP(1,('Case Pack'!A:A=A6)*('Case Pack'!F:F&lt;=TODAY()),'Case Pack'!G:G,"未找到箱规")</f>
        <v>A</v>
      </c>
      <c r="Z6" s="86">
        <f ca="1" t="shared" si="7"/>
        <v>0</v>
      </c>
      <c r="AA6" s="86">
        <f ca="1">_xlfn.XLOOKUP(Y6,'Case Type'!A:A,'Case Type'!H:H)*Z6</f>
        <v>0</v>
      </c>
    </row>
    <row r="7" spans="1:27">
      <c r="A7" s="94" t="s">
        <v>33</v>
      </c>
      <c r="B7" s="86" t="str">
        <f>_xlfn.XLOOKUP(A7,'Product List'!B:B,'Product List'!I:I)</f>
        <v>MMO-GREEN APPLE CHEW</v>
      </c>
      <c r="C7" s="86">
        <v>0</v>
      </c>
      <c r="D7" s="86">
        <f>SUMIFS(Purchase!F:F,Purchase!C:C,A7,Purchase!I:I,"&gt;"&amp;$C$1,Purchase!V:V,"&lt;&gt;暂缓发货",Purchase!U:U,"LA")</f>
        <v>9936</v>
      </c>
      <c r="E7" s="86">
        <f>SUMIFS(Purchase!F:F,Purchase!C:C,A7,Purchase!J:J,"&gt;0",Purchase!I:I,"&gt;"&amp;$C$1,Purchase!U:U,"LA")</f>
        <v>9936</v>
      </c>
      <c r="F7" s="86">
        <f>SUMIFS(Sales!E:E,Sales!C:C,A7,Sales!K:K,"&gt;"&amp;$C$1,Sales!I:I,"LA")</f>
        <v>5568</v>
      </c>
      <c r="G7" s="86">
        <f>SUMIFS(Sales!E:E,Sales!C:C,A7,Sales!K:K,"&gt;"&amp;$C$1,Sales!L:L,"&gt;0",Sales!I:I,"LA")</f>
        <v>4560</v>
      </c>
      <c r="H7" s="365">
        <f ca="1">C7+E7-G7+SUMIFS(Transfer!W:W,Transfer!O:O,A7,Transfer!Q:Q,"LA",Transfer!U:U,"&gt;"&amp;$C$1)-SUMIFS(Transfer!V:V,Transfer!O:O,A7,Transfer!P:P,"LA",Transfer!T:T,"&gt;"&amp;$C$1)</f>
        <v>5376</v>
      </c>
      <c r="I7" s="86">
        <f ca="1">D7-E7+SUMIFS(Transfer!V:V,Transfer!O:O,A7,Transfer!Q:Q,"LA")-SUMIFS(Transfer!W:W,Transfer!O:O,A7,Transfer!Q:Q,"LA")</f>
        <v>0</v>
      </c>
      <c r="J7" s="86">
        <f>SUMIFS(Purchase!F:F,Purchase!C:C,A7,Purchase!V:V,"暂缓发货",Purchase!U:U,"LA")</f>
        <v>2112</v>
      </c>
      <c r="K7" s="86">
        <f t="shared" si="0"/>
        <v>1008</v>
      </c>
      <c r="L7" s="86">
        <f ca="1" t="shared" si="1"/>
        <v>4368</v>
      </c>
      <c r="M7" s="365">
        <f ca="1" t="shared" si="2"/>
        <v>4368</v>
      </c>
      <c r="N7" s="86" t="str">
        <f ca="1">_xlfn.XLOOKUP(A7,'Product List'!B:B,'Product List'!F:F)</f>
        <v>B</v>
      </c>
      <c r="O7" s="366">
        <f>SUMIFS('Weekly Sales'!R:R,'Weekly Sales'!B:B,A7,'Weekly Sales'!U:U,"LA")</f>
        <v>144.833333333333</v>
      </c>
      <c r="P7" s="367">
        <f ca="1" t="shared" si="3"/>
        <v>30</v>
      </c>
      <c r="Q7" s="367">
        <f ca="1" t="shared" si="4"/>
        <v>30</v>
      </c>
      <c r="R7" s="86">
        <f>_xlfn.XLOOKUP(A7,'Product List'!B:B,'Product List'!P:P)</f>
        <v>10</v>
      </c>
      <c r="S7" s="86">
        <f ca="1" t="shared" si="5"/>
        <v>5</v>
      </c>
      <c r="T7" s="366">
        <f ca="1">SUMIFS('Weekly Sales'!T:T,'Weekly Sales'!B:B,A7,'Weekly Sales'!U:U,"LA")</f>
        <v>470.708333333332</v>
      </c>
      <c r="U7" s="86">
        <f>_xlfn.XLOOKUP(A7,'Product List'!B:B,'Product List'!O:O)</f>
        <v>1000</v>
      </c>
      <c r="V7" s="368">
        <f ca="1" t="shared" si="6"/>
        <v>0</v>
      </c>
      <c r="W7" s="86" cm="1">
        <f ca="1" t="array" ref="W7">_xlfn.XLOOKUP(1,('Case Pack'!A:A=A7)*('Case Pack'!F:F&lt;=TODAY()),'Case Pack'!D:D,"未找到箱规")</f>
        <v>48</v>
      </c>
      <c r="X7" s="86" t="str">
        <f>_xlfn.XLOOKUP(A7,'Product List'!B:B,'Product List'!M:M)</f>
        <v>PetcoUS，PSP</v>
      </c>
      <c r="Y7" s="86" t="str" cm="1">
        <f ca="1" t="array" ref="Y7">_xlfn.XLOOKUP(1,('Case Pack'!A:A=A7)*('Case Pack'!F:F&lt;=TODAY()),'Case Pack'!G:G,"未找到箱规")</f>
        <v>B</v>
      </c>
      <c r="Z7" s="86">
        <f ca="1" t="shared" si="7"/>
        <v>0</v>
      </c>
      <c r="AA7" s="86">
        <f ca="1">_xlfn.XLOOKUP(Y7,'Case Type'!A:A,'Case Type'!H:H)*Z7</f>
        <v>0</v>
      </c>
    </row>
    <row r="8" spans="1:27">
      <c r="A8" s="94" t="s">
        <v>34</v>
      </c>
      <c r="B8" s="86" t="str">
        <f>_xlfn.XLOOKUP(A8,'Product List'!B:B,'Product List'!I:I)</f>
        <v>MMO-CAMP LUNCH BOX CHEW</v>
      </c>
      <c r="C8" s="86">
        <v>0</v>
      </c>
      <c r="D8" s="86">
        <f>SUMIFS(Purchase!F:F,Purchase!C:C,A8,Purchase!I:I,"&gt;"&amp;$C$1,Purchase!V:V,"&lt;&gt;暂缓发货",Purchase!U:U,"LA")</f>
        <v>10800</v>
      </c>
      <c r="E8" s="86">
        <f>SUMIFS(Purchase!F:F,Purchase!C:C,A8,Purchase!J:J,"&gt;0",Purchase!I:I,"&gt;"&amp;$C$1,Purchase!U:U,"LA")</f>
        <v>10800</v>
      </c>
      <c r="F8" s="86">
        <f>SUMIFS(Sales!E:E,Sales!C:C,A8,Sales!K:K,"&gt;"&amp;$C$1,Sales!I:I,"LA")</f>
        <v>6768</v>
      </c>
      <c r="G8" s="86">
        <f>SUMIFS(Sales!E:E,Sales!C:C,A8,Sales!K:K,"&gt;"&amp;$C$1,Sales!L:L,"&gt;0",Sales!I:I,"LA")</f>
        <v>5616</v>
      </c>
      <c r="H8" s="365">
        <f ca="1">C8+E8-G8+SUMIFS(Transfer!W:W,Transfer!O:O,A8,Transfer!Q:Q,"LA",Transfer!U:U,"&gt;"&amp;$C$1)-SUMIFS(Transfer!V:V,Transfer!O:O,A8,Transfer!P:P,"LA",Transfer!T:T,"&gt;"&amp;$C$1)</f>
        <v>5184</v>
      </c>
      <c r="I8" s="86">
        <f ca="1">D8-E8+SUMIFS(Transfer!V:V,Transfer!O:O,A8,Transfer!Q:Q,"LA")-SUMIFS(Transfer!W:W,Transfer!O:O,A8,Transfer!Q:Q,"LA")</f>
        <v>0</v>
      </c>
      <c r="J8" s="86">
        <f>SUMIFS(Purchase!F:F,Purchase!C:C,A8,Purchase!V:V,"暂缓发货",Purchase!U:U,"LA")</f>
        <v>2160</v>
      </c>
      <c r="K8" s="86">
        <f t="shared" si="0"/>
        <v>1152</v>
      </c>
      <c r="L8" s="86">
        <f ca="1" t="shared" si="1"/>
        <v>4032</v>
      </c>
      <c r="M8" s="365">
        <f ca="1" t="shared" si="2"/>
        <v>4032</v>
      </c>
      <c r="N8" s="86" t="str">
        <f ca="1">_xlfn.XLOOKUP(A8,'Product List'!B:B,'Product List'!F:F)</f>
        <v>B</v>
      </c>
      <c r="O8" s="366">
        <f>SUMIFS('Weekly Sales'!R:R,'Weekly Sales'!B:B,A8,'Weekly Sales'!U:U,"LA")</f>
        <v>160.333333333333</v>
      </c>
      <c r="P8" s="367">
        <f ca="1" t="shared" si="3"/>
        <v>25</v>
      </c>
      <c r="Q8" s="367">
        <f ca="1" t="shared" si="4"/>
        <v>25</v>
      </c>
      <c r="R8" s="86">
        <f>_xlfn.XLOOKUP(A8,'Product List'!B:B,'Product List'!P:P)</f>
        <v>10</v>
      </c>
      <c r="S8" s="86">
        <f ca="1" t="shared" si="5"/>
        <v>5</v>
      </c>
      <c r="T8" s="366">
        <f ca="1">SUMIFS('Weekly Sales'!T:T,'Weekly Sales'!B:B,A8,'Weekly Sales'!U:U,"LA")</f>
        <v>521.083333333332</v>
      </c>
      <c r="U8" s="86">
        <f>_xlfn.XLOOKUP(A8,'Product List'!B:B,'Product List'!O:O)</f>
        <v>1000</v>
      </c>
      <c r="V8" s="368">
        <f ca="1" t="shared" si="6"/>
        <v>0</v>
      </c>
      <c r="W8" s="86" cm="1">
        <f ca="1" t="array" ref="W8">_xlfn.XLOOKUP(1,('Case Pack'!A:A=A8)*('Case Pack'!F:F&lt;=TODAY()),'Case Pack'!D:D,"未找到箱规")</f>
        <v>72</v>
      </c>
      <c r="X8" s="86" t="str">
        <f>_xlfn.XLOOKUP(A8,'Product List'!B:B,'Product List'!M:M)</f>
        <v>PetcoUS, Pet Supermarket，PSP</v>
      </c>
      <c r="Y8" s="86" t="str" cm="1">
        <f ca="1" t="array" ref="Y8">_xlfn.XLOOKUP(1,('Case Pack'!A:A=A8)*('Case Pack'!F:F&lt;=TODAY()),'Case Pack'!G:G,"未找到箱规")</f>
        <v>B</v>
      </c>
      <c r="Z8" s="86">
        <f ca="1" t="shared" si="7"/>
        <v>0</v>
      </c>
      <c r="AA8" s="86">
        <f ca="1">_xlfn.XLOOKUP(Y8,'Case Type'!A:A,'Case Type'!H:H)*Z8</f>
        <v>0</v>
      </c>
    </row>
    <row r="9" spans="1:27">
      <c r="A9" s="94" t="s">
        <v>35</v>
      </c>
      <c r="B9" s="86" t="str">
        <f>_xlfn.XLOOKUP(A9,'Product List'!B:B,'Product List'!I:I)</f>
        <v>MMO-SHELL PEARL HAMSTER CHEW</v>
      </c>
      <c r="C9" s="86">
        <v>0</v>
      </c>
      <c r="D9" s="86">
        <f>SUMIFS(Purchase!F:F,Purchase!C:C,A9,Purchase!I:I,"&gt;"&amp;$C$1,Purchase!V:V,"&lt;&gt;暂缓发货",Purchase!U:U,"LA")</f>
        <v>5248</v>
      </c>
      <c r="E9" s="86">
        <f>SUMIFS(Purchase!F:F,Purchase!C:C,A9,Purchase!J:J,"&gt;0",Purchase!I:I,"&gt;"&amp;$C$1,Purchase!U:U,"LA")</f>
        <v>5248</v>
      </c>
      <c r="F9" s="86">
        <f>SUMIFS(Sales!E:E,Sales!C:C,A9,Sales!K:K,"&gt;"&amp;$C$1,Sales!I:I,"LA")</f>
        <v>2112</v>
      </c>
      <c r="G9" s="86">
        <f>SUMIFS(Sales!E:E,Sales!C:C,A9,Sales!K:K,"&gt;"&amp;$C$1,Sales!L:L,"&gt;0",Sales!I:I,"LA")</f>
        <v>2112</v>
      </c>
      <c r="H9" s="365">
        <f ca="1">C9+E9-G9+SUMIFS(Transfer!W:W,Transfer!O:O,A9,Transfer!Q:Q,"LA",Transfer!U:U,"&gt;"&amp;$C$1)-SUMIFS(Transfer!V:V,Transfer!O:O,A9,Transfer!P:P,"LA",Transfer!T:T,"&gt;"&amp;$C$1)</f>
        <v>3136</v>
      </c>
      <c r="I9" s="86">
        <f ca="1">D9-E9+SUMIFS(Transfer!V:V,Transfer!O:O,A9,Transfer!Q:Q,"LA")-SUMIFS(Transfer!W:W,Transfer!O:O,A9,Transfer!Q:Q,"LA")</f>
        <v>0</v>
      </c>
      <c r="J9" s="86">
        <f>SUMIFS(Purchase!F:F,Purchase!C:C,A9,Purchase!V:V,"暂缓发货",Purchase!U:U,"LA")</f>
        <v>640</v>
      </c>
      <c r="K9" s="86">
        <f t="shared" si="0"/>
        <v>0</v>
      </c>
      <c r="L9" s="86">
        <f ca="1" t="shared" si="1"/>
        <v>3136</v>
      </c>
      <c r="M9" s="365">
        <f ca="1" t="shared" si="2"/>
        <v>3136</v>
      </c>
      <c r="N9" s="86" t="str">
        <f ca="1">_xlfn.XLOOKUP(A9,'Product List'!B:B,'Product List'!F:F)</f>
        <v>C</v>
      </c>
      <c r="O9" s="366">
        <f>SUMIFS('Weekly Sales'!R:R,'Weekly Sales'!B:B,A9,'Weekly Sales'!U:U,"LA")</f>
        <v>31.1666666666667</v>
      </c>
      <c r="P9" s="367">
        <f ca="1" t="shared" si="3"/>
        <v>100</v>
      </c>
      <c r="Q9" s="367">
        <f ca="1" t="shared" si="4"/>
        <v>100</v>
      </c>
      <c r="R9" s="86">
        <f>_xlfn.XLOOKUP(A9,'Product List'!B:B,'Product List'!P:P)</f>
        <v>10</v>
      </c>
      <c r="S9" s="86">
        <f ca="1" t="shared" si="5"/>
        <v>2</v>
      </c>
      <c r="T9" s="366">
        <f ca="1">SUMIFS('Weekly Sales'!T:T,'Weekly Sales'!B:B,A9,'Weekly Sales'!U:U,"LA")</f>
        <v>0</v>
      </c>
      <c r="U9" s="86">
        <f>_xlfn.XLOOKUP(A9,'Product List'!B:B,'Product List'!O:O)</f>
        <v>1000</v>
      </c>
      <c r="V9" s="368">
        <f ca="1" t="shared" si="6"/>
        <v>0</v>
      </c>
      <c r="W9" s="86" cm="1">
        <f ca="1" t="array" ref="W9">_xlfn.XLOOKUP(1,('Case Pack'!A:A=A9)*('Case Pack'!F:F&lt;=TODAY()),'Case Pack'!D:D,"未找到箱规")</f>
        <v>64</v>
      </c>
      <c r="X9" s="86" t="str">
        <f>_xlfn.XLOOKUP(A9,'Product List'!B:B,'Product List'!M:M)</f>
        <v>PetcoUS</v>
      </c>
      <c r="Y9" s="86" t="str" cm="1">
        <f ca="1" t="array" ref="Y9">_xlfn.XLOOKUP(1,('Case Pack'!A:A=A9)*('Case Pack'!F:F&lt;=TODAY()),'Case Pack'!G:G,"未找到箱规")</f>
        <v>B</v>
      </c>
      <c r="Z9" s="86">
        <f ca="1" t="shared" si="7"/>
        <v>0</v>
      </c>
      <c r="AA9" s="86">
        <f ca="1">_xlfn.XLOOKUP(Y9,'Case Type'!A:A,'Case Type'!H:H)*Z9</f>
        <v>0</v>
      </c>
    </row>
    <row r="10" spans="1:27">
      <c r="A10" s="94" t="s">
        <v>36</v>
      </c>
      <c r="B10" s="86" t="str">
        <f>_xlfn.XLOOKUP(A10,'Product List'!B:B,'Product List'!I:I)</f>
        <v>NONO Magnetic Water Bottle (220 ML)</v>
      </c>
      <c r="C10" s="86">
        <v>0</v>
      </c>
      <c r="D10" s="86">
        <f>SUMIFS(Purchase!F:F,Purchase!C:C,A10,Purchase!I:I,"&gt;"&amp;$C$1,Purchase!V:V,"&lt;&gt;暂缓发货",Purchase!U:U,"LA")</f>
        <v>1260</v>
      </c>
      <c r="E10" s="86">
        <f>SUMIFS(Purchase!F:F,Purchase!C:C,A10,Purchase!J:J,"&gt;0",Purchase!I:I,"&gt;"&amp;$C$1,Purchase!U:U,"LA")</f>
        <v>1260</v>
      </c>
      <c r="F10" s="86">
        <f>SUMIFS(Sales!E:E,Sales!C:C,A10,Sales!K:K,"&gt;"&amp;$C$1,Sales!I:I,"LA")</f>
        <v>660</v>
      </c>
      <c r="G10" s="86">
        <f>SUMIFS(Sales!E:E,Sales!C:C,A10,Sales!K:K,"&gt;"&amp;$C$1,Sales!L:L,"&gt;0",Sales!I:I,"LA")</f>
        <v>660</v>
      </c>
      <c r="H10" s="365">
        <f ca="1">C10+E10-G10+SUMIFS(Transfer!W:W,Transfer!O:O,A10,Transfer!Q:Q,"LA",Transfer!U:U,"&gt;"&amp;$C$1)-SUMIFS(Transfer!V:V,Transfer!O:O,A10,Transfer!P:P,"LA",Transfer!T:T,"&gt;"&amp;$C$1)</f>
        <v>600</v>
      </c>
      <c r="I10" s="86">
        <f ca="1">D10-E10+SUMIFS(Transfer!V:V,Transfer!O:O,A10,Transfer!Q:Q,"LA")-SUMIFS(Transfer!W:W,Transfer!O:O,A10,Transfer!Q:Q,"LA")</f>
        <v>0</v>
      </c>
      <c r="J10" s="86">
        <f>SUMIFS(Purchase!F:F,Purchase!C:C,A10,Purchase!V:V,"暂缓发货",Purchase!U:U,"LA")</f>
        <v>0</v>
      </c>
      <c r="K10" s="86">
        <f t="shared" si="0"/>
        <v>0</v>
      </c>
      <c r="L10" s="86">
        <f ca="1" t="shared" si="1"/>
        <v>600</v>
      </c>
      <c r="M10" s="365">
        <f ca="1" t="shared" si="2"/>
        <v>600</v>
      </c>
      <c r="N10" s="86" t="str">
        <f ca="1">_xlfn.XLOOKUP(A10,'Product List'!B:B,'Product List'!F:F)</f>
        <v>C</v>
      </c>
      <c r="O10" s="366">
        <f>SUMIFS('Weekly Sales'!R:R,'Weekly Sales'!B:B,A10,'Weekly Sales'!U:U,"LA")</f>
        <v>0</v>
      </c>
      <c r="P10" s="367">
        <f ca="1" t="shared" si="3"/>
        <v>999</v>
      </c>
      <c r="Q10" s="367">
        <f ca="1" t="shared" si="4"/>
        <v>999</v>
      </c>
      <c r="R10" s="86">
        <f>_xlfn.XLOOKUP(A10,'Product List'!B:B,'Product List'!P:P)</f>
        <v>10</v>
      </c>
      <c r="S10" s="86">
        <f ca="1" t="shared" si="5"/>
        <v>2</v>
      </c>
      <c r="T10" s="366">
        <f ca="1">SUMIFS('Weekly Sales'!T:T,'Weekly Sales'!B:B,A10,'Weekly Sales'!U:U,"LA")</f>
        <v>0</v>
      </c>
      <c r="U10" s="86">
        <f>_xlfn.XLOOKUP(A10,'Product List'!B:B,'Product List'!O:O)</f>
        <v>500</v>
      </c>
      <c r="V10" s="368">
        <f ca="1" t="shared" si="6"/>
        <v>0</v>
      </c>
      <c r="W10" s="86" cm="1">
        <f ca="1" t="array" ref="W10">_xlfn.XLOOKUP(1,('Case Pack'!A:A=A10)*('Case Pack'!F:F&lt;=TODAY()),'Case Pack'!D:D,"未找到箱规")</f>
        <v>60</v>
      </c>
      <c r="X10" s="86" t="str">
        <f>_xlfn.XLOOKUP(A10,'Product List'!B:B,'Product List'!M:M)</f>
        <v>PetcoMX,PSP</v>
      </c>
      <c r="Y10" s="86" t="str" cm="1">
        <f ca="1" t="array" ref="Y10">_xlfn.XLOOKUP(1,('Case Pack'!A:A=A10)*('Case Pack'!F:F&lt;=TODAY()),'Case Pack'!G:G,"未找到箱规")</f>
        <v>A</v>
      </c>
      <c r="Z10" s="86">
        <f ca="1" t="shared" si="7"/>
        <v>0</v>
      </c>
      <c r="AA10" s="86">
        <f ca="1">_xlfn.XLOOKUP(Y10,'Case Type'!A:A,'Case Type'!H:H)*Z10</f>
        <v>0</v>
      </c>
    </row>
    <row r="11" spans="1:27">
      <c r="A11" s="94" t="s">
        <v>37</v>
      </c>
      <c r="B11" s="86" t="str">
        <f>_xlfn.XLOOKUP(A11,'Product List'!B:B,'Product List'!I:I)</f>
        <v>MINI &amp; MOE MAG CONECT WTR BTL 4 OZ</v>
      </c>
      <c r="C11" s="86">
        <v>0</v>
      </c>
      <c r="D11" s="86">
        <f>SUMIFS(Purchase!F:F,Purchase!C:C,A11,Purchase!I:I,"&gt;"&amp;$C$1,Purchase!V:V,"&lt;&gt;暂缓发货",Purchase!U:U,"LA")</f>
        <v>15606</v>
      </c>
      <c r="E11" s="86">
        <f>SUMIFS(Purchase!F:F,Purchase!C:C,A11,Purchase!J:J,"&gt;0",Purchase!I:I,"&gt;"&amp;$C$1,Purchase!U:U,"LA")</f>
        <v>15606</v>
      </c>
      <c r="F11" s="86">
        <f>SUMIFS(Sales!E:E,Sales!C:C,A11,Sales!K:K,"&gt;"&amp;$C$1,Sales!I:I,"LA")</f>
        <v>6912</v>
      </c>
      <c r="G11" s="86">
        <f>SUMIFS(Sales!E:E,Sales!C:C,A11,Sales!K:K,"&gt;"&amp;$C$1,Sales!L:L,"&gt;0",Sales!I:I,"LA")</f>
        <v>6912</v>
      </c>
      <c r="H11" s="365">
        <f ca="1">C11+E11-G11+SUMIFS(Transfer!W:W,Transfer!O:O,A11,Transfer!Q:Q,"LA",Transfer!U:U,"&gt;"&amp;$C$1)-SUMIFS(Transfer!V:V,Transfer!O:O,A11,Transfer!P:P,"LA",Transfer!T:T,"&gt;"&amp;$C$1)</f>
        <v>8694</v>
      </c>
      <c r="I11" s="86">
        <f ca="1">D11-E11+SUMIFS(Transfer!V:V,Transfer!O:O,A11,Transfer!Q:Q,"LA")-SUMIFS(Transfer!W:W,Transfer!O:O,A11,Transfer!Q:Q,"LA")</f>
        <v>0</v>
      </c>
      <c r="J11" s="86">
        <f>SUMIFS(Purchase!F:F,Purchase!C:C,A11,Purchase!V:V,"暂缓发货",Purchase!U:U,"LA")</f>
        <v>432</v>
      </c>
      <c r="K11" s="86">
        <f t="shared" si="0"/>
        <v>0</v>
      </c>
      <c r="L11" s="86">
        <f ca="1" t="shared" si="1"/>
        <v>8694</v>
      </c>
      <c r="M11" s="365">
        <f ca="1" t="shared" si="2"/>
        <v>8694</v>
      </c>
      <c r="N11" s="86" t="str">
        <f ca="1">_xlfn.XLOOKUP(A11,'Product List'!B:B,'Product List'!F:F)</f>
        <v>A</v>
      </c>
      <c r="O11" s="366">
        <f>SUMIFS('Weekly Sales'!R:R,'Weekly Sales'!B:B,A11,'Weekly Sales'!U:U,"LA")</f>
        <v>315</v>
      </c>
      <c r="P11" s="367">
        <f ca="1" t="shared" si="3"/>
        <v>27</v>
      </c>
      <c r="Q11" s="367">
        <f ca="1" t="shared" si="4"/>
        <v>27</v>
      </c>
      <c r="R11" s="86">
        <f>_xlfn.XLOOKUP(A11,'Product List'!B:B,'Product List'!P:P)</f>
        <v>10</v>
      </c>
      <c r="S11" s="86">
        <f ca="1" t="shared" si="5"/>
        <v>6</v>
      </c>
      <c r="T11" s="366">
        <f ca="1">SUMIFS('Weekly Sales'!T:T,'Weekly Sales'!B:B,A11,'Weekly Sales'!U:U,"LA")</f>
        <v>2047.5</v>
      </c>
      <c r="U11" s="86">
        <f>_xlfn.XLOOKUP(A11,'Product List'!B:B,'Product List'!O:O)</f>
        <v>500</v>
      </c>
      <c r="V11" s="368">
        <f ca="1" t="shared" si="6"/>
        <v>0</v>
      </c>
      <c r="W11" s="86" cm="1">
        <f ca="1" t="array" ref="W11">_xlfn.XLOOKUP(1,('Case Pack'!A:A=A11)*('Case Pack'!F:F&lt;=TODAY()),'Case Pack'!D:D,"未找到箱规")</f>
        <v>54</v>
      </c>
      <c r="X11" s="86" t="str">
        <f>_xlfn.XLOOKUP(A11,'Product List'!B:B,'Product List'!M:M)</f>
        <v>Petsmart</v>
      </c>
      <c r="Y11" s="86" t="str" cm="1">
        <f ca="1" t="array" ref="Y11">_xlfn.XLOOKUP(1,('Case Pack'!A:A=A11)*('Case Pack'!F:F&lt;=TODAY()),'Case Pack'!G:G,"未找到箱规")</f>
        <v>A</v>
      </c>
      <c r="Z11" s="86">
        <f ca="1" t="shared" si="7"/>
        <v>0</v>
      </c>
      <c r="AA11" s="86">
        <f ca="1">_xlfn.XLOOKUP(Y11,'Case Type'!A:A,'Case Type'!H:H)*Z11</f>
        <v>0</v>
      </c>
    </row>
    <row r="12" spans="1:27">
      <c r="A12" s="94" t="s">
        <v>38</v>
      </c>
      <c r="B12" s="86" t="str">
        <f>_xlfn.XLOOKUP(A12,'Product List'!B:B,'Product List'!I:I)</f>
        <v>Ceramic Candy Bowl</v>
      </c>
      <c r="C12" s="86">
        <v>0</v>
      </c>
      <c r="D12" s="86">
        <f>SUMIFS(Purchase!F:F,Purchase!C:C,A12,Purchase!I:I,"&gt;"&amp;$C$1,Purchase!V:V,"&lt;&gt;暂缓发货",Purchase!U:U,"LA")</f>
        <v>1248</v>
      </c>
      <c r="E12" s="86">
        <f>SUMIFS(Purchase!F:F,Purchase!C:C,A12,Purchase!J:J,"&gt;0",Purchase!I:I,"&gt;"&amp;$C$1,Purchase!U:U,"LA")</f>
        <v>1248</v>
      </c>
      <c r="F12" s="86">
        <f>SUMIFS(Sales!E:E,Sales!C:C,A12,Sales!K:K,"&gt;"&amp;$C$1,Sales!I:I,"LA")</f>
        <v>672</v>
      </c>
      <c r="G12" s="86">
        <f>SUMIFS(Sales!E:E,Sales!C:C,A12,Sales!K:K,"&gt;"&amp;$C$1,Sales!L:L,"&gt;0",Sales!I:I,"LA")</f>
        <v>672</v>
      </c>
      <c r="H12" s="365">
        <f ca="1">C12+E12-G12+SUMIFS(Transfer!W:W,Transfer!O:O,A12,Transfer!Q:Q,"LA",Transfer!U:U,"&gt;"&amp;$C$1)-SUMIFS(Transfer!V:V,Transfer!O:O,A12,Transfer!P:P,"LA",Transfer!T:T,"&gt;"&amp;$C$1)</f>
        <v>576</v>
      </c>
      <c r="I12" s="86">
        <f ca="1">D12-E12+SUMIFS(Transfer!V:V,Transfer!O:O,A12,Transfer!Q:Q,"LA")-SUMIFS(Transfer!W:W,Transfer!O:O,A12,Transfer!Q:Q,"LA")</f>
        <v>0</v>
      </c>
      <c r="J12" s="86">
        <f>SUMIFS(Purchase!F:F,Purchase!C:C,A12,Purchase!V:V,"暂缓发货",Purchase!U:U,"LA")</f>
        <v>0</v>
      </c>
      <c r="K12" s="86">
        <f t="shared" si="0"/>
        <v>0</v>
      </c>
      <c r="L12" s="86">
        <f ca="1" t="shared" si="1"/>
        <v>576</v>
      </c>
      <c r="M12" s="365">
        <f ca="1" t="shared" si="2"/>
        <v>576</v>
      </c>
      <c r="N12" s="86" t="str">
        <f ca="1">_xlfn.XLOOKUP(A12,'Product List'!B:B,'Product List'!F:F)</f>
        <v>C</v>
      </c>
      <c r="O12" s="366">
        <f>SUMIFS('Weekly Sales'!R:R,'Weekly Sales'!B:B,A12,'Weekly Sales'!U:U,"LA")</f>
        <v>0</v>
      </c>
      <c r="P12" s="367">
        <f ca="1" t="shared" si="3"/>
        <v>999</v>
      </c>
      <c r="Q12" s="367">
        <f ca="1" t="shared" si="4"/>
        <v>999</v>
      </c>
      <c r="R12" s="86">
        <f>_xlfn.XLOOKUP(A12,'Product List'!B:B,'Product List'!P:P)</f>
        <v>15</v>
      </c>
      <c r="S12" s="86">
        <f ca="1" t="shared" si="5"/>
        <v>2</v>
      </c>
      <c r="T12" s="366">
        <f ca="1">SUMIFS('Weekly Sales'!T:T,'Weekly Sales'!B:B,A12,'Weekly Sales'!U:U,"LA")</f>
        <v>0</v>
      </c>
      <c r="U12" s="86">
        <f>_xlfn.XLOOKUP(A12,'Product List'!B:B,'Product List'!O:O)</f>
        <v>2000</v>
      </c>
      <c r="V12" s="368">
        <f ca="1" t="shared" si="6"/>
        <v>0</v>
      </c>
      <c r="W12" s="86" cm="1">
        <f ca="1" t="array" ref="W12">_xlfn.XLOOKUP(1,('Case Pack'!A:A=A12)*('Case Pack'!F:F&lt;=TODAY()),'Case Pack'!D:D,"未找到箱规")</f>
        <v>48</v>
      </c>
      <c r="X12" s="86" t="str">
        <f>_xlfn.XLOOKUP(A12,'Product List'!B:B,'Product List'!M:M)</f>
        <v>PetcoMX,PSP</v>
      </c>
      <c r="Y12" s="86" t="str" cm="1">
        <f ca="1" t="array" ref="Y12">_xlfn.XLOOKUP(1,('Case Pack'!A:A=A12)*('Case Pack'!F:F&lt;=TODAY()),'Case Pack'!G:G,"未找到箱规")</f>
        <v>B</v>
      </c>
      <c r="Z12" s="86">
        <f ca="1" t="shared" si="7"/>
        <v>0</v>
      </c>
      <c r="AA12" s="86">
        <f ca="1">_xlfn.XLOOKUP(Y12,'Case Type'!A:A,'Case Type'!H:H)*Z12</f>
        <v>0</v>
      </c>
    </row>
    <row r="13" spans="1:27">
      <c r="A13" s="86" t="s">
        <v>39</v>
      </c>
      <c r="B13" s="86" t="str">
        <f>_xlfn.XLOOKUP(A13,'Product List'!B:B,'Product List'!I:I)</f>
        <v>MINI/MOE MUSHROOM CABIN</v>
      </c>
      <c r="C13" s="86">
        <v>0</v>
      </c>
      <c r="D13" s="86">
        <f>SUMIFS(Purchase!F:F,Purchase!C:C,A13,Purchase!I:I,"&gt;"&amp;$C$1,Purchase!V:V,"&lt;&gt;暂缓发货",Purchase!U:U,"LA")</f>
        <v>2368</v>
      </c>
      <c r="E13" s="86">
        <f>SUMIFS(Purchase!F:F,Purchase!C:C,A13,Purchase!J:J,"&gt;0",Purchase!I:I,"&gt;"&amp;$C$1,Purchase!U:U,"LA")</f>
        <v>1856</v>
      </c>
      <c r="F13" s="86">
        <f>SUMIFS(Sales!E:E,Sales!C:C,A13,Sales!K:K,"&gt;"&amp;$C$1,Sales!I:I,"LA")</f>
        <v>1360</v>
      </c>
      <c r="G13" s="86">
        <f>SUMIFS(Sales!E:E,Sales!C:C,A13,Sales!K:K,"&gt;"&amp;$C$1,Sales!L:L,"&gt;0",Sales!I:I,"LA")</f>
        <v>1296</v>
      </c>
      <c r="H13" s="365">
        <f ca="1">C13+E13-G13+SUMIFS(Transfer!W:W,Transfer!O:O,A13,Transfer!Q:Q,"LA",Transfer!U:U,"&gt;"&amp;$C$1)-SUMIFS(Transfer!V:V,Transfer!O:O,A13,Transfer!P:P,"LA",Transfer!T:T,"&gt;"&amp;$C$1)</f>
        <v>560</v>
      </c>
      <c r="I13" s="86">
        <f ca="1">D13-E13+SUMIFS(Transfer!V:V,Transfer!O:O,A13,Transfer!Q:Q,"LA")-SUMIFS(Transfer!W:W,Transfer!O:O,A13,Transfer!Q:Q,"LA")</f>
        <v>512</v>
      </c>
      <c r="J13" s="86">
        <f>SUMIFS(Purchase!F:F,Purchase!C:C,A13,Purchase!V:V,"暂缓发货",Purchase!U:U,"LA")</f>
        <v>0</v>
      </c>
      <c r="K13" s="86">
        <f t="shared" si="0"/>
        <v>64</v>
      </c>
      <c r="L13" s="86">
        <f ca="1" t="shared" si="1"/>
        <v>496</v>
      </c>
      <c r="M13" s="365">
        <f ca="1" t="shared" si="2"/>
        <v>1008</v>
      </c>
      <c r="N13" s="86" t="str">
        <f ca="1">_xlfn.XLOOKUP(A13,'Product List'!B:B,'Product List'!F:F)</f>
        <v>B</v>
      </c>
      <c r="O13" s="366">
        <f>SUMIFS('Weekly Sales'!R:R,'Weekly Sales'!B:B,A13,'Weekly Sales'!U:U,"LA")</f>
        <v>0</v>
      </c>
      <c r="P13" s="367">
        <f ca="1" t="shared" si="3"/>
        <v>999</v>
      </c>
      <c r="Q13" s="367">
        <f ca="1" t="shared" si="4"/>
        <v>999</v>
      </c>
      <c r="R13" s="86">
        <f>_xlfn.XLOOKUP(A13,'Product List'!B:B,'Product List'!P:P)</f>
        <v>15</v>
      </c>
      <c r="S13" s="86">
        <f ca="1" t="shared" si="5"/>
        <v>5</v>
      </c>
      <c r="T13" s="366">
        <f ca="1">SUMIFS('Weekly Sales'!T:T,'Weekly Sales'!B:B,A13,'Weekly Sales'!U:U,"LA")</f>
        <v>0</v>
      </c>
      <c r="U13" s="86">
        <f>_xlfn.XLOOKUP(A13,'Product List'!B:B,'Product List'!O:O)</f>
        <v>500</v>
      </c>
      <c r="V13" s="368">
        <f ca="1" t="shared" si="6"/>
        <v>0</v>
      </c>
      <c r="W13" s="86" cm="1">
        <f ca="1" t="array" ref="W13">_xlfn.XLOOKUP(1,('Case Pack'!A:A=A13)*('Case Pack'!F:F&lt;=TODAY()),'Case Pack'!D:D,"未找到箱规")</f>
        <v>16</v>
      </c>
      <c r="X13" s="86" t="str">
        <f>_xlfn.XLOOKUP(A13,'Product List'!B:B,'Product List'!M:M)</f>
        <v>PSP</v>
      </c>
      <c r="Y13" s="86" t="str" cm="1">
        <f ca="1" t="array" ref="Y13">_xlfn.XLOOKUP(1,('Case Pack'!A:A=A13)*('Case Pack'!F:F&lt;=TODAY()),'Case Pack'!G:G,"未找到箱规")</f>
        <v>C</v>
      </c>
      <c r="Z13" s="86">
        <f ca="1" t="shared" si="7"/>
        <v>0</v>
      </c>
      <c r="AA13" s="86">
        <f ca="1">_xlfn.XLOOKUP(Y13,'Case Type'!A:A,'Case Type'!H:H)*Z13</f>
        <v>0</v>
      </c>
    </row>
    <row r="14" spans="1:27">
      <c r="A14" s="96" t="s">
        <v>40</v>
      </c>
      <c r="B14" s="86" t="str">
        <f>_xlfn.XLOOKUP(A14,'Product List'!B:B,'Product List'!I:I)</f>
        <v>MINI/MOE MUSHROOM LADDER 1EA</v>
      </c>
      <c r="C14" s="86">
        <v>0</v>
      </c>
      <c r="D14" s="86">
        <f>SUMIFS(Purchase!F:F,Purchase!C:C,A14,Purchase!I:I,"&gt;"&amp;$C$1,Purchase!V:V,"&lt;&gt;暂缓发货",Purchase!U:U,"LA")</f>
        <v>1260</v>
      </c>
      <c r="E14" s="86">
        <f>SUMIFS(Purchase!F:F,Purchase!C:C,A14,Purchase!J:J,"&gt;0",Purchase!I:I,"&gt;"&amp;$C$1,Purchase!U:U,"LA")</f>
        <v>1260</v>
      </c>
      <c r="F14" s="86">
        <f>SUMIFS(Sales!E:E,Sales!C:C,A14,Sales!K:K,"&gt;"&amp;$C$1,Sales!I:I,"LA")</f>
        <v>630</v>
      </c>
      <c r="G14" s="86">
        <f>SUMIFS(Sales!E:E,Sales!C:C,A14,Sales!K:K,"&gt;"&amp;$C$1,Sales!L:L,"&gt;0",Sales!I:I,"LA")</f>
        <v>630</v>
      </c>
      <c r="H14" s="365">
        <f ca="1">C14+E14-G14+SUMIFS(Transfer!W:W,Transfer!O:O,A14,Transfer!Q:Q,"LA",Transfer!U:U,"&gt;"&amp;$C$1)-SUMIFS(Transfer!V:V,Transfer!O:O,A14,Transfer!P:P,"LA",Transfer!T:T,"&gt;"&amp;$C$1)</f>
        <v>630</v>
      </c>
      <c r="I14" s="86">
        <f ca="1">D14-E14+SUMIFS(Transfer!V:V,Transfer!O:O,A14,Transfer!Q:Q,"LA")-SUMIFS(Transfer!W:W,Transfer!O:O,A14,Transfer!Q:Q,"LA")</f>
        <v>0</v>
      </c>
      <c r="J14" s="86">
        <f>SUMIFS(Purchase!F:F,Purchase!C:C,A14,Purchase!V:V,"暂缓发货",Purchase!U:U,"LA")</f>
        <v>0</v>
      </c>
      <c r="K14" s="86">
        <f t="shared" si="0"/>
        <v>0</v>
      </c>
      <c r="L14" s="86">
        <f ca="1" t="shared" si="1"/>
        <v>630</v>
      </c>
      <c r="M14" s="365">
        <f ca="1" t="shared" si="2"/>
        <v>630</v>
      </c>
      <c r="N14" s="86" t="str">
        <f ca="1">_xlfn.XLOOKUP(A14,'Product List'!B:B,'Product List'!F:F)</f>
        <v>C</v>
      </c>
      <c r="O14" s="366">
        <f>SUMIFS('Weekly Sales'!R:R,'Weekly Sales'!B:B,A14,'Weekly Sales'!U:U,"LA")</f>
        <v>0</v>
      </c>
      <c r="P14" s="367">
        <f ca="1" t="shared" si="3"/>
        <v>999</v>
      </c>
      <c r="Q14" s="367">
        <f ca="1" t="shared" si="4"/>
        <v>999</v>
      </c>
      <c r="R14" s="86">
        <f>_xlfn.XLOOKUP(A14,'Product List'!B:B,'Product List'!P:P)</f>
        <v>15</v>
      </c>
      <c r="S14" s="86">
        <f ca="1" t="shared" si="5"/>
        <v>2</v>
      </c>
      <c r="T14" s="366">
        <f ca="1">SUMIFS('Weekly Sales'!T:T,'Weekly Sales'!B:B,A14,'Weekly Sales'!U:U,"LA")</f>
        <v>0</v>
      </c>
      <c r="U14" s="86">
        <f>_xlfn.XLOOKUP(A14,'Product List'!B:B,'Product List'!O:O)</f>
        <v>500</v>
      </c>
      <c r="V14" s="368">
        <f ca="1" t="shared" si="6"/>
        <v>0</v>
      </c>
      <c r="W14" s="86" cm="1">
        <f ca="1" t="array" ref="W14">_xlfn.XLOOKUP(1,('Case Pack'!A:A=A14)*('Case Pack'!F:F&lt;=TODAY()),'Case Pack'!D:D,"未找到箱规")</f>
        <v>30</v>
      </c>
      <c r="X14" s="86" t="str">
        <f>_xlfn.XLOOKUP(A14,'Product List'!B:B,'Product List'!M:M)</f>
        <v>PSP</v>
      </c>
      <c r="Y14" s="86" t="str" cm="1">
        <f ca="1" t="array" ref="Y14">_xlfn.XLOOKUP(1,('Case Pack'!A:A=A14)*('Case Pack'!F:F&lt;=TODAY()),'Case Pack'!G:G,"未找到箱规")</f>
        <v>C</v>
      </c>
      <c r="Z14" s="86">
        <f ca="1" t="shared" si="7"/>
        <v>0</v>
      </c>
      <c r="AA14" s="86">
        <f ca="1">_xlfn.XLOOKUP(Y14,'Case Type'!A:A,'Case Type'!H:H)*Z14</f>
        <v>0</v>
      </c>
    </row>
    <row r="15" spans="1:27">
      <c r="A15" s="86" t="s">
        <v>41</v>
      </c>
      <c r="B15" s="86" t="str">
        <f>_xlfn.XLOOKUP(A15,'Product List'!B:B,'Product List'!I:I)</f>
        <v>MINI/MOE TREEHOUSE CABIN</v>
      </c>
      <c r="C15" s="86">
        <v>0</v>
      </c>
      <c r="D15" s="86">
        <f>SUMIFS(Purchase!F:F,Purchase!C:C,A15,Purchase!I:I,"&gt;"&amp;$C$1,Purchase!V:V,"&lt;&gt;暂缓发货",Purchase!U:U,"LA")</f>
        <v>2370</v>
      </c>
      <c r="E15" s="86">
        <f>SUMIFS(Purchase!F:F,Purchase!C:C,A15,Purchase!J:J,"&gt;0",Purchase!I:I,"&gt;"&amp;$C$1,Purchase!U:U,"LA")</f>
        <v>2370</v>
      </c>
      <c r="F15" s="86">
        <f>SUMIFS(Sales!E:E,Sales!C:C,A15,Sales!K:K,"&gt;"&amp;$C$1,Sales!I:I,"LA")</f>
        <v>1440</v>
      </c>
      <c r="G15" s="86">
        <f>SUMIFS(Sales!E:E,Sales!C:C,A15,Sales!K:K,"&gt;"&amp;$C$1,Sales!L:L,"&gt;0",Sales!I:I,"LA")</f>
        <v>1410</v>
      </c>
      <c r="H15" s="365">
        <f ca="1">C15+E15-G15+SUMIFS(Transfer!W:W,Transfer!O:O,A15,Transfer!Q:Q,"LA",Transfer!U:U,"&gt;"&amp;$C$1)-SUMIFS(Transfer!V:V,Transfer!O:O,A15,Transfer!P:P,"LA",Transfer!T:T,"&gt;"&amp;$C$1)</f>
        <v>960</v>
      </c>
      <c r="I15" s="86">
        <f ca="1">D15-E15+SUMIFS(Transfer!V:V,Transfer!O:O,A15,Transfer!Q:Q,"LA")-SUMIFS(Transfer!W:W,Transfer!O:O,A15,Transfer!Q:Q,"LA")</f>
        <v>0</v>
      </c>
      <c r="J15" s="86">
        <f>SUMIFS(Purchase!F:F,Purchase!C:C,A15,Purchase!V:V,"暂缓发货",Purchase!U:U,"LA")</f>
        <v>0</v>
      </c>
      <c r="K15" s="86">
        <f t="shared" si="0"/>
        <v>30</v>
      </c>
      <c r="L15" s="86">
        <f ca="1" t="shared" si="1"/>
        <v>930</v>
      </c>
      <c r="M15" s="365">
        <f ca="1" t="shared" si="2"/>
        <v>930</v>
      </c>
      <c r="N15" s="86" t="str">
        <f ca="1">_xlfn.XLOOKUP(A15,'Product List'!B:B,'Product List'!F:F)</f>
        <v>C</v>
      </c>
      <c r="O15" s="366">
        <f>SUMIFS('Weekly Sales'!R:R,'Weekly Sales'!B:B,A15,'Weekly Sales'!U:U,"LA")</f>
        <v>0</v>
      </c>
      <c r="P15" s="367">
        <f ca="1" t="shared" si="3"/>
        <v>999</v>
      </c>
      <c r="Q15" s="367">
        <f ca="1" t="shared" si="4"/>
        <v>999</v>
      </c>
      <c r="R15" s="86">
        <f>_xlfn.XLOOKUP(A15,'Product List'!B:B,'Product List'!P:P)</f>
        <v>15</v>
      </c>
      <c r="S15" s="86">
        <f ca="1" t="shared" si="5"/>
        <v>2</v>
      </c>
      <c r="T15" s="366">
        <f ca="1">SUMIFS('Weekly Sales'!T:T,'Weekly Sales'!B:B,A15,'Weekly Sales'!U:U,"LA")</f>
        <v>0</v>
      </c>
      <c r="U15" s="86">
        <f>_xlfn.XLOOKUP(A15,'Product List'!B:B,'Product List'!O:O)</f>
        <v>500</v>
      </c>
      <c r="V15" s="368">
        <f ca="1" t="shared" si="6"/>
        <v>0</v>
      </c>
      <c r="W15" s="86" cm="1">
        <f ca="1" t="array" ref="W15">_xlfn.XLOOKUP(1,('Case Pack'!A:A=A15)*('Case Pack'!F:F&lt;=TODAY()),'Case Pack'!D:D,"未找到箱规")</f>
        <v>30</v>
      </c>
      <c r="X15" s="86" t="str">
        <f>_xlfn.XLOOKUP(A15,'Product List'!B:B,'Product List'!M:M)</f>
        <v>PSP</v>
      </c>
      <c r="Y15" s="86" t="str" cm="1">
        <f ca="1" t="array" ref="Y15">_xlfn.XLOOKUP(1,('Case Pack'!A:A=A15)*('Case Pack'!F:F&lt;=TODAY()),'Case Pack'!G:G,"未找到箱规")</f>
        <v>C</v>
      </c>
      <c r="Z15" s="86">
        <f ca="1" t="shared" si="7"/>
        <v>0</v>
      </c>
      <c r="AA15" s="86">
        <f ca="1">_xlfn.XLOOKUP(Y15,'Case Type'!A:A,'Case Type'!H:H)*Z15</f>
        <v>0</v>
      </c>
    </row>
    <row r="16" spans="1:27">
      <c r="A16" s="96" t="s">
        <v>42</v>
      </c>
      <c r="B16" s="86" t="str">
        <f>_xlfn.XLOOKUP(A16,'Product List'!B:B,'Product List'!I:I)</f>
        <v>MINI/MOE FISHBONE BRIDGE 1EA</v>
      </c>
      <c r="C16" s="86">
        <v>0</v>
      </c>
      <c r="D16" s="86">
        <f>SUMIFS(Purchase!F:F,Purchase!C:C,A16,Purchase!I:I,"&gt;"&amp;$C$1,Purchase!V:V,"&lt;&gt;暂缓发货",Purchase!U:U,"LA")</f>
        <v>1260</v>
      </c>
      <c r="E16" s="86">
        <f>SUMIFS(Purchase!F:F,Purchase!C:C,A16,Purchase!J:J,"&gt;0",Purchase!I:I,"&gt;"&amp;$C$1,Purchase!U:U,"LA")</f>
        <v>1260</v>
      </c>
      <c r="F16" s="86">
        <f>SUMIFS(Sales!E:E,Sales!C:C,A16,Sales!K:K,"&gt;"&amp;$C$1,Sales!I:I,"LA")</f>
        <v>810</v>
      </c>
      <c r="G16" s="86">
        <f>SUMIFS(Sales!E:E,Sales!C:C,A16,Sales!K:K,"&gt;"&amp;$C$1,Sales!L:L,"&gt;0",Sales!I:I,"LA")</f>
        <v>810</v>
      </c>
      <c r="H16" s="365">
        <f ca="1">C16+E16-G16+SUMIFS(Transfer!W:W,Transfer!O:O,A16,Transfer!Q:Q,"LA",Transfer!U:U,"&gt;"&amp;$C$1)-SUMIFS(Transfer!V:V,Transfer!O:O,A16,Transfer!P:P,"LA",Transfer!T:T,"&gt;"&amp;$C$1)</f>
        <v>450</v>
      </c>
      <c r="I16" s="86">
        <f ca="1">D16-E16+SUMIFS(Transfer!V:V,Transfer!O:O,A16,Transfer!Q:Q,"LA")-SUMIFS(Transfer!W:W,Transfer!O:O,A16,Transfer!Q:Q,"LA")</f>
        <v>0</v>
      </c>
      <c r="J16" s="86">
        <f>SUMIFS(Purchase!F:F,Purchase!C:C,A16,Purchase!V:V,"暂缓发货",Purchase!U:U,"LA")</f>
        <v>0</v>
      </c>
      <c r="K16" s="86">
        <f t="shared" si="0"/>
        <v>0</v>
      </c>
      <c r="L16" s="86">
        <f ca="1" t="shared" si="1"/>
        <v>450</v>
      </c>
      <c r="M16" s="365">
        <f ca="1" t="shared" si="2"/>
        <v>450</v>
      </c>
      <c r="N16" s="86" t="str">
        <f ca="1">_xlfn.XLOOKUP(A16,'Product List'!B:B,'Product List'!F:F)</f>
        <v>C</v>
      </c>
      <c r="O16" s="366">
        <f>SUMIFS('Weekly Sales'!R:R,'Weekly Sales'!B:B,A16,'Weekly Sales'!U:U,"LA")</f>
        <v>0</v>
      </c>
      <c r="P16" s="367">
        <f ca="1" t="shared" si="3"/>
        <v>999</v>
      </c>
      <c r="Q16" s="367">
        <f ca="1" t="shared" si="4"/>
        <v>999</v>
      </c>
      <c r="R16" s="86">
        <f>_xlfn.XLOOKUP(A16,'Product List'!B:B,'Product List'!P:P)</f>
        <v>15</v>
      </c>
      <c r="S16" s="86">
        <f ca="1" t="shared" si="5"/>
        <v>2</v>
      </c>
      <c r="T16" s="366">
        <f ca="1">SUMIFS('Weekly Sales'!T:T,'Weekly Sales'!B:B,A16,'Weekly Sales'!U:U,"LA")</f>
        <v>0</v>
      </c>
      <c r="U16" s="86">
        <f>_xlfn.XLOOKUP(A16,'Product List'!B:B,'Product List'!O:O)</f>
        <v>500</v>
      </c>
      <c r="V16" s="368">
        <f ca="1" t="shared" si="6"/>
        <v>0</v>
      </c>
      <c r="W16" s="86" cm="1">
        <f ca="1" t="array" ref="W16">_xlfn.XLOOKUP(1,('Case Pack'!A:A=A16)*('Case Pack'!F:F&lt;=TODAY()),'Case Pack'!D:D,"未找到箱规")</f>
        <v>30</v>
      </c>
      <c r="X16" s="86" t="str">
        <f>_xlfn.XLOOKUP(A16,'Product List'!B:B,'Product List'!M:M)</f>
        <v>PSP</v>
      </c>
      <c r="Y16" s="86" t="str" cm="1">
        <f ca="1" t="array" ref="Y16">_xlfn.XLOOKUP(1,('Case Pack'!A:A=A16)*('Case Pack'!F:F&lt;=TODAY()),'Case Pack'!G:G,"未找到箱规")</f>
        <v>B</v>
      </c>
      <c r="Z16" s="86">
        <f ca="1" t="shared" si="7"/>
        <v>0</v>
      </c>
      <c r="AA16" s="86">
        <f ca="1">_xlfn.XLOOKUP(Y16,'Case Type'!A:A,'Case Type'!H:H)*Z16</f>
        <v>0</v>
      </c>
    </row>
    <row r="17" spans="1:27">
      <c r="A17" s="86" t="s">
        <v>43</v>
      </c>
      <c r="B17" s="86" t="str">
        <f>_xlfn.XLOOKUP(A17,'Product List'!B:B,'Product List'!I:I)</f>
        <v>MINI/MOE GARDEN TEAPOT</v>
      </c>
      <c r="C17" s="86">
        <v>0</v>
      </c>
      <c r="D17" s="86">
        <f>SUMIFS(Purchase!F:F,Purchase!C:C,A17,Purchase!I:I,"&gt;"&amp;$C$1,Purchase!V:V,"&lt;&gt;暂缓发货",Purchase!U:U,"LA")</f>
        <v>1950</v>
      </c>
      <c r="E17" s="86">
        <f>SUMIFS(Purchase!F:F,Purchase!C:C,A17,Purchase!J:J,"&gt;0",Purchase!I:I,"&gt;"&amp;$C$1,Purchase!U:U,"LA")</f>
        <v>1440</v>
      </c>
      <c r="F17" s="86">
        <f>SUMIFS(Sales!E:E,Sales!C:C,A17,Sales!K:K,"&gt;"&amp;$C$1,Sales!I:I,"LA")</f>
        <v>1440</v>
      </c>
      <c r="G17" s="86">
        <f>SUMIFS(Sales!E:E,Sales!C:C,A17,Sales!K:K,"&gt;"&amp;$C$1,Sales!L:L,"&gt;0",Sales!I:I,"LA")</f>
        <v>1440</v>
      </c>
      <c r="H17" s="365">
        <f ca="1">C17+E17-G17+SUMIFS(Transfer!W:W,Transfer!O:O,A17,Transfer!Q:Q,"LA",Transfer!U:U,"&gt;"&amp;$C$1)-SUMIFS(Transfer!V:V,Transfer!O:O,A17,Transfer!P:P,"LA",Transfer!T:T,"&gt;"&amp;$C$1)</f>
        <v>0</v>
      </c>
      <c r="I17" s="86">
        <f ca="1">D17-E17+SUMIFS(Transfer!V:V,Transfer!O:O,A17,Transfer!Q:Q,"LA")-SUMIFS(Transfer!W:W,Transfer!O:O,A17,Transfer!Q:Q,"LA")</f>
        <v>510</v>
      </c>
      <c r="J17" s="86">
        <f>SUMIFS(Purchase!F:F,Purchase!C:C,A17,Purchase!V:V,"暂缓发货",Purchase!U:U,"LA")</f>
        <v>0</v>
      </c>
      <c r="K17" s="86">
        <f t="shared" si="0"/>
        <v>0</v>
      </c>
      <c r="L17" s="86">
        <f ca="1" t="shared" si="1"/>
        <v>0</v>
      </c>
      <c r="M17" s="365">
        <f ca="1" t="shared" si="2"/>
        <v>510</v>
      </c>
      <c r="N17" s="86" t="str">
        <f ca="1">_xlfn.XLOOKUP(A17,'Product List'!B:B,'Product List'!F:F)</f>
        <v>C</v>
      </c>
      <c r="O17" s="366">
        <f>SUMIFS('Weekly Sales'!R:R,'Weekly Sales'!B:B,A17,'Weekly Sales'!U:U,"LA")</f>
        <v>0</v>
      </c>
      <c r="P17" s="367">
        <f ca="1" t="shared" si="3"/>
        <v>999</v>
      </c>
      <c r="Q17" s="367">
        <f ca="1" t="shared" si="4"/>
        <v>999</v>
      </c>
      <c r="R17" s="86">
        <f>_xlfn.XLOOKUP(A17,'Product List'!B:B,'Product List'!P:P)</f>
        <v>15</v>
      </c>
      <c r="S17" s="86">
        <f ca="1" t="shared" si="5"/>
        <v>2</v>
      </c>
      <c r="T17" s="366">
        <f ca="1">SUMIFS('Weekly Sales'!T:T,'Weekly Sales'!B:B,A17,'Weekly Sales'!U:U,"LA")</f>
        <v>0</v>
      </c>
      <c r="U17" s="86">
        <f>_xlfn.XLOOKUP(A17,'Product List'!B:B,'Product List'!O:O)</f>
        <v>500</v>
      </c>
      <c r="V17" s="368">
        <f ca="1" t="shared" si="6"/>
        <v>0</v>
      </c>
      <c r="W17" s="86" cm="1">
        <f ca="1" t="array" ref="W17">_xlfn.XLOOKUP(1,('Case Pack'!A:A=A17)*('Case Pack'!F:F&lt;=TODAY()),'Case Pack'!D:D,"未找到箱规")</f>
        <v>30</v>
      </c>
      <c r="X17" s="86" t="str">
        <f>_xlfn.XLOOKUP(A17,'Product List'!B:B,'Product List'!M:M)</f>
        <v>PSP</v>
      </c>
      <c r="Y17" s="86" t="str" cm="1">
        <f ca="1" t="array" ref="Y17">_xlfn.XLOOKUP(1,('Case Pack'!A:A=A17)*('Case Pack'!F:F&lt;=TODAY()),'Case Pack'!G:G,"未找到箱规")</f>
        <v>C</v>
      </c>
      <c r="Z17" s="86">
        <f ca="1" t="shared" si="7"/>
        <v>0</v>
      </c>
      <c r="AA17" s="86">
        <f ca="1">_xlfn.XLOOKUP(Y17,'Case Type'!A:A,'Case Type'!H:H)*Z17</f>
        <v>0</v>
      </c>
    </row>
    <row r="18" spans="1:27">
      <c r="A18" s="94" t="s">
        <v>44</v>
      </c>
      <c r="B18" s="86" t="str">
        <f>_xlfn.XLOOKUP(A18,'Product List'!B:B,'Product List'!I:I)</f>
        <v>MINI &amp; MOE WOODEN BRIDGE</v>
      </c>
      <c r="C18" s="86">
        <v>0</v>
      </c>
      <c r="D18" s="86">
        <f>SUMIFS(Purchase!F:F,Purchase!C:C,A18,Purchase!I:I,"&gt;"&amp;$C$1,Purchase!V:V,"&lt;&gt;暂缓发货",Purchase!U:U,"LA")</f>
        <v>13872</v>
      </c>
      <c r="E18" s="86">
        <f>SUMIFS(Purchase!F:F,Purchase!C:C,A18,Purchase!J:J,"&gt;0",Purchase!I:I,"&gt;"&amp;$C$1,Purchase!U:U,"LA")</f>
        <v>8256</v>
      </c>
      <c r="F18" s="86">
        <f>SUMIFS(Sales!E:E,Sales!C:C,A18,Sales!K:K,"&gt;"&amp;$C$1,Sales!I:I,"LA")</f>
        <v>6864</v>
      </c>
      <c r="G18" s="86">
        <f>SUMIFS(Sales!E:E,Sales!C:C,A18,Sales!K:K,"&gt;"&amp;$C$1,Sales!L:L,"&gt;0",Sales!I:I,"LA")</f>
        <v>6864</v>
      </c>
      <c r="H18" s="365">
        <f ca="1">C18+E18-G18+SUMIFS(Transfer!W:W,Transfer!O:O,A18,Transfer!Q:Q,"LA",Transfer!U:U,"&gt;"&amp;$C$1)-SUMIFS(Transfer!V:V,Transfer!O:O,A18,Transfer!P:P,"LA",Transfer!T:T,"&gt;"&amp;$C$1)</f>
        <v>1392</v>
      </c>
      <c r="I18" s="86">
        <f ca="1">D18-E18+SUMIFS(Transfer!V:V,Transfer!O:O,A18,Transfer!Q:Q,"LA")-SUMIFS(Transfer!W:W,Transfer!O:O,A18,Transfer!Q:Q,"LA")</f>
        <v>5616</v>
      </c>
      <c r="J18" s="86">
        <f>SUMIFS(Purchase!F:F,Purchase!C:C,A18,Purchase!V:V,"暂缓发货",Purchase!U:U,"LA")</f>
        <v>0</v>
      </c>
      <c r="K18" s="86">
        <f t="shared" si="0"/>
        <v>0</v>
      </c>
      <c r="L18" s="86">
        <f ca="1" t="shared" si="1"/>
        <v>1392</v>
      </c>
      <c r="M18" s="365">
        <f ca="1" t="shared" si="2"/>
        <v>7008</v>
      </c>
      <c r="N18" s="86" t="str">
        <f ca="1">_xlfn.XLOOKUP(A18,'Product List'!B:B,'Product List'!F:F)</f>
        <v>A</v>
      </c>
      <c r="O18" s="366">
        <f>SUMIFS('Weekly Sales'!R:R,'Weekly Sales'!B:B,A18,'Weekly Sales'!U:U,"LA")</f>
        <v>193</v>
      </c>
      <c r="P18" s="367">
        <f ca="1" t="shared" si="3"/>
        <v>7</v>
      </c>
      <c r="Q18" s="367">
        <f ca="1" t="shared" si="4"/>
        <v>36</v>
      </c>
      <c r="R18" s="86">
        <f>_xlfn.XLOOKUP(A18,'Product List'!B:B,'Product List'!P:P)</f>
        <v>15</v>
      </c>
      <c r="S18" s="86">
        <f ca="1" t="shared" si="5"/>
        <v>6</v>
      </c>
      <c r="T18" s="366">
        <f ca="1">SUMIFS('Weekly Sales'!T:T,'Weekly Sales'!B:B,A18,'Weekly Sales'!U:U,"LA")</f>
        <v>1254.5</v>
      </c>
      <c r="U18" s="86">
        <f>_xlfn.XLOOKUP(A18,'Product List'!B:B,'Product List'!O:O)</f>
        <v>500</v>
      </c>
      <c r="V18" s="368">
        <f ca="1" t="shared" si="6"/>
        <v>0</v>
      </c>
      <c r="W18" s="86" cm="1">
        <f ca="1" t="array" ref="W18">_xlfn.XLOOKUP(1,('Case Pack'!A:A=A18)*('Case Pack'!F:F&lt;=TODAY()),'Case Pack'!D:D,"未找到箱规")</f>
        <v>48</v>
      </c>
      <c r="X18" s="86" t="str">
        <f>_xlfn.XLOOKUP(A18,'Product List'!B:B,'Product List'!M:M)</f>
        <v>Petsmart</v>
      </c>
      <c r="Y18" s="86" t="str" cm="1">
        <f ca="1" t="array" ref="Y18">_xlfn.XLOOKUP(1,('Case Pack'!A:A=A18)*('Case Pack'!F:F&lt;=TODAY()),'Case Pack'!G:G,"未找到箱规")</f>
        <v>A</v>
      </c>
      <c r="Z18" s="86">
        <f ca="1" t="shared" si="7"/>
        <v>0</v>
      </c>
      <c r="AA18" s="86">
        <f ca="1">_xlfn.XLOOKUP(Y18,'Case Type'!A:A,'Case Type'!H:H)*Z18</f>
        <v>0</v>
      </c>
    </row>
    <row r="19" spans="1:27">
      <c r="A19" s="94" t="s">
        <v>45</v>
      </c>
      <c r="B19" s="86" t="str">
        <f>_xlfn.XLOOKUP(A19,'Product List'!B:B,'Product List'!I:I)</f>
        <v>MINI &amp; MOE GARDEN DECOR CHEW</v>
      </c>
      <c r="C19" s="86">
        <v>0</v>
      </c>
      <c r="D19" s="86">
        <f>SUMIFS(Purchase!F:F,Purchase!C:C,A19,Purchase!I:I,"&gt;"&amp;$C$1,Purchase!V:V,"&lt;&gt;暂缓发货",Purchase!U:U,"LA")</f>
        <v>17370</v>
      </c>
      <c r="E19" s="86">
        <f>SUMIFS(Purchase!F:F,Purchase!C:C,A19,Purchase!J:J,"&gt;0",Purchase!I:I,"&gt;"&amp;$C$1,Purchase!U:U,"LA")</f>
        <v>10980</v>
      </c>
      <c r="F19" s="86">
        <f>SUMIFS(Sales!E:E,Sales!C:C,A19,Sales!K:K,"&gt;"&amp;$C$1,Sales!I:I,"LA")</f>
        <v>8595</v>
      </c>
      <c r="G19" s="86">
        <f>SUMIFS(Sales!E:E,Sales!C:C,A19,Sales!K:K,"&gt;"&amp;$C$1,Sales!L:L,"&gt;0",Sales!I:I,"LA")</f>
        <v>8595</v>
      </c>
      <c r="H19" s="365">
        <f ca="1">C19+E19-G19+SUMIFS(Transfer!W:W,Transfer!O:O,A19,Transfer!Q:Q,"LA",Transfer!U:U,"&gt;"&amp;$C$1)-SUMIFS(Transfer!V:V,Transfer!O:O,A19,Transfer!P:P,"LA",Transfer!T:T,"&gt;"&amp;$C$1)</f>
        <v>2385</v>
      </c>
      <c r="I19" s="86">
        <f ca="1">D19-E19+SUMIFS(Transfer!V:V,Transfer!O:O,A19,Transfer!Q:Q,"LA")-SUMIFS(Transfer!W:W,Transfer!O:O,A19,Transfer!Q:Q,"LA")</f>
        <v>6390</v>
      </c>
      <c r="J19" s="86">
        <f>SUMIFS(Purchase!F:F,Purchase!C:C,A19,Purchase!V:V,"暂缓发货",Purchase!U:U,"LA")</f>
        <v>0</v>
      </c>
      <c r="K19" s="86">
        <f t="shared" si="0"/>
        <v>0</v>
      </c>
      <c r="L19" s="86">
        <f ca="1" t="shared" si="1"/>
        <v>2385</v>
      </c>
      <c r="M19" s="365">
        <f ca="1" t="shared" si="2"/>
        <v>8775</v>
      </c>
      <c r="N19" s="86" t="str">
        <f ca="1">_xlfn.XLOOKUP(A19,'Product List'!B:B,'Product List'!F:F)</f>
        <v>A</v>
      </c>
      <c r="O19" s="366">
        <f>SUMIFS('Weekly Sales'!R:R,'Weekly Sales'!B:B,A19,'Weekly Sales'!U:U,"LA")</f>
        <v>263.75</v>
      </c>
      <c r="P19" s="367">
        <f ca="1" t="shared" si="3"/>
        <v>9</v>
      </c>
      <c r="Q19" s="367">
        <f ca="1" t="shared" si="4"/>
        <v>33</v>
      </c>
      <c r="R19" s="86">
        <f>_xlfn.XLOOKUP(A19,'Product List'!B:B,'Product List'!P:P)</f>
        <v>10</v>
      </c>
      <c r="S19" s="86">
        <f ca="1" t="shared" si="5"/>
        <v>6</v>
      </c>
      <c r="T19" s="366">
        <f ca="1">SUMIFS('Weekly Sales'!T:T,'Weekly Sales'!B:B,A19,'Weekly Sales'!U:U,"LA")</f>
        <v>1714.375</v>
      </c>
      <c r="U19" s="86">
        <f>_xlfn.XLOOKUP(A19,'Product List'!B:B,'Product List'!O:O)</f>
        <v>500</v>
      </c>
      <c r="V19" s="368">
        <f ca="1" t="shared" si="6"/>
        <v>0</v>
      </c>
      <c r="W19" s="86" cm="1">
        <f ca="1" t="array" ref="W19">_xlfn.XLOOKUP(1,('Case Pack'!A:A=A19)*('Case Pack'!F:F&lt;=TODAY()),'Case Pack'!D:D,"未找到箱规")</f>
        <v>45</v>
      </c>
      <c r="X19" s="86" t="str">
        <f>_xlfn.XLOOKUP(A19,'Product List'!B:B,'Product List'!M:M)</f>
        <v>Petsmart</v>
      </c>
      <c r="Y19" s="86" t="str" cm="1">
        <f ca="1" t="array" ref="Y19">_xlfn.XLOOKUP(1,('Case Pack'!A:A=A19)*('Case Pack'!F:F&lt;=TODAY()),'Case Pack'!G:G,"未找到箱规")</f>
        <v>B</v>
      </c>
      <c r="Z19" s="86">
        <f ca="1" t="shared" si="7"/>
        <v>0</v>
      </c>
      <c r="AA19" s="86">
        <f ca="1">_xlfn.XLOOKUP(Y19,'Case Type'!A:A,'Case Type'!H:H)*Z19</f>
        <v>0</v>
      </c>
    </row>
    <row r="20" spans="1:27">
      <c r="A20" s="94" t="s">
        <v>46</v>
      </c>
      <c r="B20" s="86" t="str">
        <f>_xlfn.XLOOKUP(A20,'Product List'!B:B,'Product List'!I:I)</f>
        <v>Mushroom Spiral Staircase</v>
      </c>
      <c r="C20" s="86">
        <v>144</v>
      </c>
      <c r="D20" s="86">
        <f>SUMIFS(Purchase!F:F,Purchase!C:C,A20,Purchase!I:I,"&gt;"&amp;$C$1,Purchase!V:V,"&lt;&gt;暂缓发货",Purchase!U:U,"LA")</f>
        <v>1656</v>
      </c>
      <c r="E20" s="86">
        <f>SUMIFS(Purchase!F:F,Purchase!C:C,A20,Purchase!J:J,"&gt;0",Purchase!I:I,"&gt;"&amp;$C$1,Purchase!U:U,"LA")</f>
        <v>1656</v>
      </c>
      <c r="F20" s="86">
        <f>SUMIFS(Sales!E:E,Sales!C:C,A20,Sales!K:K,"&gt;"&amp;$C$1,Sales!I:I,"LA")</f>
        <v>936</v>
      </c>
      <c r="G20" s="86">
        <f>SUMIFS(Sales!E:E,Sales!C:C,A20,Sales!K:K,"&gt;"&amp;$C$1,Sales!L:L,"&gt;0",Sales!I:I,"LA")</f>
        <v>936</v>
      </c>
      <c r="H20" s="365">
        <f ca="1">C20+E20-G20+SUMIFS(Transfer!W:W,Transfer!O:O,A20,Transfer!Q:Q,"LA",Transfer!U:U,"&gt;"&amp;$C$1)-SUMIFS(Transfer!V:V,Transfer!O:O,A20,Transfer!P:P,"LA",Transfer!T:T,"&gt;"&amp;$C$1)</f>
        <v>864</v>
      </c>
      <c r="I20" s="86">
        <f ca="1">D20-E20+SUMIFS(Transfer!V:V,Transfer!O:O,A20,Transfer!Q:Q,"LA")-SUMIFS(Transfer!W:W,Transfer!O:O,A20,Transfer!Q:Q,"LA")</f>
        <v>0</v>
      </c>
      <c r="J20" s="86">
        <f>SUMIFS(Purchase!F:F,Purchase!C:C,A20,Purchase!V:V,"暂缓发货",Purchase!U:U,"LA")</f>
        <v>0</v>
      </c>
      <c r="K20" s="86">
        <f t="shared" si="0"/>
        <v>0</v>
      </c>
      <c r="L20" s="86">
        <f ca="1" t="shared" si="1"/>
        <v>864</v>
      </c>
      <c r="M20" s="365">
        <f ca="1" t="shared" si="2"/>
        <v>864</v>
      </c>
      <c r="N20" s="86" t="str">
        <f ca="1">_xlfn.XLOOKUP(A20,'Product List'!B:B,'Product List'!F:F)</f>
        <v>C</v>
      </c>
      <c r="O20" s="366">
        <f>SUMIFS('Weekly Sales'!R:R,'Weekly Sales'!B:B,A20,'Weekly Sales'!U:U,"LA")</f>
        <v>0</v>
      </c>
      <c r="P20" s="367">
        <f ca="1" t="shared" si="3"/>
        <v>999</v>
      </c>
      <c r="Q20" s="367">
        <f ca="1" t="shared" si="4"/>
        <v>999</v>
      </c>
      <c r="R20" s="86">
        <f>_xlfn.XLOOKUP(A20,'Product List'!B:B,'Product List'!P:P)</f>
        <v>15</v>
      </c>
      <c r="S20" s="86">
        <f ca="1" t="shared" si="5"/>
        <v>2</v>
      </c>
      <c r="T20" s="366">
        <f ca="1">SUMIFS('Weekly Sales'!T:T,'Weekly Sales'!B:B,A20,'Weekly Sales'!U:U,"LA")</f>
        <v>0</v>
      </c>
      <c r="U20" s="86">
        <f>_xlfn.XLOOKUP(A20,'Product List'!B:B,'Product List'!O:O)</f>
        <v>500</v>
      </c>
      <c r="V20" s="368">
        <f ca="1" t="shared" si="6"/>
        <v>0</v>
      </c>
      <c r="W20" s="86" cm="1">
        <f ca="1" t="array" ref="W20">_xlfn.XLOOKUP(1,('Case Pack'!A:A=A20)*('Case Pack'!F:F&lt;=TODAY()),'Case Pack'!D:D,"未找到箱规")</f>
        <v>72</v>
      </c>
      <c r="X20" s="86" t="str">
        <f>_xlfn.XLOOKUP(A20,'Product List'!B:B,'Product List'!M:M)</f>
        <v>Pet Supermarket,PSP</v>
      </c>
      <c r="Y20" s="86" t="str" cm="1">
        <f ca="1" t="array" ref="Y20">_xlfn.XLOOKUP(1,('Case Pack'!A:A=A20)*('Case Pack'!F:F&lt;=TODAY()),'Case Pack'!G:G,"未找到箱规")</f>
        <v>B</v>
      </c>
      <c r="Z20" s="86">
        <f ca="1" t="shared" si="7"/>
        <v>0</v>
      </c>
      <c r="AA20" s="86">
        <f ca="1">_xlfn.XLOOKUP(Y20,'Case Type'!A:A,'Case Type'!H:H)*Z20</f>
        <v>0</v>
      </c>
    </row>
    <row r="21" spans="1:27">
      <c r="A21" s="94" t="s">
        <v>47</v>
      </c>
      <c r="B21" s="86" t="str">
        <f>_xlfn.XLOOKUP(A21,'Product List'!B:B,'Product List'!I:I)</f>
        <v>MINI &amp; MOE TREE DECOR CHEW</v>
      </c>
      <c r="C21" s="86">
        <v>0</v>
      </c>
      <c r="D21" s="86">
        <f>SUMIFS(Purchase!F:F,Purchase!C:C,A21,Purchase!I:I,"&gt;"&amp;$C$1,Purchase!V:V,"&lt;&gt;暂缓发货",Purchase!U:U,"LA")</f>
        <v>14728</v>
      </c>
      <c r="E21" s="86">
        <f>SUMIFS(Purchase!F:F,Purchase!C:C,A21,Purchase!J:J,"&gt;0",Purchase!I:I,"&gt;"&amp;$C$1,Purchase!U:U,"LA")</f>
        <v>10920</v>
      </c>
      <c r="F21" s="86">
        <f>SUMIFS(Sales!E:E,Sales!C:C,A21,Sales!K:K,"&gt;"&amp;$C$1,Sales!I:I,"LA")</f>
        <v>8316</v>
      </c>
      <c r="G21" s="86">
        <f>SUMIFS(Sales!E:E,Sales!C:C,A21,Sales!K:K,"&gt;"&amp;$C$1,Sales!L:L,"&gt;0",Sales!I:I,"LA")</f>
        <v>8316</v>
      </c>
      <c r="H21" s="365">
        <f ca="1">C21+E21-G21+SUMIFS(Transfer!W:W,Transfer!O:O,A21,Transfer!Q:Q,"LA",Transfer!U:U,"&gt;"&amp;$C$1)-SUMIFS(Transfer!V:V,Transfer!O:O,A21,Transfer!P:P,"LA",Transfer!T:T,"&gt;"&amp;$C$1)</f>
        <v>2604</v>
      </c>
      <c r="I21" s="86">
        <f ca="1">D21-E21+SUMIFS(Transfer!V:V,Transfer!O:O,A21,Transfer!Q:Q,"LA")-SUMIFS(Transfer!W:W,Transfer!O:O,A21,Transfer!Q:Q,"LA")</f>
        <v>3808</v>
      </c>
      <c r="J21" s="86">
        <f>SUMIFS(Purchase!F:F,Purchase!C:C,A21,Purchase!V:V,"暂缓发货",Purchase!U:U,"LA")</f>
        <v>0</v>
      </c>
      <c r="K21" s="86">
        <f t="shared" si="0"/>
        <v>0</v>
      </c>
      <c r="L21" s="86">
        <f ca="1" t="shared" si="1"/>
        <v>2604</v>
      </c>
      <c r="M21" s="365">
        <f ca="1" t="shared" si="2"/>
        <v>6412</v>
      </c>
      <c r="N21" s="86" t="str">
        <f ca="1">_xlfn.XLOOKUP(A21,'Product List'!B:B,'Product List'!F:F)</f>
        <v>A</v>
      </c>
      <c r="O21" s="366">
        <f>SUMIFS('Weekly Sales'!R:R,'Weekly Sales'!B:B,A21,'Weekly Sales'!U:U,"LA")</f>
        <v>201</v>
      </c>
      <c r="P21" s="367">
        <f ca="1" t="shared" si="3"/>
        <v>12</v>
      </c>
      <c r="Q21" s="367">
        <f ca="1" t="shared" si="4"/>
        <v>31</v>
      </c>
      <c r="R21" s="86">
        <f>_xlfn.XLOOKUP(A21,'Product List'!B:B,'Product List'!P:P)</f>
        <v>10</v>
      </c>
      <c r="S21" s="86">
        <f ca="1" t="shared" si="5"/>
        <v>6</v>
      </c>
      <c r="T21" s="366">
        <f ca="1">SUMIFS('Weekly Sales'!T:T,'Weekly Sales'!B:B,A21,'Weekly Sales'!U:U,"LA")</f>
        <v>1306.5</v>
      </c>
      <c r="U21" s="86">
        <f>_xlfn.XLOOKUP(A21,'Product List'!B:B,'Product List'!O:O)</f>
        <v>500</v>
      </c>
      <c r="V21" s="368">
        <f ca="1" t="shared" si="6"/>
        <v>0</v>
      </c>
      <c r="W21" s="86" cm="1">
        <f ca="1" t="array" ref="W21">_xlfn.XLOOKUP(1,('Case Pack'!A:A=A21)*('Case Pack'!F:F&lt;=TODAY()),'Case Pack'!D:D,"未找到箱规")</f>
        <v>28</v>
      </c>
      <c r="X21" s="86" t="str">
        <f>_xlfn.XLOOKUP(A21,'Product List'!B:B,'Product List'!M:M)</f>
        <v>Petsmart</v>
      </c>
      <c r="Y21" s="86" t="str" cm="1">
        <f ca="1" t="array" ref="Y21">_xlfn.XLOOKUP(1,('Case Pack'!A:A=A21)*('Case Pack'!F:F&lt;=TODAY()),'Case Pack'!G:G,"未找到箱规")</f>
        <v>B</v>
      </c>
      <c r="Z21" s="86">
        <f ca="1" t="shared" si="7"/>
        <v>0</v>
      </c>
      <c r="AA21" s="86">
        <f ca="1">_xlfn.XLOOKUP(Y21,'Case Type'!A:A,'Case Type'!H:H)*Z21</f>
        <v>0</v>
      </c>
    </row>
    <row r="22" spans="1:27">
      <c r="A22" s="94" t="s">
        <v>48</v>
      </c>
      <c r="B22" s="86" t="str">
        <f>_xlfn.XLOOKUP(A22,'Product List'!B:B,'Product List'!I:I)</f>
        <v>Swinging Swing Hamster Toy</v>
      </c>
      <c r="C22" s="86">
        <v>144</v>
      </c>
      <c r="D22" s="86">
        <f>SUMIFS(Purchase!F:F,Purchase!C:C,A22,Purchase!I:I,"&gt;"&amp;$C$1,Purchase!V:V,"&lt;&gt;暂缓发货",Purchase!U:U,"LA")</f>
        <v>336</v>
      </c>
      <c r="E22" s="86">
        <f>SUMIFS(Purchase!F:F,Purchase!C:C,A22,Purchase!J:J,"&gt;0",Purchase!I:I,"&gt;"&amp;$C$1,Purchase!U:U,"LA")</f>
        <v>336</v>
      </c>
      <c r="F22" s="86">
        <f>SUMIFS(Sales!E:E,Sales!C:C,A22,Sales!K:K,"&gt;"&amp;$C$1,Sales!I:I,"LA")</f>
        <v>192</v>
      </c>
      <c r="G22" s="86">
        <f>SUMIFS(Sales!E:E,Sales!C:C,A22,Sales!K:K,"&gt;"&amp;$C$1,Sales!L:L,"&gt;0",Sales!I:I,"LA")</f>
        <v>192</v>
      </c>
      <c r="H22" s="365">
        <f ca="1">C22+E22-G22+SUMIFS(Transfer!W:W,Transfer!O:O,A22,Transfer!Q:Q,"LA",Transfer!U:U,"&gt;"&amp;$C$1)-SUMIFS(Transfer!V:V,Transfer!O:O,A22,Transfer!P:P,"LA",Transfer!T:T,"&gt;"&amp;$C$1)</f>
        <v>288</v>
      </c>
      <c r="I22" s="86">
        <f ca="1">D22-E22+SUMIFS(Transfer!V:V,Transfer!O:O,A22,Transfer!Q:Q,"LA")-SUMIFS(Transfer!W:W,Transfer!O:O,A22,Transfer!Q:Q,"LA")</f>
        <v>0</v>
      </c>
      <c r="J22" s="86">
        <f>SUMIFS(Purchase!F:F,Purchase!C:C,A22,Purchase!V:V,"暂缓发货",Purchase!U:U,"LA")</f>
        <v>0</v>
      </c>
      <c r="K22" s="86">
        <f t="shared" si="0"/>
        <v>0</v>
      </c>
      <c r="L22" s="86">
        <f ca="1" t="shared" si="1"/>
        <v>288</v>
      </c>
      <c r="M22" s="365">
        <f ca="1" t="shared" si="2"/>
        <v>288</v>
      </c>
      <c r="N22" s="86" t="str">
        <f ca="1">_xlfn.XLOOKUP(A22,'Product List'!B:B,'Product List'!F:F)</f>
        <v>C</v>
      </c>
      <c r="O22" s="366">
        <f>SUMIFS('Weekly Sales'!R:R,'Weekly Sales'!B:B,A22,'Weekly Sales'!U:U,"LA")</f>
        <v>0</v>
      </c>
      <c r="P22" s="367">
        <f ca="1" t="shared" si="3"/>
        <v>999</v>
      </c>
      <c r="Q22" s="367">
        <f ca="1" t="shared" si="4"/>
        <v>999</v>
      </c>
      <c r="R22" s="86">
        <f>_xlfn.XLOOKUP(A22,'Product List'!B:B,'Product List'!P:P)</f>
        <v>15</v>
      </c>
      <c r="S22" s="86">
        <f ca="1" t="shared" si="5"/>
        <v>2</v>
      </c>
      <c r="T22" s="366">
        <f ca="1">SUMIFS('Weekly Sales'!T:T,'Weekly Sales'!B:B,A22,'Weekly Sales'!U:U,"LA")</f>
        <v>0</v>
      </c>
      <c r="U22" s="86">
        <f>_xlfn.XLOOKUP(A22,'Product List'!B:B,'Product List'!O:O)</f>
        <v>500</v>
      </c>
      <c r="V22" s="368">
        <f ca="1" t="shared" si="6"/>
        <v>0</v>
      </c>
      <c r="W22" s="86" cm="1">
        <f ca="1" t="array" ref="W22">_xlfn.XLOOKUP(1,('Case Pack'!A:A=A22)*('Case Pack'!F:F&lt;=TODAY()),'Case Pack'!D:D,"未找到箱规")</f>
        <v>48</v>
      </c>
      <c r="X22" s="86" t="str">
        <f>_xlfn.XLOOKUP(A22,'Product List'!B:B,'Product List'!M:M)</f>
        <v>Pet Supermarket</v>
      </c>
      <c r="Y22" s="86" t="str" cm="1">
        <f ca="1" t="array" ref="Y22">_xlfn.XLOOKUP(1,('Case Pack'!A:A=A22)*('Case Pack'!F:F&lt;=TODAY()),'Case Pack'!G:G,"未找到箱规")</f>
        <v>B</v>
      </c>
      <c r="Z22" s="86">
        <f ca="1" t="shared" si="7"/>
        <v>0</v>
      </c>
      <c r="AA22" s="86">
        <f ca="1">_xlfn.XLOOKUP(Y22,'Case Type'!A:A,'Case Type'!H:H)*Z22</f>
        <v>0</v>
      </c>
    </row>
    <row r="23" spans="1:27">
      <c r="A23" s="86" t="s">
        <v>49</v>
      </c>
      <c r="B23" s="86" t="str">
        <f>_xlfn.XLOOKUP(A23,'Product List'!B:B,'Product List'!I:I)</f>
        <v>MINI/MOE IVY BURROWING BOX</v>
      </c>
      <c r="C23" s="86">
        <v>0</v>
      </c>
      <c r="D23" s="86">
        <f>SUMIFS(Purchase!F:F,Purchase!C:C,A23,Purchase!I:I,"&gt;"&amp;$C$1,Purchase!V:V,"&lt;&gt;暂缓发货",Purchase!U:U,"LA")</f>
        <v>1388</v>
      </c>
      <c r="E23" s="86">
        <f>SUMIFS(Purchase!F:F,Purchase!C:C,A23,Purchase!J:J,"&gt;0",Purchase!I:I,"&gt;"&amp;$C$1,Purchase!U:U,"LA")</f>
        <v>1388</v>
      </c>
      <c r="F23" s="86">
        <f>SUMIFS(Sales!E:E,Sales!C:C,A23,Sales!K:K,"&gt;"&amp;$C$1,Sales!I:I,"LA")</f>
        <v>1188</v>
      </c>
      <c r="G23" s="86">
        <f>SUMIFS(Sales!E:E,Sales!C:C,A23,Sales!K:K,"&gt;"&amp;$C$1,Sales!L:L,"&gt;0",Sales!I:I,"LA")</f>
        <v>1188</v>
      </c>
      <c r="H23" s="365">
        <f ca="1">C23+E23-G23+SUMIFS(Transfer!W:W,Transfer!O:O,A23,Transfer!Q:Q,"LA",Transfer!U:U,"&gt;"&amp;$C$1)-SUMIFS(Transfer!V:V,Transfer!O:O,A23,Transfer!P:P,"LA",Transfer!T:T,"&gt;"&amp;$C$1)</f>
        <v>200</v>
      </c>
      <c r="I23" s="86">
        <f ca="1">D23-E23+SUMIFS(Transfer!V:V,Transfer!O:O,A23,Transfer!Q:Q,"LA")-SUMIFS(Transfer!W:W,Transfer!O:O,A23,Transfer!Q:Q,"LA")</f>
        <v>0</v>
      </c>
      <c r="J23" s="86">
        <f>SUMIFS(Purchase!F:F,Purchase!C:C,A23,Purchase!V:V,"暂缓发货",Purchase!U:U,"LA")</f>
        <v>0</v>
      </c>
      <c r="K23" s="86">
        <f t="shared" si="0"/>
        <v>0</v>
      </c>
      <c r="L23" s="86">
        <f ca="1" t="shared" si="1"/>
        <v>200</v>
      </c>
      <c r="M23" s="365">
        <f ca="1" t="shared" si="2"/>
        <v>200</v>
      </c>
      <c r="N23" s="86" t="str">
        <f ca="1">_xlfn.XLOOKUP(A23,'Product List'!B:B,'Product List'!F:F)</f>
        <v>B</v>
      </c>
      <c r="O23" s="366">
        <f>SUMIFS('Weekly Sales'!R:R,'Weekly Sales'!B:B,A23,'Weekly Sales'!U:U,"LA")</f>
        <v>0</v>
      </c>
      <c r="P23" s="367">
        <f ca="1" t="shared" si="3"/>
        <v>999</v>
      </c>
      <c r="Q23" s="367">
        <f ca="1" t="shared" si="4"/>
        <v>999</v>
      </c>
      <c r="R23" s="86">
        <f>_xlfn.XLOOKUP(A23,'Product List'!B:B,'Product List'!P:P)</f>
        <v>15</v>
      </c>
      <c r="S23" s="86">
        <f ca="1" t="shared" si="5"/>
        <v>5</v>
      </c>
      <c r="T23" s="366">
        <f ca="1">SUMIFS('Weekly Sales'!T:T,'Weekly Sales'!B:B,A23,'Weekly Sales'!U:U,"LA")</f>
        <v>0</v>
      </c>
      <c r="U23" s="86">
        <f>_xlfn.XLOOKUP(A23,'Product List'!B:B,'Product List'!O:O)</f>
        <v>500</v>
      </c>
      <c r="V23" s="368">
        <f ca="1" t="shared" si="6"/>
        <v>0</v>
      </c>
      <c r="W23" s="86" cm="1">
        <f ca="1" t="array" ref="W23">_xlfn.XLOOKUP(1,('Case Pack'!A:A=A23)*('Case Pack'!F:F&lt;=TODAY()),'Case Pack'!D:D,"未找到箱规")</f>
        <v>4</v>
      </c>
      <c r="X23" s="86" t="str">
        <f>_xlfn.XLOOKUP(A23,'Product List'!B:B,'Product List'!M:M)</f>
        <v>PSP</v>
      </c>
      <c r="Y23" s="86" t="str" cm="1">
        <f ca="1" t="array" ref="Y23">_xlfn.XLOOKUP(1,('Case Pack'!A:A=A23)*('Case Pack'!F:F&lt;=TODAY()),'Case Pack'!G:G,"未找到箱规")</f>
        <v>D</v>
      </c>
      <c r="Z23" s="86">
        <f ca="1" t="shared" si="7"/>
        <v>0</v>
      </c>
      <c r="AA23" s="86">
        <f ca="1">_xlfn.XLOOKUP(Y23,'Case Type'!A:A,'Case Type'!H:H)*Z23</f>
        <v>0</v>
      </c>
    </row>
    <row r="24" spans="1:27">
      <c r="A24" s="86" t="s">
        <v>50</v>
      </c>
      <c r="B24" s="86" t="str">
        <f>_xlfn.XLOOKUP(A24,'Product List'!B:B,'Product List'!I:I)</f>
        <v>MINI/MOE TV VIEWING CAGE</v>
      </c>
      <c r="C24" s="86">
        <v>211</v>
      </c>
      <c r="D24" s="86">
        <f>SUMIFS(Purchase!F:F,Purchase!C:C,A24,Purchase!I:I,"&gt;"&amp;$C$1,Purchase!V:V,"&lt;&gt;暂缓发货",Purchase!U:U,"LA")</f>
        <v>17428</v>
      </c>
      <c r="E24" s="86">
        <f>SUMIFS(Purchase!F:F,Purchase!C:C,A24,Purchase!J:J,"&gt;0",Purchase!I:I,"&gt;"&amp;$C$1,Purchase!U:U,"LA")</f>
        <v>15386</v>
      </c>
      <c r="F24" s="86">
        <f>SUMIFS(Sales!E:E,Sales!C:C,A24,Sales!K:K,"&gt;"&amp;$C$1,Sales!I:I,"LA")</f>
        <v>12188</v>
      </c>
      <c r="G24" s="86">
        <f>SUMIFS(Sales!E:E,Sales!C:C,A24,Sales!K:K,"&gt;"&amp;$C$1,Sales!L:L,"&gt;0",Sales!I:I,"LA")</f>
        <v>11032</v>
      </c>
      <c r="H24" s="365">
        <f ca="1">C24+E24-G24+SUMIFS(Transfer!W:W,Transfer!O:O,A24,Transfer!Q:Q,"LA",Transfer!U:U,"&gt;"&amp;$C$1)-SUMIFS(Transfer!V:V,Transfer!O:O,A24,Transfer!P:P,"LA",Transfer!T:T,"&gt;"&amp;$C$1)</f>
        <v>4565</v>
      </c>
      <c r="I24" s="86">
        <f ca="1">D24-E24+SUMIFS(Transfer!V:V,Transfer!O:O,A24,Transfer!Q:Q,"LA")-SUMIFS(Transfer!W:W,Transfer!O:O,A24,Transfer!Q:Q,"LA")</f>
        <v>2042</v>
      </c>
      <c r="J24" s="86">
        <f>SUMIFS(Purchase!F:F,Purchase!C:C,A24,Purchase!V:V,"暂缓发货",Purchase!U:U,"LA")</f>
        <v>0</v>
      </c>
      <c r="K24" s="86">
        <f t="shared" si="0"/>
        <v>1156</v>
      </c>
      <c r="L24" s="86">
        <f ca="1" t="shared" si="1"/>
        <v>3409</v>
      </c>
      <c r="M24" s="365">
        <f ca="1" t="shared" si="2"/>
        <v>5451</v>
      </c>
      <c r="N24" s="86" t="str">
        <f ca="1">_xlfn.XLOOKUP(A24,'Product List'!B:B,'Product List'!F:F)</f>
        <v>A</v>
      </c>
      <c r="O24" s="366">
        <f>SUMIFS('Weekly Sales'!R:R,'Weekly Sales'!B:B,A24,'Weekly Sales'!U:U,"LA")</f>
        <v>219.75</v>
      </c>
      <c r="P24" s="367">
        <f ca="1" t="shared" si="3"/>
        <v>15</v>
      </c>
      <c r="Q24" s="367">
        <f ca="1" t="shared" si="4"/>
        <v>24</v>
      </c>
      <c r="R24" s="86">
        <f>_xlfn.XLOOKUP(A24,'Product List'!B:B,'Product List'!P:P)</f>
        <v>10</v>
      </c>
      <c r="S24" s="86">
        <f ca="1" t="shared" si="5"/>
        <v>6</v>
      </c>
      <c r="T24" s="366">
        <f ca="1">SUMIFS('Weekly Sales'!T:T,'Weekly Sales'!B:B,A24,'Weekly Sales'!U:U,"LA")</f>
        <v>1428.375</v>
      </c>
      <c r="U24" s="86">
        <f>_xlfn.XLOOKUP(A24,'Product List'!B:B,'Product List'!O:O)</f>
        <v>1000</v>
      </c>
      <c r="V24" s="368">
        <f ca="1" t="shared" si="6"/>
        <v>0</v>
      </c>
      <c r="W24" s="86" cm="1">
        <f ca="1" t="array" ref="W24">_xlfn.XLOOKUP(1,('Case Pack'!A:A=A24)*('Case Pack'!F:F&lt;=TODAY()),'Case Pack'!D:D,"未找到箱规")</f>
        <v>1</v>
      </c>
      <c r="X24" s="86" t="str">
        <f>_xlfn.XLOOKUP(A24,'Product List'!B:B,'Product List'!M:M)</f>
        <v>PSP, Petco, Petsmart, Pet Supermarket, PetcoMX，Canada</v>
      </c>
      <c r="Y24" s="86" t="str" cm="1">
        <f ca="1" t="array" ref="Y24">_xlfn.XLOOKUP(1,('Case Pack'!A:A=A24)*('Case Pack'!F:F&lt;=TODAY()),'Case Pack'!G:G,"未找到箱规")</f>
        <v>S1</v>
      </c>
      <c r="Z24" s="86">
        <f ca="1" t="shared" si="7"/>
        <v>0</v>
      </c>
      <c r="AA24" s="86">
        <f ca="1">_xlfn.XLOOKUP(Y24,'Case Type'!A:A,'Case Type'!H:H)*Z24</f>
        <v>0</v>
      </c>
    </row>
    <row r="25" spans="1:27">
      <c r="A25" s="86" t="s">
        <v>51</v>
      </c>
      <c r="B25" s="86" t="str">
        <f>_xlfn.XLOOKUP(A25,'Product List'!B:B,'Product List'!I:I)</f>
        <v>MINI/MOE MINI TV TUNNEL CAGE 1EA</v>
      </c>
      <c r="C25" s="86">
        <v>0</v>
      </c>
      <c r="D25" s="86">
        <f>SUMIFS(Purchase!F:F,Purchase!C:C,A25,Purchase!I:I,"&gt;"&amp;$C$1,Purchase!V:V,"&lt;&gt;暂缓发货",Purchase!U:U,"LA")</f>
        <v>1000</v>
      </c>
      <c r="E25" s="86">
        <f>SUMIFS(Purchase!F:F,Purchase!C:C,A25,Purchase!J:J,"&gt;0",Purchase!I:I,"&gt;"&amp;$C$1,Purchase!U:U,"LA")</f>
        <v>1000</v>
      </c>
      <c r="F25" s="86">
        <f>SUMIFS(Sales!E:E,Sales!C:C,A25,Sales!K:K,"&gt;"&amp;$C$1,Sales!I:I,"LA")</f>
        <v>603</v>
      </c>
      <c r="G25" s="86">
        <f>SUMIFS(Sales!E:E,Sales!C:C,A25,Sales!K:K,"&gt;"&amp;$C$1,Sales!L:L,"&gt;0",Sales!I:I,"LA")</f>
        <v>603</v>
      </c>
      <c r="H25" s="365">
        <f ca="1">C25+E25-G25+SUMIFS(Transfer!W:W,Transfer!O:O,A25,Transfer!Q:Q,"LA",Transfer!U:U,"&gt;"&amp;$C$1)-SUMIFS(Transfer!V:V,Transfer!O:O,A25,Transfer!P:P,"LA",Transfer!T:T,"&gt;"&amp;$C$1)</f>
        <v>397</v>
      </c>
      <c r="I25" s="86">
        <f ca="1">D25-E25+SUMIFS(Transfer!V:V,Transfer!O:O,A25,Transfer!Q:Q,"LA")-SUMIFS(Transfer!W:W,Transfer!O:O,A25,Transfer!Q:Q,"LA")</f>
        <v>0</v>
      </c>
      <c r="J25" s="86">
        <f>SUMIFS(Purchase!F:F,Purchase!C:C,A25,Purchase!V:V,"暂缓发货",Purchase!U:U,"LA")</f>
        <v>0</v>
      </c>
      <c r="K25" s="86">
        <f t="shared" si="0"/>
        <v>0</v>
      </c>
      <c r="L25" s="86">
        <f ca="1" t="shared" si="1"/>
        <v>397</v>
      </c>
      <c r="M25" s="365">
        <f ca="1" t="shared" si="2"/>
        <v>397</v>
      </c>
      <c r="N25" s="86" t="str">
        <f ca="1">_xlfn.XLOOKUP(A25,'Product List'!B:B,'Product List'!F:F)</f>
        <v>A</v>
      </c>
      <c r="O25" s="366">
        <f>SUMIFS('Weekly Sales'!R:R,'Weekly Sales'!B:B,A25,'Weekly Sales'!U:U,"LA")</f>
        <v>0</v>
      </c>
      <c r="P25" s="367">
        <f ca="1" t="shared" si="3"/>
        <v>999</v>
      </c>
      <c r="Q25" s="367">
        <f ca="1" t="shared" si="4"/>
        <v>999</v>
      </c>
      <c r="R25" s="86">
        <f>_xlfn.XLOOKUP(A25,'Product List'!B:B,'Product List'!P:P)</f>
        <v>10</v>
      </c>
      <c r="S25" s="86">
        <f ca="1" t="shared" si="5"/>
        <v>6</v>
      </c>
      <c r="T25" s="366">
        <f ca="1">SUMIFS('Weekly Sales'!T:T,'Weekly Sales'!B:B,A25,'Weekly Sales'!U:U,"LA")</f>
        <v>0</v>
      </c>
      <c r="U25" s="86">
        <f>_xlfn.XLOOKUP(A25,'Product List'!B:B,'Product List'!O:O)</f>
        <v>1000</v>
      </c>
      <c r="V25" s="368">
        <f ca="1" t="shared" si="6"/>
        <v>0</v>
      </c>
      <c r="W25" s="86" cm="1">
        <f ca="1" t="array" ref="W25">_xlfn.XLOOKUP(1,('Case Pack'!A:A=A25)*('Case Pack'!F:F&lt;=TODAY()),'Case Pack'!D:D,"未找到箱规")</f>
        <v>1</v>
      </c>
      <c r="X25" s="86" t="str">
        <f>_xlfn.XLOOKUP(A25,'Product List'!B:B,'Product List'!M:M)</f>
        <v>PSP</v>
      </c>
      <c r="Y25" s="86" t="str" cm="1">
        <f ca="1" t="array" ref="Y25">_xlfn.XLOOKUP(1,('Case Pack'!A:A=A25)*('Case Pack'!F:F&lt;=TODAY()),'Case Pack'!G:G,"未找到箱规")</f>
        <v>S2</v>
      </c>
      <c r="Z25" s="86">
        <f ca="1" t="shared" si="7"/>
        <v>0</v>
      </c>
      <c r="AA25" s="86">
        <f ca="1">_xlfn.XLOOKUP(Y25,'Case Type'!A:A,'Case Type'!H:H)*Z25</f>
        <v>0</v>
      </c>
    </row>
    <row r="26" spans="1:27">
      <c r="A26" s="86" t="s">
        <v>52</v>
      </c>
      <c r="B26" s="86" t="str">
        <f>_xlfn.XLOOKUP(A26,'Product List'!B:B,'Product List'!I:I)</f>
        <v>MINI/MOE TULIP WATER BOTTLE</v>
      </c>
      <c r="C26" s="86">
        <v>0</v>
      </c>
      <c r="D26" s="86">
        <f>SUMIFS(Purchase!F:F,Purchase!C:C,A26,Purchase!I:I,"&gt;"&amp;$C$1,Purchase!V:V,"&lt;&gt;暂缓发货",Purchase!U:U,"LA")</f>
        <v>3180</v>
      </c>
      <c r="E26" s="86">
        <f>SUMIFS(Purchase!F:F,Purchase!C:C,A26,Purchase!J:J,"&gt;0",Purchase!I:I,"&gt;"&amp;$C$1,Purchase!U:U,"LA")</f>
        <v>3180</v>
      </c>
      <c r="F26" s="86">
        <f>SUMIFS(Sales!E:E,Sales!C:C,A26,Sales!K:K,"&gt;"&amp;$C$1,Sales!I:I,"LA")</f>
        <v>1620</v>
      </c>
      <c r="G26" s="86">
        <f>SUMIFS(Sales!E:E,Sales!C:C,A26,Sales!K:K,"&gt;"&amp;$C$1,Sales!L:L,"&gt;0",Sales!I:I,"LA")</f>
        <v>1560</v>
      </c>
      <c r="H26" s="365">
        <f ca="1">C26+E26-G26+SUMIFS(Transfer!W:W,Transfer!O:O,A26,Transfer!Q:Q,"LA",Transfer!U:U,"&gt;"&amp;$C$1)-SUMIFS(Transfer!V:V,Transfer!O:O,A26,Transfer!P:P,"LA",Transfer!T:T,"&gt;"&amp;$C$1)</f>
        <v>1620</v>
      </c>
      <c r="I26" s="86">
        <f ca="1">D26-E26+SUMIFS(Transfer!V:V,Transfer!O:O,A26,Transfer!Q:Q,"LA")-SUMIFS(Transfer!W:W,Transfer!O:O,A26,Transfer!Q:Q,"LA")</f>
        <v>0</v>
      </c>
      <c r="J26" s="86">
        <f>SUMIFS(Purchase!F:F,Purchase!C:C,A26,Purchase!V:V,"暂缓发货",Purchase!U:U,"LA")</f>
        <v>0</v>
      </c>
      <c r="K26" s="86">
        <f t="shared" si="0"/>
        <v>60</v>
      </c>
      <c r="L26" s="86">
        <f ca="1" t="shared" si="1"/>
        <v>1560</v>
      </c>
      <c r="M26" s="365">
        <f ca="1" t="shared" si="2"/>
        <v>1560</v>
      </c>
      <c r="N26" s="86" t="str">
        <f ca="1">_xlfn.XLOOKUP(A26,'Product List'!B:B,'Product List'!F:F)</f>
        <v>C</v>
      </c>
      <c r="O26" s="366">
        <f>SUMIFS('Weekly Sales'!R:R,'Weekly Sales'!B:B,A26,'Weekly Sales'!U:U,"LA")</f>
        <v>0</v>
      </c>
      <c r="P26" s="367">
        <f ca="1" t="shared" si="3"/>
        <v>999</v>
      </c>
      <c r="Q26" s="367">
        <f ca="1" t="shared" si="4"/>
        <v>999</v>
      </c>
      <c r="R26" s="86">
        <f>_xlfn.XLOOKUP(A26,'Product List'!B:B,'Product List'!P:P)</f>
        <v>10</v>
      </c>
      <c r="S26" s="86">
        <f ca="1" t="shared" si="5"/>
        <v>2</v>
      </c>
      <c r="T26" s="366">
        <f ca="1">SUMIFS('Weekly Sales'!T:T,'Weekly Sales'!B:B,A26,'Weekly Sales'!U:U,"LA")</f>
        <v>0</v>
      </c>
      <c r="U26" s="86">
        <f>_xlfn.XLOOKUP(A26,'Product List'!B:B,'Product List'!O:O)</f>
        <v>1000</v>
      </c>
      <c r="V26" s="368">
        <f ca="1" t="shared" si="6"/>
        <v>0</v>
      </c>
      <c r="W26" s="86" cm="1">
        <f ca="1" t="array" ref="W26">_xlfn.XLOOKUP(1,('Case Pack'!A:A=A26)*('Case Pack'!F:F&lt;=TODAY()),'Case Pack'!D:D,"未找到箱规")</f>
        <v>60</v>
      </c>
      <c r="X26" s="86" t="str">
        <f>_xlfn.XLOOKUP(A26,'Product List'!B:B,'Product List'!M:M)</f>
        <v>PSP, PetcoMX</v>
      </c>
      <c r="Y26" s="86" t="str" cm="1">
        <f ca="1" t="array" ref="Y26">_xlfn.XLOOKUP(1,('Case Pack'!A:A=A26)*('Case Pack'!F:F&lt;=TODAY()),'Case Pack'!G:G,"未找到箱规")</f>
        <v>C</v>
      </c>
      <c r="Z26" s="86">
        <f ca="1" t="shared" si="7"/>
        <v>0</v>
      </c>
      <c r="AA26" s="86">
        <f ca="1">_xlfn.XLOOKUP(Y26,'Case Type'!A:A,'Case Type'!H:H)*Z26</f>
        <v>0</v>
      </c>
    </row>
    <row r="27" spans="1:27">
      <c r="A27" s="94" t="s">
        <v>53</v>
      </c>
      <c r="B27" s="86" t="str">
        <f>_xlfn.XLOOKUP(A27,'Product List'!B:B,'Product List'!I:I)</f>
        <v>MINI &amp; MOE COTTAGE HIDE</v>
      </c>
      <c r="C27" s="86">
        <v>0</v>
      </c>
      <c r="D27" s="86">
        <f>SUMIFS(Purchase!F:F,Purchase!C:C,A27,Purchase!I:I,"&gt;"&amp;$C$1,Purchase!V:V,"&lt;&gt;暂缓发货",Purchase!U:U,"LA")</f>
        <v>8784</v>
      </c>
      <c r="E27" s="86">
        <f>SUMIFS(Purchase!F:F,Purchase!C:C,A27,Purchase!J:J,"&gt;0",Purchase!I:I,"&gt;"&amp;$C$1,Purchase!U:U,"LA")</f>
        <v>6552</v>
      </c>
      <c r="F27" s="86">
        <f>SUMIFS(Sales!E:E,Sales!C:C,A27,Sales!K:K,"&gt;"&amp;$C$1,Sales!I:I,"LA")</f>
        <v>5592</v>
      </c>
      <c r="G27" s="86">
        <f>SUMIFS(Sales!E:E,Sales!C:C,A27,Sales!K:K,"&gt;"&amp;$C$1,Sales!L:L,"&gt;0",Sales!I:I,"LA")</f>
        <v>5592</v>
      </c>
      <c r="H27" s="365">
        <f ca="1">C27+E27-G27+SUMIFS(Transfer!W:W,Transfer!O:O,A27,Transfer!Q:Q,"LA",Transfer!U:U,"&gt;"&amp;$C$1)-SUMIFS(Transfer!V:V,Transfer!O:O,A27,Transfer!P:P,"LA",Transfer!T:T,"&gt;"&amp;$C$1)</f>
        <v>960</v>
      </c>
      <c r="I27" s="86">
        <f ca="1">D27-E27+SUMIFS(Transfer!V:V,Transfer!O:O,A27,Transfer!Q:Q,"LA")-SUMIFS(Transfer!W:W,Transfer!O:O,A27,Transfer!Q:Q,"LA")</f>
        <v>2232</v>
      </c>
      <c r="J27" s="86">
        <f>SUMIFS(Purchase!F:F,Purchase!C:C,A27,Purchase!V:V,"暂缓发货",Purchase!U:U,"LA")</f>
        <v>0</v>
      </c>
      <c r="K27" s="86">
        <f t="shared" si="0"/>
        <v>0</v>
      </c>
      <c r="L27" s="86">
        <f ca="1" t="shared" si="1"/>
        <v>960</v>
      </c>
      <c r="M27" s="365">
        <f ca="1" t="shared" si="2"/>
        <v>3192</v>
      </c>
      <c r="N27" s="86" t="str">
        <f ca="1">_xlfn.XLOOKUP(A27,'Product List'!B:B,'Product List'!F:F)</f>
        <v>A</v>
      </c>
      <c r="O27" s="366">
        <f>SUMIFS('Weekly Sales'!R:R,'Weekly Sales'!B:B,A27,'Weekly Sales'!U:U,"LA")</f>
        <v>86</v>
      </c>
      <c r="P27" s="367">
        <f ca="1" t="shared" si="3"/>
        <v>11</v>
      </c>
      <c r="Q27" s="367">
        <f ca="1" t="shared" si="4"/>
        <v>37</v>
      </c>
      <c r="R27" s="86">
        <f>_xlfn.XLOOKUP(A27,'Product List'!B:B,'Product List'!P:P)</f>
        <v>15</v>
      </c>
      <c r="S27" s="86">
        <f ca="1" t="shared" si="5"/>
        <v>6</v>
      </c>
      <c r="T27" s="366">
        <f ca="1">SUMIFS('Weekly Sales'!T:T,'Weekly Sales'!B:B,A27,'Weekly Sales'!U:U,"LA")</f>
        <v>559</v>
      </c>
      <c r="U27" s="86">
        <f>_xlfn.XLOOKUP(A27,'Product List'!B:B,'Product List'!O:O)</f>
        <v>500</v>
      </c>
      <c r="V27" s="368">
        <f ca="1" t="shared" si="6"/>
        <v>0</v>
      </c>
      <c r="W27" s="86" cm="1">
        <f ca="1" t="array" ref="W27">_xlfn.XLOOKUP(1,('Case Pack'!A:A=A27)*('Case Pack'!F:F&lt;=TODAY()),'Case Pack'!D:D,"未找到箱规")</f>
        <v>24</v>
      </c>
      <c r="X27" s="86" t="str">
        <f>_xlfn.XLOOKUP(A27,'Product List'!B:B,'Product List'!M:M)</f>
        <v>Petsmart，Canada</v>
      </c>
      <c r="Y27" s="86" t="str" cm="1">
        <f ca="1" t="array" ref="Y27">_xlfn.XLOOKUP(1,('Case Pack'!A:A=A27)*('Case Pack'!F:F&lt;=TODAY()),'Case Pack'!G:G,"未找到箱规")</f>
        <v>C</v>
      </c>
      <c r="Z27" s="86">
        <f ca="1" t="shared" si="7"/>
        <v>0</v>
      </c>
      <c r="AA27" s="86">
        <f ca="1">_xlfn.XLOOKUP(Y27,'Case Type'!A:A,'Case Type'!H:H)*Z27</f>
        <v>0</v>
      </c>
    </row>
    <row r="28" spans="1:27">
      <c r="A28" s="86" t="s">
        <v>54</v>
      </c>
      <c r="B28" s="86" t="str">
        <f>_xlfn.XLOOKUP(A28,'Product List'!B:B,'Product List'!I:I)</f>
        <v>Tree Stump Hide</v>
      </c>
      <c r="C28" s="86">
        <v>120</v>
      </c>
      <c r="D28" s="86">
        <f>SUMIFS(Purchase!F:F,Purchase!C:C,A28,Purchase!I:I,"&gt;"&amp;$C$1,Purchase!V:V,"&lt;&gt;暂缓发货",Purchase!U:U,"LA")</f>
        <v>312</v>
      </c>
      <c r="E28" s="86">
        <f>SUMIFS(Purchase!F:F,Purchase!C:C,A28,Purchase!J:J,"&gt;0",Purchase!I:I,"&gt;"&amp;$C$1,Purchase!U:U,"LA")</f>
        <v>312</v>
      </c>
      <c r="F28" s="86">
        <f>SUMIFS(Sales!E:E,Sales!C:C,A28,Sales!K:K,"&gt;"&amp;$C$1,Sales!I:I,"LA")</f>
        <v>216</v>
      </c>
      <c r="G28" s="86">
        <f>SUMIFS(Sales!E:E,Sales!C:C,A28,Sales!K:K,"&gt;"&amp;$C$1,Sales!L:L,"&gt;0",Sales!I:I,"LA")</f>
        <v>216</v>
      </c>
      <c r="H28" s="365">
        <f ca="1">C28+E28-G28+SUMIFS(Transfer!W:W,Transfer!O:O,A28,Transfer!Q:Q,"LA",Transfer!U:U,"&gt;"&amp;$C$1)-SUMIFS(Transfer!V:V,Transfer!O:O,A28,Transfer!P:P,"LA",Transfer!T:T,"&gt;"&amp;$C$1)</f>
        <v>216</v>
      </c>
      <c r="I28" s="86">
        <f ca="1">D28-E28+SUMIFS(Transfer!V:V,Transfer!O:O,A28,Transfer!Q:Q,"LA")-SUMIFS(Transfer!W:W,Transfer!O:O,A28,Transfer!Q:Q,"LA")</f>
        <v>0</v>
      </c>
      <c r="J28" s="86">
        <f>SUMIFS(Purchase!F:F,Purchase!C:C,A28,Purchase!V:V,"暂缓发货",Purchase!U:U,"LA")</f>
        <v>0</v>
      </c>
      <c r="K28" s="86">
        <f t="shared" si="0"/>
        <v>0</v>
      </c>
      <c r="L28" s="86">
        <f ca="1" t="shared" si="1"/>
        <v>216</v>
      </c>
      <c r="M28" s="365">
        <f ca="1" t="shared" si="2"/>
        <v>216</v>
      </c>
      <c r="N28" s="86" t="str">
        <f ca="1">_xlfn.XLOOKUP(A28,'Product List'!B:B,'Product List'!F:F)</f>
        <v>C</v>
      </c>
      <c r="O28" s="366">
        <f>SUMIFS('Weekly Sales'!R:R,'Weekly Sales'!B:B,A28,'Weekly Sales'!U:U,"LA")</f>
        <v>0</v>
      </c>
      <c r="P28" s="367">
        <f ca="1" t="shared" si="3"/>
        <v>999</v>
      </c>
      <c r="Q28" s="367">
        <f ca="1" t="shared" si="4"/>
        <v>999</v>
      </c>
      <c r="R28" s="86">
        <f>_xlfn.XLOOKUP(A28,'Product List'!B:B,'Product List'!P:P)</f>
        <v>15</v>
      </c>
      <c r="S28" s="86">
        <f ca="1" t="shared" si="5"/>
        <v>2</v>
      </c>
      <c r="T28" s="366">
        <f ca="1">SUMIFS('Weekly Sales'!T:T,'Weekly Sales'!B:B,A28,'Weekly Sales'!U:U,"LA")</f>
        <v>0</v>
      </c>
      <c r="U28" s="86">
        <f>_xlfn.XLOOKUP(A28,'Product List'!B:B,'Product List'!O:O)</f>
        <v>500</v>
      </c>
      <c r="V28" s="368">
        <f ca="1" t="shared" si="6"/>
        <v>0</v>
      </c>
      <c r="W28" s="86" cm="1">
        <f ca="1" t="array" ref="W28">_xlfn.XLOOKUP(1,('Case Pack'!A:A=A28)*('Case Pack'!F:F&lt;=TODAY()),'Case Pack'!D:D,"未找到箱规")</f>
        <v>24</v>
      </c>
      <c r="X28" s="86" t="str">
        <f>_xlfn.XLOOKUP(A28,'Product List'!B:B,'Product List'!M:M)</f>
        <v>Pet Supermarket，Canada</v>
      </c>
      <c r="Y28" s="86" t="str" cm="1">
        <f ca="1" t="array" ref="Y28">_xlfn.XLOOKUP(1,('Case Pack'!A:A=A28)*('Case Pack'!F:F&lt;=TODAY()),'Case Pack'!G:G,"未找到箱规")</f>
        <v>B</v>
      </c>
      <c r="Z28" s="86">
        <f ca="1" t="shared" si="7"/>
        <v>0</v>
      </c>
      <c r="AA28" s="86">
        <f ca="1">_xlfn.XLOOKUP(Y28,'Case Type'!A:A,'Case Type'!H:H)*Z28</f>
        <v>0</v>
      </c>
    </row>
    <row r="29" spans="1:27">
      <c r="A29" s="86" t="s">
        <v>55</v>
      </c>
      <c r="B29" s="86" t="str">
        <f>_xlfn.XLOOKUP(A29,'Product List'!B:B,'Product List'!I:I)</f>
        <v>MINI/MOE SMALL ANIMAL FEEDING WATER BOTTLE HLDR GUMBALL 1EA</v>
      </c>
      <c r="C29" s="86">
        <v>0</v>
      </c>
      <c r="D29" s="86">
        <f>SUMIFS(Purchase!F:F,Purchase!C:C,A29,Purchase!I:I,"&gt;"&amp;$C$1,Purchase!V:V,"&lt;&gt;暂缓发货",Purchase!U:U,"LA")</f>
        <v>1258</v>
      </c>
      <c r="E29" s="86">
        <f>SUMIFS(Purchase!F:F,Purchase!C:C,A29,Purchase!J:J,"&gt;0",Purchase!I:I,"&gt;"&amp;$C$1,Purchase!U:U,"LA")</f>
        <v>1258</v>
      </c>
      <c r="F29" s="86">
        <f>SUMIFS(Sales!E:E,Sales!C:C,A29,Sales!K:K,"&gt;"&amp;$C$1,Sales!I:I,"LA")</f>
        <v>612</v>
      </c>
      <c r="G29" s="86">
        <f>SUMIFS(Sales!E:E,Sales!C:C,A29,Sales!K:K,"&gt;"&amp;$C$1,Sales!L:L,"&gt;0",Sales!I:I,"LA")</f>
        <v>612</v>
      </c>
      <c r="H29" s="365">
        <f ca="1">C29+E29-G29+SUMIFS(Transfer!W:W,Transfer!O:O,A29,Transfer!Q:Q,"LA",Transfer!U:U,"&gt;"&amp;$C$1)-SUMIFS(Transfer!V:V,Transfer!O:O,A29,Transfer!P:P,"LA",Transfer!T:T,"&gt;"&amp;$C$1)</f>
        <v>646</v>
      </c>
      <c r="I29" s="86">
        <f ca="1">D29-E29+SUMIFS(Transfer!V:V,Transfer!O:O,A29,Transfer!Q:Q,"LA")-SUMIFS(Transfer!W:W,Transfer!O:O,A29,Transfer!Q:Q,"LA")</f>
        <v>0</v>
      </c>
      <c r="J29" s="86">
        <f>SUMIFS(Purchase!F:F,Purchase!C:C,A29,Purchase!V:V,"暂缓发货",Purchase!U:U,"LA")</f>
        <v>0</v>
      </c>
      <c r="K29" s="86">
        <f t="shared" si="0"/>
        <v>0</v>
      </c>
      <c r="L29" s="86">
        <f ca="1" t="shared" si="1"/>
        <v>646</v>
      </c>
      <c r="M29" s="365">
        <f ca="1" t="shared" si="2"/>
        <v>646</v>
      </c>
      <c r="N29" s="86" t="str">
        <f ca="1">_xlfn.XLOOKUP(A29,'Product List'!B:B,'Product List'!F:F)</f>
        <v>C</v>
      </c>
      <c r="O29" s="366">
        <f>SUMIFS('Weekly Sales'!R:R,'Weekly Sales'!B:B,A29,'Weekly Sales'!U:U,"LA")</f>
        <v>0</v>
      </c>
      <c r="P29" s="367">
        <f ca="1" t="shared" si="3"/>
        <v>999</v>
      </c>
      <c r="Q29" s="367">
        <f ca="1" t="shared" si="4"/>
        <v>999</v>
      </c>
      <c r="R29" s="86">
        <f>_xlfn.XLOOKUP(A29,'Product List'!B:B,'Product List'!P:P)</f>
        <v>15</v>
      </c>
      <c r="S29" s="86">
        <f ca="1" t="shared" si="5"/>
        <v>2</v>
      </c>
      <c r="T29" s="366">
        <f ca="1">SUMIFS('Weekly Sales'!T:T,'Weekly Sales'!B:B,A29,'Weekly Sales'!U:U,"LA")</f>
        <v>0</v>
      </c>
      <c r="U29" s="86">
        <f>_xlfn.XLOOKUP(A29,'Product List'!B:B,'Product List'!O:O)</f>
        <v>500</v>
      </c>
      <c r="V29" s="368">
        <f ca="1" t="shared" si="6"/>
        <v>0</v>
      </c>
      <c r="W29" s="86" cm="1">
        <f ca="1" t="array" ref="W29">_xlfn.XLOOKUP(1,('Case Pack'!A:A=A29)*('Case Pack'!F:F&lt;=TODAY()),'Case Pack'!D:D,"未找到箱规")</f>
        <v>34</v>
      </c>
      <c r="X29" s="86" t="str">
        <f>_xlfn.XLOOKUP(A29,'Product List'!B:B,'Product List'!M:M)</f>
        <v>PSP，Canada</v>
      </c>
      <c r="Y29" s="86" t="str" cm="1">
        <f ca="1" t="array" ref="Y29">_xlfn.XLOOKUP(1,('Case Pack'!A:A=A29)*('Case Pack'!F:F&lt;=TODAY()),'Case Pack'!G:G,"未找到箱规")</f>
        <v>C</v>
      </c>
      <c r="Z29" s="86">
        <f ca="1" t="shared" si="7"/>
        <v>0</v>
      </c>
      <c r="AA29" s="86">
        <f ca="1">_xlfn.XLOOKUP(Y29,'Case Type'!A:A,'Case Type'!H:H)*Z29</f>
        <v>0</v>
      </c>
    </row>
    <row r="30" spans="1:27">
      <c r="A30" s="86" t="s">
        <v>56</v>
      </c>
      <c r="B30" s="86" t="str">
        <f>_xlfn.XLOOKUP(A30,'Product List'!B:B,'Product List'!I:I)</f>
        <v>MINI/MOE SMALL ANIMAL HOUSING SWEET BRIDGE 1EA</v>
      </c>
      <c r="C30" s="86">
        <v>0</v>
      </c>
      <c r="D30" s="86">
        <f>SUMIFS(Purchase!F:F,Purchase!C:C,A30,Purchase!I:I,"&gt;"&amp;$C$1,Purchase!V:V,"&lt;&gt;暂缓发货",Purchase!U:U,"LA")</f>
        <v>1260</v>
      </c>
      <c r="E30" s="86">
        <f>SUMIFS(Purchase!F:F,Purchase!C:C,A30,Purchase!J:J,"&gt;0",Purchase!I:I,"&gt;"&amp;$C$1,Purchase!U:U,"LA")</f>
        <v>1260</v>
      </c>
      <c r="F30" s="86">
        <f>SUMIFS(Sales!E:E,Sales!C:C,A30,Sales!K:K,"&gt;"&amp;$C$1,Sales!I:I,"LA")</f>
        <v>700</v>
      </c>
      <c r="G30" s="86">
        <f>SUMIFS(Sales!E:E,Sales!C:C,A30,Sales!K:K,"&gt;"&amp;$C$1,Sales!L:L,"&gt;0",Sales!I:I,"LA")</f>
        <v>700</v>
      </c>
      <c r="H30" s="365">
        <f ca="1">C30+E30-G30+SUMIFS(Transfer!W:W,Transfer!O:O,A30,Transfer!Q:Q,"LA",Transfer!U:U,"&gt;"&amp;$C$1)-SUMIFS(Transfer!V:V,Transfer!O:O,A30,Transfer!P:P,"LA",Transfer!T:T,"&gt;"&amp;$C$1)</f>
        <v>560</v>
      </c>
      <c r="I30" s="86">
        <f ca="1">D30-E30+SUMIFS(Transfer!V:V,Transfer!O:O,A30,Transfer!Q:Q,"LA")-SUMIFS(Transfer!W:W,Transfer!O:O,A30,Transfer!Q:Q,"LA")</f>
        <v>0</v>
      </c>
      <c r="J30" s="86">
        <f>SUMIFS(Purchase!F:F,Purchase!C:C,A30,Purchase!V:V,"暂缓发货",Purchase!U:U,"LA")</f>
        <v>0</v>
      </c>
      <c r="K30" s="86">
        <f t="shared" si="0"/>
        <v>0</v>
      </c>
      <c r="L30" s="86">
        <f ca="1" t="shared" si="1"/>
        <v>560</v>
      </c>
      <c r="M30" s="365">
        <f ca="1" t="shared" si="2"/>
        <v>560</v>
      </c>
      <c r="N30" s="86" t="str">
        <f ca="1">_xlfn.XLOOKUP(A30,'Product List'!B:B,'Product List'!F:F)</f>
        <v>C</v>
      </c>
      <c r="O30" s="366">
        <f>SUMIFS('Weekly Sales'!R:R,'Weekly Sales'!B:B,A30,'Weekly Sales'!U:U,"LA")</f>
        <v>0</v>
      </c>
      <c r="P30" s="367">
        <f ca="1" t="shared" si="3"/>
        <v>999</v>
      </c>
      <c r="Q30" s="367">
        <f ca="1" t="shared" si="4"/>
        <v>999</v>
      </c>
      <c r="R30" s="86">
        <f>_xlfn.XLOOKUP(A30,'Product List'!B:B,'Product List'!P:P)</f>
        <v>15</v>
      </c>
      <c r="S30" s="86">
        <f ca="1" t="shared" si="5"/>
        <v>2</v>
      </c>
      <c r="T30" s="366">
        <f ca="1">SUMIFS('Weekly Sales'!T:T,'Weekly Sales'!B:B,A30,'Weekly Sales'!U:U,"LA")</f>
        <v>0</v>
      </c>
      <c r="U30" s="86">
        <f>_xlfn.XLOOKUP(A30,'Product List'!B:B,'Product List'!O:O)</f>
        <v>500</v>
      </c>
      <c r="V30" s="368">
        <f ca="1" t="shared" si="6"/>
        <v>0</v>
      </c>
      <c r="W30" s="86" cm="1">
        <f ca="1" t="array" ref="W30">_xlfn.XLOOKUP(1,('Case Pack'!A:A=A30)*('Case Pack'!F:F&lt;=TODAY()),'Case Pack'!D:D,"未找到箱规")</f>
        <v>70</v>
      </c>
      <c r="X30" s="86" t="str">
        <f>_xlfn.XLOOKUP(A30,'Product List'!B:B,'Product List'!M:M)</f>
        <v>PSP，Canada</v>
      </c>
      <c r="Y30" s="86" t="str" cm="1">
        <f ca="1" t="array" ref="Y30">_xlfn.XLOOKUP(1,('Case Pack'!A:A=A30)*('Case Pack'!F:F&lt;=TODAY()),'Case Pack'!G:G,"未找到箱规")</f>
        <v>A</v>
      </c>
      <c r="Z30" s="86">
        <f ca="1" t="shared" si="7"/>
        <v>0</v>
      </c>
      <c r="AA30" s="86">
        <f ca="1">_xlfn.XLOOKUP(Y30,'Case Type'!A:A,'Case Type'!H:H)*Z30</f>
        <v>0</v>
      </c>
    </row>
    <row r="31" spans="1:27">
      <c r="A31" s="94" t="s">
        <v>57</v>
      </c>
      <c r="B31" s="86" t="str">
        <f>_xlfn.XLOOKUP(A31,'Product List'!B:B,'Product List'!I:I)</f>
        <v>Candy House</v>
      </c>
      <c r="C31" s="86">
        <v>0</v>
      </c>
      <c r="D31" s="86">
        <f>SUMIFS(Purchase!F:F,Purchase!C:C,A31,Purchase!I:I,"&gt;"&amp;$C$1,Purchase!V:V,"&lt;&gt;暂缓发货",Purchase!U:U,"LA")</f>
        <v>1242</v>
      </c>
      <c r="E31" s="86">
        <f>SUMIFS(Purchase!F:F,Purchase!C:C,A31,Purchase!J:J,"&gt;0",Purchase!I:I,"&gt;"&amp;$C$1,Purchase!U:U,"LA")</f>
        <v>1242</v>
      </c>
      <c r="F31" s="86">
        <f>SUMIFS(Sales!E:E,Sales!C:C,A31,Sales!K:K,"&gt;"&amp;$C$1,Sales!I:I,"LA")</f>
        <v>621</v>
      </c>
      <c r="G31" s="86">
        <f>SUMIFS(Sales!E:E,Sales!C:C,A31,Sales!K:K,"&gt;"&amp;$C$1,Sales!L:L,"&gt;0",Sales!I:I,"LA")</f>
        <v>621</v>
      </c>
      <c r="H31" s="365">
        <f ca="1">C31+E31-G31+SUMIFS(Transfer!W:W,Transfer!O:O,A31,Transfer!Q:Q,"LA",Transfer!U:U,"&gt;"&amp;$C$1)-SUMIFS(Transfer!V:V,Transfer!O:O,A31,Transfer!P:P,"LA",Transfer!T:T,"&gt;"&amp;$C$1)</f>
        <v>621</v>
      </c>
      <c r="I31" s="86">
        <f ca="1">D31-E31+SUMIFS(Transfer!V:V,Transfer!O:O,A31,Transfer!Q:Q,"LA")-SUMIFS(Transfer!W:W,Transfer!O:O,A31,Transfer!Q:Q,"LA")</f>
        <v>0</v>
      </c>
      <c r="J31" s="86">
        <f>SUMIFS(Purchase!F:F,Purchase!C:C,A31,Purchase!V:V,"暂缓发货",Purchase!U:U,"LA")</f>
        <v>0</v>
      </c>
      <c r="K31" s="86">
        <f t="shared" si="0"/>
        <v>0</v>
      </c>
      <c r="L31" s="86">
        <f ca="1" t="shared" si="1"/>
        <v>621</v>
      </c>
      <c r="M31" s="365">
        <f ca="1" t="shared" si="2"/>
        <v>621</v>
      </c>
      <c r="N31" s="86" t="str">
        <f ca="1">_xlfn.XLOOKUP(A31,'Product List'!B:B,'Product List'!F:F)</f>
        <v>C</v>
      </c>
      <c r="O31" s="366">
        <f>SUMIFS('Weekly Sales'!R:R,'Weekly Sales'!B:B,A31,'Weekly Sales'!U:U,"LA")</f>
        <v>0</v>
      </c>
      <c r="P31" s="367">
        <f ca="1" t="shared" si="3"/>
        <v>999</v>
      </c>
      <c r="Q31" s="367">
        <f ca="1" t="shared" si="4"/>
        <v>999</v>
      </c>
      <c r="R31" s="86">
        <f>_xlfn.XLOOKUP(A31,'Product List'!B:B,'Product List'!P:P)</f>
        <v>15</v>
      </c>
      <c r="S31" s="86">
        <f ca="1" t="shared" si="5"/>
        <v>2</v>
      </c>
      <c r="T31" s="366">
        <f ca="1">SUMIFS('Weekly Sales'!T:T,'Weekly Sales'!B:B,A31,'Weekly Sales'!U:U,"LA")</f>
        <v>0</v>
      </c>
      <c r="U31" s="86">
        <f>_xlfn.XLOOKUP(A31,'Product List'!B:B,'Product List'!O:O)</f>
        <v>500</v>
      </c>
      <c r="V31" s="368">
        <f ca="1" t="shared" si="6"/>
        <v>0</v>
      </c>
      <c r="W31" s="86" cm="1">
        <f ca="1" t="array" ref="W31">_xlfn.XLOOKUP(1,('Case Pack'!A:A=A31)*('Case Pack'!F:F&lt;=TODAY()),'Case Pack'!D:D,"未找到箱规")</f>
        <v>27</v>
      </c>
      <c r="X31" s="86" t="str">
        <f>_xlfn.XLOOKUP(A31,'Product List'!B:B,'Product List'!M:M)</f>
        <v>PetcoMX,PSP，Canada</v>
      </c>
      <c r="Y31" s="86" t="str" cm="1">
        <f ca="1" t="array" ref="Y31">_xlfn.XLOOKUP(1,('Case Pack'!A:A=A31)*('Case Pack'!F:F&lt;=TODAY()),'Case Pack'!G:G,"未找到箱规")</f>
        <v>C</v>
      </c>
      <c r="Z31" s="86">
        <f ca="1" t="shared" si="7"/>
        <v>0</v>
      </c>
      <c r="AA31" s="86">
        <f ca="1">_xlfn.XLOOKUP(Y31,'Case Type'!A:A,'Case Type'!H:H)*Z31</f>
        <v>0</v>
      </c>
    </row>
    <row r="32" spans="1:27">
      <c r="A32" s="86" t="s">
        <v>58</v>
      </c>
      <c r="B32" s="86" t="str">
        <f>_xlfn.XLOOKUP(A32,'Product List'!B:B,'Product List'!I:I)</f>
        <v>MINI/MOE SMALL ANIMAL HOUSING CAKE HOUSE 1EA</v>
      </c>
      <c r="C32" s="86">
        <v>0</v>
      </c>
      <c r="D32" s="86">
        <f>SUMIFS(Purchase!F:F,Purchase!C:C,A32,Purchase!I:I,"&gt;"&amp;$C$1,Purchase!V:V,"&lt;&gt;暂缓发货",Purchase!U:U,"LA")</f>
        <v>1248</v>
      </c>
      <c r="E32" s="86">
        <f>SUMIFS(Purchase!F:F,Purchase!C:C,A32,Purchase!J:J,"&gt;0",Purchase!I:I,"&gt;"&amp;$C$1,Purchase!U:U,"LA")</f>
        <v>1248</v>
      </c>
      <c r="F32" s="86">
        <f>SUMIFS(Sales!E:E,Sales!C:C,A32,Sales!K:K,"&gt;"&amp;$C$1,Sales!I:I,"LA")</f>
        <v>312</v>
      </c>
      <c r="G32" s="86">
        <f>SUMIFS(Sales!E:E,Sales!C:C,A32,Sales!K:K,"&gt;"&amp;$C$1,Sales!L:L,"&gt;0",Sales!I:I,"LA")</f>
        <v>312</v>
      </c>
      <c r="H32" s="365">
        <f ca="1">C32+E32-G32+SUMIFS(Transfer!W:W,Transfer!O:O,A32,Transfer!Q:Q,"LA",Transfer!U:U,"&gt;"&amp;$C$1)-SUMIFS(Transfer!V:V,Transfer!O:O,A32,Transfer!P:P,"LA",Transfer!T:T,"&gt;"&amp;$C$1)</f>
        <v>936</v>
      </c>
      <c r="I32" s="86">
        <f ca="1">D32-E32+SUMIFS(Transfer!V:V,Transfer!O:O,A32,Transfer!Q:Q,"LA")-SUMIFS(Transfer!W:W,Transfer!O:O,A32,Transfer!Q:Q,"LA")</f>
        <v>0</v>
      </c>
      <c r="J32" s="86">
        <f>SUMIFS(Purchase!F:F,Purchase!C:C,A32,Purchase!V:V,"暂缓发货",Purchase!U:U,"LA")</f>
        <v>0</v>
      </c>
      <c r="K32" s="86">
        <f t="shared" si="0"/>
        <v>0</v>
      </c>
      <c r="L32" s="86">
        <f ca="1" t="shared" si="1"/>
        <v>936</v>
      </c>
      <c r="M32" s="365">
        <f ca="1" t="shared" si="2"/>
        <v>936</v>
      </c>
      <c r="N32" s="86" t="str">
        <f ca="1">_xlfn.XLOOKUP(A32,'Product List'!B:B,'Product List'!F:F)</f>
        <v>C</v>
      </c>
      <c r="O32" s="366">
        <f>SUMIFS('Weekly Sales'!R:R,'Weekly Sales'!B:B,A32,'Weekly Sales'!U:U,"LA")</f>
        <v>0</v>
      </c>
      <c r="P32" s="367">
        <f ca="1" t="shared" si="3"/>
        <v>999</v>
      </c>
      <c r="Q32" s="367">
        <f ca="1" t="shared" si="4"/>
        <v>999</v>
      </c>
      <c r="R32" s="86">
        <f>_xlfn.XLOOKUP(A32,'Product List'!B:B,'Product List'!P:P)</f>
        <v>15</v>
      </c>
      <c r="S32" s="86">
        <f ca="1" t="shared" si="5"/>
        <v>2</v>
      </c>
      <c r="T32" s="366">
        <f ca="1">SUMIFS('Weekly Sales'!T:T,'Weekly Sales'!B:B,A32,'Weekly Sales'!U:U,"LA")</f>
        <v>0</v>
      </c>
      <c r="U32" s="86">
        <f>_xlfn.XLOOKUP(A32,'Product List'!B:B,'Product List'!O:O)</f>
        <v>500</v>
      </c>
      <c r="V32" s="368">
        <f ca="1" t="shared" si="6"/>
        <v>0</v>
      </c>
      <c r="W32" s="86" cm="1">
        <f ca="1" t="array" ref="W32">_xlfn.XLOOKUP(1,('Case Pack'!A:A=A32)*('Case Pack'!F:F&lt;=TODAY()),'Case Pack'!D:D,"未找到箱规")</f>
        <v>13</v>
      </c>
      <c r="X32" s="86" t="str">
        <f>_xlfn.XLOOKUP(A32,'Product List'!B:B,'Product List'!M:M)</f>
        <v>PSP，Canada</v>
      </c>
      <c r="Y32" s="86" t="str" cm="1">
        <f ca="1" t="array" ref="Y32">_xlfn.XLOOKUP(1,('Case Pack'!A:A=A32)*('Case Pack'!F:F&lt;=TODAY()),'Case Pack'!G:G,"未找到箱规")</f>
        <v>C</v>
      </c>
      <c r="Z32" s="86">
        <f ca="1" t="shared" si="7"/>
        <v>0</v>
      </c>
      <c r="AA32" s="86">
        <f ca="1">_xlfn.XLOOKUP(Y32,'Case Type'!A:A,'Case Type'!H:H)*Z32</f>
        <v>0</v>
      </c>
    </row>
    <row r="33" spans="1:27">
      <c r="A33" s="94" t="s">
        <v>59</v>
      </c>
      <c r="B33" s="86" t="str">
        <f>_xlfn.XLOOKUP(A33,'Product List'!B:B,'Product List'!I:I)</f>
        <v>Sugar Jar</v>
      </c>
      <c r="C33" s="86">
        <v>0</v>
      </c>
      <c r="D33" s="86">
        <f>SUMIFS(Purchase!F:F,Purchase!C:C,A33,Purchase!I:I,"&gt;"&amp;$C$1,Purchase!V:V,"&lt;&gt;暂缓发货",Purchase!U:U,"LA")</f>
        <v>1242</v>
      </c>
      <c r="E33" s="86">
        <f>SUMIFS(Purchase!F:F,Purchase!C:C,A33,Purchase!J:J,"&gt;0",Purchase!I:I,"&gt;"&amp;$C$1,Purchase!U:U,"LA")</f>
        <v>1242</v>
      </c>
      <c r="F33" s="86">
        <f>SUMIFS(Sales!E:E,Sales!C:C,A33,Sales!K:K,"&gt;"&amp;$C$1,Sales!I:I,"LA")</f>
        <v>621</v>
      </c>
      <c r="G33" s="86">
        <f>SUMIFS(Sales!E:E,Sales!C:C,A33,Sales!K:K,"&gt;"&amp;$C$1,Sales!L:L,"&gt;0",Sales!I:I,"LA")</f>
        <v>621</v>
      </c>
      <c r="H33" s="365">
        <f ca="1">C33+E33-G33+SUMIFS(Transfer!W:W,Transfer!O:O,A33,Transfer!Q:Q,"LA",Transfer!U:U,"&gt;"&amp;$C$1)-SUMIFS(Transfer!V:V,Transfer!O:O,A33,Transfer!P:P,"LA",Transfer!T:T,"&gt;"&amp;$C$1)</f>
        <v>621</v>
      </c>
      <c r="I33" s="86">
        <f ca="1">D33-E33+SUMIFS(Transfer!V:V,Transfer!O:O,A33,Transfer!Q:Q,"LA")-SUMIFS(Transfer!W:W,Transfer!O:O,A33,Transfer!Q:Q,"LA")</f>
        <v>0</v>
      </c>
      <c r="J33" s="86">
        <f>SUMIFS(Purchase!F:F,Purchase!C:C,A33,Purchase!V:V,"暂缓发货",Purchase!U:U,"LA")</f>
        <v>0</v>
      </c>
      <c r="K33" s="86">
        <f t="shared" si="0"/>
        <v>0</v>
      </c>
      <c r="L33" s="86">
        <f ca="1" t="shared" si="1"/>
        <v>621</v>
      </c>
      <c r="M33" s="365">
        <f ca="1" t="shared" si="2"/>
        <v>621</v>
      </c>
      <c r="N33" s="86" t="str">
        <f ca="1">_xlfn.XLOOKUP(A33,'Product List'!B:B,'Product List'!F:F)</f>
        <v>C</v>
      </c>
      <c r="O33" s="366">
        <f>SUMIFS('Weekly Sales'!R:R,'Weekly Sales'!B:B,A33,'Weekly Sales'!U:U,"LA")</f>
        <v>0</v>
      </c>
      <c r="P33" s="367">
        <f ca="1" t="shared" si="3"/>
        <v>999</v>
      </c>
      <c r="Q33" s="367">
        <f ca="1" t="shared" si="4"/>
        <v>999</v>
      </c>
      <c r="R33" s="86">
        <f>_xlfn.XLOOKUP(A33,'Product List'!B:B,'Product List'!P:P)</f>
        <v>15</v>
      </c>
      <c r="S33" s="86">
        <f ca="1" t="shared" si="5"/>
        <v>2</v>
      </c>
      <c r="T33" s="366">
        <f ca="1">SUMIFS('Weekly Sales'!T:T,'Weekly Sales'!B:B,A33,'Weekly Sales'!U:U,"LA")</f>
        <v>0</v>
      </c>
      <c r="U33" s="86">
        <f>_xlfn.XLOOKUP(A33,'Product List'!B:B,'Product List'!O:O)</f>
        <v>500</v>
      </c>
      <c r="V33" s="368">
        <f ca="1" t="shared" si="6"/>
        <v>0</v>
      </c>
      <c r="W33" s="86" cm="1">
        <f ca="1" t="array" ref="W33">_xlfn.XLOOKUP(1,('Case Pack'!A:A=A33)*('Case Pack'!F:F&lt;=TODAY()),'Case Pack'!D:D,"未找到箱规")</f>
        <v>27</v>
      </c>
      <c r="X33" s="86" t="str">
        <f>_xlfn.XLOOKUP(A33,'Product List'!B:B,'Product List'!M:M)</f>
        <v>PetcoMX，PSP，Canada</v>
      </c>
      <c r="Y33" s="86" t="str" cm="1">
        <f ca="1" t="array" ref="Y33">_xlfn.XLOOKUP(1,('Case Pack'!A:A=A33)*('Case Pack'!F:F&lt;=TODAY()),'Case Pack'!G:G,"未找到箱规")</f>
        <v>C</v>
      </c>
      <c r="Z33" s="86">
        <f ca="1" t="shared" si="7"/>
        <v>0</v>
      </c>
      <c r="AA33" s="86">
        <f ca="1">_xlfn.XLOOKUP(Y33,'Case Type'!A:A,'Case Type'!H:H)*Z33</f>
        <v>0</v>
      </c>
    </row>
    <row r="34" spans="1:27">
      <c r="A34" s="86" t="s">
        <v>60</v>
      </c>
      <c r="B34" s="86" t="str">
        <f>_xlfn.XLOOKUP(A34,'Product List'!B:B,'Product List'!I:I)</f>
        <v>MMO-STARFISH CASTLE</v>
      </c>
      <c r="C34" s="86">
        <v>504</v>
      </c>
      <c r="D34" s="86">
        <f>SUMIFS(Purchase!F:F,Purchase!C:C,A34,Purchase!I:I,"&gt;"&amp;$C$1,Purchase!V:V,"&lt;&gt;暂缓发货",Purchase!U:U,"LA")</f>
        <v>1840</v>
      </c>
      <c r="E34" s="86">
        <f>SUMIFS(Purchase!F:F,Purchase!C:C,A34,Purchase!J:J,"&gt;0",Purchase!I:I,"&gt;"&amp;$C$1,Purchase!U:U,"LA")</f>
        <v>1840</v>
      </c>
      <c r="F34" s="86">
        <f>SUMIFS(Sales!E:E,Sales!C:C,A34,Sales!K:K,"&gt;"&amp;$C$1,Sales!I:I,"LA")</f>
        <v>2244</v>
      </c>
      <c r="G34" s="86">
        <f>SUMIFS(Sales!E:E,Sales!C:C,A34,Sales!K:K,"&gt;"&amp;$C$1,Sales!L:L,"&gt;0",Sales!I:I,"LA")</f>
        <v>2104</v>
      </c>
      <c r="H34" s="365">
        <f ca="1">C34+E34-G34+SUMIFS(Transfer!W:W,Transfer!O:O,A34,Transfer!Q:Q,"LA",Transfer!U:U,"&gt;"&amp;$C$1)-SUMIFS(Transfer!V:V,Transfer!O:O,A34,Transfer!P:P,"LA",Transfer!T:T,"&gt;"&amp;$C$1)</f>
        <v>240</v>
      </c>
      <c r="I34" s="86">
        <f ca="1">D34-E34+SUMIFS(Transfer!V:V,Transfer!O:O,A34,Transfer!Q:Q,"LA")-SUMIFS(Transfer!W:W,Transfer!O:O,A34,Transfer!Q:Q,"LA")</f>
        <v>0</v>
      </c>
      <c r="J34" s="86">
        <f>SUMIFS(Purchase!F:F,Purchase!C:C,A34,Purchase!V:V,"暂缓发货",Purchase!U:U,"LA")</f>
        <v>0</v>
      </c>
      <c r="K34" s="86">
        <f t="shared" si="0"/>
        <v>140</v>
      </c>
      <c r="L34" s="86">
        <f ca="1" t="shared" si="1"/>
        <v>100</v>
      </c>
      <c r="M34" s="365">
        <f ca="1" t="shared" si="2"/>
        <v>100</v>
      </c>
      <c r="N34" s="86" t="str">
        <f ca="1">_xlfn.XLOOKUP(A34,'Product List'!B:B,'Product List'!F:F)</f>
        <v>B</v>
      </c>
      <c r="O34" s="366">
        <f>SUMIFS('Weekly Sales'!R:R,'Weekly Sales'!B:B,A34,'Weekly Sales'!U:U,"LA")</f>
        <v>0</v>
      </c>
      <c r="P34" s="367">
        <f ca="1" t="shared" si="3"/>
        <v>999</v>
      </c>
      <c r="Q34" s="367">
        <f ca="1" t="shared" si="4"/>
        <v>999</v>
      </c>
      <c r="R34" s="86">
        <f>_xlfn.XLOOKUP(A34,'Product List'!B:B,'Product List'!P:P)</f>
        <v>15</v>
      </c>
      <c r="S34" s="86">
        <f ca="1" t="shared" si="5"/>
        <v>5</v>
      </c>
      <c r="T34" s="366">
        <f ca="1">SUMIFS('Weekly Sales'!T:T,'Weekly Sales'!B:B,A34,'Weekly Sales'!U:U,"LA")</f>
        <v>0</v>
      </c>
      <c r="U34" s="86">
        <f>_xlfn.XLOOKUP(A34,'Product List'!B:B,'Product List'!O:O)</f>
        <v>500</v>
      </c>
      <c r="V34" s="368">
        <f ca="1" t="shared" si="6"/>
        <v>0</v>
      </c>
      <c r="W34" s="86" cm="1">
        <f ca="1" t="array" ref="W34">_xlfn.XLOOKUP(1,('Case Pack'!A:A=A34)*('Case Pack'!F:F&lt;=TODAY()),'Case Pack'!D:D,"未找到箱规")</f>
        <v>20</v>
      </c>
      <c r="X34" s="86" t="str">
        <f>_xlfn.XLOOKUP(A34,'Product List'!B:B,'Product List'!M:M)</f>
        <v>PetcoUS</v>
      </c>
      <c r="Y34" s="86" t="str" cm="1">
        <f ca="1" t="array" ref="Y34">_xlfn.XLOOKUP(1,('Case Pack'!A:A=A34)*('Case Pack'!F:F&lt;=TODAY()),'Case Pack'!G:G,"未找到箱规")</f>
        <v>C</v>
      </c>
      <c r="Z34" s="86">
        <f ca="1" t="shared" si="7"/>
        <v>0</v>
      </c>
      <c r="AA34" s="86">
        <f ca="1">_xlfn.XLOOKUP(Y34,'Case Type'!A:A,'Case Type'!H:H)*Z34</f>
        <v>0</v>
      </c>
    </row>
    <row r="35" spans="1:27">
      <c r="A35" s="86" t="s">
        <v>61</v>
      </c>
      <c r="B35" s="86" t="str">
        <f>_xlfn.XLOOKUP(A35,'Product List'!B:B,'Product List'!I:I)</f>
        <v>MMO-WAVE BRIDGE</v>
      </c>
      <c r="C35" s="86">
        <v>352</v>
      </c>
      <c r="D35" s="86">
        <f>SUMIFS(Purchase!F:F,Purchase!C:C,A35,Purchase!I:I,"&gt;"&amp;$C$1,Purchase!V:V,"&lt;&gt;暂缓发货",Purchase!U:U,"LA")</f>
        <v>2508</v>
      </c>
      <c r="E35" s="86">
        <f>SUMIFS(Purchase!F:F,Purchase!C:C,A35,Purchase!J:J,"&gt;0",Purchase!I:I,"&gt;"&amp;$C$1,Purchase!U:U,"LA")</f>
        <v>2508</v>
      </c>
      <c r="F35" s="86">
        <f>SUMIFS(Sales!E:E,Sales!C:C,A35,Sales!K:K,"&gt;"&amp;$C$1,Sales!I:I,"LA")</f>
        <v>2853</v>
      </c>
      <c r="G35" s="86">
        <f>SUMIFS(Sales!E:E,Sales!C:C,A35,Sales!K:K,"&gt;"&amp;$C$1,Sales!L:L,"&gt;0",Sales!I:I,"LA")</f>
        <v>2853</v>
      </c>
      <c r="H35" s="365">
        <f ca="1">C35+E35-G35+SUMIFS(Transfer!W:W,Transfer!O:O,A35,Transfer!Q:Q,"LA",Transfer!U:U,"&gt;"&amp;$C$1)-SUMIFS(Transfer!V:V,Transfer!O:O,A35,Transfer!P:P,"LA",Transfer!T:T,"&gt;"&amp;$C$1)</f>
        <v>7</v>
      </c>
      <c r="I35" s="86">
        <f ca="1">D35-E35+SUMIFS(Transfer!V:V,Transfer!O:O,A35,Transfer!Q:Q,"LA")-SUMIFS(Transfer!W:W,Transfer!O:O,A35,Transfer!Q:Q,"LA")</f>
        <v>0</v>
      </c>
      <c r="J35" s="86">
        <f>SUMIFS(Purchase!F:F,Purchase!C:C,A35,Purchase!V:V,"暂缓发货",Purchase!U:U,"LA")</f>
        <v>0</v>
      </c>
      <c r="K35" s="86">
        <f t="shared" si="0"/>
        <v>0</v>
      </c>
      <c r="L35" s="86">
        <f ca="1" t="shared" si="1"/>
        <v>7</v>
      </c>
      <c r="M35" s="365">
        <f ca="1" t="shared" si="2"/>
        <v>7</v>
      </c>
      <c r="N35" s="86" t="str">
        <f ca="1">_xlfn.XLOOKUP(A35,'Product List'!B:B,'Product List'!F:F)</f>
        <v>B</v>
      </c>
      <c r="O35" s="366">
        <f>SUMIFS('Weekly Sales'!R:R,'Weekly Sales'!B:B,A35,'Weekly Sales'!U:U,"LA")</f>
        <v>0</v>
      </c>
      <c r="P35" s="367">
        <f ca="1" t="shared" si="3"/>
        <v>999</v>
      </c>
      <c r="Q35" s="367">
        <f ca="1" t="shared" si="4"/>
        <v>999</v>
      </c>
      <c r="R35" s="86">
        <f>_xlfn.XLOOKUP(A35,'Product List'!B:B,'Product List'!P:P)</f>
        <v>15</v>
      </c>
      <c r="S35" s="86">
        <f ca="1" t="shared" si="5"/>
        <v>5</v>
      </c>
      <c r="T35" s="366">
        <f ca="1">SUMIFS('Weekly Sales'!T:T,'Weekly Sales'!B:B,A35,'Weekly Sales'!U:U,"LA")</f>
        <v>0</v>
      </c>
      <c r="U35" s="86">
        <f>_xlfn.XLOOKUP(A35,'Product List'!B:B,'Product List'!O:O)</f>
        <v>500</v>
      </c>
      <c r="V35" s="368">
        <f ca="1" t="shared" si="6"/>
        <v>0</v>
      </c>
      <c r="W35" s="86" cm="1">
        <f ca="1" t="array" ref="W35">_xlfn.XLOOKUP(1,('Case Pack'!A:A=A35)*('Case Pack'!F:F&lt;=TODAY()),'Case Pack'!D:D,"未找到箱规")</f>
        <v>33</v>
      </c>
      <c r="X35" s="86" t="str">
        <f>_xlfn.XLOOKUP(A35,'Product List'!B:B,'Product List'!M:M)</f>
        <v>PetcoUS，Canada</v>
      </c>
      <c r="Y35" s="86" t="str" cm="1">
        <f ca="1" t="array" ref="Y35">_xlfn.XLOOKUP(1,('Case Pack'!A:A=A35)*('Case Pack'!F:F&lt;=TODAY()),'Case Pack'!G:G,"未找到箱规")</f>
        <v>C</v>
      </c>
      <c r="Z35" s="86">
        <f ca="1" t="shared" si="7"/>
        <v>0</v>
      </c>
      <c r="AA35" s="86">
        <f ca="1">_xlfn.XLOOKUP(Y35,'Case Type'!A:A,'Case Type'!H:H)*Z35</f>
        <v>0</v>
      </c>
    </row>
    <row r="36" spans="1:27">
      <c r="A36" s="86" t="s">
        <v>62</v>
      </c>
      <c r="B36" s="86" t="str">
        <f>_xlfn.XLOOKUP(A36,'Product List'!B:B,'Product List'!I:I)</f>
        <v>MINI/MOE BENDABLE BIRCHWOOD FENCE</v>
      </c>
      <c r="C36" s="86">
        <f>746</f>
        <v>746</v>
      </c>
      <c r="D36" s="86">
        <f>SUMIFS(Purchase!F:F,Purchase!C:C,A36,Purchase!I:I,"&gt;"&amp;$C$1,Purchase!V:V,"&lt;&gt;暂缓发货",Purchase!U:U,"LA")</f>
        <v>2592</v>
      </c>
      <c r="E36" s="86">
        <f>SUMIFS(Purchase!F:F,Purchase!C:C,A36,Purchase!J:J,"&gt;0",Purchase!I:I,"&gt;"&amp;$C$1,Purchase!U:U,"LA")</f>
        <v>2592</v>
      </c>
      <c r="F36" s="86">
        <f>SUMIFS(Sales!E:E,Sales!C:C,A36,Sales!K:K,"&gt;"&amp;$C$1,Sales!I:I,"LA")</f>
        <v>2634</v>
      </c>
      <c r="G36" s="86">
        <f>SUMIFS(Sales!E:E,Sales!C:C,A36,Sales!K:K,"&gt;"&amp;$C$1,Sales!L:L,"&gt;0",Sales!I:I,"LA")</f>
        <v>2634</v>
      </c>
      <c r="H36" s="365">
        <f ca="1">C36+E36-G36+SUMIFS(Transfer!W:W,Transfer!O:O,A36,Transfer!Q:Q,"LA",Transfer!U:U,"&gt;"&amp;$C$1)-SUMIFS(Transfer!V:V,Transfer!O:O,A36,Transfer!P:P,"LA",Transfer!T:T,"&gt;"&amp;$C$1)</f>
        <v>704</v>
      </c>
      <c r="I36" s="86">
        <f ca="1">D36-E36+SUMIFS(Transfer!V:V,Transfer!O:O,A36,Transfer!Q:Q,"LA")-SUMIFS(Transfer!W:W,Transfer!O:O,A36,Transfer!Q:Q,"LA")</f>
        <v>0</v>
      </c>
      <c r="J36" s="86">
        <f>SUMIFS(Purchase!F:F,Purchase!C:C,A36,Purchase!V:V,"暂缓发货",Purchase!U:U,"LA")</f>
        <v>0</v>
      </c>
      <c r="K36" s="86">
        <f t="shared" si="0"/>
        <v>0</v>
      </c>
      <c r="L36" s="86">
        <f ca="1" t="shared" si="1"/>
        <v>704</v>
      </c>
      <c r="M36" s="365">
        <f ca="1" t="shared" si="2"/>
        <v>704</v>
      </c>
      <c r="N36" s="86" t="str">
        <f ca="1">_xlfn.XLOOKUP(A36,'Product List'!B:B,'Product List'!F:F)</f>
        <v>B</v>
      </c>
      <c r="O36" s="366">
        <f>SUMIFS('Weekly Sales'!R:R,'Weekly Sales'!B:B,A36,'Weekly Sales'!U:U,"LA")</f>
        <v>0</v>
      </c>
      <c r="P36" s="367">
        <f ca="1" t="shared" si="3"/>
        <v>999</v>
      </c>
      <c r="Q36" s="367">
        <f ca="1" t="shared" si="4"/>
        <v>999</v>
      </c>
      <c r="R36" s="86">
        <f>_xlfn.XLOOKUP(A36,'Product List'!B:B,'Product List'!P:P)</f>
        <v>15</v>
      </c>
      <c r="S36" s="86">
        <f ca="1" t="shared" si="5"/>
        <v>5</v>
      </c>
      <c r="T36" s="366">
        <f ca="1">SUMIFS('Weekly Sales'!T:T,'Weekly Sales'!B:B,A36,'Weekly Sales'!U:U,"LA")</f>
        <v>0</v>
      </c>
      <c r="U36" s="86">
        <f>_xlfn.XLOOKUP(A36,'Product List'!B:B,'Product List'!O:O)</f>
        <v>500</v>
      </c>
      <c r="V36" s="368">
        <f ca="1" t="shared" si="6"/>
        <v>0</v>
      </c>
      <c r="W36" s="86" cm="1">
        <f ca="1" t="array" ref="W36">_xlfn.XLOOKUP(1,('Case Pack'!A:A=A36)*('Case Pack'!F:F&lt;=TODAY()),'Case Pack'!D:D,"未找到箱规")</f>
        <v>32</v>
      </c>
      <c r="X36" s="86" t="str">
        <f>_xlfn.XLOOKUP(A36,'Product List'!B:B,'Product List'!M:M)</f>
        <v>PSP,  PetcoUS</v>
      </c>
      <c r="Y36" s="86" t="str" cm="1">
        <f ca="1" t="array" ref="Y36">_xlfn.XLOOKUP(1,('Case Pack'!A:A=A36)*('Case Pack'!F:F&lt;=TODAY()),'Case Pack'!G:G,"未找到箱规")</f>
        <v>F</v>
      </c>
      <c r="Z36" s="86">
        <f ca="1" t="shared" si="7"/>
        <v>0</v>
      </c>
      <c r="AA36" s="86">
        <f ca="1">_xlfn.XLOOKUP(Y36,'Case Type'!A:A,'Case Type'!H:H)*Z36</f>
        <v>0</v>
      </c>
    </row>
    <row r="37" spans="1:27">
      <c r="A37" s="94" t="s">
        <v>63</v>
      </c>
      <c r="B37" s="86" t="str">
        <f>_xlfn.XLOOKUP(A37,'Product List'!B:B,'Product List'!I:I)</f>
        <v>Crystal Outdoor Cage</v>
      </c>
      <c r="C37" s="86">
        <v>0</v>
      </c>
      <c r="D37" s="86">
        <f>SUMIFS(Purchase!F:F,Purchase!C:C,A37,Purchase!I:I,"&gt;"&amp;$C$1,Purchase!V:V,"&lt;&gt;暂缓发货",Purchase!U:U,"LA")</f>
        <v>1250</v>
      </c>
      <c r="E37" s="86">
        <f>SUMIFS(Purchase!F:F,Purchase!C:C,A37,Purchase!J:J,"&gt;0",Purchase!I:I,"&gt;"&amp;$C$1,Purchase!U:U,"LA")</f>
        <v>1250</v>
      </c>
      <c r="F37" s="86">
        <f>SUMIFS(Sales!E:E,Sales!C:C,A37,Sales!K:K,"&gt;"&amp;$C$1,Sales!I:I,"LA")</f>
        <v>305</v>
      </c>
      <c r="G37" s="86">
        <f>SUMIFS(Sales!E:E,Sales!C:C,A37,Sales!K:K,"&gt;"&amp;$C$1,Sales!L:L,"&gt;0",Sales!I:I,"LA")</f>
        <v>305</v>
      </c>
      <c r="H37" s="365">
        <f ca="1">C37+E37-G37+SUMIFS(Transfer!W:W,Transfer!O:O,A37,Transfer!Q:Q,"LA",Transfer!U:U,"&gt;"&amp;$C$1)-SUMIFS(Transfer!V:V,Transfer!O:O,A37,Transfer!P:P,"LA",Transfer!T:T,"&gt;"&amp;$C$1)</f>
        <v>945</v>
      </c>
      <c r="I37" s="86">
        <f ca="1">D37-E37+SUMIFS(Transfer!V:V,Transfer!O:O,A37,Transfer!Q:Q,"LA")-SUMIFS(Transfer!W:W,Transfer!O:O,A37,Transfer!Q:Q,"LA")</f>
        <v>0</v>
      </c>
      <c r="J37" s="86">
        <f>SUMIFS(Purchase!F:F,Purchase!C:C,A37,Purchase!V:V,"暂缓发货",Purchase!U:U,"LA")</f>
        <v>0</v>
      </c>
      <c r="K37" s="86">
        <f t="shared" si="0"/>
        <v>0</v>
      </c>
      <c r="L37" s="86">
        <f ca="1" t="shared" si="1"/>
        <v>945</v>
      </c>
      <c r="M37" s="365">
        <f ca="1" t="shared" si="2"/>
        <v>945</v>
      </c>
      <c r="N37" s="86" t="str">
        <f ca="1">_xlfn.XLOOKUP(A37,'Product List'!B:B,'Product List'!F:F)</f>
        <v>C</v>
      </c>
      <c r="O37" s="366">
        <f>SUMIFS('Weekly Sales'!R:R,'Weekly Sales'!B:B,A37,'Weekly Sales'!U:U,"LA")</f>
        <v>0</v>
      </c>
      <c r="P37" s="367">
        <f ca="1" t="shared" si="3"/>
        <v>999</v>
      </c>
      <c r="Q37" s="367">
        <f ca="1" t="shared" si="4"/>
        <v>999</v>
      </c>
      <c r="R37" s="86">
        <f>_xlfn.XLOOKUP(A37,'Product List'!B:B,'Product List'!P:P)</f>
        <v>10</v>
      </c>
      <c r="S37" s="86">
        <f ca="1" t="shared" si="5"/>
        <v>2</v>
      </c>
      <c r="T37" s="366">
        <f ca="1">SUMIFS('Weekly Sales'!T:T,'Weekly Sales'!B:B,A37,'Weekly Sales'!U:U,"LA")</f>
        <v>0</v>
      </c>
      <c r="U37" s="86">
        <f>_xlfn.XLOOKUP(A37,'Product List'!B:B,'Product List'!O:O)</f>
        <v>1000</v>
      </c>
      <c r="V37" s="368">
        <f ca="1" t="shared" si="6"/>
        <v>0</v>
      </c>
      <c r="W37" s="86" cm="1">
        <f ca="1" t="array" ref="W37">_xlfn.XLOOKUP(1,('Case Pack'!A:A=A37)*('Case Pack'!F:F&lt;=TODAY()),'Case Pack'!D:D,"未找到箱规")</f>
        <v>5</v>
      </c>
      <c r="X37" s="86" t="str">
        <f>_xlfn.XLOOKUP(A37,'Product List'!B:B,'Product List'!M:M)</f>
        <v>PetcoMX,PSP，Canada</v>
      </c>
      <c r="Y37" s="86" t="str" cm="1">
        <f ca="1" t="array" ref="Y37">_xlfn.XLOOKUP(1,('Case Pack'!A:A=A37)*('Case Pack'!F:F&lt;=TODAY()),'Case Pack'!G:G,"未找到箱规")</f>
        <v>A</v>
      </c>
      <c r="Z37" s="86">
        <f ca="1" t="shared" si="7"/>
        <v>0</v>
      </c>
      <c r="AA37" s="86">
        <f ca="1">_xlfn.XLOOKUP(Y37,'Case Type'!A:A,'Case Type'!H:H)*Z37</f>
        <v>0</v>
      </c>
    </row>
    <row r="38" spans="1:27">
      <c r="A38" s="94" t="s">
        <v>64</v>
      </c>
      <c r="B38" s="86" t="str">
        <f>_xlfn.XLOOKUP(A38,'Product List'!B:B,'Product List'!I:I)</f>
        <v>D. MMO-COTTAGE VIEW CAGE</v>
      </c>
      <c r="C38" s="86">
        <v>0</v>
      </c>
      <c r="D38" s="86">
        <f>SUMIFS(Purchase!F:F,Purchase!C:C,A38,Purchase!I:I,"&gt;"&amp;$C$1,Purchase!V:V,"&lt;&gt;暂缓发货",Purchase!U:U,"LA")</f>
        <v>741</v>
      </c>
      <c r="E38" s="86">
        <f>SUMIFS(Purchase!F:F,Purchase!C:C,A38,Purchase!J:J,"&gt;0",Purchase!I:I,"&gt;"&amp;$C$1,Purchase!U:U,"LA")</f>
        <v>741</v>
      </c>
      <c r="F38" s="86">
        <f>SUMIFS(Sales!E:E,Sales!C:C,A38,Sales!K:K,"&gt;"&amp;$C$1,Sales!I:I,"LA")</f>
        <v>306</v>
      </c>
      <c r="G38" s="86">
        <f>SUMIFS(Sales!E:E,Sales!C:C,A38,Sales!K:K,"&gt;"&amp;$C$1,Sales!L:L,"&gt;0",Sales!I:I,"LA")</f>
        <v>137</v>
      </c>
      <c r="H38" s="365">
        <f ca="1">C38+E38-G38+SUMIFS(Transfer!W:W,Transfer!O:O,A38,Transfer!Q:Q,"LA",Transfer!U:U,"&gt;"&amp;$C$1)-SUMIFS(Transfer!V:V,Transfer!O:O,A38,Transfer!P:P,"LA",Transfer!T:T,"&gt;"&amp;$C$1)</f>
        <v>604</v>
      </c>
      <c r="I38" s="86">
        <f ca="1">D38-E38+SUMIFS(Transfer!V:V,Transfer!O:O,A38,Transfer!Q:Q,"LA")-SUMIFS(Transfer!W:W,Transfer!O:O,A38,Transfer!Q:Q,"LA")</f>
        <v>0</v>
      </c>
      <c r="J38" s="86">
        <f>SUMIFS(Purchase!F:F,Purchase!C:C,A38,Purchase!V:V,"暂缓发货",Purchase!U:U,"LA")</f>
        <v>0</v>
      </c>
      <c r="K38" s="86">
        <f t="shared" si="0"/>
        <v>169</v>
      </c>
      <c r="L38" s="86">
        <f ca="1" t="shared" si="1"/>
        <v>435</v>
      </c>
      <c r="M38" s="365">
        <f ca="1" t="shared" si="2"/>
        <v>435</v>
      </c>
      <c r="N38" s="86" t="str">
        <f ca="1">_xlfn.XLOOKUP(A38,'Product List'!B:B,'Product List'!F:F)</f>
        <v>A</v>
      </c>
      <c r="O38" s="366">
        <f>SUMIFS('Weekly Sales'!R:R,'Weekly Sales'!B:B,A38,'Weekly Sales'!U:U,"LA")</f>
        <v>0</v>
      </c>
      <c r="P38" s="367">
        <f ca="1" t="shared" si="3"/>
        <v>999</v>
      </c>
      <c r="Q38" s="367">
        <f ca="1" t="shared" si="4"/>
        <v>999</v>
      </c>
      <c r="R38" s="86">
        <f>_xlfn.XLOOKUP(A38,'Product List'!B:B,'Product List'!P:P)</f>
        <v>10</v>
      </c>
      <c r="S38" s="86">
        <f ca="1" t="shared" si="5"/>
        <v>6</v>
      </c>
      <c r="T38" s="366">
        <f ca="1">SUMIFS('Weekly Sales'!T:T,'Weekly Sales'!B:B,A38,'Weekly Sales'!U:U,"LA")</f>
        <v>0</v>
      </c>
      <c r="U38" s="86">
        <f>_xlfn.XLOOKUP(A38,'Product List'!B:B,'Product List'!O:O)</f>
        <v>1000</v>
      </c>
      <c r="V38" s="368">
        <f ca="1" t="shared" si="6"/>
        <v>0</v>
      </c>
      <c r="W38" s="86" cm="1">
        <f ca="1" t="array" ref="W38">_xlfn.XLOOKUP(1,('Case Pack'!A:A=A38)*('Case Pack'!F:F&lt;=TODAY()),'Case Pack'!D:D,"未找到箱规")</f>
        <v>1</v>
      </c>
      <c r="X38" s="86" t="str">
        <f>_xlfn.XLOOKUP(A38,'Product List'!B:B,'Product List'!M:M)</f>
        <v>PSP, PetcoUS, PetcoMX</v>
      </c>
      <c r="Y38" s="86" t="str" cm="1">
        <f ca="1" t="array" ref="Y38">_xlfn.XLOOKUP(1,('Case Pack'!A:A=A38)*('Case Pack'!F:F&lt;=TODAY()),'Case Pack'!G:G,"未找到箱规")</f>
        <v>S3</v>
      </c>
      <c r="Z38" s="86">
        <f ca="1" t="shared" si="7"/>
        <v>0</v>
      </c>
      <c r="AA38" s="86">
        <f ca="1">_xlfn.XLOOKUP(Y38,'Case Type'!A:A,'Case Type'!H:H)*Z38</f>
        <v>0</v>
      </c>
    </row>
    <row r="39" spans="1:27">
      <c r="A39" s="86" t="s">
        <v>65</v>
      </c>
      <c r="B39" s="86" t="str">
        <f>_xlfn.XLOOKUP(A39,'Product List'!B:B,'Product List'!I:I)</f>
        <v>MINI/MOE ROCKING BIRDHOUSE HIDE 1EA</v>
      </c>
      <c r="C39" s="86">
        <v>0</v>
      </c>
      <c r="D39" s="86">
        <f>SUMIFS(Purchase!F:F,Purchase!C:C,A39,Purchase!I:I,"&gt;"&amp;$C$1,Purchase!V:V,"&lt;&gt;暂缓发货",Purchase!U:U,"LA")</f>
        <v>0</v>
      </c>
      <c r="E39" s="86">
        <f>SUMIFS(Purchase!F:F,Purchase!C:C,A39,Purchase!J:J,"&gt;0",Purchase!I:I,"&gt;"&amp;$C$1,Purchase!U:U,"LA")</f>
        <v>0</v>
      </c>
      <c r="F39" s="86">
        <f>SUMIFS(Sales!E:E,Sales!C:C,A39,Sales!K:K,"&gt;"&amp;$C$1,Sales!I:I,"LA")</f>
        <v>0</v>
      </c>
      <c r="G39" s="86">
        <f>SUMIFS(Sales!E:E,Sales!C:C,A39,Sales!K:K,"&gt;"&amp;$C$1,Sales!L:L,"&gt;0",Sales!I:I,"LA")</f>
        <v>0</v>
      </c>
      <c r="H39" s="365">
        <f ca="1">C39+E39-G39+SUMIFS(Transfer!W:W,Transfer!O:O,A39,Transfer!Q:Q,"LA",Transfer!U:U,"&gt;"&amp;$C$1)-SUMIFS(Transfer!V:V,Transfer!O:O,A39,Transfer!P:P,"LA",Transfer!T:T,"&gt;"&amp;$C$1)</f>
        <v>0</v>
      </c>
      <c r="I39" s="86">
        <f ca="1">D39-E39+SUMIFS(Transfer!V:V,Transfer!O:O,A39,Transfer!Q:Q,"LA")-SUMIFS(Transfer!W:W,Transfer!O:O,A39,Transfer!Q:Q,"LA")</f>
        <v>0</v>
      </c>
      <c r="J39" s="86">
        <f>SUMIFS(Purchase!F:F,Purchase!C:C,A39,Purchase!V:V,"暂缓发货",Purchase!U:U,"LA")</f>
        <v>0</v>
      </c>
      <c r="K39" s="86">
        <f t="shared" si="0"/>
        <v>0</v>
      </c>
      <c r="L39" s="86">
        <f ca="1" t="shared" si="1"/>
        <v>0</v>
      </c>
      <c r="M39" s="365">
        <f ca="1" t="shared" si="2"/>
        <v>0</v>
      </c>
      <c r="N39" s="86" t="str">
        <f ca="1">_xlfn.XLOOKUP(A39,'Product List'!B:B,'Product List'!F:F)</f>
        <v>C</v>
      </c>
      <c r="O39" s="366">
        <f>SUMIFS('Weekly Sales'!R:R,'Weekly Sales'!B:B,A39,'Weekly Sales'!U:U,"LA")</f>
        <v>0</v>
      </c>
      <c r="P39" s="367">
        <f ca="1" t="shared" si="3"/>
        <v>999</v>
      </c>
      <c r="Q39" s="367">
        <f ca="1" t="shared" si="4"/>
        <v>999</v>
      </c>
      <c r="R39" s="86">
        <f>_xlfn.XLOOKUP(A39,'Product List'!B:B,'Product List'!P:P)</f>
        <v>10</v>
      </c>
      <c r="S39" s="86">
        <f ca="1" t="shared" si="5"/>
        <v>2</v>
      </c>
      <c r="T39" s="366">
        <f ca="1">SUMIFS('Weekly Sales'!T:T,'Weekly Sales'!B:B,A39,'Weekly Sales'!U:U,"LA")</f>
        <v>0</v>
      </c>
      <c r="U39" s="86">
        <f>_xlfn.XLOOKUP(A39,'Product List'!B:B,'Product List'!O:O)</f>
        <v>500</v>
      </c>
      <c r="V39" s="368">
        <f ca="1" t="shared" si="6"/>
        <v>0</v>
      </c>
      <c r="W39" s="86" cm="1">
        <f ca="1" t="array" ref="W39">_xlfn.XLOOKUP(1,('Case Pack'!A:A=A39)*('Case Pack'!F:F&lt;=TODAY()),'Case Pack'!D:D,"未找到箱规")</f>
        <v>18</v>
      </c>
      <c r="X39" s="86" t="str">
        <f>_xlfn.XLOOKUP(A39,'Product List'!B:B,'Product List'!M:M)</f>
        <v>PSP</v>
      </c>
      <c r="Y39" s="86" t="str" cm="1">
        <f ca="1" t="array" ref="Y39">_xlfn.XLOOKUP(1,('Case Pack'!A:A=A39)*('Case Pack'!F:F&lt;=TODAY()),'Case Pack'!G:G,"未找到箱规")</f>
        <v>C</v>
      </c>
      <c r="Z39" s="86">
        <f ca="1" t="shared" si="7"/>
        <v>0</v>
      </c>
      <c r="AA39" s="86">
        <f ca="1">_xlfn.XLOOKUP(Y39,'Case Type'!A:A,'Case Type'!H:H)*Z39</f>
        <v>0</v>
      </c>
    </row>
    <row r="40" spans="1:27">
      <c r="A40" s="94" t="s">
        <v>66</v>
      </c>
      <c r="B40" s="86" t="str">
        <f>_xlfn.XLOOKUP(A40,'Product List'!B:B,'Product List'!I:I)</f>
        <v>Bubble water bottle (color:green)</v>
      </c>
      <c r="C40" s="86">
        <v>144</v>
      </c>
      <c r="D40" s="86">
        <f>SUMIFS(Purchase!F:F,Purchase!C:C,A40,Purchase!I:I,"&gt;"&amp;$C$1,Purchase!V:V,"&lt;&gt;暂缓发货",Purchase!U:U,"LA")</f>
        <v>288</v>
      </c>
      <c r="E40" s="86">
        <f>SUMIFS(Purchase!F:F,Purchase!C:C,A40,Purchase!J:J,"&gt;0",Purchase!I:I,"&gt;"&amp;$C$1,Purchase!U:U,"LA")</f>
        <v>288</v>
      </c>
      <c r="F40" s="86">
        <f>SUMIFS(Sales!E:E,Sales!C:C,A40,Sales!K:K,"&gt;"&amp;$C$1,Sales!I:I,"LA")</f>
        <v>198</v>
      </c>
      <c r="G40" s="86">
        <f>SUMIFS(Sales!E:E,Sales!C:C,A40,Sales!K:K,"&gt;"&amp;$C$1,Sales!L:L,"&gt;0",Sales!I:I,"LA")</f>
        <v>198</v>
      </c>
      <c r="H40" s="365">
        <f ca="1">C40+E40-G40+SUMIFS(Transfer!W:W,Transfer!O:O,A40,Transfer!Q:Q,"LA",Transfer!U:U,"&gt;"&amp;$C$1)-SUMIFS(Transfer!V:V,Transfer!O:O,A40,Transfer!P:P,"LA",Transfer!T:T,"&gt;"&amp;$C$1)</f>
        <v>234</v>
      </c>
      <c r="I40" s="86">
        <f ca="1">D40-E40+SUMIFS(Transfer!V:V,Transfer!O:O,A40,Transfer!Q:Q,"LA")-SUMIFS(Transfer!W:W,Transfer!O:O,A40,Transfer!Q:Q,"LA")</f>
        <v>0</v>
      </c>
      <c r="J40" s="86">
        <f>SUMIFS(Purchase!F:F,Purchase!C:C,A40,Purchase!V:V,"暂缓发货",Purchase!U:U,"LA")</f>
        <v>0</v>
      </c>
      <c r="K40" s="86">
        <f t="shared" si="0"/>
        <v>0</v>
      </c>
      <c r="L40" s="86">
        <f ca="1" t="shared" si="1"/>
        <v>234</v>
      </c>
      <c r="M40" s="365">
        <f ca="1" t="shared" si="2"/>
        <v>234</v>
      </c>
      <c r="N40" s="86" t="str">
        <f ca="1">_xlfn.XLOOKUP(A40,'Product List'!B:B,'Product List'!F:F)</f>
        <v>C</v>
      </c>
      <c r="O40" s="366">
        <f>SUMIFS('Weekly Sales'!R:R,'Weekly Sales'!B:B,A40,'Weekly Sales'!U:U,"LA")</f>
        <v>0</v>
      </c>
      <c r="P40" s="367">
        <f ca="1" t="shared" si="3"/>
        <v>999</v>
      </c>
      <c r="Q40" s="367">
        <f ca="1" t="shared" si="4"/>
        <v>999</v>
      </c>
      <c r="R40" s="86">
        <f>_xlfn.XLOOKUP(A40,'Product List'!B:B,'Product List'!P:P)</f>
        <v>10</v>
      </c>
      <c r="S40" s="86">
        <f ca="1" t="shared" si="5"/>
        <v>2</v>
      </c>
      <c r="T40" s="366">
        <f ca="1">SUMIFS('Weekly Sales'!T:T,'Weekly Sales'!B:B,A40,'Weekly Sales'!U:U,"LA")</f>
        <v>0</v>
      </c>
      <c r="U40" s="86">
        <f>_xlfn.XLOOKUP(A40,'Product List'!B:B,'Product List'!O:O)</f>
        <v>1000</v>
      </c>
      <c r="V40" s="368">
        <f ca="1" t="shared" si="6"/>
        <v>0</v>
      </c>
      <c r="W40" s="86" cm="1">
        <f ca="1" t="array" ref="W40">_xlfn.XLOOKUP(1,('Case Pack'!A:A=A40)*('Case Pack'!F:F&lt;=TODAY()),'Case Pack'!D:D,"未找到箱规")</f>
        <v>18</v>
      </c>
      <c r="X40" s="86" t="str">
        <f>_xlfn.XLOOKUP(A40,'Product List'!B:B,'Product List'!M:M)</f>
        <v>Pet Supermarket,PetcoMX</v>
      </c>
      <c r="Y40" s="86" t="str" cm="1">
        <f ca="1" t="array" ref="Y40">_xlfn.XLOOKUP(1,('Case Pack'!A:A=A40)*('Case Pack'!F:F&lt;=TODAY()),'Case Pack'!G:G,"未找到箱规")</f>
        <v>B</v>
      </c>
      <c r="Z40" s="86">
        <f ca="1" t="shared" si="7"/>
        <v>0</v>
      </c>
      <c r="AA40" s="86">
        <f ca="1">_xlfn.XLOOKUP(Y40,'Case Type'!A:A,'Case Type'!H:H)*Z40</f>
        <v>0</v>
      </c>
    </row>
    <row r="41" spans="1:27">
      <c r="A41" s="86" t="s">
        <v>67</v>
      </c>
      <c r="B41" s="86" t="str">
        <f>_xlfn.XLOOKUP(A41,'Product List'!B:B,'Product List'!I:I)</f>
        <v>MMO-BUBBLE WATER BOTTLE</v>
      </c>
      <c r="C41" s="86">
        <v>360</v>
      </c>
      <c r="D41" s="86">
        <f>SUMIFS(Purchase!F:F,Purchase!C:C,A41,Purchase!I:I,"&gt;"&amp;$C$1,Purchase!V:V,"&lt;&gt;暂缓发货",Purchase!U:U,"LA")</f>
        <v>18648</v>
      </c>
      <c r="E41" s="86">
        <f>SUMIFS(Purchase!F:F,Purchase!C:C,A41,Purchase!J:J,"&gt;0",Purchase!I:I,"&gt;"&amp;$C$1,Purchase!U:U,"LA")</f>
        <v>18648</v>
      </c>
      <c r="F41" s="86">
        <f>SUMIFS(Sales!E:E,Sales!C:C,A41,Sales!K:K,"&gt;"&amp;$C$1,Sales!I:I,"LA")</f>
        <v>13590</v>
      </c>
      <c r="G41" s="86">
        <f>SUMIFS(Sales!E:E,Sales!C:C,A41,Sales!K:K,"&gt;"&amp;$C$1,Sales!L:L,"&gt;0",Sales!I:I,"LA")</f>
        <v>10566</v>
      </c>
      <c r="H41" s="365">
        <f ca="1">C41+E41-G41+SUMIFS(Transfer!W:W,Transfer!O:O,A41,Transfer!Q:Q,"LA",Transfer!U:U,"&gt;"&amp;$C$1)-SUMIFS(Transfer!V:V,Transfer!O:O,A41,Transfer!P:P,"LA",Transfer!T:T,"&gt;"&amp;$C$1)</f>
        <v>8442</v>
      </c>
      <c r="I41" s="86">
        <f ca="1">D41-E41+SUMIFS(Transfer!V:V,Transfer!O:O,A41,Transfer!Q:Q,"LA")-SUMIFS(Transfer!W:W,Transfer!O:O,A41,Transfer!Q:Q,"LA")</f>
        <v>0</v>
      </c>
      <c r="J41" s="86">
        <f>SUMIFS(Purchase!F:F,Purchase!C:C,A41,Purchase!V:V,"暂缓发货",Purchase!U:U,"LA")</f>
        <v>5124</v>
      </c>
      <c r="K41" s="86">
        <f t="shared" si="0"/>
        <v>3024</v>
      </c>
      <c r="L41" s="86">
        <f ca="1" t="shared" si="1"/>
        <v>5418</v>
      </c>
      <c r="M41" s="365">
        <f ca="1" t="shared" si="2"/>
        <v>5418</v>
      </c>
      <c r="N41" s="86" t="str">
        <f ca="1">_xlfn.XLOOKUP(A41,'Product List'!B:B,'Product List'!F:F)</f>
        <v>A</v>
      </c>
      <c r="O41" s="366">
        <f>SUMIFS('Weekly Sales'!R:R,'Weekly Sales'!B:B,A41,'Weekly Sales'!U:U,"LA")</f>
        <v>317.666666666667</v>
      </c>
      <c r="P41" s="367">
        <f ca="1" t="shared" si="3"/>
        <v>17</v>
      </c>
      <c r="Q41" s="367">
        <f ca="1" t="shared" si="4"/>
        <v>17</v>
      </c>
      <c r="R41" s="86">
        <f>_xlfn.XLOOKUP(A41,'Product List'!B:B,'Product List'!P:P)</f>
        <v>10</v>
      </c>
      <c r="S41" s="86">
        <f ca="1" t="shared" si="5"/>
        <v>6</v>
      </c>
      <c r="T41" s="366">
        <f ca="1">SUMIFS('Weekly Sales'!T:T,'Weekly Sales'!B:B,A41,'Weekly Sales'!U:U,"LA")</f>
        <v>2064.83333333334</v>
      </c>
      <c r="U41" s="86">
        <f>_xlfn.XLOOKUP(A41,'Product List'!B:B,'Product List'!O:O)</f>
        <v>1000</v>
      </c>
      <c r="V41" s="368">
        <f ca="1" t="shared" si="6"/>
        <v>2394</v>
      </c>
      <c r="W41" s="86" cm="1">
        <f ca="1" t="array" ref="W41">_xlfn.XLOOKUP(1,('Case Pack'!A:A=A41)*('Case Pack'!F:F&lt;=TODAY()),'Case Pack'!D:D,"未找到箱规")</f>
        <v>42</v>
      </c>
      <c r="X41" s="86" t="str">
        <f>_xlfn.XLOOKUP(A41,'Product List'!B:B,'Product List'!M:M)</f>
        <v>PetcoUS,PSP</v>
      </c>
      <c r="Y41" s="86" t="str" cm="1">
        <f ca="1" t="array" ref="Y41">_xlfn.XLOOKUP(1,('Case Pack'!A:A=A41)*('Case Pack'!F:F&lt;=TODAY()),'Case Pack'!G:G,"未找到箱规")</f>
        <v>C</v>
      </c>
      <c r="Z41" s="86">
        <f ca="1" t="shared" si="7"/>
        <v>57</v>
      </c>
      <c r="AA41" s="86">
        <f ca="1">_xlfn.XLOOKUP(Y41,'Case Type'!A:A,'Case Type'!H:H)*Z41</f>
        <v>8.9670014208</v>
      </c>
    </row>
    <row r="42" spans="1:27">
      <c r="A42" s="86" t="s">
        <v>68</v>
      </c>
      <c r="B42" s="86" t="str">
        <f>_xlfn.XLOOKUP(A42,'Product List'!B:B,'Product List'!I:I)</f>
        <v>MMO-PAPER TWIST BLU/WHT</v>
      </c>
      <c r="C42" s="86">
        <v>936</v>
      </c>
      <c r="D42" s="86">
        <f>SUMIFS(Purchase!F:F,Purchase!C:C,A42,Purchase!I:I,"&gt;"&amp;$C$1,Purchase!V:V,"&lt;&gt;暂缓发货",Purchase!U:U,"LA")</f>
        <v>4740</v>
      </c>
      <c r="E42" s="86">
        <f>SUMIFS(Purchase!F:F,Purchase!C:C,A42,Purchase!J:J,"&gt;0",Purchase!I:I,"&gt;"&amp;$C$1,Purchase!U:U,"LA")</f>
        <v>4740</v>
      </c>
      <c r="F42" s="86">
        <f>SUMIFS(Sales!E:E,Sales!C:C,A42,Sales!K:K,"&gt;"&amp;$C$1,Sales!I:I,"LA")</f>
        <v>2136</v>
      </c>
      <c r="G42" s="86">
        <f>SUMIFS(Sales!E:E,Sales!C:C,A42,Sales!K:K,"&gt;"&amp;$C$1,Sales!L:L,"&gt;0",Sales!I:I,"LA")</f>
        <v>2136</v>
      </c>
      <c r="H42" s="365">
        <f ca="1">C42+E42-G42+SUMIFS(Transfer!W:W,Transfer!O:O,A42,Transfer!Q:Q,"LA",Transfer!U:U,"&gt;"&amp;$C$1)-SUMIFS(Transfer!V:V,Transfer!O:O,A42,Transfer!P:P,"LA",Transfer!T:T,"&gt;"&amp;$C$1)</f>
        <v>3540</v>
      </c>
      <c r="I42" s="86">
        <f ca="1">D42-E42+SUMIFS(Transfer!V:V,Transfer!O:O,A42,Transfer!Q:Q,"LA")-SUMIFS(Transfer!W:W,Transfer!O:O,A42,Transfer!Q:Q,"LA")</f>
        <v>0</v>
      </c>
      <c r="J42" s="86">
        <f>SUMIFS(Purchase!F:F,Purchase!C:C,A42,Purchase!V:V,"暂缓发货",Purchase!U:U,"LA")</f>
        <v>0</v>
      </c>
      <c r="K42" s="86">
        <f t="shared" si="0"/>
        <v>0</v>
      </c>
      <c r="L42" s="86">
        <f ca="1" t="shared" si="1"/>
        <v>3540</v>
      </c>
      <c r="M42" s="365">
        <f ca="1" t="shared" si="2"/>
        <v>3540</v>
      </c>
      <c r="N42" s="86" t="str">
        <f ca="1">_xlfn.XLOOKUP(A42,'Product List'!B:B,'Product List'!F:F)</f>
        <v>B</v>
      </c>
      <c r="O42" s="366">
        <f>SUMIFS('Weekly Sales'!R:R,'Weekly Sales'!B:B,A42,'Weekly Sales'!U:U,"LA")</f>
        <v>48.5</v>
      </c>
      <c r="P42" s="367">
        <f ca="1" t="shared" si="3"/>
        <v>72</v>
      </c>
      <c r="Q42" s="367">
        <f ca="1" t="shared" si="4"/>
        <v>72</v>
      </c>
      <c r="R42" s="86">
        <f>_xlfn.XLOOKUP(A42,'Product List'!B:B,'Product List'!P:P)</f>
        <v>10</v>
      </c>
      <c r="S42" s="86">
        <f ca="1" t="shared" si="5"/>
        <v>5</v>
      </c>
      <c r="T42" s="366">
        <f ca="1">SUMIFS('Weekly Sales'!T:T,'Weekly Sales'!B:B,A42,'Weekly Sales'!U:U,"LA")</f>
        <v>157.625</v>
      </c>
      <c r="U42" s="86">
        <f>_xlfn.XLOOKUP(A42,'Product List'!B:B,'Product List'!O:O)</f>
        <v>500</v>
      </c>
      <c r="V42" s="368">
        <f ca="1" t="shared" si="6"/>
        <v>0</v>
      </c>
      <c r="W42" s="86" cm="1">
        <f ca="1" t="array" ref="W42">_xlfn.XLOOKUP(1,('Case Pack'!A:A=A42)*('Case Pack'!F:F&lt;=TODAY()),'Case Pack'!D:D,"未找到箱规")</f>
        <v>30</v>
      </c>
      <c r="X42" s="86" t="str">
        <f>_xlfn.XLOOKUP(A42,'Product List'!B:B,'Product List'!M:M)</f>
        <v>PetcoUS，PSP</v>
      </c>
      <c r="Y42" s="86" t="str" cm="1">
        <f ca="1" t="array" ref="Y42">_xlfn.XLOOKUP(1,('Case Pack'!A:A=A42)*('Case Pack'!F:F&lt;=TODAY()),'Case Pack'!G:G,"未找到箱规")</f>
        <v>A</v>
      </c>
      <c r="Z42" s="86">
        <f ca="1" t="shared" si="7"/>
        <v>0</v>
      </c>
      <c r="AA42" s="86">
        <f ca="1">_xlfn.XLOOKUP(Y42,'Case Type'!A:A,'Case Type'!H:H)*Z42</f>
        <v>0</v>
      </c>
    </row>
    <row r="43" spans="1:27">
      <c r="A43" s="86" t="s">
        <v>69</v>
      </c>
      <c r="B43" s="86" t="str">
        <f>_xlfn.XLOOKUP(A43,'Product List'!B:B,'Product List'!I:I)</f>
        <v>MINI/MOE SMALL ANIMAL BEDDING PAPER TWISTS</v>
      </c>
      <c r="C43" s="86">
        <v>0</v>
      </c>
      <c r="D43" s="86">
        <f>SUMIFS(Purchase!F:F,Purchase!C:C,A43,Purchase!I:I,"&gt;"&amp;$C$1,Purchase!V:V,"&lt;&gt;暂缓发货",Purchase!U:U,"LA")</f>
        <v>3420</v>
      </c>
      <c r="E43" s="86">
        <f>SUMIFS(Purchase!F:F,Purchase!C:C,A43,Purchase!J:J,"&gt;0",Purchase!I:I,"&gt;"&amp;$C$1,Purchase!U:U,"LA")</f>
        <v>3390</v>
      </c>
      <c r="F43" s="86">
        <f>SUMIFS(Sales!E:E,Sales!C:C,A43,Sales!K:K,"&gt;"&amp;$C$1,Sales!I:I,"LA")</f>
        <v>2010</v>
      </c>
      <c r="G43" s="86">
        <f>SUMIFS(Sales!E:E,Sales!C:C,A43,Sales!K:K,"&gt;"&amp;$C$1,Sales!L:L,"&gt;0",Sales!I:I,"LA")</f>
        <v>2010</v>
      </c>
      <c r="H43" s="365">
        <f ca="1">C43+E43-G43+SUMIFS(Transfer!W:W,Transfer!O:O,A43,Transfer!Q:Q,"LA",Transfer!U:U,"&gt;"&amp;$C$1)-SUMIFS(Transfer!V:V,Transfer!O:O,A43,Transfer!P:P,"LA",Transfer!T:T,"&gt;"&amp;$C$1)</f>
        <v>1380</v>
      </c>
      <c r="I43" s="86">
        <f ca="1">D43-E43+SUMIFS(Transfer!V:V,Transfer!O:O,A43,Transfer!Q:Q,"LA")-SUMIFS(Transfer!W:W,Transfer!O:O,A43,Transfer!Q:Q,"LA")</f>
        <v>30</v>
      </c>
      <c r="J43" s="86">
        <f>SUMIFS(Purchase!F:F,Purchase!C:C,A43,Purchase!V:V,"暂缓发货",Purchase!U:U,"LA")</f>
        <v>0</v>
      </c>
      <c r="K43" s="86">
        <f t="shared" si="0"/>
        <v>0</v>
      </c>
      <c r="L43" s="86">
        <f ca="1" t="shared" si="1"/>
        <v>1380</v>
      </c>
      <c r="M43" s="365">
        <f ca="1" t="shared" si="2"/>
        <v>1410</v>
      </c>
      <c r="N43" s="86" t="str">
        <f ca="1">_xlfn.XLOOKUP(A43,'Product List'!B:B,'Product List'!F:F)</f>
        <v>C</v>
      </c>
      <c r="O43" s="366">
        <f>SUMIFS('Weekly Sales'!R:R,'Weekly Sales'!B:B,A43,'Weekly Sales'!U:U,"LA")</f>
        <v>0</v>
      </c>
      <c r="P43" s="367">
        <f ca="1" t="shared" si="3"/>
        <v>999</v>
      </c>
      <c r="Q43" s="367">
        <f ca="1" t="shared" si="4"/>
        <v>999</v>
      </c>
      <c r="R43" s="86">
        <f>_xlfn.XLOOKUP(A43,'Product List'!B:B,'Product List'!P:P)</f>
        <v>10</v>
      </c>
      <c r="S43" s="86">
        <f ca="1" t="shared" si="5"/>
        <v>2</v>
      </c>
      <c r="T43" s="366">
        <f ca="1">SUMIFS('Weekly Sales'!T:T,'Weekly Sales'!B:B,A43,'Weekly Sales'!U:U,"LA")</f>
        <v>0</v>
      </c>
      <c r="U43" s="86">
        <f>_xlfn.XLOOKUP(A43,'Product List'!B:B,'Product List'!O:O)</f>
        <v>1000</v>
      </c>
      <c r="V43" s="368">
        <f ca="1" t="shared" si="6"/>
        <v>0</v>
      </c>
      <c r="W43" s="86" cm="1">
        <f ca="1" t="array" ref="W43">_xlfn.XLOOKUP(1,('Case Pack'!A:A=A43)*('Case Pack'!F:F&lt;=TODAY()),'Case Pack'!D:D,"未找到箱规")</f>
        <v>30</v>
      </c>
      <c r="X43" s="86" t="str">
        <f>_xlfn.XLOOKUP(A43,'Product List'!B:B,'Product List'!M:M)</f>
        <v>PSP</v>
      </c>
      <c r="Y43" s="86" t="str" cm="1">
        <f ca="1" t="array" ref="Y43">_xlfn.XLOOKUP(1,('Case Pack'!A:A=A43)*('Case Pack'!F:F&lt;=TODAY()),'Case Pack'!G:G,"未找到箱规")</f>
        <v>A</v>
      </c>
      <c r="Z43" s="86">
        <f ca="1" t="shared" si="7"/>
        <v>0</v>
      </c>
      <c r="AA43" s="86">
        <f ca="1">_xlfn.XLOOKUP(Y43,'Case Type'!A:A,'Case Type'!H:H)*Z43</f>
        <v>0</v>
      </c>
    </row>
    <row r="44" spans="1:27">
      <c r="A44" s="86" t="s">
        <v>70</v>
      </c>
      <c r="B44" s="86" t="str">
        <f>_xlfn.XLOOKUP(A44,'Product List'!B:B,'Product List'!I:I)</f>
        <v>Paper twist brown / white bedding</v>
      </c>
      <c r="C44" s="86">
        <v>0</v>
      </c>
      <c r="D44" s="86">
        <f>SUMIFS(Purchase!F:F,Purchase!C:C,A44,Purchase!I:I,"&gt;"&amp;$C$1,Purchase!V:V,"&lt;&gt;暂缓发货",Purchase!U:U,"LA")</f>
        <v>1860</v>
      </c>
      <c r="E44" s="86">
        <f>SUMIFS(Purchase!F:F,Purchase!C:C,A44,Purchase!J:J,"&gt;0",Purchase!I:I,"&gt;"&amp;$C$1,Purchase!U:U,"LA")</f>
        <v>1860</v>
      </c>
      <c r="F44" s="86">
        <f>SUMIFS(Sales!E:E,Sales!C:C,A44,Sales!K:K,"&gt;"&amp;$C$1,Sales!I:I,"LA")</f>
        <v>930</v>
      </c>
      <c r="G44" s="86">
        <f>SUMIFS(Sales!E:E,Sales!C:C,A44,Sales!K:K,"&gt;"&amp;$C$1,Sales!L:L,"&gt;0",Sales!I:I,"LA")</f>
        <v>930</v>
      </c>
      <c r="H44" s="365">
        <f ca="1">C44+E44-G44+SUMIFS(Transfer!W:W,Transfer!O:O,A44,Transfer!Q:Q,"LA",Transfer!U:U,"&gt;"&amp;$C$1)-SUMIFS(Transfer!V:V,Transfer!O:O,A44,Transfer!P:P,"LA",Transfer!T:T,"&gt;"&amp;$C$1)</f>
        <v>930</v>
      </c>
      <c r="I44" s="86">
        <f ca="1">D44-E44+SUMIFS(Transfer!V:V,Transfer!O:O,A44,Transfer!Q:Q,"LA")-SUMIFS(Transfer!W:W,Transfer!O:O,A44,Transfer!Q:Q,"LA")</f>
        <v>0</v>
      </c>
      <c r="J44" s="86">
        <f>SUMIFS(Purchase!F:F,Purchase!C:C,A44,Purchase!V:V,"暂缓发货",Purchase!U:U,"LA")</f>
        <v>0</v>
      </c>
      <c r="K44" s="86">
        <f t="shared" si="0"/>
        <v>0</v>
      </c>
      <c r="L44" s="86">
        <f ca="1" t="shared" si="1"/>
        <v>930</v>
      </c>
      <c r="M44" s="365">
        <f ca="1" t="shared" si="2"/>
        <v>930</v>
      </c>
      <c r="N44" s="86" t="str">
        <f ca="1">_xlfn.XLOOKUP(A44,'Product List'!B:B,'Product List'!F:F)</f>
        <v>C</v>
      </c>
      <c r="O44" s="366">
        <f>SUMIFS('Weekly Sales'!R:R,'Weekly Sales'!B:B,A44,'Weekly Sales'!U:U,"LA")</f>
        <v>0</v>
      </c>
      <c r="P44" s="367">
        <f ca="1" t="shared" si="3"/>
        <v>999</v>
      </c>
      <c r="Q44" s="367">
        <f ca="1" t="shared" si="4"/>
        <v>999</v>
      </c>
      <c r="R44" s="86">
        <f>_xlfn.XLOOKUP(A44,'Product List'!B:B,'Product List'!P:P)</f>
        <v>10</v>
      </c>
      <c r="S44" s="86">
        <f ca="1" t="shared" si="5"/>
        <v>2</v>
      </c>
      <c r="T44" s="366">
        <f ca="1">SUMIFS('Weekly Sales'!T:T,'Weekly Sales'!B:B,A44,'Weekly Sales'!U:U,"LA")</f>
        <v>0</v>
      </c>
      <c r="U44" s="86">
        <f>_xlfn.XLOOKUP(A44,'Product List'!B:B,'Product List'!O:O)</f>
        <v>1000</v>
      </c>
      <c r="V44" s="368">
        <f ca="1" t="shared" si="6"/>
        <v>0</v>
      </c>
      <c r="W44" s="86" cm="1">
        <f ca="1" t="array" ref="W44">_xlfn.XLOOKUP(1,('Case Pack'!A:A=A44)*('Case Pack'!F:F&lt;=TODAY()),'Case Pack'!D:D,"未找到箱规")</f>
        <v>30</v>
      </c>
      <c r="X44" s="86" t="str">
        <f>_xlfn.XLOOKUP(A44,'Product List'!B:B,'Product List'!M:M)</f>
        <v>Pet Supermarket，PSP</v>
      </c>
      <c r="Y44" s="86" t="str" cm="1">
        <f ca="1" t="array" ref="Y44">_xlfn.XLOOKUP(1,('Case Pack'!A:A=A44)*('Case Pack'!F:F&lt;=TODAY()),'Case Pack'!G:G,"未找到箱规")</f>
        <v>A</v>
      </c>
      <c r="Z44" s="86">
        <f ca="1" t="shared" si="7"/>
        <v>0</v>
      </c>
      <c r="AA44" s="86">
        <f ca="1">_xlfn.XLOOKUP(Y44,'Case Type'!A:A,'Case Type'!H:H)*Z44</f>
        <v>0</v>
      </c>
    </row>
    <row r="45" spans="1:27">
      <c r="A45" s="86" t="s">
        <v>71</v>
      </c>
      <c r="B45" s="86" t="str">
        <f>_xlfn.XLOOKUP(A45,'Product List'!B:B,'Product List'!I:I)</f>
        <v>MINI/MOE SMALL ANIMAL BEDDING PAPER TWISTS BUBBLEGUM 1EA</v>
      </c>
      <c r="C45" s="86">
        <v>0</v>
      </c>
      <c r="D45" s="86">
        <f>SUMIFS(Purchase!F:F,Purchase!C:C,A45,Purchase!I:I,"&gt;"&amp;$C$1,Purchase!V:V,"&lt;&gt;暂缓发货",Purchase!U:U,"LA")</f>
        <v>1260</v>
      </c>
      <c r="E45" s="86">
        <f>SUMIFS(Purchase!F:F,Purchase!C:C,A45,Purchase!J:J,"&gt;0",Purchase!I:I,"&gt;"&amp;$C$1,Purchase!U:U,"LA")</f>
        <v>1260</v>
      </c>
      <c r="F45" s="86">
        <f>SUMIFS(Sales!E:E,Sales!C:C,A45,Sales!K:K,"&gt;"&amp;$C$1,Sales!I:I,"LA")</f>
        <v>660</v>
      </c>
      <c r="G45" s="86">
        <f>SUMIFS(Sales!E:E,Sales!C:C,A45,Sales!K:K,"&gt;"&amp;$C$1,Sales!L:L,"&gt;0",Sales!I:I,"LA")</f>
        <v>660</v>
      </c>
      <c r="H45" s="365">
        <f ca="1">C45+E45-G45+SUMIFS(Transfer!W:W,Transfer!O:O,A45,Transfer!Q:Q,"LA",Transfer!U:U,"&gt;"&amp;$C$1)-SUMIFS(Transfer!V:V,Transfer!O:O,A45,Transfer!P:P,"LA",Transfer!T:T,"&gt;"&amp;$C$1)</f>
        <v>600</v>
      </c>
      <c r="I45" s="86">
        <f ca="1">D45-E45+SUMIFS(Transfer!V:V,Transfer!O:O,A45,Transfer!Q:Q,"LA")-SUMIFS(Transfer!W:W,Transfer!O:O,A45,Transfer!Q:Q,"LA")</f>
        <v>0</v>
      </c>
      <c r="J45" s="86">
        <f>SUMIFS(Purchase!F:F,Purchase!C:C,A45,Purchase!V:V,"暂缓发货",Purchase!U:U,"LA")</f>
        <v>0</v>
      </c>
      <c r="K45" s="86">
        <f t="shared" si="0"/>
        <v>0</v>
      </c>
      <c r="L45" s="86">
        <f ca="1" t="shared" si="1"/>
        <v>600</v>
      </c>
      <c r="M45" s="365">
        <f ca="1" t="shared" si="2"/>
        <v>600</v>
      </c>
      <c r="N45" s="86" t="str">
        <f ca="1">_xlfn.XLOOKUP(A45,'Product List'!B:B,'Product List'!F:F)</f>
        <v>C</v>
      </c>
      <c r="O45" s="366">
        <f>SUMIFS('Weekly Sales'!R:R,'Weekly Sales'!B:B,A45,'Weekly Sales'!U:U,"LA")</f>
        <v>0</v>
      </c>
      <c r="P45" s="367">
        <f ca="1" t="shared" si="3"/>
        <v>999</v>
      </c>
      <c r="Q45" s="367">
        <f ca="1" t="shared" si="4"/>
        <v>999</v>
      </c>
      <c r="R45" s="86">
        <f>_xlfn.XLOOKUP(A45,'Product List'!B:B,'Product List'!P:P)</f>
        <v>10</v>
      </c>
      <c r="S45" s="86">
        <f ca="1" t="shared" si="5"/>
        <v>2</v>
      </c>
      <c r="T45" s="366">
        <f ca="1">SUMIFS('Weekly Sales'!T:T,'Weekly Sales'!B:B,A45,'Weekly Sales'!U:U,"LA")</f>
        <v>0</v>
      </c>
      <c r="U45" s="86">
        <f>_xlfn.XLOOKUP(A45,'Product List'!B:B,'Product List'!O:O)</f>
        <v>1000</v>
      </c>
      <c r="V45" s="368">
        <f ca="1" t="shared" si="6"/>
        <v>0</v>
      </c>
      <c r="W45" s="86" cm="1">
        <f ca="1" t="array" ref="W45">_xlfn.XLOOKUP(1,('Case Pack'!A:A=A45)*('Case Pack'!F:F&lt;=TODAY()),'Case Pack'!D:D,"未找到箱规")</f>
        <v>30</v>
      </c>
      <c r="X45" s="86" t="str">
        <f>_xlfn.XLOOKUP(A45,'Product List'!B:B,'Product List'!M:M)</f>
        <v>PSP</v>
      </c>
      <c r="Y45" s="86" t="str" cm="1">
        <f ca="1" t="array" ref="Y45">_xlfn.XLOOKUP(1,('Case Pack'!A:A=A45)*('Case Pack'!F:F&lt;=TODAY()),'Case Pack'!G:G,"未找到箱规")</f>
        <v>A</v>
      </c>
      <c r="Z45" s="86">
        <f ca="1" t="shared" si="7"/>
        <v>0</v>
      </c>
      <c r="AA45" s="86">
        <f ca="1">_xlfn.XLOOKUP(Y45,'Case Type'!A:A,'Case Type'!H:H)*Z45</f>
        <v>0</v>
      </c>
    </row>
    <row r="46" spans="1:27">
      <c r="A46" s="94" t="s">
        <v>72</v>
      </c>
      <c r="B46" s="86" t="str">
        <f>_xlfn.XLOOKUP(A46,'Product List'!B:B,'Product List'!I:I)</f>
        <v>Forest Series Hamster Chew Toy &amp; Treat</v>
      </c>
      <c r="C46" s="86">
        <v>0</v>
      </c>
      <c r="D46" s="86">
        <f>SUMIFS(Purchase!F:F,Purchase!C:C,A46,Purchase!I:I,"&gt;"&amp;$C$1,Purchase!V:V,"&lt;&gt;暂缓发货",Purchase!U:U,"LA")</f>
        <v>1560</v>
      </c>
      <c r="E46" s="86">
        <f>SUMIFS(Purchase!F:F,Purchase!C:C,A46,Purchase!J:J,"&gt;0",Purchase!I:I,"&gt;"&amp;$C$1,Purchase!U:U,"LA")</f>
        <v>1560</v>
      </c>
      <c r="F46" s="86">
        <f>SUMIFS(Sales!E:E,Sales!C:C,A46,Sales!K:K,"&gt;"&amp;$C$1,Sales!I:I,"LA")</f>
        <v>1020</v>
      </c>
      <c r="G46" s="86">
        <f>SUMIFS(Sales!E:E,Sales!C:C,A46,Sales!K:K,"&gt;"&amp;$C$1,Sales!L:L,"&gt;0",Sales!I:I,"LA")</f>
        <v>1020</v>
      </c>
      <c r="H46" s="365">
        <f ca="1">C46+E46-G46+SUMIFS(Transfer!W:W,Transfer!O:O,A46,Transfer!Q:Q,"LA",Transfer!U:U,"&gt;"&amp;$C$1)-SUMIFS(Transfer!V:V,Transfer!O:O,A46,Transfer!P:P,"LA",Transfer!T:T,"&gt;"&amp;$C$1)</f>
        <v>540</v>
      </c>
      <c r="I46" s="86">
        <f ca="1">D46-E46+SUMIFS(Transfer!V:V,Transfer!O:O,A46,Transfer!Q:Q,"LA")-SUMIFS(Transfer!W:W,Transfer!O:O,A46,Transfer!Q:Q,"LA")</f>
        <v>0</v>
      </c>
      <c r="J46" s="86">
        <f>SUMIFS(Purchase!F:F,Purchase!C:C,A46,Purchase!V:V,"暂缓发货",Purchase!U:U,"LA")</f>
        <v>0</v>
      </c>
      <c r="K46" s="86">
        <f t="shared" si="0"/>
        <v>0</v>
      </c>
      <c r="L46" s="86">
        <f ca="1" t="shared" si="1"/>
        <v>540</v>
      </c>
      <c r="M46" s="365">
        <f ca="1" t="shared" si="2"/>
        <v>540</v>
      </c>
      <c r="N46" s="86" t="str">
        <f ca="1">_xlfn.XLOOKUP(A46,'Product List'!B:B,'Product List'!F:F)</f>
        <v>C</v>
      </c>
      <c r="O46" s="366">
        <f>SUMIFS('Weekly Sales'!R:R,'Weekly Sales'!B:B,A46,'Weekly Sales'!U:U,"LA")</f>
        <v>0</v>
      </c>
      <c r="P46" s="367">
        <f ca="1" t="shared" si="3"/>
        <v>999</v>
      </c>
      <c r="Q46" s="367">
        <f ca="1" t="shared" si="4"/>
        <v>999</v>
      </c>
      <c r="R46" s="86">
        <f>_xlfn.XLOOKUP(A46,'Product List'!B:B,'Product List'!P:P)</f>
        <v>10</v>
      </c>
      <c r="S46" s="86">
        <f ca="1" t="shared" si="5"/>
        <v>2</v>
      </c>
      <c r="T46" s="366">
        <f ca="1">SUMIFS('Weekly Sales'!T:T,'Weekly Sales'!B:B,A46,'Weekly Sales'!U:U,"LA")</f>
        <v>0</v>
      </c>
      <c r="U46" s="86">
        <f>_xlfn.XLOOKUP(A46,'Product List'!B:B,'Product List'!O:O)</f>
        <v>1000</v>
      </c>
      <c r="V46" s="368">
        <f ca="1" t="shared" si="6"/>
        <v>0</v>
      </c>
      <c r="W46" s="86" cm="1">
        <f ca="1" t="array" ref="W46">_xlfn.XLOOKUP(1,('Case Pack'!A:A=A46)*('Case Pack'!F:F&lt;=TODAY()),'Case Pack'!D:D,"未找到箱规")</f>
        <v>60</v>
      </c>
      <c r="X46" s="86" t="str">
        <f>_xlfn.XLOOKUP(A46,'Product List'!B:B,'Product List'!M:M)</f>
        <v>Pet Supermarket,PSP</v>
      </c>
      <c r="Y46" s="86" t="str" cm="1">
        <f ca="1" t="array" ref="Y46">_xlfn.XLOOKUP(1,('Case Pack'!A:A=A46)*('Case Pack'!F:F&lt;=TODAY()),'Case Pack'!G:G,"未找到箱规")</f>
        <v>B</v>
      </c>
      <c r="Z46" s="86">
        <f ca="1" t="shared" si="7"/>
        <v>0</v>
      </c>
      <c r="AA46" s="86">
        <f ca="1">_xlfn.XLOOKUP(Y46,'Case Type'!A:A,'Case Type'!H:H)*Z46</f>
        <v>0</v>
      </c>
    </row>
    <row r="47" spans="1:27">
      <c r="A47" s="86" t="s">
        <v>73</v>
      </c>
      <c r="B47" s="86" t="str">
        <f>_xlfn.XLOOKUP(A47,'Product List'!B:B,'Product List'!I:I)</f>
        <v>MINI/MOE CAMPING TENT HIDE</v>
      </c>
      <c r="C47" s="86">
        <v>132</v>
      </c>
      <c r="D47" s="86">
        <f>SUMIFS(Purchase!F:F,Purchase!C:C,A47,Purchase!I:I,"&gt;"&amp;$C$1,Purchase!V:V,"&lt;&gt;暂缓发货",Purchase!U:U,"LA")</f>
        <v>16584</v>
      </c>
      <c r="E47" s="86">
        <f>SUMIFS(Purchase!F:F,Purchase!C:C,A47,Purchase!J:J,"&gt;0",Purchase!I:I,"&gt;"&amp;$C$1,Purchase!U:U,"LA")</f>
        <v>10068</v>
      </c>
      <c r="F47" s="86">
        <f>SUMIFS(Sales!E:E,Sales!C:C,A47,Sales!K:K,"&gt;"&amp;$C$1,Sales!I:I,"LA")</f>
        <v>9348</v>
      </c>
      <c r="G47" s="86">
        <f>SUMIFS(Sales!E:E,Sales!C:C,A47,Sales!K:K,"&gt;"&amp;$C$1,Sales!L:L,"&gt;0",Sales!I:I,"LA")</f>
        <v>9276</v>
      </c>
      <c r="H47" s="365">
        <f ca="1">C47+E47-G47+SUMIFS(Transfer!W:W,Transfer!O:O,A47,Transfer!Q:Q,"LA",Transfer!U:U,"&gt;"&amp;$C$1)-SUMIFS(Transfer!V:V,Transfer!O:O,A47,Transfer!P:P,"LA",Transfer!T:T,"&gt;"&amp;$C$1)</f>
        <v>924</v>
      </c>
      <c r="I47" s="86">
        <f ca="1">D47-E47+SUMIFS(Transfer!V:V,Transfer!O:O,A47,Transfer!Q:Q,"LA")-SUMIFS(Transfer!W:W,Transfer!O:O,A47,Transfer!Q:Q,"LA")</f>
        <v>6516</v>
      </c>
      <c r="J47" s="86">
        <f>SUMIFS(Purchase!F:F,Purchase!C:C,A47,Purchase!V:V,"暂缓发货",Purchase!U:U,"LA")</f>
        <v>0</v>
      </c>
      <c r="K47" s="86">
        <f t="shared" si="0"/>
        <v>72</v>
      </c>
      <c r="L47" s="86">
        <f ca="1" t="shared" si="1"/>
        <v>852</v>
      </c>
      <c r="M47" s="365">
        <f ca="1" t="shared" si="2"/>
        <v>7368</v>
      </c>
      <c r="N47" s="86" t="str">
        <f ca="1">_xlfn.XLOOKUP(A47,'Product List'!B:B,'Product List'!F:F)</f>
        <v>A</v>
      </c>
      <c r="O47" s="366">
        <f>SUMIFS('Weekly Sales'!R:R,'Weekly Sales'!B:B,A47,'Weekly Sales'!U:U,"LA")</f>
        <v>189</v>
      </c>
      <c r="P47" s="367">
        <f ca="1" t="shared" si="3"/>
        <v>4</v>
      </c>
      <c r="Q47" s="367">
        <f ca="1" t="shared" si="4"/>
        <v>38</v>
      </c>
      <c r="R47" s="86">
        <f>_xlfn.XLOOKUP(A47,'Product List'!B:B,'Product List'!P:P)</f>
        <v>15</v>
      </c>
      <c r="S47" s="86">
        <f ca="1" t="shared" si="5"/>
        <v>6</v>
      </c>
      <c r="T47" s="366">
        <f ca="1">SUMIFS('Weekly Sales'!T:T,'Weekly Sales'!B:B,A47,'Weekly Sales'!U:U,"LA")</f>
        <v>1228.5</v>
      </c>
      <c r="U47" s="86">
        <f>_xlfn.XLOOKUP(A47,'Product List'!B:B,'Product List'!O:O)</f>
        <v>500</v>
      </c>
      <c r="V47" s="368">
        <f ca="1" t="shared" si="6"/>
        <v>0</v>
      </c>
      <c r="W47" s="86" cm="1">
        <f ca="1" t="array" ref="W47">_xlfn.XLOOKUP(1,('Case Pack'!A:A=A47)*('Case Pack'!F:F&lt;=TODAY()),'Case Pack'!D:D,"未找到箱规")</f>
        <v>18</v>
      </c>
      <c r="X47" s="86" t="str">
        <f>_xlfn.XLOOKUP(A47,'Product List'!B:B,'Product List'!M:M)</f>
        <v>PSP, Petsmart, Pet Supermarket,Canada</v>
      </c>
      <c r="Y47" s="86" t="str" cm="1">
        <f ca="1" t="array" ref="Y47">_xlfn.XLOOKUP(1,('Case Pack'!A:A=A47)*('Case Pack'!F:F&lt;=TODAY()),'Case Pack'!G:G,"未找到箱规")</f>
        <v>B</v>
      </c>
      <c r="Z47" s="86">
        <f ca="1" t="shared" si="7"/>
        <v>0</v>
      </c>
      <c r="AA47" s="86">
        <f ca="1">_xlfn.XLOOKUP(Y47,'Case Type'!A:A,'Case Type'!H:H)*Z47</f>
        <v>0</v>
      </c>
    </row>
    <row r="48" spans="1:27">
      <c r="A48" s="94" t="s">
        <v>74</v>
      </c>
      <c r="B48" s="86" t="str">
        <f>_xlfn.XLOOKUP(A48,'Product List'!B:B,'Product List'!I:I)</f>
        <v>Little Devil Travel Cage</v>
      </c>
      <c r="C48" s="86">
        <v>0</v>
      </c>
      <c r="D48" s="86">
        <f>SUMIFS(Purchase!F:F,Purchase!C:C,A48,Purchase!I:I,"&gt;"&amp;$C$1,Purchase!V:V,"&lt;&gt;暂缓发货",Purchase!U:U,"LA")</f>
        <v>1260</v>
      </c>
      <c r="E48" s="86">
        <f>SUMIFS(Purchase!F:F,Purchase!C:C,A48,Purchase!J:J,"&gt;0",Purchase!I:I,"&gt;"&amp;$C$1,Purchase!U:U,"LA")</f>
        <v>1260</v>
      </c>
      <c r="F48" s="86">
        <f>SUMIFS(Sales!E:E,Sales!C:C,A48,Sales!K:K,"&gt;"&amp;$C$1,Sales!I:I,"LA")</f>
        <v>612</v>
      </c>
      <c r="G48" s="86">
        <f>SUMIFS(Sales!E:E,Sales!C:C,A48,Sales!K:K,"&gt;"&amp;$C$1,Sales!L:L,"&gt;0",Sales!I:I,"LA")</f>
        <v>612</v>
      </c>
      <c r="H48" s="365">
        <f ca="1">C48+E48-G48+SUMIFS(Transfer!W:W,Transfer!O:O,A48,Transfer!Q:Q,"LA",Transfer!U:U,"&gt;"&amp;$C$1)-SUMIFS(Transfer!V:V,Transfer!O:O,A48,Transfer!P:P,"LA",Transfer!T:T,"&gt;"&amp;$C$1)</f>
        <v>648</v>
      </c>
      <c r="I48" s="86">
        <f ca="1">D48-E48+SUMIFS(Transfer!V:V,Transfer!O:O,A48,Transfer!Q:Q,"LA")-SUMIFS(Transfer!W:W,Transfer!O:O,A48,Transfer!Q:Q,"LA")</f>
        <v>0</v>
      </c>
      <c r="J48" s="86">
        <f>SUMIFS(Purchase!F:F,Purchase!C:C,A48,Purchase!V:V,"暂缓发货",Purchase!U:U,"LA")</f>
        <v>0</v>
      </c>
      <c r="K48" s="86">
        <f t="shared" si="0"/>
        <v>0</v>
      </c>
      <c r="L48" s="86">
        <f ca="1" t="shared" si="1"/>
        <v>648</v>
      </c>
      <c r="M48" s="365">
        <f ca="1" t="shared" si="2"/>
        <v>648</v>
      </c>
      <c r="N48" s="86" t="str">
        <f ca="1">_xlfn.XLOOKUP(A48,'Product List'!B:B,'Product List'!F:F)</f>
        <v>C</v>
      </c>
      <c r="O48" s="366">
        <f>SUMIFS('Weekly Sales'!R:R,'Weekly Sales'!B:B,A48,'Weekly Sales'!U:U,"LA")</f>
        <v>0</v>
      </c>
      <c r="P48" s="367">
        <f ca="1" t="shared" si="3"/>
        <v>999</v>
      </c>
      <c r="Q48" s="367">
        <f ca="1" t="shared" si="4"/>
        <v>999</v>
      </c>
      <c r="R48" s="86">
        <f>_xlfn.XLOOKUP(A48,'Product List'!B:B,'Product List'!P:P)</f>
        <v>10</v>
      </c>
      <c r="S48" s="86">
        <f ca="1" t="shared" si="5"/>
        <v>2</v>
      </c>
      <c r="T48" s="366">
        <f ca="1">SUMIFS('Weekly Sales'!T:T,'Weekly Sales'!B:B,A48,'Weekly Sales'!U:U,"LA")</f>
        <v>0</v>
      </c>
      <c r="U48" s="86">
        <f>_xlfn.XLOOKUP(A48,'Product List'!B:B,'Product List'!O:O)</f>
        <v>1000</v>
      </c>
      <c r="V48" s="368">
        <f ca="1" t="shared" si="6"/>
        <v>0</v>
      </c>
      <c r="W48" s="86" cm="1">
        <f ca="1" t="array" ref="W48">_xlfn.XLOOKUP(1,('Case Pack'!A:A=A48)*('Case Pack'!F:F&lt;=TODAY()),'Case Pack'!D:D,"未找到箱规")</f>
        <v>18</v>
      </c>
      <c r="X48" s="86" t="str">
        <f>_xlfn.XLOOKUP(A48,'Product List'!B:B,'Product List'!M:M)</f>
        <v>PetcoMX,PSP，Canada</v>
      </c>
      <c r="Y48" s="86" t="str" cm="1">
        <f ca="1" t="array" ref="Y48">_xlfn.XLOOKUP(1,('Case Pack'!A:A=A48)*('Case Pack'!F:F&lt;=TODAY()),'Case Pack'!G:G,"未找到箱规")</f>
        <v>C</v>
      </c>
      <c r="Z48" s="86">
        <f ca="1" t="shared" si="7"/>
        <v>0</v>
      </c>
      <c r="AA48" s="86">
        <f ca="1">_xlfn.XLOOKUP(Y48,'Case Type'!A:A,'Case Type'!H:H)*Z48</f>
        <v>0</v>
      </c>
    </row>
    <row r="49" spans="1:27">
      <c r="A49" s="86" t="s">
        <v>75</v>
      </c>
      <c r="B49" s="86" t="str">
        <f>_xlfn.XLOOKUP(A49,'Product List'!B:B,'Product List'!I:I)</f>
        <v>Silent Crystal Running Wheel XL</v>
      </c>
      <c r="C49" s="86">
        <v>150</v>
      </c>
      <c r="D49" s="86">
        <f>SUMIFS(Purchase!F:F,Purchase!C:C,A49,Purchase!I:I,"&gt;"&amp;$C$1,Purchase!V:V,"&lt;&gt;暂缓发货",Purchase!U:U,"LA")</f>
        <v>1356</v>
      </c>
      <c r="E49" s="86">
        <f>SUMIFS(Purchase!F:F,Purchase!C:C,A49,Purchase!J:J,"&gt;0",Purchase!I:I,"&gt;"&amp;$C$1,Purchase!U:U,"LA")</f>
        <v>1356</v>
      </c>
      <c r="F49" s="86">
        <f>SUMIFS(Sales!E:E,Sales!C:C,A49,Sales!K:K,"&gt;"&amp;$C$1,Sales!I:I,"LA")</f>
        <v>699</v>
      </c>
      <c r="G49" s="86">
        <f>SUMIFS(Sales!E:E,Sales!C:C,A49,Sales!K:K,"&gt;"&amp;$C$1,Sales!L:L,"&gt;0",Sales!I:I,"LA")</f>
        <v>699</v>
      </c>
      <c r="H49" s="365">
        <f ca="1">C49+E49-G49+SUMIFS(Transfer!W:W,Transfer!O:O,A49,Transfer!Q:Q,"LA",Transfer!U:U,"&gt;"&amp;$C$1)-SUMIFS(Transfer!V:V,Transfer!O:O,A49,Transfer!P:P,"LA",Transfer!T:T,"&gt;"&amp;$C$1)</f>
        <v>807</v>
      </c>
      <c r="I49" s="86">
        <f ca="1">D49-E49+SUMIFS(Transfer!V:V,Transfer!O:O,A49,Transfer!Q:Q,"LA")-SUMIFS(Transfer!W:W,Transfer!O:O,A49,Transfer!Q:Q,"LA")</f>
        <v>0</v>
      </c>
      <c r="J49" s="86">
        <f>SUMIFS(Purchase!F:F,Purchase!C:C,A49,Purchase!V:V,"暂缓发货",Purchase!U:U,"LA")</f>
        <v>0</v>
      </c>
      <c r="K49" s="86">
        <f t="shared" si="0"/>
        <v>0</v>
      </c>
      <c r="L49" s="86">
        <f ca="1" t="shared" si="1"/>
        <v>807</v>
      </c>
      <c r="M49" s="365">
        <f ca="1" t="shared" si="2"/>
        <v>807</v>
      </c>
      <c r="N49" s="86" t="str">
        <f ca="1">_xlfn.XLOOKUP(A49,'Product List'!B:B,'Product List'!F:F)</f>
        <v>B</v>
      </c>
      <c r="O49" s="366">
        <f>SUMIFS('Weekly Sales'!R:R,'Weekly Sales'!B:B,A49,'Weekly Sales'!U:U,"LA")</f>
        <v>0</v>
      </c>
      <c r="P49" s="367">
        <f ca="1" t="shared" si="3"/>
        <v>999</v>
      </c>
      <c r="Q49" s="367">
        <f ca="1" t="shared" si="4"/>
        <v>999</v>
      </c>
      <c r="R49" s="86">
        <f>_xlfn.XLOOKUP(A49,'Product List'!B:B,'Product List'!P:P)</f>
        <v>10</v>
      </c>
      <c r="S49" s="86">
        <f ca="1" t="shared" si="5"/>
        <v>5</v>
      </c>
      <c r="T49" s="366">
        <f ca="1">SUMIFS('Weekly Sales'!T:T,'Weekly Sales'!B:B,A49,'Weekly Sales'!U:U,"LA")</f>
        <v>0</v>
      </c>
      <c r="U49" s="86">
        <f>_xlfn.XLOOKUP(A49,'Product List'!B:B,'Product List'!O:O)</f>
        <v>1000</v>
      </c>
      <c r="V49" s="368">
        <f ca="1" t="shared" si="6"/>
        <v>0</v>
      </c>
      <c r="W49" s="86" cm="1">
        <f ca="1" t="array" ref="W49">_xlfn.XLOOKUP(1,('Case Pack'!A:A=A49)*('Case Pack'!F:F&lt;=TODAY()),'Case Pack'!D:D,"未找到箱规")</f>
        <v>4</v>
      </c>
      <c r="X49" s="86" t="str">
        <f>_xlfn.XLOOKUP(A49,'Product List'!B:B,'Product List'!M:M)</f>
        <v>Pet Supermarket，PSP，Canada</v>
      </c>
      <c r="Y49" s="86" t="str" cm="1">
        <f ca="1" t="array" ref="Y49">_xlfn.XLOOKUP(1,('Case Pack'!A:A=A49)*('Case Pack'!F:F&lt;=TODAY()),'Case Pack'!G:G,"未找到箱规")</f>
        <v>D</v>
      </c>
      <c r="Z49" s="86">
        <f ca="1" t="shared" si="7"/>
        <v>0</v>
      </c>
      <c r="AA49" s="86">
        <f ca="1">_xlfn.XLOOKUP(Y49,'Case Type'!A:A,'Case Type'!H:H)*Z49</f>
        <v>0</v>
      </c>
    </row>
    <row r="50" spans="1:27">
      <c r="A50" s="86" t="s">
        <v>76</v>
      </c>
      <c r="B50" s="86" t="str">
        <f>_xlfn.XLOOKUP(A50,'Product List'!B:B,'Product List'!I:I)</f>
        <v>MINI/MOE SILENT CRSTL RUN WHEEL XL 11.5 1EA</v>
      </c>
      <c r="C50" s="86">
        <v>0</v>
      </c>
      <c r="D50" s="86">
        <f>SUMIFS(Purchase!F:F,Purchase!C:C,A50,Purchase!I:I,"&gt;"&amp;$C$1,Purchase!V:V,"&lt;&gt;暂缓发货",Purchase!U:U,"LA")</f>
        <v>1326</v>
      </c>
      <c r="E50" s="86">
        <f>SUMIFS(Purchase!F:F,Purchase!C:C,A50,Purchase!J:J,"&gt;0",Purchase!I:I,"&gt;"&amp;$C$1,Purchase!U:U,"LA")</f>
        <v>1326</v>
      </c>
      <c r="F50" s="86">
        <f>SUMIFS(Sales!E:E,Sales!C:C,A50,Sales!K:K,"&gt;"&amp;$C$1,Sales!I:I,"LA")</f>
        <v>684</v>
      </c>
      <c r="G50" s="86">
        <f>SUMIFS(Sales!E:E,Sales!C:C,A50,Sales!K:K,"&gt;"&amp;$C$1,Sales!L:L,"&gt;0",Sales!I:I,"LA")</f>
        <v>597</v>
      </c>
      <c r="H50" s="365">
        <f ca="1">C50+E50-G50+SUMIFS(Transfer!W:W,Transfer!O:O,A50,Transfer!Q:Q,"LA",Transfer!U:U,"&gt;"&amp;$C$1)-SUMIFS(Transfer!V:V,Transfer!O:O,A50,Transfer!P:P,"LA",Transfer!T:T,"&gt;"&amp;$C$1)</f>
        <v>729</v>
      </c>
      <c r="I50" s="86">
        <f ca="1">D50-E50+SUMIFS(Transfer!V:V,Transfer!O:O,A50,Transfer!Q:Q,"LA")-SUMIFS(Transfer!W:W,Transfer!O:O,A50,Transfer!Q:Q,"LA")</f>
        <v>0</v>
      </c>
      <c r="J50" s="86">
        <f>SUMIFS(Purchase!F:F,Purchase!C:C,A50,Purchase!V:V,"暂缓发货",Purchase!U:U,"LA")</f>
        <v>0</v>
      </c>
      <c r="K50" s="86">
        <f t="shared" si="0"/>
        <v>87</v>
      </c>
      <c r="L50" s="86">
        <f ca="1" t="shared" si="1"/>
        <v>642</v>
      </c>
      <c r="M50" s="365">
        <f ca="1" t="shared" si="2"/>
        <v>642</v>
      </c>
      <c r="N50" s="86" t="str">
        <f ca="1">_xlfn.XLOOKUP(A50,'Product List'!B:B,'Product List'!F:F)</f>
        <v>B</v>
      </c>
      <c r="O50" s="366">
        <f>SUMIFS('Weekly Sales'!R:R,'Weekly Sales'!B:B,A50,'Weekly Sales'!U:U,"LA")</f>
        <v>0</v>
      </c>
      <c r="P50" s="367">
        <f ca="1" t="shared" si="3"/>
        <v>999</v>
      </c>
      <c r="Q50" s="367">
        <f ca="1" t="shared" si="4"/>
        <v>999</v>
      </c>
      <c r="R50" s="86">
        <f>_xlfn.XLOOKUP(A50,'Product List'!B:B,'Product List'!P:P)</f>
        <v>10</v>
      </c>
      <c r="S50" s="86">
        <f ca="1" t="shared" si="5"/>
        <v>5</v>
      </c>
      <c r="T50" s="366">
        <f ca="1">SUMIFS('Weekly Sales'!T:T,'Weekly Sales'!B:B,A50,'Weekly Sales'!U:U,"LA")</f>
        <v>0</v>
      </c>
      <c r="U50" s="86">
        <f>_xlfn.XLOOKUP(A50,'Product List'!B:B,'Product List'!O:O)</f>
        <v>1000</v>
      </c>
      <c r="V50" s="368">
        <f ca="1" t="shared" si="6"/>
        <v>0</v>
      </c>
      <c r="W50" s="86" cm="1">
        <f ca="1" t="array" ref="W50">_xlfn.XLOOKUP(1,('Case Pack'!A:A=A50)*('Case Pack'!F:F&lt;=TODAY()),'Case Pack'!D:D,"未找到箱规")</f>
        <v>4</v>
      </c>
      <c r="X50" s="86" t="str">
        <f>_xlfn.XLOOKUP(A50,'Product List'!B:B,'Product List'!M:M)</f>
        <v>PSP，Canada</v>
      </c>
      <c r="Y50" s="86" t="str" cm="1">
        <f ca="1" t="array" ref="Y50">_xlfn.XLOOKUP(1,('Case Pack'!A:A=A50)*('Case Pack'!F:F&lt;=TODAY()),'Case Pack'!G:G,"未找到箱规")</f>
        <v>D</v>
      </c>
      <c r="Z50" s="86">
        <f ca="1" t="shared" si="7"/>
        <v>0</v>
      </c>
      <c r="AA50" s="86">
        <f ca="1">_xlfn.XLOOKUP(Y50,'Case Type'!A:A,'Case Type'!H:H)*Z50</f>
        <v>0</v>
      </c>
    </row>
    <row r="51" spans="1:27">
      <c r="A51" s="86" t="s">
        <v>77</v>
      </c>
      <c r="B51" s="86" t="str">
        <f>_xlfn.XLOOKUP(A51,'Product List'!B:B,'Product List'!I:I)</f>
        <v>MMO-CLOUD WATER BOTTLE</v>
      </c>
      <c r="C51" s="86">
        <v>720</v>
      </c>
      <c r="D51" s="86">
        <f>SUMIFS(Purchase!F:F,Purchase!C:C,A51,Purchase!I:I,"&gt;"&amp;$C$1,Purchase!V:V,"&lt;&gt;暂缓发货",Purchase!U:U,"LA")</f>
        <v>17600</v>
      </c>
      <c r="E51" s="86">
        <f>SUMIFS(Purchase!F:F,Purchase!C:C,A51,Purchase!J:J,"&gt;0",Purchase!I:I,"&gt;"&amp;$C$1,Purchase!U:U,"LA")</f>
        <v>17600</v>
      </c>
      <c r="F51" s="86">
        <f>SUMIFS(Sales!E:E,Sales!C:C,A51,Sales!K:K,"&gt;"&amp;$C$1,Sales!I:I,"LA")</f>
        <v>12170</v>
      </c>
      <c r="G51" s="86">
        <f>SUMIFS(Sales!E:E,Sales!C:C,A51,Sales!K:K,"&gt;"&amp;$C$1,Sales!L:L,"&gt;0",Sales!I:I,"LA")</f>
        <v>9670</v>
      </c>
      <c r="H51" s="365">
        <f ca="1">C51+E51-G51+SUMIFS(Transfer!W:W,Transfer!O:O,A51,Transfer!Q:Q,"LA",Transfer!U:U,"&gt;"&amp;$C$1)-SUMIFS(Transfer!V:V,Transfer!O:O,A51,Transfer!P:P,"LA",Transfer!T:T,"&gt;"&amp;$C$1)</f>
        <v>8650</v>
      </c>
      <c r="I51" s="86">
        <f ca="1">D51-E51+SUMIFS(Transfer!V:V,Transfer!O:O,A51,Transfer!Q:Q,"LA")-SUMIFS(Transfer!W:W,Transfer!O:O,A51,Transfer!Q:Q,"LA")</f>
        <v>0</v>
      </c>
      <c r="J51" s="86">
        <f>SUMIFS(Purchase!F:F,Purchase!C:C,A51,Purchase!V:V,"暂缓发货",Purchase!U:U,"LA")</f>
        <v>0</v>
      </c>
      <c r="K51" s="86">
        <f t="shared" si="0"/>
        <v>2500</v>
      </c>
      <c r="L51" s="86">
        <f ca="1" t="shared" si="1"/>
        <v>6150</v>
      </c>
      <c r="M51" s="365">
        <f ca="1" t="shared" si="2"/>
        <v>6150</v>
      </c>
      <c r="N51" s="86" t="str">
        <f ca="1">_xlfn.XLOOKUP(A51,'Product List'!B:B,'Product List'!F:F)</f>
        <v>B</v>
      </c>
      <c r="O51" s="366">
        <f>SUMIFS('Weekly Sales'!R:R,'Weekly Sales'!B:B,A51,'Weekly Sales'!U:U,"LA")</f>
        <v>309.333333333333</v>
      </c>
      <c r="P51" s="367">
        <f ca="1" t="shared" si="3"/>
        <v>19</v>
      </c>
      <c r="Q51" s="367">
        <f ca="1" t="shared" si="4"/>
        <v>19</v>
      </c>
      <c r="R51" s="86">
        <f>_xlfn.XLOOKUP(A51,'Product List'!B:B,'Product List'!P:P)</f>
        <v>10</v>
      </c>
      <c r="S51" s="86">
        <f ca="1" t="shared" si="5"/>
        <v>5</v>
      </c>
      <c r="T51" s="366">
        <f ca="1">SUMIFS('Weekly Sales'!T:T,'Weekly Sales'!B:B,A51,'Weekly Sales'!U:U,"LA")</f>
        <v>1005.33333333333</v>
      </c>
      <c r="U51" s="86">
        <f>_xlfn.XLOOKUP(A51,'Product List'!B:B,'Product List'!O:O)</f>
        <v>1000</v>
      </c>
      <c r="V51" s="368">
        <f ca="1" t="shared" si="6"/>
        <v>150</v>
      </c>
      <c r="W51" s="86" cm="1">
        <f ca="1" t="array" ref="W51">_xlfn.XLOOKUP(1,('Case Pack'!A:A=A51)*('Case Pack'!F:F&lt;=TODAY()),'Case Pack'!D:D,"未找到箱规")</f>
        <v>50</v>
      </c>
      <c r="X51" s="86" t="str">
        <f>_xlfn.XLOOKUP(A51,'Product List'!B:B,'Product List'!M:M)</f>
        <v>PetcoUS, PetcoMX，Canada</v>
      </c>
      <c r="Y51" s="86" t="str" cm="1">
        <f ca="1" t="array" ref="Y51">_xlfn.XLOOKUP(1,('Case Pack'!A:A=A51)*('Case Pack'!F:F&lt;=TODAY()),'Case Pack'!G:G,"未找到箱规")</f>
        <v>A</v>
      </c>
      <c r="Z51" s="86">
        <f ca="1" t="shared" si="7"/>
        <v>3</v>
      </c>
      <c r="AA51" s="86">
        <f ca="1">_xlfn.XLOOKUP(Y51,'Case Type'!A:A,'Case Type'!H:H)*Z51</f>
        <v>0.33036321024</v>
      </c>
    </row>
    <row r="52" spans="1:27">
      <c r="A52" s="86" t="s">
        <v>78</v>
      </c>
      <c r="B52" s="86" t="str">
        <f>_xlfn.XLOOKUP(A52,'Product List'!B:B,'Product List'!I:I)</f>
        <v>MINI/MOE RUFFLE BOWL</v>
      </c>
      <c r="C52" s="86">
        <v>1000</v>
      </c>
      <c r="D52" s="86">
        <f>SUMIFS(Purchase!F:F,Purchase!C:C,A52,Purchase!I:I,"&gt;"&amp;$C$1,Purchase!V:V,"&lt;&gt;暂缓发货",Purchase!U:U,"LA")</f>
        <v>9792</v>
      </c>
      <c r="E52" s="86">
        <f>SUMIFS(Purchase!F:F,Purchase!C:C,A52,Purchase!J:J,"&gt;0",Purchase!I:I,"&gt;"&amp;$C$1,Purchase!U:U,"LA")</f>
        <v>9792</v>
      </c>
      <c r="F52" s="86">
        <f>SUMIFS(Sales!E:E,Sales!C:C,A52,Sales!K:K,"&gt;"&amp;$C$1,Sales!I:I,"LA")</f>
        <v>4936</v>
      </c>
      <c r="G52" s="86">
        <f>SUMIFS(Sales!E:E,Sales!C:C,A52,Sales!K:K,"&gt;"&amp;$C$1,Sales!L:L,"&gt;0",Sales!I:I,"LA")</f>
        <v>4408</v>
      </c>
      <c r="H52" s="365">
        <f ca="1">C52+E52-G52+SUMIFS(Transfer!W:W,Transfer!O:O,A52,Transfer!Q:Q,"LA",Transfer!U:U,"&gt;"&amp;$C$1)-SUMIFS(Transfer!V:V,Transfer!O:O,A52,Transfer!P:P,"LA",Transfer!T:T,"&gt;"&amp;$C$1)</f>
        <v>6384</v>
      </c>
      <c r="I52" s="86">
        <f ca="1">D52-E52+SUMIFS(Transfer!V:V,Transfer!O:O,A52,Transfer!Q:Q,"LA")-SUMIFS(Transfer!W:W,Transfer!O:O,A52,Transfer!Q:Q,"LA")</f>
        <v>0</v>
      </c>
      <c r="J52" s="86">
        <f>SUMIFS(Purchase!F:F,Purchase!C:C,A52,Purchase!V:V,"暂缓发货",Purchase!U:U,"LA")</f>
        <v>2736</v>
      </c>
      <c r="K52" s="86">
        <f t="shared" si="0"/>
        <v>528</v>
      </c>
      <c r="L52" s="86">
        <f ca="1" t="shared" si="1"/>
        <v>5856</v>
      </c>
      <c r="M52" s="365">
        <f ca="1" t="shared" si="2"/>
        <v>5856</v>
      </c>
      <c r="N52" s="86" t="str">
        <f ca="1">_xlfn.XLOOKUP(A52,'Product List'!B:B,'Product List'!F:F)</f>
        <v>B</v>
      </c>
      <c r="O52" s="366">
        <f>SUMIFS('Weekly Sales'!R:R,'Weekly Sales'!B:B,A52,'Weekly Sales'!U:U,"LA")</f>
        <v>78.1666666666667</v>
      </c>
      <c r="P52" s="367">
        <f ca="1" t="shared" si="3"/>
        <v>74</v>
      </c>
      <c r="Q52" s="367">
        <f ca="1" t="shared" si="4"/>
        <v>74</v>
      </c>
      <c r="R52" s="86">
        <f>_xlfn.XLOOKUP(A52,'Product List'!B:B,'Product List'!P:P)</f>
        <v>15</v>
      </c>
      <c r="S52" s="86">
        <f ca="1" t="shared" si="5"/>
        <v>5</v>
      </c>
      <c r="T52" s="366">
        <f ca="1">SUMIFS('Weekly Sales'!T:T,'Weekly Sales'!B:B,A52,'Weekly Sales'!U:U,"LA")</f>
        <v>254.041666666667</v>
      </c>
      <c r="U52" s="86">
        <f>_xlfn.XLOOKUP(A52,'Product List'!B:B,'Product List'!O:O)</f>
        <v>2000</v>
      </c>
      <c r="V52" s="368">
        <f ca="1" t="shared" si="6"/>
        <v>0</v>
      </c>
      <c r="W52" s="86" cm="1">
        <f ca="1" t="array" ref="W52">_xlfn.XLOOKUP(1,('Case Pack'!A:A=A52)*('Case Pack'!F:F&lt;=TODAY()),'Case Pack'!D:D,"未找到箱规")</f>
        <v>48</v>
      </c>
      <c r="X52" s="86" t="str">
        <f>_xlfn.XLOOKUP(A52,'Product List'!B:B,'Product List'!M:M)</f>
        <v>PSP, PetcoUS</v>
      </c>
      <c r="Y52" s="86" t="str" cm="1">
        <f ca="1" t="array" ref="Y52">_xlfn.XLOOKUP(1,('Case Pack'!A:A=A52)*('Case Pack'!F:F&lt;=TODAY()),'Case Pack'!G:G,"未找到箱规")</f>
        <v>B</v>
      </c>
      <c r="Z52" s="86">
        <f ca="1" t="shared" si="7"/>
        <v>0</v>
      </c>
      <c r="AA52" s="86">
        <f ca="1">_xlfn.XLOOKUP(Y52,'Case Type'!A:A,'Case Type'!H:H)*Z52</f>
        <v>0</v>
      </c>
    </row>
    <row r="53" spans="1:27">
      <c r="A53" s="86" t="s">
        <v>79</v>
      </c>
      <c r="B53" s="86" t="str">
        <f>_xlfn.XLOOKUP(A53,'Product List'!B:B,'Product List'!I:I)</f>
        <v>MINI/MOE WOODLAND POTTY</v>
      </c>
      <c r="C53" s="86">
        <v>0</v>
      </c>
      <c r="D53" s="86">
        <f>SUMIFS(Purchase!F:F,Purchase!C:C,A53,Purchase!I:I,"&gt;"&amp;$C$1,Purchase!V:V,"&lt;&gt;暂缓发货",Purchase!U:U,"LA")</f>
        <v>1332</v>
      </c>
      <c r="E53" s="86">
        <f>SUMIFS(Purchase!F:F,Purchase!C:C,A53,Purchase!J:J,"&gt;0",Purchase!I:I,"&gt;"&amp;$C$1,Purchase!U:U,"LA")</f>
        <v>1008</v>
      </c>
      <c r="F53" s="86">
        <f>SUMIFS(Sales!E:E,Sales!C:C,A53,Sales!K:K,"&gt;"&amp;$C$1,Sales!I:I,"LA")</f>
        <v>720</v>
      </c>
      <c r="G53" s="86">
        <f>SUMIFS(Sales!E:E,Sales!C:C,A53,Sales!K:K,"&gt;"&amp;$C$1,Sales!L:L,"&gt;0",Sales!I:I,"LA")</f>
        <v>684</v>
      </c>
      <c r="H53" s="365">
        <f ca="1">C53+E53-G53+SUMIFS(Transfer!W:W,Transfer!O:O,A53,Transfer!Q:Q,"LA",Transfer!U:U,"&gt;"&amp;$C$1)-SUMIFS(Transfer!V:V,Transfer!O:O,A53,Transfer!P:P,"LA",Transfer!T:T,"&gt;"&amp;$C$1)</f>
        <v>324</v>
      </c>
      <c r="I53" s="86">
        <f ca="1">D53-E53+SUMIFS(Transfer!V:V,Transfer!O:O,A53,Transfer!Q:Q,"LA")-SUMIFS(Transfer!W:W,Transfer!O:O,A53,Transfer!Q:Q,"LA")</f>
        <v>324</v>
      </c>
      <c r="J53" s="86">
        <f>SUMIFS(Purchase!F:F,Purchase!C:C,A53,Purchase!V:V,"暂缓发货",Purchase!U:U,"LA")</f>
        <v>0</v>
      </c>
      <c r="K53" s="86">
        <f t="shared" si="0"/>
        <v>36</v>
      </c>
      <c r="L53" s="86">
        <f ca="1" t="shared" si="1"/>
        <v>288</v>
      </c>
      <c r="M53" s="365">
        <f ca="1" t="shared" si="2"/>
        <v>612</v>
      </c>
      <c r="N53" s="86" t="str">
        <f ca="1">_xlfn.XLOOKUP(A53,'Product List'!B:B,'Product List'!F:F)</f>
        <v>C</v>
      </c>
      <c r="O53" s="366">
        <f>SUMIFS('Weekly Sales'!R:R,'Weekly Sales'!B:B,A53,'Weekly Sales'!U:U,"LA")</f>
        <v>0</v>
      </c>
      <c r="P53" s="367">
        <f ca="1" t="shared" si="3"/>
        <v>999</v>
      </c>
      <c r="Q53" s="367">
        <f ca="1" t="shared" si="4"/>
        <v>999</v>
      </c>
      <c r="R53" s="86">
        <f>_xlfn.XLOOKUP(A53,'Product List'!B:B,'Product List'!P:P)</f>
        <v>10</v>
      </c>
      <c r="S53" s="86">
        <f ca="1" t="shared" si="5"/>
        <v>2</v>
      </c>
      <c r="T53" s="366">
        <f ca="1">SUMIFS('Weekly Sales'!T:T,'Weekly Sales'!B:B,A53,'Weekly Sales'!U:U,"LA")</f>
        <v>0</v>
      </c>
      <c r="U53" s="86">
        <f>_xlfn.XLOOKUP(A53,'Product List'!B:B,'Product List'!O:O)</f>
        <v>500</v>
      </c>
      <c r="V53" s="368">
        <f ca="1" t="shared" si="6"/>
        <v>0</v>
      </c>
      <c r="W53" s="86" cm="1">
        <f ca="1" t="array" ref="W53">_xlfn.XLOOKUP(1,('Case Pack'!A:A=A53)*('Case Pack'!F:F&lt;=TODAY()),'Case Pack'!D:D,"未找到箱规")</f>
        <v>36</v>
      </c>
      <c r="X53" s="86" t="str">
        <f>_xlfn.XLOOKUP(A53,'Product List'!B:B,'Product List'!M:M)</f>
        <v>PSP</v>
      </c>
      <c r="Y53" s="86" t="str" cm="1">
        <f ca="1" t="array" ref="Y53">_xlfn.XLOOKUP(1,('Case Pack'!A:A=A53)*('Case Pack'!F:F&lt;=TODAY()),'Case Pack'!G:G,"未找到箱规")</f>
        <v>C</v>
      </c>
      <c r="Z53" s="86">
        <f ca="1" t="shared" si="7"/>
        <v>0</v>
      </c>
      <c r="AA53" s="86">
        <f ca="1">_xlfn.XLOOKUP(Y53,'Case Type'!A:A,'Case Type'!H:H)*Z53</f>
        <v>0</v>
      </c>
    </row>
    <row r="54" spans="1:27">
      <c r="A54" s="86" t="s">
        <v>80</v>
      </c>
      <c r="B54" s="86" t="str">
        <f>_xlfn.XLOOKUP(A54,'Product List'!B:B,'Product List'!I:I)</f>
        <v>MINI/MOE SMALL ANIMAL BEDDING PAPER PEBBLES OCEAN BLUE 23LT</v>
      </c>
      <c r="C54" s="86">
        <v>0</v>
      </c>
      <c r="D54" s="86">
        <f>SUMIFS(Purchase!F:F,Purchase!C:C,A54,Purchase!I:I,"&gt;"&amp;$C$1,Purchase!V:V,"&lt;&gt;暂缓发货",Purchase!U:U,"LA")</f>
        <v>3360</v>
      </c>
      <c r="E54" s="86">
        <f>SUMIFS(Purchase!F:F,Purchase!C:C,A54,Purchase!J:J,"&gt;0",Purchase!I:I,"&gt;"&amp;$C$1,Purchase!U:U,"LA")</f>
        <v>3360</v>
      </c>
      <c r="F54" s="86">
        <f>SUMIFS(Sales!E:E,Sales!C:C,A54,Sales!K:K,"&gt;"&amp;$C$1,Sales!I:I,"LA")</f>
        <v>2016</v>
      </c>
      <c r="G54" s="86">
        <f>SUMIFS(Sales!E:E,Sales!C:C,A54,Sales!K:K,"&gt;"&amp;$C$1,Sales!L:L,"&gt;0",Sales!I:I,"LA")</f>
        <v>2016</v>
      </c>
      <c r="H54" s="365">
        <f ca="1">C54+E54-G54+SUMIFS(Transfer!W:W,Transfer!O:O,A54,Transfer!Q:Q,"LA",Transfer!U:U,"&gt;"&amp;$C$1)-SUMIFS(Transfer!V:V,Transfer!O:O,A54,Transfer!P:P,"LA",Transfer!T:T,"&gt;"&amp;$C$1)</f>
        <v>1344</v>
      </c>
      <c r="I54" s="86">
        <f ca="1">D54-E54+SUMIFS(Transfer!V:V,Transfer!O:O,A54,Transfer!Q:Q,"LA")-SUMIFS(Transfer!W:W,Transfer!O:O,A54,Transfer!Q:Q,"LA")</f>
        <v>0</v>
      </c>
      <c r="J54" s="86">
        <f>SUMIFS(Purchase!F:F,Purchase!C:C,A54,Purchase!V:V,"暂缓发货",Purchase!U:U,"LA")</f>
        <v>0</v>
      </c>
      <c r="K54" s="86">
        <f t="shared" si="0"/>
        <v>0</v>
      </c>
      <c r="L54" s="86">
        <f ca="1" t="shared" si="1"/>
        <v>1344</v>
      </c>
      <c r="M54" s="365">
        <f ca="1" t="shared" si="2"/>
        <v>1344</v>
      </c>
      <c r="N54" s="86" t="str">
        <f ca="1">_xlfn.XLOOKUP(A54,'Product List'!B:B,'Product List'!F:F)</f>
        <v>B</v>
      </c>
      <c r="O54" s="366">
        <f>SUMIFS('Weekly Sales'!R:R,'Weekly Sales'!B:B,A54,'Weekly Sales'!U:U,"LA")</f>
        <v>0</v>
      </c>
      <c r="P54" s="367">
        <f ca="1" t="shared" si="3"/>
        <v>999</v>
      </c>
      <c r="Q54" s="367">
        <f ca="1" t="shared" si="4"/>
        <v>999</v>
      </c>
      <c r="R54" s="86">
        <f>_xlfn.XLOOKUP(A54,'Product List'!B:B,'Product List'!P:P)</f>
        <v>10</v>
      </c>
      <c r="S54" s="86">
        <f ca="1" t="shared" si="5"/>
        <v>5</v>
      </c>
      <c r="T54" s="366">
        <f ca="1">SUMIFS('Weekly Sales'!T:T,'Weekly Sales'!B:B,A54,'Weekly Sales'!U:U,"LA")</f>
        <v>0</v>
      </c>
      <c r="U54" s="86">
        <f>_xlfn.XLOOKUP(A54,'Product List'!B:B,'Product List'!O:O)</f>
        <v>1000</v>
      </c>
      <c r="V54" s="368">
        <f ca="1" t="shared" si="6"/>
        <v>0</v>
      </c>
      <c r="W54" s="86" cm="1">
        <f ca="1" t="array" ref="W54">_xlfn.XLOOKUP(1,('Case Pack'!A:A=A54)*('Case Pack'!F:F&lt;=TODAY()),'Case Pack'!D:D,"未找到箱规")</f>
        <v>12</v>
      </c>
      <c r="X54" s="86" t="str">
        <f>_xlfn.XLOOKUP(A54,'Product List'!B:B,'Product List'!M:M)</f>
        <v>PSP</v>
      </c>
      <c r="Y54" s="86" t="str" cm="1">
        <f ca="1" t="array" ref="Y54">_xlfn.XLOOKUP(1,('Case Pack'!A:A=A54)*('Case Pack'!F:F&lt;=TODAY()),'Case Pack'!G:G,"未找到箱规")</f>
        <v>B</v>
      </c>
      <c r="Z54" s="86">
        <f ca="1" t="shared" si="7"/>
        <v>0</v>
      </c>
      <c r="AA54" s="86">
        <f ca="1">_xlfn.XLOOKUP(Y54,'Case Type'!A:A,'Case Type'!H:H)*Z54</f>
        <v>0</v>
      </c>
    </row>
    <row r="55" spans="1:27">
      <c r="A55" s="86" t="s">
        <v>81</v>
      </c>
      <c r="B55" s="86" t="str">
        <f>_xlfn.XLOOKUP(A55,'Product List'!B:B,'Product List'!I:I)</f>
        <v>MMO-PAPER PEBBLES</v>
      </c>
      <c r="C55" s="86">
        <v>705</v>
      </c>
      <c r="D55" s="86">
        <f>SUMIFS(Purchase!F:F,Purchase!C:C,A55,Purchase!I:I,"&gt;"&amp;$C$1,Purchase!V:V,"&lt;&gt;暂缓发货",Purchase!U:U,"LA")</f>
        <v>6456</v>
      </c>
      <c r="E55" s="86">
        <f>SUMIFS(Purchase!F:F,Purchase!C:C,A55,Purchase!J:J,"&gt;0",Purchase!I:I,"&gt;"&amp;$C$1,Purchase!U:U,"LA")</f>
        <v>6456</v>
      </c>
      <c r="F55" s="86">
        <f>SUMIFS(Sales!E:E,Sales!C:C,A55,Sales!K:K,"&gt;"&amp;$C$1,Sales!I:I,"LA")</f>
        <v>2481</v>
      </c>
      <c r="G55" s="86">
        <f>SUMIFS(Sales!E:E,Sales!C:C,A55,Sales!K:K,"&gt;"&amp;$C$1,Sales!L:L,"&gt;0",Sales!I:I,"LA")</f>
        <v>2421</v>
      </c>
      <c r="H55" s="365">
        <f ca="1">C55+E55-G55+SUMIFS(Transfer!W:W,Transfer!O:O,A55,Transfer!Q:Q,"LA",Transfer!U:U,"&gt;"&amp;$C$1)-SUMIFS(Transfer!V:V,Transfer!O:O,A55,Transfer!P:P,"LA",Transfer!T:T,"&gt;"&amp;$C$1)</f>
        <v>4740</v>
      </c>
      <c r="I55" s="86">
        <f ca="1">D55-E55+SUMIFS(Transfer!V:V,Transfer!O:O,A55,Transfer!Q:Q,"LA")-SUMIFS(Transfer!W:W,Transfer!O:O,A55,Transfer!Q:Q,"LA")</f>
        <v>0</v>
      </c>
      <c r="J55" s="86">
        <f>SUMIFS(Purchase!F:F,Purchase!C:C,A55,Purchase!V:V,"暂缓发货",Purchase!U:U,"LA")</f>
        <v>0</v>
      </c>
      <c r="K55" s="86">
        <f t="shared" si="0"/>
        <v>60</v>
      </c>
      <c r="L55" s="86">
        <f ca="1" t="shared" si="1"/>
        <v>4680</v>
      </c>
      <c r="M55" s="365">
        <f ca="1" t="shared" si="2"/>
        <v>4680</v>
      </c>
      <c r="N55" s="86" t="str">
        <f ca="1">_xlfn.XLOOKUP(A55,'Product List'!B:B,'Product List'!F:F)</f>
        <v>B</v>
      </c>
      <c r="O55" s="366">
        <f>SUMIFS('Weekly Sales'!R:R,'Weekly Sales'!B:B,A55,'Weekly Sales'!U:U,"LA")</f>
        <v>43.6666666666667</v>
      </c>
      <c r="P55" s="367">
        <f ca="1" t="shared" si="3"/>
        <v>107</v>
      </c>
      <c r="Q55" s="367">
        <f ca="1" t="shared" si="4"/>
        <v>107</v>
      </c>
      <c r="R55" s="86">
        <f>_xlfn.XLOOKUP(A55,'Product List'!B:B,'Product List'!P:P)</f>
        <v>10</v>
      </c>
      <c r="S55" s="86">
        <f ca="1" t="shared" si="5"/>
        <v>5</v>
      </c>
      <c r="T55" s="366">
        <f ca="1">SUMIFS('Weekly Sales'!T:T,'Weekly Sales'!B:B,A55,'Weekly Sales'!U:U,"LA")</f>
        <v>141.916666666667</v>
      </c>
      <c r="U55" s="86">
        <f>_xlfn.XLOOKUP(A55,'Product List'!B:B,'Product List'!O:O)</f>
        <v>1000</v>
      </c>
      <c r="V55" s="368">
        <f ca="1" t="shared" si="6"/>
        <v>0</v>
      </c>
      <c r="W55" s="86" cm="1">
        <f ca="1" t="array" ref="W55">_xlfn.XLOOKUP(1,('Case Pack'!A:A=A55)*('Case Pack'!F:F&lt;=TODAY()),'Case Pack'!D:D,"未找到箱规")</f>
        <v>12</v>
      </c>
      <c r="X55" s="86" t="str">
        <f>_xlfn.XLOOKUP(A55,'Product List'!B:B,'Product List'!M:M)</f>
        <v>PetcoUS, Pet Supermarket</v>
      </c>
      <c r="Y55" s="86" t="str" cm="1">
        <f ca="1" t="array" ref="Y55">_xlfn.XLOOKUP(1,('Case Pack'!A:A=A55)*('Case Pack'!F:F&lt;=TODAY()),'Case Pack'!G:G,"未找到箱规")</f>
        <v>B</v>
      </c>
      <c r="Z55" s="86">
        <f ca="1" t="shared" si="7"/>
        <v>0</v>
      </c>
      <c r="AA55" s="86">
        <f ca="1">_xlfn.XLOOKUP(Y55,'Case Type'!A:A,'Case Type'!H:H)*Z55</f>
        <v>0</v>
      </c>
    </row>
    <row r="56" spans="1:27">
      <c r="A56" s="86" t="s">
        <v>82</v>
      </c>
      <c r="B56" s="86" t="str">
        <f>_xlfn.XLOOKUP(A56,'Product List'!B:B,'Product List'!I:I)</f>
        <v>MINI/MOE SMALL ANIMAL BEDDING PAPER PEBBLES PSTCH/CREAM 1EA</v>
      </c>
      <c r="C56" s="86">
        <v>0</v>
      </c>
      <c r="D56" s="86">
        <f>SUMIFS(Purchase!F:F,Purchase!C:C,A56,Purchase!I:I,"&gt;"&amp;$C$1,Purchase!V:V,"&lt;&gt;暂缓发货",Purchase!U:U,"LA")</f>
        <v>1248</v>
      </c>
      <c r="E56" s="86">
        <f>SUMIFS(Purchase!F:F,Purchase!C:C,A56,Purchase!J:J,"&gt;0",Purchase!I:I,"&gt;"&amp;$C$1,Purchase!U:U,"LA")</f>
        <v>1248</v>
      </c>
      <c r="F56" s="86">
        <f>SUMIFS(Sales!E:E,Sales!C:C,A56,Sales!K:K,"&gt;"&amp;$C$1,Sales!I:I,"LA")</f>
        <v>612</v>
      </c>
      <c r="G56" s="86">
        <f>SUMIFS(Sales!E:E,Sales!C:C,A56,Sales!K:K,"&gt;"&amp;$C$1,Sales!L:L,"&gt;0",Sales!I:I,"LA")</f>
        <v>612</v>
      </c>
      <c r="H56" s="365">
        <f ca="1">C56+E56-G56+SUMIFS(Transfer!W:W,Transfer!O:O,A56,Transfer!Q:Q,"LA",Transfer!U:U,"&gt;"&amp;$C$1)-SUMIFS(Transfer!V:V,Transfer!O:O,A56,Transfer!P:P,"LA",Transfer!T:T,"&gt;"&amp;$C$1)</f>
        <v>636</v>
      </c>
      <c r="I56" s="86">
        <f ca="1">D56-E56+SUMIFS(Transfer!V:V,Transfer!O:O,A56,Transfer!Q:Q,"LA")-SUMIFS(Transfer!W:W,Transfer!O:O,A56,Transfer!Q:Q,"LA")</f>
        <v>0</v>
      </c>
      <c r="J56" s="86">
        <f>SUMIFS(Purchase!F:F,Purchase!C:C,A56,Purchase!V:V,"暂缓发货",Purchase!U:U,"LA")</f>
        <v>0</v>
      </c>
      <c r="K56" s="86">
        <f t="shared" si="0"/>
        <v>0</v>
      </c>
      <c r="L56" s="86">
        <f ca="1" t="shared" si="1"/>
        <v>636</v>
      </c>
      <c r="M56" s="365">
        <f ca="1" t="shared" si="2"/>
        <v>636</v>
      </c>
      <c r="N56" s="86" t="str">
        <f ca="1">_xlfn.XLOOKUP(A56,'Product List'!B:B,'Product List'!F:F)</f>
        <v>C</v>
      </c>
      <c r="O56" s="366">
        <f>SUMIFS('Weekly Sales'!R:R,'Weekly Sales'!B:B,A56,'Weekly Sales'!U:U,"LA")</f>
        <v>0</v>
      </c>
      <c r="P56" s="367">
        <f ca="1" t="shared" si="3"/>
        <v>999</v>
      </c>
      <c r="Q56" s="367">
        <f ca="1" t="shared" si="4"/>
        <v>999</v>
      </c>
      <c r="R56" s="86">
        <f>_xlfn.XLOOKUP(A56,'Product List'!B:B,'Product List'!P:P)</f>
        <v>10</v>
      </c>
      <c r="S56" s="86">
        <f ca="1" t="shared" si="5"/>
        <v>2</v>
      </c>
      <c r="T56" s="366">
        <f ca="1">SUMIFS('Weekly Sales'!T:T,'Weekly Sales'!B:B,A56,'Weekly Sales'!U:U,"LA")</f>
        <v>0</v>
      </c>
      <c r="U56" s="86">
        <f>_xlfn.XLOOKUP(A56,'Product List'!B:B,'Product List'!O:O)</f>
        <v>1000</v>
      </c>
      <c r="V56" s="368">
        <f ca="1" t="shared" si="6"/>
        <v>0</v>
      </c>
      <c r="W56" s="86" cm="1">
        <f ca="1" t="array" ref="W56">_xlfn.XLOOKUP(1,('Case Pack'!A:A=A56)*('Case Pack'!F:F&lt;=TODAY()),'Case Pack'!D:D,"未找到箱规")</f>
        <v>12</v>
      </c>
      <c r="X56" s="86" t="str">
        <f>_xlfn.XLOOKUP(A56,'Product List'!B:B,'Product List'!M:M)</f>
        <v>PSP</v>
      </c>
      <c r="Y56" s="86" t="str" cm="1">
        <f ca="1" t="array" ref="Y56">_xlfn.XLOOKUP(1,('Case Pack'!A:A=A56)*('Case Pack'!F:F&lt;=TODAY()),'Case Pack'!G:G,"未找到箱规")</f>
        <v>B</v>
      </c>
      <c r="Z56" s="86">
        <f ca="1" t="shared" si="7"/>
        <v>0</v>
      </c>
      <c r="AA56" s="86">
        <f ca="1">_xlfn.XLOOKUP(Y56,'Case Type'!A:A,'Case Type'!H:H)*Z56</f>
        <v>0</v>
      </c>
    </row>
    <row r="57" spans="1:27">
      <c r="A57" s="86" t="s">
        <v>83</v>
      </c>
      <c r="B57" s="86" t="str">
        <f>_xlfn.XLOOKUP(A57,'Product List'!B:B,'Product List'!I:I)</f>
        <v>Paper straw green bedding</v>
      </c>
      <c r="C57" s="86">
        <v>0</v>
      </c>
      <c r="D57" s="86">
        <f>SUMIFS(Purchase!F:F,Purchase!C:C,A57,Purchase!I:I,"&gt;"&amp;$C$1,Purchase!V:V,"&lt;&gt;暂缓发货",Purchase!U:U,"LA")</f>
        <v>600</v>
      </c>
      <c r="E57" s="86">
        <f>SUMIFS(Purchase!F:F,Purchase!C:C,A57,Purchase!J:J,"&gt;0",Purchase!I:I,"&gt;"&amp;$C$1,Purchase!U:U,"LA")</f>
        <v>600</v>
      </c>
      <c r="F57" s="86">
        <f>SUMIFS(Sales!E:E,Sales!C:C,A57,Sales!K:K,"&gt;"&amp;$C$1,Sales!I:I,"LA")</f>
        <v>300</v>
      </c>
      <c r="G57" s="86">
        <f>SUMIFS(Sales!E:E,Sales!C:C,A57,Sales!K:K,"&gt;"&amp;$C$1,Sales!L:L,"&gt;0",Sales!I:I,"LA")</f>
        <v>300</v>
      </c>
      <c r="H57" s="365">
        <f ca="1">C57+E57-G57+SUMIFS(Transfer!W:W,Transfer!O:O,A57,Transfer!Q:Q,"LA",Transfer!U:U,"&gt;"&amp;$C$1)-SUMIFS(Transfer!V:V,Transfer!O:O,A57,Transfer!P:P,"LA",Transfer!T:T,"&gt;"&amp;$C$1)</f>
        <v>300</v>
      </c>
      <c r="I57" s="86">
        <f ca="1">D57-E57+SUMIFS(Transfer!V:V,Transfer!O:O,A57,Transfer!Q:Q,"LA")-SUMIFS(Transfer!W:W,Transfer!O:O,A57,Transfer!Q:Q,"LA")</f>
        <v>0</v>
      </c>
      <c r="J57" s="86">
        <f>SUMIFS(Purchase!F:F,Purchase!C:C,A57,Purchase!V:V,"暂缓发货",Purchase!U:U,"LA")</f>
        <v>0</v>
      </c>
      <c r="K57" s="86">
        <f t="shared" si="0"/>
        <v>0</v>
      </c>
      <c r="L57" s="86">
        <f ca="1" t="shared" si="1"/>
        <v>300</v>
      </c>
      <c r="M57" s="365">
        <f ca="1" t="shared" si="2"/>
        <v>300</v>
      </c>
      <c r="N57" s="86" t="str">
        <f ca="1">_xlfn.XLOOKUP(A57,'Product List'!B:B,'Product List'!F:F)</f>
        <v>C</v>
      </c>
      <c r="O57" s="366">
        <f>SUMIFS('Weekly Sales'!R:R,'Weekly Sales'!B:B,A57,'Weekly Sales'!U:U,"LA")</f>
        <v>0</v>
      </c>
      <c r="P57" s="367">
        <f ca="1" t="shared" si="3"/>
        <v>999</v>
      </c>
      <c r="Q57" s="367">
        <f ca="1" t="shared" si="4"/>
        <v>999</v>
      </c>
      <c r="R57" s="86">
        <f>_xlfn.XLOOKUP(A57,'Product List'!B:B,'Product List'!P:P)</f>
        <v>10</v>
      </c>
      <c r="S57" s="86">
        <f ca="1" t="shared" si="5"/>
        <v>2</v>
      </c>
      <c r="T57" s="366">
        <f ca="1">SUMIFS('Weekly Sales'!T:T,'Weekly Sales'!B:B,A57,'Weekly Sales'!U:U,"LA")</f>
        <v>0</v>
      </c>
      <c r="U57" s="86">
        <f>_xlfn.XLOOKUP(A57,'Product List'!B:B,'Product List'!O:O)</f>
        <v>1000</v>
      </c>
      <c r="V57" s="368">
        <f ca="1" t="shared" si="6"/>
        <v>0</v>
      </c>
      <c r="W57" s="86" cm="1">
        <f ca="1" t="array" ref="W57">_xlfn.XLOOKUP(1,('Case Pack'!A:A=A57)*('Case Pack'!F:F&lt;=TODAY()),'Case Pack'!D:D,"未找到箱规")</f>
        <v>30</v>
      </c>
      <c r="X57" s="86" t="str">
        <f>_xlfn.XLOOKUP(A57,'Product List'!B:B,'Product List'!M:M)</f>
        <v>Pet Supermarket</v>
      </c>
      <c r="Y57" s="86" t="str" cm="1">
        <f ca="1" t="array" ref="Y57">_xlfn.XLOOKUP(1,('Case Pack'!A:A=A57)*('Case Pack'!F:F&lt;=TODAY()),'Case Pack'!G:G,"未找到箱规")</f>
        <v>C</v>
      </c>
      <c r="Z57" s="86">
        <f ca="1" t="shared" si="7"/>
        <v>0</v>
      </c>
      <c r="AA57" s="86">
        <f ca="1">_xlfn.XLOOKUP(Y57,'Case Type'!A:A,'Case Type'!H:H)*Z57</f>
        <v>0</v>
      </c>
    </row>
    <row r="58" spans="1:27">
      <c r="A58" s="86" t="s">
        <v>84</v>
      </c>
      <c r="B58" s="86" t="str">
        <f>_xlfn.XLOOKUP(A58,'Product List'!B:B,'Product List'!I:I)</f>
        <v>MMO-COTTON NESTING BALLS</v>
      </c>
      <c r="C58" s="86">
        <v>930</v>
      </c>
      <c r="D58" s="86">
        <f>SUMIFS(Purchase!F:F,Purchase!C:C,A58,Purchase!I:I,"&gt;"&amp;$C$1,Purchase!V:V,"&lt;&gt;暂缓发货",Purchase!U:U,"LA")</f>
        <v>6272</v>
      </c>
      <c r="E58" s="86">
        <f>SUMIFS(Purchase!F:F,Purchase!C:C,A58,Purchase!J:J,"&gt;0",Purchase!I:I,"&gt;"&amp;$C$1,Purchase!U:U,"LA")</f>
        <v>6272</v>
      </c>
      <c r="F58" s="86">
        <f>SUMIFS(Sales!E:E,Sales!C:C,A58,Sales!K:K,"&gt;"&amp;$C$1,Sales!I:I,"LA")</f>
        <v>2530</v>
      </c>
      <c r="G58" s="86">
        <f>SUMIFS(Sales!E:E,Sales!C:C,A58,Sales!K:K,"&gt;"&amp;$C$1,Sales!L:L,"&gt;0",Sales!I:I,"LA")</f>
        <v>2466</v>
      </c>
      <c r="H58" s="365">
        <f ca="1">C58+E58-G58+SUMIFS(Transfer!W:W,Transfer!O:O,A58,Transfer!Q:Q,"LA",Transfer!U:U,"&gt;"&amp;$C$1)-SUMIFS(Transfer!V:V,Transfer!O:O,A58,Transfer!P:P,"LA",Transfer!T:T,"&gt;"&amp;$C$1)</f>
        <v>4736</v>
      </c>
      <c r="I58" s="86">
        <f ca="1">D58-E58+SUMIFS(Transfer!V:V,Transfer!O:O,A58,Transfer!Q:Q,"LA")-SUMIFS(Transfer!W:W,Transfer!O:O,A58,Transfer!Q:Q,"LA")</f>
        <v>0</v>
      </c>
      <c r="J58" s="86">
        <f>SUMIFS(Purchase!F:F,Purchase!C:C,A58,Purchase!V:V,"暂缓发货",Purchase!U:U,"LA")</f>
        <v>0</v>
      </c>
      <c r="K58" s="86">
        <f t="shared" si="0"/>
        <v>64</v>
      </c>
      <c r="L58" s="86">
        <f ca="1" t="shared" si="1"/>
        <v>4672</v>
      </c>
      <c r="M58" s="365">
        <f ca="1" t="shared" si="2"/>
        <v>4672</v>
      </c>
      <c r="N58" s="86" t="str">
        <f ca="1">_xlfn.XLOOKUP(A58,'Product List'!B:B,'Product List'!F:F)</f>
        <v>C</v>
      </c>
      <c r="O58" s="366">
        <f>SUMIFS('Weekly Sales'!R:R,'Weekly Sales'!B:B,A58,'Weekly Sales'!U:U,"LA")</f>
        <v>48.5</v>
      </c>
      <c r="P58" s="367">
        <f ca="1" t="shared" si="3"/>
        <v>96</v>
      </c>
      <c r="Q58" s="367">
        <f ca="1" t="shared" si="4"/>
        <v>96</v>
      </c>
      <c r="R58" s="86">
        <f>_xlfn.XLOOKUP(A58,'Product List'!B:B,'Product List'!P:P)</f>
        <v>10</v>
      </c>
      <c r="S58" s="86">
        <f ca="1" t="shared" si="5"/>
        <v>2</v>
      </c>
      <c r="T58" s="366">
        <f ca="1">SUMIFS('Weekly Sales'!T:T,'Weekly Sales'!B:B,A58,'Weekly Sales'!U:U,"LA")</f>
        <v>0</v>
      </c>
      <c r="U58" s="86">
        <f>_xlfn.XLOOKUP(A58,'Product List'!B:B,'Product List'!O:O)</f>
        <v>1000</v>
      </c>
      <c r="V58" s="368">
        <f ca="1" t="shared" si="6"/>
        <v>0</v>
      </c>
      <c r="W58" s="86" cm="1">
        <f ca="1" t="array" ref="W58">_xlfn.XLOOKUP(1,('Case Pack'!A:A=A58)*('Case Pack'!F:F&lt;=TODAY()),'Case Pack'!D:D,"未找到箱规")</f>
        <v>32</v>
      </c>
      <c r="X58" s="86" t="str">
        <f>_xlfn.XLOOKUP(A58,'Product List'!B:B,'Product List'!M:M)</f>
        <v>PetcoUS</v>
      </c>
      <c r="Y58" s="86" t="str" cm="1">
        <f ca="1" t="array" ref="Y58">_xlfn.XLOOKUP(1,('Case Pack'!A:A=A58)*('Case Pack'!F:F&lt;=TODAY()),'Case Pack'!G:G,"未找到箱规")</f>
        <v>A</v>
      </c>
      <c r="Z58" s="86">
        <f ca="1" t="shared" si="7"/>
        <v>0</v>
      </c>
      <c r="AA58" s="86">
        <f ca="1">_xlfn.XLOOKUP(Y58,'Case Type'!A:A,'Case Type'!H:H)*Z58</f>
        <v>0</v>
      </c>
    </row>
    <row r="59" spans="1:27">
      <c r="A59" s="94" t="s">
        <v>85</v>
      </c>
      <c r="B59" s="86" t="str">
        <f>_xlfn.XLOOKUP(A59,'Product List'!B:B,'Product List'!I:I)</f>
        <v>Cotton multi color bedding</v>
      </c>
      <c r="C59" s="86">
        <v>0</v>
      </c>
      <c r="D59" s="86">
        <f>SUMIFS(Purchase!F:F,Purchase!C:C,A59,Purchase!I:I,"&gt;"&amp;$C$1,Purchase!V:V,"&lt;&gt;暂缓发货",Purchase!U:U,"LA")</f>
        <v>1920</v>
      </c>
      <c r="E59" s="86">
        <f>SUMIFS(Purchase!F:F,Purchase!C:C,A59,Purchase!J:J,"&gt;0",Purchase!I:I,"&gt;"&amp;$C$1,Purchase!U:U,"LA")</f>
        <v>1920</v>
      </c>
      <c r="F59" s="86">
        <f>SUMIFS(Sales!E:E,Sales!C:C,A59,Sales!K:K,"&gt;"&amp;$C$1,Sales!I:I,"LA")</f>
        <v>928</v>
      </c>
      <c r="G59" s="86">
        <f>SUMIFS(Sales!E:E,Sales!C:C,A59,Sales!K:K,"&gt;"&amp;$C$1,Sales!L:L,"&gt;0",Sales!I:I,"LA")</f>
        <v>928</v>
      </c>
      <c r="H59" s="365">
        <f ca="1">C59+E59-G59+SUMIFS(Transfer!W:W,Transfer!O:O,A59,Transfer!Q:Q,"LA",Transfer!U:U,"&gt;"&amp;$C$1)-SUMIFS(Transfer!V:V,Transfer!O:O,A59,Transfer!P:P,"LA",Transfer!T:T,"&gt;"&amp;$C$1)</f>
        <v>992</v>
      </c>
      <c r="I59" s="86">
        <f ca="1">D59-E59+SUMIFS(Transfer!V:V,Transfer!O:O,A59,Transfer!Q:Q,"LA")-SUMIFS(Transfer!W:W,Transfer!O:O,A59,Transfer!Q:Q,"LA")</f>
        <v>0</v>
      </c>
      <c r="J59" s="86">
        <f>SUMIFS(Purchase!F:F,Purchase!C:C,A59,Purchase!V:V,"暂缓发货",Purchase!U:U,"LA")</f>
        <v>0</v>
      </c>
      <c r="K59" s="86">
        <f t="shared" si="0"/>
        <v>0</v>
      </c>
      <c r="L59" s="86">
        <f ca="1" t="shared" si="1"/>
        <v>992</v>
      </c>
      <c r="M59" s="365">
        <f ca="1" t="shared" si="2"/>
        <v>992</v>
      </c>
      <c r="N59" s="86" t="str">
        <f ca="1">_xlfn.XLOOKUP(A59,'Product List'!B:B,'Product List'!F:F)</f>
        <v>C</v>
      </c>
      <c r="O59" s="366">
        <f>SUMIFS('Weekly Sales'!R:R,'Weekly Sales'!B:B,A59,'Weekly Sales'!U:U,"LA")</f>
        <v>0</v>
      </c>
      <c r="P59" s="367">
        <f ca="1" t="shared" si="3"/>
        <v>999</v>
      </c>
      <c r="Q59" s="367">
        <f ca="1" t="shared" si="4"/>
        <v>999</v>
      </c>
      <c r="R59" s="86">
        <f>_xlfn.XLOOKUP(A59,'Product List'!B:B,'Product List'!P:P)</f>
        <v>10</v>
      </c>
      <c r="S59" s="86">
        <f ca="1" t="shared" si="5"/>
        <v>2</v>
      </c>
      <c r="T59" s="366">
        <f ca="1">SUMIFS('Weekly Sales'!T:T,'Weekly Sales'!B:B,A59,'Weekly Sales'!U:U,"LA")</f>
        <v>0</v>
      </c>
      <c r="U59" s="86">
        <f>_xlfn.XLOOKUP(A59,'Product List'!B:B,'Product List'!O:O)</f>
        <v>1000</v>
      </c>
      <c r="V59" s="368">
        <f ca="1" t="shared" si="6"/>
        <v>0</v>
      </c>
      <c r="W59" s="86" cm="1">
        <f ca="1" t="array" ref="W59">_xlfn.XLOOKUP(1,('Case Pack'!A:A=A59)*('Case Pack'!F:F&lt;=TODAY()),'Case Pack'!D:D,"未找到箱规")</f>
        <v>32</v>
      </c>
      <c r="X59" s="86" t="str">
        <f>_xlfn.XLOOKUP(A59,'Product List'!B:B,'Product List'!M:M)</f>
        <v>Pet Supermarket，Canada，PSP</v>
      </c>
      <c r="Y59" s="86" t="str" cm="1">
        <f ca="1" t="array" ref="Y59">_xlfn.XLOOKUP(1,('Case Pack'!A:A=A59)*('Case Pack'!F:F&lt;=TODAY()),'Case Pack'!G:G,"未找到箱规")</f>
        <v>A</v>
      </c>
      <c r="Z59" s="86">
        <f ca="1" t="shared" si="7"/>
        <v>0</v>
      </c>
      <c r="AA59" s="86">
        <f ca="1">_xlfn.XLOOKUP(Y59,'Case Type'!A:A,'Case Type'!H:H)*Z59</f>
        <v>0</v>
      </c>
    </row>
    <row r="60" spans="1:27">
      <c r="A60" s="86" t="s">
        <v>86</v>
      </c>
      <c r="B60" s="86" t="str">
        <f>_xlfn.XLOOKUP(A60,'Product List'!B:B,'Product List'!I:I)</f>
        <v>MINI/MOE SMALL ANIMAL BEDDING NESTING COTTON BALLS LAV 23LT</v>
      </c>
      <c r="C60" s="86">
        <v>0</v>
      </c>
      <c r="D60" s="86">
        <f>SUMIFS(Purchase!F:F,Purchase!C:C,A60,Purchase!I:I,"&gt;"&amp;$C$1,Purchase!V:V,"&lt;&gt;暂缓发货",Purchase!U:U,"LA")</f>
        <v>3456</v>
      </c>
      <c r="E60" s="86">
        <f>SUMIFS(Purchase!F:F,Purchase!C:C,A60,Purchase!J:J,"&gt;0",Purchase!I:I,"&gt;"&amp;$C$1,Purchase!U:U,"LA")</f>
        <v>3456</v>
      </c>
      <c r="F60" s="86">
        <f>SUMIFS(Sales!E:E,Sales!C:C,A60,Sales!K:K,"&gt;"&amp;$C$1,Sales!I:I,"LA")</f>
        <v>2432</v>
      </c>
      <c r="G60" s="86">
        <f>SUMIFS(Sales!E:E,Sales!C:C,A60,Sales!K:K,"&gt;"&amp;$C$1,Sales!L:L,"&gt;0",Sales!I:I,"LA")</f>
        <v>2432</v>
      </c>
      <c r="H60" s="365">
        <f ca="1">C60+E60-G60+SUMIFS(Transfer!W:W,Transfer!O:O,A60,Transfer!Q:Q,"LA",Transfer!U:U,"&gt;"&amp;$C$1)-SUMIFS(Transfer!V:V,Transfer!O:O,A60,Transfer!P:P,"LA",Transfer!T:T,"&gt;"&amp;$C$1)</f>
        <v>1024</v>
      </c>
      <c r="I60" s="86">
        <f ca="1">D60-E60+SUMIFS(Transfer!V:V,Transfer!O:O,A60,Transfer!Q:Q,"LA")-SUMIFS(Transfer!W:W,Transfer!O:O,A60,Transfer!Q:Q,"LA")</f>
        <v>0</v>
      </c>
      <c r="J60" s="86">
        <f>SUMIFS(Purchase!F:F,Purchase!C:C,A60,Purchase!V:V,"暂缓发货",Purchase!U:U,"LA")</f>
        <v>0</v>
      </c>
      <c r="K60" s="86">
        <f t="shared" si="0"/>
        <v>0</v>
      </c>
      <c r="L60" s="86">
        <f ca="1" t="shared" si="1"/>
        <v>1024</v>
      </c>
      <c r="M60" s="365">
        <f ca="1" t="shared" si="2"/>
        <v>1024</v>
      </c>
      <c r="N60" s="86" t="str">
        <f ca="1">_xlfn.XLOOKUP(A60,'Product List'!B:B,'Product List'!F:F)</f>
        <v>C</v>
      </c>
      <c r="O60" s="366">
        <f>SUMIFS('Weekly Sales'!R:R,'Weekly Sales'!B:B,A60,'Weekly Sales'!U:U,"LA")</f>
        <v>0</v>
      </c>
      <c r="P60" s="367">
        <f ca="1" t="shared" si="3"/>
        <v>999</v>
      </c>
      <c r="Q60" s="367">
        <f ca="1" t="shared" si="4"/>
        <v>999</v>
      </c>
      <c r="R60" s="86">
        <f>_xlfn.XLOOKUP(A60,'Product List'!B:B,'Product List'!P:P)</f>
        <v>10</v>
      </c>
      <c r="S60" s="86">
        <f ca="1" t="shared" si="5"/>
        <v>2</v>
      </c>
      <c r="T60" s="366">
        <f ca="1">SUMIFS('Weekly Sales'!T:T,'Weekly Sales'!B:B,A60,'Weekly Sales'!U:U,"LA")</f>
        <v>0</v>
      </c>
      <c r="U60" s="86">
        <f>_xlfn.XLOOKUP(A60,'Product List'!B:B,'Product List'!O:O)</f>
        <v>1000</v>
      </c>
      <c r="V60" s="368">
        <f ca="1" t="shared" si="6"/>
        <v>0</v>
      </c>
      <c r="W60" s="86" cm="1">
        <f ca="1" t="array" ref="W60">_xlfn.XLOOKUP(1,('Case Pack'!A:A=A60)*('Case Pack'!F:F&lt;=TODAY()),'Case Pack'!D:D,"未找到箱规")</f>
        <v>32</v>
      </c>
      <c r="X60" s="86" t="str">
        <f>_xlfn.XLOOKUP(A60,'Product List'!B:B,'Product List'!M:M)</f>
        <v>PSP</v>
      </c>
      <c r="Y60" s="86" t="str" cm="1">
        <f ca="1" t="array" ref="Y60">_xlfn.XLOOKUP(1,('Case Pack'!A:A=A60)*('Case Pack'!F:F&lt;=TODAY()),'Case Pack'!G:G,"未找到箱规")</f>
        <v>A</v>
      </c>
      <c r="Z60" s="86">
        <f ca="1" t="shared" si="7"/>
        <v>0</v>
      </c>
      <c r="AA60" s="86">
        <f ca="1">_xlfn.XLOOKUP(Y60,'Case Type'!A:A,'Case Type'!H:H)*Z60</f>
        <v>0</v>
      </c>
    </row>
    <row r="61" spans="1:27">
      <c r="A61" s="86" t="s">
        <v>87</v>
      </c>
      <c r="B61" s="86" t="str">
        <f>_xlfn.XLOOKUP(A61,'Product List'!B:B,'Product List'!I:I)</f>
        <v>MINI/MOE SMALL ANIMAL BEDDING PAPER FLAKE LAV FIELD 50LT</v>
      </c>
      <c r="C61" s="86">
        <v>0</v>
      </c>
      <c r="D61" s="86">
        <f>SUMIFS(Purchase!F:F,Purchase!C:C,A61,Purchase!I:I,"&gt;"&amp;$C$1,Purchase!V:V,"&lt;&gt;暂缓发货",Purchase!U:U,"LA")</f>
        <v>3360</v>
      </c>
      <c r="E61" s="86">
        <f>SUMIFS(Purchase!F:F,Purchase!C:C,A61,Purchase!J:J,"&gt;0",Purchase!I:I,"&gt;"&amp;$C$1,Purchase!U:U,"LA")</f>
        <v>3360</v>
      </c>
      <c r="F61" s="86">
        <f>SUMIFS(Sales!E:E,Sales!C:C,A61,Sales!K:K,"&gt;"&amp;$C$1,Sales!I:I,"LA")</f>
        <v>2072</v>
      </c>
      <c r="G61" s="86">
        <f>SUMIFS(Sales!E:E,Sales!C:C,A61,Sales!K:K,"&gt;"&amp;$C$1,Sales!L:L,"&gt;0",Sales!I:I,"LA")</f>
        <v>2072</v>
      </c>
      <c r="H61" s="365">
        <f ca="1">C61+E61-G61+SUMIFS(Transfer!W:W,Transfer!O:O,A61,Transfer!Q:Q,"LA",Transfer!U:U,"&gt;"&amp;$C$1)-SUMIFS(Transfer!V:V,Transfer!O:O,A61,Transfer!P:P,"LA",Transfer!T:T,"&gt;"&amp;$C$1)</f>
        <v>1288</v>
      </c>
      <c r="I61" s="86">
        <f ca="1">D61-E61+SUMIFS(Transfer!V:V,Transfer!O:O,A61,Transfer!Q:Q,"LA")-SUMIFS(Transfer!W:W,Transfer!O:O,A61,Transfer!Q:Q,"LA")</f>
        <v>0</v>
      </c>
      <c r="J61" s="86">
        <f>SUMIFS(Purchase!F:F,Purchase!C:C,A61,Purchase!V:V,"暂缓发货",Purchase!U:U,"LA")</f>
        <v>0</v>
      </c>
      <c r="K61" s="86">
        <f t="shared" si="0"/>
        <v>0</v>
      </c>
      <c r="L61" s="86">
        <f ca="1" t="shared" si="1"/>
        <v>1288</v>
      </c>
      <c r="M61" s="365">
        <f ca="1" t="shared" si="2"/>
        <v>1288</v>
      </c>
      <c r="N61" s="86" t="str">
        <f ca="1">_xlfn.XLOOKUP(A61,'Product List'!B:B,'Product List'!F:F)</f>
        <v>B</v>
      </c>
      <c r="O61" s="366">
        <f>SUMIFS('Weekly Sales'!R:R,'Weekly Sales'!B:B,A61,'Weekly Sales'!U:U,"LA")</f>
        <v>0</v>
      </c>
      <c r="P61" s="367">
        <f ca="1" t="shared" si="3"/>
        <v>999</v>
      </c>
      <c r="Q61" s="367">
        <f ca="1" t="shared" si="4"/>
        <v>999</v>
      </c>
      <c r="R61" s="86">
        <f>_xlfn.XLOOKUP(A61,'Product List'!B:B,'Product List'!P:P)</f>
        <v>10</v>
      </c>
      <c r="S61" s="86">
        <f ca="1" t="shared" si="5"/>
        <v>5</v>
      </c>
      <c r="T61" s="366">
        <f ca="1">SUMIFS('Weekly Sales'!T:T,'Weekly Sales'!B:B,A61,'Weekly Sales'!U:U,"LA")</f>
        <v>0</v>
      </c>
      <c r="U61" s="86">
        <f>_xlfn.XLOOKUP(A61,'Product List'!B:B,'Product List'!O:O)</f>
        <v>1000</v>
      </c>
      <c r="V61" s="368">
        <f ca="1" t="shared" si="6"/>
        <v>0</v>
      </c>
      <c r="W61" s="86" cm="1">
        <f ca="1" t="array" ref="W61">_xlfn.XLOOKUP(1,('Case Pack'!A:A=A61)*('Case Pack'!F:F&lt;=TODAY()),'Case Pack'!D:D,"未找到箱规")</f>
        <v>14</v>
      </c>
      <c r="X61" s="86" t="str">
        <f>_xlfn.XLOOKUP(A61,'Product List'!B:B,'Product List'!M:M)</f>
        <v>PSP</v>
      </c>
      <c r="Y61" s="86" t="str" cm="1">
        <f ca="1" t="array" ref="Y61">_xlfn.XLOOKUP(1,('Case Pack'!A:A=A61)*('Case Pack'!F:F&lt;=TODAY()),'Case Pack'!G:G,"未找到箱规")</f>
        <v>C</v>
      </c>
      <c r="Z61" s="86">
        <f ca="1" t="shared" si="7"/>
        <v>0</v>
      </c>
      <c r="AA61" s="86">
        <f ca="1">_xlfn.XLOOKUP(Y61,'Case Type'!A:A,'Case Type'!H:H)*Z61</f>
        <v>0</v>
      </c>
    </row>
    <row r="62" spans="1:27">
      <c r="A62" s="86" t="s">
        <v>88</v>
      </c>
      <c r="B62" s="86" t="str">
        <f>_xlfn.XLOOKUP(A62,'Product List'!B:B,'Product List'!I:I)</f>
        <v>MINI/MOE SMALL ANIMAL BEDDING PAPER FLK XMAS CRAN/MATCHA 1EA</v>
      </c>
      <c r="C62" s="86">
        <v>0</v>
      </c>
      <c r="D62" s="86">
        <f>SUMIFS(Purchase!F:F,Purchase!C:C,A62,Purchase!I:I,"&gt;"&amp;$C$1,Purchase!V:V,"&lt;&gt;暂缓发货",Purchase!U:U,"LA")</f>
        <v>1260</v>
      </c>
      <c r="E62" s="86">
        <f>SUMIFS(Purchase!F:F,Purchase!C:C,A62,Purchase!J:J,"&gt;0",Purchase!I:I,"&gt;"&amp;$C$1,Purchase!U:U,"LA")</f>
        <v>1260</v>
      </c>
      <c r="F62" s="86">
        <f>SUMIFS(Sales!E:E,Sales!C:C,A62,Sales!K:K,"&gt;"&amp;$C$1,Sales!I:I,"LA")</f>
        <v>630</v>
      </c>
      <c r="G62" s="86">
        <f>SUMIFS(Sales!E:E,Sales!C:C,A62,Sales!K:K,"&gt;"&amp;$C$1,Sales!L:L,"&gt;0",Sales!I:I,"LA")</f>
        <v>630</v>
      </c>
      <c r="H62" s="365">
        <f ca="1">C62+E62-G62+SUMIFS(Transfer!W:W,Transfer!O:O,A62,Transfer!Q:Q,"LA",Transfer!U:U,"&gt;"&amp;$C$1)-SUMIFS(Transfer!V:V,Transfer!O:O,A62,Transfer!P:P,"LA",Transfer!T:T,"&gt;"&amp;$C$1)</f>
        <v>630</v>
      </c>
      <c r="I62" s="86">
        <f ca="1">D62-E62+SUMIFS(Transfer!V:V,Transfer!O:O,A62,Transfer!Q:Q,"LA")-SUMIFS(Transfer!W:W,Transfer!O:O,A62,Transfer!Q:Q,"LA")</f>
        <v>0</v>
      </c>
      <c r="J62" s="86">
        <f>SUMIFS(Purchase!F:F,Purchase!C:C,A62,Purchase!V:V,"暂缓发货",Purchase!U:U,"LA")</f>
        <v>0</v>
      </c>
      <c r="K62" s="86">
        <f t="shared" si="0"/>
        <v>0</v>
      </c>
      <c r="L62" s="86">
        <f ca="1" t="shared" si="1"/>
        <v>630</v>
      </c>
      <c r="M62" s="365">
        <f ca="1" t="shared" si="2"/>
        <v>630</v>
      </c>
      <c r="N62" s="86" t="str">
        <f ca="1">_xlfn.XLOOKUP(A62,'Product List'!B:B,'Product List'!F:F)</f>
        <v>C</v>
      </c>
      <c r="O62" s="366">
        <f>SUMIFS('Weekly Sales'!R:R,'Weekly Sales'!B:B,A62,'Weekly Sales'!U:U,"LA")</f>
        <v>0</v>
      </c>
      <c r="P62" s="367">
        <f ca="1" t="shared" si="3"/>
        <v>999</v>
      </c>
      <c r="Q62" s="367">
        <f ca="1" t="shared" si="4"/>
        <v>999</v>
      </c>
      <c r="R62" s="86">
        <f>_xlfn.XLOOKUP(A62,'Product List'!B:B,'Product List'!P:P)</f>
        <v>10</v>
      </c>
      <c r="S62" s="86">
        <f ca="1" t="shared" si="5"/>
        <v>2</v>
      </c>
      <c r="T62" s="366">
        <f ca="1">SUMIFS('Weekly Sales'!T:T,'Weekly Sales'!B:B,A62,'Weekly Sales'!U:U,"LA")</f>
        <v>0</v>
      </c>
      <c r="U62" s="86">
        <f>_xlfn.XLOOKUP(A62,'Product List'!B:B,'Product List'!O:O)</f>
        <v>1000</v>
      </c>
      <c r="V62" s="368">
        <f ca="1" t="shared" si="6"/>
        <v>0</v>
      </c>
      <c r="W62" s="86" cm="1">
        <f ca="1" t="array" ref="W62">_xlfn.XLOOKUP(1,('Case Pack'!A:A=A62)*('Case Pack'!F:F&lt;=TODAY()),'Case Pack'!D:D,"未找到箱规")</f>
        <v>14</v>
      </c>
      <c r="X62" s="86" t="str">
        <f>_xlfn.XLOOKUP(A62,'Product List'!B:B,'Product List'!M:M)</f>
        <v>PSP</v>
      </c>
      <c r="Y62" s="86" t="str" cm="1">
        <f ca="1" t="array" ref="Y62">_xlfn.XLOOKUP(1,('Case Pack'!A:A=A62)*('Case Pack'!F:F&lt;=TODAY()),'Case Pack'!G:G,"未找到箱规")</f>
        <v>C</v>
      </c>
      <c r="Z62" s="86">
        <f ca="1" t="shared" si="7"/>
        <v>0</v>
      </c>
      <c r="AA62" s="86">
        <f ca="1">_xlfn.XLOOKUP(Y62,'Case Type'!A:A,'Case Type'!H:H)*Z62</f>
        <v>0</v>
      </c>
    </row>
  </sheetData>
  <sheetProtection formatCells="0" formatColumns="0" formatRows="0" insertRows="0" insertColumns="0" insertHyperlinks="0" deleteColumns="0" deleteRows="0" sort="0" autoFilter="0" pivotTables="0"/>
  <autoFilter xmlns:etc="http://www.wps.cn/officeDocument/2017/etCustomData" ref="A1:AA62" etc:filterBottomFollowUsedRange="0">
    <extLst/>
  </autoFilter>
  <conditionalFormatting sqref="A1">
    <cfRule type="expression" dxfId="2" priority="15">
      <formula>AND(SUMPRODUCT(IFERROR(1*(($A$1&amp;"x")=(A1&amp;"x")),0))&gt;1,NOT(ISBLANK(A1)))</formula>
    </cfRule>
  </conditionalFormatting>
  <conditionalFormatting sqref="P1">
    <cfRule type="cellIs" dxfId="0" priority="8" operator="lessThan">
      <formula>5</formula>
    </cfRule>
    <cfRule type="cellIs" dxfId="1" priority="7" operator="between">
      <formula>5</formula>
      <formula>10</formula>
    </cfRule>
  </conditionalFormatting>
  <conditionalFormatting sqref="Q1">
    <cfRule type="cellIs" dxfId="0" priority="4" operator="lessThan">
      <formula>5</formula>
    </cfRule>
    <cfRule type="cellIs" dxfId="1" priority="3" operator="between">
      <formula>5</formula>
      <formula>10</formula>
    </cfRule>
  </conditionalFormatting>
  <conditionalFormatting sqref="A38">
    <cfRule type="expression" dxfId="2" priority="18">
      <formula>AND(SUMPRODUCT(IFERROR(1*(($A$38&amp;"x")=(A38&amp;"x")),0))&gt;1,NOT(ISBLANK(A38)))</formula>
    </cfRule>
  </conditionalFormatting>
  <conditionalFormatting sqref="L2:L62">
    <cfRule type="cellIs" dxfId="3" priority="20" operator="lessThan">
      <formula>0</formula>
    </cfRule>
  </conditionalFormatting>
  <conditionalFormatting sqref="P2:P62">
    <cfRule type="cellIs" dxfId="0" priority="6" operator="lessThan">
      <formula>5</formula>
    </cfRule>
    <cfRule type="cellIs" dxfId="1" priority="5" operator="between">
      <formula>5</formula>
      <formula>10</formula>
    </cfRule>
  </conditionalFormatting>
  <conditionalFormatting sqref="Q2:Q62">
    <cfRule type="cellIs" dxfId="0" priority="2" operator="lessThan">
      <formula>5</formula>
    </cfRule>
    <cfRule type="cellIs" dxfId="1" priority="1" operator="between">
      <formula>5</formula>
      <formula>10</formula>
    </cfRule>
  </conditionalFormatting>
  <conditionalFormatting sqref="V2:V62">
    <cfRule type="cellIs" dxfId="4" priority="19" operator="greaterThan">
      <formula>0</formula>
    </cfRule>
  </conditionalFormatting>
  <conditionalFormatting sqref="A2:A37 A39:A62">
    <cfRule type="expression" dxfId="2" priority="21">
      <formula>AND(SUMPRODUCT(IFERROR(1*(($A$2:$A$37&amp;"x")=(A2&amp;"x")),0))+SUMPRODUCT(IFERROR(1*(($A$39:$A$62&amp;"x")=(A2&amp;"x")),0))&gt;1,NOT(ISBLANK(A2)))</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Below="0" summaryRight="0"/>
  </sheetPr>
  <dimension ref="A1:AA62"/>
  <sheetViews>
    <sheetView zoomScale="59" zoomScaleNormal="59" workbookViewId="0">
      <pane xSplit="2" ySplit="1" topLeftCell="C2" activePane="bottomRight" state="frozen"/>
      <selection/>
      <selection pane="topRight"/>
      <selection pane="bottomLeft"/>
      <selection pane="bottomRight" activeCell="I2" sqref="I2:I62"/>
    </sheetView>
  </sheetViews>
  <sheetFormatPr defaultColWidth="12.6285714285714" defaultRowHeight="12.75"/>
  <cols>
    <col min="1" max="1" width="16.1333333333333" customWidth="1"/>
    <col min="2" max="2" width="37.6761904761905" customWidth="1"/>
    <col min="3" max="3" width="10.1428571428571" customWidth="1"/>
    <col min="4" max="7" width="6.02857142857143" customWidth="1"/>
    <col min="8" max="8" width="6.87619047619048" style="356" customWidth="1"/>
    <col min="9" max="11" width="8" customWidth="1"/>
    <col min="12" max="12" width="7.77142857142857" customWidth="1"/>
    <col min="13" max="13" width="7.77142857142857" style="356" customWidth="1"/>
    <col min="14" max="14" width="3.59047619047619" customWidth="1"/>
    <col min="15" max="15" width="7.77142857142857" style="345" customWidth="1"/>
    <col min="16" max="17" width="7.77142857142857" customWidth="1"/>
    <col min="18" max="19" width="5.62857142857143" customWidth="1"/>
    <col min="20" max="20" width="5.62857142857143" style="345" customWidth="1"/>
    <col min="21" max="21" width="5.62857142857143" customWidth="1"/>
    <col min="22" max="22" width="10.2666666666667" style="357" customWidth="1"/>
    <col min="23" max="23" width="8.87619047619048" customWidth="1"/>
    <col min="24" max="24" width="12.3428571428571" customWidth="1"/>
    <col min="25" max="25" width="9" customWidth="1"/>
    <col min="26" max="26" width="8" customWidth="1"/>
    <col min="27" max="27" width="9.28571428571429" customWidth="1"/>
    <col min="28" max="16384" width="12.6285714285714" style="115"/>
  </cols>
  <sheetData>
    <row r="1" s="355" customFormat="1" ht="24" spans="1:27">
      <c r="A1" s="358" t="s">
        <v>0</v>
      </c>
      <c r="B1" s="358" t="s">
        <v>1</v>
      </c>
      <c r="C1" s="359">
        <v>46307</v>
      </c>
      <c r="D1" s="358" t="s">
        <v>2</v>
      </c>
      <c r="E1" s="358" t="s">
        <v>3</v>
      </c>
      <c r="F1" s="358" t="s">
        <v>4</v>
      </c>
      <c r="G1" s="358" t="s">
        <v>5</v>
      </c>
      <c r="H1" s="360" t="s">
        <v>6</v>
      </c>
      <c r="I1" s="358" t="s">
        <v>7</v>
      </c>
      <c r="J1" s="358" t="s">
        <v>8</v>
      </c>
      <c r="K1" s="358" t="s">
        <v>9</v>
      </c>
      <c r="L1" s="358" t="s">
        <v>10</v>
      </c>
      <c r="M1" s="360" t="s">
        <v>11</v>
      </c>
      <c r="N1" s="361" t="s">
        <v>12</v>
      </c>
      <c r="O1" s="362" t="s">
        <v>13</v>
      </c>
      <c r="P1" s="363" t="s">
        <v>89</v>
      </c>
      <c r="Q1" s="363" t="s">
        <v>90</v>
      </c>
      <c r="R1" s="358" t="s">
        <v>16</v>
      </c>
      <c r="S1" s="358" t="s">
        <v>17</v>
      </c>
      <c r="T1" s="362" t="s">
        <v>18</v>
      </c>
      <c r="U1" s="358" t="s">
        <v>19</v>
      </c>
      <c r="V1" s="364" t="s">
        <v>20</v>
      </c>
      <c r="W1" s="358" t="s">
        <v>23</v>
      </c>
      <c r="X1" s="358" t="s">
        <v>24</v>
      </c>
      <c r="Y1" s="358" t="s">
        <v>25</v>
      </c>
      <c r="Z1" s="358" t="s">
        <v>26</v>
      </c>
      <c r="AA1" s="358" t="s">
        <v>27</v>
      </c>
    </row>
    <row r="2" spans="1:27">
      <c r="A2" s="86" t="s">
        <v>28</v>
      </c>
      <c r="B2" s="86" t="str">
        <f>_xlfn.XLOOKUP(A2,'Product List'!B:B,'Product List'!I:I)</f>
        <v>MINI/MOE SILENT CRSTL RUN WHEEL LG 8.5-Green</v>
      </c>
      <c r="C2" s="86">
        <v>0</v>
      </c>
      <c r="D2" s="86">
        <f>SUMIFS(Purchase!F:F,Purchase!C:C,A2,Purchase!I:I,"&gt;"&amp;$C$1,Purchase!V:V,"&lt;&gt;暂缓发货",Purchase!U:U,"HOU")</f>
        <v>0</v>
      </c>
      <c r="E2" s="86">
        <f>SUMIFS(Purchase!F:F,Purchase!C:C,A2,Purchase!J:J,"&gt;0",Purchase!I:I,"&gt;"&amp;$C$1,Purchase!U:U,"HOU")</f>
        <v>0</v>
      </c>
      <c r="F2" s="86">
        <f>SUMIFS(Sales!E:E,Sales!C:C,A2,Sales!K:K,"&gt;"&amp;$C$1,Sales!I:I,"HOU")</f>
        <v>0</v>
      </c>
      <c r="G2" s="86">
        <f>SUMIFS(Sales!E:E,Sales!C:C,A2,Sales!K:K,"&gt;"&amp;$C$1,Sales!L:L,"&gt;0",Sales!I:I,"HOU")</f>
        <v>0</v>
      </c>
      <c r="H2" s="365">
        <f ca="1">C2+E2-G2+SUMIFS(Transfer!W:W,Transfer!O:O,A2,Transfer!Q:Q,"HOU",Transfer!U:U,"&gt;"&amp;$C$1)-SUMIFS(Transfer!V:V,Transfer!O:O,A2,Transfer!P:P,"HOU",Transfer!T:T,"&gt;"&amp;$C$1)</f>
        <v>0</v>
      </c>
      <c r="I2" s="86">
        <f ca="1">D2-E2+SUMIFS(Transfer!V:V,Transfer!O:O,A2,Transfer!Q:Q,"HOU")-SUMIFS(Transfer!W:W,Transfer!O:O,A2,Transfer!Q:Q,"HOU")</f>
        <v>0</v>
      </c>
      <c r="J2" s="86">
        <f>SUMIFS(Purchase!F:F,Purchase!C:C,A2,Purchase!V:V,"暂缓发货",Purchase!U:U,"HOU")</f>
        <v>0</v>
      </c>
      <c r="K2" s="86">
        <f t="shared" ref="K2:K62" si="0">F2-G2</f>
        <v>0</v>
      </c>
      <c r="L2" s="86">
        <f ca="1" t="shared" ref="L2:L62" si="1">H2-K2</f>
        <v>0</v>
      </c>
      <c r="M2" s="365">
        <f ca="1" t="shared" ref="M2:M62" si="2">H2+I2-K2</f>
        <v>0</v>
      </c>
      <c r="N2" s="86" t="str">
        <f ca="1">_xlfn.XLOOKUP(A2,'Product List'!B:B,'Product List'!F:F)</f>
        <v>C</v>
      </c>
      <c r="O2" s="366">
        <f>SUMIFS('Weekly Sales'!R:R,'Weekly Sales'!B:B,A2,'Weekly Sales'!U:U,"HOU")</f>
        <v>12.6666666666667</v>
      </c>
      <c r="P2" s="367">
        <f ca="1" t="shared" ref="P2:P62" si="3">IF(O2=0,999,ROUNDDOWN((L2)/O2,0))</f>
        <v>0</v>
      </c>
      <c r="Q2" s="367">
        <f ca="1" t="shared" ref="Q2:Q62" si="4">IF(O2=0,999,ROUNDDOWN((M2)/O2,0))</f>
        <v>0</v>
      </c>
      <c r="R2" s="86">
        <f>_xlfn.XLOOKUP(A2,'Product List'!B:B,'Product List'!P:P)</f>
        <v>10</v>
      </c>
      <c r="S2" s="86">
        <f ca="1" t="shared" ref="S2:S62" si="5">IF(N2="A",6,IF(N2="B",5,2))</f>
        <v>2</v>
      </c>
      <c r="T2" s="366">
        <f ca="1">SUMIFS('Weekly Sales'!T:T,'Weekly Sales'!B:B,A2,'Weekly Sales'!U:U,"HOU")</f>
        <v>0</v>
      </c>
      <c r="U2" s="86">
        <f>_xlfn.XLOOKUP(A2,'Product List'!B:B,'Product List'!O:O)</f>
        <v>1000</v>
      </c>
      <c r="V2" s="368">
        <f ca="1" t="shared" ref="V2:V62" si="6">ROUNDUP(MAX(0,O2*(R2+S2+2)+T2-M2)/W2,0)*W2</f>
        <v>192</v>
      </c>
      <c r="W2" s="86" cm="1">
        <f ca="1" t="array" ref="W2">_xlfn.XLOOKUP(1,('Case Pack'!A:A=A2)*('Case Pack'!F:F&lt;=TODAY()),'Case Pack'!D:D,"未找到箱规")</f>
        <v>16</v>
      </c>
      <c r="X2" s="86" t="str">
        <f>_xlfn.XLOOKUP(A2,'Product List'!B:B,'Product List'!M:M)</f>
        <v>PSP</v>
      </c>
      <c r="Y2" s="86" t="str" cm="1">
        <f ca="1" t="array" ref="Y2">_xlfn.XLOOKUP(1,('Case Pack'!A:A=A2)*('Case Pack'!F:F&lt;=TODAY()),'Case Pack'!G:G,"未找到箱规")</f>
        <v>C</v>
      </c>
      <c r="Z2" s="86">
        <f ca="1" t="shared" ref="Z2:Z62" si="7">V2/W2</f>
        <v>12</v>
      </c>
      <c r="AA2" s="86">
        <f ca="1">_xlfn.XLOOKUP(Y2,'Case Type'!A:A,'Case Type'!H:H)*Z2</f>
        <v>1.8877897728</v>
      </c>
    </row>
    <row r="3" spans="1:27">
      <c r="A3" s="86" t="s">
        <v>29</v>
      </c>
      <c r="B3" s="86" t="str">
        <f>_xlfn.XLOOKUP(A3,'Product List'!B:B,'Product List'!I:I)</f>
        <v>MINI/MOE SILENT CRSTL RUN WHEEL LG 8.5-White</v>
      </c>
      <c r="C3" s="86">
        <v>0</v>
      </c>
      <c r="D3" s="86">
        <f>SUMIFS(Purchase!F:F,Purchase!C:C,A3,Purchase!I:I,"&gt;"&amp;$C$1,Purchase!V:V,"&lt;&gt;暂缓发货",Purchase!U:U,"HOU")</f>
        <v>0</v>
      </c>
      <c r="E3" s="86">
        <f>SUMIFS(Purchase!F:F,Purchase!C:C,A3,Purchase!J:J,"&gt;0",Purchase!I:I,"&gt;"&amp;$C$1,Purchase!U:U,"HOU")</f>
        <v>0</v>
      </c>
      <c r="F3" s="86">
        <f>SUMIFS(Sales!E:E,Sales!C:C,A3,Sales!K:K,"&gt;"&amp;$C$1,Sales!I:I,"HOU")</f>
        <v>0</v>
      </c>
      <c r="G3" s="86">
        <f>SUMIFS(Sales!E:E,Sales!C:C,A3,Sales!K:K,"&gt;"&amp;$C$1,Sales!L:L,"&gt;0",Sales!I:I,"HOU")</f>
        <v>0</v>
      </c>
      <c r="H3" s="365">
        <f ca="1">C3+E3-G3+SUMIFS(Transfer!W:W,Transfer!O:O,A3,Transfer!Q:Q,"HOU",Transfer!U:U,"&gt;"&amp;$C$1)-SUMIFS(Transfer!V:V,Transfer!O:O,A3,Transfer!P:P,"HOU",Transfer!T:T,"&gt;"&amp;$C$1)</f>
        <v>0</v>
      </c>
      <c r="I3" s="86">
        <f ca="1">D3-E3+SUMIFS(Transfer!V:V,Transfer!O:O,A3,Transfer!Q:Q,"HOU")-SUMIFS(Transfer!W:W,Transfer!O:O,A3,Transfer!Q:Q,"HOU")</f>
        <v>0</v>
      </c>
      <c r="J3" s="86">
        <f>SUMIFS(Purchase!F:F,Purchase!C:C,A3,Purchase!V:V,"暂缓发货",Purchase!U:U,"HOU")</f>
        <v>0</v>
      </c>
      <c r="K3" s="86">
        <f t="shared" si="0"/>
        <v>0</v>
      </c>
      <c r="L3" s="86">
        <f ca="1" t="shared" si="1"/>
        <v>0</v>
      </c>
      <c r="M3" s="365">
        <f ca="1" t="shared" si="2"/>
        <v>0</v>
      </c>
      <c r="N3" s="86" t="str">
        <f ca="1">_xlfn.XLOOKUP(A3,'Product List'!B:B,'Product List'!F:F)</f>
        <v>A</v>
      </c>
      <c r="O3" s="366">
        <f>SUMIFS('Weekly Sales'!R:R,'Weekly Sales'!B:B,A3,'Weekly Sales'!U:U,"HOU")</f>
        <v>0</v>
      </c>
      <c r="P3" s="367">
        <f ca="1" t="shared" si="3"/>
        <v>999</v>
      </c>
      <c r="Q3" s="367">
        <f ca="1" t="shared" si="4"/>
        <v>999</v>
      </c>
      <c r="R3" s="86">
        <f>_xlfn.XLOOKUP(A3,'Product List'!B:B,'Product List'!P:P)</f>
        <v>10</v>
      </c>
      <c r="S3" s="86">
        <f ca="1" t="shared" si="5"/>
        <v>6</v>
      </c>
      <c r="T3" s="366">
        <f ca="1">SUMIFS('Weekly Sales'!T:T,'Weekly Sales'!B:B,A3,'Weekly Sales'!U:U,"HOU")</f>
        <v>0</v>
      </c>
      <c r="U3" s="86">
        <f>_xlfn.XLOOKUP(A3,'Product List'!B:B,'Product List'!O:O)</f>
        <v>1000</v>
      </c>
      <c r="V3" s="368">
        <f ca="1" t="shared" si="6"/>
        <v>0</v>
      </c>
      <c r="W3" s="86" cm="1">
        <f ca="1" t="array" ref="W3">_xlfn.XLOOKUP(1,('Case Pack'!A:A=A3)*('Case Pack'!F:F&lt;=TODAY()),'Case Pack'!D:D,"未找到箱规")</f>
        <v>16</v>
      </c>
      <c r="X3" s="86" t="str">
        <f>_xlfn.XLOOKUP(A3,'Product List'!B:B,'Product List'!M:M)</f>
        <v>PetcoUS, PetcoMX, Pet Supermarket，PSP</v>
      </c>
      <c r="Y3" s="86" t="str" cm="1">
        <f ca="1" t="array" ref="Y3">_xlfn.XLOOKUP(1,('Case Pack'!A:A=A3)*('Case Pack'!F:F&lt;=TODAY()),'Case Pack'!G:G,"未找到箱规")</f>
        <v>C</v>
      </c>
      <c r="Z3" s="86">
        <f ca="1" t="shared" si="7"/>
        <v>0</v>
      </c>
      <c r="AA3" s="86">
        <f ca="1">_xlfn.XLOOKUP(Y3,'Case Type'!A:A,'Case Type'!H:H)*Z3</f>
        <v>0</v>
      </c>
    </row>
    <row r="4" spans="1:27">
      <c r="A4" s="86" t="s">
        <v>30</v>
      </c>
      <c r="B4" s="86" t="str">
        <f>_xlfn.XLOOKUP(A4,'Product List'!B:B,'Product List'!I:I)</f>
        <v>MINI/MOE SMALL ANIMAL BEDDING CRINKLE PAPER BROWN 1EA</v>
      </c>
      <c r="C4" s="86">
        <v>0</v>
      </c>
      <c r="D4" s="86">
        <f>SUMIFS(Purchase!F:F,Purchase!C:C,A4,Purchase!I:I,"&gt;"&amp;$C$1,Purchase!V:V,"&lt;&gt;暂缓发货",Purchase!U:U,"HOU")</f>
        <v>0</v>
      </c>
      <c r="E4" s="86">
        <f>SUMIFS(Purchase!F:F,Purchase!C:C,A4,Purchase!J:J,"&gt;0",Purchase!I:I,"&gt;"&amp;$C$1,Purchase!U:U,"HOU")</f>
        <v>0</v>
      </c>
      <c r="F4" s="86">
        <f>SUMIFS(Sales!E:E,Sales!C:C,A4,Sales!K:K,"&gt;"&amp;$C$1,Sales!I:I,"HOU")</f>
        <v>0</v>
      </c>
      <c r="G4" s="86">
        <f>SUMIFS(Sales!E:E,Sales!C:C,A4,Sales!K:K,"&gt;"&amp;$C$1,Sales!L:L,"&gt;0",Sales!I:I,"HOU")</f>
        <v>0</v>
      </c>
      <c r="H4" s="365">
        <f ca="1">C4+E4-G4+SUMIFS(Transfer!W:W,Transfer!O:O,A4,Transfer!Q:Q,"HOU",Transfer!U:U,"&gt;"&amp;$C$1)-SUMIFS(Transfer!V:V,Transfer!O:O,A4,Transfer!P:P,"HOU",Transfer!T:T,"&gt;"&amp;$C$1)</f>
        <v>0</v>
      </c>
      <c r="I4" s="86">
        <f ca="1">D4-E4+SUMIFS(Transfer!V:V,Transfer!O:O,A4,Transfer!Q:Q,"HOU")-SUMIFS(Transfer!W:W,Transfer!O:O,A4,Transfer!Q:Q,"HOU")</f>
        <v>0</v>
      </c>
      <c r="J4" s="86">
        <f>SUMIFS(Purchase!F:F,Purchase!C:C,A4,Purchase!V:V,"暂缓发货",Purchase!U:U,"HOU")</f>
        <v>0</v>
      </c>
      <c r="K4" s="86">
        <f t="shared" si="0"/>
        <v>0</v>
      </c>
      <c r="L4" s="86">
        <f ca="1" t="shared" si="1"/>
        <v>0</v>
      </c>
      <c r="M4" s="365">
        <f ca="1" t="shared" si="2"/>
        <v>0</v>
      </c>
      <c r="N4" s="86" t="str">
        <f ca="1">_xlfn.XLOOKUP(A4,'Product List'!B:B,'Product List'!F:F)</f>
        <v>C</v>
      </c>
      <c r="O4" s="366">
        <f>SUMIFS('Weekly Sales'!R:R,'Weekly Sales'!B:B,A4,'Weekly Sales'!U:U,"HOU")</f>
        <v>6</v>
      </c>
      <c r="P4" s="367">
        <f ca="1" t="shared" si="3"/>
        <v>0</v>
      </c>
      <c r="Q4" s="367">
        <f ca="1" t="shared" si="4"/>
        <v>0</v>
      </c>
      <c r="R4" s="86">
        <f>_xlfn.XLOOKUP(A4,'Product List'!B:B,'Product List'!P:P)</f>
        <v>10</v>
      </c>
      <c r="S4" s="86">
        <f ca="1" t="shared" si="5"/>
        <v>2</v>
      </c>
      <c r="T4" s="366">
        <f ca="1">SUMIFS('Weekly Sales'!T:T,'Weekly Sales'!B:B,A4,'Weekly Sales'!U:U,"HOU")</f>
        <v>0</v>
      </c>
      <c r="U4" s="86">
        <f>_xlfn.XLOOKUP(A4,'Product List'!B:B,'Product List'!O:O)</f>
        <v>1000</v>
      </c>
      <c r="V4" s="368">
        <f ca="1" t="shared" si="6"/>
        <v>90</v>
      </c>
      <c r="W4" s="86" cm="1">
        <f ca="1" t="array" ref="W4">_xlfn.XLOOKUP(1,('Case Pack'!A:A=A4)*('Case Pack'!F:F&lt;=TODAY()),'Case Pack'!D:D,"未找到箱规")</f>
        <v>30</v>
      </c>
      <c r="X4" s="86" t="str">
        <f>_xlfn.XLOOKUP(A4,'Product List'!B:B,'Product List'!M:M)</f>
        <v>PSP</v>
      </c>
      <c r="Y4" s="86" t="str" cm="1">
        <f ca="1" t="array" ref="Y4">_xlfn.XLOOKUP(1,('Case Pack'!A:A=A4)*('Case Pack'!F:F&lt;=TODAY()),'Case Pack'!G:G,"未找到箱规")</f>
        <v>A</v>
      </c>
      <c r="Z4" s="86">
        <f ca="1" t="shared" si="7"/>
        <v>3</v>
      </c>
      <c r="AA4" s="86">
        <f ca="1">_xlfn.XLOOKUP(Y4,'Case Type'!A:A,'Case Type'!H:H)*Z4</f>
        <v>0.33036321024</v>
      </c>
    </row>
    <row r="5" spans="1:27">
      <c r="A5" s="86" t="s">
        <v>31</v>
      </c>
      <c r="B5" s="86" t="str">
        <f>_xlfn.XLOOKUP(A5,'Product List'!B:B,'Product List'!I:I)</f>
        <v>MINI/MOE SMALL ANIMAL BEDDING PAPER PEBBLES PSTCH/CREAM 1EA</v>
      </c>
      <c r="C5" s="86">
        <v>0</v>
      </c>
      <c r="D5" s="86">
        <f>SUMIFS(Purchase!F:F,Purchase!C:C,A5,Purchase!I:I,"&gt;"&amp;$C$1,Purchase!V:V,"&lt;&gt;暂缓发货",Purchase!U:U,"HOU")</f>
        <v>0</v>
      </c>
      <c r="E5" s="86">
        <f>SUMIFS(Purchase!F:F,Purchase!C:C,A5,Purchase!J:J,"&gt;0",Purchase!I:I,"&gt;"&amp;$C$1,Purchase!U:U,"HOU")</f>
        <v>0</v>
      </c>
      <c r="F5" s="86">
        <f>SUMIFS(Sales!E:E,Sales!C:C,A5,Sales!K:K,"&gt;"&amp;$C$1,Sales!I:I,"HOU")</f>
        <v>0</v>
      </c>
      <c r="G5" s="86">
        <f>SUMIFS(Sales!E:E,Sales!C:C,A5,Sales!K:K,"&gt;"&amp;$C$1,Sales!L:L,"&gt;0",Sales!I:I,"HOU")</f>
        <v>0</v>
      </c>
      <c r="H5" s="365">
        <f ca="1">C5+E5-G5+SUMIFS(Transfer!W:W,Transfer!O:O,A5,Transfer!Q:Q,"HOU",Transfer!U:U,"&gt;"&amp;$C$1)-SUMIFS(Transfer!V:V,Transfer!O:O,A5,Transfer!P:P,"HOU",Transfer!T:T,"&gt;"&amp;$C$1)</f>
        <v>0</v>
      </c>
      <c r="I5" s="86">
        <f ca="1">D5-E5+SUMIFS(Transfer!V:V,Transfer!O:O,A5,Transfer!Q:Q,"HOU")-SUMIFS(Transfer!W:W,Transfer!O:O,A5,Transfer!Q:Q,"HOU")</f>
        <v>0</v>
      </c>
      <c r="J5" s="86">
        <f>SUMIFS(Purchase!F:F,Purchase!C:C,A5,Purchase!V:V,"暂缓发货",Purchase!U:U,"HOU")</f>
        <v>0</v>
      </c>
      <c r="K5" s="86">
        <f t="shared" si="0"/>
        <v>0</v>
      </c>
      <c r="L5" s="86">
        <f ca="1" t="shared" si="1"/>
        <v>0</v>
      </c>
      <c r="M5" s="365">
        <f ca="1" t="shared" si="2"/>
        <v>0</v>
      </c>
      <c r="N5" s="86" t="str">
        <f ca="1">_xlfn.XLOOKUP(A5,'Product List'!B:B,'Product List'!F:F)</f>
        <v>C</v>
      </c>
      <c r="O5" s="366">
        <f>SUMIFS('Weekly Sales'!R:R,'Weekly Sales'!B:B,A5,'Weekly Sales'!U:U,"HOU")</f>
        <v>1.33333333333333</v>
      </c>
      <c r="P5" s="367">
        <f ca="1" t="shared" si="3"/>
        <v>0</v>
      </c>
      <c r="Q5" s="367">
        <f ca="1" t="shared" si="4"/>
        <v>0</v>
      </c>
      <c r="R5" s="86">
        <f>_xlfn.XLOOKUP(A5,'Product List'!B:B,'Product List'!P:P)</f>
        <v>10</v>
      </c>
      <c r="S5" s="86">
        <f ca="1" t="shared" si="5"/>
        <v>2</v>
      </c>
      <c r="T5" s="366">
        <f ca="1">SUMIFS('Weekly Sales'!T:T,'Weekly Sales'!B:B,A5,'Weekly Sales'!U:U,"HOU")</f>
        <v>0</v>
      </c>
      <c r="U5" s="86">
        <f>_xlfn.XLOOKUP(A5,'Product List'!B:B,'Product List'!O:O)</f>
        <v>1000</v>
      </c>
      <c r="V5" s="368">
        <f ca="1" t="shared" si="6"/>
        <v>30</v>
      </c>
      <c r="W5" s="86" cm="1">
        <f ca="1" t="array" ref="W5">_xlfn.XLOOKUP(1,('Case Pack'!A:A=A5)*('Case Pack'!F:F&lt;=TODAY()),'Case Pack'!D:D,"未找到箱规")</f>
        <v>30</v>
      </c>
      <c r="X5" s="86" t="str">
        <f>_xlfn.XLOOKUP(A5,'Product List'!B:B,'Product List'!M:M)</f>
        <v>PSP</v>
      </c>
      <c r="Y5" s="86" t="str" cm="1">
        <f ca="1" t="array" ref="Y5">_xlfn.XLOOKUP(1,('Case Pack'!A:A=A5)*('Case Pack'!F:F&lt;=TODAY()),'Case Pack'!G:G,"未找到箱规")</f>
        <v>A</v>
      </c>
      <c r="Z5" s="86">
        <f ca="1" t="shared" si="7"/>
        <v>1</v>
      </c>
      <c r="AA5" s="86">
        <f ca="1">_xlfn.XLOOKUP(Y5,'Case Type'!A:A,'Case Type'!H:H)*Z5</f>
        <v>0.11012107008</v>
      </c>
    </row>
    <row r="6" spans="1:27">
      <c r="A6" s="86" t="s">
        <v>32</v>
      </c>
      <c r="B6" s="86" t="str">
        <f>_xlfn.XLOOKUP(A6,'Product List'!B:B,'Product List'!I:I)</f>
        <v>MINI/MOE SMALL ANIMAL BEDDING ROLLED PAPER FOREST MIX 1EA</v>
      </c>
      <c r="C6" s="86">
        <v>0</v>
      </c>
      <c r="D6" s="86">
        <f>SUMIFS(Purchase!F:F,Purchase!C:C,A6,Purchase!I:I,"&gt;"&amp;$C$1,Purchase!V:V,"&lt;&gt;暂缓发货",Purchase!U:U,"HOU")</f>
        <v>0</v>
      </c>
      <c r="E6" s="86">
        <f>SUMIFS(Purchase!F:F,Purchase!C:C,A6,Purchase!J:J,"&gt;0",Purchase!I:I,"&gt;"&amp;$C$1,Purchase!U:U,"HOU")</f>
        <v>0</v>
      </c>
      <c r="F6" s="86">
        <f>SUMIFS(Sales!E:E,Sales!C:C,A6,Sales!K:K,"&gt;"&amp;$C$1,Sales!I:I,"HOU")</f>
        <v>0</v>
      </c>
      <c r="G6" s="86">
        <f>SUMIFS(Sales!E:E,Sales!C:C,A6,Sales!K:K,"&gt;"&amp;$C$1,Sales!L:L,"&gt;0",Sales!I:I,"HOU")</f>
        <v>0</v>
      </c>
      <c r="H6" s="365">
        <f ca="1">C6+E6-G6+SUMIFS(Transfer!W:W,Transfer!O:O,A6,Transfer!Q:Q,"HOU",Transfer!U:U,"&gt;"&amp;$C$1)-SUMIFS(Transfer!V:V,Transfer!O:O,A6,Transfer!P:P,"HOU",Transfer!T:T,"&gt;"&amp;$C$1)</f>
        <v>0</v>
      </c>
      <c r="I6" s="86">
        <f ca="1">D6-E6+SUMIFS(Transfer!V:V,Transfer!O:O,A6,Transfer!Q:Q,"HOU")-SUMIFS(Transfer!W:W,Transfer!O:O,A6,Transfer!Q:Q,"HOU")</f>
        <v>0</v>
      </c>
      <c r="J6" s="86">
        <f>SUMIFS(Purchase!F:F,Purchase!C:C,A6,Purchase!V:V,"暂缓发货",Purchase!U:U,"HOU")</f>
        <v>0</v>
      </c>
      <c r="K6" s="86">
        <f t="shared" si="0"/>
        <v>0</v>
      </c>
      <c r="L6" s="86">
        <f ca="1" t="shared" si="1"/>
        <v>0</v>
      </c>
      <c r="M6" s="365">
        <f ca="1" t="shared" si="2"/>
        <v>0</v>
      </c>
      <c r="N6" s="86" t="str">
        <f ca="1">_xlfn.XLOOKUP(A6,'Product List'!B:B,'Product List'!F:F)</f>
        <v>B</v>
      </c>
      <c r="O6" s="366">
        <f>SUMIFS('Weekly Sales'!R:R,'Weekly Sales'!B:B,A6,'Weekly Sales'!U:U,"HOU")</f>
        <v>4</v>
      </c>
      <c r="P6" s="367">
        <f ca="1" t="shared" si="3"/>
        <v>0</v>
      </c>
      <c r="Q6" s="367">
        <f ca="1" t="shared" si="4"/>
        <v>0</v>
      </c>
      <c r="R6" s="86">
        <f>_xlfn.XLOOKUP(A6,'Product List'!B:B,'Product List'!P:P)</f>
        <v>10</v>
      </c>
      <c r="S6" s="86">
        <f ca="1" t="shared" si="5"/>
        <v>5</v>
      </c>
      <c r="T6" s="366">
        <f ca="1">SUMIFS('Weekly Sales'!T:T,'Weekly Sales'!B:B,A6,'Weekly Sales'!U:U,"HOU")</f>
        <v>21</v>
      </c>
      <c r="U6" s="86">
        <f>_xlfn.XLOOKUP(A6,'Product List'!B:B,'Product List'!O:O)</f>
        <v>1000</v>
      </c>
      <c r="V6" s="368">
        <f ca="1" t="shared" si="6"/>
        <v>90</v>
      </c>
      <c r="W6" s="86" cm="1">
        <f ca="1" t="array" ref="W6">_xlfn.XLOOKUP(1,('Case Pack'!A:A=A6)*('Case Pack'!F:F&lt;=TODAY()),'Case Pack'!D:D,"未找到箱规")</f>
        <v>30</v>
      </c>
      <c r="X6" s="86" t="str">
        <f>_xlfn.XLOOKUP(A6,'Product List'!B:B,'Product List'!M:M)</f>
        <v>PSP</v>
      </c>
      <c r="Y6" s="86" t="str" cm="1">
        <f ca="1" t="array" ref="Y6">_xlfn.XLOOKUP(1,('Case Pack'!A:A=A6)*('Case Pack'!F:F&lt;=TODAY()),'Case Pack'!G:G,"未找到箱规")</f>
        <v>A</v>
      </c>
      <c r="Z6" s="86">
        <f ca="1" t="shared" si="7"/>
        <v>3</v>
      </c>
      <c r="AA6" s="86">
        <f ca="1">_xlfn.XLOOKUP(Y6,'Case Type'!A:A,'Case Type'!H:H)*Z6</f>
        <v>0.33036321024</v>
      </c>
    </row>
    <row r="7" spans="1:27">
      <c r="A7" s="94" t="s">
        <v>33</v>
      </c>
      <c r="B7" s="86" t="str">
        <f>_xlfn.XLOOKUP(A7,'Product List'!B:B,'Product List'!I:I)</f>
        <v>MMO-GREEN APPLE CHEW</v>
      </c>
      <c r="C7" s="86">
        <v>0</v>
      </c>
      <c r="D7" s="86">
        <f>SUMIFS(Purchase!F:F,Purchase!C:C,A7,Purchase!I:I,"&gt;"&amp;$C$1,Purchase!V:V,"&lt;&gt;暂缓发货",Purchase!U:U,"HOU")</f>
        <v>0</v>
      </c>
      <c r="E7" s="86">
        <f>SUMIFS(Purchase!F:F,Purchase!C:C,A7,Purchase!J:J,"&gt;0",Purchase!I:I,"&gt;"&amp;$C$1,Purchase!U:U,"HOU")</f>
        <v>0</v>
      </c>
      <c r="F7" s="86">
        <f>SUMIFS(Sales!E:E,Sales!C:C,A7,Sales!K:K,"&gt;"&amp;$C$1,Sales!I:I,"HOU")</f>
        <v>0</v>
      </c>
      <c r="G7" s="86">
        <f>SUMIFS(Sales!E:E,Sales!C:C,A7,Sales!K:K,"&gt;"&amp;$C$1,Sales!L:L,"&gt;0",Sales!I:I,"HOU")</f>
        <v>0</v>
      </c>
      <c r="H7" s="365">
        <f ca="1">C7+E7-G7+SUMIFS(Transfer!W:W,Transfer!O:O,A7,Transfer!Q:Q,"HOU",Transfer!U:U,"&gt;"&amp;$C$1)-SUMIFS(Transfer!V:V,Transfer!O:O,A7,Transfer!P:P,"HOU",Transfer!T:T,"&gt;"&amp;$C$1)</f>
        <v>0</v>
      </c>
      <c r="I7" s="86">
        <f ca="1">D7-E7+SUMIFS(Transfer!V:V,Transfer!O:O,A7,Transfer!Q:Q,"HOU")-SUMIFS(Transfer!W:W,Transfer!O:O,A7,Transfer!Q:Q,"HOU")</f>
        <v>0</v>
      </c>
      <c r="J7" s="86">
        <f>SUMIFS(Purchase!F:F,Purchase!C:C,A7,Purchase!V:V,"暂缓发货",Purchase!U:U,"HOU")</f>
        <v>0</v>
      </c>
      <c r="K7" s="86">
        <f t="shared" si="0"/>
        <v>0</v>
      </c>
      <c r="L7" s="86">
        <f ca="1" t="shared" si="1"/>
        <v>0</v>
      </c>
      <c r="M7" s="365">
        <f ca="1" t="shared" si="2"/>
        <v>0</v>
      </c>
      <c r="N7" s="86" t="str">
        <f ca="1">_xlfn.XLOOKUP(A7,'Product List'!B:B,'Product List'!F:F)</f>
        <v>B</v>
      </c>
      <c r="O7" s="366">
        <f>SUMIFS('Weekly Sales'!R:R,'Weekly Sales'!B:B,A7,'Weekly Sales'!U:U,"HOU")</f>
        <v>5.33333333333333</v>
      </c>
      <c r="P7" s="367">
        <f ca="1" t="shared" si="3"/>
        <v>0</v>
      </c>
      <c r="Q7" s="367">
        <f ca="1" t="shared" si="4"/>
        <v>0</v>
      </c>
      <c r="R7" s="86">
        <f>_xlfn.XLOOKUP(A7,'Product List'!B:B,'Product List'!P:P)</f>
        <v>10</v>
      </c>
      <c r="S7" s="86">
        <f ca="1" t="shared" si="5"/>
        <v>5</v>
      </c>
      <c r="T7" s="366">
        <f ca="1">SUMIFS('Weekly Sales'!T:T,'Weekly Sales'!B:B,A7,'Weekly Sales'!U:U,"HOU")</f>
        <v>28</v>
      </c>
      <c r="U7" s="86">
        <f>_xlfn.XLOOKUP(A7,'Product List'!B:B,'Product List'!O:O)</f>
        <v>1000</v>
      </c>
      <c r="V7" s="368">
        <f ca="1" t="shared" si="6"/>
        <v>144</v>
      </c>
      <c r="W7" s="86" cm="1">
        <f ca="1" t="array" ref="W7">_xlfn.XLOOKUP(1,('Case Pack'!A:A=A7)*('Case Pack'!F:F&lt;=TODAY()),'Case Pack'!D:D,"未找到箱规")</f>
        <v>48</v>
      </c>
      <c r="X7" s="86" t="str">
        <f>_xlfn.XLOOKUP(A7,'Product List'!B:B,'Product List'!M:M)</f>
        <v>PetcoUS，PSP</v>
      </c>
      <c r="Y7" s="86" t="str" cm="1">
        <f ca="1" t="array" ref="Y7">_xlfn.XLOOKUP(1,('Case Pack'!A:A=A7)*('Case Pack'!F:F&lt;=TODAY()),'Case Pack'!G:G,"未找到箱规")</f>
        <v>B</v>
      </c>
      <c r="Z7" s="86">
        <f ca="1" t="shared" si="7"/>
        <v>3</v>
      </c>
      <c r="AA7" s="86">
        <f ca="1">_xlfn.XLOOKUP(Y7,'Case Type'!A:A,'Case Type'!H:H)*Z7</f>
        <v>0.22024214016</v>
      </c>
    </row>
    <row r="8" spans="1:27">
      <c r="A8" s="94" t="s">
        <v>34</v>
      </c>
      <c r="B8" s="86" t="str">
        <f>_xlfn.XLOOKUP(A8,'Product List'!B:B,'Product List'!I:I)</f>
        <v>MMO-CAMP LUNCH BOX CHEW</v>
      </c>
      <c r="C8" s="86">
        <v>0</v>
      </c>
      <c r="D8" s="86">
        <f>SUMIFS(Purchase!F:F,Purchase!C:C,A8,Purchase!I:I,"&gt;"&amp;$C$1,Purchase!V:V,"&lt;&gt;暂缓发货",Purchase!U:U,"HOU")</f>
        <v>0</v>
      </c>
      <c r="E8" s="86">
        <f>SUMIFS(Purchase!F:F,Purchase!C:C,A8,Purchase!J:J,"&gt;0",Purchase!I:I,"&gt;"&amp;$C$1,Purchase!U:U,"HOU")</f>
        <v>0</v>
      </c>
      <c r="F8" s="86">
        <f>SUMIFS(Sales!E:E,Sales!C:C,A8,Sales!K:K,"&gt;"&amp;$C$1,Sales!I:I,"HOU")</f>
        <v>0</v>
      </c>
      <c r="G8" s="86">
        <f>SUMIFS(Sales!E:E,Sales!C:C,A8,Sales!K:K,"&gt;"&amp;$C$1,Sales!L:L,"&gt;0",Sales!I:I,"HOU")</f>
        <v>0</v>
      </c>
      <c r="H8" s="365">
        <f ca="1">C8+E8-G8+SUMIFS(Transfer!W:W,Transfer!O:O,A8,Transfer!Q:Q,"HOU",Transfer!U:U,"&gt;"&amp;$C$1)-SUMIFS(Transfer!V:V,Transfer!O:O,A8,Transfer!P:P,"HOU",Transfer!T:T,"&gt;"&amp;$C$1)</f>
        <v>0</v>
      </c>
      <c r="I8" s="86">
        <f ca="1">D8-E8+SUMIFS(Transfer!V:V,Transfer!O:O,A8,Transfer!Q:Q,"HOU")-SUMIFS(Transfer!W:W,Transfer!O:O,A8,Transfer!Q:Q,"HOU")</f>
        <v>0</v>
      </c>
      <c r="J8" s="86">
        <f>SUMIFS(Purchase!F:F,Purchase!C:C,A8,Purchase!V:V,"暂缓发货",Purchase!U:U,"HOU")</f>
        <v>0</v>
      </c>
      <c r="K8" s="86">
        <f t="shared" si="0"/>
        <v>0</v>
      </c>
      <c r="L8" s="86">
        <f ca="1" t="shared" si="1"/>
        <v>0</v>
      </c>
      <c r="M8" s="365">
        <f ca="1" t="shared" si="2"/>
        <v>0</v>
      </c>
      <c r="N8" s="86" t="str">
        <f ca="1">_xlfn.XLOOKUP(A8,'Product List'!B:B,'Product List'!F:F)</f>
        <v>B</v>
      </c>
      <c r="O8" s="366">
        <f>SUMIFS('Weekly Sales'!R:R,'Weekly Sales'!B:B,A8,'Weekly Sales'!U:U,"HOU")</f>
        <v>7.5</v>
      </c>
      <c r="P8" s="367">
        <f ca="1" t="shared" si="3"/>
        <v>0</v>
      </c>
      <c r="Q8" s="367">
        <f ca="1" t="shared" si="4"/>
        <v>0</v>
      </c>
      <c r="R8" s="86">
        <f>_xlfn.XLOOKUP(A8,'Product List'!B:B,'Product List'!P:P)</f>
        <v>10</v>
      </c>
      <c r="S8" s="86">
        <f ca="1" t="shared" si="5"/>
        <v>5</v>
      </c>
      <c r="T8" s="366">
        <f ca="1">SUMIFS('Weekly Sales'!T:T,'Weekly Sales'!B:B,A8,'Weekly Sales'!U:U,"HOU")</f>
        <v>39.375</v>
      </c>
      <c r="U8" s="86">
        <f>_xlfn.XLOOKUP(A8,'Product List'!B:B,'Product List'!O:O)</f>
        <v>1000</v>
      </c>
      <c r="V8" s="368">
        <f ca="1" t="shared" si="6"/>
        <v>216</v>
      </c>
      <c r="W8" s="86" cm="1">
        <f ca="1" t="array" ref="W8">_xlfn.XLOOKUP(1,('Case Pack'!A:A=A8)*('Case Pack'!F:F&lt;=TODAY()),'Case Pack'!D:D,"未找到箱规")</f>
        <v>72</v>
      </c>
      <c r="X8" s="86" t="str">
        <f>_xlfn.XLOOKUP(A8,'Product List'!B:B,'Product List'!M:M)</f>
        <v>PetcoUS, Pet Supermarket，PSP</v>
      </c>
      <c r="Y8" s="86" t="str" cm="1">
        <f ca="1" t="array" ref="Y8">_xlfn.XLOOKUP(1,('Case Pack'!A:A=A8)*('Case Pack'!F:F&lt;=TODAY()),'Case Pack'!G:G,"未找到箱规")</f>
        <v>B</v>
      </c>
      <c r="Z8" s="86">
        <f ca="1" t="shared" si="7"/>
        <v>3</v>
      </c>
      <c r="AA8" s="86">
        <f ca="1">_xlfn.XLOOKUP(Y8,'Case Type'!A:A,'Case Type'!H:H)*Z8</f>
        <v>0.22024214016</v>
      </c>
    </row>
    <row r="9" spans="1:27">
      <c r="A9" s="94" t="s">
        <v>35</v>
      </c>
      <c r="B9" s="86" t="str">
        <f>_xlfn.XLOOKUP(A9,'Product List'!B:B,'Product List'!I:I)</f>
        <v>MMO-SHELL PEARL HAMSTER CHEW</v>
      </c>
      <c r="C9" s="86">
        <v>0</v>
      </c>
      <c r="D9" s="86">
        <f>SUMIFS(Purchase!F:F,Purchase!C:C,A9,Purchase!I:I,"&gt;"&amp;$C$1,Purchase!V:V,"&lt;&gt;暂缓发货",Purchase!U:U,"HOU")</f>
        <v>0</v>
      </c>
      <c r="E9" s="86">
        <f>SUMIFS(Purchase!F:F,Purchase!C:C,A9,Purchase!J:J,"&gt;0",Purchase!I:I,"&gt;"&amp;$C$1,Purchase!U:U,"HOU")</f>
        <v>0</v>
      </c>
      <c r="F9" s="86">
        <f>SUMIFS(Sales!E:E,Sales!C:C,A9,Sales!K:K,"&gt;"&amp;$C$1,Sales!I:I,"HOU")</f>
        <v>0</v>
      </c>
      <c r="G9" s="86">
        <f>SUMIFS(Sales!E:E,Sales!C:C,A9,Sales!K:K,"&gt;"&amp;$C$1,Sales!L:L,"&gt;0",Sales!I:I,"HOU")</f>
        <v>0</v>
      </c>
      <c r="H9" s="365">
        <f ca="1">C9+E9-G9+SUMIFS(Transfer!W:W,Transfer!O:O,A9,Transfer!Q:Q,"HOU",Transfer!U:U,"&gt;"&amp;$C$1)-SUMIFS(Transfer!V:V,Transfer!O:O,A9,Transfer!P:P,"HOU",Transfer!T:T,"&gt;"&amp;$C$1)</f>
        <v>0</v>
      </c>
      <c r="I9" s="86">
        <f ca="1">D9-E9+SUMIFS(Transfer!V:V,Transfer!O:O,A9,Transfer!Q:Q,"HOU")-SUMIFS(Transfer!W:W,Transfer!O:O,A9,Transfer!Q:Q,"HOU")</f>
        <v>0</v>
      </c>
      <c r="J9" s="86">
        <f>SUMIFS(Purchase!F:F,Purchase!C:C,A9,Purchase!V:V,"暂缓发货",Purchase!U:U,"HOU")</f>
        <v>0</v>
      </c>
      <c r="K9" s="86">
        <f t="shared" si="0"/>
        <v>0</v>
      </c>
      <c r="L9" s="86">
        <f ca="1" t="shared" si="1"/>
        <v>0</v>
      </c>
      <c r="M9" s="365">
        <f ca="1" t="shared" si="2"/>
        <v>0</v>
      </c>
      <c r="N9" s="86" t="str">
        <f ca="1">_xlfn.XLOOKUP(A9,'Product List'!B:B,'Product List'!F:F)</f>
        <v>C</v>
      </c>
      <c r="O9" s="366">
        <f>SUMIFS('Weekly Sales'!R:R,'Weekly Sales'!B:B,A9,'Weekly Sales'!U:U,"HOU")</f>
        <v>0</v>
      </c>
      <c r="P9" s="367">
        <f ca="1" t="shared" si="3"/>
        <v>999</v>
      </c>
      <c r="Q9" s="367">
        <f ca="1" t="shared" si="4"/>
        <v>999</v>
      </c>
      <c r="R9" s="86">
        <f>_xlfn.XLOOKUP(A9,'Product List'!B:B,'Product List'!P:P)</f>
        <v>10</v>
      </c>
      <c r="S9" s="86">
        <f ca="1" t="shared" si="5"/>
        <v>2</v>
      </c>
      <c r="T9" s="366">
        <f ca="1">SUMIFS('Weekly Sales'!T:T,'Weekly Sales'!B:B,A9,'Weekly Sales'!U:U,"HOU")</f>
        <v>0</v>
      </c>
      <c r="U9" s="86">
        <f>_xlfn.XLOOKUP(A9,'Product List'!B:B,'Product List'!O:O)</f>
        <v>1000</v>
      </c>
      <c r="V9" s="368">
        <f ca="1" t="shared" si="6"/>
        <v>0</v>
      </c>
      <c r="W9" s="86" cm="1">
        <f ca="1" t="array" ref="W9">_xlfn.XLOOKUP(1,('Case Pack'!A:A=A9)*('Case Pack'!F:F&lt;=TODAY()),'Case Pack'!D:D,"未找到箱规")</f>
        <v>64</v>
      </c>
      <c r="X9" s="86" t="str">
        <f>_xlfn.XLOOKUP(A9,'Product List'!B:B,'Product List'!M:M)</f>
        <v>PetcoUS</v>
      </c>
      <c r="Y9" s="86" t="str" cm="1">
        <f ca="1" t="array" ref="Y9">_xlfn.XLOOKUP(1,('Case Pack'!A:A=A9)*('Case Pack'!F:F&lt;=TODAY()),'Case Pack'!G:G,"未找到箱规")</f>
        <v>B</v>
      </c>
      <c r="Z9" s="86">
        <f ca="1" t="shared" si="7"/>
        <v>0</v>
      </c>
      <c r="AA9" s="86">
        <f ca="1">_xlfn.XLOOKUP(Y9,'Case Type'!A:A,'Case Type'!H:H)*Z9</f>
        <v>0</v>
      </c>
    </row>
    <row r="10" spans="1:27">
      <c r="A10" s="94" t="s">
        <v>36</v>
      </c>
      <c r="B10" s="86" t="str">
        <f>_xlfn.XLOOKUP(A10,'Product List'!B:B,'Product List'!I:I)</f>
        <v>NONO Magnetic Water Bottle (220 ML)</v>
      </c>
      <c r="C10" s="86">
        <v>0</v>
      </c>
      <c r="D10" s="86">
        <f>SUMIFS(Purchase!F:F,Purchase!C:C,A10,Purchase!I:I,"&gt;"&amp;$C$1,Purchase!V:V,"&lt;&gt;暂缓发货",Purchase!U:U,"HOU")</f>
        <v>0</v>
      </c>
      <c r="E10" s="86">
        <f>SUMIFS(Purchase!F:F,Purchase!C:C,A10,Purchase!J:J,"&gt;0",Purchase!I:I,"&gt;"&amp;$C$1,Purchase!U:U,"HOU")</f>
        <v>0</v>
      </c>
      <c r="F10" s="86">
        <f>SUMIFS(Sales!E:E,Sales!C:C,A10,Sales!K:K,"&gt;"&amp;$C$1,Sales!I:I,"HOU")</f>
        <v>0</v>
      </c>
      <c r="G10" s="86">
        <f>SUMIFS(Sales!E:E,Sales!C:C,A10,Sales!K:K,"&gt;"&amp;$C$1,Sales!L:L,"&gt;0",Sales!I:I,"HOU")</f>
        <v>0</v>
      </c>
      <c r="H10" s="365">
        <f ca="1">C10+E10-G10+SUMIFS(Transfer!W:W,Transfer!O:O,A10,Transfer!Q:Q,"HOU",Transfer!U:U,"&gt;"&amp;$C$1)-SUMIFS(Transfer!V:V,Transfer!O:O,A10,Transfer!P:P,"HOU",Transfer!T:T,"&gt;"&amp;$C$1)</f>
        <v>0</v>
      </c>
      <c r="I10" s="86">
        <f ca="1">D10-E10+SUMIFS(Transfer!V:V,Transfer!O:O,A10,Transfer!Q:Q,"HOU")-SUMIFS(Transfer!W:W,Transfer!O:O,A10,Transfer!Q:Q,"HOU")</f>
        <v>0</v>
      </c>
      <c r="J10" s="86">
        <f>SUMIFS(Purchase!F:F,Purchase!C:C,A10,Purchase!V:V,"暂缓发货",Purchase!U:U,"HOU")</f>
        <v>0</v>
      </c>
      <c r="K10" s="86">
        <f t="shared" si="0"/>
        <v>0</v>
      </c>
      <c r="L10" s="86">
        <f ca="1" t="shared" si="1"/>
        <v>0</v>
      </c>
      <c r="M10" s="365">
        <f ca="1" t="shared" si="2"/>
        <v>0</v>
      </c>
      <c r="N10" s="86" t="str">
        <f ca="1">_xlfn.XLOOKUP(A10,'Product List'!B:B,'Product List'!F:F)</f>
        <v>C</v>
      </c>
      <c r="O10" s="366">
        <f>SUMIFS('Weekly Sales'!R:R,'Weekly Sales'!B:B,A10,'Weekly Sales'!U:U,"HOU")</f>
        <v>7.66666666666667</v>
      </c>
      <c r="P10" s="367">
        <f ca="1" t="shared" si="3"/>
        <v>0</v>
      </c>
      <c r="Q10" s="367">
        <f ca="1" t="shared" si="4"/>
        <v>0</v>
      </c>
      <c r="R10" s="86">
        <f>_xlfn.XLOOKUP(A10,'Product List'!B:B,'Product List'!P:P)</f>
        <v>10</v>
      </c>
      <c r="S10" s="86">
        <f ca="1" t="shared" si="5"/>
        <v>2</v>
      </c>
      <c r="T10" s="366">
        <f ca="1">SUMIFS('Weekly Sales'!T:T,'Weekly Sales'!B:B,A10,'Weekly Sales'!U:U,"HOU")</f>
        <v>0</v>
      </c>
      <c r="U10" s="86">
        <f>_xlfn.XLOOKUP(A10,'Product List'!B:B,'Product List'!O:O)</f>
        <v>500</v>
      </c>
      <c r="V10" s="368">
        <f ca="1" t="shared" si="6"/>
        <v>120</v>
      </c>
      <c r="W10" s="86" cm="1">
        <f ca="1" t="array" ref="W10">_xlfn.XLOOKUP(1,('Case Pack'!A:A=A10)*('Case Pack'!F:F&lt;=TODAY()),'Case Pack'!D:D,"未找到箱规")</f>
        <v>60</v>
      </c>
      <c r="X10" s="86" t="str">
        <f>_xlfn.XLOOKUP(A10,'Product List'!B:B,'Product List'!M:M)</f>
        <v>PetcoMX,PSP</v>
      </c>
      <c r="Y10" s="86" t="str" cm="1">
        <f ca="1" t="array" ref="Y10">_xlfn.XLOOKUP(1,('Case Pack'!A:A=A10)*('Case Pack'!F:F&lt;=TODAY()),'Case Pack'!G:G,"未找到箱规")</f>
        <v>A</v>
      </c>
      <c r="Z10" s="86">
        <f ca="1" t="shared" si="7"/>
        <v>2</v>
      </c>
      <c r="AA10" s="86">
        <f ca="1">_xlfn.XLOOKUP(Y10,'Case Type'!A:A,'Case Type'!H:H)*Z10</f>
        <v>0.22024214016</v>
      </c>
    </row>
    <row r="11" spans="1:27">
      <c r="A11" s="94" t="s">
        <v>37</v>
      </c>
      <c r="B11" s="86" t="str">
        <f>_xlfn.XLOOKUP(A11,'Product List'!B:B,'Product List'!I:I)</f>
        <v>MINI &amp; MOE MAG CONECT WTR BTL 4 OZ</v>
      </c>
      <c r="C11" s="86">
        <v>0</v>
      </c>
      <c r="D11" s="86">
        <f>SUMIFS(Purchase!F:F,Purchase!C:C,A11,Purchase!I:I,"&gt;"&amp;$C$1,Purchase!V:V,"&lt;&gt;暂缓发货",Purchase!U:U,"HOU")</f>
        <v>0</v>
      </c>
      <c r="E11" s="86">
        <f>SUMIFS(Purchase!F:F,Purchase!C:C,A11,Purchase!J:J,"&gt;0",Purchase!I:I,"&gt;"&amp;$C$1,Purchase!U:U,"HOU")</f>
        <v>0</v>
      </c>
      <c r="F11" s="86">
        <f>SUMIFS(Sales!E:E,Sales!C:C,A11,Sales!K:K,"&gt;"&amp;$C$1,Sales!I:I,"HOU")</f>
        <v>0</v>
      </c>
      <c r="G11" s="86">
        <f>SUMIFS(Sales!E:E,Sales!C:C,A11,Sales!K:K,"&gt;"&amp;$C$1,Sales!L:L,"&gt;0",Sales!I:I,"HOU")</f>
        <v>0</v>
      </c>
      <c r="H11" s="365">
        <f ca="1">C11+E11-G11+SUMIFS(Transfer!W:W,Transfer!O:O,A11,Transfer!Q:Q,"HOU",Transfer!U:U,"&gt;"&amp;$C$1)-SUMIFS(Transfer!V:V,Transfer!O:O,A11,Transfer!P:P,"HOU",Transfer!T:T,"&gt;"&amp;$C$1)</f>
        <v>0</v>
      </c>
      <c r="I11" s="86">
        <f ca="1">D11-E11+SUMIFS(Transfer!V:V,Transfer!O:O,A11,Transfer!Q:Q,"HOU")-SUMIFS(Transfer!W:W,Transfer!O:O,A11,Transfer!Q:Q,"HOU")</f>
        <v>0</v>
      </c>
      <c r="J11" s="86">
        <f>SUMIFS(Purchase!F:F,Purchase!C:C,A11,Purchase!V:V,"暂缓发货",Purchase!U:U,"HOU")</f>
        <v>0</v>
      </c>
      <c r="K11" s="86">
        <f t="shared" si="0"/>
        <v>0</v>
      </c>
      <c r="L11" s="86">
        <f ca="1" t="shared" si="1"/>
        <v>0</v>
      </c>
      <c r="M11" s="365">
        <f ca="1" t="shared" si="2"/>
        <v>0</v>
      </c>
      <c r="N11" s="86" t="str">
        <f ca="1">_xlfn.XLOOKUP(A11,'Product List'!B:B,'Product List'!F:F)</f>
        <v>A</v>
      </c>
      <c r="O11" s="366">
        <f>SUMIFS('Weekly Sales'!R:R,'Weekly Sales'!B:B,A11,'Weekly Sales'!U:U,"HOU")</f>
        <v>0</v>
      </c>
      <c r="P11" s="367">
        <f ca="1" t="shared" si="3"/>
        <v>999</v>
      </c>
      <c r="Q11" s="367">
        <f ca="1" t="shared" si="4"/>
        <v>999</v>
      </c>
      <c r="R11" s="86">
        <f>_xlfn.XLOOKUP(A11,'Product List'!B:B,'Product List'!P:P)</f>
        <v>10</v>
      </c>
      <c r="S11" s="86">
        <f ca="1" t="shared" si="5"/>
        <v>6</v>
      </c>
      <c r="T11" s="366">
        <f ca="1">SUMIFS('Weekly Sales'!T:T,'Weekly Sales'!B:B,A11,'Weekly Sales'!U:U,"HOU")</f>
        <v>0</v>
      </c>
      <c r="U11" s="86">
        <f>_xlfn.XLOOKUP(A11,'Product List'!B:B,'Product List'!O:O)</f>
        <v>500</v>
      </c>
      <c r="V11" s="368">
        <f ca="1" t="shared" si="6"/>
        <v>0</v>
      </c>
      <c r="W11" s="86" cm="1">
        <f ca="1" t="array" ref="W11">_xlfn.XLOOKUP(1,('Case Pack'!A:A=A11)*('Case Pack'!F:F&lt;=TODAY()),'Case Pack'!D:D,"未找到箱规")</f>
        <v>54</v>
      </c>
      <c r="X11" s="86" t="str">
        <f>_xlfn.XLOOKUP(A11,'Product List'!B:B,'Product List'!M:M)</f>
        <v>Petsmart</v>
      </c>
      <c r="Y11" s="86" t="str" cm="1">
        <f ca="1" t="array" ref="Y11">_xlfn.XLOOKUP(1,('Case Pack'!A:A=A11)*('Case Pack'!F:F&lt;=TODAY()),'Case Pack'!G:G,"未找到箱规")</f>
        <v>A</v>
      </c>
      <c r="Z11" s="86">
        <f ca="1" t="shared" si="7"/>
        <v>0</v>
      </c>
      <c r="AA11" s="86">
        <f ca="1">_xlfn.XLOOKUP(Y11,'Case Type'!A:A,'Case Type'!H:H)*Z11</f>
        <v>0</v>
      </c>
    </row>
    <row r="12" spans="1:27">
      <c r="A12" s="94" t="s">
        <v>38</v>
      </c>
      <c r="B12" s="86" t="str">
        <f>_xlfn.XLOOKUP(A12,'Product List'!B:B,'Product List'!I:I)</f>
        <v>Ceramic Candy Bowl</v>
      </c>
      <c r="C12" s="86">
        <v>0</v>
      </c>
      <c r="D12" s="86">
        <f>SUMIFS(Purchase!F:F,Purchase!C:C,A12,Purchase!I:I,"&gt;"&amp;$C$1,Purchase!V:V,"&lt;&gt;暂缓发货",Purchase!U:U,"HOU")</f>
        <v>0</v>
      </c>
      <c r="E12" s="86">
        <f>SUMIFS(Purchase!F:F,Purchase!C:C,A12,Purchase!J:J,"&gt;0",Purchase!I:I,"&gt;"&amp;$C$1,Purchase!U:U,"HOU")</f>
        <v>0</v>
      </c>
      <c r="F12" s="86">
        <f>SUMIFS(Sales!E:E,Sales!C:C,A12,Sales!K:K,"&gt;"&amp;$C$1,Sales!I:I,"HOU")</f>
        <v>0</v>
      </c>
      <c r="G12" s="86">
        <f>SUMIFS(Sales!E:E,Sales!C:C,A12,Sales!K:K,"&gt;"&amp;$C$1,Sales!L:L,"&gt;0",Sales!I:I,"HOU")</f>
        <v>0</v>
      </c>
      <c r="H12" s="365">
        <f ca="1">C12+E12-G12+SUMIFS(Transfer!W:W,Transfer!O:O,A12,Transfer!Q:Q,"HOU",Transfer!U:U,"&gt;"&amp;$C$1)-SUMIFS(Transfer!V:V,Transfer!O:O,A12,Transfer!P:P,"HOU",Transfer!T:T,"&gt;"&amp;$C$1)</f>
        <v>0</v>
      </c>
      <c r="I12" s="86">
        <f ca="1">D12-E12+SUMIFS(Transfer!V:V,Transfer!O:O,A12,Transfer!Q:Q,"HOU")-SUMIFS(Transfer!W:W,Transfer!O:O,A12,Transfer!Q:Q,"HOU")</f>
        <v>0</v>
      </c>
      <c r="J12" s="86">
        <f>SUMIFS(Purchase!F:F,Purchase!C:C,A12,Purchase!V:V,"暂缓发货",Purchase!U:U,"HOU")</f>
        <v>0</v>
      </c>
      <c r="K12" s="86">
        <f t="shared" si="0"/>
        <v>0</v>
      </c>
      <c r="L12" s="86">
        <f ca="1" t="shared" si="1"/>
        <v>0</v>
      </c>
      <c r="M12" s="365">
        <f ca="1" t="shared" si="2"/>
        <v>0</v>
      </c>
      <c r="N12" s="86" t="str">
        <f ca="1">_xlfn.XLOOKUP(A12,'Product List'!B:B,'Product List'!F:F)</f>
        <v>C</v>
      </c>
      <c r="O12" s="366">
        <f>SUMIFS('Weekly Sales'!R:R,'Weekly Sales'!B:B,A12,'Weekly Sales'!U:U,"HOU")</f>
        <v>2.16666666666667</v>
      </c>
      <c r="P12" s="367">
        <f ca="1" t="shared" si="3"/>
        <v>0</v>
      </c>
      <c r="Q12" s="367">
        <f ca="1" t="shared" si="4"/>
        <v>0</v>
      </c>
      <c r="R12" s="86">
        <f>_xlfn.XLOOKUP(A12,'Product List'!B:B,'Product List'!P:P)</f>
        <v>15</v>
      </c>
      <c r="S12" s="86">
        <f ca="1" t="shared" si="5"/>
        <v>2</v>
      </c>
      <c r="T12" s="366">
        <f ca="1">SUMIFS('Weekly Sales'!T:T,'Weekly Sales'!B:B,A12,'Weekly Sales'!U:U,"HOU")</f>
        <v>0</v>
      </c>
      <c r="U12" s="86">
        <f>_xlfn.XLOOKUP(A12,'Product List'!B:B,'Product List'!O:O)</f>
        <v>2000</v>
      </c>
      <c r="V12" s="368">
        <f ca="1" t="shared" si="6"/>
        <v>48</v>
      </c>
      <c r="W12" s="86" cm="1">
        <f ca="1" t="array" ref="W12">_xlfn.XLOOKUP(1,('Case Pack'!A:A=A12)*('Case Pack'!F:F&lt;=TODAY()),'Case Pack'!D:D,"未找到箱规")</f>
        <v>48</v>
      </c>
      <c r="X12" s="86" t="str">
        <f>_xlfn.XLOOKUP(A12,'Product List'!B:B,'Product List'!M:M)</f>
        <v>PetcoMX,PSP</v>
      </c>
      <c r="Y12" s="86" t="str" cm="1">
        <f ca="1" t="array" ref="Y12">_xlfn.XLOOKUP(1,('Case Pack'!A:A=A12)*('Case Pack'!F:F&lt;=TODAY()),'Case Pack'!G:G,"未找到箱规")</f>
        <v>B</v>
      </c>
      <c r="Z12" s="86">
        <f ca="1" t="shared" si="7"/>
        <v>1</v>
      </c>
      <c r="AA12" s="86">
        <f ca="1">_xlfn.XLOOKUP(Y12,'Case Type'!A:A,'Case Type'!H:H)*Z12</f>
        <v>0.07341404672</v>
      </c>
    </row>
    <row r="13" spans="1:27">
      <c r="A13" s="86" t="s">
        <v>39</v>
      </c>
      <c r="B13" s="86" t="str">
        <f>_xlfn.XLOOKUP(A13,'Product List'!B:B,'Product List'!I:I)</f>
        <v>MINI/MOE MUSHROOM CABIN</v>
      </c>
      <c r="C13" s="86">
        <v>0</v>
      </c>
      <c r="D13" s="86">
        <f>SUMIFS(Purchase!F:F,Purchase!C:C,A13,Purchase!I:I,"&gt;"&amp;$C$1,Purchase!V:V,"&lt;&gt;暂缓发货",Purchase!U:U,"HOU")</f>
        <v>0</v>
      </c>
      <c r="E13" s="86">
        <f>SUMIFS(Purchase!F:F,Purchase!C:C,A13,Purchase!J:J,"&gt;0",Purchase!I:I,"&gt;"&amp;$C$1,Purchase!U:U,"HOU")</f>
        <v>0</v>
      </c>
      <c r="F13" s="86">
        <f>SUMIFS(Sales!E:E,Sales!C:C,A13,Sales!K:K,"&gt;"&amp;$C$1,Sales!I:I,"HOU")</f>
        <v>0</v>
      </c>
      <c r="G13" s="86">
        <f>SUMIFS(Sales!E:E,Sales!C:C,A13,Sales!K:K,"&gt;"&amp;$C$1,Sales!L:L,"&gt;0",Sales!I:I,"HOU")</f>
        <v>0</v>
      </c>
      <c r="H13" s="365">
        <f ca="1">C13+E13-G13+SUMIFS(Transfer!W:W,Transfer!O:O,A13,Transfer!Q:Q,"HOU",Transfer!U:U,"&gt;"&amp;$C$1)-SUMIFS(Transfer!V:V,Transfer!O:O,A13,Transfer!P:P,"HOU",Transfer!T:T,"&gt;"&amp;$C$1)</f>
        <v>0</v>
      </c>
      <c r="I13" s="86">
        <f ca="1">D13-E13+SUMIFS(Transfer!V:V,Transfer!O:O,A13,Transfer!Q:Q,"HOU")-SUMIFS(Transfer!W:W,Transfer!O:O,A13,Transfer!Q:Q,"HOU")</f>
        <v>0</v>
      </c>
      <c r="J13" s="86">
        <f>SUMIFS(Purchase!F:F,Purchase!C:C,A13,Purchase!V:V,"暂缓发货",Purchase!U:U,"HOU")</f>
        <v>0</v>
      </c>
      <c r="K13" s="86">
        <f t="shared" si="0"/>
        <v>0</v>
      </c>
      <c r="L13" s="86">
        <f ca="1" t="shared" si="1"/>
        <v>0</v>
      </c>
      <c r="M13" s="365">
        <f ca="1" t="shared" si="2"/>
        <v>0</v>
      </c>
      <c r="N13" s="86" t="str">
        <f ca="1">_xlfn.XLOOKUP(A13,'Product List'!B:B,'Product List'!F:F)</f>
        <v>B</v>
      </c>
      <c r="O13" s="366">
        <f>SUMIFS('Weekly Sales'!R:R,'Weekly Sales'!B:B,A13,'Weekly Sales'!U:U,"HOU")</f>
        <v>28.3333333333333</v>
      </c>
      <c r="P13" s="367">
        <f ca="1" t="shared" si="3"/>
        <v>0</v>
      </c>
      <c r="Q13" s="367">
        <f ca="1" t="shared" si="4"/>
        <v>0</v>
      </c>
      <c r="R13" s="86">
        <f>_xlfn.XLOOKUP(A13,'Product List'!B:B,'Product List'!P:P)</f>
        <v>15</v>
      </c>
      <c r="S13" s="86">
        <f ca="1" t="shared" si="5"/>
        <v>5</v>
      </c>
      <c r="T13" s="366">
        <f ca="1">SUMIFS('Weekly Sales'!T:T,'Weekly Sales'!B:B,A13,'Weekly Sales'!U:U,"HOU")</f>
        <v>148.75</v>
      </c>
      <c r="U13" s="86">
        <f>_xlfn.XLOOKUP(A13,'Product List'!B:B,'Product List'!O:O)</f>
        <v>500</v>
      </c>
      <c r="V13" s="368">
        <f ca="1" t="shared" si="6"/>
        <v>784</v>
      </c>
      <c r="W13" s="86" cm="1">
        <f ca="1" t="array" ref="W13">_xlfn.XLOOKUP(1,('Case Pack'!A:A=A13)*('Case Pack'!F:F&lt;=TODAY()),'Case Pack'!D:D,"未找到箱规")</f>
        <v>16</v>
      </c>
      <c r="X13" s="86" t="str">
        <f>_xlfn.XLOOKUP(A13,'Product List'!B:B,'Product List'!M:M)</f>
        <v>PSP</v>
      </c>
      <c r="Y13" s="86" t="str" cm="1">
        <f ca="1" t="array" ref="Y13">_xlfn.XLOOKUP(1,('Case Pack'!A:A=A13)*('Case Pack'!F:F&lt;=TODAY()),'Case Pack'!G:G,"未找到箱规")</f>
        <v>C</v>
      </c>
      <c r="Z13" s="86">
        <f ca="1" t="shared" si="7"/>
        <v>49</v>
      </c>
      <c r="AA13" s="86">
        <f ca="1">_xlfn.XLOOKUP(Y13,'Case Type'!A:A,'Case Type'!H:H)*Z13</f>
        <v>7.7084749056</v>
      </c>
    </row>
    <row r="14" spans="1:27">
      <c r="A14" s="96" t="s">
        <v>40</v>
      </c>
      <c r="B14" s="86" t="str">
        <f>_xlfn.XLOOKUP(A14,'Product List'!B:B,'Product List'!I:I)</f>
        <v>MINI/MOE MUSHROOM LADDER 1EA</v>
      </c>
      <c r="C14" s="86">
        <v>0</v>
      </c>
      <c r="D14" s="86">
        <f>SUMIFS(Purchase!F:F,Purchase!C:C,A14,Purchase!I:I,"&gt;"&amp;$C$1,Purchase!V:V,"&lt;&gt;暂缓发货",Purchase!U:U,"HOU")</f>
        <v>0</v>
      </c>
      <c r="E14" s="86">
        <f>SUMIFS(Purchase!F:F,Purchase!C:C,A14,Purchase!J:J,"&gt;0",Purchase!I:I,"&gt;"&amp;$C$1,Purchase!U:U,"HOU")</f>
        <v>0</v>
      </c>
      <c r="F14" s="86">
        <f>SUMIFS(Sales!E:E,Sales!C:C,A14,Sales!K:K,"&gt;"&amp;$C$1,Sales!I:I,"HOU")</f>
        <v>0</v>
      </c>
      <c r="G14" s="86">
        <f>SUMIFS(Sales!E:E,Sales!C:C,A14,Sales!K:K,"&gt;"&amp;$C$1,Sales!L:L,"&gt;0",Sales!I:I,"HOU")</f>
        <v>0</v>
      </c>
      <c r="H14" s="365">
        <f ca="1">C14+E14-G14+SUMIFS(Transfer!W:W,Transfer!O:O,A14,Transfer!Q:Q,"HOU",Transfer!U:U,"&gt;"&amp;$C$1)-SUMIFS(Transfer!V:V,Transfer!O:O,A14,Transfer!P:P,"HOU",Transfer!T:T,"&gt;"&amp;$C$1)</f>
        <v>0</v>
      </c>
      <c r="I14" s="86">
        <f ca="1">D14-E14+SUMIFS(Transfer!V:V,Transfer!O:O,A14,Transfer!Q:Q,"HOU")-SUMIFS(Transfer!W:W,Transfer!O:O,A14,Transfer!Q:Q,"HOU")</f>
        <v>0</v>
      </c>
      <c r="J14" s="86">
        <f>SUMIFS(Purchase!F:F,Purchase!C:C,A14,Purchase!V:V,"暂缓发货",Purchase!U:U,"HOU")</f>
        <v>0</v>
      </c>
      <c r="K14" s="86">
        <f t="shared" si="0"/>
        <v>0</v>
      </c>
      <c r="L14" s="86">
        <f ca="1" t="shared" si="1"/>
        <v>0</v>
      </c>
      <c r="M14" s="365">
        <f ca="1" t="shared" si="2"/>
        <v>0</v>
      </c>
      <c r="N14" s="86" t="str">
        <f ca="1">_xlfn.XLOOKUP(A14,'Product List'!B:B,'Product List'!F:F)</f>
        <v>C</v>
      </c>
      <c r="O14" s="366">
        <f>SUMIFS('Weekly Sales'!R:R,'Weekly Sales'!B:B,A14,'Weekly Sales'!U:U,"HOU")</f>
        <v>3</v>
      </c>
      <c r="P14" s="367">
        <f ca="1" t="shared" si="3"/>
        <v>0</v>
      </c>
      <c r="Q14" s="367">
        <f ca="1" t="shared" si="4"/>
        <v>0</v>
      </c>
      <c r="R14" s="86">
        <f>_xlfn.XLOOKUP(A14,'Product List'!B:B,'Product List'!P:P)</f>
        <v>15</v>
      </c>
      <c r="S14" s="86">
        <f ca="1" t="shared" si="5"/>
        <v>2</v>
      </c>
      <c r="T14" s="366">
        <f ca="1">SUMIFS('Weekly Sales'!T:T,'Weekly Sales'!B:B,A14,'Weekly Sales'!U:U,"HOU")</f>
        <v>0</v>
      </c>
      <c r="U14" s="86">
        <f>_xlfn.XLOOKUP(A14,'Product List'!B:B,'Product List'!O:O)</f>
        <v>500</v>
      </c>
      <c r="V14" s="368">
        <f ca="1" t="shared" si="6"/>
        <v>60</v>
      </c>
      <c r="W14" s="86" cm="1">
        <f ca="1" t="array" ref="W14">_xlfn.XLOOKUP(1,('Case Pack'!A:A=A14)*('Case Pack'!F:F&lt;=TODAY()),'Case Pack'!D:D,"未找到箱规")</f>
        <v>30</v>
      </c>
      <c r="X14" s="86" t="str">
        <f>_xlfn.XLOOKUP(A14,'Product List'!B:B,'Product List'!M:M)</f>
        <v>PSP</v>
      </c>
      <c r="Y14" s="86" t="str" cm="1">
        <f ca="1" t="array" ref="Y14">_xlfn.XLOOKUP(1,('Case Pack'!A:A=A14)*('Case Pack'!F:F&lt;=TODAY()),'Case Pack'!G:G,"未找到箱规")</f>
        <v>C</v>
      </c>
      <c r="Z14" s="86">
        <f ca="1" t="shared" si="7"/>
        <v>2</v>
      </c>
      <c r="AA14" s="86">
        <f ca="1">_xlfn.XLOOKUP(Y14,'Case Type'!A:A,'Case Type'!H:H)*Z14</f>
        <v>0.3146316288</v>
      </c>
    </row>
    <row r="15" spans="1:27">
      <c r="A15" s="86" t="s">
        <v>41</v>
      </c>
      <c r="B15" s="86" t="str">
        <f>_xlfn.XLOOKUP(A15,'Product List'!B:B,'Product List'!I:I)</f>
        <v>MINI/MOE TREEHOUSE CABIN</v>
      </c>
      <c r="C15" s="86">
        <v>0</v>
      </c>
      <c r="D15" s="86">
        <f>SUMIFS(Purchase!F:F,Purchase!C:C,A15,Purchase!I:I,"&gt;"&amp;$C$1,Purchase!V:V,"&lt;&gt;暂缓发货",Purchase!U:U,"HOU")</f>
        <v>0</v>
      </c>
      <c r="E15" s="86">
        <f>SUMIFS(Purchase!F:F,Purchase!C:C,A15,Purchase!J:J,"&gt;0",Purchase!I:I,"&gt;"&amp;$C$1,Purchase!U:U,"HOU")</f>
        <v>0</v>
      </c>
      <c r="F15" s="86">
        <f>SUMIFS(Sales!E:E,Sales!C:C,A15,Sales!K:K,"&gt;"&amp;$C$1,Sales!I:I,"HOU")</f>
        <v>0</v>
      </c>
      <c r="G15" s="86">
        <f>SUMIFS(Sales!E:E,Sales!C:C,A15,Sales!K:K,"&gt;"&amp;$C$1,Sales!L:L,"&gt;0",Sales!I:I,"HOU")</f>
        <v>0</v>
      </c>
      <c r="H15" s="365">
        <f ca="1">C15+E15-G15+SUMIFS(Transfer!W:W,Transfer!O:O,A15,Transfer!Q:Q,"HOU",Transfer!U:U,"&gt;"&amp;$C$1)-SUMIFS(Transfer!V:V,Transfer!O:O,A15,Transfer!P:P,"HOU",Transfer!T:T,"&gt;"&amp;$C$1)</f>
        <v>0</v>
      </c>
      <c r="I15" s="86">
        <f ca="1">D15-E15+SUMIFS(Transfer!V:V,Transfer!O:O,A15,Transfer!Q:Q,"HOU")-SUMIFS(Transfer!W:W,Transfer!O:O,A15,Transfer!Q:Q,"HOU")</f>
        <v>0</v>
      </c>
      <c r="J15" s="86">
        <f>SUMIFS(Purchase!F:F,Purchase!C:C,A15,Purchase!V:V,"暂缓发货",Purchase!U:U,"HOU")</f>
        <v>0</v>
      </c>
      <c r="K15" s="86">
        <f t="shared" si="0"/>
        <v>0</v>
      </c>
      <c r="L15" s="86">
        <f ca="1" t="shared" si="1"/>
        <v>0</v>
      </c>
      <c r="M15" s="365">
        <f ca="1" t="shared" si="2"/>
        <v>0</v>
      </c>
      <c r="N15" s="86" t="str">
        <f ca="1">_xlfn.XLOOKUP(A15,'Product List'!B:B,'Product List'!F:F)</f>
        <v>C</v>
      </c>
      <c r="O15" s="366">
        <f>SUMIFS('Weekly Sales'!R:R,'Weekly Sales'!B:B,A15,'Weekly Sales'!U:U,"HOU")</f>
        <v>22.8333333333333</v>
      </c>
      <c r="P15" s="367">
        <f ca="1" t="shared" si="3"/>
        <v>0</v>
      </c>
      <c r="Q15" s="367">
        <f ca="1" t="shared" si="4"/>
        <v>0</v>
      </c>
      <c r="R15" s="86">
        <f>_xlfn.XLOOKUP(A15,'Product List'!B:B,'Product List'!P:P)</f>
        <v>15</v>
      </c>
      <c r="S15" s="86">
        <f ca="1" t="shared" si="5"/>
        <v>2</v>
      </c>
      <c r="T15" s="366">
        <f ca="1">SUMIFS('Weekly Sales'!T:T,'Weekly Sales'!B:B,A15,'Weekly Sales'!U:U,"HOU")</f>
        <v>0</v>
      </c>
      <c r="U15" s="86">
        <f>_xlfn.XLOOKUP(A15,'Product List'!B:B,'Product List'!O:O)</f>
        <v>500</v>
      </c>
      <c r="V15" s="368">
        <f ca="1" t="shared" si="6"/>
        <v>450</v>
      </c>
      <c r="W15" s="86" cm="1">
        <f ca="1" t="array" ref="W15">_xlfn.XLOOKUP(1,('Case Pack'!A:A=A15)*('Case Pack'!F:F&lt;=TODAY()),'Case Pack'!D:D,"未找到箱规")</f>
        <v>30</v>
      </c>
      <c r="X15" s="86" t="str">
        <f>_xlfn.XLOOKUP(A15,'Product List'!B:B,'Product List'!M:M)</f>
        <v>PSP</v>
      </c>
      <c r="Y15" s="86" t="str" cm="1">
        <f ca="1" t="array" ref="Y15">_xlfn.XLOOKUP(1,('Case Pack'!A:A=A15)*('Case Pack'!F:F&lt;=TODAY()),'Case Pack'!G:G,"未找到箱规")</f>
        <v>C</v>
      </c>
      <c r="Z15" s="86">
        <f ca="1" t="shared" si="7"/>
        <v>15</v>
      </c>
      <c r="AA15" s="86">
        <f ca="1">_xlfn.XLOOKUP(Y15,'Case Type'!A:A,'Case Type'!H:H)*Z15</f>
        <v>2.359737216</v>
      </c>
    </row>
    <row r="16" spans="1:27">
      <c r="A16" s="96" t="s">
        <v>42</v>
      </c>
      <c r="B16" s="86" t="str">
        <f>_xlfn.XLOOKUP(A16,'Product List'!B:B,'Product List'!I:I)</f>
        <v>MINI/MOE FISHBONE BRIDGE 1EA</v>
      </c>
      <c r="C16" s="86">
        <v>0</v>
      </c>
      <c r="D16" s="86">
        <f>SUMIFS(Purchase!F:F,Purchase!C:C,A16,Purchase!I:I,"&gt;"&amp;$C$1,Purchase!V:V,"&lt;&gt;暂缓发货",Purchase!U:U,"HOU")</f>
        <v>0</v>
      </c>
      <c r="E16" s="86">
        <f>SUMIFS(Purchase!F:F,Purchase!C:C,A16,Purchase!J:J,"&gt;0",Purchase!I:I,"&gt;"&amp;$C$1,Purchase!U:U,"HOU")</f>
        <v>0</v>
      </c>
      <c r="F16" s="86">
        <f>SUMIFS(Sales!E:E,Sales!C:C,A16,Sales!K:K,"&gt;"&amp;$C$1,Sales!I:I,"HOU")</f>
        <v>0</v>
      </c>
      <c r="G16" s="86">
        <f>SUMIFS(Sales!E:E,Sales!C:C,A16,Sales!K:K,"&gt;"&amp;$C$1,Sales!L:L,"&gt;0",Sales!I:I,"HOU")</f>
        <v>0</v>
      </c>
      <c r="H16" s="365">
        <f ca="1">C16+E16-G16+SUMIFS(Transfer!W:W,Transfer!O:O,A16,Transfer!Q:Q,"HOU",Transfer!U:U,"&gt;"&amp;$C$1)-SUMIFS(Transfer!V:V,Transfer!O:O,A16,Transfer!P:P,"HOU",Transfer!T:T,"&gt;"&amp;$C$1)</f>
        <v>0</v>
      </c>
      <c r="I16" s="86">
        <f ca="1">D16-E16+SUMIFS(Transfer!V:V,Transfer!O:O,A16,Transfer!Q:Q,"HOU")-SUMIFS(Transfer!W:W,Transfer!O:O,A16,Transfer!Q:Q,"HOU")</f>
        <v>0</v>
      </c>
      <c r="J16" s="86">
        <f>SUMIFS(Purchase!F:F,Purchase!C:C,A16,Purchase!V:V,"暂缓发货",Purchase!U:U,"HOU")</f>
        <v>0</v>
      </c>
      <c r="K16" s="86">
        <f t="shared" si="0"/>
        <v>0</v>
      </c>
      <c r="L16" s="86">
        <f ca="1" t="shared" si="1"/>
        <v>0</v>
      </c>
      <c r="M16" s="365">
        <f ca="1" t="shared" si="2"/>
        <v>0</v>
      </c>
      <c r="N16" s="86" t="str">
        <f ca="1">_xlfn.XLOOKUP(A16,'Product List'!B:B,'Product List'!F:F)</f>
        <v>C</v>
      </c>
      <c r="O16" s="366">
        <f>SUMIFS('Weekly Sales'!R:R,'Weekly Sales'!B:B,A16,'Weekly Sales'!U:U,"HOU")</f>
        <v>0.833333333333333</v>
      </c>
      <c r="P16" s="367">
        <f ca="1" t="shared" si="3"/>
        <v>0</v>
      </c>
      <c r="Q16" s="367">
        <f ca="1" t="shared" si="4"/>
        <v>0</v>
      </c>
      <c r="R16" s="86">
        <f>_xlfn.XLOOKUP(A16,'Product List'!B:B,'Product List'!P:P)</f>
        <v>15</v>
      </c>
      <c r="S16" s="86">
        <f ca="1" t="shared" si="5"/>
        <v>2</v>
      </c>
      <c r="T16" s="366">
        <f ca="1">SUMIFS('Weekly Sales'!T:T,'Weekly Sales'!B:B,A16,'Weekly Sales'!U:U,"HOU")</f>
        <v>0</v>
      </c>
      <c r="U16" s="86">
        <f>_xlfn.XLOOKUP(A16,'Product List'!B:B,'Product List'!O:O)</f>
        <v>500</v>
      </c>
      <c r="V16" s="368">
        <f ca="1" t="shared" si="6"/>
        <v>30</v>
      </c>
      <c r="W16" s="86" cm="1">
        <f ca="1" t="array" ref="W16">_xlfn.XLOOKUP(1,('Case Pack'!A:A=A16)*('Case Pack'!F:F&lt;=TODAY()),'Case Pack'!D:D,"未找到箱规")</f>
        <v>30</v>
      </c>
      <c r="X16" s="86" t="str">
        <f>_xlfn.XLOOKUP(A16,'Product List'!B:B,'Product List'!M:M)</f>
        <v>PSP</v>
      </c>
      <c r="Y16" s="86" t="str" cm="1">
        <f ca="1" t="array" ref="Y16">_xlfn.XLOOKUP(1,('Case Pack'!A:A=A16)*('Case Pack'!F:F&lt;=TODAY()),'Case Pack'!G:G,"未找到箱规")</f>
        <v>B</v>
      </c>
      <c r="Z16" s="86">
        <f ca="1" t="shared" si="7"/>
        <v>1</v>
      </c>
      <c r="AA16" s="86">
        <f ca="1">_xlfn.XLOOKUP(Y16,'Case Type'!A:A,'Case Type'!H:H)*Z16</f>
        <v>0.07341404672</v>
      </c>
    </row>
    <row r="17" spans="1:27">
      <c r="A17" s="86" t="s">
        <v>43</v>
      </c>
      <c r="B17" s="86" t="str">
        <f>_xlfn.XLOOKUP(A17,'Product List'!B:B,'Product List'!I:I)</f>
        <v>MINI/MOE GARDEN TEAPOT</v>
      </c>
      <c r="C17" s="86">
        <v>0</v>
      </c>
      <c r="D17" s="86">
        <f>SUMIFS(Purchase!F:F,Purchase!C:C,A17,Purchase!I:I,"&gt;"&amp;$C$1,Purchase!V:V,"&lt;&gt;暂缓发货",Purchase!U:U,"HOU")</f>
        <v>0</v>
      </c>
      <c r="E17" s="86">
        <f>SUMIFS(Purchase!F:F,Purchase!C:C,A17,Purchase!J:J,"&gt;0",Purchase!I:I,"&gt;"&amp;$C$1,Purchase!U:U,"HOU")</f>
        <v>0</v>
      </c>
      <c r="F17" s="86">
        <f>SUMIFS(Sales!E:E,Sales!C:C,A17,Sales!K:K,"&gt;"&amp;$C$1,Sales!I:I,"HOU")</f>
        <v>0</v>
      </c>
      <c r="G17" s="86">
        <f>SUMIFS(Sales!E:E,Sales!C:C,A17,Sales!K:K,"&gt;"&amp;$C$1,Sales!L:L,"&gt;0",Sales!I:I,"HOU")</f>
        <v>0</v>
      </c>
      <c r="H17" s="365">
        <f ca="1">C17+E17-G17+SUMIFS(Transfer!W:W,Transfer!O:O,A17,Transfer!Q:Q,"HOU",Transfer!U:U,"&gt;"&amp;$C$1)-SUMIFS(Transfer!V:V,Transfer!O:O,A17,Transfer!P:P,"HOU",Transfer!T:T,"&gt;"&amp;$C$1)</f>
        <v>0</v>
      </c>
      <c r="I17" s="86">
        <f ca="1">D17-E17+SUMIFS(Transfer!V:V,Transfer!O:O,A17,Transfer!Q:Q,"HOU")-SUMIFS(Transfer!W:W,Transfer!O:O,A17,Transfer!Q:Q,"HOU")</f>
        <v>0</v>
      </c>
      <c r="J17" s="86">
        <f>SUMIFS(Purchase!F:F,Purchase!C:C,A17,Purchase!V:V,"暂缓发货",Purchase!U:U,"HOU")</f>
        <v>0</v>
      </c>
      <c r="K17" s="86">
        <f t="shared" si="0"/>
        <v>0</v>
      </c>
      <c r="L17" s="86">
        <f ca="1" t="shared" si="1"/>
        <v>0</v>
      </c>
      <c r="M17" s="365">
        <f ca="1" t="shared" si="2"/>
        <v>0</v>
      </c>
      <c r="N17" s="86" t="str">
        <f ca="1">_xlfn.XLOOKUP(A17,'Product List'!B:B,'Product List'!F:F)</f>
        <v>C</v>
      </c>
      <c r="O17" s="366">
        <f>SUMIFS('Weekly Sales'!R:R,'Weekly Sales'!B:B,A17,'Weekly Sales'!U:U,"HOU")</f>
        <v>5.16666666666667</v>
      </c>
      <c r="P17" s="367">
        <f ca="1" t="shared" si="3"/>
        <v>0</v>
      </c>
      <c r="Q17" s="367">
        <f ca="1" t="shared" si="4"/>
        <v>0</v>
      </c>
      <c r="R17" s="86">
        <f>_xlfn.XLOOKUP(A17,'Product List'!B:B,'Product List'!P:P)</f>
        <v>15</v>
      </c>
      <c r="S17" s="86">
        <f ca="1" t="shared" si="5"/>
        <v>2</v>
      </c>
      <c r="T17" s="366">
        <f ca="1">SUMIFS('Weekly Sales'!T:T,'Weekly Sales'!B:B,A17,'Weekly Sales'!U:U,"HOU")</f>
        <v>0</v>
      </c>
      <c r="U17" s="86">
        <f>_xlfn.XLOOKUP(A17,'Product List'!B:B,'Product List'!O:O)</f>
        <v>500</v>
      </c>
      <c r="V17" s="368">
        <f ca="1" t="shared" si="6"/>
        <v>120</v>
      </c>
      <c r="W17" s="86" cm="1">
        <f ca="1" t="array" ref="W17">_xlfn.XLOOKUP(1,('Case Pack'!A:A=A17)*('Case Pack'!F:F&lt;=TODAY()),'Case Pack'!D:D,"未找到箱规")</f>
        <v>30</v>
      </c>
      <c r="X17" s="86" t="str">
        <f>_xlfn.XLOOKUP(A17,'Product List'!B:B,'Product List'!M:M)</f>
        <v>PSP</v>
      </c>
      <c r="Y17" s="86" t="str" cm="1">
        <f ca="1" t="array" ref="Y17">_xlfn.XLOOKUP(1,('Case Pack'!A:A=A17)*('Case Pack'!F:F&lt;=TODAY()),'Case Pack'!G:G,"未找到箱规")</f>
        <v>C</v>
      </c>
      <c r="Z17" s="86">
        <f ca="1" t="shared" si="7"/>
        <v>4</v>
      </c>
      <c r="AA17" s="86">
        <f ca="1">_xlfn.XLOOKUP(Y17,'Case Type'!A:A,'Case Type'!H:H)*Z17</f>
        <v>0.6292632576</v>
      </c>
    </row>
    <row r="18" spans="1:27">
      <c r="A18" s="94" t="s">
        <v>44</v>
      </c>
      <c r="B18" s="86" t="str">
        <f>_xlfn.XLOOKUP(A18,'Product List'!B:B,'Product List'!I:I)</f>
        <v>MINI &amp; MOE WOODEN BRIDGE</v>
      </c>
      <c r="C18" s="86">
        <v>0</v>
      </c>
      <c r="D18" s="86">
        <f>SUMIFS(Purchase!F:F,Purchase!C:C,A18,Purchase!I:I,"&gt;"&amp;$C$1,Purchase!V:V,"&lt;&gt;暂缓发货",Purchase!U:U,"HOU")</f>
        <v>0</v>
      </c>
      <c r="E18" s="86">
        <f>SUMIFS(Purchase!F:F,Purchase!C:C,A18,Purchase!J:J,"&gt;0",Purchase!I:I,"&gt;"&amp;$C$1,Purchase!U:U,"HOU")</f>
        <v>0</v>
      </c>
      <c r="F18" s="86">
        <f>SUMIFS(Sales!E:E,Sales!C:C,A18,Sales!K:K,"&gt;"&amp;$C$1,Sales!I:I,"HOU")</f>
        <v>0</v>
      </c>
      <c r="G18" s="86">
        <f>SUMIFS(Sales!E:E,Sales!C:C,A18,Sales!K:K,"&gt;"&amp;$C$1,Sales!L:L,"&gt;0",Sales!I:I,"HOU")</f>
        <v>0</v>
      </c>
      <c r="H18" s="365">
        <f ca="1">C18+E18-G18+SUMIFS(Transfer!W:W,Transfer!O:O,A18,Transfer!Q:Q,"HOU",Transfer!U:U,"&gt;"&amp;$C$1)-SUMIFS(Transfer!V:V,Transfer!O:O,A18,Transfer!P:P,"HOU",Transfer!T:T,"&gt;"&amp;$C$1)</f>
        <v>0</v>
      </c>
      <c r="I18" s="86">
        <f ca="1">D18-E18+SUMIFS(Transfer!V:V,Transfer!O:O,A18,Transfer!Q:Q,"HOU")-SUMIFS(Transfer!W:W,Transfer!O:O,A18,Transfer!Q:Q,"HOU")</f>
        <v>0</v>
      </c>
      <c r="J18" s="86">
        <f>SUMIFS(Purchase!F:F,Purchase!C:C,A18,Purchase!V:V,"暂缓发货",Purchase!U:U,"HOU")</f>
        <v>0</v>
      </c>
      <c r="K18" s="86">
        <f t="shared" si="0"/>
        <v>0</v>
      </c>
      <c r="L18" s="86">
        <f ca="1" t="shared" si="1"/>
        <v>0</v>
      </c>
      <c r="M18" s="365">
        <f ca="1" t="shared" si="2"/>
        <v>0</v>
      </c>
      <c r="N18" s="86" t="str">
        <f ca="1">_xlfn.XLOOKUP(A18,'Product List'!B:B,'Product List'!F:F)</f>
        <v>A</v>
      </c>
      <c r="O18" s="366">
        <f>SUMIFS('Weekly Sales'!R:R,'Weekly Sales'!B:B,A18,'Weekly Sales'!U:U,"HOU")</f>
        <v>0</v>
      </c>
      <c r="P18" s="367">
        <f ca="1" t="shared" si="3"/>
        <v>999</v>
      </c>
      <c r="Q18" s="367">
        <f ca="1" t="shared" si="4"/>
        <v>999</v>
      </c>
      <c r="R18" s="86">
        <f>_xlfn.XLOOKUP(A18,'Product List'!B:B,'Product List'!P:P)</f>
        <v>15</v>
      </c>
      <c r="S18" s="86">
        <f ca="1" t="shared" si="5"/>
        <v>6</v>
      </c>
      <c r="T18" s="366">
        <f ca="1">SUMIFS('Weekly Sales'!T:T,'Weekly Sales'!B:B,A18,'Weekly Sales'!U:U,"HOU")</f>
        <v>0</v>
      </c>
      <c r="U18" s="86">
        <f>_xlfn.XLOOKUP(A18,'Product List'!B:B,'Product List'!O:O)</f>
        <v>500</v>
      </c>
      <c r="V18" s="368">
        <f ca="1" t="shared" si="6"/>
        <v>0</v>
      </c>
      <c r="W18" s="86" cm="1">
        <f ca="1" t="array" ref="W18">_xlfn.XLOOKUP(1,('Case Pack'!A:A=A18)*('Case Pack'!F:F&lt;=TODAY()),'Case Pack'!D:D,"未找到箱规")</f>
        <v>48</v>
      </c>
      <c r="X18" s="86" t="str">
        <f>_xlfn.XLOOKUP(A18,'Product List'!B:B,'Product List'!M:M)</f>
        <v>Petsmart</v>
      </c>
      <c r="Y18" s="86" t="str" cm="1">
        <f ca="1" t="array" ref="Y18">_xlfn.XLOOKUP(1,('Case Pack'!A:A=A18)*('Case Pack'!F:F&lt;=TODAY()),'Case Pack'!G:G,"未找到箱规")</f>
        <v>A</v>
      </c>
      <c r="Z18" s="86">
        <f ca="1" t="shared" si="7"/>
        <v>0</v>
      </c>
      <c r="AA18" s="86">
        <f ca="1">_xlfn.XLOOKUP(Y18,'Case Type'!A:A,'Case Type'!H:H)*Z18</f>
        <v>0</v>
      </c>
    </row>
    <row r="19" spans="1:27">
      <c r="A19" s="94" t="s">
        <v>45</v>
      </c>
      <c r="B19" s="86" t="str">
        <f>_xlfn.XLOOKUP(A19,'Product List'!B:B,'Product List'!I:I)</f>
        <v>MINI &amp; MOE GARDEN DECOR CHEW</v>
      </c>
      <c r="C19" s="86">
        <v>0</v>
      </c>
      <c r="D19" s="86">
        <f>SUMIFS(Purchase!F:F,Purchase!C:C,A19,Purchase!I:I,"&gt;"&amp;$C$1,Purchase!V:V,"&lt;&gt;暂缓发货",Purchase!U:U,"HOU")</f>
        <v>0</v>
      </c>
      <c r="E19" s="86">
        <f>SUMIFS(Purchase!F:F,Purchase!C:C,A19,Purchase!J:J,"&gt;0",Purchase!I:I,"&gt;"&amp;$C$1,Purchase!U:U,"HOU")</f>
        <v>0</v>
      </c>
      <c r="F19" s="86">
        <f>SUMIFS(Sales!E:E,Sales!C:C,A19,Sales!K:K,"&gt;"&amp;$C$1,Sales!I:I,"HOU")</f>
        <v>0</v>
      </c>
      <c r="G19" s="86">
        <f>SUMIFS(Sales!E:E,Sales!C:C,A19,Sales!K:K,"&gt;"&amp;$C$1,Sales!L:L,"&gt;0",Sales!I:I,"HOU")</f>
        <v>0</v>
      </c>
      <c r="H19" s="365">
        <f ca="1">C19+E19-G19+SUMIFS(Transfer!W:W,Transfer!O:O,A19,Transfer!Q:Q,"HOU",Transfer!U:U,"&gt;"&amp;$C$1)-SUMIFS(Transfer!V:V,Transfer!O:O,A19,Transfer!P:P,"HOU",Transfer!T:T,"&gt;"&amp;$C$1)</f>
        <v>0</v>
      </c>
      <c r="I19" s="86">
        <f ca="1">D19-E19+SUMIFS(Transfer!V:V,Transfer!O:O,A19,Transfer!Q:Q,"HOU")-SUMIFS(Transfer!W:W,Transfer!O:O,A19,Transfer!Q:Q,"HOU")</f>
        <v>0</v>
      </c>
      <c r="J19" s="86">
        <f>SUMIFS(Purchase!F:F,Purchase!C:C,A19,Purchase!V:V,"暂缓发货",Purchase!U:U,"HOU")</f>
        <v>0</v>
      </c>
      <c r="K19" s="86">
        <f t="shared" si="0"/>
        <v>0</v>
      </c>
      <c r="L19" s="86">
        <f ca="1" t="shared" si="1"/>
        <v>0</v>
      </c>
      <c r="M19" s="365">
        <f ca="1" t="shared" si="2"/>
        <v>0</v>
      </c>
      <c r="N19" s="86" t="str">
        <f ca="1">_xlfn.XLOOKUP(A19,'Product List'!B:B,'Product List'!F:F)</f>
        <v>A</v>
      </c>
      <c r="O19" s="366">
        <f>SUMIFS('Weekly Sales'!R:R,'Weekly Sales'!B:B,A19,'Weekly Sales'!U:U,"HOU")</f>
        <v>0</v>
      </c>
      <c r="P19" s="367">
        <f ca="1" t="shared" si="3"/>
        <v>999</v>
      </c>
      <c r="Q19" s="367">
        <f ca="1" t="shared" si="4"/>
        <v>999</v>
      </c>
      <c r="R19" s="86">
        <f>_xlfn.XLOOKUP(A19,'Product List'!B:B,'Product List'!P:P)</f>
        <v>10</v>
      </c>
      <c r="S19" s="86">
        <f ca="1" t="shared" si="5"/>
        <v>6</v>
      </c>
      <c r="T19" s="366">
        <f ca="1">SUMIFS('Weekly Sales'!T:T,'Weekly Sales'!B:B,A19,'Weekly Sales'!U:U,"HOU")</f>
        <v>0</v>
      </c>
      <c r="U19" s="86">
        <f>_xlfn.XLOOKUP(A19,'Product List'!B:B,'Product List'!O:O)</f>
        <v>500</v>
      </c>
      <c r="V19" s="368">
        <f ca="1" t="shared" si="6"/>
        <v>0</v>
      </c>
      <c r="W19" s="86" cm="1">
        <f ca="1" t="array" ref="W19">_xlfn.XLOOKUP(1,('Case Pack'!A:A=A19)*('Case Pack'!F:F&lt;=TODAY()),'Case Pack'!D:D,"未找到箱规")</f>
        <v>45</v>
      </c>
      <c r="X19" s="86" t="str">
        <f>_xlfn.XLOOKUP(A19,'Product List'!B:B,'Product List'!M:M)</f>
        <v>Petsmart</v>
      </c>
      <c r="Y19" s="86" t="str" cm="1">
        <f ca="1" t="array" ref="Y19">_xlfn.XLOOKUP(1,('Case Pack'!A:A=A19)*('Case Pack'!F:F&lt;=TODAY()),'Case Pack'!G:G,"未找到箱规")</f>
        <v>B</v>
      </c>
      <c r="Z19" s="86">
        <f ca="1" t="shared" si="7"/>
        <v>0</v>
      </c>
      <c r="AA19" s="86">
        <f ca="1">_xlfn.XLOOKUP(Y19,'Case Type'!A:A,'Case Type'!H:H)*Z19</f>
        <v>0</v>
      </c>
    </row>
    <row r="20" spans="1:27">
      <c r="A20" s="94" t="s">
        <v>46</v>
      </c>
      <c r="B20" s="86" t="str">
        <f>_xlfn.XLOOKUP(A20,'Product List'!B:B,'Product List'!I:I)</f>
        <v>Mushroom Spiral Staircase</v>
      </c>
      <c r="C20" s="86">
        <v>0</v>
      </c>
      <c r="D20" s="86">
        <f>SUMIFS(Purchase!F:F,Purchase!C:C,A20,Purchase!I:I,"&gt;"&amp;$C$1,Purchase!V:V,"&lt;&gt;暂缓发货",Purchase!U:U,"HOU")</f>
        <v>0</v>
      </c>
      <c r="E20" s="86">
        <f>SUMIFS(Purchase!F:F,Purchase!C:C,A20,Purchase!J:J,"&gt;0",Purchase!I:I,"&gt;"&amp;$C$1,Purchase!U:U,"HOU")</f>
        <v>0</v>
      </c>
      <c r="F20" s="86">
        <f>SUMIFS(Sales!E:E,Sales!C:C,A20,Sales!K:K,"&gt;"&amp;$C$1,Sales!I:I,"HOU")</f>
        <v>0</v>
      </c>
      <c r="G20" s="86">
        <f>SUMIFS(Sales!E:E,Sales!C:C,A20,Sales!K:K,"&gt;"&amp;$C$1,Sales!L:L,"&gt;0",Sales!I:I,"HOU")</f>
        <v>0</v>
      </c>
      <c r="H20" s="365">
        <f ca="1">C20+E20-G20+SUMIFS(Transfer!W:W,Transfer!O:O,A20,Transfer!Q:Q,"HOU",Transfer!U:U,"&gt;"&amp;$C$1)-SUMIFS(Transfer!V:V,Transfer!O:O,A20,Transfer!P:P,"HOU",Transfer!T:T,"&gt;"&amp;$C$1)</f>
        <v>0</v>
      </c>
      <c r="I20" s="86">
        <f ca="1">D20-E20+SUMIFS(Transfer!V:V,Transfer!O:O,A20,Transfer!Q:Q,"HOU")-SUMIFS(Transfer!W:W,Transfer!O:O,A20,Transfer!Q:Q,"HOU")</f>
        <v>0</v>
      </c>
      <c r="J20" s="86">
        <f>SUMIFS(Purchase!F:F,Purchase!C:C,A20,Purchase!V:V,"暂缓发货",Purchase!U:U,"HOU")</f>
        <v>0</v>
      </c>
      <c r="K20" s="86">
        <f t="shared" si="0"/>
        <v>0</v>
      </c>
      <c r="L20" s="86">
        <f ca="1" t="shared" si="1"/>
        <v>0</v>
      </c>
      <c r="M20" s="365">
        <f ca="1" t="shared" si="2"/>
        <v>0</v>
      </c>
      <c r="N20" s="86" t="str">
        <f ca="1">_xlfn.XLOOKUP(A20,'Product List'!B:B,'Product List'!F:F)</f>
        <v>C</v>
      </c>
      <c r="O20" s="366">
        <f>SUMIFS('Weekly Sales'!R:R,'Weekly Sales'!B:B,A20,'Weekly Sales'!U:U,"HOU")</f>
        <v>3.66666666666667</v>
      </c>
      <c r="P20" s="367">
        <f ca="1" t="shared" si="3"/>
        <v>0</v>
      </c>
      <c r="Q20" s="367">
        <f ca="1" t="shared" si="4"/>
        <v>0</v>
      </c>
      <c r="R20" s="86">
        <f>_xlfn.XLOOKUP(A20,'Product List'!B:B,'Product List'!P:P)</f>
        <v>15</v>
      </c>
      <c r="S20" s="86">
        <f ca="1" t="shared" si="5"/>
        <v>2</v>
      </c>
      <c r="T20" s="366">
        <f ca="1">SUMIFS('Weekly Sales'!T:T,'Weekly Sales'!B:B,A20,'Weekly Sales'!U:U,"HOU")</f>
        <v>0</v>
      </c>
      <c r="U20" s="86">
        <f>_xlfn.XLOOKUP(A20,'Product List'!B:B,'Product List'!O:O)</f>
        <v>500</v>
      </c>
      <c r="V20" s="368">
        <f ca="1" t="shared" si="6"/>
        <v>72</v>
      </c>
      <c r="W20" s="86" cm="1">
        <f ca="1" t="array" ref="W20">_xlfn.XLOOKUP(1,('Case Pack'!A:A=A20)*('Case Pack'!F:F&lt;=TODAY()),'Case Pack'!D:D,"未找到箱规")</f>
        <v>72</v>
      </c>
      <c r="X20" s="86" t="str">
        <f>_xlfn.XLOOKUP(A20,'Product List'!B:B,'Product List'!M:M)</f>
        <v>Pet Supermarket,PSP</v>
      </c>
      <c r="Y20" s="86" t="str" cm="1">
        <f ca="1" t="array" ref="Y20">_xlfn.XLOOKUP(1,('Case Pack'!A:A=A20)*('Case Pack'!F:F&lt;=TODAY()),'Case Pack'!G:G,"未找到箱规")</f>
        <v>B</v>
      </c>
      <c r="Z20" s="86">
        <f ca="1" t="shared" si="7"/>
        <v>1</v>
      </c>
      <c r="AA20" s="86">
        <f ca="1">_xlfn.XLOOKUP(Y20,'Case Type'!A:A,'Case Type'!H:H)*Z20</f>
        <v>0.07341404672</v>
      </c>
    </row>
    <row r="21" spans="1:27">
      <c r="A21" s="94" t="s">
        <v>47</v>
      </c>
      <c r="B21" s="86" t="str">
        <f>_xlfn.XLOOKUP(A21,'Product List'!B:B,'Product List'!I:I)</f>
        <v>MINI &amp; MOE TREE DECOR CHEW</v>
      </c>
      <c r="C21" s="86">
        <v>0</v>
      </c>
      <c r="D21" s="86">
        <f>SUMIFS(Purchase!F:F,Purchase!C:C,A21,Purchase!I:I,"&gt;"&amp;$C$1,Purchase!V:V,"&lt;&gt;暂缓发货",Purchase!U:U,"HOU")</f>
        <v>0</v>
      </c>
      <c r="E21" s="86">
        <f>SUMIFS(Purchase!F:F,Purchase!C:C,A21,Purchase!J:J,"&gt;0",Purchase!I:I,"&gt;"&amp;$C$1,Purchase!U:U,"HOU")</f>
        <v>0</v>
      </c>
      <c r="F21" s="86">
        <f>SUMIFS(Sales!E:E,Sales!C:C,A21,Sales!K:K,"&gt;"&amp;$C$1,Sales!I:I,"HOU")</f>
        <v>0</v>
      </c>
      <c r="G21" s="86">
        <f>SUMIFS(Sales!E:E,Sales!C:C,A21,Sales!K:K,"&gt;"&amp;$C$1,Sales!L:L,"&gt;0",Sales!I:I,"HOU")</f>
        <v>0</v>
      </c>
      <c r="H21" s="365">
        <f ca="1">C21+E21-G21+SUMIFS(Transfer!W:W,Transfer!O:O,A21,Transfer!Q:Q,"HOU",Transfer!U:U,"&gt;"&amp;$C$1)-SUMIFS(Transfer!V:V,Transfer!O:O,A21,Transfer!P:P,"HOU",Transfer!T:T,"&gt;"&amp;$C$1)</f>
        <v>0</v>
      </c>
      <c r="I21" s="86">
        <f ca="1">D21-E21+SUMIFS(Transfer!V:V,Transfer!O:O,A21,Transfer!Q:Q,"HOU")-SUMIFS(Transfer!W:W,Transfer!O:O,A21,Transfer!Q:Q,"HOU")</f>
        <v>0</v>
      </c>
      <c r="J21" s="86">
        <f>SUMIFS(Purchase!F:F,Purchase!C:C,A21,Purchase!V:V,"暂缓发货",Purchase!U:U,"HOU")</f>
        <v>0</v>
      </c>
      <c r="K21" s="86">
        <f t="shared" si="0"/>
        <v>0</v>
      </c>
      <c r="L21" s="86">
        <f ca="1" t="shared" si="1"/>
        <v>0</v>
      </c>
      <c r="M21" s="365">
        <f ca="1" t="shared" si="2"/>
        <v>0</v>
      </c>
      <c r="N21" s="86" t="str">
        <f ca="1">_xlfn.XLOOKUP(A21,'Product List'!B:B,'Product List'!F:F)</f>
        <v>A</v>
      </c>
      <c r="O21" s="366">
        <f>SUMIFS('Weekly Sales'!R:R,'Weekly Sales'!B:B,A21,'Weekly Sales'!U:U,"HOU")</f>
        <v>0</v>
      </c>
      <c r="P21" s="367">
        <f ca="1" t="shared" si="3"/>
        <v>999</v>
      </c>
      <c r="Q21" s="367">
        <f ca="1" t="shared" si="4"/>
        <v>999</v>
      </c>
      <c r="R21" s="86">
        <f>_xlfn.XLOOKUP(A21,'Product List'!B:B,'Product List'!P:P)</f>
        <v>10</v>
      </c>
      <c r="S21" s="86">
        <f ca="1" t="shared" si="5"/>
        <v>6</v>
      </c>
      <c r="T21" s="366">
        <f ca="1">SUMIFS('Weekly Sales'!T:T,'Weekly Sales'!B:B,A21,'Weekly Sales'!U:U,"HOU")</f>
        <v>0</v>
      </c>
      <c r="U21" s="86">
        <f>_xlfn.XLOOKUP(A21,'Product List'!B:B,'Product List'!O:O)</f>
        <v>500</v>
      </c>
      <c r="V21" s="368">
        <f ca="1" t="shared" si="6"/>
        <v>0</v>
      </c>
      <c r="W21" s="86" cm="1">
        <f ca="1" t="array" ref="W21">_xlfn.XLOOKUP(1,('Case Pack'!A:A=A21)*('Case Pack'!F:F&lt;=TODAY()),'Case Pack'!D:D,"未找到箱规")</f>
        <v>28</v>
      </c>
      <c r="X21" s="86" t="str">
        <f>_xlfn.XLOOKUP(A21,'Product List'!B:B,'Product List'!M:M)</f>
        <v>Petsmart</v>
      </c>
      <c r="Y21" s="86" t="str" cm="1">
        <f ca="1" t="array" ref="Y21">_xlfn.XLOOKUP(1,('Case Pack'!A:A=A21)*('Case Pack'!F:F&lt;=TODAY()),'Case Pack'!G:G,"未找到箱规")</f>
        <v>B</v>
      </c>
      <c r="Z21" s="86">
        <f ca="1" t="shared" si="7"/>
        <v>0</v>
      </c>
      <c r="AA21" s="86">
        <f ca="1">_xlfn.XLOOKUP(Y21,'Case Type'!A:A,'Case Type'!H:H)*Z21</f>
        <v>0</v>
      </c>
    </row>
    <row r="22" spans="1:27">
      <c r="A22" s="94" t="s">
        <v>48</v>
      </c>
      <c r="B22" s="86" t="str">
        <f>_xlfn.XLOOKUP(A22,'Product List'!B:B,'Product List'!I:I)</f>
        <v>Swinging Swing Hamster Toy</v>
      </c>
      <c r="C22" s="86">
        <v>0</v>
      </c>
      <c r="D22" s="86">
        <f>SUMIFS(Purchase!F:F,Purchase!C:C,A22,Purchase!I:I,"&gt;"&amp;$C$1,Purchase!V:V,"&lt;&gt;暂缓发货",Purchase!U:U,"HOU")</f>
        <v>0</v>
      </c>
      <c r="E22" s="86">
        <f>SUMIFS(Purchase!F:F,Purchase!C:C,A22,Purchase!J:J,"&gt;0",Purchase!I:I,"&gt;"&amp;$C$1,Purchase!U:U,"HOU")</f>
        <v>0</v>
      </c>
      <c r="F22" s="86">
        <f>SUMIFS(Sales!E:E,Sales!C:C,A22,Sales!K:K,"&gt;"&amp;$C$1,Sales!I:I,"HOU")</f>
        <v>0</v>
      </c>
      <c r="G22" s="86">
        <f>SUMIFS(Sales!E:E,Sales!C:C,A22,Sales!K:K,"&gt;"&amp;$C$1,Sales!L:L,"&gt;0",Sales!I:I,"HOU")</f>
        <v>0</v>
      </c>
      <c r="H22" s="365">
        <f ca="1">C22+E22-G22+SUMIFS(Transfer!W:W,Transfer!O:O,A22,Transfer!Q:Q,"HOU",Transfer!U:U,"&gt;"&amp;$C$1)-SUMIFS(Transfer!V:V,Transfer!O:O,A22,Transfer!P:P,"HOU",Transfer!T:T,"&gt;"&amp;$C$1)</f>
        <v>0</v>
      </c>
      <c r="I22" s="86">
        <f ca="1">D22-E22+SUMIFS(Transfer!V:V,Transfer!O:O,A22,Transfer!Q:Q,"HOU")-SUMIFS(Transfer!W:W,Transfer!O:O,A22,Transfer!Q:Q,"HOU")</f>
        <v>0</v>
      </c>
      <c r="J22" s="86">
        <f>SUMIFS(Purchase!F:F,Purchase!C:C,A22,Purchase!V:V,"暂缓发货",Purchase!U:U,"HOU")</f>
        <v>0</v>
      </c>
      <c r="K22" s="86">
        <f t="shared" si="0"/>
        <v>0</v>
      </c>
      <c r="L22" s="86">
        <f ca="1" t="shared" si="1"/>
        <v>0</v>
      </c>
      <c r="M22" s="365">
        <f ca="1" t="shared" si="2"/>
        <v>0</v>
      </c>
      <c r="N22" s="86" t="str">
        <f ca="1">_xlfn.XLOOKUP(A22,'Product List'!B:B,'Product List'!F:F)</f>
        <v>C</v>
      </c>
      <c r="O22" s="366">
        <f>SUMIFS('Weekly Sales'!R:R,'Weekly Sales'!B:B,A22,'Weekly Sales'!U:U,"HOU")</f>
        <v>0</v>
      </c>
      <c r="P22" s="367">
        <f ca="1" t="shared" si="3"/>
        <v>999</v>
      </c>
      <c r="Q22" s="367">
        <f ca="1" t="shared" si="4"/>
        <v>999</v>
      </c>
      <c r="R22" s="86">
        <f>_xlfn.XLOOKUP(A22,'Product List'!B:B,'Product List'!P:P)</f>
        <v>15</v>
      </c>
      <c r="S22" s="86">
        <f ca="1" t="shared" si="5"/>
        <v>2</v>
      </c>
      <c r="T22" s="366">
        <f ca="1">SUMIFS('Weekly Sales'!T:T,'Weekly Sales'!B:B,A22,'Weekly Sales'!U:U,"HOU")</f>
        <v>0</v>
      </c>
      <c r="U22" s="86">
        <f>_xlfn.XLOOKUP(A22,'Product List'!B:B,'Product List'!O:O)</f>
        <v>500</v>
      </c>
      <c r="V22" s="368">
        <f ca="1" t="shared" si="6"/>
        <v>0</v>
      </c>
      <c r="W22" s="86" cm="1">
        <f ca="1" t="array" ref="W22">_xlfn.XLOOKUP(1,('Case Pack'!A:A=A22)*('Case Pack'!F:F&lt;=TODAY()),'Case Pack'!D:D,"未找到箱规")</f>
        <v>48</v>
      </c>
      <c r="X22" s="86" t="str">
        <f>_xlfn.XLOOKUP(A22,'Product List'!B:B,'Product List'!M:M)</f>
        <v>Pet Supermarket</v>
      </c>
      <c r="Y22" s="86" t="str" cm="1">
        <f ca="1" t="array" ref="Y22">_xlfn.XLOOKUP(1,('Case Pack'!A:A=A22)*('Case Pack'!F:F&lt;=TODAY()),'Case Pack'!G:G,"未找到箱规")</f>
        <v>B</v>
      </c>
      <c r="Z22" s="86">
        <f ca="1" t="shared" si="7"/>
        <v>0</v>
      </c>
      <c r="AA22" s="86">
        <f ca="1">_xlfn.XLOOKUP(Y22,'Case Type'!A:A,'Case Type'!H:H)*Z22</f>
        <v>0</v>
      </c>
    </row>
    <row r="23" spans="1:27">
      <c r="A23" s="86" t="s">
        <v>49</v>
      </c>
      <c r="B23" s="86" t="str">
        <f>_xlfn.XLOOKUP(A23,'Product List'!B:B,'Product List'!I:I)</f>
        <v>MINI/MOE IVY BURROWING BOX</v>
      </c>
      <c r="C23" s="86">
        <v>0</v>
      </c>
      <c r="D23" s="86">
        <f>SUMIFS(Purchase!F:F,Purchase!C:C,A23,Purchase!I:I,"&gt;"&amp;$C$1,Purchase!V:V,"&lt;&gt;暂缓发货",Purchase!U:U,"HOU")</f>
        <v>0</v>
      </c>
      <c r="E23" s="86">
        <f>SUMIFS(Purchase!F:F,Purchase!C:C,A23,Purchase!J:J,"&gt;0",Purchase!I:I,"&gt;"&amp;$C$1,Purchase!U:U,"HOU")</f>
        <v>0</v>
      </c>
      <c r="F23" s="86">
        <f>SUMIFS(Sales!E:E,Sales!C:C,A23,Sales!K:K,"&gt;"&amp;$C$1,Sales!I:I,"HOU")</f>
        <v>0</v>
      </c>
      <c r="G23" s="86">
        <f>SUMIFS(Sales!E:E,Sales!C:C,A23,Sales!K:K,"&gt;"&amp;$C$1,Sales!L:L,"&gt;0",Sales!I:I,"HOU")</f>
        <v>0</v>
      </c>
      <c r="H23" s="365">
        <f ca="1">C23+E23-G23+SUMIFS(Transfer!W:W,Transfer!O:O,A23,Transfer!Q:Q,"HOU",Transfer!U:U,"&gt;"&amp;$C$1)-SUMIFS(Transfer!V:V,Transfer!O:O,A23,Transfer!P:P,"HOU",Transfer!T:T,"&gt;"&amp;$C$1)</f>
        <v>0</v>
      </c>
      <c r="I23" s="86">
        <f ca="1">D23-E23+SUMIFS(Transfer!V:V,Transfer!O:O,A23,Transfer!Q:Q,"HOU")-SUMIFS(Transfer!W:W,Transfer!O:O,A23,Transfer!Q:Q,"HOU")</f>
        <v>0</v>
      </c>
      <c r="J23" s="86">
        <f>SUMIFS(Purchase!F:F,Purchase!C:C,A23,Purchase!V:V,"暂缓发货",Purchase!U:U,"HOU")</f>
        <v>0</v>
      </c>
      <c r="K23" s="86">
        <f t="shared" si="0"/>
        <v>0</v>
      </c>
      <c r="L23" s="86">
        <f ca="1" t="shared" si="1"/>
        <v>0</v>
      </c>
      <c r="M23" s="365">
        <f ca="1" t="shared" si="2"/>
        <v>0</v>
      </c>
      <c r="N23" s="86" t="str">
        <f ca="1">_xlfn.XLOOKUP(A23,'Product List'!B:B,'Product List'!F:F)</f>
        <v>B</v>
      </c>
      <c r="O23" s="366">
        <f>SUMIFS('Weekly Sales'!R:R,'Weekly Sales'!B:B,A23,'Weekly Sales'!U:U,"HOU")</f>
        <v>3.16666666666667</v>
      </c>
      <c r="P23" s="367">
        <f ca="1" t="shared" si="3"/>
        <v>0</v>
      </c>
      <c r="Q23" s="367">
        <f ca="1" t="shared" si="4"/>
        <v>0</v>
      </c>
      <c r="R23" s="86">
        <f>_xlfn.XLOOKUP(A23,'Product List'!B:B,'Product List'!P:P)</f>
        <v>15</v>
      </c>
      <c r="S23" s="86">
        <f ca="1" t="shared" si="5"/>
        <v>5</v>
      </c>
      <c r="T23" s="366">
        <f ca="1">SUMIFS('Weekly Sales'!T:T,'Weekly Sales'!B:B,A23,'Weekly Sales'!U:U,"HOU")</f>
        <v>16.625</v>
      </c>
      <c r="U23" s="86">
        <f>_xlfn.XLOOKUP(A23,'Product List'!B:B,'Product List'!O:O)</f>
        <v>500</v>
      </c>
      <c r="V23" s="368">
        <f ca="1" t="shared" si="6"/>
        <v>88</v>
      </c>
      <c r="W23" s="86" cm="1">
        <f ca="1" t="array" ref="W23">_xlfn.XLOOKUP(1,('Case Pack'!A:A=A23)*('Case Pack'!F:F&lt;=TODAY()),'Case Pack'!D:D,"未找到箱规")</f>
        <v>4</v>
      </c>
      <c r="X23" s="86" t="str">
        <f>_xlfn.XLOOKUP(A23,'Product List'!B:B,'Product List'!M:M)</f>
        <v>PSP</v>
      </c>
      <c r="Y23" s="86" t="str" cm="1">
        <f ca="1" t="array" ref="Y23">_xlfn.XLOOKUP(1,('Case Pack'!A:A=A23)*('Case Pack'!F:F&lt;=TODAY()),'Case Pack'!G:G,"未找到箱规")</f>
        <v>D</v>
      </c>
      <c r="Z23" s="86">
        <f ca="1" t="shared" si="7"/>
        <v>22</v>
      </c>
      <c r="AA23" s="86">
        <f ca="1">_xlfn.XLOOKUP(Y23,'Case Type'!A:A,'Case Type'!H:H)*Z23</f>
        <v>1.9382670912</v>
      </c>
    </row>
    <row r="24" spans="1:27">
      <c r="A24" s="86" t="s">
        <v>50</v>
      </c>
      <c r="B24" s="86" t="str">
        <f>_xlfn.XLOOKUP(A24,'Product List'!B:B,'Product List'!I:I)</f>
        <v>MINI/MOE TV VIEWING CAGE</v>
      </c>
      <c r="C24" s="86">
        <v>0</v>
      </c>
      <c r="D24" s="86">
        <f>SUMIFS(Purchase!F:F,Purchase!C:C,A24,Purchase!I:I,"&gt;"&amp;$C$1,Purchase!V:V,"&lt;&gt;暂缓发货",Purchase!U:U,"HOU")</f>
        <v>0</v>
      </c>
      <c r="E24" s="86">
        <f>SUMIFS(Purchase!F:F,Purchase!C:C,A24,Purchase!J:J,"&gt;0",Purchase!I:I,"&gt;"&amp;$C$1,Purchase!U:U,"HOU")</f>
        <v>0</v>
      </c>
      <c r="F24" s="86">
        <f>SUMIFS(Sales!E:E,Sales!C:C,A24,Sales!K:K,"&gt;"&amp;$C$1,Sales!I:I,"HOU")</f>
        <v>0</v>
      </c>
      <c r="G24" s="86">
        <f>SUMIFS(Sales!E:E,Sales!C:C,A24,Sales!K:K,"&gt;"&amp;$C$1,Sales!L:L,"&gt;0",Sales!I:I,"HOU")</f>
        <v>0</v>
      </c>
      <c r="H24" s="365">
        <f ca="1">C24+E24-G24+SUMIFS(Transfer!W:W,Transfer!O:O,A24,Transfer!Q:Q,"HOU",Transfer!U:U,"&gt;"&amp;$C$1)-SUMIFS(Transfer!V:V,Transfer!O:O,A24,Transfer!P:P,"HOU",Transfer!T:T,"&gt;"&amp;$C$1)</f>
        <v>0</v>
      </c>
      <c r="I24" s="86">
        <f ca="1">D24-E24+SUMIFS(Transfer!V:V,Transfer!O:O,A24,Transfer!Q:Q,"HOU")-SUMIFS(Transfer!W:W,Transfer!O:O,A24,Transfer!Q:Q,"HOU")</f>
        <v>0</v>
      </c>
      <c r="J24" s="86">
        <f>SUMIFS(Purchase!F:F,Purchase!C:C,A24,Purchase!V:V,"暂缓发货",Purchase!U:U,"HOU")</f>
        <v>0</v>
      </c>
      <c r="K24" s="86">
        <f t="shared" si="0"/>
        <v>0</v>
      </c>
      <c r="L24" s="86">
        <f ca="1" t="shared" si="1"/>
        <v>0</v>
      </c>
      <c r="M24" s="365">
        <f ca="1" t="shared" si="2"/>
        <v>0</v>
      </c>
      <c r="N24" s="86" t="str">
        <f ca="1">_xlfn.XLOOKUP(A24,'Product List'!B:B,'Product List'!F:F)</f>
        <v>A</v>
      </c>
      <c r="O24" s="366">
        <f>SUMIFS('Weekly Sales'!R:R,'Weekly Sales'!B:B,A24,'Weekly Sales'!U:U,"HOU")</f>
        <v>14.3333333333333</v>
      </c>
      <c r="P24" s="367">
        <f ca="1" t="shared" si="3"/>
        <v>0</v>
      </c>
      <c r="Q24" s="367">
        <f ca="1" t="shared" si="4"/>
        <v>0</v>
      </c>
      <c r="R24" s="86">
        <f>_xlfn.XLOOKUP(A24,'Product List'!B:B,'Product List'!P:P)</f>
        <v>10</v>
      </c>
      <c r="S24" s="86">
        <f ca="1" t="shared" si="5"/>
        <v>6</v>
      </c>
      <c r="T24" s="366">
        <f ca="1">SUMIFS('Weekly Sales'!T:T,'Weekly Sales'!B:B,A24,'Weekly Sales'!U:U,"HOU")</f>
        <v>150.5</v>
      </c>
      <c r="U24" s="86">
        <f>_xlfn.XLOOKUP(A24,'Product List'!B:B,'Product List'!O:O)</f>
        <v>1000</v>
      </c>
      <c r="V24" s="368">
        <f ca="1" t="shared" si="6"/>
        <v>409</v>
      </c>
      <c r="W24" s="86" cm="1">
        <f ca="1" t="array" ref="W24">_xlfn.XLOOKUP(1,('Case Pack'!A:A=A24)*('Case Pack'!F:F&lt;=TODAY()),'Case Pack'!D:D,"未找到箱规")</f>
        <v>1</v>
      </c>
      <c r="X24" s="86" t="str">
        <f>_xlfn.XLOOKUP(A24,'Product List'!B:B,'Product List'!M:M)</f>
        <v>PSP, Petco, Petsmart, Pet Supermarket, PetcoMX，Canada</v>
      </c>
      <c r="Y24" s="86" t="str" cm="1">
        <f ca="1" t="array" ref="Y24">_xlfn.XLOOKUP(1,('Case Pack'!A:A=A24)*('Case Pack'!F:F&lt;=TODAY()),'Case Pack'!G:G,"未找到箱规")</f>
        <v>S1</v>
      </c>
      <c r="Z24" s="86">
        <f ca="1" t="shared" si="7"/>
        <v>409</v>
      </c>
      <c r="AA24" s="86">
        <f ca="1">_xlfn.XLOOKUP(Y24,'Case Type'!A:A,'Case Type'!H:H)*Z24</f>
        <v>30.266930331441</v>
      </c>
    </row>
    <row r="25" spans="1:27">
      <c r="A25" s="86" t="s">
        <v>51</v>
      </c>
      <c r="B25" s="86" t="str">
        <f>_xlfn.XLOOKUP(A25,'Product List'!B:B,'Product List'!I:I)</f>
        <v>MINI/MOE MINI TV TUNNEL CAGE 1EA</v>
      </c>
      <c r="C25" s="86">
        <v>0</v>
      </c>
      <c r="D25" s="86">
        <f>SUMIFS(Purchase!F:F,Purchase!C:C,A25,Purchase!I:I,"&gt;"&amp;$C$1,Purchase!V:V,"&lt;&gt;暂缓发货",Purchase!U:U,"HOU")</f>
        <v>0</v>
      </c>
      <c r="E25" s="86">
        <f>SUMIFS(Purchase!F:F,Purchase!C:C,A25,Purchase!J:J,"&gt;0",Purchase!I:I,"&gt;"&amp;$C$1,Purchase!U:U,"HOU")</f>
        <v>0</v>
      </c>
      <c r="F25" s="86">
        <f>SUMIFS(Sales!E:E,Sales!C:C,A25,Sales!K:K,"&gt;"&amp;$C$1,Sales!I:I,"HOU")</f>
        <v>0</v>
      </c>
      <c r="G25" s="86">
        <f>SUMIFS(Sales!E:E,Sales!C:C,A25,Sales!K:K,"&gt;"&amp;$C$1,Sales!L:L,"&gt;0",Sales!I:I,"HOU")</f>
        <v>0</v>
      </c>
      <c r="H25" s="365">
        <f ca="1">C25+E25-G25+SUMIFS(Transfer!W:W,Transfer!O:O,A25,Transfer!Q:Q,"HOU",Transfer!U:U,"&gt;"&amp;$C$1)-SUMIFS(Transfer!V:V,Transfer!O:O,A25,Transfer!P:P,"HOU",Transfer!T:T,"&gt;"&amp;$C$1)</f>
        <v>0</v>
      </c>
      <c r="I25" s="86">
        <f ca="1">D25-E25+SUMIFS(Transfer!V:V,Transfer!O:O,A25,Transfer!Q:Q,"HOU")-SUMIFS(Transfer!W:W,Transfer!O:O,A25,Transfer!Q:Q,"HOU")</f>
        <v>0</v>
      </c>
      <c r="J25" s="86">
        <f>SUMIFS(Purchase!F:F,Purchase!C:C,A25,Purchase!V:V,"暂缓发货",Purchase!U:U,"HOU")</f>
        <v>0</v>
      </c>
      <c r="K25" s="86">
        <f t="shared" si="0"/>
        <v>0</v>
      </c>
      <c r="L25" s="86">
        <f ca="1" t="shared" si="1"/>
        <v>0</v>
      </c>
      <c r="M25" s="365">
        <f ca="1" t="shared" si="2"/>
        <v>0</v>
      </c>
      <c r="N25" s="86" t="str">
        <f ca="1">_xlfn.XLOOKUP(A25,'Product List'!B:B,'Product List'!F:F)</f>
        <v>A</v>
      </c>
      <c r="O25" s="366">
        <f>SUMIFS('Weekly Sales'!R:R,'Weekly Sales'!B:B,A25,'Weekly Sales'!U:U,"HOU")</f>
        <v>0.666666666666667</v>
      </c>
      <c r="P25" s="367">
        <f ca="1" t="shared" si="3"/>
        <v>0</v>
      </c>
      <c r="Q25" s="367">
        <f ca="1" t="shared" si="4"/>
        <v>0</v>
      </c>
      <c r="R25" s="86">
        <f>_xlfn.XLOOKUP(A25,'Product List'!B:B,'Product List'!P:P)</f>
        <v>10</v>
      </c>
      <c r="S25" s="86">
        <f ca="1" t="shared" si="5"/>
        <v>6</v>
      </c>
      <c r="T25" s="366">
        <f ca="1">SUMIFS('Weekly Sales'!T:T,'Weekly Sales'!B:B,A25,'Weekly Sales'!U:U,"HOU")</f>
        <v>7</v>
      </c>
      <c r="U25" s="86">
        <f>_xlfn.XLOOKUP(A25,'Product List'!B:B,'Product List'!O:O)</f>
        <v>1000</v>
      </c>
      <c r="V25" s="368">
        <f ca="1" t="shared" si="6"/>
        <v>19</v>
      </c>
      <c r="W25" s="86" cm="1">
        <f ca="1" t="array" ref="W25">_xlfn.XLOOKUP(1,('Case Pack'!A:A=A25)*('Case Pack'!F:F&lt;=TODAY()),'Case Pack'!D:D,"未找到箱规")</f>
        <v>1</v>
      </c>
      <c r="X25" s="86" t="str">
        <f>_xlfn.XLOOKUP(A25,'Product List'!B:B,'Product List'!M:M)</f>
        <v>PSP</v>
      </c>
      <c r="Y25" s="86" t="str" cm="1">
        <f ca="1" t="array" ref="Y25">_xlfn.XLOOKUP(1,('Case Pack'!A:A=A25)*('Case Pack'!F:F&lt;=TODAY()),'Case Pack'!G:G,"未找到箱规")</f>
        <v>S2</v>
      </c>
      <c r="Z25" s="86">
        <f ca="1" t="shared" si="7"/>
        <v>19</v>
      </c>
      <c r="AA25" s="86">
        <f ca="1">_xlfn.XLOOKUP(Y25,'Case Type'!A:A,'Case Type'!H:H)*Z25</f>
        <v>0.6758775</v>
      </c>
    </row>
    <row r="26" spans="1:27">
      <c r="A26" s="86" t="s">
        <v>52</v>
      </c>
      <c r="B26" s="86" t="str">
        <f>_xlfn.XLOOKUP(A26,'Product List'!B:B,'Product List'!I:I)</f>
        <v>MINI/MOE TULIP WATER BOTTLE</v>
      </c>
      <c r="C26" s="86">
        <v>0</v>
      </c>
      <c r="D26" s="86">
        <f>SUMIFS(Purchase!F:F,Purchase!C:C,A26,Purchase!I:I,"&gt;"&amp;$C$1,Purchase!V:V,"&lt;&gt;暂缓发货",Purchase!U:U,"HOU")</f>
        <v>0</v>
      </c>
      <c r="E26" s="86">
        <f>SUMIFS(Purchase!F:F,Purchase!C:C,A26,Purchase!J:J,"&gt;0",Purchase!I:I,"&gt;"&amp;$C$1,Purchase!U:U,"HOU")</f>
        <v>0</v>
      </c>
      <c r="F26" s="86">
        <f>SUMIFS(Sales!E:E,Sales!C:C,A26,Sales!K:K,"&gt;"&amp;$C$1,Sales!I:I,"HOU")</f>
        <v>0</v>
      </c>
      <c r="G26" s="86">
        <f>SUMIFS(Sales!E:E,Sales!C:C,A26,Sales!K:K,"&gt;"&amp;$C$1,Sales!L:L,"&gt;0",Sales!I:I,"HOU")</f>
        <v>0</v>
      </c>
      <c r="H26" s="365">
        <f ca="1">C26+E26-G26+SUMIFS(Transfer!W:W,Transfer!O:O,A26,Transfer!Q:Q,"HOU",Transfer!U:U,"&gt;"&amp;$C$1)-SUMIFS(Transfer!V:V,Transfer!O:O,A26,Transfer!P:P,"HOU",Transfer!T:T,"&gt;"&amp;$C$1)</f>
        <v>0</v>
      </c>
      <c r="I26" s="86">
        <f ca="1">D26-E26+SUMIFS(Transfer!V:V,Transfer!O:O,A26,Transfer!Q:Q,"HOU")-SUMIFS(Transfer!W:W,Transfer!O:O,A26,Transfer!Q:Q,"HOU")</f>
        <v>0</v>
      </c>
      <c r="J26" s="86">
        <f>SUMIFS(Purchase!F:F,Purchase!C:C,A26,Purchase!V:V,"暂缓发货",Purchase!U:U,"HOU")</f>
        <v>0</v>
      </c>
      <c r="K26" s="86">
        <f t="shared" si="0"/>
        <v>0</v>
      </c>
      <c r="L26" s="86">
        <f ca="1" t="shared" si="1"/>
        <v>0</v>
      </c>
      <c r="M26" s="365">
        <f ca="1" t="shared" si="2"/>
        <v>0</v>
      </c>
      <c r="N26" s="86" t="str">
        <f ca="1">_xlfn.XLOOKUP(A26,'Product List'!B:B,'Product List'!F:F)</f>
        <v>C</v>
      </c>
      <c r="O26" s="366">
        <f>SUMIFS('Weekly Sales'!R:R,'Weekly Sales'!B:B,A26,'Weekly Sales'!U:U,"HOU")</f>
        <v>53.6666666666667</v>
      </c>
      <c r="P26" s="367">
        <f ca="1" t="shared" si="3"/>
        <v>0</v>
      </c>
      <c r="Q26" s="367">
        <f ca="1" t="shared" si="4"/>
        <v>0</v>
      </c>
      <c r="R26" s="86">
        <f>_xlfn.XLOOKUP(A26,'Product List'!B:B,'Product List'!P:P)</f>
        <v>10</v>
      </c>
      <c r="S26" s="86">
        <f ca="1" t="shared" si="5"/>
        <v>2</v>
      </c>
      <c r="T26" s="366">
        <f ca="1">SUMIFS('Weekly Sales'!T:T,'Weekly Sales'!B:B,A26,'Weekly Sales'!U:U,"HOU")</f>
        <v>0</v>
      </c>
      <c r="U26" s="86">
        <f>_xlfn.XLOOKUP(A26,'Product List'!B:B,'Product List'!O:O)</f>
        <v>1000</v>
      </c>
      <c r="V26" s="368">
        <f ca="1" t="shared" si="6"/>
        <v>780</v>
      </c>
      <c r="W26" s="86" cm="1">
        <f ca="1" t="array" ref="W26">_xlfn.XLOOKUP(1,('Case Pack'!A:A=A26)*('Case Pack'!F:F&lt;=TODAY()),'Case Pack'!D:D,"未找到箱规")</f>
        <v>60</v>
      </c>
      <c r="X26" s="86" t="str">
        <f>_xlfn.XLOOKUP(A26,'Product List'!B:B,'Product List'!M:M)</f>
        <v>PSP, PetcoMX</v>
      </c>
      <c r="Y26" s="86" t="str" cm="1">
        <f ca="1" t="array" ref="Y26">_xlfn.XLOOKUP(1,('Case Pack'!A:A=A26)*('Case Pack'!F:F&lt;=TODAY()),'Case Pack'!G:G,"未找到箱规")</f>
        <v>C</v>
      </c>
      <c r="Z26" s="86">
        <f ca="1" t="shared" si="7"/>
        <v>13</v>
      </c>
      <c r="AA26" s="86">
        <f ca="1">_xlfn.XLOOKUP(Y26,'Case Type'!A:A,'Case Type'!H:H)*Z26</f>
        <v>2.0451055872</v>
      </c>
    </row>
    <row r="27" spans="1:27">
      <c r="A27" s="94" t="s">
        <v>53</v>
      </c>
      <c r="B27" s="86" t="str">
        <f>_xlfn.XLOOKUP(A27,'Product List'!B:B,'Product List'!I:I)</f>
        <v>MINI &amp; MOE COTTAGE HIDE</v>
      </c>
      <c r="C27" s="86">
        <v>0</v>
      </c>
      <c r="D27" s="86">
        <f>SUMIFS(Purchase!F:F,Purchase!C:C,A27,Purchase!I:I,"&gt;"&amp;$C$1,Purchase!V:V,"&lt;&gt;暂缓发货",Purchase!U:U,"HOU")</f>
        <v>0</v>
      </c>
      <c r="E27" s="86">
        <f>SUMIFS(Purchase!F:F,Purchase!C:C,A27,Purchase!J:J,"&gt;0",Purchase!I:I,"&gt;"&amp;$C$1,Purchase!U:U,"HOU")</f>
        <v>0</v>
      </c>
      <c r="F27" s="86">
        <f>SUMIFS(Sales!E:E,Sales!C:C,A27,Sales!K:K,"&gt;"&amp;$C$1,Sales!I:I,"HOU")</f>
        <v>0</v>
      </c>
      <c r="G27" s="86">
        <f>SUMIFS(Sales!E:E,Sales!C:C,A27,Sales!K:K,"&gt;"&amp;$C$1,Sales!L:L,"&gt;0",Sales!I:I,"HOU")</f>
        <v>0</v>
      </c>
      <c r="H27" s="365">
        <f ca="1">C27+E27-G27+SUMIFS(Transfer!W:W,Transfer!O:O,A27,Transfer!Q:Q,"HOU",Transfer!U:U,"&gt;"&amp;$C$1)-SUMIFS(Transfer!V:V,Transfer!O:O,A27,Transfer!P:P,"HOU",Transfer!T:T,"&gt;"&amp;$C$1)</f>
        <v>0</v>
      </c>
      <c r="I27" s="86">
        <f ca="1">D27-E27+SUMIFS(Transfer!V:V,Transfer!O:O,A27,Transfer!Q:Q,"HOU")-SUMIFS(Transfer!W:W,Transfer!O:O,A27,Transfer!Q:Q,"HOU")</f>
        <v>0</v>
      </c>
      <c r="J27" s="86">
        <f>SUMIFS(Purchase!F:F,Purchase!C:C,A27,Purchase!V:V,"暂缓发货",Purchase!U:U,"HOU")</f>
        <v>0</v>
      </c>
      <c r="K27" s="86">
        <f t="shared" si="0"/>
        <v>0</v>
      </c>
      <c r="L27" s="86">
        <f ca="1" t="shared" si="1"/>
        <v>0</v>
      </c>
      <c r="M27" s="365">
        <f ca="1" t="shared" si="2"/>
        <v>0</v>
      </c>
      <c r="N27" s="86" t="str">
        <f ca="1">_xlfn.XLOOKUP(A27,'Product List'!B:B,'Product List'!F:F)</f>
        <v>A</v>
      </c>
      <c r="O27" s="366">
        <f>SUMIFS('Weekly Sales'!R:R,'Weekly Sales'!B:B,A27,'Weekly Sales'!U:U,"HOU")</f>
        <v>0</v>
      </c>
      <c r="P27" s="367">
        <f ca="1" t="shared" si="3"/>
        <v>999</v>
      </c>
      <c r="Q27" s="367">
        <f ca="1" t="shared" si="4"/>
        <v>999</v>
      </c>
      <c r="R27" s="86">
        <f>_xlfn.XLOOKUP(A27,'Product List'!B:B,'Product List'!P:P)</f>
        <v>15</v>
      </c>
      <c r="S27" s="86">
        <f ca="1" t="shared" si="5"/>
        <v>6</v>
      </c>
      <c r="T27" s="366">
        <f ca="1">SUMIFS('Weekly Sales'!T:T,'Weekly Sales'!B:B,A27,'Weekly Sales'!U:U,"HOU")</f>
        <v>0</v>
      </c>
      <c r="U27" s="86">
        <f>_xlfn.XLOOKUP(A27,'Product List'!B:B,'Product List'!O:O)</f>
        <v>500</v>
      </c>
      <c r="V27" s="368">
        <f ca="1" t="shared" si="6"/>
        <v>0</v>
      </c>
      <c r="W27" s="86" cm="1">
        <f ca="1" t="array" ref="W27">_xlfn.XLOOKUP(1,('Case Pack'!A:A=A27)*('Case Pack'!F:F&lt;=TODAY()),'Case Pack'!D:D,"未找到箱规")</f>
        <v>24</v>
      </c>
      <c r="X27" s="86" t="str">
        <f>_xlfn.XLOOKUP(A27,'Product List'!B:B,'Product List'!M:M)</f>
        <v>Petsmart，Canada</v>
      </c>
      <c r="Y27" s="86" t="str" cm="1">
        <f ca="1" t="array" ref="Y27">_xlfn.XLOOKUP(1,('Case Pack'!A:A=A27)*('Case Pack'!F:F&lt;=TODAY()),'Case Pack'!G:G,"未找到箱规")</f>
        <v>C</v>
      </c>
      <c r="Z27" s="86">
        <f ca="1" t="shared" si="7"/>
        <v>0</v>
      </c>
      <c r="AA27" s="86">
        <f ca="1">_xlfn.XLOOKUP(Y27,'Case Type'!A:A,'Case Type'!H:H)*Z27</f>
        <v>0</v>
      </c>
    </row>
    <row r="28" spans="1:27">
      <c r="A28" s="86" t="s">
        <v>54</v>
      </c>
      <c r="B28" s="86" t="str">
        <f>_xlfn.XLOOKUP(A28,'Product List'!B:B,'Product List'!I:I)</f>
        <v>Tree Stump Hide</v>
      </c>
      <c r="C28" s="86">
        <v>0</v>
      </c>
      <c r="D28" s="86">
        <f>SUMIFS(Purchase!F:F,Purchase!C:C,A28,Purchase!I:I,"&gt;"&amp;$C$1,Purchase!V:V,"&lt;&gt;暂缓发货",Purchase!U:U,"HOU")</f>
        <v>0</v>
      </c>
      <c r="E28" s="86">
        <f>SUMIFS(Purchase!F:F,Purchase!C:C,A28,Purchase!J:J,"&gt;0",Purchase!I:I,"&gt;"&amp;$C$1,Purchase!U:U,"HOU")</f>
        <v>0</v>
      </c>
      <c r="F28" s="86">
        <f>SUMIFS(Sales!E:E,Sales!C:C,A28,Sales!K:K,"&gt;"&amp;$C$1,Sales!I:I,"HOU")</f>
        <v>0</v>
      </c>
      <c r="G28" s="86">
        <f>SUMIFS(Sales!E:E,Sales!C:C,A28,Sales!K:K,"&gt;"&amp;$C$1,Sales!L:L,"&gt;0",Sales!I:I,"HOU")</f>
        <v>0</v>
      </c>
      <c r="H28" s="365">
        <f ca="1">C28+E28-G28+SUMIFS(Transfer!W:W,Transfer!O:O,A28,Transfer!Q:Q,"HOU",Transfer!U:U,"&gt;"&amp;$C$1)-SUMIFS(Transfer!V:V,Transfer!O:O,A28,Transfer!P:P,"HOU",Transfer!T:T,"&gt;"&amp;$C$1)</f>
        <v>0</v>
      </c>
      <c r="I28" s="86">
        <f ca="1">D28-E28+SUMIFS(Transfer!V:V,Transfer!O:O,A28,Transfer!Q:Q,"HOU")-SUMIFS(Transfer!W:W,Transfer!O:O,A28,Transfer!Q:Q,"HOU")</f>
        <v>0</v>
      </c>
      <c r="J28" s="86">
        <f>SUMIFS(Purchase!F:F,Purchase!C:C,A28,Purchase!V:V,"暂缓发货",Purchase!U:U,"HOU")</f>
        <v>0</v>
      </c>
      <c r="K28" s="86">
        <f t="shared" si="0"/>
        <v>0</v>
      </c>
      <c r="L28" s="86">
        <f ca="1" t="shared" si="1"/>
        <v>0</v>
      </c>
      <c r="M28" s="365">
        <f ca="1" t="shared" si="2"/>
        <v>0</v>
      </c>
      <c r="N28" s="86" t="str">
        <f ca="1">_xlfn.XLOOKUP(A28,'Product List'!B:B,'Product List'!F:F)</f>
        <v>C</v>
      </c>
      <c r="O28" s="366">
        <f>SUMIFS('Weekly Sales'!R:R,'Weekly Sales'!B:B,A28,'Weekly Sales'!U:U,"HOU")</f>
        <v>0</v>
      </c>
      <c r="P28" s="367">
        <f ca="1" t="shared" si="3"/>
        <v>999</v>
      </c>
      <c r="Q28" s="367">
        <f ca="1" t="shared" si="4"/>
        <v>999</v>
      </c>
      <c r="R28" s="86">
        <f>_xlfn.XLOOKUP(A28,'Product List'!B:B,'Product List'!P:P)</f>
        <v>15</v>
      </c>
      <c r="S28" s="86">
        <f ca="1" t="shared" si="5"/>
        <v>2</v>
      </c>
      <c r="T28" s="366">
        <f ca="1">SUMIFS('Weekly Sales'!T:T,'Weekly Sales'!B:B,A28,'Weekly Sales'!U:U,"HOU")</f>
        <v>0</v>
      </c>
      <c r="U28" s="86">
        <f>_xlfn.XLOOKUP(A28,'Product List'!B:B,'Product List'!O:O)</f>
        <v>500</v>
      </c>
      <c r="V28" s="368">
        <f ca="1" t="shared" si="6"/>
        <v>0</v>
      </c>
      <c r="W28" s="86" cm="1">
        <f ca="1" t="array" ref="W28">_xlfn.XLOOKUP(1,('Case Pack'!A:A=A28)*('Case Pack'!F:F&lt;=TODAY()),'Case Pack'!D:D,"未找到箱规")</f>
        <v>24</v>
      </c>
      <c r="X28" s="86" t="str">
        <f>_xlfn.XLOOKUP(A28,'Product List'!B:B,'Product List'!M:M)</f>
        <v>Pet Supermarket，Canada</v>
      </c>
      <c r="Y28" s="86" t="str" cm="1">
        <f ca="1" t="array" ref="Y28">_xlfn.XLOOKUP(1,('Case Pack'!A:A=A28)*('Case Pack'!F:F&lt;=TODAY()),'Case Pack'!G:G,"未找到箱规")</f>
        <v>B</v>
      </c>
      <c r="Z28" s="86">
        <f ca="1" t="shared" si="7"/>
        <v>0</v>
      </c>
      <c r="AA28" s="86">
        <f ca="1">_xlfn.XLOOKUP(Y28,'Case Type'!A:A,'Case Type'!H:H)*Z28</f>
        <v>0</v>
      </c>
    </row>
    <row r="29" spans="1:27">
      <c r="A29" s="86" t="s">
        <v>55</v>
      </c>
      <c r="B29" s="86" t="str">
        <f>_xlfn.XLOOKUP(A29,'Product List'!B:B,'Product List'!I:I)</f>
        <v>MINI/MOE SMALL ANIMAL FEEDING WATER BOTTLE HLDR GUMBALL 1EA</v>
      </c>
      <c r="C29" s="86">
        <v>0</v>
      </c>
      <c r="D29" s="86">
        <f>SUMIFS(Purchase!F:F,Purchase!C:C,A29,Purchase!I:I,"&gt;"&amp;$C$1,Purchase!V:V,"&lt;&gt;暂缓发货",Purchase!U:U,"HOU")</f>
        <v>0</v>
      </c>
      <c r="E29" s="86">
        <f>SUMIFS(Purchase!F:F,Purchase!C:C,A29,Purchase!J:J,"&gt;0",Purchase!I:I,"&gt;"&amp;$C$1,Purchase!U:U,"HOU")</f>
        <v>0</v>
      </c>
      <c r="F29" s="86">
        <f>SUMIFS(Sales!E:E,Sales!C:C,A29,Sales!K:K,"&gt;"&amp;$C$1,Sales!I:I,"HOU")</f>
        <v>0</v>
      </c>
      <c r="G29" s="86">
        <f>SUMIFS(Sales!E:E,Sales!C:C,A29,Sales!K:K,"&gt;"&amp;$C$1,Sales!L:L,"&gt;0",Sales!I:I,"HOU")</f>
        <v>0</v>
      </c>
      <c r="H29" s="365">
        <f ca="1">C29+E29-G29+SUMIFS(Transfer!W:W,Transfer!O:O,A29,Transfer!Q:Q,"HOU",Transfer!U:U,"&gt;"&amp;$C$1)-SUMIFS(Transfer!V:V,Transfer!O:O,A29,Transfer!P:P,"HOU",Transfer!T:T,"&gt;"&amp;$C$1)</f>
        <v>0</v>
      </c>
      <c r="I29" s="86">
        <f ca="1">D29-E29+SUMIFS(Transfer!V:V,Transfer!O:O,A29,Transfer!Q:Q,"HOU")-SUMIFS(Transfer!W:W,Transfer!O:O,A29,Transfer!Q:Q,"HOU")</f>
        <v>0</v>
      </c>
      <c r="J29" s="86">
        <f>SUMIFS(Purchase!F:F,Purchase!C:C,A29,Purchase!V:V,"暂缓发货",Purchase!U:U,"HOU")</f>
        <v>0</v>
      </c>
      <c r="K29" s="86">
        <f t="shared" si="0"/>
        <v>0</v>
      </c>
      <c r="L29" s="86">
        <f ca="1" t="shared" si="1"/>
        <v>0</v>
      </c>
      <c r="M29" s="365">
        <f ca="1" t="shared" si="2"/>
        <v>0</v>
      </c>
      <c r="N29" s="86" t="str">
        <f ca="1">_xlfn.XLOOKUP(A29,'Product List'!B:B,'Product List'!F:F)</f>
        <v>C</v>
      </c>
      <c r="O29" s="366">
        <f>SUMIFS('Weekly Sales'!R:R,'Weekly Sales'!B:B,A29,'Weekly Sales'!U:U,"HOU")</f>
        <v>0.333333333333333</v>
      </c>
      <c r="P29" s="367">
        <f ca="1" t="shared" si="3"/>
        <v>0</v>
      </c>
      <c r="Q29" s="367">
        <f ca="1" t="shared" si="4"/>
        <v>0</v>
      </c>
      <c r="R29" s="86">
        <f>_xlfn.XLOOKUP(A29,'Product List'!B:B,'Product List'!P:P)</f>
        <v>15</v>
      </c>
      <c r="S29" s="86">
        <f ca="1" t="shared" si="5"/>
        <v>2</v>
      </c>
      <c r="T29" s="366">
        <f ca="1">SUMIFS('Weekly Sales'!T:T,'Weekly Sales'!B:B,A29,'Weekly Sales'!U:U,"HOU")</f>
        <v>0</v>
      </c>
      <c r="U29" s="86">
        <f>_xlfn.XLOOKUP(A29,'Product List'!B:B,'Product List'!O:O)</f>
        <v>500</v>
      </c>
      <c r="V29" s="368">
        <f ca="1" t="shared" si="6"/>
        <v>34</v>
      </c>
      <c r="W29" s="86" cm="1">
        <f ca="1" t="array" ref="W29">_xlfn.XLOOKUP(1,('Case Pack'!A:A=A29)*('Case Pack'!F:F&lt;=TODAY()),'Case Pack'!D:D,"未找到箱规")</f>
        <v>34</v>
      </c>
      <c r="X29" s="86" t="str">
        <f>_xlfn.XLOOKUP(A29,'Product List'!B:B,'Product List'!M:M)</f>
        <v>PSP，Canada</v>
      </c>
      <c r="Y29" s="86" t="str" cm="1">
        <f ca="1" t="array" ref="Y29">_xlfn.XLOOKUP(1,('Case Pack'!A:A=A29)*('Case Pack'!F:F&lt;=TODAY()),'Case Pack'!G:G,"未找到箱规")</f>
        <v>C</v>
      </c>
      <c r="Z29" s="86">
        <f ca="1" t="shared" si="7"/>
        <v>1</v>
      </c>
      <c r="AA29" s="86">
        <f ca="1">_xlfn.XLOOKUP(Y29,'Case Type'!A:A,'Case Type'!H:H)*Z29</f>
        <v>0.1573158144</v>
      </c>
    </row>
    <row r="30" spans="1:27">
      <c r="A30" s="86" t="s">
        <v>56</v>
      </c>
      <c r="B30" s="86" t="str">
        <f>_xlfn.XLOOKUP(A30,'Product List'!B:B,'Product List'!I:I)</f>
        <v>MINI/MOE SMALL ANIMAL HOUSING SWEET BRIDGE 1EA</v>
      </c>
      <c r="C30" s="86">
        <v>0</v>
      </c>
      <c r="D30" s="86">
        <f>SUMIFS(Purchase!F:F,Purchase!C:C,A30,Purchase!I:I,"&gt;"&amp;$C$1,Purchase!V:V,"&lt;&gt;暂缓发货",Purchase!U:U,"HOU")</f>
        <v>0</v>
      </c>
      <c r="E30" s="86">
        <f>SUMIFS(Purchase!F:F,Purchase!C:C,A30,Purchase!J:J,"&gt;0",Purchase!I:I,"&gt;"&amp;$C$1,Purchase!U:U,"HOU")</f>
        <v>0</v>
      </c>
      <c r="F30" s="86">
        <f>SUMIFS(Sales!E:E,Sales!C:C,A30,Sales!K:K,"&gt;"&amp;$C$1,Sales!I:I,"HOU")</f>
        <v>0</v>
      </c>
      <c r="G30" s="86">
        <f>SUMIFS(Sales!E:E,Sales!C:C,A30,Sales!K:K,"&gt;"&amp;$C$1,Sales!L:L,"&gt;0",Sales!I:I,"HOU")</f>
        <v>0</v>
      </c>
      <c r="H30" s="365">
        <f ca="1">C30+E30-G30+SUMIFS(Transfer!W:W,Transfer!O:O,A30,Transfer!Q:Q,"HOU",Transfer!U:U,"&gt;"&amp;$C$1)-SUMIFS(Transfer!V:V,Transfer!O:O,A30,Transfer!P:P,"HOU",Transfer!T:T,"&gt;"&amp;$C$1)</f>
        <v>0</v>
      </c>
      <c r="I30" s="86">
        <f ca="1">D30-E30+SUMIFS(Transfer!V:V,Transfer!O:O,A30,Transfer!Q:Q,"HOU")-SUMIFS(Transfer!W:W,Transfer!O:O,A30,Transfer!Q:Q,"HOU")</f>
        <v>0</v>
      </c>
      <c r="J30" s="86">
        <f>SUMIFS(Purchase!F:F,Purchase!C:C,A30,Purchase!V:V,"暂缓发货",Purchase!U:U,"HOU")</f>
        <v>0</v>
      </c>
      <c r="K30" s="86">
        <f t="shared" si="0"/>
        <v>0</v>
      </c>
      <c r="L30" s="86">
        <f ca="1" t="shared" si="1"/>
        <v>0</v>
      </c>
      <c r="M30" s="365">
        <f ca="1" t="shared" si="2"/>
        <v>0</v>
      </c>
      <c r="N30" s="86" t="str">
        <f ca="1">_xlfn.XLOOKUP(A30,'Product List'!B:B,'Product List'!F:F)</f>
        <v>C</v>
      </c>
      <c r="O30" s="366">
        <f>SUMIFS('Weekly Sales'!R:R,'Weekly Sales'!B:B,A30,'Weekly Sales'!U:U,"HOU")</f>
        <v>1.83333333333333</v>
      </c>
      <c r="P30" s="367">
        <f ca="1" t="shared" si="3"/>
        <v>0</v>
      </c>
      <c r="Q30" s="367">
        <f ca="1" t="shared" si="4"/>
        <v>0</v>
      </c>
      <c r="R30" s="86">
        <f>_xlfn.XLOOKUP(A30,'Product List'!B:B,'Product List'!P:P)</f>
        <v>15</v>
      </c>
      <c r="S30" s="86">
        <f ca="1" t="shared" si="5"/>
        <v>2</v>
      </c>
      <c r="T30" s="366">
        <f ca="1">SUMIFS('Weekly Sales'!T:T,'Weekly Sales'!B:B,A30,'Weekly Sales'!U:U,"HOU")</f>
        <v>0</v>
      </c>
      <c r="U30" s="86">
        <f>_xlfn.XLOOKUP(A30,'Product List'!B:B,'Product List'!O:O)</f>
        <v>500</v>
      </c>
      <c r="V30" s="368">
        <f ca="1" t="shared" si="6"/>
        <v>70</v>
      </c>
      <c r="W30" s="86" cm="1">
        <f ca="1" t="array" ref="W30">_xlfn.XLOOKUP(1,('Case Pack'!A:A=A30)*('Case Pack'!F:F&lt;=TODAY()),'Case Pack'!D:D,"未找到箱规")</f>
        <v>70</v>
      </c>
      <c r="X30" s="86" t="str">
        <f>_xlfn.XLOOKUP(A30,'Product List'!B:B,'Product List'!M:M)</f>
        <v>PSP，Canada</v>
      </c>
      <c r="Y30" s="86" t="str" cm="1">
        <f ca="1" t="array" ref="Y30">_xlfn.XLOOKUP(1,('Case Pack'!A:A=A30)*('Case Pack'!F:F&lt;=TODAY()),'Case Pack'!G:G,"未找到箱规")</f>
        <v>A</v>
      </c>
      <c r="Z30" s="86">
        <f ca="1" t="shared" si="7"/>
        <v>1</v>
      </c>
      <c r="AA30" s="86">
        <f ca="1">_xlfn.XLOOKUP(Y30,'Case Type'!A:A,'Case Type'!H:H)*Z30</f>
        <v>0.11012107008</v>
      </c>
    </row>
    <row r="31" spans="1:27">
      <c r="A31" s="94" t="s">
        <v>57</v>
      </c>
      <c r="B31" s="86" t="str">
        <f>_xlfn.XLOOKUP(A31,'Product List'!B:B,'Product List'!I:I)</f>
        <v>Candy House</v>
      </c>
      <c r="C31" s="86">
        <v>0</v>
      </c>
      <c r="D31" s="86">
        <f>SUMIFS(Purchase!F:F,Purchase!C:C,A31,Purchase!I:I,"&gt;"&amp;$C$1,Purchase!V:V,"&lt;&gt;暂缓发货",Purchase!U:U,"HOU")</f>
        <v>0</v>
      </c>
      <c r="E31" s="86">
        <f>SUMIFS(Purchase!F:F,Purchase!C:C,A31,Purchase!J:J,"&gt;0",Purchase!I:I,"&gt;"&amp;$C$1,Purchase!U:U,"HOU")</f>
        <v>0</v>
      </c>
      <c r="F31" s="86">
        <f>SUMIFS(Sales!E:E,Sales!C:C,A31,Sales!K:K,"&gt;"&amp;$C$1,Sales!I:I,"HOU")</f>
        <v>0</v>
      </c>
      <c r="G31" s="86">
        <f>SUMIFS(Sales!E:E,Sales!C:C,A31,Sales!K:K,"&gt;"&amp;$C$1,Sales!L:L,"&gt;0",Sales!I:I,"HOU")</f>
        <v>0</v>
      </c>
      <c r="H31" s="365">
        <f ca="1">C31+E31-G31+SUMIFS(Transfer!W:W,Transfer!O:O,A31,Transfer!Q:Q,"HOU",Transfer!U:U,"&gt;"&amp;$C$1)-SUMIFS(Transfer!V:V,Transfer!O:O,A31,Transfer!P:P,"HOU",Transfer!T:T,"&gt;"&amp;$C$1)</f>
        <v>0</v>
      </c>
      <c r="I31" s="86">
        <f ca="1">D31-E31+SUMIFS(Transfer!V:V,Transfer!O:O,A31,Transfer!Q:Q,"HOU")-SUMIFS(Transfer!W:W,Transfer!O:O,A31,Transfer!Q:Q,"HOU")</f>
        <v>0</v>
      </c>
      <c r="J31" s="86">
        <f>SUMIFS(Purchase!F:F,Purchase!C:C,A31,Purchase!V:V,"暂缓发货",Purchase!U:U,"HOU")</f>
        <v>0</v>
      </c>
      <c r="K31" s="86">
        <f t="shared" si="0"/>
        <v>0</v>
      </c>
      <c r="L31" s="86">
        <f ca="1" t="shared" si="1"/>
        <v>0</v>
      </c>
      <c r="M31" s="365">
        <f ca="1" t="shared" si="2"/>
        <v>0</v>
      </c>
      <c r="N31" s="86" t="str">
        <f ca="1">_xlfn.XLOOKUP(A31,'Product List'!B:B,'Product List'!F:F)</f>
        <v>C</v>
      </c>
      <c r="O31" s="366">
        <f>SUMIFS('Weekly Sales'!R:R,'Weekly Sales'!B:B,A31,'Weekly Sales'!U:U,"HOU")</f>
        <v>3.16666666666667</v>
      </c>
      <c r="P31" s="367">
        <f ca="1" t="shared" si="3"/>
        <v>0</v>
      </c>
      <c r="Q31" s="367">
        <f ca="1" t="shared" si="4"/>
        <v>0</v>
      </c>
      <c r="R31" s="86">
        <f>_xlfn.XLOOKUP(A31,'Product List'!B:B,'Product List'!P:P)</f>
        <v>15</v>
      </c>
      <c r="S31" s="86">
        <f ca="1" t="shared" si="5"/>
        <v>2</v>
      </c>
      <c r="T31" s="366">
        <f ca="1">SUMIFS('Weekly Sales'!T:T,'Weekly Sales'!B:B,A31,'Weekly Sales'!U:U,"HOU")</f>
        <v>0</v>
      </c>
      <c r="U31" s="86">
        <f>_xlfn.XLOOKUP(A31,'Product List'!B:B,'Product List'!O:O)</f>
        <v>500</v>
      </c>
      <c r="V31" s="368">
        <f ca="1" t="shared" si="6"/>
        <v>81</v>
      </c>
      <c r="W31" s="86" cm="1">
        <f ca="1" t="array" ref="W31">_xlfn.XLOOKUP(1,('Case Pack'!A:A=A31)*('Case Pack'!F:F&lt;=TODAY()),'Case Pack'!D:D,"未找到箱规")</f>
        <v>27</v>
      </c>
      <c r="X31" s="86" t="str">
        <f>_xlfn.XLOOKUP(A31,'Product List'!B:B,'Product List'!M:M)</f>
        <v>PetcoMX,PSP，Canada</v>
      </c>
      <c r="Y31" s="86" t="str" cm="1">
        <f ca="1" t="array" ref="Y31">_xlfn.XLOOKUP(1,('Case Pack'!A:A=A31)*('Case Pack'!F:F&lt;=TODAY()),'Case Pack'!G:G,"未找到箱规")</f>
        <v>C</v>
      </c>
      <c r="Z31" s="86">
        <f ca="1" t="shared" si="7"/>
        <v>3</v>
      </c>
      <c r="AA31" s="86">
        <f ca="1">_xlfn.XLOOKUP(Y31,'Case Type'!A:A,'Case Type'!H:H)*Z31</f>
        <v>0.4719474432</v>
      </c>
    </row>
    <row r="32" spans="1:27">
      <c r="A32" s="86" t="s">
        <v>58</v>
      </c>
      <c r="B32" s="86" t="str">
        <f>_xlfn.XLOOKUP(A32,'Product List'!B:B,'Product List'!I:I)</f>
        <v>MINI/MOE SMALL ANIMAL HOUSING CAKE HOUSE 1EA</v>
      </c>
      <c r="C32" s="86">
        <v>0</v>
      </c>
      <c r="D32" s="86">
        <f>SUMIFS(Purchase!F:F,Purchase!C:C,A32,Purchase!I:I,"&gt;"&amp;$C$1,Purchase!V:V,"&lt;&gt;暂缓发货",Purchase!U:U,"HOU")</f>
        <v>0</v>
      </c>
      <c r="E32" s="86">
        <f>SUMIFS(Purchase!F:F,Purchase!C:C,A32,Purchase!J:J,"&gt;0",Purchase!I:I,"&gt;"&amp;$C$1,Purchase!U:U,"HOU")</f>
        <v>0</v>
      </c>
      <c r="F32" s="86">
        <f>SUMIFS(Sales!E:E,Sales!C:C,A32,Sales!K:K,"&gt;"&amp;$C$1,Sales!I:I,"HOU")</f>
        <v>0</v>
      </c>
      <c r="G32" s="86">
        <f>SUMIFS(Sales!E:E,Sales!C:C,A32,Sales!K:K,"&gt;"&amp;$C$1,Sales!L:L,"&gt;0",Sales!I:I,"HOU")</f>
        <v>0</v>
      </c>
      <c r="H32" s="365">
        <f ca="1">C32+E32-G32+SUMIFS(Transfer!W:W,Transfer!O:O,A32,Transfer!Q:Q,"HOU",Transfer!U:U,"&gt;"&amp;$C$1)-SUMIFS(Transfer!V:V,Transfer!O:O,A32,Transfer!P:P,"HOU",Transfer!T:T,"&gt;"&amp;$C$1)</f>
        <v>0</v>
      </c>
      <c r="I32" s="86">
        <f ca="1">D32-E32+SUMIFS(Transfer!V:V,Transfer!O:O,A32,Transfer!Q:Q,"HOU")-SUMIFS(Transfer!W:W,Transfer!O:O,A32,Transfer!Q:Q,"HOU")</f>
        <v>0</v>
      </c>
      <c r="J32" s="86">
        <f>SUMIFS(Purchase!F:F,Purchase!C:C,A32,Purchase!V:V,"暂缓发货",Purchase!U:U,"HOU")</f>
        <v>0</v>
      </c>
      <c r="K32" s="86">
        <f t="shared" si="0"/>
        <v>0</v>
      </c>
      <c r="L32" s="86">
        <f ca="1" t="shared" si="1"/>
        <v>0</v>
      </c>
      <c r="M32" s="365">
        <f ca="1" t="shared" si="2"/>
        <v>0</v>
      </c>
      <c r="N32" s="86" t="str">
        <f ca="1">_xlfn.XLOOKUP(A32,'Product List'!B:B,'Product List'!F:F)</f>
        <v>C</v>
      </c>
      <c r="O32" s="366">
        <f>SUMIFS('Weekly Sales'!R:R,'Weekly Sales'!B:B,A32,'Weekly Sales'!U:U,"HOU")</f>
        <v>4.16666666666667</v>
      </c>
      <c r="P32" s="367">
        <f ca="1" t="shared" si="3"/>
        <v>0</v>
      </c>
      <c r="Q32" s="367">
        <f ca="1" t="shared" si="4"/>
        <v>0</v>
      </c>
      <c r="R32" s="86">
        <f>_xlfn.XLOOKUP(A32,'Product List'!B:B,'Product List'!P:P)</f>
        <v>15</v>
      </c>
      <c r="S32" s="86">
        <f ca="1" t="shared" si="5"/>
        <v>2</v>
      </c>
      <c r="T32" s="366">
        <f ca="1">SUMIFS('Weekly Sales'!T:T,'Weekly Sales'!B:B,A32,'Weekly Sales'!U:U,"HOU")</f>
        <v>0</v>
      </c>
      <c r="U32" s="86">
        <f>_xlfn.XLOOKUP(A32,'Product List'!B:B,'Product List'!O:O)</f>
        <v>500</v>
      </c>
      <c r="V32" s="368">
        <f ca="1" t="shared" si="6"/>
        <v>91</v>
      </c>
      <c r="W32" s="86" cm="1">
        <f ca="1" t="array" ref="W32">_xlfn.XLOOKUP(1,('Case Pack'!A:A=A32)*('Case Pack'!F:F&lt;=TODAY()),'Case Pack'!D:D,"未找到箱规")</f>
        <v>13</v>
      </c>
      <c r="X32" s="86" t="str">
        <f>_xlfn.XLOOKUP(A32,'Product List'!B:B,'Product List'!M:M)</f>
        <v>PSP，Canada</v>
      </c>
      <c r="Y32" s="86" t="str" cm="1">
        <f ca="1" t="array" ref="Y32">_xlfn.XLOOKUP(1,('Case Pack'!A:A=A32)*('Case Pack'!F:F&lt;=TODAY()),'Case Pack'!G:G,"未找到箱规")</f>
        <v>C</v>
      </c>
      <c r="Z32" s="86">
        <f ca="1" t="shared" si="7"/>
        <v>7</v>
      </c>
      <c r="AA32" s="86">
        <f ca="1">_xlfn.XLOOKUP(Y32,'Case Type'!A:A,'Case Type'!H:H)*Z32</f>
        <v>1.1012107008</v>
      </c>
    </row>
    <row r="33" spans="1:27">
      <c r="A33" s="94" t="s">
        <v>59</v>
      </c>
      <c r="B33" s="86" t="str">
        <f>_xlfn.XLOOKUP(A33,'Product List'!B:B,'Product List'!I:I)</f>
        <v>Sugar Jar</v>
      </c>
      <c r="C33" s="86">
        <v>0</v>
      </c>
      <c r="D33" s="86">
        <f>SUMIFS(Purchase!F:F,Purchase!C:C,A33,Purchase!I:I,"&gt;"&amp;$C$1,Purchase!V:V,"&lt;&gt;暂缓发货",Purchase!U:U,"HOU")</f>
        <v>0</v>
      </c>
      <c r="E33" s="86">
        <f>SUMIFS(Purchase!F:F,Purchase!C:C,A33,Purchase!J:J,"&gt;0",Purchase!I:I,"&gt;"&amp;$C$1,Purchase!U:U,"HOU")</f>
        <v>0</v>
      </c>
      <c r="F33" s="86">
        <f>SUMIFS(Sales!E:E,Sales!C:C,A33,Sales!K:K,"&gt;"&amp;$C$1,Sales!I:I,"HOU")</f>
        <v>0</v>
      </c>
      <c r="G33" s="86">
        <f>SUMIFS(Sales!E:E,Sales!C:C,A33,Sales!K:K,"&gt;"&amp;$C$1,Sales!L:L,"&gt;0",Sales!I:I,"HOU")</f>
        <v>0</v>
      </c>
      <c r="H33" s="365">
        <f ca="1">C33+E33-G33+SUMIFS(Transfer!W:W,Transfer!O:O,A33,Transfer!Q:Q,"HOU",Transfer!U:U,"&gt;"&amp;$C$1)-SUMIFS(Transfer!V:V,Transfer!O:O,A33,Transfer!P:P,"HOU",Transfer!T:T,"&gt;"&amp;$C$1)</f>
        <v>0</v>
      </c>
      <c r="I33" s="86">
        <f ca="1">D33-E33+SUMIFS(Transfer!V:V,Transfer!O:O,A33,Transfer!Q:Q,"HOU")-SUMIFS(Transfer!W:W,Transfer!O:O,A33,Transfer!Q:Q,"HOU")</f>
        <v>0</v>
      </c>
      <c r="J33" s="86">
        <f>SUMIFS(Purchase!F:F,Purchase!C:C,A33,Purchase!V:V,"暂缓发货",Purchase!U:U,"HOU")</f>
        <v>0</v>
      </c>
      <c r="K33" s="86">
        <f t="shared" si="0"/>
        <v>0</v>
      </c>
      <c r="L33" s="86">
        <f ca="1" t="shared" si="1"/>
        <v>0</v>
      </c>
      <c r="M33" s="365">
        <f ca="1" t="shared" si="2"/>
        <v>0</v>
      </c>
      <c r="N33" s="86" t="str">
        <f ca="1">_xlfn.XLOOKUP(A33,'Product List'!B:B,'Product List'!F:F)</f>
        <v>C</v>
      </c>
      <c r="O33" s="366">
        <f>SUMIFS('Weekly Sales'!R:R,'Weekly Sales'!B:B,A33,'Weekly Sales'!U:U,"HOU")</f>
        <v>0.833333333333333</v>
      </c>
      <c r="P33" s="367">
        <f ca="1" t="shared" si="3"/>
        <v>0</v>
      </c>
      <c r="Q33" s="367">
        <f ca="1" t="shared" si="4"/>
        <v>0</v>
      </c>
      <c r="R33" s="86">
        <f>_xlfn.XLOOKUP(A33,'Product List'!B:B,'Product List'!P:P)</f>
        <v>15</v>
      </c>
      <c r="S33" s="86">
        <f ca="1" t="shared" si="5"/>
        <v>2</v>
      </c>
      <c r="T33" s="366">
        <f ca="1">SUMIFS('Weekly Sales'!T:T,'Weekly Sales'!B:B,A33,'Weekly Sales'!U:U,"HOU")</f>
        <v>0</v>
      </c>
      <c r="U33" s="86">
        <f>_xlfn.XLOOKUP(A33,'Product List'!B:B,'Product List'!O:O)</f>
        <v>500</v>
      </c>
      <c r="V33" s="368">
        <f ca="1" t="shared" si="6"/>
        <v>27</v>
      </c>
      <c r="W33" s="86" cm="1">
        <f ca="1" t="array" ref="W33">_xlfn.XLOOKUP(1,('Case Pack'!A:A=A33)*('Case Pack'!F:F&lt;=TODAY()),'Case Pack'!D:D,"未找到箱规")</f>
        <v>27</v>
      </c>
      <c r="X33" s="86" t="str">
        <f>_xlfn.XLOOKUP(A33,'Product List'!B:B,'Product List'!M:M)</f>
        <v>PetcoMX，PSP，Canada</v>
      </c>
      <c r="Y33" s="86" t="str" cm="1">
        <f ca="1" t="array" ref="Y33">_xlfn.XLOOKUP(1,('Case Pack'!A:A=A33)*('Case Pack'!F:F&lt;=TODAY()),'Case Pack'!G:G,"未找到箱规")</f>
        <v>C</v>
      </c>
      <c r="Z33" s="86">
        <f ca="1" t="shared" si="7"/>
        <v>1</v>
      </c>
      <c r="AA33" s="86">
        <f ca="1">_xlfn.XLOOKUP(Y33,'Case Type'!A:A,'Case Type'!H:H)*Z33</f>
        <v>0.1573158144</v>
      </c>
    </row>
    <row r="34" spans="1:27">
      <c r="A34" s="86" t="s">
        <v>60</v>
      </c>
      <c r="B34" s="86" t="str">
        <f>_xlfn.XLOOKUP(A34,'Product List'!B:B,'Product List'!I:I)</f>
        <v>MMO-STARFISH CASTLE</v>
      </c>
      <c r="C34" s="86">
        <v>0</v>
      </c>
      <c r="D34" s="86">
        <f>SUMIFS(Purchase!F:F,Purchase!C:C,A34,Purchase!I:I,"&gt;"&amp;$C$1,Purchase!V:V,"&lt;&gt;暂缓发货",Purchase!U:U,"HOU")</f>
        <v>0</v>
      </c>
      <c r="E34" s="86">
        <f>SUMIFS(Purchase!F:F,Purchase!C:C,A34,Purchase!J:J,"&gt;0",Purchase!I:I,"&gt;"&amp;$C$1,Purchase!U:U,"HOU")</f>
        <v>0</v>
      </c>
      <c r="F34" s="86">
        <f>SUMIFS(Sales!E:E,Sales!C:C,A34,Sales!K:K,"&gt;"&amp;$C$1,Sales!I:I,"HOU")</f>
        <v>0</v>
      </c>
      <c r="G34" s="86">
        <f>SUMIFS(Sales!E:E,Sales!C:C,A34,Sales!K:K,"&gt;"&amp;$C$1,Sales!L:L,"&gt;0",Sales!I:I,"HOU")</f>
        <v>0</v>
      </c>
      <c r="H34" s="365">
        <f ca="1">C34+E34-G34+SUMIFS(Transfer!W:W,Transfer!O:O,A34,Transfer!Q:Q,"HOU",Transfer!U:U,"&gt;"&amp;$C$1)-SUMIFS(Transfer!V:V,Transfer!O:O,A34,Transfer!P:P,"HOU",Transfer!T:T,"&gt;"&amp;$C$1)</f>
        <v>0</v>
      </c>
      <c r="I34" s="86">
        <f ca="1">D34-E34+SUMIFS(Transfer!V:V,Transfer!O:O,A34,Transfer!Q:Q,"HOU")-SUMIFS(Transfer!W:W,Transfer!O:O,A34,Transfer!Q:Q,"HOU")</f>
        <v>0</v>
      </c>
      <c r="J34" s="86">
        <f>SUMIFS(Purchase!F:F,Purchase!C:C,A34,Purchase!V:V,"暂缓发货",Purchase!U:U,"HOU")</f>
        <v>0</v>
      </c>
      <c r="K34" s="86">
        <f t="shared" si="0"/>
        <v>0</v>
      </c>
      <c r="L34" s="86">
        <f ca="1" t="shared" si="1"/>
        <v>0</v>
      </c>
      <c r="M34" s="365">
        <f ca="1" t="shared" si="2"/>
        <v>0</v>
      </c>
      <c r="N34" s="86" t="str">
        <f ca="1">_xlfn.XLOOKUP(A34,'Product List'!B:B,'Product List'!F:F)</f>
        <v>B</v>
      </c>
      <c r="O34" s="366">
        <f>SUMIFS('Weekly Sales'!R:R,'Weekly Sales'!B:B,A34,'Weekly Sales'!U:U,"HOU")</f>
        <v>0</v>
      </c>
      <c r="P34" s="367">
        <f ca="1" t="shared" si="3"/>
        <v>999</v>
      </c>
      <c r="Q34" s="367">
        <f ca="1" t="shared" si="4"/>
        <v>999</v>
      </c>
      <c r="R34" s="86">
        <f>_xlfn.XLOOKUP(A34,'Product List'!B:B,'Product List'!P:P)</f>
        <v>15</v>
      </c>
      <c r="S34" s="86">
        <f ca="1" t="shared" si="5"/>
        <v>5</v>
      </c>
      <c r="T34" s="366">
        <f ca="1">SUMIFS('Weekly Sales'!T:T,'Weekly Sales'!B:B,A34,'Weekly Sales'!U:U,"HOU")</f>
        <v>0</v>
      </c>
      <c r="U34" s="86">
        <f>_xlfn.XLOOKUP(A34,'Product List'!B:B,'Product List'!O:O)</f>
        <v>500</v>
      </c>
      <c r="V34" s="368">
        <f ca="1" t="shared" si="6"/>
        <v>0</v>
      </c>
      <c r="W34" s="86" cm="1">
        <f ca="1" t="array" ref="W34">_xlfn.XLOOKUP(1,('Case Pack'!A:A=A34)*('Case Pack'!F:F&lt;=TODAY()),'Case Pack'!D:D,"未找到箱规")</f>
        <v>20</v>
      </c>
      <c r="X34" s="86" t="str">
        <f>_xlfn.XLOOKUP(A34,'Product List'!B:B,'Product List'!M:M)</f>
        <v>PetcoUS</v>
      </c>
      <c r="Y34" s="86" t="str" cm="1">
        <f ca="1" t="array" ref="Y34">_xlfn.XLOOKUP(1,('Case Pack'!A:A=A34)*('Case Pack'!F:F&lt;=TODAY()),'Case Pack'!G:G,"未找到箱规")</f>
        <v>C</v>
      </c>
      <c r="Z34" s="86">
        <f ca="1" t="shared" si="7"/>
        <v>0</v>
      </c>
      <c r="AA34" s="86">
        <f ca="1">_xlfn.XLOOKUP(Y34,'Case Type'!A:A,'Case Type'!H:H)*Z34</f>
        <v>0</v>
      </c>
    </row>
    <row r="35" spans="1:27">
      <c r="A35" s="86" t="s">
        <v>61</v>
      </c>
      <c r="B35" s="86" t="str">
        <f>_xlfn.XLOOKUP(A35,'Product List'!B:B,'Product List'!I:I)</f>
        <v>MMO-WAVE BRIDGE</v>
      </c>
      <c r="C35" s="86">
        <v>0</v>
      </c>
      <c r="D35" s="86">
        <f>SUMIFS(Purchase!F:F,Purchase!C:C,A35,Purchase!I:I,"&gt;"&amp;$C$1,Purchase!V:V,"&lt;&gt;暂缓发货",Purchase!U:U,"HOU")</f>
        <v>0</v>
      </c>
      <c r="E35" s="86">
        <f>SUMIFS(Purchase!F:F,Purchase!C:C,A35,Purchase!J:J,"&gt;0",Purchase!I:I,"&gt;"&amp;$C$1,Purchase!U:U,"HOU")</f>
        <v>0</v>
      </c>
      <c r="F35" s="86">
        <f>SUMIFS(Sales!E:E,Sales!C:C,A35,Sales!K:K,"&gt;"&amp;$C$1,Sales!I:I,"HOU")</f>
        <v>0</v>
      </c>
      <c r="G35" s="86">
        <f>SUMIFS(Sales!E:E,Sales!C:C,A35,Sales!K:K,"&gt;"&amp;$C$1,Sales!L:L,"&gt;0",Sales!I:I,"HOU")</f>
        <v>0</v>
      </c>
      <c r="H35" s="365">
        <f ca="1">C35+E35-G35+SUMIFS(Transfer!W:W,Transfer!O:O,A35,Transfer!Q:Q,"HOU",Transfer!U:U,"&gt;"&amp;$C$1)-SUMIFS(Transfer!V:V,Transfer!O:O,A35,Transfer!P:P,"HOU",Transfer!T:T,"&gt;"&amp;$C$1)</f>
        <v>0</v>
      </c>
      <c r="I35" s="86">
        <f ca="1">D35-E35+SUMIFS(Transfer!V:V,Transfer!O:O,A35,Transfer!Q:Q,"HOU")-SUMIFS(Transfer!W:W,Transfer!O:O,A35,Transfer!Q:Q,"HOU")</f>
        <v>0</v>
      </c>
      <c r="J35" s="86">
        <f>SUMIFS(Purchase!F:F,Purchase!C:C,A35,Purchase!V:V,"暂缓发货",Purchase!U:U,"HOU")</f>
        <v>0</v>
      </c>
      <c r="K35" s="86">
        <f t="shared" si="0"/>
        <v>0</v>
      </c>
      <c r="L35" s="86">
        <f ca="1" t="shared" si="1"/>
        <v>0</v>
      </c>
      <c r="M35" s="365">
        <f ca="1" t="shared" si="2"/>
        <v>0</v>
      </c>
      <c r="N35" s="86" t="str">
        <f ca="1">_xlfn.XLOOKUP(A35,'Product List'!B:B,'Product List'!F:F)</f>
        <v>B</v>
      </c>
      <c r="O35" s="366">
        <f>SUMIFS('Weekly Sales'!R:R,'Weekly Sales'!B:B,A35,'Weekly Sales'!U:U,"HOU")</f>
        <v>0</v>
      </c>
      <c r="P35" s="367">
        <f ca="1" t="shared" si="3"/>
        <v>999</v>
      </c>
      <c r="Q35" s="367">
        <f ca="1" t="shared" si="4"/>
        <v>999</v>
      </c>
      <c r="R35" s="86">
        <f>_xlfn.XLOOKUP(A35,'Product List'!B:B,'Product List'!P:P)</f>
        <v>15</v>
      </c>
      <c r="S35" s="86">
        <f ca="1" t="shared" si="5"/>
        <v>5</v>
      </c>
      <c r="T35" s="366">
        <f ca="1">SUMIFS('Weekly Sales'!T:T,'Weekly Sales'!B:B,A35,'Weekly Sales'!U:U,"HOU")</f>
        <v>0</v>
      </c>
      <c r="U35" s="86">
        <f>_xlfn.XLOOKUP(A35,'Product List'!B:B,'Product List'!O:O)</f>
        <v>500</v>
      </c>
      <c r="V35" s="368">
        <f ca="1" t="shared" si="6"/>
        <v>0</v>
      </c>
      <c r="W35" s="86" cm="1">
        <f ca="1" t="array" ref="W35">_xlfn.XLOOKUP(1,('Case Pack'!A:A=A35)*('Case Pack'!F:F&lt;=TODAY()),'Case Pack'!D:D,"未找到箱规")</f>
        <v>33</v>
      </c>
      <c r="X35" s="86" t="str">
        <f>_xlfn.XLOOKUP(A35,'Product List'!B:B,'Product List'!M:M)</f>
        <v>PetcoUS，Canada</v>
      </c>
      <c r="Y35" s="86" t="str" cm="1">
        <f ca="1" t="array" ref="Y35">_xlfn.XLOOKUP(1,('Case Pack'!A:A=A35)*('Case Pack'!F:F&lt;=TODAY()),'Case Pack'!G:G,"未找到箱规")</f>
        <v>C</v>
      </c>
      <c r="Z35" s="86">
        <f ca="1" t="shared" si="7"/>
        <v>0</v>
      </c>
      <c r="AA35" s="86">
        <f ca="1">_xlfn.XLOOKUP(Y35,'Case Type'!A:A,'Case Type'!H:H)*Z35</f>
        <v>0</v>
      </c>
    </row>
    <row r="36" spans="1:27">
      <c r="A36" s="86" t="s">
        <v>62</v>
      </c>
      <c r="B36" s="86" t="str">
        <f>_xlfn.XLOOKUP(A36,'Product List'!B:B,'Product List'!I:I)</f>
        <v>MINI/MOE BENDABLE BIRCHWOOD FENCE</v>
      </c>
      <c r="C36" s="86">
        <v>0</v>
      </c>
      <c r="D36" s="86">
        <f>SUMIFS(Purchase!F:F,Purchase!C:C,A36,Purchase!I:I,"&gt;"&amp;$C$1,Purchase!V:V,"&lt;&gt;暂缓发货",Purchase!U:U,"HOU")</f>
        <v>0</v>
      </c>
      <c r="E36" s="86">
        <f>SUMIFS(Purchase!F:F,Purchase!C:C,A36,Purchase!J:J,"&gt;0",Purchase!I:I,"&gt;"&amp;$C$1,Purchase!U:U,"HOU")</f>
        <v>0</v>
      </c>
      <c r="F36" s="86">
        <f>SUMIFS(Sales!E:E,Sales!C:C,A36,Sales!K:K,"&gt;"&amp;$C$1,Sales!I:I,"HOU")</f>
        <v>0</v>
      </c>
      <c r="G36" s="86">
        <f>SUMIFS(Sales!E:E,Sales!C:C,A36,Sales!K:K,"&gt;"&amp;$C$1,Sales!L:L,"&gt;0",Sales!I:I,"HOU")</f>
        <v>0</v>
      </c>
      <c r="H36" s="365">
        <f ca="1">C36+E36-G36+SUMIFS(Transfer!W:W,Transfer!O:O,A36,Transfer!Q:Q,"HOU",Transfer!U:U,"&gt;"&amp;$C$1)-SUMIFS(Transfer!V:V,Transfer!O:O,A36,Transfer!P:P,"HOU",Transfer!T:T,"&gt;"&amp;$C$1)</f>
        <v>0</v>
      </c>
      <c r="I36" s="86">
        <f ca="1">D36-E36+SUMIFS(Transfer!V:V,Transfer!O:O,A36,Transfer!Q:Q,"HOU")-SUMIFS(Transfer!W:W,Transfer!O:O,A36,Transfer!Q:Q,"HOU")</f>
        <v>0</v>
      </c>
      <c r="J36" s="86">
        <f>SUMIFS(Purchase!F:F,Purchase!C:C,A36,Purchase!V:V,"暂缓发货",Purchase!U:U,"HOU")</f>
        <v>0</v>
      </c>
      <c r="K36" s="86">
        <f t="shared" si="0"/>
        <v>0</v>
      </c>
      <c r="L36" s="86">
        <f ca="1" t="shared" si="1"/>
        <v>0</v>
      </c>
      <c r="M36" s="365">
        <f ca="1" t="shared" si="2"/>
        <v>0</v>
      </c>
      <c r="N36" s="86" t="str">
        <f ca="1">_xlfn.XLOOKUP(A36,'Product List'!B:B,'Product List'!F:F)</f>
        <v>B</v>
      </c>
      <c r="O36" s="366">
        <f>SUMIFS('Weekly Sales'!R:R,'Weekly Sales'!B:B,A36,'Weekly Sales'!U:U,"HOU")</f>
        <v>16</v>
      </c>
      <c r="P36" s="367">
        <f ca="1" t="shared" si="3"/>
        <v>0</v>
      </c>
      <c r="Q36" s="367">
        <f ca="1" t="shared" si="4"/>
        <v>0</v>
      </c>
      <c r="R36" s="86">
        <f>_xlfn.XLOOKUP(A36,'Product List'!B:B,'Product List'!P:P)</f>
        <v>15</v>
      </c>
      <c r="S36" s="86">
        <f ca="1" t="shared" si="5"/>
        <v>5</v>
      </c>
      <c r="T36" s="366">
        <f ca="1">SUMIFS('Weekly Sales'!T:T,'Weekly Sales'!B:B,A36,'Weekly Sales'!U:U,"HOU")</f>
        <v>84</v>
      </c>
      <c r="U36" s="86">
        <f>_xlfn.XLOOKUP(A36,'Product List'!B:B,'Product List'!O:O)</f>
        <v>500</v>
      </c>
      <c r="V36" s="368">
        <f ca="1" t="shared" si="6"/>
        <v>448</v>
      </c>
      <c r="W36" s="86" cm="1">
        <f ca="1" t="array" ref="W36">_xlfn.XLOOKUP(1,('Case Pack'!A:A=A36)*('Case Pack'!F:F&lt;=TODAY()),'Case Pack'!D:D,"未找到箱规")</f>
        <v>32</v>
      </c>
      <c r="X36" s="86" t="str">
        <f>_xlfn.XLOOKUP(A36,'Product List'!B:B,'Product List'!M:M)</f>
        <v>PSP,  PetcoUS</v>
      </c>
      <c r="Y36" s="86" t="str" cm="1">
        <f ca="1" t="array" ref="Y36">_xlfn.XLOOKUP(1,('Case Pack'!A:A=A36)*('Case Pack'!F:F&lt;=TODAY()),'Case Pack'!G:G,"未找到箱规")</f>
        <v>F</v>
      </c>
      <c r="Z36" s="86">
        <f ca="1" t="shared" si="7"/>
        <v>14</v>
      </c>
      <c r="AA36" s="86">
        <f ca="1">_xlfn.XLOOKUP(Y36,'Case Type'!A:A,'Case Type'!H:H)*Z36</f>
        <v>0.51389832704</v>
      </c>
    </row>
    <row r="37" spans="1:27">
      <c r="A37" s="94" t="s">
        <v>63</v>
      </c>
      <c r="B37" s="86" t="str">
        <f>_xlfn.XLOOKUP(A37,'Product List'!B:B,'Product List'!I:I)</f>
        <v>Crystal Outdoor Cage</v>
      </c>
      <c r="C37" s="86">
        <v>0</v>
      </c>
      <c r="D37" s="86">
        <f>SUMIFS(Purchase!F:F,Purchase!C:C,A37,Purchase!I:I,"&gt;"&amp;$C$1,Purchase!V:V,"&lt;&gt;暂缓发货",Purchase!U:U,"HOU")</f>
        <v>0</v>
      </c>
      <c r="E37" s="86">
        <f>SUMIFS(Purchase!F:F,Purchase!C:C,A37,Purchase!J:J,"&gt;0",Purchase!I:I,"&gt;"&amp;$C$1,Purchase!U:U,"HOU")</f>
        <v>0</v>
      </c>
      <c r="F37" s="86">
        <f>SUMIFS(Sales!E:E,Sales!C:C,A37,Sales!K:K,"&gt;"&amp;$C$1,Sales!I:I,"HOU")</f>
        <v>0</v>
      </c>
      <c r="G37" s="86">
        <f>SUMIFS(Sales!E:E,Sales!C:C,A37,Sales!K:K,"&gt;"&amp;$C$1,Sales!L:L,"&gt;0",Sales!I:I,"HOU")</f>
        <v>0</v>
      </c>
      <c r="H37" s="365">
        <f ca="1">C37+E37-G37+SUMIFS(Transfer!W:W,Transfer!O:O,A37,Transfer!Q:Q,"HOU",Transfer!U:U,"&gt;"&amp;$C$1)-SUMIFS(Transfer!V:V,Transfer!O:O,A37,Transfer!P:P,"HOU",Transfer!T:T,"&gt;"&amp;$C$1)</f>
        <v>0</v>
      </c>
      <c r="I37" s="86">
        <f ca="1">D37-E37+SUMIFS(Transfer!V:V,Transfer!O:O,A37,Transfer!Q:Q,"HOU")-SUMIFS(Transfer!W:W,Transfer!O:O,A37,Transfer!Q:Q,"HOU")</f>
        <v>0</v>
      </c>
      <c r="J37" s="86">
        <f>SUMIFS(Purchase!F:F,Purchase!C:C,A37,Purchase!V:V,"暂缓发货",Purchase!U:U,"HOU")</f>
        <v>0</v>
      </c>
      <c r="K37" s="86">
        <f t="shared" si="0"/>
        <v>0</v>
      </c>
      <c r="L37" s="86">
        <f ca="1" t="shared" si="1"/>
        <v>0</v>
      </c>
      <c r="M37" s="365">
        <f ca="1" t="shared" si="2"/>
        <v>0</v>
      </c>
      <c r="N37" s="86" t="str">
        <f ca="1">_xlfn.XLOOKUP(A37,'Product List'!B:B,'Product List'!F:F)</f>
        <v>C</v>
      </c>
      <c r="O37" s="366">
        <f>SUMIFS('Weekly Sales'!R:R,'Weekly Sales'!B:B,A37,'Weekly Sales'!U:U,"HOU")</f>
        <v>0.666666666666667</v>
      </c>
      <c r="P37" s="367">
        <f ca="1" t="shared" si="3"/>
        <v>0</v>
      </c>
      <c r="Q37" s="367">
        <f ca="1" t="shared" si="4"/>
        <v>0</v>
      </c>
      <c r="R37" s="86">
        <f>_xlfn.XLOOKUP(A37,'Product List'!B:B,'Product List'!P:P)</f>
        <v>10</v>
      </c>
      <c r="S37" s="86">
        <f ca="1" t="shared" si="5"/>
        <v>2</v>
      </c>
      <c r="T37" s="366">
        <f ca="1">SUMIFS('Weekly Sales'!T:T,'Weekly Sales'!B:B,A37,'Weekly Sales'!U:U,"HOU")</f>
        <v>0</v>
      </c>
      <c r="U37" s="86">
        <f>_xlfn.XLOOKUP(A37,'Product List'!B:B,'Product List'!O:O)</f>
        <v>1000</v>
      </c>
      <c r="V37" s="368">
        <f ca="1" t="shared" si="6"/>
        <v>10</v>
      </c>
      <c r="W37" s="86" cm="1">
        <f ca="1" t="array" ref="W37">_xlfn.XLOOKUP(1,('Case Pack'!A:A=A37)*('Case Pack'!F:F&lt;=TODAY()),'Case Pack'!D:D,"未找到箱规")</f>
        <v>5</v>
      </c>
      <c r="X37" s="86" t="str">
        <f>_xlfn.XLOOKUP(A37,'Product List'!B:B,'Product List'!M:M)</f>
        <v>PetcoMX,PSP，Canada</v>
      </c>
      <c r="Y37" s="86" t="str" cm="1">
        <f ca="1" t="array" ref="Y37">_xlfn.XLOOKUP(1,('Case Pack'!A:A=A37)*('Case Pack'!F:F&lt;=TODAY()),'Case Pack'!G:G,"未找到箱规")</f>
        <v>A</v>
      </c>
      <c r="Z37" s="86">
        <f ca="1" t="shared" si="7"/>
        <v>2</v>
      </c>
      <c r="AA37" s="86">
        <f ca="1">_xlfn.XLOOKUP(Y37,'Case Type'!A:A,'Case Type'!H:H)*Z37</f>
        <v>0.22024214016</v>
      </c>
    </row>
    <row r="38" spans="1:27">
      <c r="A38" s="94" t="s">
        <v>64</v>
      </c>
      <c r="B38" s="86" t="str">
        <f>_xlfn.XLOOKUP(A38,'Product List'!B:B,'Product List'!I:I)</f>
        <v>D. MMO-COTTAGE VIEW CAGE</v>
      </c>
      <c r="C38" s="86">
        <v>0</v>
      </c>
      <c r="D38" s="86">
        <f>SUMIFS(Purchase!F:F,Purchase!C:C,A38,Purchase!I:I,"&gt;"&amp;$C$1,Purchase!V:V,"&lt;&gt;暂缓发货",Purchase!U:U,"HOU")</f>
        <v>0</v>
      </c>
      <c r="E38" s="86">
        <f>SUMIFS(Purchase!F:F,Purchase!C:C,A38,Purchase!J:J,"&gt;0",Purchase!I:I,"&gt;"&amp;$C$1,Purchase!U:U,"HOU")</f>
        <v>0</v>
      </c>
      <c r="F38" s="86">
        <f>SUMIFS(Sales!E:E,Sales!C:C,A38,Sales!K:K,"&gt;"&amp;$C$1,Sales!I:I,"HOU")</f>
        <v>0</v>
      </c>
      <c r="G38" s="86">
        <f>SUMIFS(Sales!E:E,Sales!C:C,A38,Sales!K:K,"&gt;"&amp;$C$1,Sales!L:L,"&gt;0",Sales!I:I,"HOU")</f>
        <v>0</v>
      </c>
      <c r="H38" s="365">
        <f ca="1">C38+E38-G38+SUMIFS(Transfer!W:W,Transfer!O:O,A38,Transfer!Q:Q,"HOU",Transfer!U:U,"&gt;"&amp;$C$1)-SUMIFS(Transfer!V:V,Transfer!O:O,A38,Transfer!P:P,"HOU",Transfer!T:T,"&gt;"&amp;$C$1)</f>
        <v>0</v>
      </c>
      <c r="I38" s="86">
        <f ca="1">D38-E38+SUMIFS(Transfer!V:V,Transfer!O:O,A38,Transfer!Q:Q,"HOU")-SUMIFS(Transfer!W:W,Transfer!O:O,A38,Transfer!Q:Q,"HOU")</f>
        <v>0</v>
      </c>
      <c r="J38" s="86">
        <f>SUMIFS(Purchase!F:F,Purchase!C:C,A38,Purchase!V:V,"暂缓发货",Purchase!U:U,"HOU")</f>
        <v>0</v>
      </c>
      <c r="K38" s="86">
        <f t="shared" si="0"/>
        <v>0</v>
      </c>
      <c r="L38" s="86">
        <f ca="1" t="shared" si="1"/>
        <v>0</v>
      </c>
      <c r="M38" s="365">
        <f ca="1" t="shared" si="2"/>
        <v>0</v>
      </c>
      <c r="N38" s="86" t="str">
        <f ca="1">_xlfn.XLOOKUP(A38,'Product List'!B:B,'Product List'!F:F)</f>
        <v>A</v>
      </c>
      <c r="O38" s="366">
        <f>SUMIFS('Weekly Sales'!R:R,'Weekly Sales'!B:B,A38,'Weekly Sales'!U:U,"HOU")</f>
        <v>0</v>
      </c>
      <c r="P38" s="367">
        <f ca="1" t="shared" si="3"/>
        <v>999</v>
      </c>
      <c r="Q38" s="367">
        <f ca="1" t="shared" si="4"/>
        <v>999</v>
      </c>
      <c r="R38" s="86">
        <f>_xlfn.XLOOKUP(A38,'Product List'!B:B,'Product List'!P:P)</f>
        <v>10</v>
      </c>
      <c r="S38" s="86">
        <f ca="1" t="shared" si="5"/>
        <v>6</v>
      </c>
      <c r="T38" s="366">
        <f ca="1">SUMIFS('Weekly Sales'!T:T,'Weekly Sales'!B:B,A38,'Weekly Sales'!U:U,"HOU")</f>
        <v>0</v>
      </c>
      <c r="U38" s="86">
        <f>_xlfn.XLOOKUP(A38,'Product List'!B:B,'Product List'!O:O)</f>
        <v>1000</v>
      </c>
      <c r="V38" s="368">
        <f ca="1" t="shared" si="6"/>
        <v>0</v>
      </c>
      <c r="W38" s="86" cm="1">
        <f ca="1" t="array" ref="W38">_xlfn.XLOOKUP(1,('Case Pack'!A:A=A38)*('Case Pack'!F:F&lt;=TODAY()),'Case Pack'!D:D,"未找到箱规")</f>
        <v>1</v>
      </c>
      <c r="X38" s="86" t="str">
        <f>_xlfn.XLOOKUP(A38,'Product List'!B:B,'Product List'!M:M)</f>
        <v>PSP, PetcoUS, PetcoMX</v>
      </c>
      <c r="Y38" s="86" t="str" cm="1">
        <f ca="1" t="array" ref="Y38">_xlfn.XLOOKUP(1,('Case Pack'!A:A=A38)*('Case Pack'!F:F&lt;=TODAY()),'Case Pack'!G:G,"未找到箱规")</f>
        <v>S3</v>
      </c>
      <c r="Z38" s="86">
        <f ca="1" t="shared" si="7"/>
        <v>0</v>
      </c>
      <c r="AA38" s="86">
        <f ca="1">_xlfn.XLOOKUP(Y38,'Case Type'!A:A,'Case Type'!H:H)*Z38</f>
        <v>0</v>
      </c>
    </row>
    <row r="39" spans="1:27">
      <c r="A39" s="86" t="s">
        <v>65</v>
      </c>
      <c r="B39" s="86" t="str">
        <f>_xlfn.XLOOKUP(A39,'Product List'!B:B,'Product List'!I:I)</f>
        <v>MINI/MOE ROCKING BIRDHOUSE HIDE 1EA</v>
      </c>
      <c r="C39" s="86">
        <v>0</v>
      </c>
      <c r="D39" s="86">
        <f>SUMIFS(Purchase!F:F,Purchase!C:C,A39,Purchase!I:I,"&gt;"&amp;$C$1,Purchase!V:V,"&lt;&gt;暂缓发货",Purchase!U:U,"HOU")</f>
        <v>0</v>
      </c>
      <c r="E39" s="86">
        <f>SUMIFS(Purchase!F:F,Purchase!C:C,A39,Purchase!J:J,"&gt;0",Purchase!I:I,"&gt;"&amp;$C$1,Purchase!U:U,"HOU")</f>
        <v>0</v>
      </c>
      <c r="F39" s="86">
        <f>SUMIFS(Sales!E:E,Sales!C:C,A39,Sales!K:K,"&gt;"&amp;$C$1,Sales!I:I,"HOU")</f>
        <v>0</v>
      </c>
      <c r="G39" s="86">
        <f>SUMIFS(Sales!E:E,Sales!C:C,A39,Sales!K:K,"&gt;"&amp;$C$1,Sales!L:L,"&gt;0",Sales!I:I,"HOU")</f>
        <v>0</v>
      </c>
      <c r="H39" s="365">
        <f ca="1">C39+E39-G39+SUMIFS(Transfer!W:W,Transfer!O:O,A39,Transfer!Q:Q,"HOU",Transfer!U:U,"&gt;"&amp;$C$1)-SUMIFS(Transfer!V:V,Transfer!O:O,A39,Transfer!P:P,"HOU",Transfer!T:T,"&gt;"&amp;$C$1)</f>
        <v>0</v>
      </c>
      <c r="I39" s="86">
        <f ca="1">D39-E39+SUMIFS(Transfer!V:V,Transfer!O:O,A39,Transfer!Q:Q,"HOU")-SUMIFS(Transfer!W:W,Transfer!O:O,A39,Transfer!Q:Q,"HOU")</f>
        <v>0</v>
      </c>
      <c r="J39" s="86">
        <f>SUMIFS(Purchase!F:F,Purchase!C:C,A39,Purchase!V:V,"暂缓发货",Purchase!U:U,"HOU")</f>
        <v>0</v>
      </c>
      <c r="K39" s="86">
        <f t="shared" si="0"/>
        <v>0</v>
      </c>
      <c r="L39" s="86">
        <f ca="1" t="shared" si="1"/>
        <v>0</v>
      </c>
      <c r="M39" s="365">
        <f ca="1" t="shared" si="2"/>
        <v>0</v>
      </c>
      <c r="N39" s="86" t="str">
        <f ca="1">_xlfn.XLOOKUP(A39,'Product List'!B:B,'Product List'!F:F)</f>
        <v>C</v>
      </c>
      <c r="O39" s="366">
        <f>SUMIFS('Weekly Sales'!R:R,'Weekly Sales'!B:B,A39,'Weekly Sales'!U:U,"HOU")</f>
        <v>0</v>
      </c>
      <c r="P39" s="367">
        <f ca="1" t="shared" si="3"/>
        <v>999</v>
      </c>
      <c r="Q39" s="367">
        <f ca="1" t="shared" si="4"/>
        <v>999</v>
      </c>
      <c r="R39" s="86">
        <f>_xlfn.XLOOKUP(A39,'Product List'!B:B,'Product List'!P:P)</f>
        <v>10</v>
      </c>
      <c r="S39" s="86">
        <f ca="1" t="shared" si="5"/>
        <v>2</v>
      </c>
      <c r="T39" s="366">
        <f ca="1">SUMIFS('Weekly Sales'!T:T,'Weekly Sales'!B:B,A39,'Weekly Sales'!U:U,"HOU")</f>
        <v>0</v>
      </c>
      <c r="U39" s="86">
        <f>_xlfn.XLOOKUP(A39,'Product List'!B:B,'Product List'!O:O)</f>
        <v>500</v>
      </c>
      <c r="V39" s="368">
        <f ca="1" t="shared" si="6"/>
        <v>0</v>
      </c>
      <c r="W39" s="86" cm="1">
        <f ca="1" t="array" ref="W39">_xlfn.XLOOKUP(1,('Case Pack'!A:A=A39)*('Case Pack'!F:F&lt;=TODAY()),'Case Pack'!D:D,"未找到箱规")</f>
        <v>18</v>
      </c>
      <c r="X39" s="86" t="str">
        <f>_xlfn.XLOOKUP(A39,'Product List'!B:B,'Product List'!M:M)</f>
        <v>PSP</v>
      </c>
      <c r="Y39" s="86" t="str" cm="1">
        <f ca="1" t="array" ref="Y39">_xlfn.XLOOKUP(1,('Case Pack'!A:A=A39)*('Case Pack'!F:F&lt;=TODAY()),'Case Pack'!G:G,"未找到箱规")</f>
        <v>C</v>
      </c>
      <c r="Z39" s="86">
        <f ca="1" t="shared" si="7"/>
        <v>0</v>
      </c>
      <c r="AA39" s="86">
        <f ca="1">_xlfn.XLOOKUP(Y39,'Case Type'!A:A,'Case Type'!H:H)*Z39</f>
        <v>0</v>
      </c>
    </row>
    <row r="40" spans="1:27">
      <c r="A40" s="94" t="s">
        <v>66</v>
      </c>
      <c r="B40" s="86" t="str">
        <f>_xlfn.XLOOKUP(A40,'Product List'!B:B,'Product List'!I:I)</f>
        <v>Bubble water bottle (color:green)</v>
      </c>
      <c r="C40" s="86">
        <v>0</v>
      </c>
      <c r="D40" s="86">
        <f>SUMIFS(Purchase!F:F,Purchase!C:C,A40,Purchase!I:I,"&gt;"&amp;$C$1,Purchase!V:V,"&lt;&gt;暂缓发货",Purchase!U:U,"HOU")</f>
        <v>0</v>
      </c>
      <c r="E40" s="86">
        <f>SUMIFS(Purchase!F:F,Purchase!C:C,A40,Purchase!J:J,"&gt;0",Purchase!I:I,"&gt;"&amp;$C$1,Purchase!U:U,"HOU")</f>
        <v>0</v>
      </c>
      <c r="F40" s="86">
        <f>SUMIFS(Sales!E:E,Sales!C:C,A40,Sales!K:K,"&gt;"&amp;$C$1,Sales!I:I,"HOU")</f>
        <v>0</v>
      </c>
      <c r="G40" s="86">
        <f>SUMIFS(Sales!E:E,Sales!C:C,A40,Sales!K:K,"&gt;"&amp;$C$1,Sales!L:L,"&gt;0",Sales!I:I,"HOU")</f>
        <v>0</v>
      </c>
      <c r="H40" s="365">
        <f ca="1">C40+E40-G40+SUMIFS(Transfer!W:W,Transfer!O:O,A40,Transfer!Q:Q,"HOU",Transfer!U:U,"&gt;"&amp;$C$1)-SUMIFS(Transfer!V:V,Transfer!O:O,A40,Transfer!P:P,"HOU",Transfer!T:T,"&gt;"&amp;$C$1)</f>
        <v>0</v>
      </c>
      <c r="I40" s="86">
        <f ca="1">D40-E40+SUMIFS(Transfer!V:V,Transfer!O:O,A40,Transfer!Q:Q,"HOU")-SUMIFS(Transfer!W:W,Transfer!O:O,A40,Transfer!Q:Q,"HOU")</f>
        <v>0</v>
      </c>
      <c r="J40" s="86">
        <f>SUMIFS(Purchase!F:F,Purchase!C:C,A40,Purchase!V:V,"暂缓发货",Purchase!U:U,"HOU")</f>
        <v>0</v>
      </c>
      <c r="K40" s="86">
        <f t="shared" si="0"/>
        <v>0</v>
      </c>
      <c r="L40" s="86">
        <f ca="1" t="shared" si="1"/>
        <v>0</v>
      </c>
      <c r="M40" s="365">
        <f ca="1" t="shared" si="2"/>
        <v>0</v>
      </c>
      <c r="N40" s="86" t="str">
        <f ca="1">_xlfn.XLOOKUP(A40,'Product List'!B:B,'Product List'!F:F)</f>
        <v>C</v>
      </c>
      <c r="O40" s="366">
        <f>SUMIFS('Weekly Sales'!R:R,'Weekly Sales'!B:B,A40,'Weekly Sales'!U:U,"HOU")</f>
        <v>0</v>
      </c>
      <c r="P40" s="367">
        <f ca="1" t="shared" si="3"/>
        <v>999</v>
      </c>
      <c r="Q40" s="367">
        <f ca="1" t="shared" si="4"/>
        <v>999</v>
      </c>
      <c r="R40" s="86">
        <f>_xlfn.XLOOKUP(A40,'Product List'!B:B,'Product List'!P:P)</f>
        <v>10</v>
      </c>
      <c r="S40" s="86">
        <f ca="1" t="shared" si="5"/>
        <v>2</v>
      </c>
      <c r="T40" s="366">
        <f ca="1">SUMIFS('Weekly Sales'!T:T,'Weekly Sales'!B:B,A40,'Weekly Sales'!U:U,"HOU")</f>
        <v>0</v>
      </c>
      <c r="U40" s="86">
        <f>_xlfn.XLOOKUP(A40,'Product List'!B:B,'Product List'!O:O)</f>
        <v>1000</v>
      </c>
      <c r="V40" s="368">
        <f ca="1" t="shared" si="6"/>
        <v>0</v>
      </c>
      <c r="W40" s="86" cm="1">
        <f ca="1" t="array" ref="W40">_xlfn.XLOOKUP(1,('Case Pack'!A:A=A40)*('Case Pack'!F:F&lt;=TODAY()),'Case Pack'!D:D,"未找到箱规")</f>
        <v>18</v>
      </c>
      <c r="X40" s="86" t="str">
        <f>_xlfn.XLOOKUP(A40,'Product List'!B:B,'Product List'!M:M)</f>
        <v>Pet Supermarket,PetcoMX</v>
      </c>
      <c r="Y40" s="86" t="str" cm="1">
        <f ca="1" t="array" ref="Y40">_xlfn.XLOOKUP(1,('Case Pack'!A:A=A40)*('Case Pack'!F:F&lt;=TODAY()),'Case Pack'!G:G,"未找到箱规")</f>
        <v>B</v>
      </c>
      <c r="Z40" s="86">
        <f ca="1" t="shared" si="7"/>
        <v>0</v>
      </c>
      <c r="AA40" s="86">
        <f ca="1">_xlfn.XLOOKUP(Y40,'Case Type'!A:A,'Case Type'!H:H)*Z40</f>
        <v>0</v>
      </c>
    </row>
    <row r="41" spans="1:27">
      <c r="A41" s="86" t="s">
        <v>67</v>
      </c>
      <c r="B41" s="86" t="str">
        <f>_xlfn.XLOOKUP(A41,'Product List'!B:B,'Product List'!I:I)</f>
        <v>MMO-BUBBLE WATER BOTTLE</v>
      </c>
      <c r="C41" s="86">
        <v>0</v>
      </c>
      <c r="D41" s="86">
        <f>SUMIFS(Purchase!F:F,Purchase!C:C,A41,Purchase!I:I,"&gt;"&amp;$C$1,Purchase!V:V,"&lt;&gt;暂缓发货",Purchase!U:U,"HOU")</f>
        <v>0</v>
      </c>
      <c r="E41" s="86">
        <f>SUMIFS(Purchase!F:F,Purchase!C:C,A41,Purchase!J:J,"&gt;0",Purchase!I:I,"&gt;"&amp;$C$1,Purchase!U:U,"HOU")</f>
        <v>0</v>
      </c>
      <c r="F41" s="86">
        <f>SUMIFS(Sales!E:E,Sales!C:C,A41,Sales!K:K,"&gt;"&amp;$C$1,Sales!I:I,"HOU")</f>
        <v>0</v>
      </c>
      <c r="G41" s="86">
        <f>SUMIFS(Sales!E:E,Sales!C:C,A41,Sales!K:K,"&gt;"&amp;$C$1,Sales!L:L,"&gt;0",Sales!I:I,"HOU")</f>
        <v>0</v>
      </c>
      <c r="H41" s="365">
        <f ca="1">C41+E41-G41+SUMIFS(Transfer!W:W,Transfer!O:O,A41,Transfer!Q:Q,"HOU",Transfer!U:U,"&gt;"&amp;$C$1)-SUMIFS(Transfer!V:V,Transfer!O:O,A41,Transfer!P:P,"HOU",Transfer!T:T,"&gt;"&amp;$C$1)</f>
        <v>0</v>
      </c>
      <c r="I41" s="86">
        <f ca="1">D41-E41+SUMIFS(Transfer!V:V,Transfer!O:O,A41,Transfer!Q:Q,"HOU")-SUMIFS(Transfer!W:W,Transfer!O:O,A41,Transfer!Q:Q,"HOU")</f>
        <v>0</v>
      </c>
      <c r="J41" s="86">
        <f>SUMIFS(Purchase!F:F,Purchase!C:C,A41,Purchase!V:V,"暂缓发货",Purchase!U:U,"HOU")</f>
        <v>0</v>
      </c>
      <c r="K41" s="86">
        <f t="shared" si="0"/>
        <v>0</v>
      </c>
      <c r="L41" s="86">
        <f ca="1" t="shared" si="1"/>
        <v>0</v>
      </c>
      <c r="M41" s="365">
        <f ca="1" t="shared" si="2"/>
        <v>0</v>
      </c>
      <c r="N41" s="86" t="str">
        <f ca="1">_xlfn.XLOOKUP(A41,'Product List'!B:B,'Product List'!F:F)</f>
        <v>A</v>
      </c>
      <c r="O41" s="366">
        <f>SUMIFS('Weekly Sales'!R:R,'Weekly Sales'!B:B,A41,'Weekly Sales'!U:U,"HOU")</f>
        <v>3.5</v>
      </c>
      <c r="P41" s="367">
        <f ca="1" t="shared" si="3"/>
        <v>0</v>
      </c>
      <c r="Q41" s="367">
        <f ca="1" t="shared" si="4"/>
        <v>0</v>
      </c>
      <c r="R41" s="86">
        <f>_xlfn.XLOOKUP(A41,'Product List'!B:B,'Product List'!P:P)</f>
        <v>10</v>
      </c>
      <c r="S41" s="86">
        <f ca="1" t="shared" si="5"/>
        <v>6</v>
      </c>
      <c r="T41" s="366">
        <f ca="1">SUMIFS('Weekly Sales'!T:T,'Weekly Sales'!B:B,A41,'Weekly Sales'!U:U,"HOU")</f>
        <v>36.75</v>
      </c>
      <c r="U41" s="86">
        <f>_xlfn.XLOOKUP(A41,'Product List'!B:B,'Product List'!O:O)</f>
        <v>1000</v>
      </c>
      <c r="V41" s="368">
        <f ca="1" t="shared" si="6"/>
        <v>126</v>
      </c>
      <c r="W41" s="86" cm="1">
        <f ca="1" t="array" ref="W41">_xlfn.XLOOKUP(1,('Case Pack'!A:A=A41)*('Case Pack'!F:F&lt;=TODAY()),'Case Pack'!D:D,"未找到箱规")</f>
        <v>42</v>
      </c>
      <c r="X41" s="86" t="str">
        <f>_xlfn.XLOOKUP(A41,'Product List'!B:B,'Product List'!M:M)</f>
        <v>PetcoUS,PSP</v>
      </c>
      <c r="Y41" s="86" t="str" cm="1">
        <f ca="1" t="array" ref="Y41">_xlfn.XLOOKUP(1,('Case Pack'!A:A=A41)*('Case Pack'!F:F&lt;=TODAY()),'Case Pack'!G:G,"未找到箱规")</f>
        <v>C</v>
      </c>
      <c r="Z41" s="86">
        <f ca="1" t="shared" si="7"/>
        <v>3</v>
      </c>
      <c r="AA41" s="86">
        <f ca="1">_xlfn.XLOOKUP(Y41,'Case Type'!A:A,'Case Type'!H:H)*Z41</f>
        <v>0.4719474432</v>
      </c>
    </row>
    <row r="42" spans="1:27">
      <c r="A42" s="86" t="s">
        <v>68</v>
      </c>
      <c r="B42" s="86" t="str">
        <f>_xlfn.XLOOKUP(A42,'Product List'!B:B,'Product List'!I:I)</f>
        <v>MMO-PAPER TWIST BLU/WHT</v>
      </c>
      <c r="C42" s="86">
        <v>0</v>
      </c>
      <c r="D42" s="86">
        <f>SUMIFS(Purchase!F:F,Purchase!C:C,A42,Purchase!I:I,"&gt;"&amp;$C$1,Purchase!V:V,"&lt;&gt;暂缓发货",Purchase!U:U,"HOU")</f>
        <v>0</v>
      </c>
      <c r="E42" s="86">
        <f>SUMIFS(Purchase!F:F,Purchase!C:C,A42,Purchase!J:J,"&gt;0",Purchase!I:I,"&gt;"&amp;$C$1,Purchase!U:U,"HOU")</f>
        <v>0</v>
      </c>
      <c r="F42" s="86">
        <f>SUMIFS(Sales!E:E,Sales!C:C,A42,Sales!K:K,"&gt;"&amp;$C$1,Sales!I:I,"HOU")</f>
        <v>0</v>
      </c>
      <c r="G42" s="86">
        <f>SUMIFS(Sales!E:E,Sales!C:C,A42,Sales!K:K,"&gt;"&amp;$C$1,Sales!L:L,"&gt;0",Sales!I:I,"HOU")</f>
        <v>0</v>
      </c>
      <c r="H42" s="365">
        <f ca="1">C42+E42-G42+SUMIFS(Transfer!W:W,Transfer!O:O,A42,Transfer!Q:Q,"HOU",Transfer!U:U,"&gt;"&amp;$C$1)-SUMIFS(Transfer!V:V,Transfer!O:O,A42,Transfer!P:P,"HOU",Transfer!T:T,"&gt;"&amp;$C$1)</f>
        <v>0</v>
      </c>
      <c r="I42" s="86">
        <f ca="1">D42-E42+SUMIFS(Transfer!V:V,Transfer!O:O,A42,Transfer!Q:Q,"HOU")-SUMIFS(Transfer!W:W,Transfer!O:O,A42,Transfer!Q:Q,"HOU")</f>
        <v>0</v>
      </c>
      <c r="J42" s="86">
        <f>SUMIFS(Purchase!F:F,Purchase!C:C,A42,Purchase!V:V,"暂缓发货",Purchase!U:U,"HOU")</f>
        <v>0</v>
      </c>
      <c r="K42" s="86">
        <f t="shared" si="0"/>
        <v>0</v>
      </c>
      <c r="L42" s="86">
        <f ca="1" t="shared" si="1"/>
        <v>0</v>
      </c>
      <c r="M42" s="365">
        <f ca="1" t="shared" si="2"/>
        <v>0</v>
      </c>
      <c r="N42" s="86" t="str">
        <f ca="1">_xlfn.XLOOKUP(A42,'Product List'!B:B,'Product List'!F:F)</f>
        <v>B</v>
      </c>
      <c r="O42" s="366">
        <f>SUMIFS('Weekly Sales'!R:R,'Weekly Sales'!B:B,A42,'Weekly Sales'!U:U,"HOU")</f>
        <v>0</v>
      </c>
      <c r="P42" s="367">
        <f ca="1" t="shared" si="3"/>
        <v>999</v>
      </c>
      <c r="Q42" s="367">
        <f ca="1" t="shared" si="4"/>
        <v>999</v>
      </c>
      <c r="R42" s="86">
        <f>_xlfn.XLOOKUP(A42,'Product List'!B:B,'Product List'!P:P)</f>
        <v>10</v>
      </c>
      <c r="S42" s="86">
        <f ca="1" t="shared" si="5"/>
        <v>5</v>
      </c>
      <c r="T42" s="366">
        <f ca="1">SUMIFS('Weekly Sales'!T:T,'Weekly Sales'!B:B,A42,'Weekly Sales'!U:U,"HOU")</f>
        <v>0</v>
      </c>
      <c r="U42" s="86">
        <f>_xlfn.XLOOKUP(A42,'Product List'!B:B,'Product List'!O:O)</f>
        <v>500</v>
      </c>
      <c r="V42" s="368">
        <f ca="1" t="shared" si="6"/>
        <v>0</v>
      </c>
      <c r="W42" s="86" cm="1">
        <f ca="1" t="array" ref="W42">_xlfn.XLOOKUP(1,('Case Pack'!A:A=A42)*('Case Pack'!F:F&lt;=TODAY()),'Case Pack'!D:D,"未找到箱规")</f>
        <v>30</v>
      </c>
      <c r="X42" s="86" t="str">
        <f>_xlfn.XLOOKUP(A42,'Product List'!B:B,'Product List'!M:M)</f>
        <v>PetcoUS，PSP</v>
      </c>
      <c r="Y42" s="86" t="str" cm="1">
        <f ca="1" t="array" ref="Y42">_xlfn.XLOOKUP(1,('Case Pack'!A:A=A42)*('Case Pack'!F:F&lt;=TODAY()),'Case Pack'!G:G,"未找到箱规")</f>
        <v>A</v>
      </c>
      <c r="Z42" s="86">
        <f ca="1" t="shared" si="7"/>
        <v>0</v>
      </c>
      <c r="AA42" s="86">
        <f ca="1">_xlfn.XLOOKUP(Y42,'Case Type'!A:A,'Case Type'!H:H)*Z42</f>
        <v>0</v>
      </c>
    </row>
    <row r="43" spans="1:27">
      <c r="A43" s="86" t="s">
        <v>69</v>
      </c>
      <c r="B43" s="86" t="str">
        <f>_xlfn.XLOOKUP(A43,'Product List'!B:B,'Product List'!I:I)</f>
        <v>MINI/MOE SMALL ANIMAL BEDDING PAPER TWISTS</v>
      </c>
      <c r="C43" s="86">
        <v>0</v>
      </c>
      <c r="D43" s="86">
        <f>SUMIFS(Purchase!F:F,Purchase!C:C,A43,Purchase!I:I,"&gt;"&amp;$C$1,Purchase!V:V,"&lt;&gt;暂缓发货",Purchase!U:U,"HOU")</f>
        <v>0</v>
      </c>
      <c r="E43" s="86">
        <f>SUMIFS(Purchase!F:F,Purchase!C:C,A43,Purchase!J:J,"&gt;0",Purchase!I:I,"&gt;"&amp;$C$1,Purchase!U:U,"HOU")</f>
        <v>0</v>
      </c>
      <c r="F43" s="86">
        <f>SUMIFS(Sales!E:E,Sales!C:C,A43,Sales!K:K,"&gt;"&amp;$C$1,Sales!I:I,"HOU")</f>
        <v>0</v>
      </c>
      <c r="G43" s="86">
        <f>SUMIFS(Sales!E:E,Sales!C:C,A43,Sales!K:K,"&gt;"&amp;$C$1,Sales!L:L,"&gt;0",Sales!I:I,"HOU")</f>
        <v>0</v>
      </c>
      <c r="H43" s="365">
        <f ca="1">C43+E43-G43+SUMIFS(Transfer!W:W,Transfer!O:O,A43,Transfer!Q:Q,"HOU",Transfer!U:U,"&gt;"&amp;$C$1)-SUMIFS(Transfer!V:V,Transfer!O:O,A43,Transfer!P:P,"HOU",Transfer!T:T,"&gt;"&amp;$C$1)</f>
        <v>0</v>
      </c>
      <c r="I43" s="86">
        <f ca="1">D43-E43+SUMIFS(Transfer!V:V,Transfer!O:O,A43,Transfer!Q:Q,"HOU")-SUMIFS(Transfer!W:W,Transfer!O:O,A43,Transfer!Q:Q,"HOU")</f>
        <v>0</v>
      </c>
      <c r="J43" s="86">
        <f>SUMIFS(Purchase!F:F,Purchase!C:C,A43,Purchase!V:V,"暂缓发货",Purchase!U:U,"HOU")</f>
        <v>0</v>
      </c>
      <c r="K43" s="86">
        <f t="shared" si="0"/>
        <v>0</v>
      </c>
      <c r="L43" s="86">
        <f ca="1" t="shared" si="1"/>
        <v>0</v>
      </c>
      <c r="M43" s="365">
        <f ca="1" t="shared" si="2"/>
        <v>0</v>
      </c>
      <c r="N43" s="86" t="str">
        <f ca="1">_xlfn.XLOOKUP(A43,'Product List'!B:B,'Product List'!F:F)</f>
        <v>C</v>
      </c>
      <c r="O43" s="366">
        <f>SUMIFS('Weekly Sales'!R:R,'Weekly Sales'!B:B,A43,'Weekly Sales'!U:U,"HOU")</f>
        <v>9.16666666666667</v>
      </c>
      <c r="P43" s="367">
        <f ca="1" t="shared" si="3"/>
        <v>0</v>
      </c>
      <c r="Q43" s="367">
        <f ca="1" t="shared" si="4"/>
        <v>0</v>
      </c>
      <c r="R43" s="86">
        <f>_xlfn.XLOOKUP(A43,'Product List'!B:B,'Product List'!P:P)</f>
        <v>10</v>
      </c>
      <c r="S43" s="86">
        <f ca="1" t="shared" si="5"/>
        <v>2</v>
      </c>
      <c r="T43" s="366">
        <f ca="1">SUMIFS('Weekly Sales'!T:T,'Weekly Sales'!B:B,A43,'Weekly Sales'!U:U,"HOU")</f>
        <v>0</v>
      </c>
      <c r="U43" s="86">
        <f>_xlfn.XLOOKUP(A43,'Product List'!B:B,'Product List'!O:O)</f>
        <v>1000</v>
      </c>
      <c r="V43" s="368">
        <f ca="1" t="shared" si="6"/>
        <v>150</v>
      </c>
      <c r="W43" s="86" cm="1">
        <f ca="1" t="array" ref="W43">_xlfn.XLOOKUP(1,('Case Pack'!A:A=A43)*('Case Pack'!F:F&lt;=TODAY()),'Case Pack'!D:D,"未找到箱规")</f>
        <v>30</v>
      </c>
      <c r="X43" s="86" t="str">
        <f>_xlfn.XLOOKUP(A43,'Product List'!B:B,'Product List'!M:M)</f>
        <v>PSP</v>
      </c>
      <c r="Y43" s="86" t="str" cm="1">
        <f ca="1" t="array" ref="Y43">_xlfn.XLOOKUP(1,('Case Pack'!A:A=A43)*('Case Pack'!F:F&lt;=TODAY()),'Case Pack'!G:G,"未找到箱规")</f>
        <v>A</v>
      </c>
      <c r="Z43" s="86">
        <f ca="1" t="shared" si="7"/>
        <v>5</v>
      </c>
      <c r="AA43" s="86">
        <f ca="1">_xlfn.XLOOKUP(Y43,'Case Type'!A:A,'Case Type'!H:H)*Z43</f>
        <v>0.5506053504</v>
      </c>
    </row>
    <row r="44" spans="1:27">
      <c r="A44" s="86" t="s">
        <v>70</v>
      </c>
      <c r="B44" s="86" t="str">
        <f>_xlfn.XLOOKUP(A44,'Product List'!B:B,'Product List'!I:I)</f>
        <v>Paper twist brown / white bedding</v>
      </c>
      <c r="C44" s="86">
        <v>0</v>
      </c>
      <c r="D44" s="86">
        <f>SUMIFS(Purchase!F:F,Purchase!C:C,A44,Purchase!I:I,"&gt;"&amp;$C$1,Purchase!V:V,"&lt;&gt;暂缓发货",Purchase!U:U,"HOU")</f>
        <v>0</v>
      </c>
      <c r="E44" s="86">
        <f>SUMIFS(Purchase!F:F,Purchase!C:C,A44,Purchase!J:J,"&gt;0",Purchase!I:I,"&gt;"&amp;$C$1,Purchase!U:U,"HOU")</f>
        <v>0</v>
      </c>
      <c r="F44" s="86">
        <f>SUMIFS(Sales!E:E,Sales!C:C,A44,Sales!K:K,"&gt;"&amp;$C$1,Sales!I:I,"HOU")</f>
        <v>0</v>
      </c>
      <c r="G44" s="86">
        <f>SUMIFS(Sales!E:E,Sales!C:C,A44,Sales!K:K,"&gt;"&amp;$C$1,Sales!L:L,"&gt;0",Sales!I:I,"HOU")</f>
        <v>0</v>
      </c>
      <c r="H44" s="365">
        <f ca="1">C44+E44-G44+SUMIFS(Transfer!W:W,Transfer!O:O,A44,Transfer!Q:Q,"HOU",Transfer!U:U,"&gt;"&amp;$C$1)-SUMIFS(Transfer!V:V,Transfer!O:O,A44,Transfer!P:P,"HOU",Transfer!T:T,"&gt;"&amp;$C$1)</f>
        <v>0</v>
      </c>
      <c r="I44" s="86">
        <f ca="1">D44-E44+SUMIFS(Transfer!V:V,Transfer!O:O,A44,Transfer!Q:Q,"HOU")-SUMIFS(Transfer!W:W,Transfer!O:O,A44,Transfer!Q:Q,"HOU")</f>
        <v>0</v>
      </c>
      <c r="J44" s="86">
        <f>SUMIFS(Purchase!F:F,Purchase!C:C,A44,Purchase!V:V,"暂缓发货",Purchase!U:U,"HOU")</f>
        <v>0</v>
      </c>
      <c r="K44" s="86">
        <f t="shared" si="0"/>
        <v>0</v>
      </c>
      <c r="L44" s="86">
        <f ca="1" t="shared" si="1"/>
        <v>0</v>
      </c>
      <c r="M44" s="365">
        <f ca="1" t="shared" si="2"/>
        <v>0</v>
      </c>
      <c r="N44" s="86" t="str">
        <f ca="1">_xlfn.XLOOKUP(A44,'Product List'!B:B,'Product List'!F:F)</f>
        <v>C</v>
      </c>
      <c r="O44" s="366">
        <f>SUMIFS('Weekly Sales'!R:R,'Weekly Sales'!B:B,A44,'Weekly Sales'!U:U,"HOU")</f>
        <v>0.5</v>
      </c>
      <c r="P44" s="367">
        <f ca="1" t="shared" si="3"/>
        <v>0</v>
      </c>
      <c r="Q44" s="367">
        <f ca="1" t="shared" si="4"/>
        <v>0</v>
      </c>
      <c r="R44" s="86">
        <f>_xlfn.XLOOKUP(A44,'Product List'!B:B,'Product List'!P:P)</f>
        <v>10</v>
      </c>
      <c r="S44" s="86">
        <f ca="1" t="shared" si="5"/>
        <v>2</v>
      </c>
      <c r="T44" s="366">
        <f ca="1">SUMIFS('Weekly Sales'!T:T,'Weekly Sales'!B:B,A44,'Weekly Sales'!U:U,"HOU")</f>
        <v>0</v>
      </c>
      <c r="U44" s="86">
        <f>_xlfn.XLOOKUP(A44,'Product List'!B:B,'Product List'!O:O)</f>
        <v>1000</v>
      </c>
      <c r="V44" s="368">
        <f ca="1" t="shared" si="6"/>
        <v>30</v>
      </c>
      <c r="W44" s="86" cm="1">
        <f ca="1" t="array" ref="W44">_xlfn.XLOOKUP(1,('Case Pack'!A:A=A44)*('Case Pack'!F:F&lt;=TODAY()),'Case Pack'!D:D,"未找到箱规")</f>
        <v>30</v>
      </c>
      <c r="X44" s="86" t="str">
        <f>_xlfn.XLOOKUP(A44,'Product List'!B:B,'Product List'!M:M)</f>
        <v>Pet Supermarket，PSP</v>
      </c>
      <c r="Y44" s="86" t="str" cm="1">
        <f ca="1" t="array" ref="Y44">_xlfn.XLOOKUP(1,('Case Pack'!A:A=A44)*('Case Pack'!F:F&lt;=TODAY()),'Case Pack'!G:G,"未找到箱规")</f>
        <v>A</v>
      </c>
      <c r="Z44" s="86">
        <f ca="1" t="shared" si="7"/>
        <v>1</v>
      </c>
      <c r="AA44" s="86">
        <f ca="1">_xlfn.XLOOKUP(Y44,'Case Type'!A:A,'Case Type'!H:H)*Z44</f>
        <v>0.11012107008</v>
      </c>
    </row>
    <row r="45" spans="1:27">
      <c r="A45" s="86" t="s">
        <v>71</v>
      </c>
      <c r="B45" s="86" t="str">
        <f>_xlfn.XLOOKUP(A45,'Product List'!B:B,'Product List'!I:I)</f>
        <v>MINI/MOE SMALL ANIMAL BEDDING PAPER TWISTS BUBBLEGUM 1EA</v>
      </c>
      <c r="C45" s="86">
        <v>0</v>
      </c>
      <c r="D45" s="86">
        <f>SUMIFS(Purchase!F:F,Purchase!C:C,A45,Purchase!I:I,"&gt;"&amp;$C$1,Purchase!V:V,"&lt;&gt;暂缓发货",Purchase!U:U,"HOU")</f>
        <v>0</v>
      </c>
      <c r="E45" s="86">
        <f>SUMIFS(Purchase!F:F,Purchase!C:C,A45,Purchase!J:J,"&gt;0",Purchase!I:I,"&gt;"&amp;$C$1,Purchase!U:U,"HOU")</f>
        <v>0</v>
      </c>
      <c r="F45" s="86">
        <f>SUMIFS(Sales!E:E,Sales!C:C,A45,Sales!K:K,"&gt;"&amp;$C$1,Sales!I:I,"HOU")</f>
        <v>0</v>
      </c>
      <c r="G45" s="86">
        <f>SUMIFS(Sales!E:E,Sales!C:C,A45,Sales!K:K,"&gt;"&amp;$C$1,Sales!L:L,"&gt;0",Sales!I:I,"HOU")</f>
        <v>0</v>
      </c>
      <c r="H45" s="365">
        <f ca="1">C45+E45-G45+SUMIFS(Transfer!W:W,Transfer!O:O,A45,Transfer!Q:Q,"HOU",Transfer!U:U,"&gt;"&amp;$C$1)-SUMIFS(Transfer!V:V,Transfer!O:O,A45,Transfer!P:P,"HOU",Transfer!T:T,"&gt;"&amp;$C$1)</f>
        <v>0</v>
      </c>
      <c r="I45" s="86">
        <f ca="1">D45-E45+SUMIFS(Transfer!V:V,Transfer!O:O,A45,Transfer!Q:Q,"HOU")-SUMIFS(Transfer!W:W,Transfer!O:O,A45,Transfer!Q:Q,"HOU")</f>
        <v>0</v>
      </c>
      <c r="J45" s="86">
        <f>SUMIFS(Purchase!F:F,Purchase!C:C,A45,Purchase!V:V,"暂缓发货",Purchase!U:U,"HOU")</f>
        <v>0</v>
      </c>
      <c r="K45" s="86">
        <f t="shared" si="0"/>
        <v>0</v>
      </c>
      <c r="L45" s="86">
        <f ca="1" t="shared" si="1"/>
        <v>0</v>
      </c>
      <c r="M45" s="365">
        <f ca="1" t="shared" si="2"/>
        <v>0</v>
      </c>
      <c r="N45" s="86" t="str">
        <f ca="1">_xlfn.XLOOKUP(A45,'Product List'!B:B,'Product List'!F:F)</f>
        <v>C</v>
      </c>
      <c r="O45" s="366">
        <f>SUMIFS('Weekly Sales'!R:R,'Weekly Sales'!B:B,A45,'Weekly Sales'!U:U,"HOU")</f>
        <v>1.66666666666667</v>
      </c>
      <c r="P45" s="367">
        <f ca="1" t="shared" si="3"/>
        <v>0</v>
      </c>
      <c r="Q45" s="367">
        <f ca="1" t="shared" si="4"/>
        <v>0</v>
      </c>
      <c r="R45" s="86">
        <f>_xlfn.XLOOKUP(A45,'Product List'!B:B,'Product List'!P:P)</f>
        <v>10</v>
      </c>
      <c r="S45" s="86">
        <f ca="1" t="shared" si="5"/>
        <v>2</v>
      </c>
      <c r="T45" s="366">
        <f ca="1">SUMIFS('Weekly Sales'!T:T,'Weekly Sales'!B:B,A45,'Weekly Sales'!U:U,"HOU")</f>
        <v>0</v>
      </c>
      <c r="U45" s="86">
        <f>_xlfn.XLOOKUP(A45,'Product List'!B:B,'Product List'!O:O)</f>
        <v>1000</v>
      </c>
      <c r="V45" s="368">
        <f ca="1" t="shared" si="6"/>
        <v>30</v>
      </c>
      <c r="W45" s="86" cm="1">
        <f ca="1" t="array" ref="W45">_xlfn.XLOOKUP(1,('Case Pack'!A:A=A45)*('Case Pack'!F:F&lt;=TODAY()),'Case Pack'!D:D,"未找到箱规")</f>
        <v>30</v>
      </c>
      <c r="X45" s="86" t="str">
        <f>_xlfn.XLOOKUP(A45,'Product List'!B:B,'Product List'!M:M)</f>
        <v>PSP</v>
      </c>
      <c r="Y45" s="86" t="str" cm="1">
        <f ca="1" t="array" ref="Y45">_xlfn.XLOOKUP(1,('Case Pack'!A:A=A45)*('Case Pack'!F:F&lt;=TODAY()),'Case Pack'!G:G,"未找到箱规")</f>
        <v>A</v>
      </c>
      <c r="Z45" s="86">
        <f ca="1" t="shared" si="7"/>
        <v>1</v>
      </c>
      <c r="AA45" s="86">
        <f ca="1">_xlfn.XLOOKUP(Y45,'Case Type'!A:A,'Case Type'!H:H)*Z45</f>
        <v>0.11012107008</v>
      </c>
    </row>
    <row r="46" spans="1:27">
      <c r="A46" s="94" t="s">
        <v>72</v>
      </c>
      <c r="B46" s="86" t="str">
        <f>_xlfn.XLOOKUP(A46,'Product List'!B:B,'Product List'!I:I)</f>
        <v>Forest Series Hamster Chew Toy &amp; Treat</v>
      </c>
      <c r="C46" s="86">
        <v>0</v>
      </c>
      <c r="D46" s="86">
        <f>SUMIFS(Purchase!F:F,Purchase!C:C,A46,Purchase!I:I,"&gt;"&amp;$C$1,Purchase!V:V,"&lt;&gt;暂缓发货",Purchase!U:U,"HOU")</f>
        <v>0</v>
      </c>
      <c r="E46" s="86">
        <f>SUMIFS(Purchase!F:F,Purchase!C:C,A46,Purchase!J:J,"&gt;0",Purchase!I:I,"&gt;"&amp;$C$1,Purchase!U:U,"HOU")</f>
        <v>0</v>
      </c>
      <c r="F46" s="86">
        <f>SUMIFS(Sales!E:E,Sales!C:C,A46,Sales!K:K,"&gt;"&amp;$C$1,Sales!I:I,"HOU")</f>
        <v>0</v>
      </c>
      <c r="G46" s="86">
        <f>SUMIFS(Sales!E:E,Sales!C:C,A46,Sales!K:K,"&gt;"&amp;$C$1,Sales!L:L,"&gt;0",Sales!I:I,"HOU")</f>
        <v>0</v>
      </c>
      <c r="H46" s="365">
        <f ca="1">C46+E46-G46+SUMIFS(Transfer!W:W,Transfer!O:O,A46,Transfer!Q:Q,"HOU",Transfer!U:U,"&gt;"&amp;$C$1)-SUMIFS(Transfer!V:V,Transfer!O:O,A46,Transfer!P:P,"HOU",Transfer!T:T,"&gt;"&amp;$C$1)</f>
        <v>0</v>
      </c>
      <c r="I46" s="86">
        <f ca="1">D46-E46+SUMIFS(Transfer!V:V,Transfer!O:O,A46,Transfer!Q:Q,"HOU")-SUMIFS(Transfer!W:W,Transfer!O:O,A46,Transfer!Q:Q,"HOU")</f>
        <v>0</v>
      </c>
      <c r="J46" s="86">
        <f>SUMIFS(Purchase!F:F,Purchase!C:C,A46,Purchase!V:V,"暂缓发货",Purchase!U:U,"HOU")</f>
        <v>0</v>
      </c>
      <c r="K46" s="86">
        <f t="shared" si="0"/>
        <v>0</v>
      </c>
      <c r="L46" s="86">
        <f ca="1" t="shared" si="1"/>
        <v>0</v>
      </c>
      <c r="M46" s="365">
        <f ca="1" t="shared" si="2"/>
        <v>0</v>
      </c>
      <c r="N46" s="86" t="str">
        <f ca="1">_xlfn.XLOOKUP(A46,'Product List'!B:B,'Product List'!F:F)</f>
        <v>C</v>
      </c>
      <c r="O46" s="366">
        <f>SUMIFS('Weekly Sales'!R:R,'Weekly Sales'!B:B,A46,'Weekly Sales'!U:U,"HOU")</f>
        <v>3</v>
      </c>
      <c r="P46" s="367">
        <f ca="1" t="shared" si="3"/>
        <v>0</v>
      </c>
      <c r="Q46" s="367">
        <f ca="1" t="shared" si="4"/>
        <v>0</v>
      </c>
      <c r="R46" s="86">
        <f>_xlfn.XLOOKUP(A46,'Product List'!B:B,'Product List'!P:P)</f>
        <v>10</v>
      </c>
      <c r="S46" s="86">
        <f ca="1" t="shared" si="5"/>
        <v>2</v>
      </c>
      <c r="T46" s="366">
        <f ca="1">SUMIFS('Weekly Sales'!T:T,'Weekly Sales'!B:B,A46,'Weekly Sales'!U:U,"HOU")</f>
        <v>0</v>
      </c>
      <c r="U46" s="86">
        <f>_xlfn.XLOOKUP(A46,'Product List'!B:B,'Product List'!O:O)</f>
        <v>1000</v>
      </c>
      <c r="V46" s="368">
        <f ca="1" t="shared" si="6"/>
        <v>60</v>
      </c>
      <c r="W46" s="86" cm="1">
        <f ca="1" t="array" ref="W46">_xlfn.XLOOKUP(1,('Case Pack'!A:A=A46)*('Case Pack'!F:F&lt;=TODAY()),'Case Pack'!D:D,"未找到箱规")</f>
        <v>60</v>
      </c>
      <c r="X46" s="86" t="str">
        <f>_xlfn.XLOOKUP(A46,'Product List'!B:B,'Product List'!M:M)</f>
        <v>Pet Supermarket,PSP</v>
      </c>
      <c r="Y46" s="86" t="str" cm="1">
        <f ca="1" t="array" ref="Y46">_xlfn.XLOOKUP(1,('Case Pack'!A:A=A46)*('Case Pack'!F:F&lt;=TODAY()),'Case Pack'!G:G,"未找到箱规")</f>
        <v>B</v>
      </c>
      <c r="Z46" s="86">
        <f ca="1" t="shared" si="7"/>
        <v>1</v>
      </c>
      <c r="AA46" s="86">
        <f ca="1">_xlfn.XLOOKUP(Y46,'Case Type'!A:A,'Case Type'!H:H)*Z46</f>
        <v>0.07341404672</v>
      </c>
    </row>
    <row r="47" spans="1:27">
      <c r="A47" s="86" t="s">
        <v>73</v>
      </c>
      <c r="B47" s="86" t="str">
        <f>_xlfn.XLOOKUP(A47,'Product List'!B:B,'Product List'!I:I)</f>
        <v>MINI/MOE CAMPING TENT HIDE</v>
      </c>
      <c r="C47" s="86">
        <v>0</v>
      </c>
      <c r="D47" s="86">
        <f>SUMIFS(Purchase!F:F,Purchase!C:C,A47,Purchase!I:I,"&gt;"&amp;$C$1,Purchase!V:V,"&lt;&gt;暂缓发货",Purchase!U:U,"HOU")</f>
        <v>0</v>
      </c>
      <c r="E47" s="86">
        <f>SUMIFS(Purchase!F:F,Purchase!C:C,A47,Purchase!J:J,"&gt;0",Purchase!I:I,"&gt;"&amp;$C$1,Purchase!U:U,"HOU")</f>
        <v>0</v>
      </c>
      <c r="F47" s="86">
        <f>SUMIFS(Sales!E:E,Sales!C:C,A47,Sales!K:K,"&gt;"&amp;$C$1,Sales!I:I,"HOU")</f>
        <v>0</v>
      </c>
      <c r="G47" s="86">
        <f>SUMIFS(Sales!E:E,Sales!C:C,A47,Sales!K:K,"&gt;"&amp;$C$1,Sales!L:L,"&gt;0",Sales!I:I,"HOU")</f>
        <v>0</v>
      </c>
      <c r="H47" s="365">
        <f ca="1">C47+E47-G47+SUMIFS(Transfer!W:W,Transfer!O:O,A47,Transfer!Q:Q,"HOU",Transfer!U:U,"&gt;"&amp;$C$1)-SUMIFS(Transfer!V:V,Transfer!O:O,A47,Transfer!P:P,"HOU",Transfer!T:T,"&gt;"&amp;$C$1)</f>
        <v>0</v>
      </c>
      <c r="I47" s="86">
        <f ca="1">D47-E47+SUMIFS(Transfer!V:V,Transfer!O:O,A47,Transfer!Q:Q,"HOU")-SUMIFS(Transfer!W:W,Transfer!O:O,A47,Transfer!Q:Q,"HOU")</f>
        <v>0</v>
      </c>
      <c r="J47" s="86">
        <f>SUMIFS(Purchase!F:F,Purchase!C:C,A47,Purchase!V:V,"暂缓发货",Purchase!U:U,"HOU")</f>
        <v>0</v>
      </c>
      <c r="K47" s="86">
        <f t="shared" si="0"/>
        <v>0</v>
      </c>
      <c r="L47" s="86">
        <f ca="1" t="shared" si="1"/>
        <v>0</v>
      </c>
      <c r="M47" s="365">
        <f ca="1" t="shared" si="2"/>
        <v>0</v>
      </c>
      <c r="N47" s="86" t="str">
        <f ca="1">_xlfn.XLOOKUP(A47,'Product List'!B:B,'Product List'!F:F)</f>
        <v>A</v>
      </c>
      <c r="O47" s="366">
        <f>SUMIFS('Weekly Sales'!R:R,'Weekly Sales'!B:B,A47,'Weekly Sales'!U:U,"HOU")</f>
        <v>42</v>
      </c>
      <c r="P47" s="367">
        <f ca="1" t="shared" si="3"/>
        <v>0</v>
      </c>
      <c r="Q47" s="367">
        <f ca="1" t="shared" si="4"/>
        <v>0</v>
      </c>
      <c r="R47" s="86">
        <f>_xlfn.XLOOKUP(A47,'Product List'!B:B,'Product List'!P:P)</f>
        <v>15</v>
      </c>
      <c r="S47" s="86">
        <f ca="1" t="shared" si="5"/>
        <v>6</v>
      </c>
      <c r="T47" s="366">
        <f ca="1">SUMIFS('Weekly Sales'!T:T,'Weekly Sales'!B:B,A47,'Weekly Sales'!U:U,"HOU")</f>
        <v>441</v>
      </c>
      <c r="U47" s="86">
        <f>_xlfn.XLOOKUP(A47,'Product List'!B:B,'Product List'!O:O)</f>
        <v>500</v>
      </c>
      <c r="V47" s="368">
        <f ca="1" t="shared" si="6"/>
        <v>1422</v>
      </c>
      <c r="W47" s="86" cm="1">
        <f ca="1" t="array" ref="W47">_xlfn.XLOOKUP(1,('Case Pack'!A:A=A47)*('Case Pack'!F:F&lt;=TODAY()),'Case Pack'!D:D,"未找到箱规")</f>
        <v>18</v>
      </c>
      <c r="X47" s="86" t="str">
        <f>_xlfn.XLOOKUP(A47,'Product List'!B:B,'Product List'!M:M)</f>
        <v>PSP, Petsmart, Pet Supermarket,Canada</v>
      </c>
      <c r="Y47" s="86" t="str" cm="1">
        <f ca="1" t="array" ref="Y47">_xlfn.XLOOKUP(1,('Case Pack'!A:A=A47)*('Case Pack'!F:F&lt;=TODAY()),'Case Pack'!G:G,"未找到箱规")</f>
        <v>B</v>
      </c>
      <c r="Z47" s="86">
        <f ca="1" t="shared" si="7"/>
        <v>79</v>
      </c>
      <c r="AA47" s="86">
        <f ca="1">_xlfn.XLOOKUP(Y47,'Case Type'!A:A,'Case Type'!H:H)*Z47</f>
        <v>5.79970969088</v>
      </c>
    </row>
    <row r="48" spans="1:27">
      <c r="A48" s="94" t="s">
        <v>74</v>
      </c>
      <c r="B48" s="86" t="str">
        <f>_xlfn.XLOOKUP(A48,'Product List'!B:B,'Product List'!I:I)</f>
        <v>Little Devil Travel Cage</v>
      </c>
      <c r="C48" s="86">
        <v>0</v>
      </c>
      <c r="D48" s="86">
        <f>SUMIFS(Purchase!F:F,Purchase!C:C,A48,Purchase!I:I,"&gt;"&amp;$C$1,Purchase!V:V,"&lt;&gt;暂缓发货",Purchase!U:U,"HOU")</f>
        <v>0</v>
      </c>
      <c r="E48" s="86">
        <f>SUMIFS(Purchase!F:F,Purchase!C:C,A48,Purchase!J:J,"&gt;0",Purchase!I:I,"&gt;"&amp;$C$1,Purchase!U:U,"HOU")</f>
        <v>0</v>
      </c>
      <c r="F48" s="86">
        <f>SUMIFS(Sales!E:E,Sales!C:C,A48,Sales!K:K,"&gt;"&amp;$C$1,Sales!I:I,"HOU")</f>
        <v>0</v>
      </c>
      <c r="G48" s="86">
        <f>SUMIFS(Sales!E:E,Sales!C:C,A48,Sales!K:K,"&gt;"&amp;$C$1,Sales!L:L,"&gt;0",Sales!I:I,"HOU")</f>
        <v>0</v>
      </c>
      <c r="H48" s="365">
        <f ca="1">C48+E48-G48+SUMIFS(Transfer!W:W,Transfer!O:O,A48,Transfer!Q:Q,"HOU",Transfer!U:U,"&gt;"&amp;$C$1)-SUMIFS(Transfer!V:V,Transfer!O:O,A48,Transfer!P:P,"HOU",Transfer!T:T,"&gt;"&amp;$C$1)</f>
        <v>0</v>
      </c>
      <c r="I48" s="86">
        <f ca="1">D48-E48+SUMIFS(Transfer!V:V,Transfer!O:O,A48,Transfer!Q:Q,"HOU")-SUMIFS(Transfer!W:W,Transfer!O:O,A48,Transfer!Q:Q,"HOU")</f>
        <v>0</v>
      </c>
      <c r="J48" s="86">
        <f>SUMIFS(Purchase!F:F,Purchase!C:C,A48,Purchase!V:V,"暂缓发货",Purchase!U:U,"HOU")</f>
        <v>0</v>
      </c>
      <c r="K48" s="86">
        <f t="shared" si="0"/>
        <v>0</v>
      </c>
      <c r="L48" s="86">
        <f ca="1" t="shared" si="1"/>
        <v>0</v>
      </c>
      <c r="M48" s="365">
        <f ca="1" t="shared" si="2"/>
        <v>0</v>
      </c>
      <c r="N48" s="86" t="str">
        <f ca="1">_xlfn.XLOOKUP(A48,'Product List'!B:B,'Product List'!F:F)</f>
        <v>C</v>
      </c>
      <c r="O48" s="366">
        <f>SUMIFS('Weekly Sales'!R:R,'Weekly Sales'!B:B,A48,'Weekly Sales'!U:U,"HOU")</f>
        <v>4</v>
      </c>
      <c r="P48" s="367">
        <f ca="1" t="shared" si="3"/>
        <v>0</v>
      </c>
      <c r="Q48" s="367">
        <f ca="1" t="shared" si="4"/>
        <v>0</v>
      </c>
      <c r="R48" s="86">
        <f>_xlfn.XLOOKUP(A48,'Product List'!B:B,'Product List'!P:P)</f>
        <v>10</v>
      </c>
      <c r="S48" s="86">
        <f ca="1" t="shared" si="5"/>
        <v>2</v>
      </c>
      <c r="T48" s="366">
        <f ca="1">SUMIFS('Weekly Sales'!T:T,'Weekly Sales'!B:B,A48,'Weekly Sales'!U:U,"HOU")</f>
        <v>0</v>
      </c>
      <c r="U48" s="86">
        <f>_xlfn.XLOOKUP(A48,'Product List'!B:B,'Product List'!O:O)</f>
        <v>1000</v>
      </c>
      <c r="V48" s="368">
        <f ca="1" t="shared" si="6"/>
        <v>72</v>
      </c>
      <c r="W48" s="86" cm="1">
        <f ca="1" t="array" ref="W48">_xlfn.XLOOKUP(1,('Case Pack'!A:A=A48)*('Case Pack'!F:F&lt;=TODAY()),'Case Pack'!D:D,"未找到箱规")</f>
        <v>18</v>
      </c>
      <c r="X48" s="86" t="str">
        <f>_xlfn.XLOOKUP(A48,'Product List'!B:B,'Product List'!M:M)</f>
        <v>PetcoMX,PSP，Canada</v>
      </c>
      <c r="Y48" s="86" t="str" cm="1">
        <f ca="1" t="array" ref="Y48">_xlfn.XLOOKUP(1,('Case Pack'!A:A=A48)*('Case Pack'!F:F&lt;=TODAY()),'Case Pack'!G:G,"未找到箱规")</f>
        <v>C</v>
      </c>
      <c r="Z48" s="86">
        <f ca="1" t="shared" si="7"/>
        <v>4</v>
      </c>
      <c r="AA48" s="86">
        <f ca="1">_xlfn.XLOOKUP(Y48,'Case Type'!A:A,'Case Type'!H:H)*Z48</f>
        <v>0.6292632576</v>
      </c>
    </row>
    <row r="49" spans="1:27">
      <c r="A49" s="86" t="s">
        <v>75</v>
      </c>
      <c r="B49" s="86" t="str">
        <f>_xlfn.XLOOKUP(A49,'Product List'!B:B,'Product List'!I:I)</f>
        <v>Silent Crystal Running Wheel XL</v>
      </c>
      <c r="C49" s="86">
        <v>0</v>
      </c>
      <c r="D49" s="86">
        <f>SUMIFS(Purchase!F:F,Purchase!C:C,A49,Purchase!I:I,"&gt;"&amp;$C$1,Purchase!V:V,"&lt;&gt;暂缓发货",Purchase!U:U,"HOU")</f>
        <v>0</v>
      </c>
      <c r="E49" s="86">
        <f>SUMIFS(Purchase!F:F,Purchase!C:C,A49,Purchase!J:J,"&gt;0",Purchase!I:I,"&gt;"&amp;$C$1,Purchase!U:U,"HOU")</f>
        <v>0</v>
      </c>
      <c r="F49" s="86">
        <f>SUMIFS(Sales!E:E,Sales!C:C,A49,Sales!K:K,"&gt;"&amp;$C$1,Sales!I:I,"HOU")</f>
        <v>0</v>
      </c>
      <c r="G49" s="86">
        <f>SUMIFS(Sales!E:E,Sales!C:C,A49,Sales!K:K,"&gt;"&amp;$C$1,Sales!L:L,"&gt;0",Sales!I:I,"HOU")</f>
        <v>0</v>
      </c>
      <c r="H49" s="365">
        <f ca="1">C49+E49-G49+SUMIFS(Transfer!W:W,Transfer!O:O,A49,Transfer!Q:Q,"HOU",Transfer!U:U,"&gt;"&amp;$C$1)-SUMIFS(Transfer!V:V,Transfer!O:O,A49,Transfer!P:P,"HOU",Transfer!T:T,"&gt;"&amp;$C$1)</f>
        <v>0</v>
      </c>
      <c r="I49" s="86">
        <f ca="1">D49-E49+SUMIFS(Transfer!V:V,Transfer!O:O,A49,Transfer!Q:Q,"HOU")-SUMIFS(Transfer!W:W,Transfer!O:O,A49,Transfer!Q:Q,"HOU")</f>
        <v>0</v>
      </c>
      <c r="J49" s="86">
        <f>SUMIFS(Purchase!F:F,Purchase!C:C,A49,Purchase!V:V,"暂缓发货",Purchase!U:U,"HOU")</f>
        <v>0</v>
      </c>
      <c r="K49" s="86">
        <f t="shared" si="0"/>
        <v>0</v>
      </c>
      <c r="L49" s="86">
        <f ca="1" t="shared" si="1"/>
        <v>0</v>
      </c>
      <c r="M49" s="365">
        <f ca="1" t="shared" si="2"/>
        <v>0</v>
      </c>
      <c r="N49" s="86" t="str">
        <f ca="1">_xlfn.XLOOKUP(A49,'Product List'!B:B,'Product List'!F:F)</f>
        <v>B</v>
      </c>
      <c r="O49" s="366">
        <f>SUMIFS('Weekly Sales'!R:R,'Weekly Sales'!B:B,A49,'Weekly Sales'!U:U,"HOU")</f>
        <v>0.5</v>
      </c>
      <c r="P49" s="367">
        <f ca="1" t="shared" si="3"/>
        <v>0</v>
      </c>
      <c r="Q49" s="367">
        <f ca="1" t="shared" si="4"/>
        <v>0</v>
      </c>
      <c r="R49" s="86">
        <f>_xlfn.XLOOKUP(A49,'Product List'!B:B,'Product List'!P:P)</f>
        <v>10</v>
      </c>
      <c r="S49" s="86">
        <f ca="1" t="shared" si="5"/>
        <v>5</v>
      </c>
      <c r="T49" s="366">
        <f ca="1">SUMIFS('Weekly Sales'!T:T,'Weekly Sales'!B:B,A49,'Weekly Sales'!U:U,"HOU")</f>
        <v>2.625</v>
      </c>
      <c r="U49" s="86">
        <f>_xlfn.XLOOKUP(A49,'Product List'!B:B,'Product List'!O:O)</f>
        <v>1000</v>
      </c>
      <c r="V49" s="368">
        <f ca="1" t="shared" si="6"/>
        <v>12</v>
      </c>
      <c r="W49" s="86" cm="1">
        <f ca="1" t="array" ref="W49">_xlfn.XLOOKUP(1,('Case Pack'!A:A=A49)*('Case Pack'!F:F&lt;=TODAY()),'Case Pack'!D:D,"未找到箱规")</f>
        <v>4</v>
      </c>
      <c r="X49" s="86" t="str">
        <f>_xlfn.XLOOKUP(A49,'Product List'!B:B,'Product List'!M:M)</f>
        <v>Pet Supermarket，PSP，Canada</v>
      </c>
      <c r="Y49" s="86" t="str" cm="1">
        <f ca="1" t="array" ref="Y49">_xlfn.XLOOKUP(1,('Case Pack'!A:A=A49)*('Case Pack'!F:F&lt;=TODAY()),'Case Pack'!G:G,"未找到箱规")</f>
        <v>D</v>
      </c>
      <c r="Z49" s="86">
        <f ca="1" t="shared" si="7"/>
        <v>3</v>
      </c>
      <c r="AA49" s="86">
        <f ca="1">_xlfn.XLOOKUP(Y49,'Case Type'!A:A,'Case Type'!H:H)*Z49</f>
        <v>0.2643091488</v>
      </c>
    </row>
    <row r="50" spans="1:27">
      <c r="A50" s="86" t="s">
        <v>76</v>
      </c>
      <c r="B50" s="86" t="str">
        <f>_xlfn.XLOOKUP(A50,'Product List'!B:B,'Product List'!I:I)</f>
        <v>MINI/MOE SILENT CRSTL RUN WHEEL XL 11.5 1EA</v>
      </c>
      <c r="C50" s="86">
        <v>0</v>
      </c>
      <c r="D50" s="86">
        <f>SUMIFS(Purchase!F:F,Purchase!C:C,A50,Purchase!I:I,"&gt;"&amp;$C$1,Purchase!V:V,"&lt;&gt;暂缓发货",Purchase!U:U,"HOU")</f>
        <v>0</v>
      </c>
      <c r="E50" s="86">
        <f>SUMIFS(Purchase!F:F,Purchase!C:C,A50,Purchase!J:J,"&gt;0",Purchase!I:I,"&gt;"&amp;$C$1,Purchase!U:U,"HOU")</f>
        <v>0</v>
      </c>
      <c r="F50" s="86">
        <f>SUMIFS(Sales!E:E,Sales!C:C,A50,Sales!K:K,"&gt;"&amp;$C$1,Sales!I:I,"HOU")</f>
        <v>0</v>
      </c>
      <c r="G50" s="86">
        <f>SUMIFS(Sales!E:E,Sales!C:C,A50,Sales!K:K,"&gt;"&amp;$C$1,Sales!L:L,"&gt;0",Sales!I:I,"HOU")</f>
        <v>0</v>
      </c>
      <c r="H50" s="365">
        <f ca="1">C50+E50-G50+SUMIFS(Transfer!W:W,Transfer!O:O,A50,Transfer!Q:Q,"HOU",Transfer!U:U,"&gt;"&amp;$C$1)-SUMIFS(Transfer!V:V,Transfer!O:O,A50,Transfer!P:P,"HOU",Transfer!T:T,"&gt;"&amp;$C$1)</f>
        <v>0</v>
      </c>
      <c r="I50" s="86">
        <f ca="1">D50-E50+SUMIFS(Transfer!V:V,Transfer!O:O,A50,Transfer!Q:Q,"HOU")-SUMIFS(Transfer!W:W,Transfer!O:O,A50,Transfer!Q:Q,"HOU")</f>
        <v>0</v>
      </c>
      <c r="J50" s="86">
        <f>SUMIFS(Purchase!F:F,Purchase!C:C,A50,Purchase!V:V,"暂缓发货",Purchase!U:U,"HOU")</f>
        <v>0</v>
      </c>
      <c r="K50" s="86">
        <f t="shared" si="0"/>
        <v>0</v>
      </c>
      <c r="L50" s="86">
        <f ca="1" t="shared" si="1"/>
        <v>0</v>
      </c>
      <c r="M50" s="365">
        <f ca="1" t="shared" si="2"/>
        <v>0</v>
      </c>
      <c r="N50" s="86" t="str">
        <f ca="1">_xlfn.XLOOKUP(A50,'Product List'!B:B,'Product List'!F:F)</f>
        <v>B</v>
      </c>
      <c r="O50" s="366">
        <f>SUMIFS('Weekly Sales'!R:R,'Weekly Sales'!B:B,A50,'Weekly Sales'!U:U,"HOU")</f>
        <v>17.5</v>
      </c>
      <c r="P50" s="367">
        <f ca="1" t="shared" si="3"/>
        <v>0</v>
      </c>
      <c r="Q50" s="367">
        <f ca="1" t="shared" si="4"/>
        <v>0</v>
      </c>
      <c r="R50" s="86">
        <f>_xlfn.XLOOKUP(A50,'Product List'!B:B,'Product List'!P:P)</f>
        <v>10</v>
      </c>
      <c r="S50" s="86">
        <f ca="1" t="shared" si="5"/>
        <v>5</v>
      </c>
      <c r="T50" s="366">
        <f ca="1">SUMIFS('Weekly Sales'!T:T,'Weekly Sales'!B:B,A50,'Weekly Sales'!U:U,"HOU")</f>
        <v>91.875</v>
      </c>
      <c r="U50" s="86">
        <f>_xlfn.XLOOKUP(A50,'Product List'!B:B,'Product List'!O:O)</f>
        <v>1000</v>
      </c>
      <c r="V50" s="368">
        <f ca="1" t="shared" si="6"/>
        <v>392</v>
      </c>
      <c r="W50" s="86" cm="1">
        <f ca="1" t="array" ref="W50">_xlfn.XLOOKUP(1,('Case Pack'!A:A=A50)*('Case Pack'!F:F&lt;=TODAY()),'Case Pack'!D:D,"未找到箱规")</f>
        <v>4</v>
      </c>
      <c r="X50" s="86" t="str">
        <f>_xlfn.XLOOKUP(A50,'Product List'!B:B,'Product List'!M:M)</f>
        <v>PSP，Canada</v>
      </c>
      <c r="Y50" s="86" t="str" cm="1">
        <f ca="1" t="array" ref="Y50">_xlfn.XLOOKUP(1,('Case Pack'!A:A=A50)*('Case Pack'!F:F&lt;=TODAY()),'Case Pack'!G:G,"未找到箱规")</f>
        <v>D</v>
      </c>
      <c r="Z50" s="86">
        <f ca="1" t="shared" si="7"/>
        <v>98</v>
      </c>
      <c r="AA50" s="86">
        <f ca="1">_xlfn.XLOOKUP(Y50,'Case Type'!A:A,'Case Type'!H:H)*Z50</f>
        <v>8.6340988608</v>
      </c>
    </row>
    <row r="51" spans="1:27">
      <c r="A51" s="86" t="s">
        <v>77</v>
      </c>
      <c r="B51" s="86" t="str">
        <f>_xlfn.XLOOKUP(A51,'Product List'!B:B,'Product List'!I:I)</f>
        <v>MMO-CLOUD WATER BOTTLE</v>
      </c>
      <c r="C51" s="86">
        <v>0</v>
      </c>
      <c r="D51" s="86">
        <f>SUMIFS(Purchase!F:F,Purchase!C:C,A51,Purchase!I:I,"&gt;"&amp;$C$1,Purchase!V:V,"&lt;&gt;暂缓发货",Purchase!U:U,"HOU")</f>
        <v>0</v>
      </c>
      <c r="E51" s="86">
        <f>SUMIFS(Purchase!F:F,Purchase!C:C,A51,Purchase!J:J,"&gt;0",Purchase!I:I,"&gt;"&amp;$C$1,Purchase!U:U,"HOU")</f>
        <v>0</v>
      </c>
      <c r="F51" s="86">
        <f>SUMIFS(Sales!E:E,Sales!C:C,A51,Sales!K:K,"&gt;"&amp;$C$1,Sales!I:I,"HOU")</f>
        <v>0</v>
      </c>
      <c r="G51" s="86">
        <f>SUMIFS(Sales!E:E,Sales!C:C,A51,Sales!K:K,"&gt;"&amp;$C$1,Sales!L:L,"&gt;0",Sales!I:I,"HOU")</f>
        <v>0</v>
      </c>
      <c r="H51" s="365">
        <f ca="1">C51+E51-G51+SUMIFS(Transfer!W:W,Transfer!O:O,A51,Transfer!Q:Q,"HOU",Transfer!U:U,"&gt;"&amp;$C$1)-SUMIFS(Transfer!V:V,Transfer!O:O,A51,Transfer!P:P,"HOU",Transfer!T:T,"&gt;"&amp;$C$1)</f>
        <v>0</v>
      </c>
      <c r="I51" s="86">
        <f ca="1">D51-E51+SUMIFS(Transfer!V:V,Transfer!O:O,A51,Transfer!Q:Q,"HOU")-SUMIFS(Transfer!W:W,Transfer!O:O,A51,Transfer!Q:Q,"HOU")</f>
        <v>0</v>
      </c>
      <c r="J51" s="86">
        <f>SUMIFS(Purchase!F:F,Purchase!C:C,A51,Purchase!V:V,"暂缓发货",Purchase!U:U,"HOU")</f>
        <v>0</v>
      </c>
      <c r="K51" s="86">
        <f t="shared" si="0"/>
        <v>0</v>
      </c>
      <c r="L51" s="86">
        <f ca="1" t="shared" si="1"/>
        <v>0</v>
      </c>
      <c r="M51" s="365">
        <f ca="1" t="shared" si="2"/>
        <v>0</v>
      </c>
      <c r="N51" s="86" t="str">
        <f ca="1">_xlfn.XLOOKUP(A51,'Product List'!B:B,'Product List'!F:F)</f>
        <v>B</v>
      </c>
      <c r="O51" s="366">
        <f>SUMIFS('Weekly Sales'!R:R,'Weekly Sales'!B:B,A51,'Weekly Sales'!U:U,"HOU")</f>
        <v>0</v>
      </c>
      <c r="P51" s="367">
        <f ca="1" t="shared" si="3"/>
        <v>999</v>
      </c>
      <c r="Q51" s="367">
        <f ca="1" t="shared" si="4"/>
        <v>999</v>
      </c>
      <c r="R51" s="86">
        <f>_xlfn.XLOOKUP(A51,'Product List'!B:B,'Product List'!P:P)</f>
        <v>10</v>
      </c>
      <c r="S51" s="86">
        <f ca="1" t="shared" si="5"/>
        <v>5</v>
      </c>
      <c r="T51" s="366">
        <f ca="1">SUMIFS('Weekly Sales'!T:T,'Weekly Sales'!B:B,A51,'Weekly Sales'!U:U,"HOU")</f>
        <v>0</v>
      </c>
      <c r="U51" s="86">
        <f>_xlfn.XLOOKUP(A51,'Product List'!B:B,'Product List'!O:O)</f>
        <v>1000</v>
      </c>
      <c r="V51" s="368">
        <f ca="1" t="shared" si="6"/>
        <v>0</v>
      </c>
      <c r="W51" s="86" cm="1">
        <f ca="1" t="array" ref="W51">_xlfn.XLOOKUP(1,('Case Pack'!A:A=A51)*('Case Pack'!F:F&lt;=TODAY()),'Case Pack'!D:D,"未找到箱规")</f>
        <v>50</v>
      </c>
      <c r="X51" s="86" t="str">
        <f>_xlfn.XLOOKUP(A51,'Product List'!B:B,'Product List'!M:M)</f>
        <v>PetcoUS, PetcoMX，Canada</v>
      </c>
      <c r="Y51" s="86" t="str" cm="1">
        <f ca="1" t="array" ref="Y51">_xlfn.XLOOKUP(1,('Case Pack'!A:A=A51)*('Case Pack'!F:F&lt;=TODAY()),'Case Pack'!G:G,"未找到箱规")</f>
        <v>A</v>
      </c>
      <c r="Z51" s="86">
        <f ca="1" t="shared" si="7"/>
        <v>0</v>
      </c>
      <c r="AA51" s="86">
        <f ca="1">_xlfn.XLOOKUP(Y51,'Case Type'!A:A,'Case Type'!H:H)*Z51</f>
        <v>0</v>
      </c>
    </row>
    <row r="52" spans="1:27">
      <c r="A52" s="86" t="s">
        <v>78</v>
      </c>
      <c r="B52" s="86" t="str">
        <f>_xlfn.XLOOKUP(A52,'Product List'!B:B,'Product List'!I:I)</f>
        <v>MINI/MOE RUFFLE BOWL</v>
      </c>
      <c r="C52" s="86">
        <v>0</v>
      </c>
      <c r="D52" s="86">
        <f>SUMIFS(Purchase!F:F,Purchase!C:C,A52,Purchase!I:I,"&gt;"&amp;$C$1,Purchase!V:V,"&lt;&gt;暂缓发货",Purchase!U:U,"HOU")</f>
        <v>0</v>
      </c>
      <c r="E52" s="86">
        <f>SUMIFS(Purchase!F:F,Purchase!C:C,A52,Purchase!J:J,"&gt;0",Purchase!I:I,"&gt;"&amp;$C$1,Purchase!U:U,"HOU")</f>
        <v>0</v>
      </c>
      <c r="F52" s="86">
        <f>SUMIFS(Sales!E:E,Sales!C:C,A52,Sales!K:K,"&gt;"&amp;$C$1,Sales!I:I,"HOU")</f>
        <v>0</v>
      </c>
      <c r="G52" s="86">
        <f>SUMIFS(Sales!E:E,Sales!C:C,A52,Sales!K:K,"&gt;"&amp;$C$1,Sales!L:L,"&gt;0",Sales!I:I,"HOU")</f>
        <v>0</v>
      </c>
      <c r="H52" s="365">
        <f ca="1">C52+E52-G52+SUMIFS(Transfer!W:W,Transfer!O:O,A52,Transfer!Q:Q,"HOU",Transfer!U:U,"&gt;"&amp;$C$1)-SUMIFS(Transfer!V:V,Transfer!O:O,A52,Transfer!P:P,"HOU",Transfer!T:T,"&gt;"&amp;$C$1)</f>
        <v>0</v>
      </c>
      <c r="I52" s="86">
        <f ca="1">D52-E52+SUMIFS(Transfer!V:V,Transfer!O:O,A52,Transfer!Q:Q,"HOU")-SUMIFS(Transfer!W:W,Transfer!O:O,A52,Transfer!Q:Q,"HOU")</f>
        <v>0</v>
      </c>
      <c r="J52" s="86">
        <f>SUMIFS(Purchase!F:F,Purchase!C:C,A52,Purchase!V:V,"暂缓发货",Purchase!U:U,"HOU")</f>
        <v>0</v>
      </c>
      <c r="K52" s="86">
        <f t="shared" si="0"/>
        <v>0</v>
      </c>
      <c r="L52" s="86">
        <f ca="1" t="shared" si="1"/>
        <v>0</v>
      </c>
      <c r="M52" s="365">
        <f ca="1" t="shared" si="2"/>
        <v>0</v>
      </c>
      <c r="N52" s="86" t="str">
        <f ca="1">_xlfn.XLOOKUP(A52,'Product List'!B:B,'Product List'!F:F)</f>
        <v>B</v>
      </c>
      <c r="O52" s="366">
        <f>SUMIFS('Weekly Sales'!R:R,'Weekly Sales'!B:B,A52,'Weekly Sales'!U:U,"HOU")</f>
        <v>6.16666666666667</v>
      </c>
      <c r="P52" s="367">
        <f ca="1" t="shared" si="3"/>
        <v>0</v>
      </c>
      <c r="Q52" s="367">
        <f ca="1" t="shared" si="4"/>
        <v>0</v>
      </c>
      <c r="R52" s="86">
        <f>_xlfn.XLOOKUP(A52,'Product List'!B:B,'Product List'!P:P)</f>
        <v>15</v>
      </c>
      <c r="S52" s="86">
        <f ca="1" t="shared" si="5"/>
        <v>5</v>
      </c>
      <c r="T52" s="366">
        <f ca="1">SUMIFS('Weekly Sales'!T:T,'Weekly Sales'!B:B,A52,'Weekly Sales'!U:U,"HOU")</f>
        <v>32.375</v>
      </c>
      <c r="U52" s="86">
        <f>_xlfn.XLOOKUP(A52,'Product List'!B:B,'Product List'!O:O)</f>
        <v>2000</v>
      </c>
      <c r="V52" s="368">
        <f ca="1" t="shared" si="6"/>
        <v>192</v>
      </c>
      <c r="W52" s="86" cm="1">
        <f ca="1" t="array" ref="W52">_xlfn.XLOOKUP(1,('Case Pack'!A:A=A52)*('Case Pack'!F:F&lt;=TODAY()),'Case Pack'!D:D,"未找到箱规")</f>
        <v>48</v>
      </c>
      <c r="X52" s="86" t="str">
        <f>_xlfn.XLOOKUP(A52,'Product List'!B:B,'Product List'!M:M)</f>
        <v>PSP, PetcoUS</v>
      </c>
      <c r="Y52" s="86" t="str" cm="1">
        <f ca="1" t="array" ref="Y52">_xlfn.XLOOKUP(1,('Case Pack'!A:A=A52)*('Case Pack'!F:F&lt;=TODAY()),'Case Pack'!G:G,"未找到箱规")</f>
        <v>B</v>
      </c>
      <c r="Z52" s="86">
        <f ca="1" t="shared" si="7"/>
        <v>4</v>
      </c>
      <c r="AA52" s="86">
        <f ca="1">_xlfn.XLOOKUP(Y52,'Case Type'!A:A,'Case Type'!H:H)*Z52</f>
        <v>0.29365618688</v>
      </c>
    </row>
    <row r="53" spans="1:27">
      <c r="A53" s="86" t="s">
        <v>79</v>
      </c>
      <c r="B53" s="86" t="str">
        <f>_xlfn.XLOOKUP(A53,'Product List'!B:B,'Product List'!I:I)</f>
        <v>MINI/MOE WOODLAND POTTY</v>
      </c>
      <c r="C53" s="86">
        <v>0</v>
      </c>
      <c r="D53" s="86">
        <f>SUMIFS(Purchase!F:F,Purchase!C:C,A53,Purchase!I:I,"&gt;"&amp;$C$1,Purchase!V:V,"&lt;&gt;暂缓发货",Purchase!U:U,"HOU")</f>
        <v>0</v>
      </c>
      <c r="E53" s="86">
        <f>SUMIFS(Purchase!F:F,Purchase!C:C,A53,Purchase!J:J,"&gt;0",Purchase!I:I,"&gt;"&amp;$C$1,Purchase!U:U,"HOU")</f>
        <v>0</v>
      </c>
      <c r="F53" s="86">
        <f>SUMIFS(Sales!E:E,Sales!C:C,A53,Sales!K:K,"&gt;"&amp;$C$1,Sales!I:I,"HOU")</f>
        <v>0</v>
      </c>
      <c r="G53" s="86">
        <f>SUMIFS(Sales!E:E,Sales!C:C,A53,Sales!K:K,"&gt;"&amp;$C$1,Sales!L:L,"&gt;0",Sales!I:I,"HOU")</f>
        <v>0</v>
      </c>
      <c r="H53" s="365">
        <f ca="1">C53+E53-G53+SUMIFS(Transfer!W:W,Transfer!O:O,A53,Transfer!Q:Q,"HOU",Transfer!U:U,"&gt;"&amp;$C$1)-SUMIFS(Transfer!V:V,Transfer!O:O,A53,Transfer!P:P,"HOU",Transfer!T:T,"&gt;"&amp;$C$1)</f>
        <v>0</v>
      </c>
      <c r="I53" s="86">
        <f ca="1">D53-E53+SUMIFS(Transfer!V:V,Transfer!O:O,A53,Transfer!Q:Q,"HOU")-SUMIFS(Transfer!W:W,Transfer!O:O,A53,Transfer!Q:Q,"HOU")</f>
        <v>0</v>
      </c>
      <c r="J53" s="86">
        <f>SUMIFS(Purchase!F:F,Purchase!C:C,A53,Purchase!V:V,"暂缓发货",Purchase!U:U,"HOU")</f>
        <v>0</v>
      </c>
      <c r="K53" s="86">
        <f t="shared" si="0"/>
        <v>0</v>
      </c>
      <c r="L53" s="86">
        <f ca="1" t="shared" si="1"/>
        <v>0</v>
      </c>
      <c r="M53" s="365">
        <f ca="1" t="shared" si="2"/>
        <v>0</v>
      </c>
      <c r="N53" s="86" t="str">
        <f ca="1">_xlfn.XLOOKUP(A53,'Product List'!B:B,'Product List'!F:F)</f>
        <v>C</v>
      </c>
      <c r="O53" s="366">
        <f>SUMIFS('Weekly Sales'!R:R,'Weekly Sales'!B:B,A53,'Weekly Sales'!U:U,"HOU")</f>
        <v>17</v>
      </c>
      <c r="P53" s="367">
        <f ca="1" t="shared" si="3"/>
        <v>0</v>
      </c>
      <c r="Q53" s="367">
        <f ca="1" t="shared" si="4"/>
        <v>0</v>
      </c>
      <c r="R53" s="86">
        <f>_xlfn.XLOOKUP(A53,'Product List'!B:B,'Product List'!P:P)</f>
        <v>10</v>
      </c>
      <c r="S53" s="86">
        <f ca="1" t="shared" si="5"/>
        <v>2</v>
      </c>
      <c r="T53" s="366">
        <f ca="1">SUMIFS('Weekly Sales'!T:T,'Weekly Sales'!B:B,A53,'Weekly Sales'!U:U,"HOU")</f>
        <v>0</v>
      </c>
      <c r="U53" s="86">
        <f>_xlfn.XLOOKUP(A53,'Product List'!B:B,'Product List'!O:O)</f>
        <v>500</v>
      </c>
      <c r="V53" s="368">
        <f ca="1" t="shared" si="6"/>
        <v>252</v>
      </c>
      <c r="W53" s="86" cm="1">
        <f ca="1" t="array" ref="W53">_xlfn.XLOOKUP(1,('Case Pack'!A:A=A53)*('Case Pack'!F:F&lt;=TODAY()),'Case Pack'!D:D,"未找到箱规")</f>
        <v>36</v>
      </c>
      <c r="X53" s="86" t="str">
        <f>_xlfn.XLOOKUP(A53,'Product List'!B:B,'Product List'!M:M)</f>
        <v>PSP</v>
      </c>
      <c r="Y53" s="86" t="str" cm="1">
        <f ca="1" t="array" ref="Y53">_xlfn.XLOOKUP(1,('Case Pack'!A:A=A53)*('Case Pack'!F:F&lt;=TODAY()),'Case Pack'!G:G,"未找到箱规")</f>
        <v>C</v>
      </c>
      <c r="Z53" s="86">
        <f ca="1" t="shared" si="7"/>
        <v>7</v>
      </c>
      <c r="AA53" s="86">
        <f ca="1">_xlfn.XLOOKUP(Y53,'Case Type'!A:A,'Case Type'!H:H)*Z53</f>
        <v>1.1012107008</v>
      </c>
    </row>
    <row r="54" spans="1:27">
      <c r="A54" s="86" t="s">
        <v>80</v>
      </c>
      <c r="B54" s="86" t="str">
        <f>_xlfn.XLOOKUP(A54,'Product List'!B:B,'Product List'!I:I)</f>
        <v>MINI/MOE SMALL ANIMAL BEDDING PAPER PEBBLES OCEAN BLUE 23LT</v>
      </c>
      <c r="C54" s="86">
        <v>0</v>
      </c>
      <c r="D54" s="86">
        <f>SUMIFS(Purchase!F:F,Purchase!C:C,A54,Purchase!I:I,"&gt;"&amp;$C$1,Purchase!V:V,"&lt;&gt;暂缓发货",Purchase!U:U,"HOU")</f>
        <v>0</v>
      </c>
      <c r="E54" s="86">
        <f>SUMIFS(Purchase!F:F,Purchase!C:C,A54,Purchase!J:J,"&gt;0",Purchase!I:I,"&gt;"&amp;$C$1,Purchase!U:U,"HOU")</f>
        <v>0</v>
      </c>
      <c r="F54" s="86">
        <f>SUMIFS(Sales!E:E,Sales!C:C,A54,Sales!K:K,"&gt;"&amp;$C$1,Sales!I:I,"HOU")</f>
        <v>0</v>
      </c>
      <c r="G54" s="86">
        <f>SUMIFS(Sales!E:E,Sales!C:C,A54,Sales!K:K,"&gt;"&amp;$C$1,Sales!L:L,"&gt;0",Sales!I:I,"HOU")</f>
        <v>0</v>
      </c>
      <c r="H54" s="365">
        <f ca="1">C54+E54-G54+SUMIFS(Transfer!W:W,Transfer!O:O,A54,Transfer!Q:Q,"HOU",Transfer!U:U,"&gt;"&amp;$C$1)-SUMIFS(Transfer!V:V,Transfer!O:O,A54,Transfer!P:P,"HOU",Transfer!T:T,"&gt;"&amp;$C$1)</f>
        <v>0</v>
      </c>
      <c r="I54" s="86">
        <f ca="1">D54-E54+SUMIFS(Transfer!V:V,Transfer!O:O,A54,Transfer!Q:Q,"HOU")-SUMIFS(Transfer!W:W,Transfer!O:O,A54,Transfer!Q:Q,"HOU")</f>
        <v>0</v>
      </c>
      <c r="J54" s="86">
        <f>SUMIFS(Purchase!F:F,Purchase!C:C,A54,Purchase!V:V,"暂缓发货",Purchase!U:U,"HOU")</f>
        <v>0</v>
      </c>
      <c r="K54" s="86">
        <f t="shared" si="0"/>
        <v>0</v>
      </c>
      <c r="L54" s="86">
        <f ca="1" t="shared" si="1"/>
        <v>0</v>
      </c>
      <c r="M54" s="365">
        <f ca="1" t="shared" si="2"/>
        <v>0</v>
      </c>
      <c r="N54" s="86" t="str">
        <f ca="1">_xlfn.XLOOKUP(A54,'Product List'!B:B,'Product List'!F:F)</f>
        <v>B</v>
      </c>
      <c r="O54" s="366">
        <f>SUMIFS('Weekly Sales'!R:R,'Weekly Sales'!B:B,A54,'Weekly Sales'!U:U,"HOU")</f>
        <v>15.3333333333333</v>
      </c>
      <c r="P54" s="367">
        <f ca="1" t="shared" si="3"/>
        <v>0</v>
      </c>
      <c r="Q54" s="367">
        <f ca="1" t="shared" si="4"/>
        <v>0</v>
      </c>
      <c r="R54" s="86">
        <f>_xlfn.XLOOKUP(A54,'Product List'!B:B,'Product List'!P:P)</f>
        <v>10</v>
      </c>
      <c r="S54" s="86">
        <f ca="1" t="shared" si="5"/>
        <v>5</v>
      </c>
      <c r="T54" s="366">
        <f ca="1">SUMIFS('Weekly Sales'!T:T,'Weekly Sales'!B:B,A54,'Weekly Sales'!U:U,"HOU")</f>
        <v>80.4999999999998</v>
      </c>
      <c r="U54" s="86">
        <f>_xlfn.XLOOKUP(A54,'Product List'!B:B,'Product List'!O:O)</f>
        <v>1000</v>
      </c>
      <c r="V54" s="368">
        <f ca="1" t="shared" si="6"/>
        <v>348</v>
      </c>
      <c r="W54" s="86" cm="1">
        <f ca="1" t="array" ref="W54">_xlfn.XLOOKUP(1,('Case Pack'!A:A=A54)*('Case Pack'!F:F&lt;=TODAY()),'Case Pack'!D:D,"未找到箱规")</f>
        <v>12</v>
      </c>
      <c r="X54" s="86" t="str">
        <f>_xlfn.XLOOKUP(A54,'Product List'!B:B,'Product List'!M:M)</f>
        <v>PSP</v>
      </c>
      <c r="Y54" s="86" t="str" cm="1">
        <f ca="1" t="array" ref="Y54">_xlfn.XLOOKUP(1,('Case Pack'!A:A=A54)*('Case Pack'!F:F&lt;=TODAY()),'Case Pack'!G:G,"未找到箱规")</f>
        <v>B</v>
      </c>
      <c r="Z54" s="86">
        <f ca="1" t="shared" si="7"/>
        <v>29</v>
      </c>
      <c r="AA54" s="86">
        <f ca="1">_xlfn.XLOOKUP(Y54,'Case Type'!A:A,'Case Type'!H:H)*Z54</f>
        <v>2.12900735488</v>
      </c>
    </row>
    <row r="55" spans="1:27">
      <c r="A55" s="86" t="s">
        <v>81</v>
      </c>
      <c r="B55" s="86" t="str">
        <f>_xlfn.XLOOKUP(A55,'Product List'!B:B,'Product List'!I:I)</f>
        <v>MMO-PAPER PEBBLES</v>
      </c>
      <c r="C55" s="86">
        <v>0</v>
      </c>
      <c r="D55" s="86">
        <f>SUMIFS(Purchase!F:F,Purchase!C:C,A55,Purchase!I:I,"&gt;"&amp;$C$1,Purchase!V:V,"&lt;&gt;暂缓发货",Purchase!U:U,"HOU")</f>
        <v>0</v>
      </c>
      <c r="E55" s="86">
        <f>SUMIFS(Purchase!F:F,Purchase!C:C,A55,Purchase!J:J,"&gt;0",Purchase!I:I,"&gt;"&amp;$C$1,Purchase!U:U,"HOU")</f>
        <v>0</v>
      </c>
      <c r="F55" s="86">
        <f>SUMIFS(Sales!E:E,Sales!C:C,A55,Sales!K:K,"&gt;"&amp;$C$1,Sales!I:I,"HOU")</f>
        <v>0</v>
      </c>
      <c r="G55" s="86">
        <f>SUMIFS(Sales!E:E,Sales!C:C,A55,Sales!K:K,"&gt;"&amp;$C$1,Sales!L:L,"&gt;0",Sales!I:I,"HOU")</f>
        <v>0</v>
      </c>
      <c r="H55" s="365">
        <f ca="1">C55+E55-G55+SUMIFS(Transfer!W:W,Transfer!O:O,A55,Transfer!Q:Q,"HOU",Transfer!U:U,"&gt;"&amp;$C$1)-SUMIFS(Transfer!V:V,Transfer!O:O,A55,Transfer!P:P,"HOU",Transfer!T:T,"&gt;"&amp;$C$1)</f>
        <v>0</v>
      </c>
      <c r="I55" s="86">
        <f ca="1">D55-E55+SUMIFS(Transfer!V:V,Transfer!O:O,A55,Transfer!Q:Q,"HOU")-SUMIFS(Transfer!W:W,Transfer!O:O,A55,Transfer!Q:Q,"HOU")</f>
        <v>0</v>
      </c>
      <c r="J55" s="86">
        <f>SUMIFS(Purchase!F:F,Purchase!C:C,A55,Purchase!V:V,"暂缓发货",Purchase!U:U,"HOU")</f>
        <v>0</v>
      </c>
      <c r="K55" s="86">
        <f t="shared" si="0"/>
        <v>0</v>
      </c>
      <c r="L55" s="86">
        <f ca="1" t="shared" si="1"/>
        <v>0</v>
      </c>
      <c r="M55" s="365">
        <f ca="1" t="shared" si="2"/>
        <v>0</v>
      </c>
      <c r="N55" s="86" t="str">
        <f ca="1">_xlfn.XLOOKUP(A55,'Product List'!B:B,'Product List'!F:F)</f>
        <v>B</v>
      </c>
      <c r="O55" s="366">
        <f>SUMIFS('Weekly Sales'!R:R,'Weekly Sales'!B:B,A55,'Weekly Sales'!U:U,"HOU")</f>
        <v>0</v>
      </c>
      <c r="P55" s="367">
        <f ca="1" t="shared" si="3"/>
        <v>999</v>
      </c>
      <c r="Q55" s="367">
        <f ca="1" t="shared" si="4"/>
        <v>999</v>
      </c>
      <c r="R55" s="86">
        <f>_xlfn.XLOOKUP(A55,'Product List'!B:B,'Product List'!P:P)</f>
        <v>10</v>
      </c>
      <c r="S55" s="86">
        <f ca="1" t="shared" si="5"/>
        <v>5</v>
      </c>
      <c r="T55" s="366">
        <f ca="1">SUMIFS('Weekly Sales'!T:T,'Weekly Sales'!B:B,A55,'Weekly Sales'!U:U,"HOU")</f>
        <v>0</v>
      </c>
      <c r="U55" s="86">
        <f>_xlfn.XLOOKUP(A55,'Product List'!B:B,'Product List'!O:O)</f>
        <v>1000</v>
      </c>
      <c r="V55" s="368">
        <f ca="1" t="shared" si="6"/>
        <v>0</v>
      </c>
      <c r="W55" s="86" cm="1">
        <f ca="1" t="array" ref="W55">_xlfn.XLOOKUP(1,('Case Pack'!A:A=A55)*('Case Pack'!F:F&lt;=TODAY()),'Case Pack'!D:D,"未找到箱规")</f>
        <v>12</v>
      </c>
      <c r="X55" s="86" t="str">
        <f>_xlfn.XLOOKUP(A55,'Product List'!B:B,'Product List'!M:M)</f>
        <v>PetcoUS, Pet Supermarket</v>
      </c>
      <c r="Y55" s="86" t="str" cm="1">
        <f ca="1" t="array" ref="Y55">_xlfn.XLOOKUP(1,('Case Pack'!A:A=A55)*('Case Pack'!F:F&lt;=TODAY()),'Case Pack'!G:G,"未找到箱规")</f>
        <v>B</v>
      </c>
      <c r="Z55" s="86">
        <f ca="1" t="shared" si="7"/>
        <v>0</v>
      </c>
      <c r="AA55" s="86">
        <f ca="1">_xlfn.XLOOKUP(Y55,'Case Type'!A:A,'Case Type'!H:H)*Z55</f>
        <v>0</v>
      </c>
    </row>
    <row r="56" spans="1:27">
      <c r="A56" s="86" t="s">
        <v>82</v>
      </c>
      <c r="B56" s="86" t="str">
        <f>_xlfn.XLOOKUP(A56,'Product List'!B:B,'Product List'!I:I)</f>
        <v>MINI/MOE SMALL ANIMAL BEDDING PAPER PEBBLES PSTCH/CREAM 1EA</v>
      </c>
      <c r="C56" s="86">
        <v>0</v>
      </c>
      <c r="D56" s="86">
        <f>SUMIFS(Purchase!F:F,Purchase!C:C,A56,Purchase!I:I,"&gt;"&amp;$C$1,Purchase!V:V,"&lt;&gt;暂缓发货",Purchase!U:U,"HOU")</f>
        <v>0</v>
      </c>
      <c r="E56" s="86">
        <f>SUMIFS(Purchase!F:F,Purchase!C:C,A56,Purchase!J:J,"&gt;0",Purchase!I:I,"&gt;"&amp;$C$1,Purchase!U:U,"HOU")</f>
        <v>0</v>
      </c>
      <c r="F56" s="86">
        <f>SUMIFS(Sales!E:E,Sales!C:C,A56,Sales!K:K,"&gt;"&amp;$C$1,Sales!I:I,"HOU")</f>
        <v>0</v>
      </c>
      <c r="G56" s="86">
        <f>SUMIFS(Sales!E:E,Sales!C:C,A56,Sales!K:K,"&gt;"&amp;$C$1,Sales!L:L,"&gt;0",Sales!I:I,"HOU")</f>
        <v>0</v>
      </c>
      <c r="H56" s="365">
        <f ca="1">C56+E56-G56+SUMIFS(Transfer!W:W,Transfer!O:O,A56,Transfer!Q:Q,"HOU",Transfer!U:U,"&gt;"&amp;$C$1)-SUMIFS(Transfer!V:V,Transfer!O:O,A56,Transfer!P:P,"HOU",Transfer!T:T,"&gt;"&amp;$C$1)</f>
        <v>0</v>
      </c>
      <c r="I56" s="86">
        <f ca="1">D56-E56+SUMIFS(Transfer!V:V,Transfer!O:O,A56,Transfer!Q:Q,"HOU")-SUMIFS(Transfer!W:W,Transfer!O:O,A56,Transfer!Q:Q,"HOU")</f>
        <v>0</v>
      </c>
      <c r="J56" s="86">
        <f>SUMIFS(Purchase!F:F,Purchase!C:C,A56,Purchase!V:V,"暂缓发货",Purchase!U:U,"HOU")</f>
        <v>0</v>
      </c>
      <c r="K56" s="86">
        <f t="shared" si="0"/>
        <v>0</v>
      </c>
      <c r="L56" s="86">
        <f ca="1" t="shared" si="1"/>
        <v>0</v>
      </c>
      <c r="M56" s="365">
        <f ca="1" t="shared" si="2"/>
        <v>0</v>
      </c>
      <c r="N56" s="86" t="str">
        <f ca="1">_xlfn.XLOOKUP(A56,'Product List'!B:B,'Product List'!F:F)</f>
        <v>C</v>
      </c>
      <c r="O56" s="366">
        <f>SUMIFS('Weekly Sales'!R:R,'Weekly Sales'!B:B,A56,'Weekly Sales'!U:U,"HOU")</f>
        <v>0.5</v>
      </c>
      <c r="P56" s="367">
        <f ca="1" t="shared" si="3"/>
        <v>0</v>
      </c>
      <c r="Q56" s="367">
        <f ca="1" t="shared" si="4"/>
        <v>0</v>
      </c>
      <c r="R56" s="86">
        <f>_xlfn.XLOOKUP(A56,'Product List'!B:B,'Product List'!P:P)</f>
        <v>10</v>
      </c>
      <c r="S56" s="86">
        <f ca="1" t="shared" si="5"/>
        <v>2</v>
      </c>
      <c r="T56" s="366">
        <f ca="1">SUMIFS('Weekly Sales'!T:T,'Weekly Sales'!B:B,A56,'Weekly Sales'!U:U,"HOU")</f>
        <v>0</v>
      </c>
      <c r="U56" s="86">
        <f>_xlfn.XLOOKUP(A56,'Product List'!B:B,'Product List'!O:O)</f>
        <v>1000</v>
      </c>
      <c r="V56" s="368">
        <f ca="1" t="shared" si="6"/>
        <v>12</v>
      </c>
      <c r="W56" s="86" cm="1">
        <f ca="1" t="array" ref="W56">_xlfn.XLOOKUP(1,('Case Pack'!A:A=A56)*('Case Pack'!F:F&lt;=TODAY()),'Case Pack'!D:D,"未找到箱规")</f>
        <v>12</v>
      </c>
      <c r="X56" s="86" t="str">
        <f>_xlfn.XLOOKUP(A56,'Product List'!B:B,'Product List'!M:M)</f>
        <v>PSP</v>
      </c>
      <c r="Y56" s="86" t="str" cm="1">
        <f ca="1" t="array" ref="Y56">_xlfn.XLOOKUP(1,('Case Pack'!A:A=A56)*('Case Pack'!F:F&lt;=TODAY()),'Case Pack'!G:G,"未找到箱规")</f>
        <v>B</v>
      </c>
      <c r="Z56" s="86">
        <f ca="1" t="shared" si="7"/>
        <v>1</v>
      </c>
      <c r="AA56" s="86">
        <f ca="1">_xlfn.XLOOKUP(Y56,'Case Type'!A:A,'Case Type'!H:H)*Z56</f>
        <v>0.07341404672</v>
      </c>
    </row>
    <row r="57" spans="1:27">
      <c r="A57" s="86" t="s">
        <v>83</v>
      </c>
      <c r="B57" s="86" t="str">
        <f>_xlfn.XLOOKUP(A57,'Product List'!B:B,'Product List'!I:I)</f>
        <v>Paper straw green bedding</v>
      </c>
      <c r="C57" s="86">
        <v>0</v>
      </c>
      <c r="D57" s="86">
        <f>SUMIFS(Purchase!F:F,Purchase!C:C,A57,Purchase!I:I,"&gt;"&amp;$C$1,Purchase!V:V,"&lt;&gt;暂缓发货",Purchase!U:U,"HOU")</f>
        <v>0</v>
      </c>
      <c r="E57" s="86">
        <f>SUMIFS(Purchase!F:F,Purchase!C:C,A57,Purchase!J:J,"&gt;0",Purchase!I:I,"&gt;"&amp;$C$1,Purchase!U:U,"HOU")</f>
        <v>0</v>
      </c>
      <c r="F57" s="86">
        <f>SUMIFS(Sales!E:E,Sales!C:C,A57,Sales!K:K,"&gt;"&amp;$C$1,Sales!I:I,"HOU")</f>
        <v>0</v>
      </c>
      <c r="G57" s="86">
        <f>SUMIFS(Sales!E:E,Sales!C:C,A57,Sales!K:K,"&gt;"&amp;$C$1,Sales!L:L,"&gt;0",Sales!I:I,"HOU")</f>
        <v>0</v>
      </c>
      <c r="H57" s="365">
        <f ca="1">C57+E57-G57+SUMIFS(Transfer!W:W,Transfer!O:O,A57,Transfer!Q:Q,"HOU",Transfer!U:U,"&gt;"&amp;$C$1)-SUMIFS(Transfer!V:V,Transfer!O:O,A57,Transfer!P:P,"HOU",Transfer!T:T,"&gt;"&amp;$C$1)</f>
        <v>0</v>
      </c>
      <c r="I57" s="86">
        <f ca="1">D57-E57+SUMIFS(Transfer!V:V,Transfer!O:O,A57,Transfer!Q:Q,"HOU")-SUMIFS(Transfer!W:W,Transfer!O:O,A57,Transfer!Q:Q,"HOU")</f>
        <v>0</v>
      </c>
      <c r="J57" s="86">
        <f>SUMIFS(Purchase!F:F,Purchase!C:C,A57,Purchase!V:V,"暂缓发货",Purchase!U:U,"HOU")</f>
        <v>0</v>
      </c>
      <c r="K57" s="86">
        <f t="shared" si="0"/>
        <v>0</v>
      </c>
      <c r="L57" s="86">
        <f ca="1" t="shared" si="1"/>
        <v>0</v>
      </c>
      <c r="M57" s="365">
        <f ca="1" t="shared" si="2"/>
        <v>0</v>
      </c>
      <c r="N57" s="86" t="str">
        <f ca="1">_xlfn.XLOOKUP(A57,'Product List'!B:B,'Product List'!F:F)</f>
        <v>C</v>
      </c>
      <c r="O57" s="366">
        <f>SUMIFS('Weekly Sales'!R:R,'Weekly Sales'!B:B,A57,'Weekly Sales'!U:U,"HOU")</f>
        <v>0</v>
      </c>
      <c r="P57" s="367">
        <f ca="1" t="shared" si="3"/>
        <v>999</v>
      </c>
      <c r="Q57" s="367">
        <f ca="1" t="shared" si="4"/>
        <v>999</v>
      </c>
      <c r="R57" s="86">
        <f>_xlfn.XLOOKUP(A57,'Product List'!B:B,'Product List'!P:P)</f>
        <v>10</v>
      </c>
      <c r="S57" s="86">
        <f ca="1" t="shared" si="5"/>
        <v>2</v>
      </c>
      <c r="T57" s="366">
        <f ca="1">SUMIFS('Weekly Sales'!T:T,'Weekly Sales'!B:B,A57,'Weekly Sales'!U:U,"HOU")</f>
        <v>0</v>
      </c>
      <c r="U57" s="86">
        <f>_xlfn.XLOOKUP(A57,'Product List'!B:B,'Product List'!O:O)</f>
        <v>1000</v>
      </c>
      <c r="V57" s="368">
        <f ca="1" t="shared" si="6"/>
        <v>0</v>
      </c>
      <c r="W57" s="86" cm="1">
        <f ca="1" t="array" ref="W57">_xlfn.XLOOKUP(1,('Case Pack'!A:A=A57)*('Case Pack'!F:F&lt;=TODAY()),'Case Pack'!D:D,"未找到箱规")</f>
        <v>30</v>
      </c>
      <c r="X57" s="86" t="str">
        <f>_xlfn.XLOOKUP(A57,'Product List'!B:B,'Product List'!M:M)</f>
        <v>Pet Supermarket</v>
      </c>
      <c r="Y57" s="86" t="str" cm="1">
        <f ca="1" t="array" ref="Y57">_xlfn.XLOOKUP(1,('Case Pack'!A:A=A57)*('Case Pack'!F:F&lt;=TODAY()),'Case Pack'!G:G,"未找到箱规")</f>
        <v>C</v>
      </c>
      <c r="Z57" s="86">
        <f ca="1" t="shared" si="7"/>
        <v>0</v>
      </c>
      <c r="AA57" s="86">
        <f ca="1">_xlfn.XLOOKUP(Y57,'Case Type'!A:A,'Case Type'!H:H)*Z57</f>
        <v>0</v>
      </c>
    </row>
    <row r="58" spans="1:27">
      <c r="A58" s="86" t="s">
        <v>84</v>
      </c>
      <c r="B58" s="86" t="str">
        <f>_xlfn.XLOOKUP(A58,'Product List'!B:B,'Product List'!I:I)</f>
        <v>MMO-COTTON NESTING BALLS</v>
      </c>
      <c r="C58" s="86">
        <v>0</v>
      </c>
      <c r="D58" s="86">
        <f>SUMIFS(Purchase!F:F,Purchase!C:C,A58,Purchase!I:I,"&gt;"&amp;$C$1,Purchase!V:V,"&lt;&gt;暂缓发货",Purchase!U:U,"HOU")</f>
        <v>0</v>
      </c>
      <c r="E58" s="86">
        <f>SUMIFS(Purchase!F:F,Purchase!C:C,A58,Purchase!J:J,"&gt;0",Purchase!I:I,"&gt;"&amp;$C$1,Purchase!U:U,"HOU")</f>
        <v>0</v>
      </c>
      <c r="F58" s="86">
        <f>SUMIFS(Sales!E:E,Sales!C:C,A58,Sales!K:K,"&gt;"&amp;$C$1,Sales!I:I,"HOU")</f>
        <v>0</v>
      </c>
      <c r="G58" s="86">
        <f>SUMIFS(Sales!E:E,Sales!C:C,A58,Sales!K:K,"&gt;"&amp;$C$1,Sales!L:L,"&gt;0",Sales!I:I,"HOU")</f>
        <v>0</v>
      </c>
      <c r="H58" s="365">
        <f ca="1">C58+E58-G58+SUMIFS(Transfer!W:W,Transfer!O:O,A58,Transfer!Q:Q,"HOU",Transfer!U:U,"&gt;"&amp;$C$1)-SUMIFS(Transfer!V:V,Transfer!O:O,A58,Transfer!P:P,"HOU",Transfer!T:T,"&gt;"&amp;$C$1)</f>
        <v>0</v>
      </c>
      <c r="I58" s="86">
        <f ca="1">D58-E58+SUMIFS(Transfer!V:V,Transfer!O:O,A58,Transfer!Q:Q,"HOU")-SUMIFS(Transfer!W:W,Transfer!O:O,A58,Transfer!Q:Q,"HOU")</f>
        <v>0</v>
      </c>
      <c r="J58" s="86">
        <f>SUMIFS(Purchase!F:F,Purchase!C:C,A58,Purchase!V:V,"暂缓发货",Purchase!U:U,"HOU")</f>
        <v>0</v>
      </c>
      <c r="K58" s="86">
        <f t="shared" si="0"/>
        <v>0</v>
      </c>
      <c r="L58" s="86">
        <f ca="1" t="shared" si="1"/>
        <v>0</v>
      </c>
      <c r="M58" s="365">
        <f ca="1" t="shared" si="2"/>
        <v>0</v>
      </c>
      <c r="N58" s="86" t="str">
        <f ca="1">_xlfn.XLOOKUP(A58,'Product List'!B:B,'Product List'!F:F)</f>
        <v>C</v>
      </c>
      <c r="O58" s="366">
        <f>SUMIFS('Weekly Sales'!R:R,'Weekly Sales'!B:B,A58,'Weekly Sales'!U:U,"HOU")</f>
        <v>0</v>
      </c>
      <c r="P58" s="367">
        <f ca="1" t="shared" si="3"/>
        <v>999</v>
      </c>
      <c r="Q58" s="367">
        <f ca="1" t="shared" si="4"/>
        <v>999</v>
      </c>
      <c r="R58" s="86">
        <f>_xlfn.XLOOKUP(A58,'Product List'!B:B,'Product List'!P:P)</f>
        <v>10</v>
      </c>
      <c r="S58" s="86">
        <f ca="1" t="shared" si="5"/>
        <v>2</v>
      </c>
      <c r="T58" s="366">
        <f ca="1">SUMIFS('Weekly Sales'!T:T,'Weekly Sales'!B:B,A58,'Weekly Sales'!U:U,"HOU")</f>
        <v>0</v>
      </c>
      <c r="U58" s="86">
        <f>_xlfn.XLOOKUP(A58,'Product List'!B:B,'Product List'!O:O)</f>
        <v>1000</v>
      </c>
      <c r="V58" s="368">
        <f ca="1" t="shared" si="6"/>
        <v>0</v>
      </c>
      <c r="W58" s="86" cm="1">
        <f ca="1" t="array" ref="W58">_xlfn.XLOOKUP(1,('Case Pack'!A:A=A58)*('Case Pack'!F:F&lt;=TODAY()),'Case Pack'!D:D,"未找到箱规")</f>
        <v>32</v>
      </c>
      <c r="X58" s="86" t="str">
        <f>_xlfn.XLOOKUP(A58,'Product List'!B:B,'Product List'!M:M)</f>
        <v>PetcoUS</v>
      </c>
      <c r="Y58" s="86" t="str" cm="1">
        <f ca="1" t="array" ref="Y58">_xlfn.XLOOKUP(1,('Case Pack'!A:A=A58)*('Case Pack'!F:F&lt;=TODAY()),'Case Pack'!G:G,"未找到箱规")</f>
        <v>A</v>
      </c>
      <c r="Z58" s="86">
        <f ca="1" t="shared" si="7"/>
        <v>0</v>
      </c>
      <c r="AA58" s="86">
        <f ca="1">_xlfn.XLOOKUP(Y58,'Case Type'!A:A,'Case Type'!H:H)*Z58</f>
        <v>0</v>
      </c>
    </row>
    <row r="59" spans="1:27">
      <c r="A59" s="94" t="s">
        <v>85</v>
      </c>
      <c r="B59" s="86" t="str">
        <f>_xlfn.XLOOKUP(A59,'Product List'!B:B,'Product List'!I:I)</f>
        <v>Cotton multi color bedding</v>
      </c>
      <c r="C59" s="86">
        <v>0</v>
      </c>
      <c r="D59" s="86">
        <f>SUMIFS(Purchase!F:F,Purchase!C:C,A59,Purchase!I:I,"&gt;"&amp;$C$1,Purchase!V:V,"&lt;&gt;暂缓发货",Purchase!U:U,"HOU")</f>
        <v>0</v>
      </c>
      <c r="E59" s="86">
        <f>SUMIFS(Purchase!F:F,Purchase!C:C,A59,Purchase!J:J,"&gt;0",Purchase!I:I,"&gt;"&amp;$C$1,Purchase!U:U,"HOU")</f>
        <v>0</v>
      </c>
      <c r="F59" s="86">
        <f>SUMIFS(Sales!E:E,Sales!C:C,A59,Sales!K:K,"&gt;"&amp;$C$1,Sales!I:I,"HOU")</f>
        <v>0</v>
      </c>
      <c r="G59" s="86">
        <f>SUMIFS(Sales!E:E,Sales!C:C,A59,Sales!K:K,"&gt;"&amp;$C$1,Sales!L:L,"&gt;0",Sales!I:I,"HOU")</f>
        <v>0</v>
      </c>
      <c r="H59" s="365">
        <f ca="1">C59+E59-G59+SUMIFS(Transfer!W:W,Transfer!O:O,A59,Transfer!Q:Q,"HOU",Transfer!U:U,"&gt;"&amp;$C$1)-SUMIFS(Transfer!V:V,Transfer!O:O,A59,Transfer!P:P,"HOU",Transfer!T:T,"&gt;"&amp;$C$1)</f>
        <v>0</v>
      </c>
      <c r="I59" s="86">
        <f ca="1">D59-E59+SUMIFS(Transfer!V:V,Transfer!O:O,A59,Transfer!Q:Q,"HOU")-SUMIFS(Transfer!W:W,Transfer!O:O,A59,Transfer!Q:Q,"HOU")</f>
        <v>0</v>
      </c>
      <c r="J59" s="86">
        <f>SUMIFS(Purchase!F:F,Purchase!C:C,A59,Purchase!V:V,"暂缓发货",Purchase!U:U,"HOU")</f>
        <v>0</v>
      </c>
      <c r="K59" s="86">
        <f t="shared" si="0"/>
        <v>0</v>
      </c>
      <c r="L59" s="86">
        <f ca="1" t="shared" si="1"/>
        <v>0</v>
      </c>
      <c r="M59" s="365">
        <f ca="1" t="shared" si="2"/>
        <v>0</v>
      </c>
      <c r="N59" s="86" t="str">
        <f ca="1">_xlfn.XLOOKUP(A59,'Product List'!B:B,'Product List'!F:F)</f>
        <v>C</v>
      </c>
      <c r="O59" s="366">
        <f>SUMIFS('Weekly Sales'!R:R,'Weekly Sales'!B:B,A59,'Weekly Sales'!U:U,"HOU")</f>
        <v>2.5</v>
      </c>
      <c r="P59" s="367">
        <f ca="1" t="shared" si="3"/>
        <v>0</v>
      </c>
      <c r="Q59" s="367">
        <f ca="1" t="shared" si="4"/>
        <v>0</v>
      </c>
      <c r="R59" s="86">
        <f>_xlfn.XLOOKUP(A59,'Product List'!B:B,'Product List'!P:P)</f>
        <v>10</v>
      </c>
      <c r="S59" s="86">
        <f ca="1" t="shared" si="5"/>
        <v>2</v>
      </c>
      <c r="T59" s="366">
        <f ca="1">SUMIFS('Weekly Sales'!T:T,'Weekly Sales'!B:B,A59,'Weekly Sales'!U:U,"HOU")</f>
        <v>0</v>
      </c>
      <c r="U59" s="86">
        <f>_xlfn.XLOOKUP(A59,'Product List'!B:B,'Product List'!O:O)</f>
        <v>1000</v>
      </c>
      <c r="V59" s="368">
        <f ca="1" t="shared" si="6"/>
        <v>64</v>
      </c>
      <c r="W59" s="86" cm="1">
        <f ca="1" t="array" ref="W59">_xlfn.XLOOKUP(1,('Case Pack'!A:A=A59)*('Case Pack'!F:F&lt;=TODAY()),'Case Pack'!D:D,"未找到箱规")</f>
        <v>32</v>
      </c>
      <c r="X59" s="86" t="str">
        <f>_xlfn.XLOOKUP(A59,'Product List'!B:B,'Product List'!M:M)</f>
        <v>Pet Supermarket，Canada，PSP</v>
      </c>
      <c r="Y59" s="86" t="str" cm="1">
        <f ca="1" t="array" ref="Y59">_xlfn.XLOOKUP(1,('Case Pack'!A:A=A59)*('Case Pack'!F:F&lt;=TODAY()),'Case Pack'!G:G,"未找到箱规")</f>
        <v>A</v>
      </c>
      <c r="Z59" s="86">
        <f ca="1" t="shared" si="7"/>
        <v>2</v>
      </c>
      <c r="AA59" s="86">
        <f ca="1">_xlfn.XLOOKUP(Y59,'Case Type'!A:A,'Case Type'!H:H)*Z59</f>
        <v>0.22024214016</v>
      </c>
    </row>
    <row r="60" spans="1:27">
      <c r="A60" s="86" t="s">
        <v>86</v>
      </c>
      <c r="B60" s="86" t="str">
        <f>_xlfn.XLOOKUP(A60,'Product List'!B:B,'Product List'!I:I)</f>
        <v>MINI/MOE SMALL ANIMAL BEDDING NESTING COTTON BALLS LAV 23LT</v>
      </c>
      <c r="C60" s="86">
        <v>0</v>
      </c>
      <c r="D60" s="86">
        <f>SUMIFS(Purchase!F:F,Purchase!C:C,A60,Purchase!I:I,"&gt;"&amp;$C$1,Purchase!V:V,"&lt;&gt;暂缓发货",Purchase!U:U,"HOU")</f>
        <v>0</v>
      </c>
      <c r="E60" s="86">
        <f>SUMIFS(Purchase!F:F,Purchase!C:C,A60,Purchase!J:J,"&gt;0",Purchase!I:I,"&gt;"&amp;$C$1,Purchase!U:U,"HOU")</f>
        <v>0</v>
      </c>
      <c r="F60" s="86">
        <f>SUMIFS(Sales!E:E,Sales!C:C,A60,Sales!K:K,"&gt;"&amp;$C$1,Sales!I:I,"HOU")</f>
        <v>0</v>
      </c>
      <c r="G60" s="86">
        <f>SUMIFS(Sales!E:E,Sales!C:C,A60,Sales!K:K,"&gt;"&amp;$C$1,Sales!L:L,"&gt;0",Sales!I:I,"HOU")</f>
        <v>0</v>
      </c>
      <c r="H60" s="365">
        <f ca="1">C60+E60-G60+SUMIFS(Transfer!W:W,Transfer!O:O,A60,Transfer!Q:Q,"HOU",Transfer!U:U,"&gt;"&amp;$C$1)-SUMIFS(Transfer!V:V,Transfer!O:O,A60,Transfer!P:P,"HOU",Transfer!T:T,"&gt;"&amp;$C$1)</f>
        <v>0</v>
      </c>
      <c r="I60" s="86">
        <f ca="1">D60-E60+SUMIFS(Transfer!V:V,Transfer!O:O,A60,Transfer!Q:Q,"HOU")-SUMIFS(Transfer!W:W,Transfer!O:O,A60,Transfer!Q:Q,"HOU")</f>
        <v>0</v>
      </c>
      <c r="J60" s="86">
        <f>SUMIFS(Purchase!F:F,Purchase!C:C,A60,Purchase!V:V,"暂缓发货",Purchase!U:U,"HOU")</f>
        <v>0</v>
      </c>
      <c r="K60" s="86">
        <f t="shared" si="0"/>
        <v>0</v>
      </c>
      <c r="L60" s="86">
        <f ca="1" t="shared" si="1"/>
        <v>0</v>
      </c>
      <c r="M60" s="365">
        <f ca="1" t="shared" si="2"/>
        <v>0</v>
      </c>
      <c r="N60" s="86" t="str">
        <f ca="1">_xlfn.XLOOKUP(A60,'Product List'!B:B,'Product List'!F:F)</f>
        <v>C</v>
      </c>
      <c r="O60" s="366">
        <f>SUMIFS('Weekly Sales'!R:R,'Weekly Sales'!B:B,A60,'Weekly Sales'!U:U,"HOU")</f>
        <v>28.3333333333333</v>
      </c>
      <c r="P60" s="367">
        <f ca="1" t="shared" si="3"/>
        <v>0</v>
      </c>
      <c r="Q60" s="367">
        <f ca="1" t="shared" si="4"/>
        <v>0</v>
      </c>
      <c r="R60" s="86">
        <f>_xlfn.XLOOKUP(A60,'Product List'!B:B,'Product List'!P:P)</f>
        <v>10</v>
      </c>
      <c r="S60" s="86">
        <f ca="1" t="shared" si="5"/>
        <v>2</v>
      </c>
      <c r="T60" s="366">
        <f ca="1">SUMIFS('Weekly Sales'!T:T,'Weekly Sales'!B:B,A60,'Weekly Sales'!U:U,"HOU")</f>
        <v>0</v>
      </c>
      <c r="U60" s="86">
        <f>_xlfn.XLOOKUP(A60,'Product List'!B:B,'Product List'!O:O)</f>
        <v>1000</v>
      </c>
      <c r="V60" s="368">
        <f ca="1" t="shared" si="6"/>
        <v>416</v>
      </c>
      <c r="W60" s="86" cm="1">
        <f ca="1" t="array" ref="W60">_xlfn.XLOOKUP(1,('Case Pack'!A:A=A60)*('Case Pack'!F:F&lt;=TODAY()),'Case Pack'!D:D,"未找到箱规")</f>
        <v>32</v>
      </c>
      <c r="X60" s="86" t="str">
        <f>_xlfn.XLOOKUP(A60,'Product List'!B:B,'Product List'!M:M)</f>
        <v>PSP</v>
      </c>
      <c r="Y60" s="86" t="str" cm="1">
        <f ca="1" t="array" ref="Y60">_xlfn.XLOOKUP(1,('Case Pack'!A:A=A60)*('Case Pack'!F:F&lt;=TODAY()),'Case Pack'!G:G,"未找到箱规")</f>
        <v>A</v>
      </c>
      <c r="Z60" s="86">
        <f ca="1" t="shared" si="7"/>
        <v>13</v>
      </c>
      <c r="AA60" s="86">
        <f ca="1">_xlfn.XLOOKUP(Y60,'Case Type'!A:A,'Case Type'!H:H)*Z60</f>
        <v>1.43157391104</v>
      </c>
    </row>
    <row r="61" spans="1:27">
      <c r="A61" s="86" t="s">
        <v>87</v>
      </c>
      <c r="B61" s="86" t="str">
        <f>_xlfn.XLOOKUP(A61,'Product List'!B:B,'Product List'!I:I)</f>
        <v>MINI/MOE SMALL ANIMAL BEDDING PAPER FLAKE LAV FIELD 50LT</v>
      </c>
      <c r="C61" s="86">
        <v>0</v>
      </c>
      <c r="D61" s="86">
        <f>SUMIFS(Purchase!F:F,Purchase!C:C,A61,Purchase!I:I,"&gt;"&amp;$C$1,Purchase!V:V,"&lt;&gt;暂缓发货",Purchase!U:U,"HOU")</f>
        <v>0</v>
      </c>
      <c r="E61" s="86">
        <f>SUMIFS(Purchase!F:F,Purchase!C:C,A61,Purchase!J:J,"&gt;0",Purchase!I:I,"&gt;"&amp;$C$1,Purchase!U:U,"HOU")</f>
        <v>0</v>
      </c>
      <c r="F61" s="86">
        <f>SUMIFS(Sales!E:E,Sales!C:C,A61,Sales!K:K,"&gt;"&amp;$C$1,Sales!I:I,"HOU")</f>
        <v>0</v>
      </c>
      <c r="G61" s="86">
        <f>SUMIFS(Sales!E:E,Sales!C:C,A61,Sales!K:K,"&gt;"&amp;$C$1,Sales!L:L,"&gt;0",Sales!I:I,"HOU")</f>
        <v>0</v>
      </c>
      <c r="H61" s="365">
        <f ca="1">C61+E61-G61+SUMIFS(Transfer!W:W,Transfer!O:O,A61,Transfer!Q:Q,"HOU",Transfer!U:U,"&gt;"&amp;$C$1)-SUMIFS(Transfer!V:V,Transfer!O:O,A61,Transfer!P:P,"HOU",Transfer!T:T,"&gt;"&amp;$C$1)</f>
        <v>0</v>
      </c>
      <c r="I61" s="86">
        <f ca="1">D61-E61+SUMIFS(Transfer!V:V,Transfer!O:O,A61,Transfer!Q:Q,"HOU")-SUMIFS(Transfer!W:W,Transfer!O:O,A61,Transfer!Q:Q,"HOU")</f>
        <v>0</v>
      </c>
      <c r="J61" s="86">
        <f>SUMIFS(Purchase!F:F,Purchase!C:C,A61,Purchase!V:V,"暂缓发货",Purchase!U:U,"HOU")</f>
        <v>0</v>
      </c>
      <c r="K61" s="86">
        <f t="shared" si="0"/>
        <v>0</v>
      </c>
      <c r="L61" s="86">
        <f ca="1" t="shared" si="1"/>
        <v>0</v>
      </c>
      <c r="M61" s="365">
        <f ca="1" t="shared" si="2"/>
        <v>0</v>
      </c>
      <c r="N61" s="86" t="str">
        <f ca="1">_xlfn.XLOOKUP(A61,'Product List'!B:B,'Product List'!F:F)</f>
        <v>B</v>
      </c>
      <c r="O61" s="366">
        <f>SUMIFS('Weekly Sales'!R:R,'Weekly Sales'!B:B,A61,'Weekly Sales'!U:U,"HOU")</f>
        <v>18.5</v>
      </c>
      <c r="P61" s="367">
        <f ca="1" t="shared" si="3"/>
        <v>0</v>
      </c>
      <c r="Q61" s="367">
        <f ca="1" t="shared" si="4"/>
        <v>0</v>
      </c>
      <c r="R61" s="86">
        <f>_xlfn.XLOOKUP(A61,'Product List'!B:B,'Product List'!P:P)</f>
        <v>10</v>
      </c>
      <c r="S61" s="86">
        <f ca="1" t="shared" si="5"/>
        <v>5</v>
      </c>
      <c r="T61" s="366">
        <f ca="1">SUMIFS('Weekly Sales'!T:T,'Weekly Sales'!B:B,A61,'Weekly Sales'!U:U,"HOU")</f>
        <v>97.125</v>
      </c>
      <c r="U61" s="86">
        <f>_xlfn.XLOOKUP(A61,'Product List'!B:B,'Product List'!O:O)</f>
        <v>1000</v>
      </c>
      <c r="V61" s="368">
        <f ca="1" t="shared" si="6"/>
        <v>420</v>
      </c>
      <c r="W61" s="86" cm="1">
        <f ca="1" t="array" ref="W61">_xlfn.XLOOKUP(1,('Case Pack'!A:A=A61)*('Case Pack'!F:F&lt;=TODAY()),'Case Pack'!D:D,"未找到箱规")</f>
        <v>14</v>
      </c>
      <c r="X61" s="86" t="str">
        <f>_xlfn.XLOOKUP(A61,'Product List'!B:B,'Product List'!M:M)</f>
        <v>PSP</v>
      </c>
      <c r="Y61" s="86" t="str" cm="1">
        <f ca="1" t="array" ref="Y61">_xlfn.XLOOKUP(1,('Case Pack'!A:A=A61)*('Case Pack'!F:F&lt;=TODAY()),'Case Pack'!G:G,"未找到箱规")</f>
        <v>C</v>
      </c>
      <c r="Z61" s="86">
        <f ca="1" t="shared" si="7"/>
        <v>30</v>
      </c>
      <c r="AA61" s="86">
        <f ca="1">_xlfn.XLOOKUP(Y61,'Case Type'!A:A,'Case Type'!H:H)*Z61</f>
        <v>4.719474432</v>
      </c>
    </row>
    <row r="62" spans="1:27">
      <c r="A62" s="86" t="s">
        <v>88</v>
      </c>
      <c r="B62" s="86" t="str">
        <f>_xlfn.XLOOKUP(A62,'Product List'!B:B,'Product List'!I:I)</f>
        <v>MINI/MOE SMALL ANIMAL BEDDING PAPER FLK XMAS CRAN/MATCHA 1EA</v>
      </c>
      <c r="C62" s="86">
        <v>0</v>
      </c>
      <c r="D62" s="86">
        <f>SUMIFS(Purchase!F:F,Purchase!C:C,A62,Purchase!I:I,"&gt;"&amp;$C$1,Purchase!V:V,"&lt;&gt;暂缓发货",Purchase!U:U,"HOU")</f>
        <v>0</v>
      </c>
      <c r="E62" s="86">
        <f>SUMIFS(Purchase!F:F,Purchase!C:C,A62,Purchase!J:J,"&gt;0",Purchase!I:I,"&gt;"&amp;$C$1,Purchase!U:U,"HOU")</f>
        <v>0</v>
      </c>
      <c r="F62" s="86">
        <f>SUMIFS(Sales!E:E,Sales!C:C,A62,Sales!K:K,"&gt;"&amp;$C$1,Sales!I:I,"HOU")</f>
        <v>0</v>
      </c>
      <c r="G62" s="86">
        <f>SUMIFS(Sales!E:E,Sales!C:C,A62,Sales!K:K,"&gt;"&amp;$C$1,Sales!L:L,"&gt;0",Sales!I:I,"HOU")</f>
        <v>0</v>
      </c>
      <c r="H62" s="365">
        <f ca="1">C62+E62-G62+SUMIFS(Transfer!W:W,Transfer!O:O,A62,Transfer!Q:Q,"HOU",Transfer!U:U,"&gt;"&amp;$C$1)-SUMIFS(Transfer!V:V,Transfer!O:O,A62,Transfer!P:P,"HOU",Transfer!T:T,"&gt;"&amp;$C$1)</f>
        <v>0</v>
      </c>
      <c r="I62" s="86">
        <f ca="1">D62-E62+SUMIFS(Transfer!V:V,Transfer!O:O,A62,Transfer!Q:Q,"HOU")-SUMIFS(Transfer!W:W,Transfer!O:O,A62,Transfer!Q:Q,"HOU")</f>
        <v>0</v>
      </c>
      <c r="J62" s="86">
        <f>SUMIFS(Purchase!F:F,Purchase!C:C,A62,Purchase!V:V,"暂缓发货",Purchase!U:U,"HOU")</f>
        <v>0</v>
      </c>
      <c r="K62" s="86">
        <f t="shared" si="0"/>
        <v>0</v>
      </c>
      <c r="L62" s="86">
        <f ca="1" t="shared" si="1"/>
        <v>0</v>
      </c>
      <c r="M62" s="365">
        <f ca="1" t="shared" si="2"/>
        <v>0</v>
      </c>
      <c r="N62" s="86" t="str">
        <f ca="1">_xlfn.XLOOKUP(A62,'Product List'!B:B,'Product List'!F:F)</f>
        <v>C</v>
      </c>
      <c r="O62" s="366">
        <f>SUMIFS('Weekly Sales'!R:R,'Weekly Sales'!B:B,A62,'Weekly Sales'!U:U,"HOU")</f>
        <v>0.333333333333333</v>
      </c>
      <c r="P62" s="367">
        <f ca="1" t="shared" si="3"/>
        <v>0</v>
      </c>
      <c r="Q62" s="367">
        <f ca="1" t="shared" si="4"/>
        <v>0</v>
      </c>
      <c r="R62" s="86">
        <f>_xlfn.XLOOKUP(A62,'Product List'!B:B,'Product List'!P:P)</f>
        <v>10</v>
      </c>
      <c r="S62" s="86">
        <f ca="1" t="shared" si="5"/>
        <v>2</v>
      </c>
      <c r="T62" s="366">
        <f ca="1">SUMIFS('Weekly Sales'!T:T,'Weekly Sales'!B:B,A62,'Weekly Sales'!U:U,"HOU")</f>
        <v>0</v>
      </c>
      <c r="U62" s="86">
        <f>_xlfn.XLOOKUP(A62,'Product List'!B:B,'Product List'!O:O)</f>
        <v>1000</v>
      </c>
      <c r="V62" s="368">
        <f ca="1" t="shared" si="6"/>
        <v>14</v>
      </c>
      <c r="W62" s="86" cm="1">
        <f ca="1" t="array" ref="W62">_xlfn.XLOOKUP(1,('Case Pack'!A:A=A62)*('Case Pack'!F:F&lt;=TODAY()),'Case Pack'!D:D,"未找到箱规")</f>
        <v>14</v>
      </c>
      <c r="X62" s="86" t="str">
        <f>_xlfn.XLOOKUP(A62,'Product List'!B:B,'Product List'!M:M)</f>
        <v>PSP</v>
      </c>
      <c r="Y62" s="86" t="str" cm="1">
        <f ca="1" t="array" ref="Y62">_xlfn.XLOOKUP(1,('Case Pack'!A:A=A62)*('Case Pack'!F:F&lt;=TODAY()),'Case Pack'!G:G,"未找到箱规")</f>
        <v>C</v>
      </c>
      <c r="Z62" s="86">
        <f ca="1" t="shared" si="7"/>
        <v>1</v>
      </c>
      <c r="AA62" s="86">
        <f ca="1">_xlfn.XLOOKUP(Y62,'Case Type'!A:A,'Case Type'!H:H)*Z62</f>
        <v>0.1573158144</v>
      </c>
    </row>
  </sheetData>
  <sheetProtection formatCells="0" formatColumns="0" formatRows="0" insertRows="0" insertColumns="0" insertHyperlinks="0" deleteColumns="0" deleteRows="0" sort="0" autoFilter="0" pivotTables="0"/>
  <autoFilter xmlns:etc="http://www.wps.cn/officeDocument/2017/etCustomData" ref="A1:AA62" etc:filterBottomFollowUsedRange="0">
    <extLst/>
  </autoFilter>
  <conditionalFormatting sqref="A1">
    <cfRule type="expression" dxfId="2" priority="13">
      <formula>AND(SUMPRODUCT(IFERROR(1*(($A$1&amp;"x")=(A1&amp;"x")),0))&gt;1,NOT(ISBLANK(A1)))</formula>
    </cfRule>
  </conditionalFormatting>
  <conditionalFormatting sqref="P1">
    <cfRule type="cellIs" dxfId="0" priority="8" operator="lessThan">
      <formula>5</formula>
    </cfRule>
    <cfRule type="cellIs" dxfId="1" priority="7" operator="between">
      <formula>5</formula>
      <formula>10</formula>
    </cfRule>
  </conditionalFormatting>
  <conditionalFormatting sqref="Q1">
    <cfRule type="cellIs" dxfId="0" priority="4" operator="lessThan">
      <formula>5</formula>
    </cfRule>
    <cfRule type="cellIs" dxfId="1" priority="3" operator="between">
      <formula>5</formula>
      <formula>10</formula>
    </cfRule>
  </conditionalFormatting>
  <conditionalFormatting sqref="A38">
    <cfRule type="expression" dxfId="2" priority="16">
      <formula>AND(SUMPRODUCT(IFERROR(1*(($A$38&amp;"x")=(A38&amp;"x")),0))&gt;1,NOT(ISBLANK(A38)))</formula>
    </cfRule>
  </conditionalFormatting>
  <conditionalFormatting sqref="L2:L62">
    <cfRule type="cellIs" dxfId="3" priority="18" operator="lessThan">
      <formula>0</formula>
    </cfRule>
  </conditionalFormatting>
  <conditionalFormatting sqref="P2:P62">
    <cfRule type="cellIs" dxfId="0" priority="6" operator="lessThan">
      <formula>5</formula>
    </cfRule>
    <cfRule type="cellIs" dxfId="1" priority="5" operator="between">
      <formula>5</formula>
      <formula>10</formula>
    </cfRule>
  </conditionalFormatting>
  <conditionalFormatting sqref="Q2:Q62">
    <cfRule type="cellIs" dxfId="0" priority="2" operator="lessThan">
      <formula>5</formula>
    </cfRule>
    <cfRule type="cellIs" dxfId="1" priority="1" operator="between">
      <formula>5</formula>
      <formula>10</formula>
    </cfRule>
  </conditionalFormatting>
  <conditionalFormatting sqref="V2:V62">
    <cfRule type="cellIs" dxfId="4" priority="17" operator="greaterThan">
      <formula>0</formula>
    </cfRule>
  </conditionalFormatting>
  <conditionalFormatting sqref="A2:A37 A39:A62">
    <cfRule type="expression" dxfId="2" priority="19">
      <formula>AND(SUMPRODUCT(IFERROR(1*(($A$2:$A$37&amp;"x")=(A2&amp;"x")),0))+SUMPRODUCT(IFERROR(1*(($A$39:$A$62&amp;"x")=(A2&amp;"x")),0))&gt;1,NOT(ISBLANK(A2)))</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68"/>
  <sheetViews>
    <sheetView zoomScale="49" zoomScaleNormal="49" workbookViewId="0">
      <selection activeCell="U2" sqref="U2"/>
    </sheetView>
  </sheetViews>
  <sheetFormatPr defaultColWidth="9.14285714285714" defaultRowHeight="12.75"/>
  <cols>
    <col min="1" max="1" width="22.2857142857143" style="345" customWidth="1"/>
    <col min="2" max="2" width="10.2857142857143" style="345" customWidth="1"/>
    <col min="3" max="3" width="10.5047619047619" style="345" customWidth="1"/>
    <col min="4" max="4" width="10.2857142857143" style="345" customWidth="1"/>
    <col min="5" max="5" width="10.5047619047619" style="345" customWidth="1"/>
    <col min="6" max="6" width="11.7142857142857" style="345" customWidth="1"/>
    <col min="7" max="7" width="11.647619047619" style="345" customWidth="1"/>
    <col min="8" max="8" width="14.5714285714286" style="345" customWidth="1"/>
    <col min="9" max="9" width="6.63809523809524" style="345" customWidth="1"/>
    <col min="10" max="10" width="13.647619047619" style="345" customWidth="1"/>
    <col min="11" max="11" width="6.63809523809524" style="345" customWidth="1"/>
    <col min="12" max="13" width="9.14285714285714" style="345"/>
    <col min="14" max="14" width="11.7142857142857" style="345" customWidth="1"/>
    <col min="15" max="15" width="13.2857142857143" style="345" customWidth="1"/>
    <col min="16" max="16" width="9.5047619047619" style="345" customWidth="1"/>
    <col min="17" max="17" width="7.21904761904762" style="345" customWidth="1"/>
    <col min="18" max="18" width="12.1428571428571" style="345" customWidth="1"/>
    <col min="19" max="19" width="20.0190476190476" style="345" customWidth="1"/>
    <col min="20" max="20" width="9.78095238095238" style="345" customWidth="1"/>
    <col min="21" max="21" width="12.647619047619" style="345" customWidth="1"/>
    <col min="22" max="22" width="20.7904761904762" style="345" customWidth="1"/>
    <col min="23" max="24" width="21.7142857142857" style="345" customWidth="1"/>
    <col min="25" max="16384" width="9.14285714285714" style="345"/>
  </cols>
  <sheetData>
    <row r="1" spans="1:24">
      <c r="A1" s="346" t="s">
        <v>91</v>
      </c>
      <c r="B1" s="347" t="s">
        <v>92</v>
      </c>
      <c r="C1" s="347"/>
      <c r="D1" s="347" t="s">
        <v>93</v>
      </c>
      <c r="E1" s="347"/>
      <c r="F1" s="346" t="s">
        <v>23</v>
      </c>
      <c r="G1" s="346" t="s">
        <v>25</v>
      </c>
      <c r="H1" s="348">
        <f ca="1">SUM(I3:I63)</f>
        <v>47.388506392363</v>
      </c>
      <c r="I1" s="348"/>
      <c r="J1" s="348">
        <f ca="1">SUM(K3:K63)</f>
        <v>0</v>
      </c>
      <c r="K1" s="348"/>
      <c r="N1" s="349" t="s">
        <v>94</v>
      </c>
      <c r="O1" s="349" t="s">
        <v>91</v>
      </c>
      <c r="P1" s="349" t="s">
        <v>95</v>
      </c>
      <c r="Q1" s="349" t="s">
        <v>96</v>
      </c>
      <c r="R1" s="349" t="s">
        <v>97</v>
      </c>
      <c r="S1" s="349" t="s">
        <v>98</v>
      </c>
      <c r="T1" s="349" t="s">
        <v>99</v>
      </c>
      <c r="U1" s="349" t="s">
        <v>100</v>
      </c>
      <c r="V1" s="349" t="s">
        <v>101</v>
      </c>
      <c r="W1" s="349" t="s">
        <v>102</v>
      </c>
      <c r="X1" s="349" t="s">
        <v>103</v>
      </c>
    </row>
    <row r="2" ht="15" spans="1:24">
      <c r="A2" s="346"/>
      <c r="B2" s="347" t="s">
        <v>104</v>
      </c>
      <c r="C2" s="347" t="s">
        <v>105</v>
      </c>
      <c r="D2" s="347" t="s">
        <v>104</v>
      </c>
      <c r="E2" s="347" t="s">
        <v>105</v>
      </c>
      <c r="F2" s="346"/>
      <c r="G2" s="346" t="s">
        <v>25</v>
      </c>
      <c r="H2" s="347" t="s">
        <v>106</v>
      </c>
      <c r="I2" s="347" t="s">
        <v>27</v>
      </c>
      <c r="J2" s="350" t="s">
        <v>107</v>
      </c>
      <c r="K2" s="347" t="s">
        <v>27</v>
      </c>
      <c r="N2" s="351" t="s">
        <v>108</v>
      </c>
      <c r="O2" s="352" t="s">
        <v>109</v>
      </c>
      <c r="P2" s="352" t="s">
        <v>92</v>
      </c>
      <c r="Q2" s="352" t="s">
        <v>93</v>
      </c>
      <c r="R2" s="352">
        <v>208</v>
      </c>
      <c r="S2" s="352"/>
      <c r="T2" s="351">
        <v>46307</v>
      </c>
      <c r="U2" s="352"/>
      <c r="V2" s="352">
        <f ca="1">IF(AND(ISNUMBER(T2),T2&gt;0,T2&lt;=TODAY(),ISNUMBER(R2),R2&gt;0,COUNTIF(Sum!A:A,O2)&gt;0,P2&lt;&gt;Q2,OR(P2="LA",P2="HOU"),OR(Q2="LA",Q2="HOU")),R2,0)</f>
        <v>0</v>
      </c>
      <c r="W2" s="352">
        <f ca="1" t="shared" ref="W2:W39" si="0">IF(AND(V2&gt;0,ISNUMBER(U2),U2&gt;=T2,U2&lt;=TODAY(),ISNUMBER(S2),S2&gt;0,S2&lt;=V2),S2,0)</f>
        <v>0</v>
      </c>
      <c r="X2" s="352" t="str">
        <f>IF(O2="","",IF(COUNTIF(Sum!A:A,O2)=0,"SKU不存在",IF(OR(P2=Q2,AND(P2&lt;&gt;"LA",P2&lt;&gt;"HOU"),AND(Q2&lt;&gt;"LA",Q2&lt;&gt;"HOU")),"仓库错误",IF(AND(ISNUMBER(S2),S2&gt;R2),"收货超过发出",IF(AND(ISNUMBER(U2),OR(NOT(ISNUMBER(T2)),U2&lt;T2)),"收发日期错误","")))))</f>
        <v>SKU不存在</v>
      </c>
    </row>
    <row r="3" ht="15" spans="1:24">
      <c r="A3" s="352" t="str">
        <f>Sum!A2</f>
        <v>BOBO22-GN</v>
      </c>
      <c r="B3" s="353">
        <f ca="1">_xlfn.XLOOKUP(A3,Sum_LA!A:A,Sum_LA!V:V)</f>
        <v>0</v>
      </c>
      <c r="C3" s="352">
        <f ca="1">MAX(0,MIN(_xlfn.XLOOKUP(A3,Sum_LA!A:A,Sum_LA!L:L),_xlfn.XLOOKUP(A3,Sum_LA!A:A,Sum_LA!M:M)-_xlfn.XLOOKUP(A3,Sum_LA!A:A,Sum_LA!O:O)*(_xlfn.XLOOKUP(A3,Sum_LA!A:A,Sum_LA!R:R)+_xlfn.XLOOKUP(A3,Sum_LA!A:A,Sum_LA!S:S)+2)-_xlfn.XLOOKUP(A3,Sum_LA!A:A,Sum_LA!T:T)))</f>
        <v>368</v>
      </c>
      <c r="D3" s="352">
        <f ca="1">_xlfn.XLOOKUP(A3,Sum_HOU!A:A,Sum_HOU!V:V)</f>
        <v>192</v>
      </c>
      <c r="E3" s="352">
        <f ca="1">MAX(0,MIN(_xlfn.XLOOKUP(A3,Sum_HOU!A:A,Sum_HOU!L:L),_xlfn.XLOOKUP(A3,Sum_HOU!A:A,Sum_HOU!M:M)-_xlfn.XLOOKUP(A3,Sum_HOU!A:A,Sum_HOU!O:O)*(_xlfn.XLOOKUP(A3,Sum_HOU!A:A,Sum_HOU!R:R)+_xlfn.XLOOKUP(A3,Sum_HOU!A:A,Sum_HOU!S:S)+2)-_xlfn.XLOOKUP(A3,Sum_HOU!A:A,Sum_HOU!T:T)))</f>
        <v>0</v>
      </c>
      <c r="F3" s="352">
        <f ca="1">_xlfn.XLOOKUP(A3,Sum!A:A,Sum!Y:Y)</f>
        <v>16</v>
      </c>
      <c r="G3" s="352" t="str">
        <f ca="1">_xlfn.XLOOKUP(A3,Sum!A:A,Sum!AA:AA)</f>
        <v>C</v>
      </c>
      <c r="H3" s="352">
        <f ca="1" t="shared" ref="H3:H63" si="1">ROUNDDOWN(MIN(D3,C3)/F3,0)*F3</f>
        <v>192</v>
      </c>
      <c r="I3" s="352">
        <f ca="1">_xlfn.XLOOKUP(G3,'Case Type'!A:A,'Case Type'!H:H)*(H3/F3)</f>
        <v>1.8877897728</v>
      </c>
      <c r="J3" s="352">
        <f ca="1" t="shared" ref="J3:J63" si="2">ROUNDDOWN(MIN(B3,E3)/F3,0)*F3</f>
        <v>0</v>
      </c>
      <c r="K3" s="352">
        <f ca="1">_xlfn.XLOOKUP(G3,'Case Type'!A:A,'Case Type'!H:H)*(J3/F3)</f>
        <v>0</v>
      </c>
      <c r="N3" s="351" t="s">
        <v>108</v>
      </c>
      <c r="O3" s="352"/>
      <c r="P3" s="352"/>
      <c r="Q3" s="352"/>
      <c r="R3" s="352"/>
      <c r="S3" s="352"/>
      <c r="T3" s="351"/>
      <c r="U3" s="352"/>
      <c r="V3" s="352">
        <f ca="1">IF(AND(ISNUMBER(T3),T3&gt;0,T3&lt;=TODAY(),ISNUMBER(R3),R3&gt;0,COUNTIF(Sum!A:A,O3)&gt;0,P3&lt;&gt;Q3,OR(P3="LA",P3="HOU"),OR(Q3="LA",Q3="HOU")),R3,0)</f>
        <v>0</v>
      </c>
      <c r="W3" s="352">
        <f ca="1" t="shared" si="0"/>
        <v>0</v>
      </c>
      <c r="X3" s="352" t="str">
        <f>IF(O3="","",IF(COUNTIF(Sum!A:A,O3)=0,"SKU不存在",IF(OR(P3=Q3,AND(P3&lt;&gt;"LA",P3&lt;&gt;"HOU"),AND(Q3&lt;&gt;"LA",Q3&lt;&gt;"HOU")),"仓库错误",IF(AND(ISNUMBER(S3),S3&gt;R3),"收货超过发出",IF(AND(ISNUMBER(U3),OR(NOT(ISNUMBER(T3)),U3&lt;T3)),"收发日期错误","")))))</f>
        <v/>
      </c>
    </row>
    <row r="4" ht="15" spans="1:24">
      <c r="A4" s="352" t="str">
        <f>Sum!A3</f>
        <v>BOBO22-WH</v>
      </c>
      <c r="B4" s="353">
        <f ca="1">_xlfn.XLOOKUP(A4,Sum_LA!A:A,Sum_LA!V:V)</f>
        <v>0</v>
      </c>
      <c r="C4" s="352">
        <f ca="1">MAX(0,MIN(_xlfn.XLOOKUP(A4,Sum_LA!A:A,Sum_LA!L:L),_xlfn.XLOOKUP(A4,Sum_LA!A:A,Sum_LA!M:M)-_xlfn.XLOOKUP(A4,Sum_LA!A:A,Sum_LA!O:O)*(_xlfn.XLOOKUP(A4,Sum_LA!A:A,Sum_LA!R:R)+_xlfn.XLOOKUP(A4,Sum_LA!A:A,Sum_LA!S:S)+2)-_xlfn.XLOOKUP(A4,Sum_LA!A:A,Sum_LA!T:T)))</f>
        <v>660.25</v>
      </c>
      <c r="D4" s="352">
        <f ca="1">_xlfn.XLOOKUP(A4,Sum_HOU!A:A,Sum_HOU!V:V)</f>
        <v>0</v>
      </c>
      <c r="E4" s="352">
        <f ca="1">MAX(0,MIN(_xlfn.XLOOKUP(A4,Sum_HOU!A:A,Sum_HOU!L:L),_xlfn.XLOOKUP(A4,Sum_HOU!A:A,Sum_HOU!M:M)-_xlfn.XLOOKUP(A4,Sum_HOU!A:A,Sum_HOU!O:O)*(_xlfn.XLOOKUP(A4,Sum_HOU!A:A,Sum_HOU!R:R)+_xlfn.XLOOKUP(A4,Sum_HOU!A:A,Sum_HOU!S:S)+2)-_xlfn.XLOOKUP(A4,Sum_HOU!A:A,Sum_HOU!T:T)))</f>
        <v>0</v>
      </c>
      <c r="F4" s="352">
        <f ca="1">_xlfn.XLOOKUP(A4,Sum!A:A,Sum!Y:Y)</f>
        <v>16</v>
      </c>
      <c r="G4" s="352" t="str">
        <f ca="1">_xlfn.XLOOKUP(A4,Sum!A:A,Sum!AA:AA)</f>
        <v>C</v>
      </c>
      <c r="H4" s="352">
        <f ca="1" t="shared" si="1"/>
        <v>0</v>
      </c>
      <c r="I4" s="352">
        <f ca="1">_xlfn.XLOOKUP(G4,'Case Type'!A:A,'Case Type'!H:H)*(H4/F4)</f>
        <v>0</v>
      </c>
      <c r="J4" s="352">
        <f ca="1" t="shared" si="2"/>
        <v>0</v>
      </c>
      <c r="K4" s="352">
        <f ca="1">_xlfn.XLOOKUP(G4,'Case Type'!A:A,'Case Type'!H:H)*(J4/F4)</f>
        <v>0</v>
      </c>
      <c r="N4" s="351" t="s">
        <v>108</v>
      </c>
      <c r="O4" s="352"/>
      <c r="P4" s="352"/>
      <c r="Q4" s="352"/>
      <c r="R4" s="352"/>
      <c r="S4" s="352"/>
      <c r="T4" s="351"/>
      <c r="U4" s="352"/>
      <c r="V4" s="352">
        <f ca="1">IF(AND(ISNUMBER(T4),T4&gt;0,T4&lt;=TODAY(),ISNUMBER(R4),R4&gt;0,COUNTIF(Sum!A:A,O4)&gt;0,P4&lt;&gt;Q4,OR(P4="LA",P4="HOU"),OR(Q4="LA",Q4="HOU")),R4,0)</f>
        <v>0</v>
      </c>
      <c r="W4" s="352">
        <f ca="1" t="shared" si="0"/>
        <v>0</v>
      </c>
      <c r="X4" s="352" t="str">
        <f>IF(O4="","",IF(COUNTIF(Sum!A:A,O4)=0,"SKU不存在",IF(OR(P4=Q4,AND(P4&lt;&gt;"LA",P4&lt;&gt;"HOU"),AND(Q4&lt;&gt;"LA",Q4&lt;&gt;"HOU")),"仓库错误",IF(AND(ISNUMBER(S4),S4&gt;R4),"收货超过发出",IF(AND(ISNUMBER(U4),OR(NOT(ISNUMBER(T4)),U4&lt;T4)),"收发日期错误","")))))</f>
        <v/>
      </c>
    </row>
    <row r="5" ht="15" spans="1:24">
      <c r="A5" s="352" t="str">
        <f>Sum!A4</f>
        <v>CFDL1090-BR</v>
      </c>
      <c r="B5" s="353">
        <f ca="1">_xlfn.XLOOKUP(A5,Sum_LA!A:A,Sum_LA!V:V)</f>
        <v>0</v>
      </c>
      <c r="C5" s="352">
        <f ca="1">MAX(0,MIN(_xlfn.XLOOKUP(A5,Sum_LA!A:A,Sum_LA!L:L),_xlfn.XLOOKUP(A5,Sum_LA!A:A,Sum_LA!M:M)-_xlfn.XLOOKUP(A5,Sum_LA!A:A,Sum_LA!O:O)*(_xlfn.XLOOKUP(A5,Sum_LA!A:A,Sum_LA!R:R)+_xlfn.XLOOKUP(A5,Sum_LA!A:A,Sum_LA!S:S)+2)-_xlfn.XLOOKUP(A5,Sum_LA!A:A,Sum_LA!T:T)))</f>
        <v>630</v>
      </c>
      <c r="D5" s="352">
        <f ca="1">_xlfn.XLOOKUP(A5,Sum_HOU!A:A,Sum_HOU!V:V)</f>
        <v>90</v>
      </c>
      <c r="E5" s="352">
        <f ca="1">MAX(0,MIN(_xlfn.XLOOKUP(A5,Sum_HOU!A:A,Sum_HOU!L:L),_xlfn.XLOOKUP(A5,Sum_HOU!A:A,Sum_HOU!M:M)-_xlfn.XLOOKUP(A5,Sum_HOU!A:A,Sum_HOU!O:O)*(_xlfn.XLOOKUP(A5,Sum_HOU!A:A,Sum_HOU!R:R)+_xlfn.XLOOKUP(A5,Sum_HOU!A:A,Sum_HOU!S:S)+2)-_xlfn.XLOOKUP(A5,Sum_HOU!A:A,Sum_HOU!T:T)))</f>
        <v>0</v>
      </c>
      <c r="F5" s="352">
        <f ca="1">_xlfn.XLOOKUP(A5,Sum!A:A,Sum!Y:Y)</f>
        <v>30</v>
      </c>
      <c r="G5" s="352" t="str">
        <f ca="1">_xlfn.XLOOKUP(A5,Sum!A:A,Sum!AA:AA)</f>
        <v>A</v>
      </c>
      <c r="H5" s="352">
        <f ca="1" t="shared" si="1"/>
        <v>90</v>
      </c>
      <c r="I5" s="352">
        <f ca="1">_xlfn.XLOOKUP(G5,'Case Type'!A:A,'Case Type'!H:H)*(H5/F5)</f>
        <v>0.33036321024</v>
      </c>
      <c r="J5" s="352">
        <f ca="1" t="shared" si="2"/>
        <v>0</v>
      </c>
      <c r="K5" s="352">
        <f ca="1">_xlfn.XLOOKUP(G5,'Case Type'!A:A,'Case Type'!H:H)*(J5/F5)</f>
        <v>0</v>
      </c>
      <c r="N5" s="351" t="s">
        <v>108</v>
      </c>
      <c r="O5" s="352"/>
      <c r="P5" s="352"/>
      <c r="Q5" s="352"/>
      <c r="R5" s="352"/>
      <c r="S5" s="352"/>
      <c r="T5" s="351"/>
      <c r="U5" s="352"/>
      <c r="V5" s="352">
        <f ca="1">IF(AND(ISNUMBER(T5),T5&gt;0,T5&lt;=TODAY(),ISNUMBER(R5),R5&gt;0,COUNTIF(Sum!A:A,O5)&gt;0,P5&lt;&gt;Q5,OR(P5="LA",P5="HOU"),OR(Q5="LA",Q5="HOU")),R5,0)</f>
        <v>0</v>
      </c>
      <c r="W5" s="352">
        <f ca="1" t="shared" si="0"/>
        <v>0</v>
      </c>
      <c r="X5" s="352" t="str">
        <f>IF(O5="","",IF(COUNTIF(Sum!A:A,O5)=0,"SKU不存在",IF(OR(P5=Q5,AND(P5&lt;&gt;"LA",P5&lt;&gt;"HOU"),AND(Q5&lt;&gt;"LA",Q5&lt;&gt;"HOU")),"仓库错误",IF(AND(ISNUMBER(S5),S5&gt;R5),"收货超过发出",IF(AND(ISNUMBER(U5),OR(NOT(ISNUMBER(T5)),U5&lt;T5)),"收发日期错误","")))))</f>
        <v/>
      </c>
    </row>
    <row r="6" ht="15" spans="1:24">
      <c r="A6" s="352" t="str">
        <f>Sum!A5</f>
        <v>CFDL1090-PK</v>
      </c>
      <c r="B6" s="353">
        <f ca="1">_xlfn.XLOOKUP(A6,Sum_LA!A:A,Sum_LA!V:V)</f>
        <v>0</v>
      </c>
      <c r="C6" s="352">
        <f ca="1">MAX(0,MIN(_xlfn.XLOOKUP(A6,Sum_LA!A:A,Sum_LA!L:L),_xlfn.XLOOKUP(A6,Sum_LA!A:A,Sum_LA!M:M)-_xlfn.XLOOKUP(A6,Sum_LA!A:A,Sum_LA!O:O)*(_xlfn.XLOOKUP(A6,Sum_LA!A:A,Sum_LA!R:R)+_xlfn.XLOOKUP(A6,Sum_LA!A:A,Sum_LA!S:S)+2)-_xlfn.XLOOKUP(A6,Sum_LA!A:A,Sum_LA!T:T)))</f>
        <v>630</v>
      </c>
      <c r="D6" s="352">
        <f ca="1">_xlfn.XLOOKUP(A6,Sum_HOU!A:A,Sum_HOU!V:V)</f>
        <v>30</v>
      </c>
      <c r="E6" s="352">
        <f ca="1">MAX(0,MIN(_xlfn.XLOOKUP(A6,Sum_HOU!A:A,Sum_HOU!L:L),_xlfn.XLOOKUP(A6,Sum_HOU!A:A,Sum_HOU!M:M)-_xlfn.XLOOKUP(A6,Sum_HOU!A:A,Sum_HOU!O:O)*(_xlfn.XLOOKUP(A6,Sum_HOU!A:A,Sum_HOU!R:R)+_xlfn.XLOOKUP(A6,Sum_HOU!A:A,Sum_HOU!S:S)+2)-_xlfn.XLOOKUP(A6,Sum_HOU!A:A,Sum_HOU!T:T)))</f>
        <v>0</v>
      </c>
      <c r="F6" s="352">
        <f ca="1">_xlfn.XLOOKUP(A6,Sum!A:A,Sum!Y:Y)</f>
        <v>30</v>
      </c>
      <c r="G6" s="352" t="str">
        <f ca="1">_xlfn.XLOOKUP(A6,Sum!A:A,Sum!AA:AA)</f>
        <v>A</v>
      </c>
      <c r="H6" s="352">
        <f ca="1" t="shared" si="1"/>
        <v>30</v>
      </c>
      <c r="I6" s="352">
        <f ca="1">_xlfn.XLOOKUP(G6,'Case Type'!A:A,'Case Type'!H:H)*(H6/F6)</f>
        <v>0.11012107008</v>
      </c>
      <c r="J6" s="352">
        <f ca="1" t="shared" si="2"/>
        <v>0</v>
      </c>
      <c r="K6" s="352">
        <f ca="1">_xlfn.XLOOKUP(G6,'Case Type'!A:A,'Case Type'!H:H)*(J6/F6)</f>
        <v>0</v>
      </c>
      <c r="N6" s="351" t="s">
        <v>108</v>
      </c>
      <c r="O6" s="352"/>
      <c r="P6" s="352"/>
      <c r="Q6" s="352"/>
      <c r="R6" s="352"/>
      <c r="S6" s="352"/>
      <c r="T6" s="351"/>
      <c r="U6" s="352"/>
      <c r="V6" s="352">
        <f ca="1">IF(AND(ISNUMBER(T6),T6&gt;0,T6&lt;=TODAY(),ISNUMBER(R6),R6&gt;0,COUNTIF(Sum!A:A,O6)&gt;0,P6&lt;&gt;Q6,OR(P6="LA",P6="HOU"),OR(Q6="LA",Q6="HOU")),R6,0)</f>
        <v>0</v>
      </c>
      <c r="W6" s="352">
        <f ca="1" t="shared" si="0"/>
        <v>0</v>
      </c>
      <c r="X6" s="352" t="str">
        <f>IF(O6="","",IF(COUNTIF(Sum!A:A,O6)=0,"SKU不存在",IF(OR(P6=Q6,AND(P6&lt;&gt;"LA",P6&lt;&gt;"HOU"),AND(Q6&lt;&gt;"LA",Q6&lt;&gt;"HOU")),"仓库错误",IF(AND(ISNUMBER(S6),S6&gt;R6),"收货超过发出",IF(AND(ISNUMBER(U6),OR(NOT(ISNUMBER(T6)),U6&lt;T6)),"收发日期错误","")))))</f>
        <v/>
      </c>
    </row>
    <row r="7" ht="15" spans="1:24">
      <c r="A7" s="352" t="str">
        <f>Sum!A6</f>
        <v>CFDL9000-GN-YL</v>
      </c>
      <c r="B7" s="353">
        <f ca="1">_xlfn.XLOOKUP(A7,Sum_LA!A:A,Sum_LA!V:V)</f>
        <v>0</v>
      </c>
      <c r="C7" s="352">
        <f ca="1">MAX(0,MIN(_xlfn.XLOOKUP(A7,Sum_LA!A:A,Sum_LA!L:L),_xlfn.XLOOKUP(A7,Sum_LA!A:A,Sum_LA!M:M)-_xlfn.XLOOKUP(A7,Sum_LA!A:A,Sum_LA!O:O)*(_xlfn.XLOOKUP(A7,Sum_LA!A:A,Sum_LA!R:R)+_xlfn.XLOOKUP(A7,Sum_LA!A:A,Sum_LA!S:S)+2)-_xlfn.XLOOKUP(A7,Sum_LA!A:A,Sum_LA!T:T)))</f>
        <v>1380</v>
      </c>
      <c r="D7" s="352">
        <f ca="1">_xlfn.XLOOKUP(A7,Sum_HOU!A:A,Sum_HOU!V:V)</f>
        <v>90</v>
      </c>
      <c r="E7" s="352">
        <f ca="1">MAX(0,MIN(_xlfn.XLOOKUP(A7,Sum_HOU!A:A,Sum_HOU!L:L),_xlfn.XLOOKUP(A7,Sum_HOU!A:A,Sum_HOU!M:M)-_xlfn.XLOOKUP(A7,Sum_HOU!A:A,Sum_HOU!O:O)*(_xlfn.XLOOKUP(A7,Sum_HOU!A:A,Sum_HOU!R:R)+_xlfn.XLOOKUP(A7,Sum_HOU!A:A,Sum_HOU!S:S)+2)-_xlfn.XLOOKUP(A7,Sum_HOU!A:A,Sum_HOU!T:T)))</f>
        <v>0</v>
      </c>
      <c r="F7" s="352">
        <f ca="1">_xlfn.XLOOKUP(A7,Sum!A:A,Sum!Y:Y)</f>
        <v>30</v>
      </c>
      <c r="G7" s="352" t="str">
        <f ca="1">_xlfn.XLOOKUP(A7,Sum!A:A,Sum!AA:AA)</f>
        <v>A</v>
      </c>
      <c r="H7" s="352">
        <f ca="1" t="shared" si="1"/>
        <v>90</v>
      </c>
      <c r="I7" s="352">
        <f ca="1">_xlfn.XLOOKUP(G7,'Case Type'!A:A,'Case Type'!H:H)*(H7/F7)</f>
        <v>0.33036321024</v>
      </c>
      <c r="J7" s="352">
        <f ca="1" t="shared" si="2"/>
        <v>0</v>
      </c>
      <c r="K7" s="352">
        <f ca="1">_xlfn.XLOOKUP(G7,'Case Type'!A:A,'Case Type'!H:H)*(J7/F7)</f>
        <v>0</v>
      </c>
      <c r="N7" s="351" t="s">
        <v>108</v>
      </c>
      <c r="O7" s="352"/>
      <c r="P7" s="352"/>
      <c r="Q7" s="352"/>
      <c r="R7" s="352"/>
      <c r="S7" s="352"/>
      <c r="T7" s="351"/>
      <c r="U7" s="352"/>
      <c r="V7" s="352">
        <f ca="1">IF(AND(ISNUMBER(T7),T7&gt;0,T7&lt;=TODAY(),ISNUMBER(R7),R7&gt;0,COUNTIF(Sum!A:A,O7)&gt;0,P7&lt;&gt;Q7,OR(P7="LA",P7="HOU"),OR(Q7="LA",Q7="HOU")),R7,0)</f>
        <v>0</v>
      </c>
      <c r="W7" s="352">
        <f ca="1" t="shared" si="0"/>
        <v>0</v>
      </c>
      <c r="X7" s="352" t="str">
        <f>IF(O7="","",IF(COUNTIF(Sum!A:A,O7)=0,"SKU不存在",IF(OR(P7=Q7,AND(P7&lt;&gt;"LA",P7&lt;&gt;"HOU"),AND(Q7&lt;&gt;"LA",Q7&lt;&gt;"HOU")),"仓库错误",IF(AND(ISNUMBER(S7),S7&gt;R7),"收货超过发出",IF(AND(ISNUMBER(U7),OR(NOT(ISNUMBER(T7)),U7&lt;T7)),"收发日期错误","")))))</f>
        <v/>
      </c>
    </row>
    <row r="8" ht="15" spans="1:24">
      <c r="A8" s="352" t="str">
        <f>Sum!A7</f>
        <v>CFLS18000</v>
      </c>
      <c r="B8" s="353">
        <f ca="1">_xlfn.XLOOKUP(A8,Sum_LA!A:A,Sum_LA!V:V)</f>
        <v>0</v>
      </c>
      <c r="C8" s="352">
        <f ca="1">MAX(0,MIN(_xlfn.XLOOKUP(A8,Sum_LA!A:A,Sum_LA!L:L),_xlfn.XLOOKUP(A8,Sum_LA!A:A,Sum_LA!M:M)-_xlfn.XLOOKUP(A8,Sum_LA!A:A,Sum_LA!O:O)*(_xlfn.XLOOKUP(A8,Sum_LA!A:A,Sum_LA!R:R)+_xlfn.XLOOKUP(A8,Sum_LA!A:A,Sum_LA!S:S)+2)-_xlfn.XLOOKUP(A8,Sum_LA!A:A,Sum_LA!T:T)))</f>
        <v>1435.12500000001</v>
      </c>
      <c r="D8" s="352">
        <f ca="1">_xlfn.XLOOKUP(A8,Sum_HOU!A:A,Sum_HOU!V:V)</f>
        <v>144</v>
      </c>
      <c r="E8" s="352">
        <f ca="1">MAX(0,MIN(_xlfn.XLOOKUP(A8,Sum_HOU!A:A,Sum_HOU!L:L),_xlfn.XLOOKUP(A8,Sum_HOU!A:A,Sum_HOU!M:M)-_xlfn.XLOOKUP(A8,Sum_HOU!A:A,Sum_HOU!O:O)*(_xlfn.XLOOKUP(A8,Sum_HOU!A:A,Sum_HOU!R:R)+_xlfn.XLOOKUP(A8,Sum_HOU!A:A,Sum_HOU!S:S)+2)-_xlfn.XLOOKUP(A8,Sum_HOU!A:A,Sum_HOU!T:T)))</f>
        <v>0</v>
      </c>
      <c r="F8" s="352">
        <f ca="1">_xlfn.XLOOKUP(A8,Sum!A:A,Sum!Y:Y)</f>
        <v>48</v>
      </c>
      <c r="G8" s="352" t="str">
        <f ca="1">_xlfn.XLOOKUP(A8,Sum!A:A,Sum!AA:AA)</f>
        <v>B</v>
      </c>
      <c r="H8" s="352">
        <f ca="1" t="shared" si="1"/>
        <v>144</v>
      </c>
      <c r="I8" s="352">
        <f ca="1">_xlfn.XLOOKUP(G8,'Case Type'!A:A,'Case Type'!H:H)*(H8/F8)</f>
        <v>0.22024214016</v>
      </c>
      <c r="J8" s="352">
        <f ca="1" t="shared" si="2"/>
        <v>0</v>
      </c>
      <c r="K8" s="352">
        <f ca="1">_xlfn.XLOOKUP(G8,'Case Type'!A:A,'Case Type'!H:H)*(J8/F8)</f>
        <v>0</v>
      </c>
      <c r="N8" s="351" t="s">
        <v>108</v>
      </c>
      <c r="O8" s="352"/>
      <c r="P8" s="352"/>
      <c r="Q8" s="352"/>
      <c r="R8" s="352"/>
      <c r="S8" s="352"/>
      <c r="T8" s="351"/>
      <c r="U8" s="352"/>
      <c r="V8" s="352">
        <f ca="1">IF(AND(ISNUMBER(T8),T8&gt;0,T8&lt;=TODAY(),ISNUMBER(R8),R8&gt;0,COUNTIF(Sum!A:A,O8)&gt;0,P8&lt;&gt;Q8,OR(P8="LA",P8="HOU"),OR(Q8="LA",Q8="HOU")),R8,0)</f>
        <v>0</v>
      </c>
      <c r="W8" s="352">
        <f ca="1" t="shared" si="0"/>
        <v>0</v>
      </c>
      <c r="X8" s="352" t="str">
        <f>IF(O8="","",IF(COUNTIF(Sum!A:A,O8)=0,"SKU不存在",IF(OR(P8=Q8,AND(P8&lt;&gt;"LA",P8&lt;&gt;"HOU"),AND(Q8&lt;&gt;"LA",Q8&lt;&gt;"HOU")),"仓库错误",IF(AND(ISNUMBER(S8),S8&gt;R8),"收货超过发出",IF(AND(ISNUMBER(U8),OR(NOT(ISNUMBER(T8)),U8&lt;T8)),"收发日期错误","")))))</f>
        <v/>
      </c>
    </row>
    <row r="9" ht="15" spans="1:24">
      <c r="A9" s="352" t="str">
        <f>Sum!A8</f>
        <v>CFLS64000YE</v>
      </c>
      <c r="B9" s="353">
        <f ca="1">_xlfn.XLOOKUP(A9,Sum_LA!A:A,Sum_LA!V:V)</f>
        <v>0</v>
      </c>
      <c r="C9" s="352">
        <f ca="1">MAX(0,MIN(_xlfn.XLOOKUP(A9,Sum_LA!A:A,Sum_LA!L:L),_xlfn.XLOOKUP(A9,Sum_LA!A:A,Sum_LA!M:M)-_xlfn.XLOOKUP(A9,Sum_LA!A:A,Sum_LA!O:O)*(_xlfn.XLOOKUP(A9,Sum_LA!A:A,Sum_LA!R:R)+_xlfn.XLOOKUP(A9,Sum_LA!A:A,Sum_LA!S:S)+2)-_xlfn.XLOOKUP(A9,Sum_LA!A:A,Sum_LA!T:T)))</f>
        <v>785.250000000007</v>
      </c>
      <c r="D9" s="352">
        <f ca="1">_xlfn.XLOOKUP(A9,Sum_HOU!A:A,Sum_HOU!V:V)</f>
        <v>216</v>
      </c>
      <c r="E9" s="352">
        <f ca="1">MAX(0,MIN(_xlfn.XLOOKUP(A9,Sum_HOU!A:A,Sum_HOU!L:L),_xlfn.XLOOKUP(A9,Sum_HOU!A:A,Sum_HOU!M:M)-_xlfn.XLOOKUP(A9,Sum_HOU!A:A,Sum_HOU!O:O)*(_xlfn.XLOOKUP(A9,Sum_HOU!A:A,Sum_HOU!R:R)+_xlfn.XLOOKUP(A9,Sum_HOU!A:A,Sum_HOU!S:S)+2)-_xlfn.XLOOKUP(A9,Sum_HOU!A:A,Sum_HOU!T:T)))</f>
        <v>0</v>
      </c>
      <c r="F9" s="352">
        <f ca="1">_xlfn.XLOOKUP(A9,Sum!A:A,Sum!Y:Y)</f>
        <v>72</v>
      </c>
      <c r="G9" s="352" t="str">
        <f ca="1">_xlfn.XLOOKUP(A9,Sum!A:A,Sum!AA:AA)</f>
        <v>B</v>
      </c>
      <c r="H9" s="352">
        <f ca="1" t="shared" si="1"/>
        <v>216</v>
      </c>
      <c r="I9" s="352">
        <f ca="1">_xlfn.XLOOKUP(G9,'Case Type'!A:A,'Case Type'!H:H)*(H9/F9)</f>
        <v>0.22024214016</v>
      </c>
      <c r="J9" s="352">
        <f ca="1" t="shared" si="2"/>
        <v>0</v>
      </c>
      <c r="K9" s="352">
        <f ca="1">_xlfn.XLOOKUP(G9,'Case Type'!A:A,'Case Type'!H:H)*(J9/F9)</f>
        <v>0</v>
      </c>
      <c r="N9" s="352"/>
      <c r="O9" s="352"/>
      <c r="P9" s="352"/>
      <c r="Q9" s="352"/>
      <c r="R9" s="352"/>
      <c r="S9" s="352"/>
      <c r="T9" s="352"/>
      <c r="U9" s="352"/>
      <c r="V9" s="352">
        <f ca="1">IF(AND(ISNUMBER(T9),T9&gt;0,T9&lt;=TODAY(),ISNUMBER(R9),R9&gt;0,COUNTIF(Sum!A:A,O9)&gt;0,P9&lt;&gt;Q9,OR(P9="LA",P9="HOU"),OR(Q9="LA",Q9="HOU")),R9,0)</f>
        <v>0</v>
      </c>
      <c r="W9" s="352">
        <f ca="1" t="shared" si="0"/>
        <v>0</v>
      </c>
      <c r="X9" s="352" t="str">
        <f>IF(O9="","",IF(COUNTIF(Sum!A:A,O9)=0,"SKU不存在",IF(OR(P9=Q9,AND(P9&lt;&gt;"LA",P9&lt;&gt;"HOU"),AND(Q9&lt;&gt;"LA",Q9&lt;&gt;"HOU")),"仓库错误",IF(AND(ISNUMBER(S9),S9&gt;R9),"收货超过发出",IF(AND(ISNUMBER(U9),OR(NOT(ISNUMBER(T9)),U9&lt;T9)),"收发日期错误","")))))</f>
        <v/>
      </c>
    </row>
    <row r="10" ht="15" spans="1:24">
      <c r="A10" s="352" t="str">
        <f>Sum!A9</f>
        <v>CFLS71000WH</v>
      </c>
      <c r="B10" s="353">
        <f ca="1">_xlfn.XLOOKUP(A10,Sum_LA!A:A,Sum_LA!V:V)</f>
        <v>0</v>
      </c>
      <c r="C10" s="352">
        <f ca="1">MAX(0,MIN(_xlfn.XLOOKUP(A10,Sum_LA!A:A,Sum_LA!L:L),_xlfn.XLOOKUP(A10,Sum_LA!A:A,Sum_LA!M:M)-_xlfn.XLOOKUP(A10,Sum_LA!A:A,Sum_LA!O:O)*(_xlfn.XLOOKUP(A10,Sum_LA!A:A,Sum_LA!R:R)+_xlfn.XLOOKUP(A10,Sum_LA!A:A,Sum_LA!S:S)+2)-_xlfn.XLOOKUP(A10,Sum_LA!A:A,Sum_LA!T:T)))</f>
        <v>2699.66666666667</v>
      </c>
      <c r="D10" s="352">
        <f ca="1">_xlfn.XLOOKUP(A10,Sum_HOU!A:A,Sum_HOU!V:V)</f>
        <v>0</v>
      </c>
      <c r="E10" s="352">
        <f ca="1">MAX(0,MIN(_xlfn.XLOOKUP(A10,Sum_HOU!A:A,Sum_HOU!L:L),_xlfn.XLOOKUP(A10,Sum_HOU!A:A,Sum_HOU!M:M)-_xlfn.XLOOKUP(A10,Sum_HOU!A:A,Sum_HOU!O:O)*(_xlfn.XLOOKUP(A10,Sum_HOU!A:A,Sum_HOU!R:R)+_xlfn.XLOOKUP(A10,Sum_HOU!A:A,Sum_HOU!S:S)+2)-_xlfn.XLOOKUP(A10,Sum_HOU!A:A,Sum_HOU!T:T)))</f>
        <v>0</v>
      </c>
      <c r="F10" s="352">
        <f ca="1">_xlfn.XLOOKUP(A10,Sum!A:A,Sum!Y:Y)</f>
        <v>64</v>
      </c>
      <c r="G10" s="352" t="str">
        <f ca="1">_xlfn.XLOOKUP(A10,Sum!A:A,Sum!AA:AA)</f>
        <v>B</v>
      </c>
      <c r="H10" s="352">
        <f ca="1" t="shared" si="1"/>
        <v>0</v>
      </c>
      <c r="I10" s="352">
        <f ca="1">_xlfn.XLOOKUP(G10,'Case Type'!A:A,'Case Type'!H:H)*(H10/F10)</f>
        <v>0</v>
      </c>
      <c r="J10" s="352">
        <f ca="1" t="shared" si="2"/>
        <v>0</v>
      </c>
      <c r="K10" s="352">
        <f ca="1">_xlfn.XLOOKUP(G10,'Case Type'!A:A,'Case Type'!H:H)*(J10/F10)</f>
        <v>0</v>
      </c>
      <c r="N10" s="352"/>
      <c r="O10" s="352"/>
      <c r="P10" s="352"/>
      <c r="Q10" s="352"/>
      <c r="R10" s="352"/>
      <c r="S10" s="352"/>
      <c r="T10" s="352"/>
      <c r="U10" s="352"/>
      <c r="V10" s="352">
        <f ca="1">IF(AND(ISNUMBER(T10),T10&gt;0,T10&lt;=TODAY(),ISNUMBER(R10),R10&gt;0,COUNTIF(Sum!A:A,O10)&gt;0,P10&lt;&gt;Q10,OR(P10="LA",P10="HOU"),OR(Q10="LA",Q10="HOU")),R10,0)</f>
        <v>0</v>
      </c>
      <c r="W10" s="352">
        <f ca="1" t="shared" si="0"/>
        <v>0</v>
      </c>
      <c r="X10" s="352" t="str">
        <f>IF(O10="","",IF(COUNTIF(Sum!A:A,O10)=0,"SKU不存在",IF(OR(P10=Q10,AND(P10&lt;&gt;"LA",P10&lt;&gt;"HOU"),AND(Q10&lt;&gt;"LA",Q10&lt;&gt;"HOU")),"仓库错误",IF(AND(ISNUMBER(S10),S10&gt;R10),"收货超过发出",IF(AND(ISNUMBER(U10),OR(NOT(ISNUMBER(T10)),U10&lt;T10)),"收发日期错误","")))))</f>
        <v/>
      </c>
    </row>
    <row r="11" ht="15" spans="1:24">
      <c r="A11" s="352" t="str">
        <f>Sum!A10</f>
        <v>CPSH54000WH</v>
      </c>
      <c r="B11" s="353">
        <f ca="1">_xlfn.XLOOKUP(A11,Sum_LA!A:A,Sum_LA!V:V)</f>
        <v>0</v>
      </c>
      <c r="C11" s="352">
        <f ca="1">MAX(0,MIN(_xlfn.XLOOKUP(A11,Sum_LA!A:A,Sum_LA!L:L),_xlfn.XLOOKUP(A11,Sum_LA!A:A,Sum_LA!M:M)-_xlfn.XLOOKUP(A11,Sum_LA!A:A,Sum_LA!O:O)*(_xlfn.XLOOKUP(A11,Sum_LA!A:A,Sum_LA!R:R)+_xlfn.XLOOKUP(A11,Sum_LA!A:A,Sum_LA!S:S)+2)-_xlfn.XLOOKUP(A11,Sum_LA!A:A,Sum_LA!T:T)))</f>
        <v>600</v>
      </c>
      <c r="D11" s="352">
        <f ca="1">_xlfn.XLOOKUP(A11,Sum_HOU!A:A,Sum_HOU!V:V)</f>
        <v>120</v>
      </c>
      <c r="E11" s="352">
        <f ca="1">MAX(0,MIN(_xlfn.XLOOKUP(A11,Sum_HOU!A:A,Sum_HOU!L:L),_xlfn.XLOOKUP(A11,Sum_HOU!A:A,Sum_HOU!M:M)-_xlfn.XLOOKUP(A11,Sum_HOU!A:A,Sum_HOU!O:O)*(_xlfn.XLOOKUP(A11,Sum_HOU!A:A,Sum_HOU!R:R)+_xlfn.XLOOKUP(A11,Sum_HOU!A:A,Sum_HOU!S:S)+2)-_xlfn.XLOOKUP(A11,Sum_HOU!A:A,Sum_HOU!T:T)))</f>
        <v>0</v>
      </c>
      <c r="F11" s="352">
        <f ca="1">_xlfn.XLOOKUP(A11,Sum!A:A,Sum!Y:Y)</f>
        <v>60</v>
      </c>
      <c r="G11" s="352" t="str">
        <f ca="1">_xlfn.XLOOKUP(A11,Sum!A:A,Sum!AA:AA)</f>
        <v>A</v>
      </c>
      <c r="H11" s="352">
        <f ca="1" t="shared" si="1"/>
        <v>120</v>
      </c>
      <c r="I11" s="352">
        <f ca="1">_xlfn.XLOOKUP(G11,'Case Type'!A:A,'Case Type'!H:H)*(H11/F11)</f>
        <v>0.22024214016</v>
      </c>
      <c r="J11" s="352">
        <f ca="1" t="shared" si="2"/>
        <v>0</v>
      </c>
      <c r="K11" s="352">
        <f ca="1">_xlfn.XLOOKUP(G11,'Case Type'!A:A,'Case Type'!H:H)*(J11/F11)</f>
        <v>0</v>
      </c>
      <c r="N11" s="352"/>
      <c r="O11" s="352"/>
      <c r="P11" s="352"/>
      <c r="Q11" s="352"/>
      <c r="R11" s="352"/>
      <c r="S11" s="352"/>
      <c r="T11" s="352"/>
      <c r="U11" s="352"/>
      <c r="V11" s="352">
        <f ca="1">IF(AND(ISNUMBER(T11),T11&gt;0,T11&lt;=TODAY(),ISNUMBER(R11),R11&gt;0,COUNTIF(Sum!A:A,O11)&gt;0,P11&lt;&gt;Q11,OR(P11="LA",P11="HOU"),OR(Q11="LA",Q11="HOU")),R11,0)</f>
        <v>0</v>
      </c>
      <c r="W11" s="352">
        <f ca="1" t="shared" si="0"/>
        <v>0</v>
      </c>
      <c r="X11" s="352" t="str">
        <f>IF(O11="","",IF(COUNTIF(Sum!A:A,O11)=0,"SKU不存在",IF(OR(P11=Q11,AND(P11&lt;&gt;"LA",P11&lt;&gt;"HOU"),AND(Q11&lt;&gt;"LA",Q11&lt;&gt;"HOU")),"仓库错误",IF(AND(ISNUMBER(S11),S11&gt;R11),"收货超过发出",IF(AND(ISNUMBER(U11),OR(NOT(ISNUMBER(T11)),U11&lt;T11)),"收发日期错误","")))))</f>
        <v/>
      </c>
    </row>
    <row r="12" ht="15" spans="1:24">
      <c r="A12" s="352" t="str">
        <f>Sum!A11</f>
        <v>CPSH60007BK</v>
      </c>
      <c r="B12" s="353">
        <f ca="1">_xlfn.XLOOKUP(A12,Sum_LA!A:A,Sum_LA!V:V)</f>
        <v>0</v>
      </c>
      <c r="C12" s="352">
        <f ca="1">MAX(0,MIN(_xlfn.XLOOKUP(A12,Sum_LA!A:A,Sum_LA!L:L),_xlfn.XLOOKUP(A12,Sum_LA!A:A,Sum_LA!M:M)-_xlfn.XLOOKUP(A12,Sum_LA!A:A,Sum_LA!O:O)*(_xlfn.XLOOKUP(A12,Sum_LA!A:A,Sum_LA!R:R)+_xlfn.XLOOKUP(A12,Sum_LA!A:A,Sum_LA!S:S)+2)-_xlfn.XLOOKUP(A12,Sum_LA!A:A,Sum_LA!T:T)))</f>
        <v>976.5</v>
      </c>
      <c r="D12" s="352">
        <f ca="1">_xlfn.XLOOKUP(A12,Sum_HOU!A:A,Sum_HOU!V:V)</f>
        <v>0</v>
      </c>
      <c r="E12" s="352">
        <f ca="1">MAX(0,MIN(_xlfn.XLOOKUP(A12,Sum_HOU!A:A,Sum_HOU!L:L),_xlfn.XLOOKUP(A12,Sum_HOU!A:A,Sum_HOU!M:M)-_xlfn.XLOOKUP(A12,Sum_HOU!A:A,Sum_HOU!O:O)*(_xlfn.XLOOKUP(A12,Sum_HOU!A:A,Sum_HOU!R:R)+_xlfn.XLOOKUP(A12,Sum_HOU!A:A,Sum_HOU!S:S)+2)-_xlfn.XLOOKUP(A12,Sum_HOU!A:A,Sum_HOU!T:T)))</f>
        <v>0</v>
      </c>
      <c r="F12" s="352">
        <f ca="1">_xlfn.XLOOKUP(A12,Sum!A:A,Sum!Y:Y)</f>
        <v>54</v>
      </c>
      <c r="G12" s="352" t="str">
        <f ca="1">_xlfn.XLOOKUP(A12,Sum!A:A,Sum!AA:AA)</f>
        <v>A</v>
      </c>
      <c r="H12" s="352">
        <f ca="1" t="shared" si="1"/>
        <v>0</v>
      </c>
      <c r="I12" s="352">
        <f ca="1">_xlfn.XLOOKUP(G12,'Case Type'!A:A,'Case Type'!H:H)*(H12/F12)</f>
        <v>0</v>
      </c>
      <c r="J12" s="352">
        <f ca="1" t="shared" si="2"/>
        <v>0</v>
      </c>
      <c r="K12" s="352">
        <f ca="1">_xlfn.XLOOKUP(G12,'Case Type'!A:A,'Case Type'!H:H)*(J12/F12)</f>
        <v>0</v>
      </c>
      <c r="N12" s="352"/>
      <c r="O12" s="352"/>
      <c r="P12" s="352"/>
      <c r="Q12" s="352"/>
      <c r="R12" s="352"/>
      <c r="S12" s="352"/>
      <c r="T12" s="352"/>
      <c r="U12" s="352"/>
      <c r="V12" s="352">
        <f ca="1">IF(AND(ISNUMBER(T12),T12&gt;0,T12&lt;=TODAY(),ISNUMBER(R12),R12&gt;0,COUNTIF(Sum!A:A,O12)&gt;0,P12&lt;&gt;Q12,OR(P12="LA",P12="HOU"),OR(Q12="LA",Q12="HOU")),R12,0)</f>
        <v>0</v>
      </c>
      <c r="W12" s="352">
        <f ca="1" t="shared" si="0"/>
        <v>0</v>
      </c>
      <c r="X12" s="352" t="str">
        <f>IF(O12="","",IF(COUNTIF(Sum!A:A,O12)=0,"SKU不存在",IF(OR(P12=Q12,AND(P12&lt;&gt;"LA",P12&lt;&gt;"HOU"),AND(Q12&lt;&gt;"LA",Q12&lt;&gt;"HOU")),"仓库错误",IF(AND(ISNUMBER(S12),S12&gt;R12),"收货超过发出",IF(AND(ISNUMBER(U12),OR(NOT(ISNUMBER(T12)),U12&lt;T12)),"收发日期错误","")))))</f>
        <v/>
      </c>
    </row>
    <row r="13" ht="15" spans="1:24">
      <c r="A13" s="352" t="str">
        <f>Sum!A12</f>
        <v>CPSL22004GN</v>
      </c>
      <c r="B13" s="353">
        <f ca="1">_xlfn.XLOOKUP(A13,Sum_LA!A:A,Sum_LA!V:V)</f>
        <v>0</v>
      </c>
      <c r="C13" s="352">
        <f ca="1">MAX(0,MIN(_xlfn.XLOOKUP(A13,Sum_LA!A:A,Sum_LA!L:L),_xlfn.XLOOKUP(A13,Sum_LA!A:A,Sum_LA!M:M)-_xlfn.XLOOKUP(A13,Sum_LA!A:A,Sum_LA!O:O)*(_xlfn.XLOOKUP(A13,Sum_LA!A:A,Sum_LA!R:R)+_xlfn.XLOOKUP(A13,Sum_LA!A:A,Sum_LA!S:S)+2)-_xlfn.XLOOKUP(A13,Sum_LA!A:A,Sum_LA!T:T)))</f>
        <v>576</v>
      </c>
      <c r="D13" s="352">
        <f ca="1">_xlfn.XLOOKUP(A13,Sum_HOU!A:A,Sum_HOU!V:V)</f>
        <v>48</v>
      </c>
      <c r="E13" s="352">
        <f ca="1">MAX(0,MIN(_xlfn.XLOOKUP(A13,Sum_HOU!A:A,Sum_HOU!L:L),_xlfn.XLOOKUP(A13,Sum_HOU!A:A,Sum_HOU!M:M)-_xlfn.XLOOKUP(A13,Sum_HOU!A:A,Sum_HOU!O:O)*(_xlfn.XLOOKUP(A13,Sum_HOU!A:A,Sum_HOU!R:R)+_xlfn.XLOOKUP(A13,Sum_HOU!A:A,Sum_HOU!S:S)+2)-_xlfn.XLOOKUP(A13,Sum_HOU!A:A,Sum_HOU!T:T)))</f>
        <v>0</v>
      </c>
      <c r="F13" s="352">
        <f ca="1">_xlfn.XLOOKUP(A13,Sum!A:A,Sum!Y:Y)</f>
        <v>48</v>
      </c>
      <c r="G13" s="352" t="str">
        <f ca="1">_xlfn.XLOOKUP(A13,Sum!A:A,Sum!AA:AA)</f>
        <v>B</v>
      </c>
      <c r="H13" s="352">
        <f ca="1" t="shared" si="1"/>
        <v>48</v>
      </c>
      <c r="I13" s="352">
        <f ca="1">_xlfn.XLOOKUP(G13,'Case Type'!A:A,'Case Type'!H:H)*(H13/F13)</f>
        <v>0.07341404672</v>
      </c>
      <c r="J13" s="352">
        <f ca="1" t="shared" si="2"/>
        <v>0</v>
      </c>
      <c r="K13" s="352">
        <f ca="1">_xlfn.XLOOKUP(G13,'Case Type'!A:A,'Case Type'!H:H)*(J13/F13)</f>
        <v>0</v>
      </c>
      <c r="N13" s="352"/>
      <c r="O13" s="352"/>
      <c r="P13" s="352"/>
      <c r="Q13" s="352"/>
      <c r="R13" s="352"/>
      <c r="S13" s="352"/>
      <c r="T13" s="352"/>
      <c r="U13" s="352"/>
      <c r="V13" s="352">
        <f ca="1">IF(AND(ISNUMBER(T13),T13&gt;0,T13&lt;=TODAY(),ISNUMBER(R13),R13&gt;0,COUNTIF(Sum!A:A,O13)&gt;0,P13&lt;&gt;Q13,OR(P13="LA",P13="HOU"),OR(Q13="LA",Q13="HOU")),R13,0)</f>
        <v>0</v>
      </c>
      <c r="W13" s="352">
        <f ca="1" t="shared" si="0"/>
        <v>0</v>
      </c>
      <c r="X13" s="352" t="str">
        <f>IF(O13="","",IF(COUNTIF(Sum!A:A,O13)=0,"SKU不存在",IF(OR(P13=Q13,AND(P13&lt;&gt;"LA",P13&lt;&gt;"HOU"),AND(Q13&lt;&gt;"LA",Q13&lt;&gt;"HOU")),"仓库错误",IF(AND(ISNUMBER(S13),S13&gt;R13),"收货超过发出",IF(AND(ISNUMBER(U13),OR(NOT(ISNUMBER(T13)),U13&lt;T13)),"收发日期错误","")))))</f>
        <v/>
      </c>
    </row>
    <row r="14" ht="15" spans="1:24">
      <c r="A14" s="352" t="str">
        <f>Sum!A13</f>
        <v>CPWJ0011</v>
      </c>
      <c r="B14" s="353">
        <f ca="1">_xlfn.XLOOKUP(A14,Sum_LA!A:A,Sum_LA!V:V)</f>
        <v>0</v>
      </c>
      <c r="C14" s="352">
        <f ca="1">MAX(0,MIN(_xlfn.XLOOKUP(A14,Sum_LA!A:A,Sum_LA!L:L),_xlfn.XLOOKUP(A14,Sum_LA!A:A,Sum_LA!M:M)-_xlfn.XLOOKUP(A14,Sum_LA!A:A,Sum_LA!O:O)*(_xlfn.XLOOKUP(A14,Sum_LA!A:A,Sum_LA!R:R)+_xlfn.XLOOKUP(A14,Sum_LA!A:A,Sum_LA!S:S)+2)-_xlfn.XLOOKUP(A14,Sum_LA!A:A,Sum_LA!T:T)))</f>
        <v>496</v>
      </c>
      <c r="D14" s="352">
        <f ca="1">_xlfn.XLOOKUP(A14,Sum_HOU!A:A,Sum_HOU!V:V)</f>
        <v>784</v>
      </c>
      <c r="E14" s="352">
        <f ca="1">MAX(0,MIN(_xlfn.XLOOKUP(A14,Sum_HOU!A:A,Sum_HOU!L:L),_xlfn.XLOOKUP(A14,Sum_HOU!A:A,Sum_HOU!M:M)-_xlfn.XLOOKUP(A14,Sum_HOU!A:A,Sum_HOU!O:O)*(_xlfn.XLOOKUP(A14,Sum_HOU!A:A,Sum_HOU!R:R)+_xlfn.XLOOKUP(A14,Sum_HOU!A:A,Sum_HOU!S:S)+2)-_xlfn.XLOOKUP(A14,Sum_HOU!A:A,Sum_HOU!T:T)))</f>
        <v>0</v>
      </c>
      <c r="F14" s="352">
        <f ca="1">_xlfn.XLOOKUP(A14,Sum!A:A,Sum!Y:Y)</f>
        <v>16</v>
      </c>
      <c r="G14" s="352" t="str">
        <f ca="1">_xlfn.XLOOKUP(A14,Sum!A:A,Sum!AA:AA)</f>
        <v>C</v>
      </c>
      <c r="H14" s="352">
        <f ca="1" t="shared" si="1"/>
        <v>496</v>
      </c>
      <c r="I14" s="352">
        <f ca="1">_xlfn.XLOOKUP(G14,'Case Type'!A:A,'Case Type'!H:H)*(H14/F14)</f>
        <v>4.8767902464</v>
      </c>
      <c r="J14" s="352">
        <f ca="1" t="shared" si="2"/>
        <v>0</v>
      </c>
      <c r="K14" s="352">
        <f ca="1">_xlfn.XLOOKUP(G14,'Case Type'!A:A,'Case Type'!H:H)*(J14/F14)</f>
        <v>0</v>
      </c>
      <c r="N14" s="352"/>
      <c r="O14" s="352"/>
      <c r="P14" s="352"/>
      <c r="Q14" s="352"/>
      <c r="R14" s="352"/>
      <c r="S14" s="352"/>
      <c r="T14" s="352"/>
      <c r="U14" s="352"/>
      <c r="V14" s="352">
        <f ca="1">IF(AND(ISNUMBER(T14),T14&gt;0,T14&lt;=TODAY(),ISNUMBER(R14),R14&gt;0,COUNTIF(Sum!A:A,O14)&gt;0,P14&lt;&gt;Q14,OR(P14="LA",P14="HOU"),OR(Q14="LA",Q14="HOU")),R14,0)</f>
        <v>0</v>
      </c>
      <c r="W14" s="352">
        <f ca="1" t="shared" si="0"/>
        <v>0</v>
      </c>
      <c r="X14" s="352" t="str">
        <f>IF(O14="","",IF(COUNTIF(Sum!A:A,O14)=0,"SKU不存在",IF(OR(P14=Q14,AND(P14&lt;&gt;"LA",P14&lt;&gt;"HOU"),AND(Q14&lt;&gt;"LA",Q14&lt;&gt;"HOU")),"仓库错误",IF(AND(ISNUMBER(S14),S14&gt;R14),"收货超过发出",IF(AND(ISNUMBER(U14),OR(NOT(ISNUMBER(T14)),U14&lt;T14)),"收发日期错误","")))))</f>
        <v/>
      </c>
    </row>
    <row r="15" ht="15" spans="1:24">
      <c r="A15" s="352" t="str">
        <f>Sum!A14</f>
        <v>CPWJ0012</v>
      </c>
      <c r="B15" s="353">
        <f ca="1">_xlfn.XLOOKUP(A15,Sum_LA!A:A,Sum_LA!V:V)</f>
        <v>0</v>
      </c>
      <c r="C15" s="352">
        <f ca="1">MAX(0,MIN(_xlfn.XLOOKUP(A15,Sum_LA!A:A,Sum_LA!L:L),_xlfn.XLOOKUP(A15,Sum_LA!A:A,Sum_LA!M:M)-_xlfn.XLOOKUP(A15,Sum_LA!A:A,Sum_LA!O:O)*(_xlfn.XLOOKUP(A15,Sum_LA!A:A,Sum_LA!R:R)+_xlfn.XLOOKUP(A15,Sum_LA!A:A,Sum_LA!S:S)+2)-_xlfn.XLOOKUP(A15,Sum_LA!A:A,Sum_LA!T:T)))</f>
        <v>630</v>
      </c>
      <c r="D15" s="352">
        <f ca="1">_xlfn.XLOOKUP(A15,Sum_HOU!A:A,Sum_HOU!V:V)</f>
        <v>60</v>
      </c>
      <c r="E15" s="352">
        <f ca="1">MAX(0,MIN(_xlfn.XLOOKUP(A15,Sum_HOU!A:A,Sum_HOU!L:L),_xlfn.XLOOKUP(A15,Sum_HOU!A:A,Sum_HOU!M:M)-_xlfn.XLOOKUP(A15,Sum_HOU!A:A,Sum_HOU!O:O)*(_xlfn.XLOOKUP(A15,Sum_HOU!A:A,Sum_HOU!R:R)+_xlfn.XLOOKUP(A15,Sum_HOU!A:A,Sum_HOU!S:S)+2)-_xlfn.XLOOKUP(A15,Sum_HOU!A:A,Sum_HOU!T:T)))</f>
        <v>0</v>
      </c>
      <c r="F15" s="352">
        <f ca="1">_xlfn.XLOOKUP(A15,Sum!A:A,Sum!Y:Y)</f>
        <v>30</v>
      </c>
      <c r="G15" s="352" t="str">
        <f ca="1">_xlfn.XLOOKUP(A15,Sum!A:A,Sum!AA:AA)</f>
        <v>C</v>
      </c>
      <c r="H15" s="352">
        <f ca="1" t="shared" si="1"/>
        <v>60</v>
      </c>
      <c r="I15" s="352">
        <f ca="1">_xlfn.XLOOKUP(G15,'Case Type'!A:A,'Case Type'!H:H)*(H15/F15)</f>
        <v>0.3146316288</v>
      </c>
      <c r="J15" s="352">
        <f ca="1" t="shared" si="2"/>
        <v>0</v>
      </c>
      <c r="K15" s="352">
        <f ca="1">_xlfn.XLOOKUP(G15,'Case Type'!A:A,'Case Type'!H:H)*(J15/F15)</f>
        <v>0</v>
      </c>
      <c r="N15" s="352"/>
      <c r="O15" s="352"/>
      <c r="P15" s="352"/>
      <c r="Q15" s="352"/>
      <c r="R15" s="352"/>
      <c r="S15" s="352"/>
      <c r="T15" s="352"/>
      <c r="U15" s="352"/>
      <c r="V15" s="352">
        <f ca="1">IF(AND(ISNUMBER(T15),T15&gt;0,T15&lt;=TODAY(),ISNUMBER(R15),R15&gt;0,COUNTIF(Sum!A:A,O15)&gt;0,P15&lt;&gt;Q15,OR(P15="LA",P15="HOU"),OR(Q15="LA",Q15="HOU")),R15,0)</f>
        <v>0</v>
      </c>
      <c r="W15" s="352">
        <f ca="1" t="shared" si="0"/>
        <v>0</v>
      </c>
      <c r="X15" s="352" t="str">
        <f>IF(O15="","",IF(COUNTIF(Sum!A:A,O15)=0,"SKU不存在",IF(OR(P15=Q15,AND(P15&lt;&gt;"LA",P15&lt;&gt;"HOU"),AND(Q15&lt;&gt;"LA",Q15&lt;&gt;"HOU")),"仓库错误",IF(AND(ISNUMBER(S15),S15&gt;R15),"收货超过发出",IF(AND(ISNUMBER(U15),OR(NOT(ISNUMBER(T15)),U15&lt;T15)),"收发日期错误","")))))</f>
        <v/>
      </c>
    </row>
    <row r="16" ht="15" spans="1:24">
      <c r="A16" s="352" t="str">
        <f>Sum!A15</f>
        <v>CPWJ0013</v>
      </c>
      <c r="B16" s="353">
        <f ca="1">_xlfn.XLOOKUP(A16,Sum_LA!A:A,Sum_LA!V:V)</f>
        <v>0</v>
      </c>
      <c r="C16" s="352">
        <f ca="1">MAX(0,MIN(_xlfn.XLOOKUP(A16,Sum_LA!A:A,Sum_LA!L:L),_xlfn.XLOOKUP(A16,Sum_LA!A:A,Sum_LA!M:M)-_xlfn.XLOOKUP(A16,Sum_LA!A:A,Sum_LA!O:O)*(_xlfn.XLOOKUP(A16,Sum_LA!A:A,Sum_LA!R:R)+_xlfn.XLOOKUP(A16,Sum_LA!A:A,Sum_LA!S:S)+2)-_xlfn.XLOOKUP(A16,Sum_LA!A:A,Sum_LA!T:T)))</f>
        <v>930</v>
      </c>
      <c r="D16" s="352">
        <f ca="1">_xlfn.XLOOKUP(A16,Sum_HOU!A:A,Sum_HOU!V:V)</f>
        <v>450</v>
      </c>
      <c r="E16" s="352">
        <f ca="1">MAX(0,MIN(_xlfn.XLOOKUP(A16,Sum_HOU!A:A,Sum_HOU!L:L),_xlfn.XLOOKUP(A16,Sum_HOU!A:A,Sum_HOU!M:M)-_xlfn.XLOOKUP(A16,Sum_HOU!A:A,Sum_HOU!O:O)*(_xlfn.XLOOKUP(A16,Sum_HOU!A:A,Sum_HOU!R:R)+_xlfn.XLOOKUP(A16,Sum_HOU!A:A,Sum_HOU!S:S)+2)-_xlfn.XLOOKUP(A16,Sum_HOU!A:A,Sum_HOU!T:T)))</f>
        <v>0</v>
      </c>
      <c r="F16" s="352">
        <f ca="1">_xlfn.XLOOKUP(A16,Sum!A:A,Sum!Y:Y)</f>
        <v>30</v>
      </c>
      <c r="G16" s="352" t="str">
        <f ca="1">_xlfn.XLOOKUP(A16,Sum!A:A,Sum!AA:AA)</f>
        <v>C</v>
      </c>
      <c r="H16" s="352">
        <f ca="1" t="shared" si="1"/>
        <v>450</v>
      </c>
      <c r="I16" s="352">
        <f ca="1">_xlfn.XLOOKUP(G16,'Case Type'!A:A,'Case Type'!H:H)*(H16/F16)</f>
        <v>2.359737216</v>
      </c>
      <c r="J16" s="352">
        <f ca="1" t="shared" si="2"/>
        <v>0</v>
      </c>
      <c r="K16" s="352">
        <f ca="1">_xlfn.XLOOKUP(G16,'Case Type'!A:A,'Case Type'!H:H)*(J16/F16)</f>
        <v>0</v>
      </c>
      <c r="N16" s="352"/>
      <c r="O16" s="352"/>
      <c r="P16" s="352"/>
      <c r="Q16" s="352"/>
      <c r="R16" s="352"/>
      <c r="S16" s="352"/>
      <c r="T16" s="352"/>
      <c r="U16" s="352"/>
      <c r="V16" s="352">
        <f ca="1">IF(AND(ISNUMBER(T16),T16&gt;0,T16&lt;=TODAY(),ISNUMBER(R16),R16&gt;0,COUNTIF(Sum!A:A,O16)&gt;0,P16&lt;&gt;Q16,OR(P16="LA",P16="HOU"),OR(Q16="LA",Q16="HOU")),R16,0)</f>
        <v>0</v>
      </c>
      <c r="W16" s="352">
        <f ca="1" t="shared" si="0"/>
        <v>0</v>
      </c>
      <c r="X16" s="352" t="str">
        <f>IF(O16="","",IF(COUNTIF(Sum!A:A,O16)=0,"SKU不存在",IF(OR(P16=Q16,AND(P16&lt;&gt;"LA",P16&lt;&gt;"HOU"),AND(Q16&lt;&gt;"LA",Q16&lt;&gt;"HOU")),"仓库错误",IF(AND(ISNUMBER(S16),S16&gt;R16),"收货超过发出",IF(AND(ISNUMBER(U16),OR(NOT(ISNUMBER(T16)),U16&lt;T16)),"收发日期错误","")))))</f>
        <v/>
      </c>
    </row>
    <row r="17" ht="15" spans="1:24">
      <c r="A17" s="352" t="str">
        <f>Sum!A16</f>
        <v>CPWJ0014</v>
      </c>
      <c r="B17" s="353">
        <f ca="1">_xlfn.XLOOKUP(A17,Sum_LA!A:A,Sum_LA!V:V)</f>
        <v>0</v>
      </c>
      <c r="C17" s="352">
        <f ca="1">MAX(0,MIN(_xlfn.XLOOKUP(A17,Sum_LA!A:A,Sum_LA!L:L),_xlfn.XLOOKUP(A17,Sum_LA!A:A,Sum_LA!M:M)-_xlfn.XLOOKUP(A17,Sum_LA!A:A,Sum_LA!O:O)*(_xlfn.XLOOKUP(A17,Sum_LA!A:A,Sum_LA!R:R)+_xlfn.XLOOKUP(A17,Sum_LA!A:A,Sum_LA!S:S)+2)-_xlfn.XLOOKUP(A17,Sum_LA!A:A,Sum_LA!T:T)))</f>
        <v>450</v>
      </c>
      <c r="D17" s="352">
        <f ca="1">_xlfn.XLOOKUP(A17,Sum_HOU!A:A,Sum_HOU!V:V)</f>
        <v>30</v>
      </c>
      <c r="E17" s="352">
        <f ca="1">MAX(0,MIN(_xlfn.XLOOKUP(A17,Sum_HOU!A:A,Sum_HOU!L:L),_xlfn.XLOOKUP(A17,Sum_HOU!A:A,Sum_HOU!M:M)-_xlfn.XLOOKUP(A17,Sum_HOU!A:A,Sum_HOU!O:O)*(_xlfn.XLOOKUP(A17,Sum_HOU!A:A,Sum_HOU!R:R)+_xlfn.XLOOKUP(A17,Sum_HOU!A:A,Sum_HOU!S:S)+2)-_xlfn.XLOOKUP(A17,Sum_HOU!A:A,Sum_HOU!T:T)))</f>
        <v>0</v>
      </c>
      <c r="F17" s="352">
        <f ca="1">_xlfn.XLOOKUP(A17,Sum!A:A,Sum!Y:Y)</f>
        <v>30</v>
      </c>
      <c r="G17" s="352" t="str">
        <f ca="1">_xlfn.XLOOKUP(A17,Sum!A:A,Sum!AA:AA)</f>
        <v>B</v>
      </c>
      <c r="H17" s="352">
        <f ca="1" t="shared" si="1"/>
        <v>30</v>
      </c>
      <c r="I17" s="352">
        <f ca="1">_xlfn.XLOOKUP(G17,'Case Type'!A:A,'Case Type'!H:H)*(H17/F17)</f>
        <v>0.07341404672</v>
      </c>
      <c r="J17" s="352">
        <f ca="1" t="shared" si="2"/>
        <v>0</v>
      </c>
      <c r="K17" s="352">
        <f ca="1">_xlfn.XLOOKUP(G17,'Case Type'!A:A,'Case Type'!H:H)*(J17/F17)</f>
        <v>0</v>
      </c>
      <c r="N17" s="352"/>
      <c r="O17" s="352"/>
      <c r="P17" s="352"/>
      <c r="Q17" s="352"/>
      <c r="R17" s="352"/>
      <c r="S17" s="352"/>
      <c r="T17" s="352"/>
      <c r="U17" s="352"/>
      <c r="V17" s="352">
        <f ca="1">IF(AND(ISNUMBER(T17),T17&gt;0,T17&lt;=TODAY(),ISNUMBER(R17),R17&gt;0,COUNTIF(Sum!A:A,O17)&gt;0,P17&lt;&gt;Q17,OR(P17="LA",P17="HOU"),OR(Q17="LA",Q17="HOU")),R17,0)</f>
        <v>0</v>
      </c>
      <c r="W17" s="352">
        <f ca="1" t="shared" si="0"/>
        <v>0</v>
      </c>
      <c r="X17" s="352" t="str">
        <f>IF(O17="","",IF(COUNTIF(Sum!A:A,O17)=0,"SKU不存在",IF(OR(P17=Q17,AND(P17&lt;&gt;"LA",P17&lt;&gt;"HOU"),AND(Q17&lt;&gt;"LA",Q17&lt;&gt;"HOU")),"仓库错误",IF(AND(ISNUMBER(S17),S17&gt;R17),"收货超过发出",IF(AND(ISNUMBER(U17),OR(NOT(ISNUMBER(T17)),U17&lt;T17)),"收发日期错误","")))))</f>
        <v/>
      </c>
    </row>
    <row r="18" ht="15" spans="1:24">
      <c r="A18" s="352" t="str">
        <f>Sum!A17</f>
        <v>CPWJ0015</v>
      </c>
      <c r="B18" s="353">
        <f ca="1">_xlfn.XLOOKUP(A18,Sum_LA!A:A,Sum_LA!V:V)</f>
        <v>0</v>
      </c>
      <c r="C18" s="352">
        <f ca="1">MAX(0,MIN(_xlfn.XLOOKUP(A18,Sum_LA!A:A,Sum_LA!L:L),_xlfn.XLOOKUP(A18,Sum_LA!A:A,Sum_LA!M:M)-_xlfn.XLOOKUP(A18,Sum_LA!A:A,Sum_LA!O:O)*(_xlfn.XLOOKUP(A18,Sum_LA!A:A,Sum_LA!R:R)+_xlfn.XLOOKUP(A18,Sum_LA!A:A,Sum_LA!S:S)+2)-_xlfn.XLOOKUP(A18,Sum_LA!A:A,Sum_LA!T:T)))</f>
        <v>0</v>
      </c>
      <c r="D18" s="352">
        <f ca="1">_xlfn.XLOOKUP(A18,Sum_HOU!A:A,Sum_HOU!V:V)</f>
        <v>120</v>
      </c>
      <c r="E18" s="352">
        <f ca="1">MAX(0,MIN(_xlfn.XLOOKUP(A18,Sum_HOU!A:A,Sum_HOU!L:L),_xlfn.XLOOKUP(A18,Sum_HOU!A:A,Sum_HOU!M:M)-_xlfn.XLOOKUP(A18,Sum_HOU!A:A,Sum_HOU!O:O)*(_xlfn.XLOOKUP(A18,Sum_HOU!A:A,Sum_HOU!R:R)+_xlfn.XLOOKUP(A18,Sum_HOU!A:A,Sum_HOU!S:S)+2)-_xlfn.XLOOKUP(A18,Sum_HOU!A:A,Sum_HOU!T:T)))</f>
        <v>0</v>
      </c>
      <c r="F18" s="352">
        <f ca="1">_xlfn.XLOOKUP(A18,Sum!A:A,Sum!Y:Y)</f>
        <v>30</v>
      </c>
      <c r="G18" s="352" t="str">
        <f ca="1">_xlfn.XLOOKUP(A18,Sum!A:A,Sum!AA:AA)</f>
        <v>C</v>
      </c>
      <c r="H18" s="352">
        <f ca="1" t="shared" si="1"/>
        <v>0</v>
      </c>
      <c r="I18" s="352">
        <f ca="1">_xlfn.XLOOKUP(G18,'Case Type'!A:A,'Case Type'!H:H)*(H18/F18)</f>
        <v>0</v>
      </c>
      <c r="J18" s="352">
        <f ca="1" t="shared" si="2"/>
        <v>0</v>
      </c>
      <c r="K18" s="352">
        <f ca="1">_xlfn.XLOOKUP(G18,'Case Type'!A:A,'Case Type'!H:H)*(J18/F18)</f>
        <v>0</v>
      </c>
      <c r="N18" s="352"/>
      <c r="O18" s="352"/>
      <c r="P18" s="352"/>
      <c r="Q18" s="352"/>
      <c r="R18" s="352"/>
      <c r="S18" s="352"/>
      <c r="T18" s="352"/>
      <c r="U18" s="352"/>
      <c r="V18" s="352">
        <f ca="1">IF(AND(ISNUMBER(T18),T18&gt;0,T18&lt;=TODAY(),ISNUMBER(R18),R18&gt;0,COUNTIF(Sum!A:A,O18)&gt;0,P18&lt;&gt;Q18,OR(P18="LA",P18="HOU"),OR(Q18="LA",Q18="HOU")),R18,0)</f>
        <v>0</v>
      </c>
      <c r="W18" s="352">
        <f ca="1" t="shared" si="0"/>
        <v>0</v>
      </c>
      <c r="X18" s="352" t="str">
        <f>IF(O18="","",IF(COUNTIF(Sum!A:A,O18)=0,"SKU不存在",IF(OR(P18=Q18,AND(P18&lt;&gt;"LA",P18&lt;&gt;"HOU"),AND(Q18&lt;&gt;"LA",Q18&lt;&gt;"HOU")),"仓库错误",IF(AND(ISNUMBER(S18),S18&gt;R18),"收货超过发出",IF(AND(ISNUMBER(U18),OR(NOT(ISNUMBER(T18)),U18&lt;T18)),"收发日期错误","")))))</f>
        <v/>
      </c>
    </row>
    <row r="19" ht="15" spans="1:24">
      <c r="A19" s="352" t="str">
        <f>Sum!A18</f>
        <v>CPWJ0018</v>
      </c>
      <c r="B19" s="353">
        <f ca="1">_xlfn.XLOOKUP(A19,Sum_LA!A:A,Sum_LA!V:V)</f>
        <v>0</v>
      </c>
      <c r="C19" s="352">
        <f ca="1">MAX(0,MIN(_xlfn.XLOOKUP(A19,Sum_LA!A:A,Sum_LA!L:L),_xlfn.XLOOKUP(A19,Sum_LA!A:A,Sum_LA!M:M)-_xlfn.XLOOKUP(A19,Sum_LA!A:A,Sum_LA!O:O)*(_xlfn.XLOOKUP(A19,Sum_LA!A:A,Sum_LA!R:R)+_xlfn.XLOOKUP(A19,Sum_LA!A:A,Sum_LA!S:S)+2)-_xlfn.XLOOKUP(A19,Sum_LA!A:A,Sum_LA!T:T)))</f>
        <v>1314.5</v>
      </c>
      <c r="D19" s="352">
        <f ca="1">_xlfn.XLOOKUP(A19,Sum_HOU!A:A,Sum_HOU!V:V)</f>
        <v>0</v>
      </c>
      <c r="E19" s="352">
        <f ca="1">MAX(0,MIN(_xlfn.XLOOKUP(A19,Sum_HOU!A:A,Sum_HOU!L:L),_xlfn.XLOOKUP(A19,Sum_HOU!A:A,Sum_HOU!M:M)-_xlfn.XLOOKUP(A19,Sum_HOU!A:A,Sum_HOU!O:O)*(_xlfn.XLOOKUP(A19,Sum_HOU!A:A,Sum_HOU!R:R)+_xlfn.XLOOKUP(A19,Sum_HOU!A:A,Sum_HOU!S:S)+2)-_xlfn.XLOOKUP(A19,Sum_HOU!A:A,Sum_HOU!T:T)))</f>
        <v>0</v>
      </c>
      <c r="F19" s="352">
        <f ca="1">_xlfn.XLOOKUP(A19,Sum!A:A,Sum!Y:Y)</f>
        <v>48</v>
      </c>
      <c r="G19" s="352" t="str">
        <f ca="1">_xlfn.XLOOKUP(A19,Sum!A:A,Sum!AA:AA)</f>
        <v>A</v>
      </c>
      <c r="H19" s="352">
        <f ca="1" t="shared" si="1"/>
        <v>0</v>
      </c>
      <c r="I19" s="352">
        <f ca="1">_xlfn.XLOOKUP(G19,'Case Type'!A:A,'Case Type'!H:H)*(H19/F19)</f>
        <v>0</v>
      </c>
      <c r="J19" s="352">
        <f ca="1" t="shared" si="2"/>
        <v>0</v>
      </c>
      <c r="K19" s="352">
        <f ca="1">_xlfn.XLOOKUP(G19,'Case Type'!A:A,'Case Type'!H:H)*(J19/F19)</f>
        <v>0</v>
      </c>
      <c r="N19" s="352"/>
      <c r="O19" s="352"/>
      <c r="P19" s="352"/>
      <c r="Q19" s="352"/>
      <c r="R19" s="352"/>
      <c r="S19" s="352"/>
      <c r="T19" s="352"/>
      <c r="U19" s="352"/>
      <c r="V19" s="352">
        <f ca="1">IF(AND(ISNUMBER(T19),T19&gt;0,T19&lt;=TODAY(),ISNUMBER(R19),R19&gt;0,COUNTIF(Sum!A:A,O19)&gt;0,P19&lt;&gt;Q19,OR(P19="LA",P19="HOU"),OR(Q19="LA",Q19="HOU")),R19,0)</f>
        <v>0</v>
      </c>
      <c r="W19" s="352">
        <f ca="1" t="shared" si="0"/>
        <v>0</v>
      </c>
      <c r="X19" s="352" t="str">
        <f>IF(O19="","",IF(COUNTIF(Sum!A:A,O19)=0,"SKU不存在",IF(OR(P19=Q19,AND(P19&lt;&gt;"LA",P19&lt;&gt;"HOU"),AND(Q19&lt;&gt;"LA",Q19&lt;&gt;"HOU")),"仓库错误",IF(AND(ISNUMBER(S19),S19&gt;R19),"收货超过发出",IF(AND(ISNUMBER(U19),OR(NOT(ISNUMBER(T19)),U19&lt;T19)),"收发日期错误","")))))</f>
        <v/>
      </c>
    </row>
    <row r="20" ht="15" spans="1:24">
      <c r="A20" s="352" t="str">
        <f>Sum!A19</f>
        <v>CPWJ162000PK</v>
      </c>
      <c r="B20" s="353">
        <f ca="1">_xlfn.XLOOKUP(A20,Sum_LA!A:A,Sum_LA!V:V)</f>
        <v>0</v>
      </c>
      <c r="C20" s="352">
        <f ca="1">MAX(0,MIN(_xlfn.XLOOKUP(A20,Sum_LA!A:A,Sum_LA!L:L),_xlfn.XLOOKUP(A20,Sum_LA!A:A,Sum_LA!M:M)-_xlfn.XLOOKUP(A20,Sum_LA!A:A,Sum_LA!O:O)*(_xlfn.XLOOKUP(A20,Sum_LA!A:A,Sum_LA!R:R)+_xlfn.XLOOKUP(A20,Sum_LA!A:A,Sum_LA!S:S)+2)-_xlfn.XLOOKUP(A20,Sum_LA!A:A,Sum_LA!T:T)))</f>
        <v>2313.125</v>
      </c>
      <c r="D20" s="352">
        <f ca="1">_xlfn.XLOOKUP(A20,Sum_HOU!A:A,Sum_HOU!V:V)</f>
        <v>0</v>
      </c>
      <c r="E20" s="352">
        <f ca="1">MAX(0,MIN(_xlfn.XLOOKUP(A20,Sum_HOU!A:A,Sum_HOU!L:L),_xlfn.XLOOKUP(A20,Sum_HOU!A:A,Sum_HOU!M:M)-_xlfn.XLOOKUP(A20,Sum_HOU!A:A,Sum_HOU!O:O)*(_xlfn.XLOOKUP(A20,Sum_HOU!A:A,Sum_HOU!R:R)+_xlfn.XLOOKUP(A20,Sum_HOU!A:A,Sum_HOU!S:S)+2)-_xlfn.XLOOKUP(A20,Sum_HOU!A:A,Sum_HOU!T:T)))</f>
        <v>0</v>
      </c>
      <c r="F20" s="352">
        <f ca="1">_xlfn.XLOOKUP(A20,Sum!A:A,Sum!Y:Y)</f>
        <v>45</v>
      </c>
      <c r="G20" s="352" t="str">
        <f ca="1">_xlfn.XLOOKUP(A20,Sum!A:A,Sum!AA:AA)</f>
        <v>B</v>
      </c>
      <c r="H20" s="352">
        <f ca="1" t="shared" si="1"/>
        <v>0</v>
      </c>
      <c r="I20" s="352">
        <f ca="1">_xlfn.XLOOKUP(G20,'Case Type'!A:A,'Case Type'!H:H)*(H20/F20)</f>
        <v>0</v>
      </c>
      <c r="J20" s="352">
        <f ca="1" t="shared" si="2"/>
        <v>0</v>
      </c>
      <c r="K20" s="352">
        <f ca="1">_xlfn.XLOOKUP(G20,'Case Type'!A:A,'Case Type'!H:H)*(J20/F20)</f>
        <v>0</v>
      </c>
      <c r="N20" s="352"/>
      <c r="O20" s="352"/>
      <c r="P20" s="352"/>
      <c r="Q20" s="352"/>
      <c r="R20" s="352"/>
      <c r="S20" s="352"/>
      <c r="T20" s="352"/>
      <c r="U20" s="352"/>
      <c r="V20" s="352">
        <f ca="1">IF(AND(ISNUMBER(T20),T20&gt;0,T20&lt;=TODAY(),ISNUMBER(R20),R20&gt;0,COUNTIF(Sum!A:A,O20)&gt;0,P20&lt;&gt;Q20,OR(P20="LA",P20="HOU"),OR(Q20="LA",Q20="HOU")),R20,0)</f>
        <v>0</v>
      </c>
      <c r="W20" s="352">
        <f ca="1" t="shared" si="0"/>
        <v>0</v>
      </c>
      <c r="X20" s="352" t="str">
        <f>IF(O20="","",IF(COUNTIF(Sum!A:A,O20)=0,"SKU不存在",IF(OR(P20=Q20,AND(P20&lt;&gt;"LA",P20&lt;&gt;"HOU"),AND(Q20&lt;&gt;"LA",Q20&lt;&gt;"HOU")),"仓库错误",IF(AND(ISNUMBER(S20),S20&gt;R20),"收货超过发出",IF(AND(ISNUMBER(U20),OR(NOT(ISNUMBER(T20)),U20&lt;T20)),"收发日期错误","")))))</f>
        <v/>
      </c>
    </row>
    <row r="21" ht="15" spans="1:24">
      <c r="A21" s="352" t="str">
        <f>Sum!A20</f>
        <v>CPWJ181002RD</v>
      </c>
      <c r="B21" s="353">
        <f ca="1">_xlfn.XLOOKUP(A21,Sum_LA!A:A,Sum_LA!V:V)</f>
        <v>0</v>
      </c>
      <c r="C21" s="352">
        <f ca="1">MAX(0,MIN(_xlfn.XLOOKUP(A21,Sum_LA!A:A,Sum_LA!L:L),_xlfn.XLOOKUP(A21,Sum_LA!A:A,Sum_LA!M:M)-_xlfn.XLOOKUP(A21,Sum_LA!A:A,Sum_LA!O:O)*(_xlfn.XLOOKUP(A21,Sum_LA!A:A,Sum_LA!R:R)+_xlfn.XLOOKUP(A21,Sum_LA!A:A,Sum_LA!S:S)+2)-_xlfn.XLOOKUP(A21,Sum_LA!A:A,Sum_LA!T:T)))</f>
        <v>864</v>
      </c>
      <c r="D21" s="352">
        <f ca="1">_xlfn.XLOOKUP(A21,Sum_HOU!A:A,Sum_HOU!V:V)</f>
        <v>72</v>
      </c>
      <c r="E21" s="352">
        <f ca="1">MAX(0,MIN(_xlfn.XLOOKUP(A21,Sum_HOU!A:A,Sum_HOU!L:L),_xlfn.XLOOKUP(A21,Sum_HOU!A:A,Sum_HOU!M:M)-_xlfn.XLOOKUP(A21,Sum_HOU!A:A,Sum_HOU!O:O)*(_xlfn.XLOOKUP(A21,Sum_HOU!A:A,Sum_HOU!R:R)+_xlfn.XLOOKUP(A21,Sum_HOU!A:A,Sum_HOU!S:S)+2)-_xlfn.XLOOKUP(A21,Sum_HOU!A:A,Sum_HOU!T:T)))</f>
        <v>0</v>
      </c>
      <c r="F21" s="352">
        <f ca="1">_xlfn.XLOOKUP(A21,Sum!A:A,Sum!Y:Y)</f>
        <v>72</v>
      </c>
      <c r="G21" s="352" t="str">
        <f ca="1">_xlfn.XLOOKUP(A21,Sum!A:A,Sum!AA:AA)</f>
        <v>B</v>
      </c>
      <c r="H21" s="352">
        <f ca="1" t="shared" si="1"/>
        <v>72</v>
      </c>
      <c r="I21" s="352">
        <f ca="1">_xlfn.XLOOKUP(G21,'Case Type'!A:A,'Case Type'!H:H)*(H21/F21)</f>
        <v>0.07341404672</v>
      </c>
      <c r="J21" s="352">
        <f ca="1" t="shared" si="2"/>
        <v>0</v>
      </c>
      <c r="K21" s="352">
        <f ca="1">_xlfn.XLOOKUP(G21,'Case Type'!A:A,'Case Type'!H:H)*(J21/F21)</f>
        <v>0</v>
      </c>
      <c r="N21" s="352"/>
      <c r="O21" s="352"/>
      <c r="P21" s="352"/>
      <c r="Q21" s="352"/>
      <c r="R21" s="352"/>
      <c r="S21" s="352"/>
      <c r="T21" s="352"/>
      <c r="U21" s="352"/>
      <c r="V21" s="352">
        <f ca="1">IF(AND(ISNUMBER(T21),T21&gt;0,T21&lt;=TODAY(),ISNUMBER(R21),R21&gt;0,COUNTIF(Sum!A:A,O21)&gt;0,P21&lt;&gt;Q21,OR(P21="LA",P21="HOU"),OR(Q21="LA",Q21="HOU")),R21,0)</f>
        <v>0</v>
      </c>
      <c r="W21" s="352">
        <f ca="1" t="shared" si="0"/>
        <v>0</v>
      </c>
      <c r="X21" s="352" t="str">
        <f>IF(O21="","",IF(COUNTIF(Sum!A:A,O21)=0,"SKU不存在",IF(OR(P21=Q21,AND(P21&lt;&gt;"LA",P21&lt;&gt;"HOU"),AND(Q21&lt;&gt;"LA",Q21&lt;&gt;"HOU")),"仓库错误",IF(AND(ISNUMBER(S21),S21&gt;R21),"收货超过发出",IF(AND(ISNUMBER(U21),OR(NOT(ISNUMBER(T21)),U21&lt;T21)),"收发日期错误","")))))</f>
        <v/>
      </c>
    </row>
    <row r="22" ht="15" spans="1:24">
      <c r="A22" s="352" t="str">
        <f>Sum!A21</f>
        <v>CPWJ18400WHSET-A</v>
      </c>
      <c r="B22" s="353">
        <f ca="1">_xlfn.XLOOKUP(A22,Sum_LA!A:A,Sum_LA!V:V)</f>
        <v>0</v>
      </c>
      <c r="C22" s="352">
        <f ca="1">MAX(0,MIN(_xlfn.XLOOKUP(A22,Sum_LA!A:A,Sum_LA!L:L),_xlfn.XLOOKUP(A22,Sum_LA!A:A,Sum_LA!M:M)-_xlfn.XLOOKUP(A22,Sum_LA!A:A,Sum_LA!O:O)*(_xlfn.XLOOKUP(A22,Sum_LA!A:A,Sum_LA!R:R)+_xlfn.XLOOKUP(A22,Sum_LA!A:A,Sum_LA!S:S)+2)-_xlfn.XLOOKUP(A22,Sum_LA!A:A,Sum_LA!T:T)))</f>
        <v>1487.5</v>
      </c>
      <c r="D22" s="352">
        <f ca="1">_xlfn.XLOOKUP(A22,Sum_HOU!A:A,Sum_HOU!V:V)</f>
        <v>0</v>
      </c>
      <c r="E22" s="352">
        <f ca="1">MAX(0,MIN(_xlfn.XLOOKUP(A22,Sum_HOU!A:A,Sum_HOU!L:L),_xlfn.XLOOKUP(A22,Sum_HOU!A:A,Sum_HOU!M:M)-_xlfn.XLOOKUP(A22,Sum_HOU!A:A,Sum_HOU!O:O)*(_xlfn.XLOOKUP(A22,Sum_HOU!A:A,Sum_HOU!R:R)+_xlfn.XLOOKUP(A22,Sum_HOU!A:A,Sum_HOU!S:S)+2)-_xlfn.XLOOKUP(A22,Sum_HOU!A:A,Sum_HOU!T:T)))</f>
        <v>0</v>
      </c>
      <c r="F22" s="352">
        <f ca="1">_xlfn.XLOOKUP(A22,Sum!A:A,Sum!Y:Y)</f>
        <v>28</v>
      </c>
      <c r="G22" s="352" t="str">
        <f ca="1">_xlfn.XLOOKUP(A22,Sum!A:A,Sum!AA:AA)</f>
        <v>B</v>
      </c>
      <c r="H22" s="352">
        <f ca="1" t="shared" si="1"/>
        <v>0</v>
      </c>
      <c r="I22" s="352">
        <f ca="1">_xlfn.XLOOKUP(G22,'Case Type'!A:A,'Case Type'!H:H)*(H22/F22)</f>
        <v>0</v>
      </c>
      <c r="J22" s="352">
        <f ca="1" t="shared" si="2"/>
        <v>0</v>
      </c>
      <c r="K22" s="352">
        <f ca="1">_xlfn.XLOOKUP(G22,'Case Type'!A:A,'Case Type'!H:H)*(J22/F22)</f>
        <v>0</v>
      </c>
      <c r="N22" s="352"/>
      <c r="O22" s="352"/>
      <c r="P22" s="352"/>
      <c r="Q22" s="352"/>
      <c r="R22" s="352"/>
      <c r="S22" s="352"/>
      <c r="T22" s="352"/>
      <c r="U22" s="352"/>
      <c r="V22" s="352">
        <f ca="1">IF(AND(ISNUMBER(T22),T22&gt;0,T22&lt;=TODAY(),ISNUMBER(R22),R22&gt;0,COUNTIF(Sum!A:A,O22)&gt;0,P22&lt;&gt;Q22,OR(P22="LA",P22="HOU"),OR(Q22="LA",Q22="HOU")),R22,0)</f>
        <v>0</v>
      </c>
      <c r="W22" s="352">
        <f ca="1" t="shared" si="0"/>
        <v>0</v>
      </c>
      <c r="X22" s="352" t="str">
        <f>IF(O22="","",IF(COUNTIF(Sum!A:A,O22)=0,"SKU不存在",IF(OR(P22=Q22,AND(P22&lt;&gt;"LA",P22&lt;&gt;"HOU"),AND(Q22&lt;&gt;"LA",Q22&lt;&gt;"HOU")),"仓库错误",IF(AND(ISNUMBER(S22),S22&gt;R22),"收货超过发出",IF(AND(ISNUMBER(U22),OR(NOT(ISNUMBER(T22)),U22&lt;T22)),"收发日期错误","")))))</f>
        <v/>
      </c>
    </row>
    <row r="23" ht="15" spans="1:24">
      <c r="A23" s="352" t="str">
        <f>Sum!A22</f>
        <v>CPWJ18500WH</v>
      </c>
      <c r="B23" s="353">
        <f ca="1">_xlfn.XLOOKUP(A23,Sum_LA!A:A,Sum_LA!V:V)</f>
        <v>0</v>
      </c>
      <c r="C23" s="352">
        <f ca="1">MAX(0,MIN(_xlfn.XLOOKUP(A23,Sum_LA!A:A,Sum_LA!L:L),_xlfn.XLOOKUP(A23,Sum_LA!A:A,Sum_LA!M:M)-_xlfn.XLOOKUP(A23,Sum_LA!A:A,Sum_LA!O:O)*(_xlfn.XLOOKUP(A23,Sum_LA!A:A,Sum_LA!R:R)+_xlfn.XLOOKUP(A23,Sum_LA!A:A,Sum_LA!S:S)+2)-_xlfn.XLOOKUP(A23,Sum_LA!A:A,Sum_LA!T:T)))</f>
        <v>288</v>
      </c>
      <c r="D23" s="352">
        <f ca="1">_xlfn.XLOOKUP(A23,Sum_HOU!A:A,Sum_HOU!V:V)</f>
        <v>0</v>
      </c>
      <c r="E23" s="352">
        <f ca="1">MAX(0,MIN(_xlfn.XLOOKUP(A23,Sum_HOU!A:A,Sum_HOU!L:L),_xlfn.XLOOKUP(A23,Sum_HOU!A:A,Sum_HOU!M:M)-_xlfn.XLOOKUP(A23,Sum_HOU!A:A,Sum_HOU!O:O)*(_xlfn.XLOOKUP(A23,Sum_HOU!A:A,Sum_HOU!R:R)+_xlfn.XLOOKUP(A23,Sum_HOU!A:A,Sum_HOU!S:S)+2)-_xlfn.XLOOKUP(A23,Sum_HOU!A:A,Sum_HOU!T:T)))</f>
        <v>0</v>
      </c>
      <c r="F23" s="352">
        <f ca="1">_xlfn.XLOOKUP(A23,Sum!A:A,Sum!Y:Y)</f>
        <v>48</v>
      </c>
      <c r="G23" s="352" t="str">
        <f ca="1">_xlfn.XLOOKUP(A23,Sum!A:A,Sum!AA:AA)</f>
        <v>B</v>
      </c>
      <c r="H23" s="352">
        <f ca="1" t="shared" si="1"/>
        <v>0</v>
      </c>
      <c r="I23" s="352">
        <f ca="1">_xlfn.XLOOKUP(G23,'Case Type'!A:A,'Case Type'!H:H)*(H23/F23)</f>
        <v>0</v>
      </c>
      <c r="J23" s="352">
        <f ca="1" t="shared" si="2"/>
        <v>0</v>
      </c>
      <c r="K23" s="352">
        <f ca="1">_xlfn.XLOOKUP(G23,'Case Type'!A:A,'Case Type'!H:H)*(J23/F23)</f>
        <v>0</v>
      </c>
      <c r="N23" s="352"/>
      <c r="O23" s="352"/>
      <c r="P23" s="352"/>
      <c r="Q23" s="352"/>
      <c r="R23" s="352"/>
      <c r="S23" s="352"/>
      <c r="T23" s="352"/>
      <c r="U23" s="352"/>
      <c r="V23" s="352">
        <f ca="1">IF(AND(ISNUMBER(T23),T23&gt;0,T23&lt;=TODAY(),ISNUMBER(R23),R23&gt;0,COUNTIF(Sum!A:A,O23)&gt;0,P23&lt;&gt;Q23,OR(P23="LA",P23="HOU"),OR(Q23="LA",Q23="HOU")),R23,0)</f>
        <v>0</v>
      </c>
      <c r="W23" s="352">
        <f ca="1" t="shared" si="0"/>
        <v>0</v>
      </c>
      <c r="X23" s="352" t="str">
        <f>IF(O23="","",IF(COUNTIF(Sum!A:A,O23)=0,"SKU不存在",IF(OR(P23=Q23,AND(P23&lt;&gt;"LA",P23&lt;&gt;"HOU"),AND(Q23&lt;&gt;"LA",Q23&lt;&gt;"HOU")),"仓库错误",IF(AND(ISNUMBER(S23),S23&gt;R23),"收货超过发出",IF(AND(ISNUMBER(U23),OR(NOT(ISNUMBER(T23)),U23&lt;T23)),"收发日期错误","")))))</f>
        <v/>
      </c>
    </row>
    <row r="24" ht="15" spans="1:24">
      <c r="A24" s="352" t="str">
        <f>Sum!A23</f>
        <v>CPWJ87000</v>
      </c>
      <c r="B24" s="353">
        <f ca="1">_xlfn.XLOOKUP(A24,Sum_LA!A:A,Sum_LA!V:V)</f>
        <v>0</v>
      </c>
      <c r="C24" s="352">
        <f ca="1">MAX(0,MIN(_xlfn.XLOOKUP(A24,Sum_LA!A:A,Sum_LA!L:L),_xlfn.XLOOKUP(A24,Sum_LA!A:A,Sum_LA!M:M)-_xlfn.XLOOKUP(A24,Sum_LA!A:A,Sum_LA!O:O)*(_xlfn.XLOOKUP(A24,Sum_LA!A:A,Sum_LA!R:R)+_xlfn.XLOOKUP(A24,Sum_LA!A:A,Sum_LA!S:S)+2)-_xlfn.XLOOKUP(A24,Sum_LA!A:A,Sum_LA!T:T)))</f>
        <v>200</v>
      </c>
      <c r="D24" s="352">
        <f ca="1">_xlfn.XLOOKUP(A24,Sum_HOU!A:A,Sum_HOU!V:V)</f>
        <v>88</v>
      </c>
      <c r="E24" s="352">
        <f ca="1">MAX(0,MIN(_xlfn.XLOOKUP(A24,Sum_HOU!A:A,Sum_HOU!L:L),_xlfn.XLOOKUP(A24,Sum_HOU!A:A,Sum_HOU!M:M)-_xlfn.XLOOKUP(A24,Sum_HOU!A:A,Sum_HOU!O:O)*(_xlfn.XLOOKUP(A24,Sum_HOU!A:A,Sum_HOU!R:R)+_xlfn.XLOOKUP(A24,Sum_HOU!A:A,Sum_HOU!S:S)+2)-_xlfn.XLOOKUP(A24,Sum_HOU!A:A,Sum_HOU!T:T)))</f>
        <v>0</v>
      </c>
      <c r="F24" s="352">
        <f ca="1">_xlfn.XLOOKUP(A24,Sum!A:A,Sum!Y:Y)</f>
        <v>4</v>
      </c>
      <c r="G24" s="352" t="str">
        <f ca="1">_xlfn.XLOOKUP(A24,Sum!A:A,Sum!AA:AA)</f>
        <v>D</v>
      </c>
      <c r="H24" s="352">
        <f ca="1" t="shared" si="1"/>
        <v>88</v>
      </c>
      <c r="I24" s="352">
        <f ca="1">_xlfn.XLOOKUP(G24,'Case Type'!A:A,'Case Type'!H:H)*(H24/F24)</f>
        <v>1.9382670912</v>
      </c>
      <c r="J24" s="352">
        <f ca="1" t="shared" si="2"/>
        <v>0</v>
      </c>
      <c r="K24" s="352">
        <f ca="1">_xlfn.XLOOKUP(G24,'Case Type'!A:A,'Case Type'!H:H)*(J24/F24)</f>
        <v>0</v>
      </c>
      <c r="N24" s="352"/>
      <c r="O24" s="352"/>
      <c r="P24" s="352"/>
      <c r="Q24" s="352"/>
      <c r="R24" s="352"/>
      <c r="S24" s="352"/>
      <c r="T24" s="352"/>
      <c r="U24" s="352"/>
      <c r="V24" s="352">
        <f ca="1">IF(AND(ISNUMBER(T24),T24&gt;0,T24&lt;=TODAY(),ISNUMBER(R24),R24&gt;0,COUNTIF(Sum!A:A,O24)&gt;0,P24&lt;&gt;Q24,OR(P24="LA",P24="HOU"),OR(Q24="LA",Q24="HOU")),R24,0)</f>
        <v>0</v>
      </c>
      <c r="W24" s="352">
        <f ca="1" t="shared" si="0"/>
        <v>0</v>
      </c>
      <c r="X24" s="352" t="str">
        <f>IF(O24="","",IF(COUNTIF(Sum!A:A,O24)=0,"SKU不存在",IF(OR(P24=Q24,AND(P24&lt;&gt;"LA",P24&lt;&gt;"HOU"),AND(Q24&lt;&gt;"LA",Q24&lt;&gt;"HOU")),"仓库错误",IF(AND(ISNUMBER(S24),S24&gt;R24),"收货超过发出",IF(AND(ISNUMBER(U24),OR(NOT(ISNUMBER(T24)),U24&lt;T24)),"收发日期错误","")))))</f>
        <v/>
      </c>
    </row>
    <row r="25" ht="15" spans="1:24">
      <c r="A25" s="352" t="str">
        <f>Sum!A24</f>
        <v>HL-4</v>
      </c>
      <c r="B25" s="353">
        <f ca="1">_xlfn.XLOOKUP(A25,Sum_LA!A:A,Sum_LA!V:V)</f>
        <v>0</v>
      </c>
      <c r="C25" s="352">
        <f ca="1">MAX(0,MIN(_xlfn.XLOOKUP(A25,Sum_LA!A:A,Sum_LA!L:L),_xlfn.XLOOKUP(A25,Sum_LA!A:A,Sum_LA!M:M)-_xlfn.XLOOKUP(A25,Sum_LA!A:A,Sum_LA!O:O)*(_xlfn.XLOOKUP(A25,Sum_LA!A:A,Sum_LA!R:R)+_xlfn.XLOOKUP(A25,Sum_LA!A:A,Sum_LA!S:S)+2)-_xlfn.XLOOKUP(A25,Sum_LA!A:A,Sum_LA!T:T)))</f>
        <v>67.125</v>
      </c>
      <c r="D25" s="352">
        <f ca="1">_xlfn.XLOOKUP(A25,Sum_HOU!A:A,Sum_HOU!V:V)</f>
        <v>409</v>
      </c>
      <c r="E25" s="352">
        <f ca="1">MAX(0,MIN(_xlfn.XLOOKUP(A25,Sum_HOU!A:A,Sum_HOU!L:L),_xlfn.XLOOKUP(A25,Sum_HOU!A:A,Sum_HOU!M:M)-_xlfn.XLOOKUP(A25,Sum_HOU!A:A,Sum_HOU!O:O)*(_xlfn.XLOOKUP(A25,Sum_HOU!A:A,Sum_HOU!R:R)+_xlfn.XLOOKUP(A25,Sum_HOU!A:A,Sum_HOU!S:S)+2)-_xlfn.XLOOKUP(A25,Sum_HOU!A:A,Sum_HOU!T:T)))</f>
        <v>0</v>
      </c>
      <c r="F25" s="352">
        <f ca="1">_xlfn.XLOOKUP(A25,Sum!A:A,Sum!Y:Y)</f>
        <v>1</v>
      </c>
      <c r="G25" s="352" t="str">
        <f ca="1">_xlfn.XLOOKUP(A25,Sum!A:A,Sum!AA:AA)</f>
        <v>S1</v>
      </c>
      <c r="H25" s="352">
        <f ca="1" t="shared" si="1"/>
        <v>67</v>
      </c>
      <c r="I25" s="352">
        <f ca="1">_xlfn.XLOOKUP(G25,'Case Type'!A:A,'Case Type'!H:H)*(H25/F25)</f>
        <v>4.958152401483</v>
      </c>
      <c r="J25" s="352">
        <f ca="1" t="shared" si="2"/>
        <v>0</v>
      </c>
      <c r="K25" s="352">
        <f ca="1">_xlfn.XLOOKUP(G25,'Case Type'!A:A,'Case Type'!H:H)*(J25/F25)</f>
        <v>0</v>
      </c>
      <c r="N25" s="352"/>
      <c r="O25" s="352"/>
      <c r="P25" s="352"/>
      <c r="Q25" s="352"/>
      <c r="R25" s="352"/>
      <c r="S25" s="352"/>
      <c r="T25" s="352"/>
      <c r="U25" s="352"/>
      <c r="V25" s="352">
        <f ca="1">IF(AND(ISNUMBER(T25),T25&gt;0,T25&lt;=TODAY(),ISNUMBER(R25),R25&gt;0,COUNTIF(Sum!A:A,O25)&gt;0,P25&lt;&gt;Q25,OR(P25="LA",P25="HOU"),OR(Q25="LA",Q25="HOU")),R25,0)</f>
        <v>0</v>
      </c>
      <c r="W25" s="352">
        <f ca="1" t="shared" si="0"/>
        <v>0</v>
      </c>
      <c r="X25" s="352" t="str">
        <f>IF(O25="","",IF(COUNTIF(Sum!A:A,O25)=0,"SKU不存在",IF(OR(P25=Q25,AND(P25&lt;&gt;"LA",P25&lt;&gt;"HOU"),AND(Q25&lt;&gt;"LA",Q25&lt;&gt;"HOU")),"仓库错误",IF(AND(ISNUMBER(S25),S25&gt;R25),"收货超过发出",IF(AND(ISNUMBER(U25),OR(NOT(ISNUMBER(T25)),U25&lt;T25)),"收发日期错误","")))))</f>
        <v/>
      </c>
    </row>
    <row r="26" ht="15" spans="1:24">
      <c r="A26" s="352" t="str">
        <f>Sum!A25</f>
        <v>LT-27</v>
      </c>
      <c r="B26" s="353">
        <f ca="1">_xlfn.XLOOKUP(A26,Sum_LA!A:A,Sum_LA!V:V)</f>
        <v>0</v>
      </c>
      <c r="C26" s="352">
        <f ca="1">MAX(0,MIN(_xlfn.XLOOKUP(A26,Sum_LA!A:A,Sum_LA!L:L),_xlfn.XLOOKUP(A26,Sum_LA!A:A,Sum_LA!M:M)-_xlfn.XLOOKUP(A26,Sum_LA!A:A,Sum_LA!O:O)*(_xlfn.XLOOKUP(A26,Sum_LA!A:A,Sum_LA!R:R)+_xlfn.XLOOKUP(A26,Sum_LA!A:A,Sum_LA!S:S)+2)-_xlfn.XLOOKUP(A26,Sum_LA!A:A,Sum_LA!T:T)))</f>
        <v>397</v>
      </c>
      <c r="D26" s="352">
        <f ca="1">_xlfn.XLOOKUP(A26,Sum_HOU!A:A,Sum_HOU!V:V)</f>
        <v>19</v>
      </c>
      <c r="E26" s="352">
        <f ca="1">MAX(0,MIN(_xlfn.XLOOKUP(A26,Sum_HOU!A:A,Sum_HOU!L:L),_xlfn.XLOOKUP(A26,Sum_HOU!A:A,Sum_HOU!M:M)-_xlfn.XLOOKUP(A26,Sum_HOU!A:A,Sum_HOU!O:O)*(_xlfn.XLOOKUP(A26,Sum_HOU!A:A,Sum_HOU!R:R)+_xlfn.XLOOKUP(A26,Sum_HOU!A:A,Sum_HOU!S:S)+2)-_xlfn.XLOOKUP(A26,Sum_HOU!A:A,Sum_HOU!T:T)))</f>
        <v>0</v>
      </c>
      <c r="F26" s="352">
        <f ca="1">_xlfn.XLOOKUP(A26,Sum!A:A,Sum!Y:Y)</f>
        <v>1</v>
      </c>
      <c r="G26" s="352" t="str">
        <f ca="1">_xlfn.XLOOKUP(A26,Sum!A:A,Sum!AA:AA)</f>
        <v>S2</v>
      </c>
      <c r="H26" s="352">
        <f ca="1" t="shared" si="1"/>
        <v>19</v>
      </c>
      <c r="I26" s="352">
        <f ca="1">_xlfn.XLOOKUP(G26,'Case Type'!A:A,'Case Type'!H:H)*(H26/F26)</f>
        <v>0.6758775</v>
      </c>
      <c r="J26" s="352">
        <f ca="1" t="shared" si="2"/>
        <v>0</v>
      </c>
      <c r="K26" s="352">
        <f ca="1">_xlfn.XLOOKUP(G26,'Case Type'!A:A,'Case Type'!H:H)*(J26/F26)</f>
        <v>0</v>
      </c>
      <c r="N26" s="352"/>
      <c r="O26" s="352"/>
      <c r="P26" s="352"/>
      <c r="Q26" s="352"/>
      <c r="R26" s="352"/>
      <c r="S26" s="352"/>
      <c r="T26" s="352"/>
      <c r="U26" s="352"/>
      <c r="V26" s="352">
        <f ca="1">IF(AND(ISNUMBER(T26),T26&gt;0,T26&lt;=TODAY(),ISNUMBER(R26),R26&gt;0,COUNTIF(Sum!A:A,O26)&gt;0,P26&lt;&gt;Q26,OR(P26="LA",P26="HOU"),OR(Q26="LA",Q26="HOU")),R26,0)</f>
        <v>0</v>
      </c>
      <c r="W26" s="352">
        <f ca="1" t="shared" si="0"/>
        <v>0</v>
      </c>
      <c r="X26" s="352" t="str">
        <f>IF(O26="","",IF(COUNTIF(Sum!A:A,O26)=0,"SKU不存在",IF(OR(P26=Q26,AND(P26&lt;&gt;"LA",P26&lt;&gt;"HOU"),AND(Q26&lt;&gt;"LA",Q26&lt;&gt;"HOU")),"仓库错误",IF(AND(ISNUMBER(S26),S26&gt;R26),"收货超过发出",IF(AND(ISNUMBER(U26),OR(NOT(ISNUMBER(T26)),U26&lt;T26)),"收发日期错误","")))))</f>
        <v/>
      </c>
    </row>
    <row r="27" ht="15" spans="1:24">
      <c r="A27" s="352" t="str">
        <f>Sum!A26</f>
        <v>LT-7-PK</v>
      </c>
      <c r="B27" s="353">
        <f ca="1">_xlfn.XLOOKUP(A27,Sum_LA!A:A,Sum_LA!V:V)</f>
        <v>0</v>
      </c>
      <c r="C27" s="352">
        <f ca="1">MAX(0,MIN(_xlfn.XLOOKUP(A27,Sum_LA!A:A,Sum_LA!L:L),_xlfn.XLOOKUP(A27,Sum_LA!A:A,Sum_LA!M:M)-_xlfn.XLOOKUP(A27,Sum_LA!A:A,Sum_LA!O:O)*(_xlfn.XLOOKUP(A27,Sum_LA!A:A,Sum_LA!R:R)+_xlfn.XLOOKUP(A27,Sum_LA!A:A,Sum_LA!S:S)+2)-_xlfn.XLOOKUP(A27,Sum_LA!A:A,Sum_LA!T:T)))</f>
        <v>1560</v>
      </c>
      <c r="D27" s="352">
        <f ca="1">_xlfn.XLOOKUP(A27,Sum_HOU!A:A,Sum_HOU!V:V)</f>
        <v>780</v>
      </c>
      <c r="E27" s="352">
        <f ca="1">MAX(0,MIN(_xlfn.XLOOKUP(A27,Sum_HOU!A:A,Sum_HOU!L:L),_xlfn.XLOOKUP(A27,Sum_HOU!A:A,Sum_HOU!M:M)-_xlfn.XLOOKUP(A27,Sum_HOU!A:A,Sum_HOU!O:O)*(_xlfn.XLOOKUP(A27,Sum_HOU!A:A,Sum_HOU!R:R)+_xlfn.XLOOKUP(A27,Sum_HOU!A:A,Sum_HOU!S:S)+2)-_xlfn.XLOOKUP(A27,Sum_HOU!A:A,Sum_HOU!T:T)))</f>
        <v>0</v>
      </c>
      <c r="F27" s="352">
        <f ca="1">_xlfn.XLOOKUP(A27,Sum!A:A,Sum!Y:Y)</f>
        <v>60</v>
      </c>
      <c r="G27" s="352" t="str">
        <f ca="1">_xlfn.XLOOKUP(A27,Sum!A:A,Sum!AA:AA)</f>
        <v>C</v>
      </c>
      <c r="H27" s="352">
        <f ca="1" t="shared" si="1"/>
        <v>780</v>
      </c>
      <c r="I27" s="352">
        <f ca="1">_xlfn.XLOOKUP(G27,'Case Type'!A:A,'Case Type'!H:H)*(H27/F27)</f>
        <v>2.0451055872</v>
      </c>
      <c r="J27" s="352">
        <f ca="1" t="shared" si="2"/>
        <v>0</v>
      </c>
      <c r="K27" s="352">
        <f ca="1">_xlfn.XLOOKUP(G27,'Case Type'!A:A,'Case Type'!H:H)*(J27/F27)</f>
        <v>0</v>
      </c>
      <c r="N27" s="352"/>
      <c r="O27" s="352"/>
      <c r="P27" s="352"/>
      <c r="Q27" s="352"/>
      <c r="R27" s="352"/>
      <c r="S27" s="352"/>
      <c r="T27" s="352"/>
      <c r="U27" s="352"/>
      <c r="V27" s="352">
        <f ca="1">IF(AND(ISNUMBER(T27),T27&gt;0,T27&lt;=TODAY(),ISNUMBER(R27),R27&gt;0,COUNTIF(Sum!A:A,O27)&gt;0,P27&lt;&gt;Q27,OR(P27="LA",P27="HOU"),OR(Q27="LA",Q27="HOU")),R27,0)</f>
        <v>0</v>
      </c>
      <c r="W27" s="352">
        <f ca="1" t="shared" si="0"/>
        <v>0</v>
      </c>
      <c r="X27" s="352" t="str">
        <f>IF(O27="","",IF(COUNTIF(Sum!A:A,O27)=0,"SKU不存在",IF(OR(P27=Q27,AND(P27&lt;&gt;"LA",P27&lt;&gt;"HOU"),AND(Q27&lt;&gt;"LA",Q27&lt;&gt;"HOU")),"仓库错误",IF(AND(ISNUMBER(S27),S27&gt;R27),"收货超过发出",IF(AND(ISNUMBER(U27),OR(NOT(ISNUMBER(T27)),U27&lt;T27)),"收发日期错误","")))))</f>
        <v/>
      </c>
    </row>
    <row r="28" ht="15" spans="1:24">
      <c r="A28" s="352" t="str">
        <f>Sum!A27</f>
        <v>R-12</v>
      </c>
      <c r="B28" s="353">
        <f ca="1">_xlfn.XLOOKUP(A28,Sum_LA!A:A,Sum_LA!V:V)</f>
        <v>0</v>
      </c>
      <c r="C28" s="352">
        <f ca="1">MAX(0,MIN(_xlfn.XLOOKUP(A28,Sum_LA!A:A,Sum_LA!L:L),_xlfn.XLOOKUP(A28,Sum_LA!A:A,Sum_LA!M:M)-_xlfn.XLOOKUP(A28,Sum_LA!A:A,Sum_LA!O:O)*(_xlfn.XLOOKUP(A28,Sum_LA!A:A,Sum_LA!R:R)+_xlfn.XLOOKUP(A28,Sum_LA!A:A,Sum_LA!S:S)+2)-_xlfn.XLOOKUP(A28,Sum_LA!A:A,Sum_LA!T:T)))</f>
        <v>655</v>
      </c>
      <c r="D28" s="352">
        <f ca="1">_xlfn.XLOOKUP(A28,Sum_HOU!A:A,Sum_HOU!V:V)</f>
        <v>0</v>
      </c>
      <c r="E28" s="352">
        <f ca="1">MAX(0,MIN(_xlfn.XLOOKUP(A28,Sum_HOU!A:A,Sum_HOU!L:L),_xlfn.XLOOKUP(A28,Sum_HOU!A:A,Sum_HOU!M:M)-_xlfn.XLOOKUP(A28,Sum_HOU!A:A,Sum_HOU!O:O)*(_xlfn.XLOOKUP(A28,Sum_HOU!A:A,Sum_HOU!R:R)+_xlfn.XLOOKUP(A28,Sum_HOU!A:A,Sum_HOU!S:S)+2)-_xlfn.XLOOKUP(A28,Sum_HOU!A:A,Sum_HOU!T:T)))</f>
        <v>0</v>
      </c>
      <c r="F28" s="352">
        <f ca="1">_xlfn.XLOOKUP(A28,Sum!A:A,Sum!Y:Y)</f>
        <v>24</v>
      </c>
      <c r="G28" s="352" t="str">
        <f ca="1">_xlfn.XLOOKUP(A28,Sum!A:A,Sum!AA:AA)</f>
        <v>C</v>
      </c>
      <c r="H28" s="352">
        <f ca="1" t="shared" si="1"/>
        <v>0</v>
      </c>
      <c r="I28" s="352">
        <f ca="1">_xlfn.XLOOKUP(G28,'Case Type'!A:A,'Case Type'!H:H)*(H28/F28)</f>
        <v>0</v>
      </c>
      <c r="J28" s="352">
        <f ca="1" t="shared" si="2"/>
        <v>0</v>
      </c>
      <c r="K28" s="352">
        <f ca="1">_xlfn.XLOOKUP(G28,'Case Type'!A:A,'Case Type'!H:H)*(J28/F28)</f>
        <v>0</v>
      </c>
      <c r="N28" s="352"/>
      <c r="O28" s="352"/>
      <c r="P28" s="352"/>
      <c r="Q28" s="352"/>
      <c r="R28" s="352"/>
      <c r="S28" s="352"/>
      <c r="T28" s="352"/>
      <c r="U28" s="352"/>
      <c r="V28" s="352">
        <f ca="1">IF(AND(ISNUMBER(T28),T28&gt;0,T28&lt;=TODAY(),ISNUMBER(R28),R28&gt;0,COUNTIF(Sum!A:A,O28)&gt;0,P28&lt;&gt;Q28,OR(P28="LA",P28="HOU"),OR(Q28="LA",Q28="HOU")),R28,0)</f>
        <v>0</v>
      </c>
      <c r="W28" s="352">
        <f ca="1" t="shared" si="0"/>
        <v>0</v>
      </c>
      <c r="X28" s="352" t="str">
        <f>IF(O28="","",IF(COUNTIF(Sum!A:A,O28)=0,"SKU不存在",IF(OR(P28=Q28,AND(P28&lt;&gt;"LA",P28&lt;&gt;"HOU"),AND(Q28&lt;&gt;"LA",Q28&lt;&gt;"HOU")),"仓库错误",IF(AND(ISNUMBER(S28),S28&gt;R28),"收货超过发出",IF(AND(ISNUMBER(U28),OR(NOT(ISNUMBER(T28)),U28&lt;T28)),"收发日期错误","")))))</f>
        <v/>
      </c>
    </row>
    <row r="29" ht="15" spans="1:24">
      <c r="A29" s="352" t="str">
        <f>Sum!A28</f>
        <v>R-15</v>
      </c>
      <c r="B29" s="353">
        <f ca="1">_xlfn.XLOOKUP(A29,Sum_LA!A:A,Sum_LA!V:V)</f>
        <v>0</v>
      </c>
      <c r="C29" s="352">
        <f ca="1">MAX(0,MIN(_xlfn.XLOOKUP(A29,Sum_LA!A:A,Sum_LA!L:L),_xlfn.XLOOKUP(A29,Sum_LA!A:A,Sum_LA!M:M)-_xlfn.XLOOKUP(A29,Sum_LA!A:A,Sum_LA!O:O)*(_xlfn.XLOOKUP(A29,Sum_LA!A:A,Sum_LA!R:R)+_xlfn.XLOOKUP(A29,Sum_LA!A:A,Sum_LA!S:S)+2)-_xlfn.XLOOKUP(A29,Sum_LA!A:A,Sum_LA!T:T)))</f>
        <v>216</v>
      </c>
      <c r="D29" s="352">
        <f ca="1">_xlfn.XLOOKUP(A29,Sum_HOU!A:A,Sum_HOU!V:V)</f>
        <v>0</v>
      </c>
      <c r="E29" s="352">
        <f ca="1">MAX(0,MIN(_xlfn.XLOOKUP(A29,Sum_HOU!A:A,Sum_HOU!L:L),_xlfn.XLOOKUP(A29,Sum_HOU!A:A,Sum_HOU!M:M)-_xlfn.XLOOKUP(A29,Sum_HOU!A:A,Sum_HOU!O:O)*(_xlfn.XLOOKUP(A29,Sum_HOU!A:A,Sum_HOU!R:R)+_xlfn.XLOOKUP(A29,Sum_HOU!A:A,Sum_HOU!S:S)+2)-_xlfn.XLOOKUP(A29,Sum_HOU!A:A,Sum_HOU!T:T)))</f>
        <v>0</v>
      </c>
      <c r="F29" s="352">
        <f ca="1">_xlfn.XLOOKUP(A29,Sum!A:A,Sum!Y:Y)</f>
        <v>24</v>
      </c>
      <c r="G29" s="352" t="str">
        <f ca="1">_xlfn.XLOOKUP(A29,Sum!A:A,Sum!AA:AA)</f>
        <v>B</v>
      </c>
      <c r="H29" s="352">
        <f ca="1" t="shared" si="1"/>
        <v>0</v>
      </c>
      <c r="I29" s="352">
        <f ca="1">_xlfn.XLOOKUP(G29,'Case Type'!A:A,'Case Type'!H:H)*(H29/F29)</f>
        <v>0</v>
      </c>
      <c r="J29" s="352">
        <f ca="1" t="shared" si="2"/>
        <v>0</v>
      </c>
      <c r="K29" s="352">
        <f ca="1">_xlfn.XLOOKUP(G29,'Case Type'!A:A,'Case Type'!H:H)*(J29/F29)</f>
        <v>0</v>
      </c>
      <c r="N29" s="352"/>
      <c r="O29" s="352"/>
      <c r="P29" s="352"/>
      <c r="Q29" s="352"/>
      <c r="R29" s="352"/>
      <c r="S29" s="352"/>
      <c r="T29" s="352"/>
      <c r="U29" s="352"/>
      <c r="V29" s="352">
        <f ca="1">IF(AND(ISNUMBER(T29),T29&gt;0,T29&lt;=TODAY(),ISNUMBER(R29),R29&gt;0,COUNTIF(Sum!A:A,O29)&gt;0,P29&lt;&gt;Q29,OR(P29="LA",P29="HOU"),OR(Q29="LA",Q29="HOU")),R29,0)</f>
        <v>0</v>
      </c>
      <c r="W29" s="352">
        <f ca="1" t="shared" si="0"/>
        <v>0</v>
      </c>
      <c r="X29" s="352" t="str">
        <f>IF(O29="","",IF(COUNTIF(Sum!A:A,O29)=0,"SKU不存在",IF(OR(P29=Q29,AND(P29&lt;&gt;"LA",P29&lt;&gt;"HOU"),AND(Q29&lt;&gt;"LA",Q29&lt;&gt;"HOU")),"仓库错误",IF(AND(ISNUMBER(S29),S29&gt;R29),"收货超过发出",IF(AND(ISNUMBER(U29),OR(NOT(ISNUMBER(T29)),U29&lt;T29)),"收发日期错误","")))))</f>
        <v/>
      </c>
    </row>
    <row r="30" ht="15" spans="1:24">
      <c r="A30" s="352" t="str">
        <f>Sum!A29</f>
        <v>R-61</v>
      </c>
      <c r="B30" s="353">
        <f ca="1">_xlfn.XLOOKUP(A30,Sum_LA!A:A,Sum_LA!V:V)</f>
        <v>0</v>
      </c>
      <c r="C30" s="352">
        <f ca="1">MAX(0,MIN(_xlfn.XLOOKUP(A30,Sum_LA!A:A,Sum_LA!L:L),_xlfn.XLOOKUP(A30,Sum_LA!A:A,Sum_LA!M:M)-_xlfn.XLOOKUP(A30,Sum_LA!A:A,Sum_LA!O:O)*(_xlfn.XLOOKUP(A30,Sum_LA!A:A,Sum_LA!R:R)+_xlfn.XLOOKUP(A30,Sum_LA!A:A,Sum_LA!S:S)+2)-_xlfn.XLOOKUP(A30,Sum_LA!A:A,Sum_LA!T:T)))</f>
        <v>646</v>
      </c>
      <c r="D30" s="352">
        <f ca="1">_xlfn.XLOOKUP(A30,Sum_HOU!A:A,Sum_HOU!V:V)</f>
        <v>34</v>
      </c>
      <c r="E30" s="352">
        <f ca="1">MAX(0,MIN(_xlfn.XLOOKUP(A30,Sum_HOU!A:A,Sum_HOU!L:L),_xlfn.XLOOKUP(A30,Sum_HOU!A:A,Sum_HOU!M:M)-_xlfn.XLOOKUP(A30,Sum_HOU!A:A,Sum_HOU!O:O)*(_xlfn.XLOOKUP(A30,Sum_HOU!A:A,Sum_HOU!R:R)+_xlfn.XLOOKUP(A30,Sum_HOU!A:A,Sum_HOU!S:S)+2)-_xlfn.XLOOKUP(A30,Sum_HOU!A:A,Sum_HOU!T:T)))</f>
        <v>0</v>
      </c>
      <c r="F30" s="352">
        <f ca="1">_xlfn.XLOOKUP(A30,Sum!A:A,Sum!Y:Y)</f>
        <v>34</v>
      </c>
      <c r="G30" s="352" t="str">
        <f ca="1">_xlfn.XLOOKUP(A30,Sum!A:A,Sum!AA:AA)</f>
        <v>C</v>
      </c>
      <c r="H30" s="352">
        <f ca="1" t="shared" si="1"/>
        <v>34</v>
      </c>
      <c r="I30" s="352">
        <f ca="1">_xlfn.XLOOKUP(G30,'Case Type'!A:A,'Case Type'!H:H)*(H30/F30)</f>
        <v>0.1573158144</v>
      </c>
      <c r="J30" s="352">
        <f ca="1" t="shared" si="2"/>
        <v>0</v>
      </c>
      <c r="K30" s="352">
        <f ca="1">_xlfn.XLOOKUP(G30,'Case Type'!A:A,'Case Type'!H:H)*(J30/F30)</f>
        <v>0</v>
      </c>
      <c r="N30" s="352"/>
      <c r="O30" s="352"/>
      <c r="P30" s="352"/>
      <c r="Q30" s="352"/>
      <c r="R30" s="352"/>
      <c r="S30" s="352"/>
      <c r="T30" s="352"/>
      <c r="U30" s="352"/>
      <c r="V30" s="352">
        <f ca="1">IF(AND(ISNUMBER(T30),T30&gt;0,T30&lt;=TODAY(),ISNUMBER(R30),R30&gt;0,COUNTIF(Sum!A:A,O30)&gt;0,P30&lt;&gt;Q30,OR(P30="LA",P30="HOU"),OR(Q30="LA",Q30="HOU")),R30,0)</f>
        <v>0</v>
      </c>
      <c r="W30" s="352">
        <f ca="1" t="shared" si="0"/>
        <v>0</v>
      </c>
      <c r="X30" s="352" t="str">
        <f>IF(O30="","",IF(COUNTIF(Sum!A:A,O30)=0,"SKU不存在",IF(OR(P30=Q30,AND(P30&lt;&gt;"LA",P30&lt;&gt;"HOU"),AND(Q30&lt;&gt;"LA",Q30&lt;&gt;"HOU")),"仓库错误",IF(AND(ISNUMBER(S30),S30&gt;R30),"收货超过发出",IF(AND(ISNUMBER(U30),OR(NOT(ISNUMBER(T30)),U30&lt;T30)),"收发日期错误","")))))</f>
        <v/>
      </c>
    </row>
    <row r="31" ht="15" spans="1:24">
      <c r="A31" s="352" t="str">
        <f>Sum!A30</f>
        <v>R-62</v>
      </c>
      <c r="B31" s="353">
        <f ca="1">_xlfn.XLOOKUP(A31,Sum_LA!A:A,Sum_LA!V:V)</f>
        <v>0</v>
      </c>
      <c r="C31" s="352">
        <f ca="1">MAX(0,MIN(_xlfn.XLOOKUP(A31,Sum_LA!A:A,Sum_LA!L:L),_xlfn.XLOOKUP(A31,Sum_LA!A:A,Sum_LA!M:M)-_xlfn.XLOOKUP(A31,Sum_LA!A:A,Sum_LA!O:O)*(_xlfn.XLOOKUP(A31,Sum_LA!A:A,Sum_LA!R:R)+_xlfn.XLOOKUP(A31,Sum_LA!A:A,Sum_LA!S:S)+2)-_xlfn.XLOOKUP(A31,Sum_LA!A:A,Sum_LA!T:T)))</f>
        <v>560</v>
      </c>
      <c r="D31" s="352">
        <f ca="1">_xlfn.XLOOKUP(A31,Sum_HOU!A:A,Sum_HOU!V:V)</f>
        <v>70</v>
      </c>
      <c r="E31" s="352">
        <f ca="1">MAX(0,MIN(_xlfn.XLOOKUP(A31,Sum_HOU!A:A,Sum_HOU!L:L),_xlfn.XLOOKUP(A31,Sum_HOU!A:A,Sum_HOU!M:M)-_xlfn.XLOOKUP(A31,Sum_HOU!A:A,Sum_HOU!O:O)*(_xlfn.XLOOKUP(A31,Sum_HOU!A:A,Sum_HOU!R:R)+_xlfn.XLOOKUP(A31,Sum_HOU!A:A,Sum_HOU!S:S)+2)-_xlfn.XLOOKUP(A31,Sum_HOU!A:A,Sum_HOU!T:T)))</f>
        <v>0</v>
      </c>
      <c r="F31" s="352">
        <f ca="1">_xlfn.XLOOKUP(A31,Sum!A:A,Sum!Y:Y)</f>
        <v>70</v>
      </c>
      <c r="G31" s="352" t="str">
        <f ca="1">_xlfn.XLOOKUP(A31,Sum!A:A,Sum!AA:AA)</f>
        <v>A</v>
      </c>
      <c r="H31" s="352">
        <f ca="1" t="shared" si="1"/>
        <v>70</v>
      </c>
      <c r="I31" s="352">
        <f ca="1">_xlfn.XLOOKUP(G31,'Case Type'!A:A,'Case Type'!H:H)*(H31/F31)</f>
        <v>0.11012107008</v>
      </c>
      <c r="J31" s="352">
        <f ca="1" t="shared" si="2"/>
        <v>0</v>
      </c>
      <c r="K31" s="352">
        <f ca="1">_xlfn.XLOOKUP(G31,'Case Type'!A:A,'Case Type'!H:H)*(J31/F31)</f>
        <v>0</v>
      </c>
      <c r="N31" s="352"/>
      <c r="O31" s="352"/>
      <c r="P31" s="352"/>
      <c r="Q31" s="352"/>
      <c r="R31" s="352"/>
      <c r="S31" s="352"/>
      <c r="T31" s="352"/>
      <c r="U31" s="352"/>
      <c r="V31" s="352">
        <f ca="1">IF(AND(ISNUMBER(T31),T31&gt;0,T31&lt;=TODAY(),ISNUMBER(R31),R31&gt;0,COUNTIF(Sum!A:A,O31)&gt;0,P31&lt;&gt;Q31,OR(P31="LA",P31="HOU"),OR(Q31="LA",Q31="HOU")),R31,0)</f>
        <v>0</v>
      </c>
      <c r="W31" s="352">
        <f ca="1" t="shared" si="0"/>
        <v>0</v>
      </c>
      <c r="X31" s="352" t="str">
        <f>IF(O31="","",IF(COUNTIF(Sum!A:A,O31)=0,"SKU不存在",IF(OR(P31=Q31,AND(P31&lt;&gt;"LA",P31&lt;&gt;"HOU"),AND(Q31&lt;&gt;"LA",Q31&lt;&gt;"HOU")),"仓库错误",IF(AND(ISNUMBER(S31),S31&gt;R31),"收货超过发出",IF(AND(ISNUMBER(U31),OR(NOT(ISNUMBER(T31)),U31&lt;T31)),"收发日期错误","")))))</f>
        <v/>
      </c>
    </row>
    <row r="32" ht="15" spans="1:24">
      <c r="A32" s="352" t="str">
        <f>Sum!A31</f>
        <v>R-63</v>
      </c>
      <c r="B32" s="353">
        <f ca="1">_xlfn.XLOOKUP(A32,Sum_LA!A:A,Sum_LA!V:V)</f>
        <v>0</v>
      </c>
      <c r="C32" s="352">
        <f ca="1">MAX(0,MIN(_xlfn.XLOOKUP(A32,Sum_LA!A:A,Sum_LA!L:L),_xlfn.XLOOKUP(A32,Sum_LA!A:A,Sum_LA!M:M)-_xlfn.XLOOKUP(A32,Sum_LA!A:A,Sum_LA!O:O)*(_xlfn.XLOOKUP(A32,Sum_LA!A:A,Sum_LA!R:R)+_xlfn.XLOOKUP(A32,Sum_LA!A:A,Sum_LA!S:S)+2)-_xlfn.XLOOKUP(A32,Sum_LA!A:A,Sum_LA!T:T)))</f>
        <v>621</v>
      </c>
      <c r="D32" s="352">
        <f ca="1">_xlfn.XLOOKUP(A32,Sum_HOU!A:A,Sum_HOU!V:V)</f>
        <v>81</v>
      </c>
      <c r="E32" s="352">
        <f ca="1">MAX(0,MIN(_xlfn.XLOOKUP(A32,Sum_HOU!A:A,Sum_HOU!L:L),_xlfn.XLOOKUP(A32,Sum_HOU!A:A,Sum_HOU!M:M)-_xlfn.XLOOKUP(A32,Sum_HOU!A:A,Sum_HOU!O:O)*(_xlfn.XLOOKUP(A32,Sum_HOU!A:A,Sum_HOU!R:R)+_xlfn.XLOOKUP(A32,Sum_HOU!A:A,Sum_HOU!S:S)+2)-_xlfn.XLOOKUP(A32,Sum_HOU!A:A,Sum_HOU!T:T)))</f>
        <v>0</v>
      </c>
      <c r="F32" s="352">
        <f ca="1">_xlfn.XLOOKUP(A32,Sum!A:A,Sum!Y:Y)</f>
        <v>27</v>
      </c>
      <c r="G32" s="352" t="str">
        <f ca="1">_xlfn.XLOOKUP(A32,Sum!A:A,Sum!AA:AA)</f>
        <v>C</v>
      </c>
      <c r="H32" s="352">
        <f ca="1" t="shared" si="1"/>
        <v>81</v>
      </c>
      <c r="I32" s="352">
        <f ca="1">_xlfn.XLOOKUP(G32,'Case Type'!A:A,'Case Type'!H:H)*(H32/F32)</f>
        <v>0.4719474432</v>
      </c>
      <c r="J32" s="352">
        <f ca="1" t="shared" si="2"/>
        <v>0</v>
      </c>
      <c r="K32" s="352">
        <f ca="1">_xlfn.XLOOKUP(G32,'Case Type'!A:A,'Case Type'!H:H)*(J32/F32)</f>
        <v>0</v>
      </c>
      <c r="N32" s="352"/>
      <c r="O32" s="352"/>
      <c r="P32" s="352"/>
      <c r="Q32" s="352"/>
      <c r="R32" s="352"/>
      <c r="S32" s="352"/>
      <c r="T32" s="352"/>
      <c r="U32" s="352"/>
      <c r="V32" s="352">
        <f ca="1">IF(AND(ISNUMBER(T32),T32&gt;0,T32&lt;=TODAY(),ISNUMBER(R32),R32&gt;0,COUNTIF(Sum!A:A,O32)&gt;0,P32&lt;&gt;Q32,OR(P32="LA",P32="HOU"),OR(Q32="LA",Q32="HOU")),R32,0)</f>
        <v>0</v>
      </c>
      <c r="W32" s="352">
        <f ca="1" t="shared" si="0"/>
        <v>0</v>
      </c>
      <c r="X32" s="352" t="str">
        <f>IF(O32="","",IF(COUNTIF(Sum!A:A,O32)=0,"SKU不存在",IF(OR(P32=Q32,AND(P32&lt;&gt;"LA",P32&lt;&gt;"HOU"),AND(Q32&lt;&gt;"LA",Q32&lt;&gt;"HOU")),"仓库错误",IF(AND(ISNUMBER(S32),S32&gt;R32),"收货超过发出",IF(AND(ISNUMBER(U32),OR(NOT(ISNUMBER(T32)),U32&lt;T32)),"收发日期错误","")))))</f>
        <v/>
      </c>
    </row>
    <row r="33" ht="15" spans="1:24">
      <c r="A33" s="352" t="str">
        <f>Sum!A32</f>
        <v>R-64</v>
      </c>
      <c r="B33" s="353">
        <f ca="1">_xlfn.XLOOKUP(A33,Sum_LA!A:A,Sum_LA!V:V)</f>
        <v>0</v>
      </c>
      <c r="C33" s="352">
        <f ca="1">MAX(0,MIN(_xlfn.XLOOKUP(A33,Sum_LA!A:A,Sum_LA!L:L),_xlfn.XLOOKUP(A33,Sum_LA!A:A,Sum_LA!M:M)-_xlfn.XLOOKUP(A33,Sum_LA!A:A,Sum_LA!O:O)*(_xlfn.XLOOKUP(A33,Sum_LA!A:A,Sum_LA!R:R)+_xlfn.XLOOKUP(A33,Sum_LA!A:A,Sum_LA!S:S)+2)-_xlfn.XLOOKUP(A33,Sum_LA!A:A,Sum_LA!T:T)))</f>
        <v>936</v>
      </c>
      <c r="D33" s="352">
        <f ca="1">_xlfn.XLOOKUP(A33,Sum_HOU!A:A,Sum_HOU!V:V)</f>
        <v>91</v>
      </c>
      <c r="E33" s="352">
        <f ca="1">MAX(0,MIN(_xlfn.XLOOKUP(A33,Sum_HOU!A:A,Sum_HOU!L:L),_xlfn.XLOOKUP(A33,Sum_HOU!A:A,Sum_HOU!M:M)-_xlfn.XLOOKUP(A33,Sum_HOU!A:A,Sum_HOU!O:O)*(_xlfn.XLOOKUP(A33,Sum_HOU!A:A,Sum_HOU!R:R)+_xlfn.XLOOKUP(A33,Sum_HOU!A:A,Sum_HOU!S:S)+2)-_xlfn.XLOOKUP(A33,Sum_HOU!A:A,Sum_HOU!T:T)))</f>
        <v>0</v>
      </c>
      <c r="F33" s="352">
        <f ca="1">_xlfn.XLOOKUP(A33,Sum!A:A,Sum!Y:Y)</f>
        <v>13</v>
      </c>
      <c r="G33" s="352" t="str">
        <f ca="1">_xlfn.XLOOKUP(A33,Sum!A:A,Sum!AA:AA)</f>
        <v>C</v>
      </c>
      <c r="H33" s="352">
        <f ca="1" t="shared" si="1"/>
        <v>91</v>
      </c>
      <c r="I33" s="352">
        <f ca="1">_xlfn.XLOOKUP(G33,'Case Type'!A:A,'Case Type'!H:H)*(H33/F33)</f>
        <v>1.1012107008</v>
      </c>
      <c r="J33" s="352">
        <f ca="1" t="shared" si="2"/>
        <v>0</v>
      </c>
      <c r="K33" s="352">
        <f ca="1">_xlfn.XLOOKUP(G33,'Case Type'!A:A,'Case Type'!H:H)*(J33/F33)</f>
        <v>0</v>
      </c>
      <c r="N33" s="352"/>
      <c r="O33" s="352"/>
      <c r="P33" s="352"/>
      <c r="Q33" s="352"/>
      <c r="R33" s="352"/>
      <c r="S33" s="352"/>
      <c r="T33" s="352"/>
      <c r="U33" s="352"/>
      <c r="V33" s="352">
        <f ca="1">IF(AND(ISNUMBER(T33),T33&gt;0,T33&lt;=TODAY(),ISNUMBER(R33),R33&gt;0,COUNTIF(Sum!A:A,O33)&gt;0,P33&lt;&gt;Q33,OR(P33="LA",P33="HOU"),OR(Q33="LA",Q33="HOU")),R33,0)</f>
        <v>0</v>
      </c>
      <c r="W33" s="352">
        <f ca="1" t="shared" si="0"/>
        <v>0</v>
      </c>
      <c r="X33" s="352" t="str">
        <f>IF(O33="","",IF(COUNTIF(Sum!A:A,O33)=0,"SKU不存在",IF(OR(P33=Q33,AND(P33&lt;&gt;"LA",P33&lt;&gt;"HOU"),AND(Q33&lt;&gt;"LA",Q33&lt;&gt;"HOU")),"仓库错误",IF(AND(ISNUMBER(S33),S33&gt;R33),"收货超过发出",IF(AND(ISNUMBER(U33),OR(NOT(ISNUMBER(T33)),U33&lt;T33)),"收发日期错误","")))))</f>
        <v/>
      </c>
    </row>
    <row r="34" ht="15" spans="1:24">
      <c r="A34" s="352" t="str">
        <f>Sum!A33</f>
        <v>R-66</v>
      </c>
      <c r="B34" s="353">
        <f ca="1">_xlfn.XLOOKUP(A34,Sum_LA!A:A,Sum_LA!V:V)</f>
        <v>0</v>
      </c>
      <c r="C34" s="352">
        <f ca="1">MAX(0,MIN(_xlfn.XLOOKUP(A34,Sum_LA!A:A,Sum_LA!L:L),_xlfn.XLOOKUP(A34,Sum_LA!A:A,Sum_LA!M:M)-_xlfn.XLOOKUP(A34,Sum_LA!A:A,Sum_LA!O:O)*(_xlfn.XLOOKUP(A34,Sum_LA!A:A,Sum_LA!R:R)+_xlfn.XLOOKUP(A34,Sum_LA!A:A,Sum_LA!S:S)+2)-_xlfn.XLOOKUP(A34,Sum_LA!A:A,Sum_LA!T:T)))</f>
        <v>621</v>
      </c>
      <c r="D34" s="352">
        <f ca="1">_xlfn.XLOOKUP(A34,Sum_HOU!A:A,Sum_HOU!V:V)</f>
        <v>27</v>
      </c>
      <c r="E34" s="352">
        <f ca="1">MAX(0,MIN(_xlfn.XLOOKUP(A34,Sum_HOU!A:A,Sum_HOU!L:L),_xlfn.XLOOKUP(A34,Sum_HOU!A:A,Sum_HOU!M:M)-_xlfn.XLOOKUP(A34,Sum_HOU!A:A,Sum_HOU!O:O)*(_xlfn.XLOOKUP(A34,Sum_HOU!A:A,Sum_HOU!R:R)+_xlfn.XLOOKUP(A34,Sum_HOU!A:A,Sum_HOU!S:S)+2)-_xlfn.XLOOKUP(A34,Sum_HOU!A:A,Sum_HOU!T:T)))</f>
        <v>0</v>
      </c>
      <c r="F34" s="352">
        <f ca="1">_xlfn.XLOOKUP(A34,Sum!A:A,Sum!Y:Y)</f>
        <v>27</v>
      </c>
      <c r="G34" s="352" t="str">
        <f ca="1">_xlfn.XLOOKUP(A34,Sum!A:A,Sum!AA:AA)</f>
        <v>C</v>
      </c>
      <c r="H34" s="352">
        <f ca="1" t="shared" si="1"/>
        <v>27</v>
      </c>
      <c r="I34" s="352">
        <f ca="1">_xlfn.XLOOKUP(G34,'Case Type'!A:A,'Case Type'!H:H)*(H34/F34)</f>
        <v>0.1573158144</v>
      </c>
      <c r="J34" s="352">
        <f ca="1" t="shared" si="2"/>
        <v>0</v>
      </c>
      <c r="K34" s="352">
        <f ca="1">_xlfn.XLOOKUP(G34,'Case Type'!A:A,'Case Type'!H:H)*(J34/F34)</f>
        <v>0</v>
      </c>
      <c r="N34" s="352"/>
      <c r="O34" s="352"/>
      <c r="P34" s="352"/>
      <c r="Q34" s="352"/>
      <c r="R34" s="352"/>
      <c r="S34" s="352"/>
      <c r="T34" s="352"/>
      <c r="U34" s="352"/>
      <c r="V34" s="352">
        <f ca="1">IF(AND(ISNUMBER(T34),T34&gt;0,T34&lt;=TODAY(),ISNUMBER(R34),R34&gt;0,COUNTIF(Sum!A:A,O34)&gt;0,P34&lt;&gt;Q34,OR(P34="LA",P34="HOU"),OR(Q34="LA",Q34="HOU")),R34,0)</f>
        <v>0</v>
      </c>
      <c r="W34" s="352">
        <f ca="1" t="shared" si="0"/>
        <v>0</v>
      </c>
      <c r="X34" s="352" t="str">
        <f>IF(O34="","",IF(COUNTIF(Sum!A:A,O34)=0,"SKU不存在",IF(OR(P34=Q34,AND(P34&lt;&gt;"LA",P34&lt;&gt;"HOU"),AND(Q34&lt;&gt;"LA",Q34&lt;&gt;"HOU")),"仓库错误",IF(AND(ISNUMBER(S34),S34&gt;R34),"收货超过发出",IF(AND(ISNUMBER(U34),OR(NOT(ISNUMBER(T34)),U34&lt;T34)),"收发日期错误","")))))</f>
        <v/>
      </c>
    </row>
    <row r="35" ht="15" spans="1:24">
      <c r="A35" s="352" t="str">
        <f>Sum!A34</f>
        <v>R-71</v>
      </c>
      <c r="B35" s="353">
        <f ca="1">_xlfn.XLOOKUP(A35,Sum_LA!A:A,Sum_LA!V:V)</f>
        <v>0</v>
      </c>
      <c r="C35" s="352">
        <f ca="1">MAX(0,MIN(_xlfn.XLOOKUP(A35,Sum_LA!A:A,Sum_LA!L:L),_xlfn.XLOOKUP(A35,Sum_LA!A:A,Sum_LA!M:M)-_xlfn.XLOOKUP(A35,Sum_LA!A:A,Sum_LA!O:O)*(_xlfn.XLOOKUP(A35,Sum_LA!A:A,Sum_LA!R:R)+_xlfn.XLOOKUP(A35,Sum_LA!A:A,Sum_LA!S:S)+2)-_xlfn.XLOOKUP(A35,Sum_LA!A:A,Sum_LA!T:T)))</f>
        <v>100</v>
      </c>
      <c r="D35" s="352">
        <f ca="1">_xlfn.XLOOKUP(A35,Sum_HOU!A:A,Sum_HOU!V:V)</f>
        <v>0</v>
      </c>
      <c r="E35" s="352">
        <f ca="1">MAX(0,MIN(_xlfn.XLOOKUP(A35,Sum_HOU!A:A,Sum_HOU!L:L),_xlfn.XLOOKUP(A35,Sum_HOU!A:A,Sum_HOU!M:M)-_xlfn.XLOOKUP(A35,Sum_HOU!A:A,Sum_HOU!O:O)*(_xlfn.XLOOKUP(A35,Sum_HOU!A:A,Sum_HOU!R:R)+_xlfn.XLOOKUP(A35,Sum_HOU!A:A,Sum_HOU!S:S)+2)-_xlfn.XLOOKUP(A35,Sum_HOU!A:A,Sum_HOU!T:T)))</f>
        <v>0</v>
      </c>
      <c r="F35" s="352">
        <f ca="1">_xlfn.XLOOKUP(A35,Sum!A:A,Sum!Y:Y)</f>
        <v>20</v>
      </c>
      <c r="G35" s="352" t="str">
        <f ca="1">_xlfn.XLOOKUP(A35,Sum!A:A,Sum!AA:AA)</f>
        <v>C</v>
      </c>
      <c r="H35" s="352">
        <f ca="1" t="shared" si="1"/>
        <v>0</v>
      </c>
      <c r="I35" s="352">
        <f ca="1">_xlfn.XLOOKUP(G35,'Case Type'!A:A,'Case Type'!H:H)*(H35/F35)</f>
        <v>0</v>
      </c>
      <c r="J35" s="352">
        <f ca="1" t="shared" si="2"/>
        <v>0</v>
      </c>
      <c r="K35" s="352">
        <f ca="1">_xlfn.XLOOKUP(G35,'Case Type'!A:A,'Case Type'!H:H)*(J35/F35)</f>
        <v>0</v>
      </c>
      <c r="N35" s="352"/>
      <c r="O35" s="352"/>
      <c r="P35" s="352"/>
      <c r="Q35" s="352"/>
      <c r="R35" s="352"/>
      <c r="S35" s="352"/>
      <c r="T35" s="352"/>
      <c r="U35" s="352"/>
      <c r="V35" s="352">
        <f ca="1">IF(AND(ISNUMBER(T35),T35&gt;0,T35&lt;=TODAY(),ISNUMBER(R35),R35&gt;0,COUNTIF(Sum!A:A,O35)&gt;0,P35&lt;&gt;Q35,OR(P35="LA",P35="HOU"),OR(Q35="LA",Q35="HOU")),R35,0)</f>
        <v>0</v>
      </c>
      <c r="W35" s="352">
        <f ca="1" t="shared" si="0"/>
        <v>0</v>
      </c>
      <c r="X35" s="352" t="str">
        <f>IF(O35="","",IF(COUNTIF(Sum!A:A,O35)=0,"SKU不存在",IF(OR(P35=Q35,AND(P35&lt;&gt;"LA",P35&lt;&gt;"HOU"),AND(Q35&lt;&gt;"LA",Q35&lt;&gt;"HOU")),"仓库错误",IF(AND(ISNUMBER(S35),S35&gt;R35),"收货超过发出",IF(AND(ISNUMBER(U35),OR(NOT(ISNUMBER(T35)),U35&lt;T35)),"收发日期错误","")))))</f>
        <v/>
      </c>
    </row>
    <row r="36" ht="15" spans="1:24">
      <c r="A36" s="352" t="str">
        <f>Sum!A35</f>
        <v>R-72</v>
      </c>
      <c r="B36" s="353">
        <f ca="1">_xlfn.XLOOKUP(A36,Sum_LA!A:A,Sum_LA!V:V)</f>
        <v>0</v>
      </c>
      <c r="C36" s="352">
        <f ca="1">MAX(0,MIN(_xlfn.XLOOKUP(A36,Sum_LA!A:A,Sum_LA!L:L),_xlfn.XLOOKUP(A36,Sum_LA!A:A,Sum_LA!M:M)-_xlfn.XLOOKUP(A36,Sum_LA!A:A,Sum_LA!O:O)*(_xlfn.XLOOKUP(A36,Sum_LA!A:A,Sum_LA!R:R)+_xlfn.XLOOKUP(A36,Sum_LA!A:A,Sum_LA!S:S)+2)-_xlfn.XLOOKUP(A36,Sum_LA!A:A,Sum_LA!T:T)))</f>
        <v>7</v>
      </c>
      <c r="D36" s="352">
        <f ca="1">_xlfn.XLOOKUP(A36,Sum_HOU!A:A,Sum_HOU!V:V)</f>
        <v>0</v>
      </c>
      <c r="E36" s="352">
        <f ca="1">MAX(0,MIN(_xlfn.XLOOKUP(A36,Sum_HOU!A:A,Sum_HOU!L:L),_xlfn.XLOOKUP(A36,Sum_HOU!A:A,Sum_HOU!M:M)-_xlfn.XLOOKUP(A36,Sum_HOU!A:A,Sum_HOU!O:O)*(_xlfn.XLOOKUP(A36,Sum_HOU!A:A,Sum_HOU!R:R)+_xlfn.XLOOKUP(A36,Sum_HOU!A:A,Sum_HOU!S:S)+2)-_xlfn.XLOOKUP(A36,Sum_HOU!A:A,Sum_HOU!T:T)))</f>
        <v>0</v>
      </c>
      <c r="F36" s="352">
        <f ca="1">_xlfn.XLOOKUP(A36,Sum!A:A,Sum!Y:Y)</f>
        <v>33</v>
      </c>
      <c r="G36" s="352" t="str">
        <f ca="1">_xlfn.XLOOKUP(A36,Sum!A:A,Sum!AA:AA)</f>
        <v>C</v>
      </c>
      <c r="H36" s="352">
        <f ca="1" t="shared" si="1"/>
        <v>0</v>
      </c>
      <c r="I36" s="352">
        <f ca="1">_xlfn.XLOOKUP(G36,'Case Type'!A:A,'Case Type'!H:H)*(H36/F36)</f>
        <v>0</v>
      </c>
      <c r="J36" s="352">
        <f ca="1" t="shared" si="2"/>
        <v>0</v>
      </c>
      <c r="K36" s="352">
        <f ca="1">_xlfn.XLOOKUP(G36,'Case Type'!A:A,'Case Type'!H:H)*(J36/F36)</f>
        <v>0</v>
      </c>
      <c r="N36" s="352"/>
      <c r="O36" s="352"/>
      <c r="P36" s="352"/>
      <c r="Q36" s="352"/>
      <c r="R36" s="352"/>
      <c r="S36" s="352"/>
      <c r="T36" s="352"/>
      <c r="U36" s="352"/>
      <c r="V36" s="352">
        <f ca="1">IF(AND(ISNUMBER(T36),T36&gt;0,T36&lt;=TODAY(),ISNUMBER(R36),R36&gt;0,COUNTIF(Sum!A:A,O36)&gt;0,P36&lt;&gt;Q36,OR(P36="LA",P36="HOU"),OR(Q36="LA",Q36="HOU")),R36,0)</f>
        <v>0</v>
      </c>
      <c r="W36" s="352">
        <f ca="1" t="shared" si="0"/>
        <v>0</v>
      </c>
      <c r="X36" s="352" t="str">
        <f>IF(O36="","",IF(COUNTIF(Sum!A:A,O36)=0,"SKU不存在",IF(OR(P36=Q36,AND(P36&lt;&gt;"LA",P36&lt;&gt;"HOU"),AND(Q36&lt;&gt;"LA",Q36&lt;&gt;"HOU")),"仓库错误",IF(AND(ISNUMBER(S36),S36&gt;R36),"收货超过发出",IF(AND(ISNUMBER(U36),OR(NOT(ISNUMBER(T36)),U36&lt;T36)),"收发日期错误","")))))</f>
        <v/>
      </c>
    </row>
    <row r="37" ht="15" spans="1:24">
      <c r="A37" s="352" t="str">
        <f>Sum!A36</f>
        <v>R-8</v>
      </c>
      <c r="B37" s="353">
        <f ca="1">_xlfn.XLOOKUP(A37,Sum_LA!A:A,Sum_LA!V:V)</f>
        <v>0</v>
      </c>
      <c r="C37" s="352">
        <f ca="1">MAX(0,MIN(_xlfn.XLOOKUP(A37,Sum_LA!A:A,Sum_LA!L:L),_xlfn.XLOOKUP(A37,Sum_LA!A:A,Sum_LA!M:M)-_xlfn.XLOOKUP(A37,Sum_LA!A:A,Sum_LA!O:O)*(_xlfn.XLOOKUP(A37,Sum_LA!A:A,Sum_LA!R:R)+_xlfn.XLOOKUP(A37,Sum_LA!A:A,Sum_LA!S:S)+2)-_xlfn.XLOOKUP(A37,Sum_LA!A:A,Sum_LA!T:T)))</f>
        <v>704</v>
      </c>
      <c r="D37" s="352">
        <f ca="1">_xlfn.XLOOKUP(A37,Sum_HOU!A:A,Sum_HOU!V:V)</f>
        <v>448</v>
      </c>
      <c r="E37" s="352">
        <f ca="1">MAX(0,MIN(_xlfn.XLOOKUP(A37,Sum_HOU!A:A,Sum_HOU!L:L),_xlfn.XLOOKUP(A37,Sum_HOU!A:A,Sum_HOU!M:M)-_xlfn.XLOOKUP(A37,Sum_HOU!A:A,Sum_HOU!O:O)*(_xlfn.XLOOKUP(A37,Sum_HOU!A:A,Sum_HOU!R:R)+_xlfn.XLOOKUP(A37,Sum_HOU!A:A,Sum_HOU!S:S)+2)-_xlfn.XLOOKUP(A37,Sum_HOU!A:A,Sum_HOU!T:T)))</f>
        <v>0</v>
      </c>
      <c r="F37" s="352">
        <f ca="1">_xlfn.XLOOKUP(A37,Sum!A:A,Sum!Y:Y)</f>
        <v>32</v>
      </c>
      <c r="G37" s="352" t="str">
        <f ca="1">_xlfn.XLOOKUP(A37,Sum!A:A,Sum!AA:AA)</f>
        <v>F</v>
      </c>
      <c r="H37" s="352">
        <f ca="1" t="shared" si="1"/>
        <v>448</v>
      </c>
      <c r="I37" s="352">
        <f ca="1">_xlfn.XLOOKUP(G37,'Case Type'!A:A,'Case Type'!H:H)*(H37/F37)</f>
        <v>0.51389832704</v>
      </c>
      <c r="J37" s="352">
        <f ca="1" t="shared" si="2"/>
        <v>0</v>
      </c>
      <c r="K37" s="352">
        <f ca="1">_xlfn.XLOOKUP(G37,'Case Type'!A:A,'Case Type'!H:H)*(J37/F37)</f>
        <v>0</v>
      </c>
      <c r="N37" s="352"/>
      <c r="O37" s="352"/>
      <c r="P37" s="352"/>
      <c r="Q37" s="352"/>
      <c r="R37" s="352"/>
      <c r="S37" s="352"/>
      <c r="T37" s="352"/>
      <c r="U37" s="352"/>
      <c r="V37" s="352">
        <f ca="1">IF(AND(ISNUMBER(T37),T37&gt;0,T37&lt;=TODAY(),ISNUMBER(R37),R37&gt;0,COUNTIF(Sum!A:A,O37)&gt;0,P37&lt;&gt;Q37,OR(P37="LA",P37="HOU"),OR(Q37="LA",Q37="HOU")),R37,0)</f>
        <v>0</v>
      </c>
      <c r="W37" s="352">
        <f ca="1" t="shared" si="0"/>
        <v>0</v>
      </c>
      <c r="X37" s="352" t="str">
        <f>IF(O37="","",IF(COUNTIF(Sum!A:A,O37)=0,"SKU不存在",IF(OR(P37=Q37,AND(P37&lt;&gt;"LA",P37&lt;&gt;"HOU"),AND(Q37&lt;&gt;"LA",Q37&lt;&gt;"HOU")),"仓库错误",IF(AND(ISNUMBER(S37),S37&gt;R37),"收货超过发出",IF(AND(ISNUMBER(U37),OR(NOT(ISNUMBER(T37)),U37&lt;T37)),"收发日期错误","")))))</f>
        <v/>
      </c>
    </row>
    <row r="38" ht="15" spans="1:24">
      <c r="A38" s="352" t="str">
        <f>Sum!A37</f>
        <v>RJ510-BL</v>
      </c>
      <c r="B38" s="353">
        <f ca="1">_xlfn.XLOOKUP(A38,Sum_LA!A:A,Sum_LA!V:V)</f>
        <v>0</v>
      </c>
      <c r="C38" s="352">
        <f ca="1">MAX(0,MIN(_xlfn.XLOOKUP(A38,Sum_LA!A:A,Sum_LA!L:L),_xlfn.XLOOKUP(A38,Sum_LA!A:A,Sum_LA!M:M)-_xlfn.XLOOKUP(A38,Sum_LA!A:A,Sum_LA!O:O)*(_xlfn.XLOOKUP(A38,Sum_LA!A:A,Sum_LA!R:R)+_xlfn.XLOOKUP(A38,Sum_LA!A:A,Sum_LA!S:S)+2)-_xlfn.XLOOKUP(A38,Sum_LA!A:A,Sum_LA!T:T)))</f>
        <v>945</v>
      </c>
      <c r="D38" s="352">
        <f ca="1">_xlfn.XLOOKUP(A38,Sum_HOU!A:A,Sum_HOU!V:V)</f>
        <v>10</v>
      </c>
      <c r="E38" s="352">
        <f ca="1">MAX(0,MIN(_xlfn.XLOOKUP(A38,Sum_HOU!A:A,Sum_HOU!L:L),_xlfn.XLOOKUP(A38,Sum_HOU!A:A,Sum_HOU!M:M)-_xlfn.XLOOKUP(A38,Sum_HOU!A:A,Sum_HOU!O:O)*(_xlfn.XLOOKUP(A38,Sum_HOU!A:A,Sum_HOU!R:R)+_xlfn.XLOOKUP(A38,Sum_HOU!A:A,Sum_HOU!S:S)+2)-_xlfn.XLOOKUP(A38,Sum_HOU!A:A,Sum_HOU!T:T)))</f>
        <v>0</v>
      </c>
      <c r="F38" s="352">
        <f ca="1">_xlfn.XLOOKUP(A38,Sum!A:A,Sum!Y:Y)</f>
        <v>5</v>
      </c>
      <c r="G38" s="352" t="str">
        <f ca="1">_xlfn.XLOOKUP(A38,Sum!A:A,Sum!AA:AA)</f>
        <v>A</v>
      </c>
      <c r="H38" s="352">
        <f ca="1" t="shared" si="1"/>
        <v>10</v>
      </c>
      <c r="I38" s="352">
        <f ca="1">_xlfn.XLOOKUP(G38,'Case Type'!A:A,'Case Type'!H:H)*(H38/F38)</f>
        <v>0.22024214016</v>
      </c>
      <c r="J38" s="352">
        <f ca="1" t="shared" si="2"/>
        <v>0</v>
      </c>
      <c r="K38" s="352">
        <f ca="1">_xlfn.XLOOKUP(G38,'Case Type'!A:A,'Case Type'!H:H)*(J38/F38)</f>
        <v>0</v>
      </c>
      <c r="N38" s="352"/>
      <c r="O38" s="352"/>
      <c r="P38" s="352"/>
      <c r="Q38" s="352"/>
      <c r="R38" s="352"/>
      <c r="S38" s="352"/>
      <c r="T38" s="352"/>
      <c r="U38" s="352"/>
      <c r="V38" s="352">
        <f ca="1">IF(AND(ISNUMBER(T38),T38&gt;0,T38&lt;=TODAY(),ISNUMBER(R38),R38&gt;0,COUNTIF(Sum!A:A,O38)&gt;0,P38&lt;&gt;Q38,OR(P38="LA",P38="HOU"),OR(Q38="LA",Q38="HOU")),R38,0)</f>
        <v>0</v>
      </c>
      <c r="W38" s="352">
        <f ca="1" t="shared" si="0"/>
        <v>0</v>
      </c>
      <c r="X38" s="352" t="str">
        <f>IF(O38="","",IF(COUNTIF(Sum!A:A,O38)=0,"SKU不存在",IF(OR(P38=Q38,AND(P38&lt;&gt;"LA",P38&lt;&gt;"HOU"),AND(Q38&lt;&gt;"LA",Q38&lt;&gt;"HOU")),"仓库错误",IF(AND(ISNUMBER(S38),S38&gt;R38),"收货超过发出",IF(AND(ISNUMBER(U38),OR(NOT(ISNUMBER(T38)),U38&lt;T38)),"收发日期错误","")))))</f>
        <v/>
      </c>
    </row>
    <row r="39" ht="15" spans="1:24">
      <c r="A39" s="352" t="str">
        <f>Sum!A38</f>
        <v>SP-4</v>
      </c>
      <c r="B39" s="353">
        <f ca="1">_xlfn.XLOOKUP(A39,Sum_LA!A:A,Sum_LA!V:V)</f>
        <v>0</v>
      </c>
      <c r="C39" s="352">
        <f ca="1">MAX(0,MIN(_xlfn.XLOOKUP(A39,Sum_LA!A:A,Sum_LA!L:L),_xlfn.XLOOKUP(A39,Sum_LA!A:A,Sum_LA!M:M)-_xlfn.XLOOKUP(A39,Sum_LA!A:A,Sum_LA!O:O)*(_xlfn.XLOOKUP(A39,Sum_LA!A:A,Sum_LA!R:R)+_xlfn.XLOOKUP(A39,Sum_LA!A:A,Sum_LA!S:S)+2)-_xlfn.XLOOKUP(A39,Sum_LA!A:A,Sum_LA!T:T)))</f>
        <v>435</v>
      </c>
      <c r="D39" s="352">
        <f ca="1">_xlfn.XLOOKUP(A39,Sum_HOU!A:A,Sum_HOU!V:V)</f>
        <v>0</v>
      </c>
      <c r="E39" s="352">
        <f ca="1">MAX(0,MIN(_xlfn.XLOOKUP(A39,Sum_HOU!A:A,Sum_HOU!L:L),_xlfn.XLOOKUP(A39,Sum_HOU!A:A,Sum_HOU!M:M)-_xlfn.XLOOKUP(A39,Sum_HOU!A:A,Sum_HOU!O:O)*(_xlfn.XLOOKUP(A39,Sum_HOU!A:A,Sum_HOU!R:R)+_xlfn.XLOOKUP(A39,Sum_HOU!A:A,Sum_HOU!S:S)+2)-_xlfn.XLOOKUP(A39,Sum_HOU!A:A,Sum_HOU!T:T)))</f>
        <v>0</v>
      </c>
      <c r="F39" s="352">
        <f ca="1">_xlfn.XLOOKUP(A39,Sum!A:A,Sum!Y:Y)</f>
        <v>1</v>
      </c>
      <c r="G39" s="352" t="str">
        <f ca="1">_xlfn.XLOOKUP(A39,Sum!A:A,Sum!AA:AA)</f>
        <v>S3</v>
      </c>
      <c r="H39" s="352">
        <f ca="1" t="shared" si="1"/>
        <v>0</v>
      </c>
      <c r="I39" s="352">
        <f ca="1">_xlfn.XLOOKUP(G39,'Case Type'!A:A,'Case Type'!H:H)*(H39/F39)</f>
        <v>0</v>
      </c>
      <c r="J39" s="352">
        <f ca="1" t="shared" si="2"/>
        <v>0</v>
      </c>
      <c r="K39" s="352">
        <f ca="1">_xlfn.XLOOKUP(G39,'Case Type'!A:A,'Case Type'!H:H)*(J39/F39)</f>
        <v>0</v>
      </c>
      <c r="N39" s="352"/>
      <c r="O39" s="352"/>
      <c r="P39" s="352"/>
      <c r="Q39" s="352"/>
      <c r="R39" s="352"/>
      <c r="S39" s="352"/>
      <c r="T39" s="352"/>
      <c r="U39" s="352"/>
      <c r="V39" s="352">
        <f ca="1">IF(AND(ISNUMBER(T39),T39&gt;0,T39&lt;=TODAY(),ISNUMBER(R39),R39&gt;0,COUNTIF(Sum!A:A,O39)&gt;0,P39&lt;&gt;Q39,OR(P39="LA",P39="HOU"),OR(Q39="LA",Q39="HOU")),R39,0)</f>
        <v>0</v>
      </c>
      <c r="W39" s="352">
        <f ca="1" t="shared" si="0"/>
        <v>0</v>
      </c>
      <c r="X39" s="352" t="str">
        <f>IF(O39="","",IF(COUNTIF(Sum!A:A,O39)=0,"SKU不存在",IF(OR(P39=Q39,AND(P39&lt;&gt;"LA",P39&lt;&gt;"HOU"),AND(Q39&lt;&gt;"LA",Q39&lt;&gt;"HOU")),"仓库错误",IF(AND(ISNUMBER(S39),S39&gt;R39),"收货超过发出",IF(AND(ISNUMBER(U39),OR(NOT(ISNUMBER(T39)),U39&lt;T39)),"收发日期错误","")))))</f>
        <v/>
      </c>
    </row>
    <row r="40" ht="15" spans="1:24">
      <c r="A40" s="352" t="str">
        <f>Sum!A39</f>
        <v>SP-7</v>
      </c>
      <c r="B40" s="353">
        <f ca="1">_xlfn.XLOOKUP(A40,Sum_LA!A:A,Sum_LA!V:V)</f>
        <v>0</v>
      </c>
      <c r="C40" s="352">
        <f ca="1">MAX(0,MIN(_xlfn.XLOOKUP(A40,Sum_LA!A:A,Sum_LA!L:L),_xlfn.XLOOKUP(A40,Sum_LA!A:A,Sum_LA!M:M)-_xlfn.XLOOKUP(A40,Sum_LA!A:A,Sum_LA!O:O)*(_xlfn.XLOOKUP(A40,Sum_LA!A:A,Sum_LA!R:R)+_xlfn.XLOOKUP(A40,Sum_LA!A:A,Sum_LA!S:S)+2)-_xlfn.XLOOKUP(A40,Sum_LA!A:A,Sum_LA!T:T)))</f>
        <v>0</v>
      </c>
      <c r="D40" s="352">
        <f ca="1">_xlfn.XLOOKUP(A40,Sum_HOU!A:A,Sum_HOU!V:V)</f>
        <v>0</v>
      </c>
      <c r="E40" s="352">
        <f ca="1">MAX(0,MIN(_xlfn.XLOOKUP(A40,Sum_HOU!A:A,Sum_HOU!L:L),_xlfn.XLOOKUP(A40,Sum_HOU!A:A,Sum_HOU!M:M)-_xlfn.XLOOKUP(A40,Sum_HOU!A:A,Sum_HOU!O:O)*(_xlfn.XLOOKUP(A40,Sum_HOU!A:A,Sum_HOU!R:R)+_xlfn.XLOOKUP(A40,Sum_HOU!A:A,Sum_HOU!S:S)+2)-_xlfn.XLOOKUP(A40,Sum_HOU!A:A,Sum_HOU!T:T)))</f>
        <v>0</v>
      </c>
      <c r="F40" s="352">
        <f ca="1">_xlfn.XLOOKUP(A40,Sum!A:A,Sum!Y:Y)</f>
        <v>18</v>
      </c>
      <c r="G40" s="352" t="str">
        <f ca="1">_xlfn.XLOOKUP(A40,Sum!A:A,Sum!AA:AA)</f>
        <v>C</v>
      </c>
      <c r="H40" s="352">
        <f ca="1" t="shared" si="1"/>
        <v>0</v>
      </c>
      <c r="I40" s="352">
        <f ca="1">_xlfn.XLOOKUP(G40,'Case Type'!A:A,'Case Type'!H:H)*(H40/F40)</f>
        <v>0</v>
      </c>
      <c r="J40" s="352">
        <f ca="1" t="shared" si="2"/>
        <v>0</v>
      </c>
      <c r="K40" s="352">
        <f ca="1">_xlfn.XLOOKUP(G40,'Case Type'!A:A,'Case Type'!H:H)*(J40/F40)</f>
        <v>0</v>
      </c>
    </row>
    <row r="41" ht="15" spans="1:24">
      <c r="A41" s="352" t="str">
        <f>Sum!A40</f>
        <v>SZP542-GN</v>
      </c>
      <c r="B41" s="353">
        <f ca="1">_xlfn.XLOOKUP(A41,Sum_LA!A:A,Sum_LA!V:V)</f>
        <v>0</v>
      </c>
      <c r="C41" s="352">
        <f ca="1">MAX(0,MIN(_xlfn.XLOOKUP(A41,Sum_LA!A:A,Sum_LA!L:L),_xlfn.XLOOKUP(A41,Sum_LA!A:A,Sum_LA!M:M)-_xlfn.XLOOKUP(A41,Sum_LA!A:A,Sum_LA!O:O)*(_xlfn.XLOOKUP(A41,Sum_LA!A:A,Sum_LA!R:R)+_xlfn.XLOOKUP(A41,Sum_LA!A:A,Sum_LA!S:S)+2)-_xlfn.XLOOKUP(A41,Sum_LA!A:A,Sum_LA!T:T)))</f>
        <v>234</v>
      </c>
      <c r="D41" s="352">
        <f ca="1">_xlfn.XLOOKUP(A41,Sum_HOU!A:A,Sum_HOU!V:V)</f>
        <v>0</v>
      </c>
      <c r="E41" s="352">
        <f ca="1">MAX(0,MIN(_xlfn.XLOOKUP(A41,Sum_HOU!A:A,Sum_HOU!L:L),_xlfn.XLOOKUP(A41,Sum_HOU!A:A,Sum_HOU!M:M)-_xlfn.XLOOKUP(A41,Sum_HOU!A:A,Sum_HOU!O:O)*(_xlfn.XLOOKUP(A41,Sum_HOU!A:A,Sum_HOU!R:R)+_xlfn.XLOOKUP(A41,Sum_HOU!A:A,Sum_HOU!S:S)+2)-_xlfn.XLOOKUP(A41,Sum_HOU!A:A,Sum_HOU!T:T)))</f>
        <v>0</v>
      </c>
      <c r="F41" s="352">
        <f ca="1">_xlfn.XLOOKUP(A41,Sum!A:A,Sum!Y:Y)</f>
        <v>18</v>
      </c>
      <c r="G41" s="352" t="str">
        <f ca="1">_xlfn.XLOOKUP(A41,Sum!A:A,Sum!AA:AA)</f>
        <v>B</v>
      </c>
      <c r="H41" s="352">
        <f ca="1" t="shared" si="1"/>
        <v>0</v>
      </c>
      <c r="I41" s="352">
        <f ca="1">_xlfn.XLOOKUP(G41,'Case Type'!A:A,'Case Type'!H:H)*(H41/F41)</f>
        <v>0</v>
      </c>
      <c r="J41" s="352">
        <f ca="1" t="shared" si="2"/>
        <v>0</v>
      </c>
      <c r="K41" s="352">
        <f ca="1">_xlfn.XLOOKUP(G41,'Case Type'!A:A,'Case Type'!H:H)*(J41/F41)</f>
        <v>0</v>
      </c>
    </row>
    <row r="42" ht="15" spans="1:24">
      <c r="A42" s="352" t="str">
        <f>Sum!A41</f>
        <v>SZP542-WH</v>
      </c>
      <c r="B42" s="353">
        <f ca="1">_xlfn.XLOOKUP(A42,Sum_LA!A:A,Sum_LA!V:V)</f>
        <v>2394</v>
      </c>
      <c r="C42" s="352">
        <f ca="1">MAX(0,MIN(_xlfn.XLOOKUP(A42,Sum_LA!A:A,Sum_LA!L:L),_xlfn.XLOOKUP(A42,Sum_LA!A:A,Sum_LA!M:M)-_xlfn.XLOOKUP(A42,Sum_LA!A:A,Sum_LA!O:O)*(_xlfn.XLOOKUP(A42,Sum_LA!A:A,Sum_LA!R:R)+_xlfn.XLOOKUP(A42,Sum_LA!A:A,Sum_LA!S:S)+2)-_xlfn.XLOOKUP(A42,Sum_LA!A:A,Sum_LA!T:T)))</f>
        <v>0</v>
      </c>
      <c r="D42" s="352">
        <f ca="1">_xlfn.XLOOKUP(A42,Sum_HOU!A:A,Sum_HOU!V:V)</f>
        <v>126</v>
      </c>
      <c r="E42" s="352">
        <f ca="1">MAX(0,MIN(_xlfn.XLOOKUP(A42,Sum_HOU!A:A,Sum_HOU!L:L),_xlfn.XLOOKUP(A42,Sum_HOU!A:A,Sum_HOU!M:M)-_xlfn.XLOOKUP(A42,Sum_HOU!A:A,Sum_HOU!O:O)*(_xlfn.XLOOKUP(A42,Sum_HOU!A:A,Sum_HOU!R:R)+_xlfn.XLOOKUP(A42,Sum_HOU!A:A,Sum_HOU!S:S)+2)-_xlfn.XLOOKUP(A42,Sum_HOU!A:A,Sum_HOU!T:T)))</f>
        <v>0</v>
      </c>
      <c r="F42" s="352">
        <f ca="1">_xlfn.XLOOKUP(A42,Sum!A:A,Sum!Y:Y)</f>
        <v>42</v>
      </c>
      <c r="G42" s="352" t="str">
        <f ca="1">_xlfn.XLOOKUP(A42,Sum!A:A,Sum!AA:AA)</f>
        <v>C</v>
      </c>
      <c r="H42" s="352">
        <f ca="1" t="shared" si="1"/>
        <v>0</v>
      </c>
      <c r="I42" s="352">
        <f ca="1">_xlfn.XLOOKUP(G42,'Case Type'!A:A,'Case Type'!H:H)*(H42/F42)</f>
        <v>0</v>
      </c>
      <c r="J42" s="352">
        <f ca="1" t="shared" si="2"/>
        <v>0</v>
      </c>
      <c r="K42" s="352">
        <f ca="1">_xlfn.XLOOKUP(G42,'Case Type'!A:A,'Case Type'!H:H)*(J42/F42)</f>
        <v>0</v>
      </c>
    </row>
    <row r="43" ht="15" spans="1:24">
      <c r="A43" s="352" t="str">
        <f>Sum!A42</f>
        <v>T-1-BL</v>
      </c>
      <c r="B43" s="353">
        <f ca="1">_xlfn.XLOOKUP(A43,Sum_LA!A:A,Sum_LA!V:V)</f>
        <v>0</v>
      </c>
      <c r="C43" s="352">
        <f ca="1">MAX(0,MIN(_xlfn.XLOOKUP(A43,Sum_LA!A:A,Sum_LA!L:L),_xlfn.XLOOKUP(A43,Sum_LA!A:A,Sum_LA!M:M)-_xlfn.XLOOKUP(A43,Sum_LA!A:A,Sum_LA!O:O)*(_xlfn.XLOOKUP(A43,Sum_LA!A:A,Sum_LA!R:R)+_xlfn.XLOOKUP(A43,Sum_LA!A:A,Sum_LA!S:S)+2)-_xlfn.XLOOKUP(A43,Sum_LA!A:A,Sum_LA!T:T)))</f>
        <v>2557.875</v>
      </c>
      <c r="D43" s="352">
        <f ca="1">_xlfn.XLOOKUP(A43,Sum_HOU!A:A,Sum_HOU!V:V)</f>
        <v>0</v>
      </c>
      <c r="E43" s="352">
        <f ca="1">MAX(0,MIN(_xlfn.XLOOKUP(A43,Sum_HOU!A:A,Sum_HOU!L:L),_xlfn.XLOOKUP(A43,Sum_HOU!A:A,Sum_HOU!M:M)-_xlfn.XLOOKUP(A43,Sum_HOU!A:A,Sum_HOU!O:O)*(_xlfn.XLOOKUP(A43,Sum_HOU!A:A,Sum_HOU!R:R)+_xlfn.XLOOKUP(A43,Sum_HOU!A:A,Sum_HOU!S:S)+2)-_xlfn.XLOOKUP(A43,Sum_HOU!A:A,Sum_HOU!T:T)))</f>
        <v>0</v>
      </c>
      <c r="F43" s="352">
        <f ca="1">_xlfn.XLOOKUP(A43,Sum!A:A,Sum!Y:Y)</f>
        <v>30</v>
      </c>
      <c r="G43" s="352" t="str">
        <f ca="1">_xlfn.XLOOKUP(A43,Sum!A:A,Sum!AA:AA)</f>
        <v>A</v>
      </c>
      <c r="H43" s="352">
        <f ca="1" t="shared" si="1"/>
        <v>0</v>
      </c>
      <c r="I43" s="352">
        <f ca="1">_xlfn.XLOOKUP(G43,'Case Type'!A:A,'Case Type'!H:H)*(H43/F43)</f>
        <v>0</v>
      </c>
      <c r="J43" s="352">
        <f ca="1" t="shared" si="2"/>
        <v>0</v>
      </c>
      <c r="K43" s="352">
        <f ca="1">_xlfn.XLOOKUP(G43,'Case Type'!A:A,'Case Type'!H:H)*(J43/F43)</f>
        <v>0</v>
      </c>
    </row>
    <row r="44" ht="15" spans="1:24">
      <c r="A44" s="352" t="str">
        <f>Sum!A43</f>
        <v>T-1-BL-WH</v>
      </c>
      <c r="B44" s="353">
        <f ca="1">_xlfn.XLOOKUP(A44,Sum_LA!A:A,Sum_LA!V:V)</f>
        <v>0</v>
      </c>
      <c r="C44" s="352">
        <f ca="1">MAX(0,MIN(_xlfn.XLOOKUP(A44,Sum_LA!A:A,Sum_LA!L:L),_xlfn.XLOOKUP(A44,Sum_LA!A:A,Sum_LA!M:M)-_xlfn.XLOOKUP(A44,Sum_LA!A:A,Sum_LA!O:O)*(_xlfn.XLOOKUP(A44,Sum_LA!A:A,Sum_LA!R:R)+_xlfn.XLOOKUP(A44,Sum_LA!A:A,Sum_LA!S:S)+2)-_xlfn.XLOOKUP(A44,Sum_LA!A:A,Sum_LA!T:T)))</f>
        <v>1380</v>
      </c>
      <c r="D44" s="352">
        <f ca="1">_xlfn.XLOOKUP(A44,Sum_HOU!A:A,Sum_HOU!V:V)</f>
        <v>150</v>
      </c>
      <c r="E44" s="352">
        <f ca="1">MAX(0,MIN(_xlfn.XLOOKUP(A44,Sum_HOU!A:A,Sum_HOU!L:L),_xlfn.XLOOKUP(A44,Sum_HOU!A:A,Sum_HOU!M:M)-_xlfn.XLOOKUP(A44,Sum_HOU!A:A,Sum_HOU!O:O)*(_xlfn.XLOOKUP(A44,Sum_HOU!A:A,Sum_HOU!R:R)+_xlfn.XLOOKUP(A44,Sum_HOU!A:A,Sum_HOU!S:S)+2)-_xlfn.XLOOKUP(A44,Sum_HOU!A:A,Sum_HOU!T:T)))</f>
        <v>0</v>
      </c>
      <c r="F44" s="352">
        <f ca="1">_xlfn.XLOOKUP(A44,Sum!A:A,Sum!Y:Y)</f>
        <v>30</v>
      </c>
      <c r="G44" s="352" t="str">
        <f ca="1">_xlfn.XLOOKUP(A44,Sum!A:A,Sum!AA:AA)</f>
        <v>A</v>
      </c>
      <c r="H44" s="352">
        <f ca="1" t="shared" si="1"/>
        <v>150</v>
      </c>
      <c r="I44" s="352">
        <f ca="1">_xlfn.XLOOKUP(G44,'Case Type'!A:A,'Case Type'!H:H)*(H44/F44)</f>
        <v>0.5506053504</v>
      </c>
      <c r="J44" s="352">
        <f ca="1" t="shared" si="2"/>
        <v>0</v>
      </c>
      <c r="K44" s="352">
        <f ca="1">_xlfn.XLOOKUP(G44,'Case Type'!A:A,'Case Type'!H:H)*(J44/F44)</f>
        <v>0</v>
      </c>
    </row>
    <row r="45" ht="15" spans="1:24">
      <c r="A45" s="352" t="str">
        <f>Sum!A44</f>
        <v>T-1-BR-WH</v>
      </c>
      <c r="B45" s="353">
        <f ca="1">_xlfn.XLOOKUP(A45,Sum_LA!A:A,Sum_LA!V:V)</f>
        <v>0</v>
      </c>
      <c r="C45" s="352">
        <f ca="1">MAX(0,MIN(_xlfn.XLOOKUP(A45,Sum_LA!A:A,Sum_LA!L:L),_xlfn.XLOOKUP(A45,Sum_LA!A:A,Sum_LA!M:M)-_xlfn.XLOOKUP(A45,Sum_LA!A:A,Sum_LA!O:O)*(_xlfn.XLOOKUP(A45,Sum_LA!A:A,Sum_LA!R:R)+_xlfn.XLOOKUP(A45,Sum_LA!A:A,Sum_LA!S:S)+2)-_xlfn.XLOOKUP(A45,Sum_LA!A:A,Sum_LA!T:T)))</f>
        <v>930</v>
      </c>
      <c r="D45" s="352">
        <f ca="1">_xlfn.XLOOKUP(A45,Sum_HOU!A:A,Sum_HOU!V:V)</f>
        <v>30</v>
      </c>
      <c r="E45" s="352">
        <f ca="1">MAX(0,MIN(_xlfn.XLOOKUP(A45,Sum_HOU!A:A,Sum_HOU!L:L),_xlfn.XLOOKUP(A45,Sum_HOU!A:A,Sum_HOU!M:M)-_xlfn.XLOOKUP(A45,Sum_HOU!A:A,Sum_HOU!O:O)*(_xlfn.XLOOKUP(A45,Sum_HOU!A:A,Sum_HOU!R:R)+_xlfn.XLOOKUP(A45,Sum_HOU!A:A,Sum_HOU!S:S)+2)-_xlfn.XLOOKUP(A45,Sum_HOU!A:A,Sum_HOU!T:T)))</f>
        <v>0</v>
      </c>
      <c r="F45" s="352">
        <f ca="1">_xlfn.XLOOKUP(A45,Sum!A:A,Sum!Y:Y)</f>
        <v>30</v>
      </c>
      <c r="G45" s="352" t="str">
        <f ca="1">_xlfn.XLOOKUP(A45,Sum!A:A,Sum!AA:AA)</f>
        <v>A</v>
      </c>
      <c r="H45" s="352">
        <f ca="1" t="shared" si="1"/>
        <v>30</v>
      </c>
      <c r="I45" s="352">
        <f ca="1">_xlfn.XLOOKUP(G45,'Case Type'!A:A,'Case Type'!H:H)*(H45/F45)</f>
        <v>0.11012107008</v>
      </c>
      <c r="J45" s="352">
        <f ca="1" t="shared" si="2"/>
        <v>0</v>
      </c>
      <c r="K45" s="352">
        <f ca="1">_xlfn.XLOOKUP(G45,'Case Type'!A:A,'Case Type'!H:H)*(J45/F45)</f>
        <v>0</v>
      </c>
    </row>
    <row r="46" ht="15" spans="1:24">
      <c r="A46" s="352" t="str">
        <f>Sum!A45</f>
        <v>T-1-PK</v>
      </c>
      <c r="B46" s="353">
        <f ca="1">_xlfn.XLOOKUP(A46,Sum_LA!A:A,Sum_LA!V:V)</f>
        <v>0</v>
      </c>
      <c r="C46" s="352">
        <f ca="1">MAX(0,MIN(_xlfn.XLOOKUP(A46,Sum_LA!A:A,Sum_LA!L:L),_xlfn.XLOOKUP(A46,Sum_LA!A:A,Sum_LA!M:M)-_xlfn.XLOOKUP(A46,Sum_LA!A:A,Sum_LA!O:O)*(_xlfn.XLOOKUP(A46,Sum_LA!A:A,Sum_LA!R:R)+_xlfn.XLOOKUP(A46,Sum_LA!A:A,Sum_LA!S:S)+2)-_xlfn.XLOOKUP(A46,Sum_LA!A:A,Sum_LA!T:T)))</f>
        <v>600</v>
      </c>
      <c r="D46" s="352">
        <f ca="1">_xlfn.XLOOKUP(A46,Sum_HOU!A:A,Sum_HOU!V:V)</f>
        <v>30</v>
      </c>
      <c r="E46" s="352">
        <f ca="1">MAX(0,MIN(_xlfn.XLOOKUP(A46,Sum_HOU!A:A,Sum_HOU!L:L),_xlfn.XLOOKUP(A46,Sum_HOU!A:A,Sum_HOU!M:M)-_xlfn.XLOOKUP(A46,Sum_HOU!A:A,Sum_HOU!O:O)*(_xlfn.XLOOKUP(A46,Sum_HOU!A:A,Sum_HOU!R:R)+_xlfn.XLOOKUP(A46,Sum_HOU!A:A,Sum_HOU!S:S)+2)-_xlfn.XLOOKUP(A46,Sum_HOU!A:A,Sum_HOU!T:T)))</f>
        <v>0</v>
      </c>
      <c r="F46" s="352">
        <f ca="1">_xlfn.XLOOKUP(A46,Sum!A:A,Sum!Y:Y)</f>
        <v>30</v>
      </c>
      <c r="G46" s="352" t="str">
        <f ca="1">_xlfn.XLOOKUP(A46,Sum!A:A,Sum!AA:AA)</f>
        <v>A</v>
      </c>
      <c r="H46" s="352">
        <f ca="1" t="shared" si="1"/>
        <v>30</v>
      </c>
      <c r="I46" s="352">
        <f ca="1">_xlfn.XLOOKUP(G46,'Case Type'!A:A,'Case Type'!H:H)*(H46/F46)</f>
        <v>0.11012107008</v>
      </c>
      <c r="J46" s="352">
        <f ca="1" t="shared" si="2"/>
        <v>0</v>
      </c>
      <c r="K46" s="352">
        <f ca="1">_xlfn.XLOOKUP(G46,'Case Type'!A:A,'Case Type'!H:H)*(J46/F46)</f>
        <v>0</v>
      </c>
    </row>
    <row r="47" ht="15" spans="1:24">
      <c r="A47" s="352" t="str">
        <f>Sum!A46</f>
        <v>T-41</v>
      </c>
      <c r="B47" s="353">
        <f ca="1">_xlfn.XLOOKUP(A47,Sum_LA!A:A,Sum_LA!V:V)</f>
        <v>0</v>
      </c>
      <c r="C47" s="352">
        <f ca="1">MAX(0,MIN(_xlfn.XLOOKUP(A47,Sum_LA!A:A,Sum_LA!L:L),_xlfn.XLOOKUP(A47,Sum_LA!A:A,Sum_LA!M:M)-_xlfn.XLOOKUP(A47,Sum_LA!A:A,Sum_LA!O:O)*(_xlfn.XLOOKUP(A47,Sum_LA!A:A,Sum_LA!R:R)+_xlfn.XLOOKUP(A47,Sum_LA!A:A,Sum_LA!S:S)+2)-_xlfn.XLOOKUP(A47,Sum_LA!A:A,Sum_LA!T:T)))</f>
        <v>540</v>
      </c>
      <c r="D47" s="352">
        <f ca="1">_xlfn.XLOOKUP(A47,Sum_HOU!A:A,Sum_HOU!V:V)</f>
        <v>60</v>
      </c>
      <c r="E47" s="352">
        <f ca="1">MAX(0,MIN(_xlfn.XLOOKUP(A47,Sum_HOU!A:A,Sum_HOU!L:L),_xlfn.XLOOKUP(A47,Sum_HOU!A:A,Sum_HOU!M:M)-_xlfn.XLOOKUP(A47,Sum_HOU!A:A,Sum_HOU!O:O)*(_xlfn.XLOOKUP(A47,Sum_HOU!A:A,Sum_HOU!R:R)+_xlfn.XLOOKUP(A47,Sum_HOU!A:A,Sum_HOU!S:S)+2)-_xlfn.XLOOKUP(A47,Sum_HOU!A:A,Sum_HOU!T:T)))</f>
        <v>0</v>
      </c>
      <c r="F47" s="352">
        <f ca="1">_xlfn.XLOOKUP(A47,Sum!A:A,Sum!Y:Y)</f>
        <v>60</v>
      </c>
      <c r="G47" s="352" t="str">
        <f ca="1">_xlfn.XLOOKUP(A47,Sum!A:A,Sum!AA:AA)</f>
        <v>B</v>
      </c>
      <c r="H47" s="352">
        <f ca="1" t="shared" si="1"/>
        <v>60</v>
      </c>
      <c r="I47" s="352">
        <f ca="1">_xlfn.XLOOKUP(G47,'Case Type'!A:A,'Case Type'!H:H)*(H47/F47)</f>
        <v>0.07341404672</v>
      </c>
      <c r="J47" s="352">
        <f ca="1" t="shared" si="2"/>
        <v>0</v>
      </c>
      <c r="K47" s="352">
        <f ca="1">_xlfn.XLOOKUP(G47,'Case Type'!A:A,'Case Type'!H:H)*(J47/F47)</f>
        <v>0</v>
      </c>
    </row>
    <row r="48" ht="15" spans="1:24">
      <c r="A48" s="352" t="str">
        <f>Sum!A47</f>
        <v>WJ-13</v>
      </c>
      <c r="B48" s="353">
        <f ca="1">_xlfn.XLOOKUP(A48,Sum_LA!A:A,Sum_LA!V:V)</f>
        <v>0</v>
      </c>
      <c r="C48" s="352">
        <f ca="1">MAX(0,MIN(_xlfn.XLOOKUP(A48,Sum_LA!A:A,Sum_LA!L:L),_xlfn.XLOOKUP(A48,Sum_LA!A:A,Sum_LA!M:M)-_xlfn.XLOOKUP(A48,Sum_LA!A:A,Sum_LA!O:O)*(_xlfn.XLOOKUP(A48,Sum_LA!A:A,Sum_LA!R:R)+_xlfn.XLOOKUP(A48,Sum_LA!A:A,Sum_LA!S:S)+2)-_xlfn.XLOOKUP(A48,Sum_LA!A:A,Sum_LA!T:T)))</f>
        <v>852</v>
      </c>
      <c r="D48" s="352">
        <f ca="1">_xlfn.XLOOKUP(A48,Sum_HOU!A:A,Sum_HOU!V:V)</f>
        <v>1422</v>
      </c>
      <c r="E48" s="352">
        <f ca="1">MAX(0,MIN(_xlfn.XLOOKUP(A48,Sum_HOU!A:A,Sum_HOU!L:L),_xlfn.XLOOKUP(A48,Sum_HOU!A:A,Sum_HOU!M:M)-_xlfn.XLOOKUP(A48,Sum_HOU!A:A,Sum_HOU!O:O)*(_xlfn.XLOOKUP(A48,Sum_HOU!A:A,Sum_HOU!R:R)+_xlfn.XLOOKUP(A48,Sum_HOU!A:A,Sum_HOU!S:S)+2)-_xlfn.XLOOKUP(A48,Sum_HOU!A:A,Sum_HOU!T:T)))</f>
        <v>0</v>
      </c>
      <c r="F48" s="352">
        <f ca="1">_xlfn.XLOOKUP(A48,Sum!A:A,Sum!Y:Y)</f>
        <v>18</v>
      </c>
      <c r="G48" s="352" t="str">
        <f ca="1">_xlfn.XLOOKUP(A48,Sum!A:A,Sum!AA:AA)</f>
        <v>B</v>
      </c>
      <c r="H48" s="352">
        <f ca="1" t="shared" si="1"/>
        <v>846</v>
      </c>
      <c r="I48" s="352">
        <f ca="1">_xlfn.XLOOKUP(G48,'Case Type'!A:A,'Case Type'!H:H)*(H48/F48)</f>
        <v>3.45046019584</v>
      </c>
      <c r="J48" s="352">
        <f ca="1" t="shared" si="2"/>
        <v>0</v>
      </c>
      <c r="K48" s="352">
        <f ca="1">_xlfn.XLOOKUP(G48,'Case Type'!A:A,'Case Type'!H:H)*(J48/F48)</f>
        <v>0</v>
      </c>
    </row>
    <row r="49" ht="15" spans="1:11">
      <c r="A49" s="352" t="str">
        <f>Sum!A48</f>
        <v>WJ-14-B</v>
      </c>
      <c r="B49" s="353">
        <f ca="1">_xlfn.XLOOKUP(A49,Sum_LA!A:A,Sum_LA!V:V)</f>
        <v>0</v>
      </c>
      <c r="C49" s="352">
        <f ca="1">MAX(0,MIN(_xlfn.XLOOKUP(A49,Sum_LA!A:A,Sum_LA!L:L),_xlfn.XLOOKUP(A49,Sum_LA!A:A,Sum_LA!M:M)-_xlfn.XLOOKUP(A49,Sum_LA!A:A,Sum_LA!O:O)*(_xlfn.XLOOKUP(A49,Sum_LA!A:A,Sum_LA!R:R)+_xlfn.XLOOKUP(A49,Sum_LA!A:A,Sum_LA!S:S)+2)-_xlfn.XLOOKUP(A49,Sum_LA!A:A,Sum_LA!T:T)))</f>
        <v>648</v>
      </c>
      <c r="D49" s="352">
        <f ca="1">_xlfn.XLOOKUP(A49,Sum_HOU!A:A,Sum_HOU!V:V)</f>
        <v>72</v>
      </c>
      <c r="E49" s="352">
        <f ca="1">MAX(0,MIN(_xlfn.XLOOKUP(A49,Sum_HOU!A:A,Sum_HOU!L:L),_xlfn.XLOOKUP(A49,Sum_HOU!A:A,Sum_HOU!M:M)-_xlfn.XLOOKUP(A49,Sum_HOU!A:A,Sum_HOU!O:O)*(_xlfn.XLOOKUP(A49,Sum_HOU!A:A,Sum_HOU!R:R)+_xlfn.XLOOKUP(A49,Sum_HOU!A:A,Sum_HOU!S:S)+2)-_xlfn.XLOOKUP(A49,Sum_HOU!A:A,Sum_HOU!T:T)))</f>
        <v>0</v>
      </c>
      <c r="F49" s="352">
        <f ca="1">_xlfn.XLOOKUP(A49,Sum!A:A,Sum!Y:Y)</f>
        <v>18</v>
      </c>
      <c r="G49" s="352" t="str">
        <f ca="1">_xlfn.XLOOKUP(A49,Sum!A:A,Sum!AA:AA)</f>
        <v>C</v>
      </c>
      <c r="H49" s="352">
        <f ca="1" t="shared" si="1"/>
        <v>72</v>
      </c>
      <c r="I49" s="352">
        <f ca="1">_xlfn.XLOOKUP(G49,'Case Type'!A:A,'Case Type'!H:H)*(H49/F49)</f>
        <v>0.6292632576</v>
      </c>
      <c r="J49" s="352">
        <f ca="1" t="shared" si="2"/>
        <v>0</v>
      </c>
      <c r="K49" s="352">
        <f ca="1">_xlfn.XLOOKUP(G49,'Case Type'!A:A,'Case Type'!H:H)*(J49/F49)</f>
        <v>0</v>
      </c>
    </row>
    <row r="50" ht="15" spans="1:11">
      <c r="A50" s="352" t="str">
        <f>Sum!A49</f>
        <v>WJ-39-GN</v>
      </c>
      <c r="B50" s="353">
        <f ca="1">_xlfn.XLOOKUP(A50,Sum_LA!A:A,Sum_LA!V:V)</f>
        <v>0</v>
      </c>
      <c r="C50" s="352">
        <f ca="1">MAX(0,MIN(_xlfn.XLOOKUP(A50,Sum_LA!A:A,Sum_LA!L:L),_xlfn.XLOOKUP(A50,Sum_LA!A:A,Sum_LA!M:M)-_xlfn.XLOOKUP(A50,Sum_LA!A:A,Sum_LA!O:O)*(_xlfn.XLOOKUP(A50,Sum_LA!A:A,Sum_LA!R:R)+_xlfn.XLOOKUP(A50,Sum_LA!A:A,Sum_LA!S:S)+2)-_xlfn.XLOOKUP(A50,Sum_LA!A:A,Sum_LA!T:T)))</f>
        <v>807</v>
      </c>
      <c r="D50" s="352">
        <f ca="1">_xlfn.XLOOKUP(A50,Sum_HOU!A:A,Sum_HOU!V:V)</f>
        <v>12</v>
      </c>
      <c r="E50" s="352">
        <f ca="1">MAX(0,MIN(_xlfn.XLOOKUP(A50,Sum_HOU!A:A,Sum_HOU!L:L),_xlfn.XLOOKUP(A50,Sum_HOU!A:A,Sum_HOU!M:M)-_xlfn.XLOOKUP(A50,Sum_HOU!A:A,Sum_HOU!O:O)*(_xlfn.XLOOKUP(A50,Sum_HOU!A:A,Sum_HOU!R:R)+_xlfn.XLOOKUP(A50,Sum_HOU!A:A,Sum_HOU!S:S)+2)-_xlfn.XLOOKUP(A50,Sum_HOU!A:A,Sum_HOU!T:T)))</f>
        <v>0</v>
      </c>
      <c r="F50" s="352">
        <f ca="1">_xlfn.XLOOKUP(A50,Sum!A:A,Sum!Y:Y)</f>
        <v>4</v>
      </c>
      <c r="G50" s="352" t="str">
        <f ca="1">_xlfn.XLOOKUP(A50,Sum!A:A,Sum!AA:AA)</f>
        <v>D</v>
      </c>
      <c r="H50" s="352">
        <f ca="1" t="shared" si="1"/>
        <v>12</v>
      </c>
      <c r="I50" s="352">
        <f ca="1">_xlfn.XLOOKUP(G50,'Case Type'!A:A,'Case Type'!H:H)*(H50/F50)</f>
        <v>0.2643091488</v>
      </c>
      <c r="J50" s="352">
        <f ca="1" t="shared" si="2"/>
        <v>0</v>
      </c>
      <c r="K50" s="352">
        <f ca="1">_xlfn.XLOOKUP(G50,'Case Type'!A:A,'Case Type'!H:H)*(J50/F50)</f>
        <v>0</v>
      </c>
    </row>
    <row r="51" ht="15" spans="1:11">
      <c r="A51" s="352" t="str">
        <f>Sum!A50</f>
        <v>WJ-39-PK</v>
      </c>
      <c r="B51" s="353">
        <f ca="1">_xlfn.XLOOKUP(A51,Sum_LA!A:A,Sum_LA!V:V)</f>
        <v>0</v>
      </c>
      <c r="C51" s="352">
        <f ca="1">MAX(0,MIN(_xlfn.XLOOKUP(A51,Sum_LA!A:A,Sum_LA!L:L),_xlfn.XLOOKUP(A51,Sum_LA!A:A,Sum_LA!M:M)-_xlfn.XLOOKUP(A51,Sum_LA!A:A,Sum_LA!O:O)*(_xlfn.XLOOKUP(A51,Sum_LA!A:A,Sum_LA!R:R)+_xlfn.XLOOKUP(A51,Sum_LA!A:A,Sum_LA!S:S)+2)-_xlfn.XLOOKUP(A51,Sum_LA!A:A,Sum_LA!T:T)))</f>
        <v>642</v>
      </c>
      <c r="D51" s="352">
        <f ca="1">_xlfn.XLOOKUP(A51,Sum_HOU!A:A,Sum_HOU!V:V)</f>
        <v>392</v>
      </c>
      <c r="E51" s="352">
        <f ca="1">MAX(0,MIN(_xlfn.XLOOKUP(A51,Sum_HOU!A:A,Sum_HOU!L:L),_xlfn.XLOOKUP(A51,Sum_HOU!A:A,Sum_HOU!M:M)-_xlfn.XLOOKUP(A51,Sum_HOU!A:A,Sum_HOU!O:O)*(_xlfn.XLOOKUP(A51,Sum_HOU!A:A,Sum_HOU!R:R)+_xlfn.XLOOKUP(A51,Sum_HOU!A:A,Sum_HOU!S:S)+2)-_xlfn.XLOOKUP(A51,Sum_HOU!A:A,Sum_HOU!T:T)))</f>
        <v>0</v>
      </c>
      <c r="F51" s="352">
        <f ca="1">_xlfn.XLOOKUP(A51,Sum!A:A,Sum!Y:Y)</f>
        <v>4</v>
      </c>
      <c r="G51" s="352" t="str">
        <f ca="1">_xlfn.XLOOKUP(A51,Sum!A:A,Sum!AA:AA)</f>
        <v>D</v>
      </c>
      <c r="H51" s="352">
        <f ca="1" t="shared" si="1"/>
        <v>392</v>
      </c>
      <c r="I51" s="352">
        <f ca="1">_xlfn.XLOOKUP(G51,'Case Type'!A:A,'Case Type'!H:H)*(H51/F51)</f>
        <v>8.6340988608</v>
      </c>
      <c r="J51" s="352">
        <f ca="1" t="shared" si="2"/>
        <v>0</v>
      </c>
      <c r="K51" s="352">
        <f ca="1">_xlfn.XLOOKUP(G51,'Case Type'!A:A,'Case Type'!H:H)*(J51/F51)</f>
        <v>0</v>
      </c>
    </row>
    <row r="52" ht="15" spans="1:11">
      <c r="A52" s="352" t="str">
        <f>Sum!A51</f>
        <v>WJ-4</v>
      </c>
      <c r="B52" s="353">
        <f ca="1">_xlfn.XLOOKUP(A52,Sum_LA!A:A,Sum_LA!V:V)</f>
        <v>150</v>
      </c>
      <c r="C52" s="352">
        <f ca="1">MAX(0,MIN(_xlfn.XLOOKUP(A52,Sum_LA!A:A,Sum_LA!L:L),_xlfn.XLOOKUP(A52,Sum_LA!A:A,Sum_LA!M:M)-_xlfn.XLOOKUP(A52,Sum_LA!A:A,Sum_LA!O:O)*(_xlfn.XLOOKUP(A52,Sum_LA!A:A,Sum_LA!R:R)+_xlfn.XLOOKUP(A52,Sum_LA!A:A,Sum_LA!S:S)+2)-_xlfn.XLOOKUP(A52,Sum_LA!A:A,Sum_LA!T:T)))</f>
        <v>0</v>
      </c>
      <c r="D52" s="352">
        <f ca="1">_xlfn.XLOOKUP(A52,Sum_HOU!A:A,Sum_HOU!V:V)</f>
        <v>0</v>
      </c>
      <c r="E52" s="352">
        <f ca="1">MAX(0,MIN(_xlfn.XLOOKUP(A52,Sum_HOU!A:A,Sum_HOU!L:L),_xlfn.XLOOKUP(A52,Sum_HOU!A:A,Sum_HOU!M:M)-_xlfn.XLOOKUP(A52,Sum_HOU!A:A,Sum_HOU!O:O)*(_xlfn.XLOOKUP(A52,Sum_HOU!A:A,Sum_HOU!R:R)+_xlfn.XLOOKUP(A52,Sum_HOU!A:A,Sum_HOU!S:S)+2)-_xlfn.XLOOKUP(A52,Sum_HOU!A:A,Sum_HOU!T:T)))</f>
        <v>0</v>
      </c>
      <c r="F52" s="352">
        <f ca="1">_xlfn.XLOOKUP(A52,Sum!A:A,Sum!Y:Y)</f>
        <v>50</v>
      </c>
      <c r="G52" s="352" t="str">
        <f ca="1">_xlfn.XLOOKUP(A52,Sum!A:A,Sum!AA:AA)</f>
        <v>A</v>
      </c>
      <c r="H52" s="352">
        <f ca="1" t="shared" si="1"/>
        <v>0</v>
      </c>
      <c r="I52" s="352">
        <f ca="1">_xlfn.XLOOKUP(G52,'Case Type'!A:A,'Case Type'!H:H)*(H52/F52)</f>
        <v>0</v>
      </c>
      <c r="J52" s="352">
        <f ca="1" t="shared" si="2"/>
        <v>0</v>
      </c>
      <c r="K52" s="352">
        <f ca="1">_xlfn.XLOOKUP(G52,'Case Type'!A:A,'Case Type'!H:H)*(J52/F52)</f>
        <v>0</v>
      </c>
    </row>
    <row r="53" ht="15" spans="1:11">
      <c r="A53" s="352" t="str">
        <f>Sum!A52</f>
        <v>WJ-46</v>
      </c>
      <c r="B53" s="353">
        <f ca="1">_xlfn.XLOOKUP(A53,Sum_LA!A:A,Sum_LA!V:V)</f>
        <v>0</v>
      </c>
      <c r="C53" s="352">
        <f ca="1">MAX(0,MIN(_xlfn.XLOOKUP(A53,Sum_LA!A:A,Sum_LA!L:L),_xlfn.XLOOKUP(A53,Sum_LA!A:A,Sum_LA!M:M)-_xlfn.XLOOKUP(A53,Sum_LA!A:A,Sum_LA!O:O)*(_xlfn.XLOOKUP(A53,Sum_LA!A:A,Sum_LA!R:R)+_xlfn.XLOOKUP(A53,Sum_LA!A:A,Sum_LA!S:S)+2)-_xlfn.XLOOKUP(A53,Sum_LA!A:A,Sum_LA!T:T)))</f>
        <v>3882.29166666667</v>
      </c>
      <c r="D53" s="352">
        <f ca="1">_xlfn.XLOOKUP(A53,Sum_HOU!A:A,Sum_HOU!V:V)</f>
        <v>192</v>
      </c>
      <c r="E53" s="352">
        <f ca="1">MAX(0,MIN(_xlfn.XLOOKUP(A53,Sum_HOU!A:A,Sum_HOU!L:L),_xlfn.XLOOKUP(A53,Sum_HOU!A:A,Sum_HOU!M:M)-_xlfn.XLOOKUP(A53,Sum_HOU!A:A,Sum_HOU!O:O)*(_xlfn.XLOOKUP(A53,Sum_HOU!A:A,Sum_HOU!R:R)+_xlfn.XLOOKUP(A53,Sum_HOU!A:A,Sum_HOU!S:S)+2)-_xlfn.XLOOKUP(A53,Sum_HOU!A:A,Sum_HOU!T:T)))</f>
        <v>0</v>
      </c>
      <c r="F53" s="352">
        <f ca="1">_xlfn.XLOOKUP(A53,Sum!A:A,Sum!Y:Y)</f>
        <v>48</v>
      </c>
      <c r="G53" s="352" t="str">
        <f ca="1">_xlfn.XLOOKUP(A53,Sum!A:A,Sum!AA:AA)</f>
        <v>B</v>
      </c>
      <c r="H53" s="352">
        <f ca="1" t="shared" si="1"/>
        <v>192</v>
      </c>
      <c r="I53" s="352">
        <f ca="1">_xlfn.XLOOKUP(G53,'Case Type'!A:A,'Case Type'!H:H)*(H53/F53)</f>
        <v>0.29365618688</v>
      </c>
      <c r="J53" s="352">
        <f ca="1" t="shared" si="2"/>
        <v>0</v>
      </c>
      <c r="K53" s="352">
        <f ca="1">_xlfn.XLOOKUP(G53,'Case Type'!A:A,'Case Type'!H:H)*(J53/F53)</f>
        <v>0</v>
      </c>
    </row>
    <row r="54" ht="15" spans="1:11">
      <c r="A54" s="352" t="str">
        <f>Sum!A53</f>
        <v>WJ-9-GN</v>
      </c>
      <c r="B54" s="353">
        <f ca="1">_xlfn.XLOOKUP(A54,Sum_LA!A:A,Sum_LA!V:V)</f>
        <v>0</v>
      </c>
      <c r="C54" s="352">
        <f ca="1">MAX(0,MIN(_xlfn.XLOOKUP(A54,Sum_LA!A:A,Sum_LA!L:L),_xlfn.XLOOKUP(A54,Sum_LA!A:A,Sum_LA!M:M)-_xlfn.XLOOKUP(A54,Sum_LA!A:A,Sum_LA!O:O)*(_xlfn.XLOOKUP(A54,Sum_LA!A:A,Sum_LA!R:R)+_xlfn.XLOOKUP(A54,Sum_LA!A:A,Sum_LA!S:S)+2)-_xlfn.XLOOKUP(A54,Sum_LA!A:A,Sum_LA!T:T)))</f>
        <v>288</v>
      </c>
      <c r="D54" s="352">
        <f ca="1">_xlfn.XLOOKUP(A54,Sum_HOU!A:A,Sum_HOU!V:V)</f>
        <v>252</v>
      </c>
      <c r="E54" s="352">
        <f ca="1">MAX(0,MIN(_xlfn.XLOOKUP(A54,Sum_HOU!A:A,Sum_HOU!L:L),_xlfn.XLOOKUP(A54,Sum_HOU!A:A,Sum_HOU!M:M)-_xlfn.XLOOKUP(A54,Sum_HOU!A:A,Sum_HOU!O:O)*(_xlfn.XLOOKUP(A54,Sum_HOU!A:A,Sum_HOU!R:R)+_xlfn.XLOOKUP(A54,Sum_HOU!A:A,Sum_HOU!S:S)+2)-_xlfn.XLOOKUP(A54,Sum_HOU!A:A,Sum_HOU!T:T)))</f>
        <v>0</v>
      </c>
      <c r="F54" s="352">
        <f ca="1">_xlfn.XLOOKUP(A54,Sum!A:A,Sum!Y:Y)</f>
        <v>36</v>
      </c>
      <c r="G54" s="352" t="str">
        <f ca="1">_xlfn.XLOOKUP(A54,Sum!A:A,Sum!AA:AA)</f>
        <v>C</v>
      </c>
      <c r="H54" s="352">
        <f ca="1" t="shared" si="1"/>
        <v>252</v>
      </c>
      <c r="I54" s="352">
        <f ca="1">_xlfn.XLOOKUP(G54,'Case Type'!A:A,'Case Type'!H:H)*(H54/F54)</f>
        <v>1.1012107008</v>
      </c>
      <c r="J54" s="352">
        <f ca="1" t="shared" si="2"/>
        <v>0</v>
      </c>
      <c r="K54" s="352">
        <f ca="1">_xlfn.XLOOKUP(G54,'Case Type'!A:A,'Case Type'!H:H)*(J54/F54)</f>
        <v>0</v>
      </c>
    </row>
    <row r="55" ht="15" spans="1:11">
      <c r="A55" s="352" t="str">
        <f>Sum!A54</f>
        <v>ZM003-BL</v>
      </c>
      <c r="B55" s="353">
        <f ca="1">_xlfn.XLOOKUP(A55,Sum_LA!A:A,Sum_LA!V:V)</f>
        <v>0</v>
      </c>
      <c r="C55" s="352">
        <f ca="1">MAX(0,MIN(_xlfn.XLOOKUP(A55,Sum_LA!A:A,Sum_LA!L:L),_xlfn.XLOOKUP(A55,Sum_LA!A:A,Sum_LA!M:M)-_xlfn.XLOOKUP(A55,Sum_LA!A:A,Sum_LA!O:O)*(_xlfn.XLOOKUP(A55,Sum_LA!A:A,Sum_LA!R:R)+_xlfn.XLOOKUP(A55,Sum_LA!A:A,Sum_LA!S:S)+2)-_xlfn.XLOOKUP(A55,Sum_LA!A:A,Sum_LA!T:T)))</f>
        <v>1344</v>
      </c>
      <c r="D55" s="352">
        <f ca="1">_xlfn.XLOOKUP(A55,Sum_HOU!A:A,Sum_HOU!V:V)</f>
        <v>348</v>
      </c>
      <c r="E55" s="352">
        <f ca="1">MAX(0,MIN(_xlfn.XLOOKUP(A55,Sum_HOU!A:A,Sum_HOU!L:L),_xlfn.XLOOKUP(A55,Sum_HOU!A:A,Sum_HOU!M:M)-_xlfn.XLOOKUP(A55,Sum_HOU!A:A,Sum_HOU!O:O)*(_xlfn.XLOOKUP(A55,Sum_HOU!A:A,Sum_HOU!R:R)+_xlfn.XLOOKUP(A55,Sum_HOU!A:A,Sum_HOU!S:S)+2)-_xlfn.XLOOKUP(A55,Sum_HOU!A:A,Sum_HOU!T:T)))</f>
        <v>0</v>
      </c>
      <c r="F55" s="352">
        <f ca="1">_xlfn.XLOOKUP(A55,Sum!A:A,Sum!Y:Y)</f>
        <v>12</v>
      </c>
      <c r="G55" s="352" t="str">
        <f ca="1">_xlfn.XLOOKUP(A55,Sum!A:A,Sum!AA:AA)</f>
        <v>B</v>
      </c>
      <c r="H55" s="352">
        <f ca="1" t="shared" si="1"/>
        <v>348</v>
      </c>
      <c r="I55" s="352">
        <f ca="1">_xlfn.XLOOKUP(G55,'Case Type'!A:A,'Case Type'!H:H)*(H55/F55)</f>
        <v>2.12900735488</v>
      </c>
      <c r="J55" s="352">
        <f ca="1" t="shared" si="2"/>
        <v>0</v>
      </c>
      <c r="K55" s="352">
        <f ca="1">_xlfn.XLOOKUP(G55,'Case Type'!A:A,'Case Type'!H:H)*(J55/F55)</f>
        <v>0</v>
      </c>
    </row>
    <row r="56" ht="15" spans="1:11">
      <c r="A56" s="352" t="str">
        <f>Sum!A55</f>
        <v>ZM003-BL-WH</v>
      </c>
      <c r="B56" s="353">
        <f ca="1">_xlfn.XLOOKUP(A56,Sum_LA!A:A,Sum_LA!V:V)</f>
        <v>0</v>
      </c>
      <c r="C56" s="352">
        <f ca="1">MAX(0,MIN(_xlfn.XLOOKUP(A56,Sum_LA!A:A,Sum_LA!L:L),_xlfn.XLOOKUP(A56,Sum_LA!A:A,Sum_LA!M:M)-_xlfn.XLOOKUP(A56,Sum_LA!A:A,Sum_LA!O:O)*(_xlfn.XLOOKUP(A56,Sum_LA!A:A,Sum_LA!R:R)+_xlfn.XLOOKUP(A56,Sum_LA!A:A,Sum_LA!S:S)+2)-_xlfn.XLOOKUP(A56,Sum_LA!A:A,Sum_LA!T:T)))</f>
        <v>3795.75</v>
      </c>
      <c r="D56" s="352">
        <f ca="1">_xlfn.XLOOKUP(A56,Sum_HOU!A:A,Sum_HOU!V:V)</f>
        <v>0</v>
      </c>
      <c r="E56" s="352">
        <f ca="1">MAX(0,MIN(_xlfn.XLOOKUP(A56,Sum_HOU!A:A,Sum_HOU!L:L),_xlfn.XLOOKUP(A56,Sum_HOU!A:A,Sum_HOU!M:M)-_xlfn.XLOOKUP(A56,Sum_HOU!A:A,Sum_HOU!O:O)*(_xlfn.XLOOKUP(A56,Sum_HOU!A:A,Sum_HOU!R:R)+_xlfn.XLOOKUP(A56,Sum_HOU!A:A,Sum_HOU!S:S)+2)-_xlfn.XLOOKUP(A56,Sum_HOU!A:A,Sum_HOU!T:T)))</f>
        <v>0</v>
      </c>
      <c r="F56" s="352">
        <f ca="1">_xlfn.XLOOKUP(A56,Sum!A:A,Sum!Y:Y)</f>
        <v>12</v>
      </c>
      <c r="G56" s="352" t="str">
        <f ca="1">_xlfn.XLOOKUP(A56,Sum!A:A,Sum!AA:AA)</f>
        <v>B</v>
      </c>
      <c r="H56" s="352">
        <f ca="1" t="shared" si="1"/>
        <v>0</v>
      </c>
      <c r="I56" s="352">
        <f ca="1">_xlfn.XLOOKUP(G56,'Case Type'!A:A,'Case Type'!H:H)*(H56/F56)</f>
        <v>0</v>
      </c>
      <c r="J56" s="352">
        <f ca="1" t="shared" si="2"/>
        <v>0</v>
      </c>
      <c r="K56" s="352">
        <f ca="1">_xlfn.XLOOKUP(G56,'Case Type'!A:A,'Case Type'!H:H)*(J56/F56)</f>
        <v>0</v>
      </c>
    </row>
    <row r="57" ht="15" spans="1:11">
      <c r="A57" s="352" t="str">
        <f>Sum!A56</f>
        <v>ZM003-GN-WH</v>
      </c>
      <c r="B57" s="353">
        <f ca="1">_xlfn.XLOOKUP(A57,Sum_LA!A:A,Sum_LA!V:V)</f>
        <v>0</v>
      </c>
      <c r="C57" s="352">
        <f ca="1">MAX(0,MIN(_xlfn.XLOOKUP(A57,Sum_LA!A:A,Sum_LA!L:L),_xlfn.XLOOKUP(A57,Sum_LA!A:A,Sum_LA!M:M)-_xlfn.XLOOKUP(A57,Sum_LA!A:A,Sum_LA!O:O)*(_xlfn.XLOOKUP(A57,Sum_LA!A:A,Sum_LA!R:R)+_xlfn.XLOOKUP(A57,Sum_LA!A:A,Sum_LA!S:S)+2)-_xlfn.XLOOKUP(A57,Sum_LA!A:A,Sum_LA!T:T)))</f>
        <v>636</v>
      </c>
      <c r="D57" s="352">
        <f ca="1">_xlfn.XLOOKUP(A57,Sum_HOU!A:A,Sum_HOU!V:V)</f>
        <v>12</v>
      </c>
      <c r="E57" s="352">
        <f ca="1">MAX(0,MIN(_xlfn.XLOOKUP(A57,Sum_HOU!A:A,Sum_HOU!L:L),_xlfn.XLOOKUP(A57,Sum_HOU!A:A,Sum_HOU!M:M)-_xlfn.XLOOKUP(A57,Sum_HOU!A:A,Sum_HOU!O:O)*(_xlfn.XLOOKUP(A57,Sum_HOU!A:A,Sum_HOU!R:R)+_xlfn.XLOOKUP(A57,Sum_HOU!A:A,Sum_HOU!S:S)+2)-_xlfn.XLOOKUP(A57,Sum_HOU!A:A,Sum_HOU!T:T)))</f>
        <v>0</v>
      </c>
      <c r="F57" s="352">
        <f ca="1">_xlfn.XLOOKUP(A57,Sum!A:A,Sum!Y:Y)</f>
        <v>12</v>
      </c>
      <c r="G57" s="352" t="str">
        <f ca="1">_xlfn.XLOOKUP(A57,Sum!A:A,Sum!AA:AA)</f>
        <v>B</v>
      </c>
      <c r="H57" s="352">
        <f ca="1" t="shared" si="1"/>
        <v>12</v>
      </c>
      <c r="I57" s="352">
        <f ca="1">_xlfn.XLOOKUP(G57,'Case Type'!A:A,'Case Type'!H:H)*(H57/F57)</f>
        <v>0.07341404672</v>
      </c>
      <c r="J57" s="352">
        <f ca="1" t="shared" si="2"/>
        <v>0</v>
      </c>
      <c r="K57" s="352">
        <f ca="1">_xlfn.XLOOKUP(G57,'Case Type'!A:A,'Case Type'!H:H)*(J57/F57)</f>
        <v>0</v>
      </c>
    </row>
    <row r="58" ht="15" spans="1:11">
      <c r="A58" s="352" t="str">
        <f>Sum!A57</f>
        <v>ZM004</v>
      </c>
      <c r="B58" s="353">
        <f ca="1">_xlfn.XLOOKUP(A58,Sum_LA!A:A,Sum_LA!V:V)</f>
        <v>0</v>
      </c>
      <c r="C58" s="352">
        <f ca="1">MAX(0,MIN(_xlfn.XLOOKUP(A58,Sum_LA!A:A,Sum_LA!L:L),_xlfn.XLOOKUP(A58,Sum_LA!A:A,Sum_LA!M:M)-_xlfn.XLOOKUP(A58,Sum_LA!A:A,Sum_LA!O:O)*(_xlfn.XLOOKUP(A58,Sum_LA!A:A,Sum_LA!R:R)+_xlfn.XLOOKUP(A58,Sum_LA!A:A,Sum_LA!S:S)+2)-_xlfn.XLOOKUP(A58,Sum_LA!A:A,Sum_LA!T:T)))</f>
        <v>300</v>
      </c>
      <c r="D58" s="352">
        <f ca="1">_xlfn.XLOOKUP(A58,Sum_HOU!A:A,Sum_HOU!V:V)</f>
        <v>0</v>
      </c>
      <c r="E58" s="352">
        <f ca="1">MAX(0,MIN(_xlfn.XLOOKUP(A58,Sum_HOU!A:A,Sum_HOU!L:L),_xlfn.XLOOKUP(A58,Sum_HOU!A:A,Sum_HOU!M:M)-_xlfn.XLOOKUP(A58,Sum_HOU!A:A,Sum_HOU!O:O)*(_xlfn.XLOOKUP(A58,Sum_HOU!A:A,Sum_HOU!R:R)+_xlfn.XLOOKUP(A58,Sum_HOU!A:A,Sum_HOU!S:S)+2)-_xlfn.XLOOKUP(A58,Sum_HOU!A:A,Sum_HOU!T:T)))</f>
        <v>0</v>
      </c>
      <c r="F58" s="352">
        <f ca="1">_xlfn.XLOOKUP(A58,Sum!A:A,Sum!Y:Y)</f>
        <v>30</v>
      </c>
      <c r="G58" s="352" t="str">
        <f ca="1">_xlfn.XLOOKUP(A58,Sum!A:A,Sum!AA:AA)</f>
        <v>C</v>
      </c>
      <c r="H58" s="352">
        <f ca="1" t="shared" si="1"/>
        <v>0</v>
      </c>
      <c r="I58" s="352">
        <f ca="1">_xlfn.XLOOKUP(G58,'Case Type'!A:A,'Case Type'!H:H)*(H58/F58)</f>
        <v>0</v>
      </c>
      <c r="J58" s="352">
        <f ca="1" t="shared" si="2"/>
        <v>0</v>
      </c>
      <c r="K58" s="352">
        <f ca="1">_xlfn.XLOOKUP(G58,'Case Type'!A:A,'Case Type'!H:H)*(J58/F58)</f>
        <v>0</v>
      </c>
    </row>
    <row r="59" ht="15" spans="1:11">
      <c r="A59" s="352" t="str">
        <f>Sum!A58</f>
        <v>ZM005-BL</v>
      </c>
      <c r="B59" s="353">
        <f ca="1">_xlfn.XLOOKUP(A59,Sum_LA!A:A,Sum_LA!V:V)</f>
        <v>0</v>
      </c>
      <c r="C59" s="352">
        <f ca="1">MAX(0,MIN(_xlfn.XLOOKUP(A59,Sum_LA!A:A,Sum_LA!L:L),_xlfn.XLOOKUP(A59,Sum_LA!A:A,Sum_LA!M:M)-_xlfn.XLOOKUP(A59,Sum_LA!A:A,Sum_LA!O:O)*(_xlfn.XLOOKUP(A59,Sum_LA!A:A,Sum_LA!R:R)+_xlfn.XLOOKUP(A59,Sum_LA!A:A,Sum_LA!S:S)+2)-_xlfn.XLOOKUP(A59,Sum_LA!A:A,Sum_LA!T:T)))</f>
        <v>3993</v>
      </c>
      <c r="D59" s="352">
        <f ca="1">_xlfn.XLOOKUP(A59,Sum_HOU!A:A,Sum_HOU!V:V)</f>
        <v>0</v>
      </c>
      <c r="E59" s="352">
        <f ca="1">MAX(0,MIN(_xlfn.XLOOKUP(A59,Sum_HOU!A:A,Sum_HOU!L:L),_xlfn.XLOOKUP(A59,Sum_HOU!A:A,Sum_HOU!M:M)-_xlfn.XLOOKUP(A59,Sum_HOU!A:A,Sum_HOU!O:O)*(_xlfn.XLOOKUP(A59,Sum_HOU!A:A,Sum_HOU!R:R)+_xlfn.XLOOKUP(A59,Sum_HOU!A:A,Sum_HOU!S:S)+2)-_xlfn.XLOOKUP(A59,Sum_HOU!A:A,Sum_HOU!T:T)))</f>
        <v>0</v>
      </c>
      <c r="F59" s="352">
        <f ca="1">_xlfn.XLOOKUP(A59,Sum!A:A,Sum!Y:Y)</f>
        <v>32</v>
      </c>
      <c r="G59" s="352" t="str">
        <f ca="1">_xlfn.XLOOKUP(A59,Sum!A:A,Sum!AA:AA)</f>
        <v>A</v>
      </c>
      <c r="H59" s="352">
        <f ca="1" t="shared" si="1"/>
        <v>0</v>
      </c>
      <c r="I59" s="352">
        <f ca="1">_xlfn.XLOOKUP(G59,'Case Type'!A:A,'Case Type'!H:H)*(H59/F59)</f>
        <v>0</v>
      </c>
      <c r="J59" s="352">
        <f ca="1" t="shared" si="2"/>
        <v>0</v>
      </c>
      <c r="K59" s="352">
        <f ca="1">_xlfn.XLOOKUP(G59,'Case Type'!A:A,'Case Type'!H:H)*(J59/F59)</f>
        <v>0</v>
      </c>
    </row>
    <row r="60" ht="15" spans="1:11">
      <c r="A60" s="352" t="str">
        <f>Sum!A59</f>
        <v>ZM005-MIX</v>
      </c>
      <c r="B60" s="353">
        <f ca="1">_xlfn.XLOOKUP(A60,Sum_LA!A:A,Sum_LA!V:V)</f>
        <v>0</v>
      </c>
      <c r="C60" s="352">
        <f ca="1">MAX(0,MIN(_xlfn.XLOOKUP(A60,Sum_LA!A:A,Sum_LA!L:L),_xlfn.XLOOKUP(A60,Sum_LA!A:A,Sum_LA!M:M)-_xlfn.XLOOKUP(A60,Sum_LA!A:A,Sum_LA!O:O)*(_xlfn.XLOOKUP(A60,Sum_LA!A:A,Sum_LA!R:R)+_xlfn.XLOOKUP(A60,Sum_LA!A:A,Sum_LA!S:S)+2)-_xlfn.XLOOKUP(A60,Sum_LA!A:A,Sum_LA!T:T)))</f>
        <v>992</v>
      </c>
      <c r="D60" s="352">
        <f ca="1">_xlfn.XLOOKUP(A60,Sum_HOU!A:A,Sum_HOU!V:V)</f>
        <v>64</v>
      </c>
      <c r="E60" s="352">
        <f ca="1">MAX(0,MIN(_xlfn.XLOOKUP(A60,Sum_HOU!A:A,Sum_HOU!L:L),_xlfn.XLOOKUP(A60,Sum_HOU!A:A,Sum_HOU!M:M)-_xlfn.XLOOKUP(A60,Sum_HOU!A:A,Sum_HOU!O:O)*(_xlfn.XLOOKUP(A60,Sum_HOU!A:A,Sum_HOU!R:R)+_xlfn.XLOOKUP(A60,Sum_HOU!A:A,Sum_HOU!S:S)+2)-_xlfn.XLOOKUP(A60,Sum_HOU!A:A,Sum_HOU!T:T)))</f>
        <v>0</v>
      </c>
      <c r="F60" s="352">
        <f ca="1">_xlfn.XLOOKUP(A60,Sum!A:A,Sum!Y:Y)</f>
        <v>32</v>
      </c>
      <c r="G60" s="352" t="str">
        <f ca="1">_xlfn.XLOOKUP(A60,Sum!A:A,Sum!AA:AA)</f>
        <v>A</v>
      </c>
      <c r="H60" s="352">
        <f ca="1" t="shared" si="1"/>
        <v>64</v>
      </c>
      <c r="I60" s="352">
        <f ca="1">_xlfn.XLOOKUP(G60,'Case Type'!A:A,'Case Type'!H:H)*(H60/F60)</f>
        <v>0.22024214016</v>
      </c>
      <c r="J60" s="352">
        <f ca="1" t="shared" si="2"/>
        <v>0</v>
      </c>
      <c r="K60" s="352">
        <f ca="1">_xlfn.XLOOKUP(G60,'Case Type'!A:A,'Case Type'!H:H)*(J60/F60)</f>
        <v>0</v>
      </c>
    </row>
    <row r="61" ht="15" spans="1:11">
      <c r="A61" s="352" t="str">
        <f>Sum!A60</f>
        <v>ZM005-PL</v>
      </c>
      <c r="B61" s="353">
        <f ca="1">_xlfn.XLOOKUP(A61,Sum_LA!A:A,Sum_LA!V:V)</f>
        <v>0</v>
      </c>
      <c r="C61" s="352">
        <f ca="1">MAX(0,MIN(_xlfn.XLOOKUP(A61,Sum_LA!A:A,Sum_LA!L:L),_xlfn.XLOOKUP(A61,Sum_LA!A:A,Sum_LA!M:M)-_xlfn.XLOOKUP(A61,Sum_LA!A:A,Sum_LA!O:O)*(_xlfn.XLOOKUP(A61,Sum_LA!A:A,Sum_LA!R:R)+_xlfn.XLOOKUP(A61,Sum_LA!A:A,Sum_LA!S:S)+2)-_xlfn.XLOOKUP(A61,Sum_LA!A:A,Sum_LA!T:T)))</f>
        <v>1024</v>
      </c>
      <c r="D61" s="352">
        <f ca="1">_xlfn.XLOOKUP(A61,Sum_HOU!A:A,Sum_HOU!V:V)</f>
        <v>416</v>
      </c>
      <c r="E61" s="352">
        <f ca="1">MAX(0,MIN(_xlfn.XLOOKUP(A61,Sum_HOU!A:A,Sum_HOU!L:L),_xlfn.XLOOKUP(A61,Sum_HOU!A:A,Sum_HOU!M:M)-_xlfn.XLOOKUP(A61,Sum_HOU!A:A,Sum_HOU!O:O)*(_xlfn.XLOOKUP(A61,Sum_HOU!A:A,Sum_HOU!R:R)+_xlfn.XLOOKUP(A61,Sum_HOU!A:A,Sum_HOU!S:S)+2)-_xlfn.XLOOKUP(A61,Sum_HOU!A:A,Sum_HOU!T:T)))</f>
        <v>0</v>
      </c>
      <c r="F61" s="352">
        <f ca="1">_xlfn.XLOOKUP(A61,Sum!A:A,Sum!Y:Y)</f>
        <v>32</v>
      </c>
      <c r="G61" s="352" t="str">
        <f ca="1">_xlfn.XLOOKUP(A61,Sum!A:A,Sum!AA:AA)</f>
        <v>A</v>
      </c>
      <c r="H61" s="352">
        <f ca="1" t="shared" si="1"/>
        <v>416</v>
      </c>
      <c r="I61" s="352">
        <f ca="1">_xlfn.XLOOKUP(G61,'Case Type'!A:A,'Case Type'!H:H)*(H61/F61)</f>
        <v>1.43157391104</v>
      </c>
      <c r="J61" s="352">
        <f ca="1" t="shared" si="2"/>
        <v>0</v>
      </c>
      <c r="K61" s="352">
        <f ca="1">_xlfn.XLOOKUP(G61,'Case Type'!A:A,'Case Type'!H:H)*(J61/F61)</f>
        <v>0</v>
      </c>
    </row>
    <row r="62" ht="15" spans="1:11">
      <c r="A62" s="352" t="str">
        <f>Sum!A61</f>
        <v>ZM1.2-PL-BL</v>
      </c>
      <c r="B62" s="353">
        <f ca="1">_xlfn.XLOOKUP(A62,Sum_LA!A:A,Sum_LA!V:V)</f>
        <v>0</v>
      </c>
      <c r="C62" s="352">
        <f ca="1">MAX(0,MIN(_xlfn.XLOOKUP(A62,Sum_LA!A:A,Sum_LA!L:L),_xlfn.XLOOKUP(A62,Sum_LA!A:A,Sum_LA!M:M)-_xlfn.XLOOKUP(A62,Sum_LA!A:A,Sum_LA!O:O)*(_xlfn.XLOOKUP(A62,Sum_LA!A:A,Sum_LA!R:R)+_xlfn.XLOOKUP(A62,Sum_LA!A:A,Sum_LA!S:S)+2)-_xlfn.XLOOKUP(A62,Sum_LA!A:A,Sum_LA!T:T)))</f>
        <v>1288</v>
      </c>
      <c r="D62" s="352">
        <f ca="1">_xlfn.XLOOKUP(A62,Sum_HOU!A:A,Sum_HOU!V:V)</f>
        <v>420</v>
      </c>
      <c r="E62" s="352">
        <f ca="1">MAX(0,MIN(_xlfn.XLOOKUP(A62,Sum_HOU!A:A,Sum_HOU!L:L),_xlfn.XLOOKUP(A62,Sum_HOU!A:A,Sum_HOU!M:M)-_xlfn.XLOOKUP(A62,Sum_HOU!A:A,Sum_HOU!O:O)*(_xlfn.XLOOKUP(A62,Sum_HOU!A:A,Sum_HOU!R:R)+_xlfn.XLOOKUP(A62,Sum_HOU!A:A,Sum_HOU!S:S)+2)-_xlfn.XLOOKUP(A62,Sum_HOU!A:A,Sum_HOU!T:T)))</f>
        <v>0</v>
      </c>
      <c r="F62" s="352">
        <f ca="1">_xlfn.XLOOKUP(A62,Sum!A:A,Sum!Y:Y)</f>
        <v>14</v>
      </c>
      <c r="G62" s="352" t="str">
        <f ca="1">_xlfn.XLOOKUP(A62,Sum!A:A,Sum!AA:AA)</f>
        <v>C</v>
      </c>
      <c r="H62" s="352">
        <f ca="1" t="shared" si="1"/>
        <v>420</v>
      </c>
      <c r="I62" s="352">
        <f ca="1">_xlfn.XLOOKUP(G62,'Case Type'!A:A,'Case Type'!H:H)*(H62/F62)</f>
        <v>4.719474432</v>
      </c>
      <c r="J62" s="352">
        <f ca="1" t="shared" si="2"/>
        <v>0</v>
      </c>
      <c r="K62" s="352">
        <f ca="1">_xlfn.XLOOKUP(G62,'Case Type'!A:A,'Case Type'!H:H)*(J62/F62)</f>
        <v>0</v>
      </c>
    </row>
    <row r="63" ht="15" spans="1:11">
      <c r="A63" s="352" t="str">
        <f>Sum!A62</f>
        <v>ZM1.2-RD-GN</v>
      </c>
      <c r="B63" s="353">
        <f ca="1">_xlfn.XLOOKUP(A63,Sum_LA!A:A,Sum_LA!V:V)</f>
        <v>0</v>
      </c>
      <c r="C63" s="352">
        <f ca="1">MAX(0,MIN(_xlfn.XLOOKUP(A63,Sum_LA!A:A,Sum_LA!L:L),_xlfn.XLOOKUP(A63,Sum_LA!A:A,Sum_LA!M:M)-_xlfn.XLOOKUP(A63,Sum_LA!A:A,Sum_LA!O:O)*(_xlfn.XLOOKUP(A63,Sum_LA!A:A,Sum_LA!R:R)+_xlfn.XLOOKUP(A63,Sum_LA!A:A,Sum_LA!S:S)+2)-_xlfn.XLOOKUP(A63,Sum_LA!A:A,Sum_LA!T:T)))</f>
        <v>630</v>
      </c>
      <c r="D63" s="352">
        <f ca="1">_xlfn.XLOOKUP(A63,Sum_HOU!A:A,Sum_HOU!V:V)</f>
        <v>14</v>
      </c>
      <c r="E63" s="352">
        <f ca="1">MAX(0,MIN(_xlfn.XLOOKUP(A63,Sum_HOU!A:A,Sum_HOU!L:L),_xlfn.XLOOKUP(A63,Sum_HOU!A:A,Sum_HOU!M:M)-_xlfn.XLOOKUP(A63,Sum_HOU!A:A,Sum_HOU!O:O)*(_xlfn.XLOOKUP(A63,Sum_HOU!A:A,Sum_HOU!R:R)+_xlfn.XLOOKUP(A63,Sum_HOU!A:A,Sum_HOU!S:S)+2)-_xlfn.XLOOKUP(A63,Sum_HOU!A:A,Sum_HOU!T:T)))</f>
        <v>0</v>
      </c>
      <c r="F63" s="352">
        <f ca="1">_xlfn.XLOOKUP(A63,Sum!A:A,Sum!Y:Y)</f>
        <v>14</v>
      </c>
      <c r="G63" s="352" t="str">
        <f ca="1">_xlfn.XLOOKUP(A63,Sum!A:A,Sum!AA:AA)</f>
        <v>C</v>
      </c>
      <c r="H63" s="352">
        <f ca="1" t="shared" si="1"/>
        <v>14</v>
      </c>
      <c r="I63" s="352">
        <f ca="1">_xlfn.XLOOKUP(G63,'Case Type'!A:A,'Case Type'!H:H)*(H63/F63)</f>
        <v>0.1573158144</v>
      </c>
      <c r="J63" s="352">
        <f ca="1" t="shared" si="2"/>
        <v>0</v>
      </c>
      <c r="K63" s="352">
        <f ca="1">_xlfn.XLOOKUP(G63,'Case Type'!A:A,'Case Type'!H:H)*(J63/F63)</f>
        <v>0</v>
      </c>
    </row>
    <row r="64" ht="15" spans="1:11">
      <c r="A64" s="352">
        <f>Sum!A63</f>
        <v>0</v>
      </c>
      <c r="B64" s="353"/>
      <c r="C64" s="352"/>
      <c r="D64" s="352"/>
      <c r="E64" s="352"/>
      <c r="F64" s="352"/>
      <c r="G64" s="352"/>
      <c r="H64" s="352"/>
      <c r="I64" s="352"/>
      <c r="J64" s="352"/>
      <c r="K64" s="352"/>
    </row>
    <row r="65" ht="15" spans="2:2">
      <c r="B65" s="354"/>
    </row>
    <row r="66" ht="15" spans="2:2">
      <c r="B66" s="354"/>
    </row>
    <row r="67" ht="15" spans="2:2">
      <c r="B67" s="354"/>
    </row>
    <row r="68" ht="15" spans="2:2">
      <c r="B68" s="354"/>
    </row>
  </sheetData>
  <sheetProtection formatCells="0" formatColumns="0" formatRows="0" insertRows="0" insertColumns="0" insertHyperlinks="0" deleteColumns="0" deleteRows="0" sort="0" autoFilter="0" pivotTables="0"/>
  <mergeCells count="7">
    <mergeCell ref="B1:C1"/>
    <mergeCell ref="D1:E1"/>
    <mergeCell ref="H1:I1"/>
    <mergeCell ref="J1:K1"/>
    <mergeCell ref="A1:A2"/>
    <mergeCell ref="F1:F2"/>
    <mergeCell ref="G1:G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EEBF7"/>
    <outlinePr summaryBelow="0" summaryRight="0"/>
  </sheetPr>
  <dimension ref="A1:Z246"/>
  <sheetViews>
    <sheetView zoomScale="58" zoomScaleNormal="58" topLeftCell="B1" workbookViewId="0">
      <pane ySplit="1" topLeftCell="A2" activePane="bottomLeft" state="frozen"/>
      <selection/>
      <selection pane="bottomLeft" activeCell="B2" sqref="B2:B246"/>
    </sheetView>
  </sheetViews>
  <sheetFormatPr defaultColWidth="12.6285714285714" defaultRowHeight="12.75"/>
  <cols>
    <col min="1" max="1" width="8.40952380952381" style="295" customWidth="1"/>
    <col min="2" max="2" width="27.7904761904762" style="295" customWidth="1"/>
    <col min="3" max="3" width="15.5047619047619" style="296" customWidth="1"/>
    <col min="4" max="4" width="12.1428571428571" style="297" customWidth="1"/>
    <col min="5" max="5" width="22.2857142857143" style="295" customWidth="1"/>
    <col min="6" max="6" width="6.35238095238095" style="298" customWidth="1"/>
    <col min="7" max="8" width="8.40952380952381" style="299" customWidth="1"/>
    <col min="9" max="11" width="8.40952380952381" style="300" customWidth="1"/>
    <col min="12" max="12" width="9.85714285714286" style="295" customWidth="1"/>
    <col min="13" max="13" width="9.71428571428571" style="295" customWidth="1"/>
    <col min="14" max="14" width="11" style="301" customWidth="1"/>
    <col min="15" max="15" width="9.42857142857143" style="295" customWidth="1"/>
    <col min="16" max="18" width="15.3142857142857" style="295" customWidth="1"/>
    <col min="19" max="19" width="5.85714285714286" style="295" customWidth="1"/>
    <col min="20" max="22" width="10" style="295" customWidth="1"/>
    <col min="23" max="16384" width="12.6285714285714" style="295"/>
  </cols>
  <sheetData>
    <row r="1" customFormat="1" customHeight="1" spans="1:22">
      <c r="A1" s="302" t="s">
        <v>110</v>
      </c>
      <c r="B1" s="85" t="s">
        <v>1</v>
      </c>
      <c r="C1" s="303" t="s">
        <v>111</v>
      </c>
      <c r="D1" s="304" t="s">
        <v>112</v>
      </c>
      <c r="E1" s="302" t="s">
        <v>113</v>
      </c>
      <c r="F1" s="305" t="s">
        <v>114</v>
      </c>
      <c r="G1" s="290" t="s">
        <v>115</v>
      </c>
      <c r="H1" s="306" t="s">
        <v>116</v>
      </c>
      <c r="I1" s="307" t="s">
        <v>117</v>
      </c>
      <c r="J1" s="294" t="s">
        <v>118</v>
      </c>
      <c r="K1" s="251" t="s">
        <v>119</v>
      </c>
      <c r="L1" s="302" t="s">
        <v>25</v>
      </c>
      <c r="M1" s="302" t="s">
        <v>23</v>
      </c>
      <c r="N1" s="305" t="s">
        <v>120</v>
      </c>
      <c r="O1" s="302" t="s">
        <v>121</v>
      </c>
      <c r="P1" s="302" t="s">
        <v>122</v>
      </c>
      <c r="Q1" s="302" t="s">
        <v>123</v>
      </c>
      <c r="R1" s="302" t="s">
        <v>124</v>
      </c>
      <c r="S1" s="302" t="s">
        <v>125</v>
      </c>
      <c r="T1" s="302" t="s">
        <v>126</v>
      </c>
      <c r="U1" s="302" t="s">
        <v>127</v>
      </c>
      <c r="V1" s="302" t="s">
        <v>128</v>
      </c>
    </row>
    <row r="2" customFormat="1" spans="1:22">
      <c r="A2" s="308">
        <v>46023</v>
      </c>
      <c r="B2" s="86" t="str">
        <f>_xlfn.XLOOKUP(C2,'Product List'!B:B,'Product List'!I:I)</f>
        <v>MINI/MOE RUFFLE BOWL</v>
      </c>
      <c r="C2" s="135" t="s">
        <v>78</v>
      </c>
      <c r="D2" s="234">
        <f>VLOOKUP(C2,'Product List'!B:C,2,0)</f>
        <v>850030338969</v>
      </c>
      <c r="E2" s="201" t="s">
        <v>129</v>
      </c>
      <c r="F2" s="125">
        <v>240</v>
      </c>
      <c r="G2" s="309" t="s">
        <v>130</v>
      </c>
      <c r="H2" s="309" t="s">
        <v>130</v>
      </c>
      <c r="I2" s="251">
        <v>46063</v>
      </c>
      <c r="J2" s="251">
        <v>46063</v>
      </c>
      <c r="K2" s="309" t="s">
        <v>130</v>
      </c>
      <c r="L2" s="124" t="str" cm="1">
        <f t="array" ref="L2">_xlfn.XLOOKUP(1,('Case Pack'!A:A=C2)*('Case Pack'!F:F&lt;=A2),'Case Pack'!G:G,"未找到箱型")</f>
        <v>B</v>
      </c>
      <c r="M2" s="124" cm="1">
        <f t="array" ref="M2">_xlfn.XLOOKUP(1,('Case Pack'!A:A=C2)*('Case Pack'!F:F&lt;=A2),'Case Pack'!D:D,"未找到箱规")</f>
        <v>48</v>
      </c>
      <c r="N2" s="125">
        <f t="shared" ref="N2:N65" si="0">F2/M2</f>
        <v>5</v>
      </c>
      <c r="O2" s="310">
        <f>_xlfn.XLOOKUP(L2,'Case Type'!A:A,'Case Type'!H:H)*N2</f>
        <v>0.3670702336</v>
      </c>
      <c r="P2" s="86" t="s">
        <v>130</v>
      </c>
      <c r="Q2" s="86" t="s">
        <v>130</v>
      </c>
      <c r="R2" s="86" t="s">
        <v>130</v>
      </c>
      <c r="S2" s="86">
        <f>_xlfn.XLOOKUP(C2,'Product List'!B:B,'Product List'!R:R)</f>
        <v>1.34</v>
      </c>
      <c r="T2" s="86">
        <f t="shared" ref="T2:T65" si="1">S2*F2</f>
        <v>321.6</v>
      </c>
      <c r="U2" s="86" t="s">
        <v>92</v>
      </c>
      <c r="V2" s="86"/>
    </row>
    <row r="3" customFormat="1" spans="1:22">
      <c r="A3" s="308">
        <v>46023</v>
      </c>
      <c r="B3" s="86" t="str">
        <f>_xlfn.XLOOKUP(C3,'Product List'!B:B,'Product List'!I:I)</f>
        <v>MINI/MOE WOODLAND POTTY</v>
      </c>
      <c r="C3" s="135" t="s">
        <v>79</v>
      </c>
      <c r="D3" s="234">
        <f>VLOOKUP(C3,'Product List'!B:C,2,0)</f>
        <v>760762457077</v>
      </c>
      <c r="E3" s="201" t="s">
        <v>129</v>
      </c>
      <c r="F3" s="125">
        <v>756</v>
      </c>
      <c r="G3" s="309" t="s">
        <v>130</v>
      </c>
      <c r="H3" s="309" t="s">
        <v>130</v>
      </c>
      <c r="I3" s="251">
        <v>46063</v>
      </c>
      <c r="J3" s="251">
        <v>46063</v>
      </c>
      <c r="K3" s="309" t="s">
        <v>130</v>
      </c>
      <c r="L3" s="124" t="str" cm="1">
        <f t="array" ref="L3">_xlfn.XLOOKUP(1,('Case Pack'!A:A=C3)*('Case Pack'!F:F&lt;=A3),'Case Pack'!G:G,"未找到箱规")</f>
        <v>C</v>
      </c>
      <c r="M3" s="124" cm="1">
        <f t="array" ref="M3">_xlfn.XLOOKUP(1,('Case Pack'!A:A=C3)*('Case Pack'!F:F&lt;=A3),'Case Pack'!D:D,"未找到箱规")</f>
        <v>36</v>
      </c>
      <c r="N3" s="125">
        <f t="shared" si="0"/>
        <v>21</v>
      </c>
      <c r="O3" s="310">
        <f>_xlfn.XLOOKUP(L3,'Case Type'!A:A,'Case Type'!H:H)*N3</f>
        <v>3.3036321024</v>
      </c>
      <c r="P3" s="86" t="s">
        <v>130</v>
      </c>
      <c r="Q3" s="86" t="s">
        <v>130</v>
      </c>
      <c r="R3" s="86" t="s">
        <v>130</v>
      </c>
      <c r="S3" s="86">
        <f>_xlfn.XLOOKUP(C3,'Product List'!B:B,'Product List'!R:R)</f>
        <v>1.19</v>
      </c>
      <c r="T3" s="86">
        <f t="shared" si="1"/>
        <v>899.64</v>
      </c>
      <c r="U3" s="86" t="s">
        <v>92</v>
      </c>
      <c r="V3" s="86"/>
    </row>
    <row r="4" customFormat="1" spans="1:22">
      <c r="A4" s="308">
        <v>46023</v>
      </c>
      <c r="B4" s="86" t="str">
        <f>_xlfn.XLOOKUP(C4,'Product List'!B:B,'Product List'!I:I)</f>
        <v>MINI/MOE BENDABLE BIRCHWOOD FENCE</v>
      </c>
      <c r="C4" s="135" t="s">
        <v>62</v>
      </c>
      <c r="D4" s="234">
        <f>VLOOKUP(C4,'Product List'!B:C,2,0)</f>
        <v>850030338150</v>
      </c>
      <c r="E4" s="201" t="s">
        <v>129</v>
      </c>
      <c r="F4" s="125">
        <v>1224</v>
      </c>
      <c r="G4" s="309" t="s">
        <v>130</v>
      </c>
      <c r="H4" s="309" t="s">
        <v>130</v>
      </c>
      <c r="I4" s="251">
        <v>46063</v>
      </c>
      <c r="J4" s="251">
        <v>46063</v>
      </c>
      <c r="K4" s="309" t="s">
        <v>130</v>
      </c>
      <c r="L4" s="124" t="str" cm="1">
        <f t="array" ref="L4">_xlfn.XLOOKUP(1,('Case Pack'!A:A=C4)*('Case Pack'!F:F&lt;=A4),'Case Pack'!G:G,"未找到箱规")</f>
        <v>F</v>
      </c>
      <c r="M4" s="124" cm="1">
        <f t="array" ref="M4">_xlfn.XLOOKUP(1,('Case Pack'!A:A=C4)*('Case Pack'!F:F&lt;=A4),'Case Pack'!D:D,"未找到箱规")</f>
        <v>32</v>
      </c>
      <c r="N4" s="125">
        <f t="shared" si="0"/>
        <v>38.25</v>
      </c>
      <c r="O4" s="310">
        <f>_xlfn.XLOOKUP(L4,'Case Type'!A:A,'Case Type'!H:H)*N4</f>
        <v>1.40404364352</v>
      </c>
      <c r="P4" s="86" t="s">
        <v>130</v>
      </c>
      <c r="Q4" s="86" t="s">
        <v>130</v>
      </c>
      <c r="R4" s="86" t="s">
        <v>130</v>
      </c>
      <c r="S4" s="86">
        <f>_xlfn.XLOOKUP(C4,'Product List'!B:B,'Product List'!R:R)</f>
        <v>3.4</v>
      </c>
      <c r="T4" s="86">
        <f t="shared" si="1"/>
        <v>4161.6</v>
      </c>
      <c r="U4" s="86" t="s">
        <v>92</v>
      </c>
      <c r="V4" s="86"/>
    </row>
    <row r="5" customFormat="1" spans="1:22">
      <c r="A5" s="308">
        <v>46023</v>
      </c>
      <c r="B5" s="86" t="str">
        <f>_xlfn.XLOOKUP(C5,'Product List'!B:B,'Product List'!I:I)</f>
        <v>MINI/MOE SILENT CRSTL RUN WHEEL XL 11.5 1EA</v>
      </c>
      <c r="C5" s="135" t="s">
        <v>76</v>
      </c>
      <c r="D5" s="234">
        <f>VLOOKUP(C5,'Product List'!B:C,2,0)</f>
        <v>850030338518</v>
      </c>
      <c r="E5" s="201" t="s">
        <v>129</v>
      </c>
      <c r="F5" s="125">
        <v>1324</v>
      </c>
      <c r="G5" s="309" t="s">
        <v>130</v>
      </c>
      <c r="H5" s="309" t="s">
        <v>130</v>
      </c>
      <c r="I5" s="251">
        <v>46063</v>
      </c>
      <c r="J5" s="251">
        <v>46063</v>
      </c>
      <c r="K5" s="309" t="s">
        <v>130</v>
      </c>
      <c r="L5" s="124" t="str" cm="1">
        <f t="array" ref="L5">_xlfn.XLOOKUP(1,('Case Pack'!A:A=C5)*('Case Pack'!F:F&lt;=A5),'Case Pack'!G:G,"未找到箱规")</f>
        <v>C</v>
      </c>
      <c r="M5" s="124" cm="1">
        <f t="array" ref="M5">_xlfn.XLOOKUP(1,('Case Pack'!A:A=C5)*('Case Pack'!F:F&lt;=A5),'Case Pack'!D:D,"未找到箱规")</f>
        <v>3</v>
      </c>
      <c r="N5" s="125">
        <f t="shared" si="0"/>
        <v>441.333333333333</v>
      </c>
      <c r="O5" s="310">
        <f>_xlfn.XLOOKUP(L5,'Case Type'!A:A,'Case Type'!H:H)*N5</f>
        <v>69.4287127552</v>
      </c>
      <c r="P5" s="86" t="s">
        <v>130</v>
      </c>
      <c r="Q5" s="86" t="s">
        <v>130</v>
      </c>
      <c r="R5" s="86" t="s">
        <v>130</v>
      </c>
      <c r="S5" s="86">
        <f>_xlfn.XLOOKUP(C5,'Product List'!B:B,'Product List'!R:R)</f>
        <v>10.42</v>
      </c>
      <c r="T5" s="86">
        <f t="shared" si="1"/>
        <v>13796.08</v>
      </c>
      <c r="U5" s="86" t="s">
        <v>92</v>
      </c>
      <c r="V5" s="86"/>
    </row>
    <row r="6" customFormat="1" spans="1:22">
      <c r="A6" s="308">
        <v>46023</v>
      </c>
      <c r="B6" s="86" t="str">
        <f>_xlfn.XLOOKUP(C6,'Product List'!B:B,'Product List'!I:I)</f>
        <v>D. MMO-COTTAGE VIEW CAGE</v>
      </c>
      <c r="C6" s="135" t="s">
        <v>64</v>
      </c>
      <c r="D6" s="234">
        <f>VLOOKUP(C6,'Product List'!B:C,2,0)</f>
        <v>850030338730</v>
      </c>
      <c r="E6" s="201" t="s">
        <v>129</v>
      </c>
      <c r="F6" s="125">
        <v>761</v>
      </c>
      <c r="G6" s="309" t="s">
        <v>130</v>
      </c>
      <c r="H6" s="309" t="s">
        <v>130</v>
      </c>
      <c r="I6" s="251">
        <v>46063</v>
      </c>
      <c r="J6" s="251">
        <v>46063</v>
      </c>
      <c r="K6" s="309" t="s">
        <v>130</v>
      </c>
      <c r="L6" s="124" t="str" cm="1">
        <f t="array" ref="L6">_xlfn.XLOOKUP(1,('Case Pack'!A:A=C6)*('Case Pack'!F:F&lt;=A6),'Case Pack'!G:G,"未找到箱规")</f>
        <v>S3</v>
      </c>
      <c r="M6" s="124" cm="1">
        <f t="array" ref="M6">_xlfn.XLOOKUP(1,('Case Pack'!A:A=C6)*('Case Pack'!F:F&lt;=A6),'Case Pack'!D:D,"未找到箱规")</f>
        <v>1</v>
      </c>
      <c r="N6" s="125">
        <f t="shared" si="0"/>
        <v>761</v>
      </c>
      <c r="O6" s="310">
        <f>_xlfn.XLOOKUP(L6,'Case Type'!A:A,'Case Type'!H:H)*N6</f>
        <v>108.264160946744</v>
      </c>
      <c r="P6" s="86" t="s">
        <v>130</v>
      </c>
      <c r="Q6" s="86" t="s">
        <v>130</v>
      </c>
      <c r="R6" s="86" t="s">
        <v>130</v>
      </c>
      <c r="S6" s="86">
        <f>_xlfn.XLOOKUP(C6,'Product List'!B:B,'Product List'!R:R)</f>
        <v>28.56</v>
      </c>
      <c r="T6" s="86">
        <f t="shared" si="1"/>
        <v>21734.16</v>
      </c>
      <c r="U6" s="86" t="s">
        <v>92</v>
      </c>
      <c r="V6" s="86"/>
    </row>
    <row r="7" customFormat="1" spans="1:22">
      <c r="A7" s="308">
        <v>46023</v>
      </c>
      <c r="B7" s="86" t="str">
        <f>_xlfn.XLOOKUP(C7,'Product List'!B:B,'Product List'!I:I)</f>
        <v>MINI/MOE TV VIEWING CAGE</v>
      </c>
      <c r="C7" s="135" t="s">
        <v>50</v>
      </c>
      <c r="D7" s="234">
        <f>VLOOKUP(C7,'Product List'!B:C,2,0)</f>
        <v>850030338761</v>
      </c>
      <c r="E7" s="201" t="s">
        <v>129</v>
      </c>
      <c r="F7" s="125">
        <v>2218</v>
      </c>
      <c r="G7" s="309" t="s">
        <v>130</v>
      </c>
      <c r="H7" s="309" t="s">
        <v>130</v>
      </c>
      <c r="I7" s="251">
        <v>46063</v>
      </c>
      <c r="J7" s="251">
        <v>46063</v>
      </c>
      <c r="K7" s="309" t="s">
        <v>130</v>
      </c>
      <c r="L7" s="124" t="str" cm="1">
        <f t="array" ref="L7">_xlfn.XLOOKUP(1,('Case Pack'!A:A=C7)*('Case Pack'!F:F&lt;=A7),'Case Pack'!G:G,"未找到箱规")</f>
        <v>S1</v>
      </c>
      <c r="M7" s="124" cm="1">
        <f t="array" ref="M7">_xlfn.XLOOKUP(1,('Case Pack'!A:A=C7)*('Case Pack'!F:F&lt;=A7),'Case Pack'!D:D,"未找到箱规")</f>
        <v>1</v>
      </c>
      <c r="N7" s="125">
        <f t="shared" si="0"/>
        <v>2218</v>
      </c>
      <c r="O7" s="310">
        <f>_xlfn.XLOOKUP(L7,'Case Type'!A:A,'Case Type'!H:H)*N7</f>
        <v>164.137045171482</v>
      </c>
      <c r="P7" s="86" t="s">
        <v>130</v>
      </c>
      <c r="Q7" s="86" t="s">
        <v>130</v>
      </c>
      <c r="R7" s="86" t="s">
        <v>130</v>
      </c>
      <c r="S7" s="86">
        <f>_xlfn.XLOOKUP(C7,'Product List'!B:B,'Product List'!R:R)</f>
        <v>24.09</v>
      </c>
      <c r="T7" s="86">
        <f t="shared" si="1"/>
        <v>53431.62</v>
      </c>
      <c r="U7" s="86" t="s">
        <v>92</v>
      </c>
      <c r="V7" s="86"/>
    </row>
    <row r="8" customFormat="1" spans="1:22">
      <c r="A8" s="308">
        <v>46023</v>
      </c>
      <c r="B8" s="86" t="str">
        <f>_xlfn.XLOOKUP(C8,'Product List'!B:B,'Product List'!I:I)</f>
        <v>MINI/MOE TULIP WATER BOTTLE</v>
      </c>
      <c r="C8" s="135" t="s">
        <v>52</v>
      </c>
      <c r="D8" s="234">
        <f>VLOOKUP(C8,'Product List'!B:C,2,0)</f>
        <v>850062627567</v>
      </c>
      <c r="E8" s="201" t="s">
        <v>129</v>
      </c>
      <c r="F8" s="125">
        <v>1260</v>
      </c>
      <c r="G8" s="309" t="s">
        <v>130</v>
      </c>
      <c r="H8" s="309" t="s">
        <v>130</v>
      </c>
      <c r="I8" s="251">
        <v>46063</v>
      </c>
      <c r="J8" s="251">
        <v>46063</v>
      </c>
      <c r="K8" s="309" t="s">
        <v>130</v>
      </c>
      <c r="L8" s="124" t="str" cm="1">
        <f t="array" ref="L8">_xlfn.XLOOKUP(1,('Case Pack'!A:A=C8)*('Case Pack'!F:F&lt;=A8),'Case Pack'!G:G,"未找到箱规")</f>
        <v>C</v>
      </c>
      <c r="M8" s="124" cm="1">
        <f t="array" ref="M8">_xlfn.XLOOKUP(1,('Case Pack'!A:A=C8)*('Case Pack'!F:F&lt;=A8),'Case Pack'!D:D,"未找到箱规")</f>
        <v>60</v>
      </c>
      <c r="N8" s="125">
        <f t="shared" si="0"/>
        <v>21</v>
      </c>
      <c r="O8" s="310">
        <f>_xlfn.XLOOKUP(L8,'Case Type'!A:A,'Case Type'!H:H)*N8</f>
        <v>3.3036321024</v>
      </c>
      <c r="P8" s="86" t="s">
        <v>130</v>
      </c>
      <c r="Q8" s="86" t="s">
        <v>130</v>
      </c>
      <c r="R8" s="86" t="s">
        <v>130</v>
      </c>
      <c r="S8" s="86">
        <f>_xlfn.XLOOKUP(C8,'Product List'!B:B,'Product List'!R:R)</f>
        <v>0.73</v>
      </c>
      <c r="T8" s="86">
        <f t="shared" si="1"/>
        <v>919.8</v>
      </c>
      <c r="U8" s="86" t="s">
        <v>92</v>
      </c>
      <c r="V8" s="86"/>
    </row>
    <row r="9" customFormat="1" spans="1:22">
      <c r="A9" s="308">
        <v>46023</v>
      </c>
      <c r="B9" s="86" t="str">
        <f>_xlfn.XLOOKUP(C9,'Product List'!B:B,'Product List'!I:I)</f>
        <v>MINI/MOE SILENT CRSTL RUN WHEEL LG 8.5-Green</v>
      </c>
      <c r="C9" s="135" t="s">
        <v>28</v>
      </c>
      <c r="D9" s="234">
        <f>VLOOKUP(C9,'Product List'!B:C,2,0)</f>
        <v>698746777135</v>
      </c>
      <c r="E9" s="201" t="s">
        <v>129</v>
      </c>
      <c r="F9" s="125">
        <v>1820</v>
      </c>
      <c r="G9" s="309" t="s">
        <v>130</v>
      </c>
      <c r="H9" s="309" t="s">
        <v>130</v>
      </c>
      <c r="I9" s="251">
        <v>46063</v>
      </c>
      <c r="J9" s="251">
        <v>46063</v>
      </c>
      <c r="K9" s="309" t="s">
        <v>130</v>
      </c>
      <c r="L9" s="124" t="str" cm="1">
        <f t="array" ref="L9">_xlfn.XLOOKUP(1,('Case Pack'!A:A=C9)*('Case Pack'!F:F&lt;=A9),'Case Pack'!G:G,"未找到箱规")</f>
        <v>C</v>
      </c>
      <c r="M9" s="124" cm="1">
        <f t="array" ref="M9">_xlfn.XLOOKUP(1,('Case Pack'!A:A=C9)*('Case Pack'!F:F&lt;=A9),'Case Pack'!D:D,"未找到箱规")</f>
        <v>8</v>
      </c>
      <c r="N9" s="125">
        <f t="shared" si="0"/>
        <v>227.5</v>
      </c>
      <c r="O9" s="310">
        <f>_xlfn.XLOOKUP(L9,'Case Type'!A:A,'Case Type'!H:H)*N9</f>
        <v>35.789347776</v>
      </c>
      <c r="P9" s="86" t="s">
        <v>130</v>
      </c>
      <c r="Q9" s="86" t="s">
        <v>130</v>
      </c>
      <c r="R9" s="86" t="s">
        <v>130</v>
      </c>
      <c r="S9" s="86">
        <f>_xlfn.XLOOKUP(C9,'Product List'!B:B,'Product List'!R:R)</f>
        <v>6.27</v>
      </c>
      <c r="T9" s="86">
        <f t="shared" si="1"/>
        <v>11411.4</v>
      </c>
      <c r="U9" s="86" t="s">
        <v>92</v>
      </c>
      <c r="V9" s="86"/>
    </row>
    <row r="10" customFormat="1" spans="1:22">
      <c r="A10" s="308">
        <v>46023</v>
      </c>
      <c r="B10" s="86" t="str">
        <f>_xlfn.XLOOKUP(C10,'Product List'!B:B,'Product List'!I:I)</f>
        <v>MMO-COTTON NESTING BALLS</v>
      </c>
      <c r="C10" s="135" t="s">
        <v>84</v>
      </c>
      <c r="D10" s="234">
        <f>VLOOKUP(C10,'Product List'!B:C,2,0)</f>
        <v>850030338198</v>
      </c>
      <c r="E10" s="201" t="s">
        <v>129</v>
      </c>
      <c r="F10" s="125">
        <v>1240</v>
      </c>
      <c r="G10" s="309" t="s">
        <v>130</v>
      </c>
      <c r="H10" s="309" t="s">
        <v>130</v>
      </c>
      <c r="I10" s="251">
        <v>46063</v>
      </c>
      <c r="J10" s="251">
        <v>46063</v>
      </c>
      <c r="K10" s="309" t="s">
        <v>130</v>
      </c>
      <c r="L10" s="124" t="str" cm="1">
        <f t="array" ref="L10">_xlfn.XLOOKUP(1,('Case Pack'!A:A=C10)*('Case Pack'!F:F&lt;=A10),'Case Pack'!G:G,"未找到箱规")</f>
        <v>A</v>
      </c>
      <c r="M10" s="124" cm="1">
        <f t="array" ref="M10">_xlfn.XLOOKUP(1,('Case Pack'!A:A=C10)*('Case Pack'!F:F&lt;=A10),'Case Pack'!D:D,"未找到箱规")</f>
        <v>32</v>
      </c>
      <c r="N10" s="125">
        <f t="shared" si="0"/>
        <v>38.75</v>
      </c>
      <c r="O10" s="310">
        <f>_xlfn.XLOOKUP(L10,'Case Type'!A:A,'Case Type'!H:H)*N10</f>
        <v>4.2671914656</v>
      </c>
      <c r="P10" s="86" t="s">
        <v>130</v>
      </c>
      <c r="Q10" s="86" t="s">
        <v>130</v>
      </c>
      <c r="R10" s="86" t="s">
        <v>130</v>
      </c>
      <c r="S10" s="86">
        <f>_xlfn.XLOOKUP(C10,'Product List'!B:B,'Product List'!R:R)</f>
        <v>1.64</v>
      </c>
      <c r="T10" s="86">
        <f t="shared" si="1"/>
        <v>2033.6</v>
      </c>
      <c r="U10" s="86" t="s">
        <v>92</v>
      </c>
      <c r="V10" s="86"/>
    </row>
    <row r="11" customFormat="1" spans="1:22">
      <c r="A11" s="308">
        <v>46023</v>
      </c>
      <c r="B11" s="86" t="str">
        <f>_xlfn.XLOOKUP(C11,'Product List'!B:B,'Product List'!I:I)</f>
        <v>MMO-BUBBLE WATER BOTTLE</v>
      </c>
      <c r="C11" s="135" t="s">
        <v>67</v>
      </c>
      <c r="D11" s="234">
        <f>VLOOKUP(C11,'Product List'!B:C,2,0)</f>
        <v>760762456971</v>
      </c>
      <c r="E11" s="201" t="s">
        <v>129</v>
      </c>
      <c r="F11" s="125">
        <v>1116</v>
      </c>
      <c r="G11" s="309" t="s">
        <v>130</v>
      </c>
      <c r="H11" s="309" t="s">
        <v>130</v>
      </c>
      <c r="I11" s="251">
        <v>46063</v>
      </c>
      <c r="J11" s="251">
        <v>46063</v>
      </c>
      <c r="K11" s="309" t="s">
        <v>130</v>
      </c>
      <c r="L11" s="124" t="str" cm="1">
        <f t="array" ref="L11">_xlfn.XLOOKUP(1,('Case Pack'!A:A=C11)*('Case Pack'!F:F&lt;=A11),'Case Pack'!G:G,"未找到箱规")</f>
        <v>C</v>
      </c>
      <c r="M11" s="124" cm="1">
        <f t="array" ref="M11">_xlfn.XLOOKUP(1,('Case Pack'!A:A=C11)*('Case Pack'!F:F&lt;=A11),'Case Pack'!D:D,"未找到箱规")</f>
        <v>42</v>
      </c>
      <c r="N11" s="125">
        <f t="shared" si="0"/>
        <v>26.5714285714286</v>
      </c>
      <c r="O11" s="310">
        <f>_xlfn.XLOOKUP(L11,'Case Type'!A:A,'Case Type'!H:H)*N11</f>
        <v>4.18010592548571</v>
      </c>
      <c r="P11" s="86" t="s">
        <v>130</v>
      </c>
      <c r="Q11" s="86" t="s">
        <v>130</v>
      </c>
      <c r="R11" s="86" t="s">
        <v>130</v>
      </c>
      <c r="S11" s="86">
        <f>_xlfn.XLOOKUP(C11,'Product List'!B:B,'Product List'!R:R)</f>
        <v>3.1</v>
      </c>
      <c r="T11" s="86">
        <f t="shared" si="1"/>
        <v>3459.6</v>
      </c>
      <c r="U11" s="86" t="s">
        <v>92</v>
      </c>
      <c r="V11" s="86"/>
    </row>
    <row r="12" customFormat="1" spans="1:22">
      <c r="A12" s="308">
        <v>46023</v>
      </c>
      <c r="B12" s="86" t="str">
        <f>_xlfn.XLOOKUP(C12,'Product List'!B:B,'Product List'!I:I)</f>
        <v>MMO-CLOUD WATER BOTTLE</v>
      </c>
      <c r="C12" s="135" t="s">
        <v>77</v>
      </c>
      <c r="D12" s="234">
        <f>VLOOKUP(C12,'Product List'!B:C,2,0)</f>
        <v>850030338112</v>
      </c>
      <c r="E12" s="201" t="s">
        <v>129</v>
      </c>
      <c r="F12" s="125">
        <v>1440</v>
      </c>
      <c r="G12" s="309" t="s">
        <v>130</v>
      </c>
      <c r="H12" s="309" t="s">
        <v>130</v>
      </c>
      <c r="I12" s="251">
        <v>46063</v>
      </c>
      <c r="J12" s="251">
        <v>46063</v>
      </c>
      <c r="K12" s="309" t="s">
        <v>130</v>
      </c>
      <c r="L12" s="124" t="str" cm="1">
        <f t="array" ref="L12">_xlfn.XLOOKUP(1,('Case Pack'!A:A=C12)*('Case Pack'!F:F&lt;=A12),'Case Pack'!G:G,"未找到箱规")</f>
        <v>A</v>
      </c>
      <c r="M12" s="124" cm="1">
        <f t="array" ref="M12">_xlfn.XLOOKUP(1,('Case Pack'!A:A=C12)*('Case Pack'!F:F&lt;=A12),'Case Pack'!D:D,"未找到箱规")</f>
        <v>50</v>
      </c>
      <c r="N12" s="125">
        <f t="shared" si="0"/>
        <v>28.8</v>
      </c>
      <c r="O12" s="310">
        <f>_xlfn.XLOOKUP(L12,'Case Type'!A:A,'Case Type'!H:H)*N12</f>
        <v>3.171486818304</v>
      </c>
      <c r="P12" s="86" t="s">
        <v>130</v>
      </c>
      <c r="Q12" s="86" t="s">
        <v>130</v>
      </c>
      <c r="R12" s="86" t="s">
        <v>130</v>
      </c>
      <c r="S12" s="86">
        <f>_xlfn.XLOOKUP(C12,'Product List'!B:B,'Product List'!R:R)</f>
        <v>0.62</v>
      </c>
      <c r="T12" s="86">
        <f t="shared" si="1"/>
        <v>892.8</v>
      </c>
      <c r="U12" s="86" t="s">
        <v>92</v>
      </c>
      <c r="V12" s="86"/>
    </row>
    <row r="13" customFormat="1" spans="1:22">
      <c r="A13" s="308">
        <v>46023</v>
      </c>
      <c r="B13" s="86" t="str">
        <f>_xlfn.XLOOKUP(C13,'Product List'!B:B,'Product List'!I:I)</f>
        <v>MMO-PAPER PEBBLES</v>
      </c>
      <c r="C13" s="135" t="s">
        <v>81</v>
      </c>
      <c r="D13" s="234">
        <f>VLOOKUP(C13,'Product List'!B:C,2,0)</f>
        <v>850067049258</v>
      </c>
      <c r="E13" s="201" t="s">
        <v>129</v>
      </c>
      <c r="F13" s="125">
        <v>1100</v>
      </c>
      <c r="G13" s="309" t="s">
        <v>130</v>
      </c>
      <c r="H13" s="309" t="s">
        <v>130</v>
      </c>
      <c r="I13" s="251">
        <v>46063</v>
      </c>
      <c r="J13" s="251">
        <v>46063</v>
      </c>
      <c r="K13" s="309" t="s">
        <v>130</v>
      </c>
      <c r="L13" s="124" t="str" cm="1">
        <f t="array" ref="L13">_xlfn.XLOOKUP(1,('Case Pack'!A:A=C13)*('Case Pack'!F:F&lt;=A13),'Case Pack'!G:G,"未找到箱规")</f>
        <v>B</v>
      </c>
      <c r="M13" s="124" cm="1">
        <f t="array" ref="M13">_xlfn.XLOOKUP(1,('Case Pack'!A:A=C13)*('Case Pack'!F:F&lt;=A13),'Case Pack'!D:D,"未找到箱规")</f>
        <v>12</v>
      </c>
      <c r="N13" s="125">
        <f t="shared" si="0"/>
        <v>91.6666666666667</v>
      </c>
      <c r="O13" s="310">
        <f>_xlfn.XLOOKUP(L13,'Case Type'!A:A,'Case Type'!H:H)*N13</f>
        <v>6.72962094933333</v>
      </c>
      <c r="P13" s="86" t="s">
        <v>130</v>
      </c>
      <c r="Q13" s="86" t="s">
        <v>130</v>
      </c>
      <c r="R13" s="86" t="s">
        <v>130</v>
      </c>
      <c r="S13" s="86">
        <f>_xlfn.XLOOKUP(C13,'Product List'!B:B,'Product List'!R:R)</f>
        <v>2.84</v>
      </c>
      <c r="T13" s="86">
        <f t="shared" si="1"/>
        <v>3124</v>
      </c>
      <c r="U13" s="86" t="s">
        <v>92</v>
      </c>
      <c r="V13" s="86"/>
    </row>
    <row r="14" customFormat="1" spans="1:22">
      <c r="A14" s="308">
        <v>46023</v>
      </c>
      <c r="B14" s="86" t="str">
        <f>_xlfn.XLOOKUP(C14,'Product List'!B:B,'Product List'!I:I)</f>
        <v>MMO-PAPER TWIST BLU/WHT</v>
      </c>
      <c r="C14" s="135" t="s">
        <v>68</v>
      </c>
      <c r="D14" s="234">
        <f>VLOOKUP(C14,'Product List'!B:C,2,0)</f>
        <v>850030338075</v>
      </c>
      <c r="E14" s="201" t="s">
        <v>129</v>
      </c>
      <c r="F14" s="125">
        <v>1242</v>
      </c>
      <c r="G14" s="309" t="s">
        <v>130</v>
      </c>
      <c r="H14" s="309" t="s">
        <v>130</v>
      </c>
      <c r="I14" s="251">
        <v>46063</v>
      </c>
      <c r="J14" s="251">
        <v>46063</v>
      </c>
      <c r="K14" s="309" t="s">
        <v>130</v>
      </c>
      <c r="L14" s="124" t="str" cm="1">
        <f t="array" ref="L14">_xlfn.XLOOKUP(1,('Case Pack'!A:A=C14)*('Case Pack'!F:F&lt;=A14),'Case Pack'!G:G,"未找到箱规")</f>
        <v>A</v>
      </c>
      <c r="M14" s="124" cm="1">
        <f t="array" ref="M14">_xlfn.XLOOKUP(1,('Case Pack'!A:A=C14)*('Case Pack'!F:F&lt;=A14),'Case Pack'!D:D,"未找到箱规")</f>
        <v>30</v>
      </c>
      <c r="N14" s="125">
        <f t="shared" si="0"/>
        <v>41.4</v>
      </c>
      <c r="O14" s="310">
        <f>_xlfn.XLOOKUP(L14,'Case Type'!A:A,'Case Type'!H:H)*N14</f>
        <v>4.559012301312</v>
      </c>
      <c r="P14" s="86" t="s">
        <v>130</v>
      </c>
      <c r="Q14" s="86" t="s">
        <v>130</v>
      </c>
      <c r="R14" s="86" t="s">
        <v>130</v>
      </c>
      <c r="S14" s="86">
        <f>_xlfn.XLOOKUP(C14,'Product List'!B:B,'Product List'!R:R)</f>
        <v>1.98</v>
      </c>
      <c r="T14" s="86">
        <f t="shared" si="1"/>
        <v>2459.16</v>
      </c>
      <c r="U14" s="86" t="s">
        <v>92</v>
      </c>
      <c r="V14" s="86"/>
    </row>
    <row r="15" customFormat="1" spans="1:22">
      <c r="A15" s="308">
        <v>46023</v>
      </c>
      <c r="B15" s="86" t="str">
        <f>_xlfn.XLOOKUP(C15,'Product List'!B:B,'Product List'!I:I)</f>
        <v>MINI/MOE RUFFLE BOWL</v>
      </c>
      <c r="C15" s="135" t="s">
        <v>78</v>
      </c>
      <c r="D15" s="234">
        <f>VLOOKUP(C15,'Product List'!B:C,2,0)</f>
        <v>850030338969</v>
      </c>
      <c r="E15" s="201" t="s">
        <v>129</v>
      </c>
      <c r="F15" s="125">
        <v>1472</v>
      </c>
      <c r="G15" s="309" t="s">
        <v>130</v>
      </c>
      <c r="H15" s="309" t="s">
        <v>130</v>
      </c>
      <c r="I15" s="251">
        <v>46063</v>
      </c>
      <c r="J15" s="251">
        <v>46063</v>
      </c>
      <c r="K15" s="309" t="s">
        <v>130</v>
      </c>
      <c r="L15" s="124" t="str" cm="1">
        <f t="array" ref="L15">_xlfn.XLOOKUP(1,('Case Pack'!A:A=C15)*('Case Pack'!F:F&lt;=A15),'Case Pack'!G:G,"未找到箱规")</f>
        <v>B</v>
      </c>
      <c r="M15" s="124" cm="1">
        <f t="array" ref="M15">_xlfn.XLOOKUP(1,('Case Pack'!A:A=C15)*('Case Pack'!F:F&lt;=A15),'Case Pack'!D:D,"未找到箱规")</f>
        <v>48</v>
      </c>
      <c r="N15" s="125">
        <f t="shared" si="0"/>
        <v>30.6666666666667</v>
      </c>
      <c r="O15" s="310">
        <f>_xlfn.XLOOKUP(L15,'Case Type'!A:A,'Case Type'!H:H)*N15</f>
        <v>2.25136409941333</v>
      </c>
      <c r="P15" s="86" t="s">
        <v>130</v>
      </c>
      <c r="Q15" s="86" t="s">
        <v>130</v>
      </c>
      <c r="R15" s="86" t="s">
        <v>130</v>
      </c>
      <c r="S15" s="86">
        <f>_xlfn.XLOOKUP(C15,'Product List'!B:B,'Product List'!R:R)</f>
        <v>1.34</v>
      </c>
      <c r="T15" s="86">
        <f t="shared" si="1"/>
        <v>1972.48</v>
      </c>
      <c r="U15" s="86" t="s">
        <v>92</v>
      </c>
      <c r="V15" s="86"/>
    </row>
    <row r="16" customFormat="1" spans="1:22">
      <c r="A16" s="308">
        <v>46023</v>
      </c>
      <c r="B16" s="86" t="str">
        <f>_xlfn.XLOOKUP(C16,'Product List'!B:B,'Product List'!I:I)</f>
        <v>MMO-STARFISH CASTLE</v>
      </c>
      <c r="C16" s="135" t="s">
        <v>60</v>
      </c>
      <c r="D16" s="234">
        <f>VLOOKUP(C16,'Product List'!B:C,2,0)</f>
        <v>850030338433</v>
      </c>
      <c r="E16" s="201" t="s">
        <v>129</v>
      </c>
      <c r="F16" s="125">
        <v>1008</v>
      </c>
      <c r="G16" s="309" t="s">
        <v>130</v>
      </c>
      <c r="H16" s="309" t="s">
        <v>130</v>
      </c>
      <c r="I16" s="251">
        <v>46063</v>
      </c>
      <c r="J16" s="251">
        <v>46063</v>
      </c>
      <c r="K16" s="309" t="s">
        <v>130</v>
      </c>
      <c r="L16" s="124" t="str" cm="1">
        <f t="array" ref="L16">_xlfn.XLOOKUP(1,('Case Pack'!A:A=C16)*('Case Pack'!F:F&lt;=A16),'Case Pack'!G:G,"未找到箱规")</f>
        <v>C</v>
      </c>
      <c r="M16" s="124" cm="1">
        <f t="array" ref="M16">_xlfn.XLOOKUP(1,('Case Pack'!A:A=C16)*('Case Pack'!F:F&lt;=A16),'Case Pack'!D:D,"未找到箱规")</f>
        <v>20</v>
      </c>
      <c r="N16" s="125">
        <f t="shared" si="0"/>
        <v>50.4</v>
      </c>
      <c r="O16" s="310">
        <f>_xlfn.XLOOKUP(L16,'Case Type'!A:A,'Case Type'!H:H)*N16</f>
        <v>7.92871704576</v>
      </c>
      <c r="P16" s="86" t="s">
        <v>130</v>
      </c>
      <c r="Q16" s="86" t="s">
        <v>130</v>
      </c>
      <c r="R16" s="86" t="s">
        <v>130</v>
      </c>
      <c r="S16" s="86">
        <f>_xlfn.XLOOKUP(C16,'Product List'!B:B,'Product List'!R:R)</f>
        <v>2.81</v>
      </c>
      <c r="T16" s="86">
        <f t="shared" si="1"/>
        <v>2832.48</v>
      </c>
      <c r="U16" s="86" t="s">
        <v>92</v>
      </c>
      <c r="V16" s="86"/>
    </row>
    <row r="17" customFormat="1" spans="1:22">
      <c r="A17" s="308">
        <v>46023</v>
      </c>
      <c r="B17" s="86" t="str">
        <f>_xlfn.XLOOKUP(C17,'Product List'!B:B,'Product List'!I:I)</f>
        <v>MMO-WAVE BRIDGE</v>
      </c>
      <c r="C17" s="135" t="s">
        <v>61</v>
      </c>
      <c r="D17" s="234">
        <f>VLOOKUP(C17,'Product List'!B:C,2,0)</f>
        <v>850030338440</v>
      </c>
      <c r="E17" s="201" t="s">
        <v>129</v>
      </c>
      <c r="F17" s="125">
        <v>1088</v>
      </c>
      <c r="G17" s="309" t="s">
        <v>130</v>
      </c>
      <c r="H17" s="309" t="s">
        <v>130</v>
      </c>
      <c r="I17" s="251">
        <v>46063</v>
      </c>
      <c r="J17" s="251">
        <v>46063</v>
      </c>
      <c r="K17" s="309" t="s">
        <v>130</v>
      </c>
      <c r="L17" s="124" t="str" cm="1">
        <f t="array" ref="L17">_xlfn.XLOOKUP(1,('Case Pack'!A:A=C17)*('Case Pack'!F:F&lt;=A17),'Case Pack'!G:G,"未找到箱规")</f>
        <v>C</v>
      </c>
      <c r="M17" s="124" cm="1">
        <f t="array" ref="M17">_xlfn.XLOOKUP(1,('Case Pack'!A:A=C17)*('Case Pack'!F:F&lt;=A17),'Case Pack'!D:D,"未找到箱规")</f>
        <v>33</v>
      </c>
      <c r="N17" s="125">
        <f t="shared" si="0"/>
        <v>32.969696969697</v>
      </c>
      <c r="O17" s="310">
        <f>_xlfn.XLOOKUP(L17,'Case Type'!A:A,'Case Type'!H:H)*N17</f>
        <v>5.18665472930909</v>
      </c>
      <c r="P17" s="86" t="s">
        <v>130</v>
      </c>
      <c r="Q17" s="86" t="s">
        <v>130</v>
      </c>
      <c r="R17" s="86" t="s">
        <v>130</v>
      </c>
      <c r="S17" s="86">
        <f>_xlfn.XLOOKUP(C17,'Product List'!B:B,'Product List'!R:R)</f>
        <v>2.79</v>
      </c>
      <c r="T17" s="86">
        <f t="shared" si="1"/>
        <v>3035.52</v>
      </c>
      <c r="U17" s="86" t="s">
        <v>92</v>
      </c>
      <c r="V17" s="86"/>
    </row>
    <row r="18" customFormat="1" spans="1:22">
      <c r="A18" s="308">
        <v>46079</v>
      </c>
      <c r="B18" s="86" t="str">
        <f>_xlfn.XLOOKUP(C18,'Product List'!B:B,'Product List'!I:I)</f>
        <v>MMO-CAMP LUNCH BOX CHEW</v>
      </c>
      <c r="C18" s="135" t="s">
        <v>34</v>
      </c>
      <c r="D18" s="234">
        <f>VLOOKUP(C18,'Product List'!B:C,2,0)</f>
        <v>698746777012</v>
      </c>
      <c r="E18" s="201" t="s">
        <v>131</v>
      </c>
      <c r="F18" s="125">
        <v>1368</v>
      </c>
      <c r="G18" s="309" t="s">
        <v>130</v>
      </c>
      <c r="H18" s="309" t="s">
        <v>130</v>
      </c>
      <c r="I18" s="251">
        <v>46122</v>
      </c>
      <c r="J18" s="251">
        <v>46122</v>
      </c>
      <c r="K18" s="309" t="s">
        <v>130</v>
      </c>
      <c r="L18" s="124" t="str" cm="1">
        <f t="array" ref="L18">_xlfn.XLOOKUP(1,('Case Pack'!A:A=C18)*('Case Pack'!F:F&lt;=A18),'Case Pack'!G:G,"未找到箱规")</f>
        <v>B</v>
      </c>
      <c r="M18" s="124" cm="1">
        <f t="array" ref="M18">_xlfn.XLOOKUP(1,('Case Pack'!A:A=C18)*('Case Pack'!F:F&lt;=A18),'Case Pack'!D:D,"未找到箱规")</f>
        <v>72</v>
      </c>
      <c r="N18" s="125">
        <f t="shared" si="0"/>
        <v>19</v>
      </c>
      <c r="O18" s="310">
        <f>_xlfn.XLOOKUP(L18,'Case Type'!A:A,'Case Type'!H:H)*N18</f>
        <v>1.39486688768</v>
      </c>
      <c r="P18" s="86" t="s">
        <v>130</v>
      </c>
      <c r="Q18" s="86" t="s">
        <v>130</v>
      </c>
      <c r="R18" s="86" t="s">
        <v>130</v>
      </c>
      <c r="S18" s="86">
        <f>_xlfn.XLOOKUP(C18,'Product List'!B:B,'Product List'!R:R)</f>
        <v>1.59</v>
      </c>
      <c r="T18" s="86">
        <f t="shared" si="1"/>
        <v>2175.12</v>
      </c>
      <c r="U18" s="86" t="s">
        <v>92</v>
      </c>
      <c r="V18" s="86"/>
    </row>
    <row r="19" customFormat="1" spans="1:22">
      <c r="A19" s="308">
        <v>46079</v>
      </c>
      <c r="B19" s="86" t="str">
        <f>_xlfn.XLOOKUP(C19,'Product List'!B:B,'Product List'!I:I)</f>
        <v>MMO-GREEN APPLE CHEW</v>
      </c>
      <c r="C19" s="135" t="s">
        <v>33</v>
      </c>
      <c r="D19" s="234">
        <f>VLOOKUP(C19,'Product List'!B:C,2,0)</f>
        <v>698746777081</v>
      </c>
      <c r="E19" s="201" t="s">
        <v>131</v>
      </c>
      <c r="F19" s="125">
        <v>1440</v>
      </c>
      <c r="G19" s="309" t="s">
        <v>130</v>
      </c>
      <c r="H19" s="309" t="s">
        <v>130</v>
      </c>
      <c r="I19" s="251">
        <v>46122</v>
      </c>
      <c r="J19" s="251">
        <v>46122</v>
      </c>
      <c r="K19" s="309" t="s">
        <v>130</v>
      </c>
      <c r="L19" s="124" t="str" cm="1">
        <f t="array" ref="L19">_xlfn.XLOOKUP(1,('Case Pack'!A:A=C19)*('Case Pack'!F:F&lt;=A19),'Case Pack'!G:G,"未找到箱规")</f>
        <v>B</v>
      </c>
      <c r="M19" s="124" cm="1">
        <f t="array" ref="M19">_xlfn.XLOOKUP(1,('Case Pack'!A:A=C19)*('Case Pack'!F:F&lt;=A19),'Case Pack'!D:D,"未找到箱规")</f>
        <v>48</v>
      </c>
      <c r="N19" s="125">
        <f t="shared" si="0"/>
        <v>30</v>
      </c>
      <c r="O19" s="310">
        <f>_xlfn.XLOOKUP(L19,'Case Type'!A:A,'Case Type'!H:H)*N19</f>
        <v>2.2024214016</v>
      </c>
      <c r="P19" s="86" t="s">
        <v>130</v>
      </c>
      <c r="Q19" s="86" t="s">
        <v>130</v>
      </c>
      <c r="R19" s="86" t="s">
        <v>130</v>
      </c>
      <c r="S19" s="86">
        <f>_xlfn.XLOOKUP(C19,'Product List'!B:B,'Product List'!R:R)</f>
        <v>1.04</v>
      </c>
      <c r="T19" s="86">
        <f t="shared" si="1"/>
        <v>1497.6</v>
      </c>
      <c r="U19" s="86" t="s">
        <v>92</v>
      </c>
      <c r="V19" s="86"/>
    </row>
    <row r="20" customFormat="1" spans="1:22">
      <c r="A20" s="308">
        <v>46079</v>
      </c>
      <c r="B20" s="86" t="str">
        <f>_xlfn.XLOOKUP(C20,'Product List'!B:B,'Product List'!I:I)</f>
        <v>MMO-SHELL PEARL HAMSTER CHEW</v>
      </c>
      <c r="C20" s="135" t="s">
        <v>35</v>
      </c>
      <c r="D20" s="234">
        <f>VLOOKUP(C20,'Product List'!B:C,2,0)</f>
        <v>698746777074</v>
      </c>
      <c r="E20" s="201" t="s">
        <v>131</v>
      </c>
      <c r="F20" s="125">
        <v>1216</v>
      </c>
      <c r="G20" s="309" t="s">
        <v>130</v>
      </c>
      <c r="H20" s="309" t="s">
        <v>130</v>
      </c>
      <c r="I20" s="251">
        <v>46122</v>
      </c>
      <c r="J20" s="251">
        <v>46122</v>
      </c>
      <c r="K20" s="309" t="s">
        <v>130</v>
      </c>
      <c r="L20" s="124" t="str" cm="1">
        <f t="array" ref="L20">_xlfn.XLOOKUP(1,('Case Pack'!A:A=C20)*('Case Pack'!F:F&lt;=A20),'Case Pack'!G:G,"未找到箱规")</f>
        <v>B</v>
      </c>
      <c r="M20" s="124" cm="1">
        <f t="array" ref="M20">_xlfn.XLOOKUP(1,('Case Pack'!A:A=C20)*('Case Pack'!F:F&lt;=A20),'Case Pack'!D:D,"未找到箱规")</f>
        <v>64</v>
      </c>
      <c r="N20" s="125">
        <f t="shared" si="0"/>
        <v>19</v>
      </c>
      <c r="O20" s="310">
        <f>_xlfn.XLOOKUP(L20,'Case Type'!A:A,'Case Type'!H:H)*N20</f>
        <v>1.39486688768</v>
      </c>
      <c r="P20" s="86" t="s">
        <v>130</v>
      </c>
      <c r="Q20" s="86" t="s">
        <v>130</v>
      </c>
      <c r="R20" s="86" t="s">
        <v>130</v>
      </c>
      <c r="S20" s="86">
        <f>_xlfn.XLOOKUP(C20,'Product List'!B:B,'Product List'!R:R)</f>
        <v>0.96</v>
      </c>
      <c r="T20" s="86">
        <f t="shared" si="1"/>
        <v>1167.36</v>
      </c>
      <c r="U20" s="86" t="s">
        <v>92</v>
      </c>
      <c r="V20" s="86"/>
    </row>
    <row r="21" customFormat="1" spans="1:22">
      <c r="A21" s="308">
        <v>46084</v>
      </c>
      <c r="B21" s="86" t="str">
        <f>_xlfn.XLOOKUP(C21,'Product List'!B:B,'Product List'!I:I)</f>
        <v>MMO-SHELL PEARL HAMSTER CHEW</v>
      </c>
      <c r="C21" s="135" t="s">
        <v>35</v>
      </c>
      <c r="D21" s="234">
        <f>VLOOKUP(C21,'Product List'!B:C,2,0)</f>
        <v>698746777074</v>
      </c>
      <c r="E21" s="201" t="s">
        <v>132</v>
      </c>
      <c r="F21" s="125">
        <v>896</v>
      </c>
      <c r="G21" s="309" t="s">
        <v>130</v>
      </c>
      <c r="H21" s="309" t="s">
        <v>130</v>
      </c>
      <c r="I21" s="251">
        <v>46148</v>
      </c>
      <c r="J21" s="251">
        <v>46148</v>
      </c>
      <c r="K21" s="309" t="s">
        <v>130</v>
      </c>
      <c r="L21" s="124" t="str" cm="1">
        <f t="array" ref="L21">_xlfn.XLOOKUP(1,('Case Pack'!A:A=C21)*('Case Pack'!F:F&lt;=A21),'Case Pack'!G:G,"未找到箱规")</f>
        <v>B</v>
      </c>
      <c r="M21" s="124" cm="1">
        <f t="array" ref="M21">_xlfn.XLOOKUP(1,('Case Pack'!A:A=C21)*('Case Pack'!F:F&lt;=A21),'Case Pack'!D:D,"未找到箱规")</f>
        <v>64</v>
      </c>
      <c r="N21" s="125">
        <f t="shared" si="0"/>
        <v>14</v>
      </c>
      <c r="O21" s="310">
        <f>_xlfn.XLOOKUP(L21,'Case Type'!A:A,'Case Type'!H:H)*N21</f>
        <v>1.02779665408</v>
      </c>
      <c r="P21" s="86" t="s">
        <v>130</v>
      </c>
      <c r="Q21" s="86" t="s">
        <v>130</v>
      </c>
      <c r="R21" s="86" t="s">
        <v>130</v>
      </c>
      <c r="S21" s="86">
        <f>_xlfn.XLOOKUP(C21,'Product List'!B:B,'Product List'!R:R)</f>
        <v>0.96</v>
      </c>
      <c r="T21" s="86">
        <f t="shared" si="1"/>
        <v>860.16</v>
      </c>
      <c r="U21" s="86" t="s">
        <v>92</v>
      </c>
      <c r="V21" s="86"/>
    </row>
    <row r="22" customFormat="1" spans="1:22">
      <c r="A22" s="308">
        <v>46084</v>
      </c>
      <c r="B22" s="86" t="str">
        <f>_xlfn.XLOOKUP(C22,'Product List'!B:B,'Product List'!I:I)</f>
        <v>MMO-GREEN APPLE CHEW</v>
      </c>
      <c r="C22" s="135" t="s">
        <v>33</v>
      </c>
      <c r="D22" s="234">
        <f>VLOOKUP(C22,'Product List'!B:C,2,0)</f>
        <v>698746777081</v>
      </c>
      <c r="E22" s="201" t="s">
        <v>132</v>
      </c>
      <c r="F22" s="125">
        <v>960</v>
      </c>
      <c r="G22" s="309" t="s">
        <v>130</v>
      </c>
      <c r="H22" s="309" t="s">
        <v>130</v>
      </c>
      <c r="I22" s="251">
        <v>46148</v>
      </c>
      <c r="J22" s="251">
        <v>46148</v>
      </c>
      <c r="K22" s="309" t="s">
        <v>130</v>
      </c>
      <c r="L22" s="124" t="str" cm="1">
        <f t="array" ref="L22">_xlfn.XLOOKUP(1,('Case Pack'!A:A=C22)*('Case Pack'!F:F&lt;=A22),'Case Pack'!G:G,"未找到箱规")</f>
        <v>B</v>
      </c>
      <c r="M22" s="124" cm="1">
        <f t="array" ref="M22">_xlfn.XLOOKUP(1,('Case Pack'!A:A=C22)*('Case Pack'!F:F&lt;=A22),'Case Pack'!D:D,"未找到箱规")</f>
        <v>48</v>
      </c>
      <c r="N22" s="125">
        <f t="shared" si="0"/>
        <v>20</v>
      </c>
      <c r="O22" s="310">
        <f>_xlfn.XLOOKUP(L22,'Case Type'!A:A,'Case Type'!H:H)*N22</f>
        <v>1.4682809344</v>
      </c>
      <c r="P22" s="86" t="s">
        <v>130</v>
      </c>
      <c r="Q22" s="86" t="s">
        <v>130</v>
      </c>
      <c r="R22" s="86" t="s">
        <v>130</v>
      </c>
      <c r="S22" s="86">
        <f>_xlfn.XLOOKUP(C22,'Product List'!B:B,'Product List'!R:R)</f>
        <v>1.04</v>
      </c>
      <c r="T22" s="86">
        <f t="shared" si="1"/>
        <v>998.4</v>
      </c>
      <c r="U22" s="86" t="s">
        <v>92</v>
      </c>
      <c r="V22" s="86"/>
    </row>
    <row r="23" customFormat="1" spans="1:22">
      <c r="A23" s="308">
        <v>46084</v>
      </c>
      <c r="B23" s="86" t="str">
        <f>_xlfn.XLOOKUP(C23,'Product List'!B:B,'Product List'!I:I)</f>
        <v>MMO-CAMP LUNCH BOX CHEW</v>
      </c>
      <c r="C23" s="135" t="s">
        <v>34</v>
      </c>
      <c r="D23" s="234">
        <f>VLOOKUP(C23,'Product List'!B:C,2,0)</f>
        <v>698746777012</v>
      </c>
      <c r="E23" s="201" t="s">
        <v>132</v>
      </c>
      <c r="F23" s="125">
        <v>648</v>
      </c>
      <c r="G23" s="309" t="s">
        <v>130</v>
      </c>
      <c r="H23" s="309" t="s">
        <v>130</v>
      </c>
      <c r="I23" s="251">
        <v>46148</v>
      </c>
      <c r="J23" s="251">
        <v>46148</v>
      </c>
      <c r="K23" s="309" t="s">
        <v>130</v>
      </c>
      <c r="L23" s="124" t="str" cm="1">
        <f t="array" ref="L23">_xlfn.XLOOKUP(1,('Case Pack'!A:A=C23)*('Case Pack'!F:F&lt;=A23),'Case Pack'!G:G,"未找到箱规")</f>
        <v>B</v>
      </c>
      <c r="M23" s="124" cm="1">
        <f t="array" ref="M23">_xlfn.XLOOKUP(1,('Case Pack'!A:A=C23)*('Case Pack'!F:F&lt;=A23),'Case Pack'!D:D,"未找到箱规")</f>
        <v>72</v>
      </c>
      <c r="N23" s="125">
        <f t="shared" si="0"/>
        <v>9</v>
      </c>
      <c r="O23" s="310">
        <f>_xlfn.XLOOKUP(L23,'Case Type'!A:A,'Case Type'!H:H)*N23</f>
        <v>0.66072642048</v>
      </c>
      <c r="P23" s="86" t="s">
        <v>130</v>
      </c>
      <c r="Q23" s="86" t="s">
        <v>130</v>
      </c>
      <c r="R23" s="86" t="s">
        <v>130</v>
      </c>
      <c r="S23" s="86">
        <f>_xlfn.XLOOKUP(C23,'Product List'!B:B,'Product List'!R:R)</f>
        <v>1.59</v>
      </c>
      <c r="T23" s="86">
        <f t="shared" si="1"/>
        <v>1030.32</v>
      </c>
      <c r="U23" s="86" t="s">
        <v>92</v>
      </c>
      <c r="V23" s="86"/>
    </row>
    <row r="24" customFormat="1" spans="1:22">
      <c r="A24" s="308">
        <v>46079</v>
      </c>
      <c r="B24" s="86" t="str">
        <f>_xlfn.XLOOKUP(C24,'Product List'!B:B,'Product List'!I:I)</f>
        <v>Forest Series Hamster Chew Toy &amp; Treat</v>
      </c>
      <c r="C24" s="135" t="s">
        <v>72</v>
      </c>
      <c r="D24" s="234">
        <f>VLOOKUP(C24,'Product List'!B:C,2,0)</f>
        <v>698746777005</v>
      </c>
      <c r="E24" s="201" t="s">
        <v>133</v>
      </c>
      <c r="F24" s="125">
        <v>1440</v>
      </c>
      <c r="G24" s="309" t="s">
        <v>130</v>
      </c>
      <c r="H24" s="309" t="s">
        <v>130</v>
      </c>
      <c r="I24" s="251">
        <v>46148</v>
      </c>
      <c r="J24" s="251">
        <v>46148</v>
      </c>
      <c r="K24" s="309" t="s">
        <v>130</v>
      </c>
      <c r="L24" s="124" t="str" cm="1">
        <f t="array" ref="L24">_xlfn.XLOOKUP(1,('Case Pack'!A:A=C24)*('Case Pack'!F:F&lt;=A24),'Case Pack'!G:G,"未找到箱规")</f>
        <v>B</v>
      </c>
      <c r="M24" s="124" cm="1">
        <f t="array" ref="M24">_xlfn.XLOOKUP(1,('Case Pack'!A:A=C24)*('Case Pack'!F:F&lt;=A24),'Case Pack'!D:D,"未找到箱规")</f>
        <v>60</v>
      </c>
      <c r="N24" s="125">
        <f t="shared" si="0"/>
        <v>24</v>
      </c>
      <c r="O24" s="310">
        <f>_xlfn.XLOOKUP(L24,'Case Type'!A:A,'Case Type'!H:H)*N24</f>
        <v>1.76193712128</v>
      </c>
      <c r="P24" s="86" t="s">
        <v>130</v>
      </c>
      <c r="Q24" s="86" t="s">
        <v>130</v>
      </c>
      <c r="R24" s="86" t="s">
        <v>130</v>
      </c>
      <c r="S24" s="86">
        <f>_xlfn.XLOOKUP(C24,'Product List'!B:B,'Product List'!R:R)</f>
        <v>2.14</v>
      </c>
      <c r="T24" s="86">
        <f t="shared" si="1"/>
        <v>3081.6</v>
      </c>
      <c r="U24" s="86" t="s">
        <v>92</v>
      </c>
      <c r="V24" s="86"/>
    </row>
    <row r="25" customFormat="1" spans="1:22">
      <c r="A25" s="308">
        <v>46079</v>
      </c>
      <c r="B25" s="86" t="str">
        <f>_xlfn.XLOOKUP(C25,'Product List'!B:B,'Product List'!I:I)</f>
        <v>Mushroom Spiral Staircase</v>
      </c>
      <c r="C25" s="135" t="s">
        <v>46</v>
      </c>
      <c r="D25" s="234">
        <f>VLOOKUP(C25,'Product List'!B:C,2,0)</f>
        <v>698746777029</v>
      </c>
      <c r="E25" s="201" t="s">
        <v>133</v>
      </c>
      <c r="F25" s="125">
        <v>648</v>
      </c>
      <c r="G25" s="309" t="s">
        <v>130</v>
      </c>
      <c r="H25" s="309" t="s">
        <v>130</v>
      </c>
      <c r="I25" s="251">
        <v>46148</v>
      </c>
      <c r="J25" s="251">
        <v>46148</v>
      </c>
      <c r="K25" s="309" t="s">
        <v>130</v>
      </c>
      <c r="L25" s="124" t="str" cm="1">
        <f t="array" ref="L25">_xlfn.XLOOKUP(1,('Case Pack'!A:A=C25)*('Case Pack'!F:F&lt;=A25),'Case Pack'!G:G,"未找到箱规")</f>
        <v>B</v>
      </c>
      <c r="M25" s="124" cm="1">
        <f t="array" ref="M25">_xlfn.XLOOKUP(1,('Case Pack'!A:A=C25)*('Case Pack'!F:F&lt;=A25),'Case Pack'!D:D,"未找到箱规")</f>
        <v>72</v>
      </c>
      <c r="N25" s="125">
        <f t="shared" si="0"/>
        <v>9</v>
      </c>
      <c r="O25" s="310">
        <f>_xlfn.XLOOKUP(L25,'Case Type'!A:A,'Case Type'!H:H)*N25</f>
        <v>0.66072642048</v>
      </c>
      <c r="P25" s="86" t="s">
        <v>130</v>
      </c>
      <c r="Q25" s="86" t="s">
        <v>130</v>
      </c>
      <c r="R25" s="86" t="s">
        <v>130</v>
      </c>
      <c r="S25" s="86">
        <f>_xlfn.XLOOKUP(C25,'Product List'!B:B,'Product List'!R:R)</f>
        <v>1.42</v>
      </c>
      <c r="T25" s="86">
        <f t="shared" si="1"/>
        <v>920.16</v>
      </c>
      <c r="U25" s="86" t="s">
        <v>92</v>
      </c>
      <c r="V25" s="86"/>
    </row>
    <row r="26" customFormat="1" spans="1:22">
      <c r="A26" s="308">
        <v>46079</v>
      </c>
      <c r="B26" s="86" t="str">
        <f>_xlfn.XLOOKUP(C26,'Product List'!B:B,'Product List'!I:I)</f>
        <v>Forest Series Hamster Chew Toy &amp; Treat</v>
      </c>
      <c r="C26" s="135" t="s">
        <v>72</v>
      </c>
      <c r="D26" s="234">
        <f>VLOOKUP(C26,'Product List'!B:C,2,0)</f>
        <v>698746777005</v>
      </c>
      <c r="E26" s="201" t="s">
        <v>134</v>
      </c>
      <c r="F26" s="125">
        <v>120</v>
      </c>
      <c r="G26" s="309" t="s">
        <v>130</v>
      </c>
      <c r="H26" s="309" t="s">
        <v>130</v>
      </c>
      <c r="I26" s="251">
        <v>46148</v>
      </c>
      <c r="J26" s="251">
        <v>46148</v>
      </c>
      <c r="K26" s="309" t="s">
        <v>130</v>
      </c>
      <c r="L26" s="124" t="str" cm="1">
        <f t="array" ref="L26">_xlfn.XLOOKUP(1,('Case Pack'!A:A=C26)*('Case Pack'!F:F&lt;=A26),'Case Pack'!G:G,"未找到箱规")</f>
        <v>B</v>
      </c>
      <c r="M26" s="124" cm="1">
        <f t="array" ref="M26">_xlfn.XLOOKUP(1,('Case Pack'!A:A=C26)*('Case Pack'!F:F&lt;=A26),'Case Pack'!D:D,"未找到箱规")</f>
        <v>60</v>
      </c>
      <c r="N26" s="125">
        <f t="shared" si="0"/>
        <v>2</v>
      </c>
      <c r="O26" s="310">
        <f>_xlfn.XLOOKUP(L26,'Case Type'!A:A,'Case Type'!H:H)*N26</f>
        <v>0.14682809344</v>
      </c>
      <c r="P26" s="86" t="s">
        <v>130</v>
      </c>
      <c r="Q26" s="86" t="s">
        <v>130</v>
      </c>
      <c r="R26" s="86" t="s">
        <v>130</v>
      </c>
      <c r="S26" s="86">
        <f>_xlfn.XLOOKUP(C26,'Product List'!B:B,'Product List'!R:R)</f>
        <v>2.14</v>
      </c>
      <c r="T26" s="86">
        <f t="shared" si="1"/>
        <v>256.8</v>
      </c>
      <c r="U26" s="86" t="s">
        <v>92</v>
      </c>
      <c r="V26" s="86"/>
    </row>
    <row r="27" customFormat="1" spans="1:22">
      <c r="A27" s="308">
        <v>46079</v>
      </c>
      <c r="B27" s="86" t="str">
        <f>_xlfn.XLOOKUP(C27,'Product List'!B:B,'Product List'!I:I)</f>
        <v>MMO-CAMP LUNCH BOX CHEW</v>
      </c>
      <c r="C27" s="135" t="s">
        <v>34</v>
      </c>
      <c r="D27" s="234">
        <f>VLOOKUP(C27,'Product List'!B:C,2,0)</f>
        <v>698746777012</v>
      </c>
      <c r="E27" s="201" t="s">
        <v>134</v>
      </c>
      <c r="F27" s="125">
        <v>504</v>
      </c>
      <c r="G27" s="309" t="s">
        <v>130</v>
      </c>
      <c r="H27" s="309" t="s">
        <v>130</v>
      </c>
      <c r="I27" s="251">
        <v>46148</v>
      </c>
      <c r="J27" s="251">
        <v>46148</v>
      </c>
      <c r="K27" s="309" t="s">
        <v>130</v>
      </c>
      <c r="L27" s="124" t="str" cm="1">
        <f t="array" ref="L27">_xlfn.XLOOKUP(1,('Case Pack'!A:A=C27)*('Case Pack'!F:F&lt;=A27),'Case Pack'!G:G,"未找到箱规")</f>
        <v>B</v>
      </c>
      <c r="M27" s="124" cm="1">
        <f t="array" ref="M27">_xlfn.XLOOKUP(1,('Case Pack'!A:A=C27)*('Case Pack'!F:F&lt;=A27),'Case Pack'!D:D,"未找到箱规")</f>
        <v>72</v>
      </c>
      <c r="N27" s="125">
        <f t="shared" si="0"/>
        <v>7</v>
      </c>
      <c r="O27" s="310">
        <f>_xlfn.XLOOKUP(L27,'Case Type'!A:A,'Case Type'!H:H)*N27</f>
        <v>0.51389832704</v>
      </c>
      <c r="P27" s="86" t="s">
        <v>130</v>
      </c>
      <c r="Q27" s="86" t="s">
        <v>130</v>
      </c>
      <c r="R27" s="86" t="s">
        <v>130</v>
      </c>
      <c r="S27" s="86">
        <f>_xlfn.XLOOKUP(C27,'Product List'!B:B,'Product List'!R:R)</f>
        <v>1.59</v>
      </c>
      <c r="T27" s="86">
        <f t="shared" si="1"/>
        <v>801.36</v>
      </c>
      <c r="U27" s="86" t="s">
        <v>92</v>
      </c>
      <c r="V27" s="86"/>
    </row>
    <row r="28" customFormat="1" spans="1:22">
      <c r="A28" s="308">
        <v>46079</v>
      </c>
      <c r="B28" s="86" t="str">
        <f>_xlfn.XLOOKUP(C28,'Product List'!B:B,'Product List'!I:I)</f>
        <v>Swinging Swing Hamster Toy</v>
      </c>
      <c r="C28" s="135" t="s">
        <v>48</v>
      </c>
      <c r="D28" s="234">
        <f>VLOOKUP(C28,'Product List'!B:C,2,0)</f>
        <v>698746777036</v>
      </c>
      <c r="E28" s="201" t="s">
        <v>134</v>
      </c>
      <c r="F28" s="125">
        <v>96</v>
      </c>
      <c r="G28" s="309" t="s">
        <v>130</v>
      </c>
      <c r="H28" s="309" t="s">
        <v>130</v>
      </c>
      <c r="I28" s="251">
        <v>46159</v>
      </c>
      <c r="J28" s="251">
        <v>46160</v>
      </c>
      <c r="K28" s="309" t="s">
        <v>130</v>
      </c>
      <c r="L28" s="124" t="str" cm="1">
        <f t="array" ref="L28">_xlfn.XLOOKUP(1,('Case Pack'!A:A=C28)*('Case Pack'!F:F&lt;=A28),'Case Pack'!G:G,"未找到箱规")</f>
        <v>B</v>
      </c>
      <c r="M28" s="124" cm="1">
        <f t="array" ref="M28">_xlfn.XLOOKUP(1,('Case Pack'!A:A=C28)*('Case Pack'!F:F&lt;=A28),'Case Pack'!D:D,"未找到箱规")</f>
        <v>48</v>
      </c>
      <c r="N28" s="125">
        <f t="shared" si="0"/>
        <v>2</v>
      </c>
      <c r="O28" s="310">
        <f>_xlfn.XLOOKUP(L28,'Case Type'!A:A,'Case Type'!H:H)*N28</f>
        <v>0.14682809344</v>
      </c>
      <c r="P28" s="86" t="s">
        <v>130</v>
      </c>
      <c r="Q28" s="86" t="s">
        <v>130</v>
      </c>
      <c r="R28" s="86" t="s">
        <v>130</v>
      </c>
      <c r="S28" s="86">
        <f>_xlfn.XLOOKUP(C28,'Product List'!B:B,'Product List'!R:R)</f>
        <v>1.42</v>
      </c>
      <c r="T28" s="86">
        <f t="shared" si="1"/>
        <v>136.32</v>
      </c>
      <c r="U28" s="86" t="s">
        <v>92</v>
      </c>
      <c r="V28" s="86"/>
    </row>
    <row r="29" customFormat="1" spans="1:22">
      <c r="A29" s="308">
        <v>46079</v>
      </c>
      <c r="B29" s="86" t="str">
        <f>_xlfn.XLOOKUP(C29,'Product List'!B:B,'Product List'!I:I)</f>
        <v>Tree Stump Hide</v>
      </c>
      <c r="C29" s="135" t="s">
        <v>54</v>
      </c>
      <c r="D29" s="234">
        <f>VLOOKUP(C29,'Product List'!B:C,2,0)</f>
        <v>850030338235</v>
      </c>
      <c r="E29" s="201" t="s">
        <v>134</v>
      </c>
      <c r="F29" s="125">
        <v>96</v>
      </c>
      <c r="G29" s="309" t="s">
        <v>130</v>
      </c>
      <c r="H29" s="309" t="s">
        <v>130</v>
      </c>
      <c r="I29" s="251">
        <v>46159</v>
      </c>
      <c r="J29" s="251">
        <v>46160</v>
      </c>
      <c r="K29" s="309" t="s">
        <v>130</v>
      </c>
      <c r="L29" s="124" t="str" cm="1">
        <f t="array" ref="L29">_xlfn.XLOOKUP(1,('Case Pack'!A:A=C29)*('Case Pack'!F:F&lt;=A29),'Case Pack'!G:G,"未找到箱规")</f>
        <v>B</v>
      </c>
      <c r="M29" s="124" cm="1">
        <f t="array" ref="M29">_xlfn.XLOOKUP(1,('Case Pack'!A:A=C29)*('Case Pack'!F:F&lt;=A29),'Case Pack'!D:D,"未找到箱规")</f>
        <v>24</v>
      </c>
      <c r="N29" s="125">
        <f t="shared" si="0"/>
        <v>4</v>
      </c>
      <c r="O29" s="310">
        <f>_xlfn.XLOOKUP(L29,'Case Type'!A:A,'Case Type'!H:H)*N29</f>
        <v>0.29365618688</v>
      </c>
      <c r="P29" s="86" t="s">
        <v>130</v>
      </c>
      <c r="Q29" s="86" t="s">
        <v>130</v>
      </c>
      <c r="R29" s="86" t="s">
        <v>130</v>
      </c>
      <c r="S29" s="86">
        <f>_xlfn.XLOOKUP(C29,'Product List'!B:B,'Product List'!R:R)</f>
        <v>2.67</v>
      </c>
      <c r="T29" s="86">
        <f t="shared" si="1"/>
        <v>256.32</v>
      </c>
      <c r="U29" s="86" t="s">
        <v>92</v>
      </c>
      <c r="V29" s="86"/>
    </row>
    <row r="30" customFormat="1" spans="1:22">
      <c r="A30" s="308">
        <v>46079</v>
      </c>
      <c r="B30" s="86" t="str">
        <f>_xlfn.XLOOKUP(C30,'Product List'!B:B,'Product List'!I:I)</f>
        <v>MINI/MOE CAMPING TENT HIDE</v>
      </c>
      <c r="C30" s="135" t="s">
        <v>73</v>
      </c>
      <c r="D30" s="234">
        <f>VLOOKUP(C30,'Product List'!B:C,2,0)</f>
        <v>850030338082</v>
      </c>
      <c r="E30" s="201" t="s">
        <v>134</v>
      </c>
      <c r="F30" s="125">
        <v>72</v>
      </c>
      <c r="G30" s="309" t="s">
        <v>130</v>
      </c>
      <c r="H30" s="309" t="s">
        <v>130</v>
      </c>
      <c r="I30" s="251">
        <v>46159</v>
      </c>
      <c r="J30" s="251">
        <v>46160</v>
      </c>
      <c r="K30" s="309" t="s">
        <v>130</v>
      </c>
      <c r="L30" s="124" t="str" cm="1">
        <f t="array" ref="L30">_xlfn.XLOOKUP(1,('Case Pack'!A:A=C30)*('Case Pack'!F:F&lt;=A30),'Case Pack'!G:G,"未找到箱规")</f>
        <v>B</v>
      </c>
      <c r="M30" s="124" cm="1">
        <f t="array" ref="M30">_xlfn.XLOOKUP(1,('Case Pack'!A:A=C30)*('Case Pack'!F:F&lt;=A30),'Case Pack'!D:D,"未找到箱规")</f>
        <v>12</v>
      </c>
      <c r="N30" s="125">
        <f t="shared" si="0"/>
        <v>6</v>
      </c>
      <c r="O30" s="310">
        <f>_xlfn.XLOOKUP(L30,'Case Type'!A:A,'Case Type'!H:H)*N30</f>
        <v>0.44048428032</v>
      </c>
      <c r="P30" s="86" t="s">
        <v>130</v>
      </c>
      <c r="Q30" s="86" t="s">
        <v>130</v>
      </c>
      <c r="R30" s="86" t="s">
        <v>130</v>
      </c>
      <c r="S30" s="86">
        <f>_xlfn.XLOOKUP(C30,'Product List'!B:B,'Product List'!R:R)</f>
        <v>1.96</v>
      </c>
      <c r="T30" s="86">
        <f t="shared" si="1"/>
        <v>141.12</v>
      </c>
      <c r="U30" s="86" t="s">
        <v>92</v>
      </c>
      <c r="V30" s="86"/>
    </row>
    <row r="31" customFormat="1" spans="1:22">
      <c r="A31" s="308">
        <v>46079</v>
      </c>
      <c r="B31" s="86" t="str">
        <f>_xlfn.XLOOKUP(C31,'Product List'!B:B,'Product List'!I:I)</f>
        <v>Bubble water bottle (color:green)</v>
      </c>
      <c r="C31" s="135" t="s">
        <v>66</v>
      </c>
      <c r="D31" s="234">
        <f>VLOOKUP(C31,'Product List'!B:C,2,0)</f>
        <v>634413994429</v>
      </c>
      <c r="E31" s="201" t="s">
        <v>134</v>
      </c>
      <c r="F31" s="125">
        <v>72</v>
      </c>
      <c r="G31" s="309" t="s">
        <v>130</v>
      </c>
      <c r="H31" s="309" t="s">
        <v>130</v>
      </c>
      <c r="I31" s="251">
        <v>46159</v>
      </c>
      <c r="J31" s="251">
        <v>46160</v>
      </c>
      <c r="K31" s="309" t="s">
        <v>130</v>
      </c>
      <c r="L31" s="124" t="str" cm="1">
        <f t="array" ref="L31">_xlfn.XLOOKUP(1,('Case Pack'!A:A=C31)*('Case Pack'!F:F&lt;=A31),'Case Pack'!G:G,"未找到箱规")</f>
        <v>B</v>
      </c>
      <c r="M31" s="124" cm="1">
        <f t="array" ref="M31">_xlfn.XLOOKUP(1,('Case Pack'!A:A=C31)*('Case Pack'!F:F&lt;=A31),'Case Pack'!D:D,"未找到箱规")</f>
        <v>18</v>
      </c>
      <c r="N31" s="125">
        <f t="shared" si="0"/>
        <v>4</v>
      </c>
      <c r="O31" s="310">
        <f>_xlfn.XLOOKUP(L31,'Case Type'!A:A,'Case Type'!H:H)*N31</f>
        <v>0.29365618688</v>
      </c>
      <c r="P31" s="86" t="s">
        <v>130</v>
      </c>
      <c r="Q31" s="86" t="s">
        <v>130</v>
      </c>
      <c r="R31" s="86" t="s">
        <v>130</v>
      </c>
      <c r="S31" s="86">
        <f>_xlfn.XLOOKUP(C31,'Product List'!B:B,'Product List'!R:R)</f>
        <v>3.1</v>
      </c>
      <c r="T31" s="86">
        <f t="shared" si="1"/>
        <v>223.2</v>
      </c>
      <c r="U31" s="86" t="s">
        <v>92</v>
      </c>
      <c r="V31" s="86"/>
    </row>
    <row r="32" customFormat="1" spans="1:22">
      <c r="A32" s="308">
        <v>46079</v>
      </c>
      <c r="B32" s="86" t="str">
        <f>_xlfn.XLOOKUP(C32,'Product List'!B:B,'Product List'!I:I)</f>
        <v>Cotton multi color bedding</v>
      </c>
      <c r="C32" s="135" t="s">
        <v>85</v>
      </c>
      <c r="D32" s="234">
        <f>VLOOKUP(C32,'Product List'!B:C,2,0)</f>
        <v>698746777067</v>
      </c>
      <c r="E32" s="201" t="s">
        <v>134</v>
      </c>
      <c r="F32" s="125">
        <v>320</v>
      </c>
      <c r="G32" s="309" t="s">
        <v>130</v>
      </c>
      <c r="H32" s="309" t="s">
        <v>130</v>
      </c>
      <c r="I32" s="251">
        <v>46159</v>
      </c>
      <c r="J32" s="251">
        <v>46160</v>
      </c>
      <c r="K32" s="309" t="s">
        <v>130</v>
      </c>
      <c r="L32" s="124" t="str" cm="1">
        <f t="array" ref="L32">_xlfn.XLOOKUP(1,('Case Pack'!A:A=C32)*('Case Pack'!F:F&lt;=A32),'Case Pack'!G:G,"未找到箱规")</f>
        <v>A</v>
      </c>
      <c r="M32" s="124" cm="1">
        <f t="array" ref="M32">_xlfn.XLOOKUP(1,('Case Pack'!A:A=C32)*('Case Pack'!F:F&lt;=A32),'Case Pack'!D:D,"未找到箱规")</f>
        <v>32</v>
      </c>
      <c r="N32" s="125">
        <f t="shared" si="0"/>
        <v>10</v>
      </c>
      <c r="O32" s="310">
        <f>_xlfn.XLOOKUP(L32,'Case Type'!A:A,'Case Type'!H:H)*N32</f>
        <v>1.1012107008</v>
      </c>
      <c r="P32" s="86" t="s">
        <v>130</v>
      </c>
      <c r="Q32" s="86" t="s">
        <v>130</v>
      </c>
      <c r="R32" s="86" t="s">
        <v>130</v>
      </c>
      <c r="S32" s="86">
        <f>_xlfn.XLOOKUP(C32,'Product List'!B:B,'Product List'!R:R)</f>
        <v>1.64</v>
      </c>
      <c r="T32" s="86">
        <f t="shared" si="1"/>
        <v>524.8</v>
      </c>
      <c r="U32" s="86" t="s">
        <v>92</v>
      </c>
      <c r="V32" s="86"/>
    </row>
    <row r="33" customFormat="1" spans="1:22">
      <c r="A33" s="308">
        <v>46079</v>
      </c>
      <c r="B33" s="86" t="str">
        <f>_xlfn.XLOOKUP(C33,'Product List'!B:B,'Product List'!I:I)</f>
        <v>MMO-PAPER PEBBLES</v>
      </c>
      <c r="C33" s="135" t="s">
        <v>81</v>
      </c>
      <c r="D33" s="234">
        <f>VLOOKUP(C33,'Product List'!B:C,2,0)</f>
        <v>850067049258</v>
      </c>
      <c r="E33" s="201" t="s">
        <v>134</v>
      </c>
      <c r="F33" s="125">
        <v>300</v>
      </c>
      <c r="G33" s="309" t="s">
        <v>130</v>
      </c>
      <c r="H33" s="309" t="s">
        <v>130</v>
      </c>
      <c r="I33" s="251">
        <v>46159</v>
      </c>
      <c r="J33" s="251">
        <v>46160</v>
      </c>
      <c r="K33" s="309" t="s">
        <v>130</v>
      </c>
      <c r="L33" s="124" t="str" cm="1">
        <f t="array" ref="L33">_xlfn.XLOOKUP(1,('Case Pack'!A:A=C33)*('Case Pack'!F:F&lt;=A33),'Case Pack'!G:G,"未找到箱规")</f>
        <v>B</v>
      </c>
      <c r="M33" s="124" cm="1">
        <f t="array" ref="M33">_xlfn.XLOOKUP(1,('Case Pack'!A:A=C33)*('Case Pack'!F:F&lt;=A33),'Case Pack'!D:D,"未找到箱规")</f>
        <v>12</v>
      </c>
      <c r="N33" s="125">
        <f t="shared" si="0"/>
        <v>25</v>
      </c>
      <c r="O33" s="310">
        <f>_xlfn.XLOOKUP(L33,'Case Type'!A:A,'Case Type'!H:H)*N33</f>
        <v>1.835351168</v>
      </c>
      <c r="P33" s="86" t="s">
        <v>130</v>
      </c>
      <c r="Q33" s="86" t="s">
        <v>130</v>
      </c>
      <c r="R33" s="86" t="s">
        <v>130</v>
      </c>
      <c r="S33" s="86">
        <f>_xlfn.XLOOKUP(C33,'Product List'!B:B,'Product List'!R:R)</f>
        <v>2.84</v>
      </c>
      <c r="T33" s="86">
        <f t="shared" si="1"/>
        <v>852</v>
      </c>
      <c r="U33" s="86" t="s">
        <v>92</v>
      </c>
      <c r="V33" s="86"/>
    </row>
    <row r="34" customFormat="1" spans="1:22">
      <c r="A34" s="308">
        <v>46079</v>
      </c>
      <c r="B34" s="86" t="str">
        <f>_xlfn.XLOOKUP(C34,'Product List'!B:B,'Product List'!I:I)</f>
        <v>Paper straw green bedding</v>
      </c>
      <c r="C34" s="135" t="s">
        <v>83</v>
      </c>
      <c r="D34" s="234">
        <f>VLOOKUP(C34,'Product List'!B:C,2,0)</f>
        <v>860006392840</v>
      </c>
      <c r="E34" s="201" t="s">
        <v>134</v>
      </c>
      <c r="F34" s="125">
        <v>300</v>
      </c>
      <c r="G34" s="309" t="s">
        <v>130</v>
      </c>
      <c r="H34" s="309" t="s">
        <v>130</v>
      </c>
      <c r="I34" s="251">
        <v>46159</v>
      </c>
      <c r="J34" s="251">
        <v>46160</v>
      </c>
      <c r="K34" s="309" t="s">
        <v>130</v>
      </c>
      <c r="L34" s="124" t="str" cm="1">
        <f t="array" ref="L34">_xlfn.XLOOKUP(1,('Case Pack'!A:A=C34)*('Case Pack'!F:F&lt;=A34),'Case Pack'!G:G,"未找到箱规")</f>
        <v>C</v>
      </c>
      <c r="M34" s="124" cm="1">
        <f t="array" ref="M34">_xlfn.XLOOKUP(1,('Case Pack'!A:A=C34)*('Case Pack'!F:F&lt;=A34),'Case Pack'!D:D,"未找到箱规")</f>
        <v>30</v>
      </c>
      <c r="N34" s="125">
        <f t="shared" si="0"/>
        <v>10</v>
      </c>
      <c r="O34" s="310">
        <f>_xlfn.XLOOKUP(L34,'Case Type'!A:A,'Case Type'!H:H)*N34</f>
        <v>1.573158144</v>
      </c>
      <c r="P34" s="86" t="s">
        <v>130</v>
      </c>
      <c r="Q34" s="86" t="s">
        <v>130</v>
      </c>
      <c r="R34" s="86" t="s">
        <v>130</v>
      </c>
      <c r="S34" s="86">
        <f>_xlfn.XLOOKUP(C34,'Product List'!B:B,'Product List'!R:R)</f>
        <v>1.88</v>
      </c>
      <c r="T34" s="86">
        <f t="shared" si="1"/>
        <v>564</v>
      </c>
      <c r="U34" s="86" t="s">
        <v>92</v>
      </c>
      <c r="V34" s="86"/>
    </row>
    <row r="35" customFormat="1" spans="1:22">
      <c r="A35" s="308">
        <v>46079</v>
      </c>
      <c r="B35" s="86" t="str">
        <f>_xlfn.XLOOKUP(C35,'Product List'!B:B,'Product List'!I:I)</f>
        <v>MINI/MOE SILENT CRSTL RUN WHEEL LG 8.5-White</v>
      </c>
      <c r="C35" s="135" t="s">
        <v>29</v>
      </c>
      <c r="D35" s="234">
        <f>VLOOKUP(C35,'Product List'!B:C,2,0)</f>
        <v>850062627680</v>
      </c>
      <c r="E35" s="201" t="s">
        <v>134</v>
      </c>
      <c r="F35" s="125">
        <v>208</v>
      </c>
      <c r="G35" s="309" t="s">
        <v>130</v>
      </c>
      <c r="H35" s="309" t="s">
        <v>130</v>
      </c>
      <c r="I35" s="251">
        <v>46159</v>
      </c>
      <c r="J35" s="251">
        <v>46160</v>
      </c>
      <c r="K35" s="309" t="s">
        <v>130</v>
      </c>
      <c r="L35" s="124" t="str" cm="1">
        <f t="array" ref="L35">_xlfn.XLOOKUP(1,('Case Pack'!A:A=C35)*('Case Pack'!F:F&lt;=A35),'Case Pack'!G:G,"未找到箱规")</f>
        <v>C</v>
      </c>
      <c r="M35" s="124" cm="1">
        <f t="array" ref="M35">_xlfn.XLOOKUP(1,('Case Pack'!A:A=C35)*('Case Pack'!F:F&lt;=A35),'Case Pack'!D:D,"未找到箱规")</f>
        <v>8</v>
      </c>
      <c r="N35" s="125">
        <f t="shared" si="0"/>
        <v>26</v>
      </c>
      <c r="O35" s="310">
        <f>_xlfn.XLOOKUP(L35,'Case Type'!A:A,'Case Type'!H:H)*N35</f>
        <v>4.0902111744</v>
      </c>
      <c r="P35" s="86" t="s">
        <v>130</v>
      </c>
      <c r="Q35" s="86" t="s">
        <v>130</v>
      </c>
      <c r="R35" s="86" t="s">
        <v>130</v>
      </c>
      <c r="S35" s="86">
        <f>_xlfn.XLOOKUP(C35,'Product List'!B:B,'Product List'!R:R)</f>
        <v>6.27</v>
      </c>
      <c r="T35" s="86">
        <f t="shared" si="1"/>
        <v>1304.16</v>
      </c>
      <c r="U35" s="86" t="s">
        <v>92</v>
      </c>
      <c r="V35" s="86"/>
    </row>
    <row r="36" customFormat="1" spans="1:22">
      <c r="A36" s="308">
        <v>46079</v>
      </c>
      <c r="B36" s="86" t="str">
        <f>_xlfn.XLOOKUP(C36,'Product List'!B:B,'Product List'!I:I)</f>
        <v>MINI/MOE TV VIEWING CAGE</v>
      </c>
      <c r="C36" s="135" t="s">
        <v>50</v>
      </c>
      <c r="D36" s="234">
        <f>VLOOKUP(C36,'Product List'!B:C,2,0)</f>
        <v>850030338761</v>
      </c>
      <c r="E36" s="201" t="s">
        <v>134</v>
      </c>
      <c r="F36" s="125">
        <v>200</v>
      </c>
      <c r="G36" s="309" t="s">
        <v>130</v>
      </c>
      <c r="H36" s="309" t="s">
        <v>130</v>
      </c>
      <c r="I36" s="251">
        <v>46152</v>
      </c>
      <c r="J36" s="251">
        <v>46147</v>
      </c>
      <c r="K36" s="309" t="s">
        <v>130</v>
      </c>
      <c r="L36" s="124" t="str" cm="1">
        <f t="array" ref="L36">_xlfn.XLOOKUP(1,('Case Pack'!A:A=C36)*('Case Pack'!F:F&lt;=A36),'Case Pack'!G:G,"未找到箱规")</f>
        <v>S1</v>
      </c>
      <c r="M36" s="124" cm="1">
        <f t="array" ref="M36">_xlfn.XLOOKUP(1,('Case Pack'!A:A=C36)*('Case Pack'!F:F&lt;=A36),'Case Pack'!D:D,"未找到箱规")</f>
        <v>1</v>
      </c>
      <c r="N36" s="125">
        <f t="shared" si="0"/>
        <v>200</v>
      </c>
      <c r="O36" s="310">
        <f>_xlfn.XLOOKUP(L36,'Case Type'!A:A,'Case Type'!H:H)*N36</f>
        <v>14.8004549298</v>
      </c>
      <c r="P36" s="86" t="s">
        <v>130</v>
      </c>
      <c r="Q36" s="86" t="s">
        <v>130</v>
      </c>
      <c r="R36" s="86" t="s">
        <v>130</v>
      </c>
      <c r="S36" s="86">
        <f>_xlfn.XLOOKUP(C36,'Product List'!B:B,'Product List'!R:R)</f>
        <v>24.09</v>
      </c>
      <c r="T36" s="86">
        <f t="shared" si="1"/>
        <v>4818</v>
      </c>
      <c r="U36" s="86" t="s">
        <v>92</v>
      </c>
      <c r="V36" s="86"/>
    </row>
    <row r="37" customFormat="1" spans="1:22">
      <c r="A37" s="308">
        <v>46079</v>
      </c>
      <c r="B37" s="86" t="str">
        <f>_xlfn.XLOOKUP(C37,'Product List'!B:B,'Product List'!I:I)</f>
        <v>Paper twist brown / white bedding</v>
      </c>
      <c r="C37" s="135" t="s">
        <v>70</v>
      </c>
      <c r="D37" s="234">
        <f>VLOOKUP(C37,'Product List'!B:C,2,0)</f>
        <v>698746777050</v>
      </c>
      <c r="E37" s="201" t="s">
        <v>134</v>
      </c>
      <c r="F37" s="125">
        <v>300</v>
      </c>
      <c r="G37" s="309" t="s">
        <v>130</v>
      </c>
      <c r="H37" s="309" t="s">
        <v>130</v>
      </c>
      <c r="I37" s="251">
        <v>46152</v>
      </c>
      <c r="J37" s="251">
        <v>46147</v>
      </c>
      <c r="K37" s="309" t="s">
        <v>130</v>
      </c>
      <c r="L37" s="124" t="str" cm="1">
        <f t="array" ref="L37">_xlfn.XLOOKUP(1,('Case Pack'!A:A=C37)*('Case Pack'!F:F&lt;=A37),'Case Pack'!G:G,"未找到箱规")</f>
        <v>A</v>
      </c>
      <c r="M37" s="124" cm="1">
        <f t="array" ref="M37">_xlfn.XLOOKUP(1,('Case Pack'!A:A=C37)*('Case Pack'!F:F&lt;=A37),'Case Pack'!D:D,"未找到箱规")</f>
        <v>30</v>
      </c>
      <c r="N37" s="125">
        <f t="shared" si="0"/>
        <v>10</v>
      </c>
      <c r="O37" s="310">
        <f>_xlfn.XLOOKUP(L37,'Case Type'!A:A,'Case Type'!H:H)*N37</f>
        <v>1.1012107008</v>
      </c>
      <c r="P37" s="86" t="s">
        <v>130</v>
      </c>
      <c r="Q37" s="86" t="s">
        <v>130</v>
      </c>
      <c r="R37" s="86" t="s">
        <v>130</v>
      </c>
      <c r="S37" s="86">
        <f>_xlfn.XLOOKUP(C37,'Product List'!B:B,'Product List'!R:R)</f>
        <v>1.98</v>
      </c>
      <c r="T37" s="86">
        <f t="shared" si="1"/>
        <v>594</v>
      </c>
      <c r="U37" s="86" t="s">
        <v>92</v>
      </c>
      <c r="V37" s="86"/>
    </row>
    <row r="38" customFormat="1" spans="1:22">
      <c r="A38" s="308">
        <v>46081</v>
      </c>
      <c r="B38" s="86" t="str">
        <f>_xlfn.XLOOKUP(C38,'Product List'!B:B,'Product List'!I:I)</f>
        <v>MINI/MOE TV VIEWING CAGE</v>
      </c>
      <c r="C38" s="135" t="s">
        <v>50</v>
      </c>
      <c r="D38" s="234">
        <f>VLOOKUP(C38,'Product List'!B:C,2,0)</f>
        <v>850030338761</v>
      </c>
      <c r="E38" s="201" t="s">
        <v>135</v>
      </c>
      <c r="F38" s="125">
        <v>1692</v>
      </c>
      <c r="G38" s="309" t="s">
        <v>130</v>
      </c>
      <c r="H38" s="309" t="s">
        <v>130</v>
      </c>
      <c r="I38" s="251">
        <v>46146</v>
      </c>
      <c r="J38" s="251">
        <v>46147</v>
      </c>
      <c r="K38" s="309" t="s">
        <v>130</v>
      </c>
      <c r="L38" s="124" t="str" cm="1">
        <f t="array" ref="L38">_xlfn.XLOOKUP(1,('Case Pack'!A:A=C38)*('Case Pack'!F:F&lt;=A38),'Case Pack'!G:G,"未找到箱规")</f>
        <v>S1</v>
      </c>
      <c r="M38" s="124" cm="1">
        <f t="array" ref="M38">_xlfn.XLOOKUP(1,('Case Pack'!A:A=C38)*('Case Pack'!F:F&lt;=A38),'Case Pack'!D:D,"未找到箱规")</f>
        <v>1</v>
      </c>
      <c r="N38" s="125">
        <f t="shared" si="0"/>
        <v>1692</v>
      </c>
      <c r="O38" s="310">
        <f>_xlfn.XLOOKUP(L38,'Case Type'!A:A,'Case Type'!H:H)*N38</f>
        <v>125.211848706108</v>
      </c>
      <c r="P38" s="86" t="s">
        <v>130</v>
      </c>
      <c r="Q38" s="86" t="s">
        <v>130</v>
      </c>
      <c r="R38" s="86" t="s">
        <v>130</v>
      </c>
      <c r="S38" s="86">
        <f>_xlfn.XLOOKUP(C38,'Product List'!B:B,'Product List'!R:R)</f>
        <v>24.09</v>
      </c>
      <c r="T38" s="86">
        <f t="shared" si="1"/>
        <v>40760.28</v>
      </c>
      <c r="U38" s="86" t="s">
        <v>92</v>
      </c>
      <c r="V38" s="86"/>
    </row>
    <row r="39" customFormat="1" spans="1:22">
      <c r="A39" s="308">
        <v>46081</v>
      </c>
      <c r="B39" s="86" t="str">
        <f>_xlfn.XLOOKUP(C39,'Product List'!B:B,'Product List'!I:I)</f>
        <v>MINI/MOE SILENT CRSTL RUN WHEEL LG 8.5-White</v>
      </c>
      <c r="C39" s="135" t="s">
        <v>29</v>
      </c>
      <c r="D39" s="234">
        <f>VLOOKUP(C39,'Product List'!B:C,2,0)</f>
        <v>850062627680</v>
      </c>
      <c r="E39" s="201" t="s">
        <v>135</v>
      </c>
      <c r="F39" s="125">
        <v>2352</v>
      </c>
      <c r="G39" s="309" t="s">
        <v>130</v>
      </c>
      <c r="H39" s="309" t="s">
        <v>130</v>
      </c>
      <c r="I39" s="251">
        <v>46146</v>
      </c>
      <c r="J39" s="251">
        <v>46147</v>
      </c>
      <c r="K39" s="309" t="s">
        <v>130</v>
      </c>
      <c r="L39" s="124" t="str" cm="1">
        <f t="array" ref="L39">_xlfn.XLOOKUP(1,('Case Pack'!A:A=C39)*('Case Pack'!F:F&lt;=A39),'Case Pack'!G:G,"未找到箱规")</f>
        <v>C</v>
      </c>
      <c r="M39" s="124" cm="1">
        <f t="array" ref="M39">_xlfn.XLOOKUP(1,('Case Pack'!A:A=C39)*('Case Pack'!F:F&lt;=A39),'Case Pack'!D:D,"未找到箱规")</f>
        <v>8</v>
      </c>
      <c r="N39" s="125">
        <f t="shared" si="0"/>
        <v>294</v>
      </c>
      <c r="O39" s="310">
        <f>_xlfn.XLOOKUP(L39,'Case Type'!A:A,'Case Type'!H:H)*N39</f>
        <v>46.2508494336</v>
      </c>
      <c r="P39" s="86" t="s">
        <v>130</v>
      </c>
      <c r="Q39" s="86" t="s">
        <v>130</v>
      </c>
      <c r="R39" s="86" t="s">
        <v>130</v>
      </c>
      <c r="S39" s="86">
        <f>_xlfn.XLOOKUP(C39,'Product List'!B:B,'Product List'!R:R)</f>
        <v>6.27</v>
      </c>
      <c r="T39" s="86">
        <f t="shared" si="1"/>
        <v>14747.04</v>
      </c>
      <c r="U39" s="86" t="s">
        <v>92</v>
      </c>
      <c r="V39" s="86"/>
    </row>
    <row r="40" customFormat="1" spans="1:22">
      <c r="A40" s="308">
        <v>46081</v>
      </c>
      <c r="B40" s="86" t="str">
        <f>_xlfn.XLOOKUP(C40,'Product List'!B:B,'Product List'!I:I)</f>
        <v>MMO-CLOUD WATER BOTTLE</v>
      </c>
      <c r="C40" s="135" t="s">
        <v>77</v>
      </c>
      <c r="D40" s="234">
        <f>VLOOKUP(C40,'Product List'!B:C,2,0)</f>
        <v>850030338112</v>
      </c>
      <c r="E40" s="201" t="s">
        <v>135</v>
      </c>
      <c r="F40" s="125">
        <v>2900</v>
      </c>
      <c r="G40" s="309" t="s">
        <v>130</v>
      </c>
      <c r="H40" s="309" t="s">
        <v>130</v>
      </c>
      <c r="I40" s="251">
        <v>46146</v>
      </c>
      <c r="J40" s="251">
        <v>46147</v>
      </c>
      <c r="K40" s="309" t="s">
        <v>130</v>
      </c>
      <c r="L40" s="124" t="str" cm="1">
        <f t="array" ref="L40">_xlfn.XLOOKUP(1,('Case Pack'!A:A=C40)*('Case Pack'!F:F&lt;=A40),'Case Pack'!G:G,"未找到箱规")</f>
        <v>A</v>
      </c>
      <c r="M40" s="124" cm="1">
        <f t="array" ref="M40">_xlfn.XLOOKUP(1,('Case Pack'!A:A=C40)*('Case Pack'!F:F&lt;=A40),'Case Pack'!D:D,"未找到箱规")</f>
        <v>50</v>
      </c>
      <c r="N40" s="125">
        <f t="shared" si="0"/>
        <v>58</v>
      </c>
      <c r="O40" s="310">
        <f>_xlfn.XLOOKUP(L40,'Case Type'!A:A,'Case Type'!H:H)*N40</f>
        <v>6.38702206464</v>
      </c>
      <c r="P40" s="86" t="s">
        <v>130</v>
      </c>
      <c r="Q40" s="86" t="s">
        <v>130</v>
      </c>
      <c r="R40" s="86" t="s">
        <v>130</v>
      </c>
      <c r="S40" s="86">
        <f>_xlfn.XLOOKUP(C40,'Product List'!B:B,'Product List'!R:R)</f>
        <v>0.62</v>
      </c>
      <c r="T40" s="86">
        <f t="shared" si="1"/>
        <v>1798</v>
      </c>
      <c r="U40" s="86" t="s">
        <v>92</v>
      </c>
      <c r="V40" s="86"/>
    </row>
    <row r="41" customFormat="1" spans="1:22">
      <c r="A41" s="308">
        <v>46081</v>
      </c>
      <c r="B41" s="86" t="str">
        <f>_xlfn.XLOOKUP(C41,'Product List'!B:B,'Product List'!I:I)</f>
        <v>MMO-BUBBLE WATER BOTTLE</v>
      </c>
      <c r="C41" s="135" t="s">
        <v>67</v>
      </c>
      <c r="D41" s="234">
        <f>VLOOKUP(C41,'Product List'!B:C,2,0)</f>
        <v>760762456971</v>
      </c>
      <c r="E41" s="201" t="s">
        <v>135</v>
      </c>
      <c r="F41" s="125">
        <v>2478</v>
      </c>
      <c r="G41" s="309" t="s">
        <v>130</v>
      </c>
      <c r="H41" s="309" t="s">
        <v>130</v>
      </c>
      <c r="I41" s="251">
        <v>46146</v>
      </c>
      <c r="J41" s="251">
        <v>46147</v>
      </c>
      <c r="K41" s="309" t="s">
        <v>130</v>
      </c>
      <c r="L41" s="124" t="str" cm="1">
        <f t="array" ref="L41">_xlfn.XLOOKUP(1,('Case Pack'!A:A=C41)*('Case Pack'!F:F&lt;=A41),'Case Pack'!G:G,"未找到箱规")</f>
        <v>C</v>
      </c>
      <c r="M41" s="124" cm="1">
        <f t="array" ref="M41">_xlfn.XLOOKUP(1,('Case Pack'!A:A=C41)*('Case Pack'!F:F&lt;=A41),'Case Pack'!D:D,"未找到箱规")</f>
        <v>42</v>
      </c>
      <c r="N41" s="125">
        <f t="shared" si="0"/>
        <v>59</v>
      </c>
      <c r="O41" s="310">
        <f>_xlfn.XLOOKUP(L41,'Case Type'!A:A,'Case Type'!H:H)*N41</f>
        <v>9.2816330496</v>
      </c>
      <c r="P41" s="86" t="s">
        <v>130</v>
      </c>
      <c r="Q41" s="86" t="s">
        <v>130</v>
      </c>
      <c r="R41" s="86" t="s">
        <v>130</v>
      </c>
      <c r="S41" s="86">
        <f>_xlfn.XLOOKUP(C41,'Product List'!B:B,'Product List'!R:R)</f>
        <v>3.1</v>
      </c>
      <c r="T41" s="86">
        <f t="shared" si="1"/>
        <v>7681.8</v>
      </c>
      <c r="U41" s="86" t="s">
        <v>92</v>
      </c>
      <c r="V41" s="86"/>
    </row>
    <row r="42" customFormat="1" spans="1:22">
      <c r="A42" s="308">
        <v>46081</v>
      </c>
      <c r="B42" s="86" t="str">
        <f>_xlfn.XLOOKUP(C42,'Product List'!B:B,'Product List'!I:I)</f>
        <v>MINI/MOE RUFFLE BOWL</v>
      </c>
      <c r="C42" s="135" t="s">
        <v>78</v>
      </c>
      <c r="D42" s="234">
        <f>VLOOKUP(C42,'Product List'!B:C,2,0)</f>
        <v>850030338969</v>
      </c>
      <c r="E42" s="201" t="s">
        <v>135</v>
      </c>
      <c r="F42" s="125">
        <v>96</v>
      </c>
      <c r="G42" s="309" t="s">
        <v>130</v>
      </c>
      <c r="H42" s="309" t="s">
        <v>130</v>
      </c>
      <c r="I42" s="251">
        <v>46160</v>
      </c>
      <c r="J42" s="251">
        <v>46159</v>
      </c>
      <c r="K42" s="309" t="s">
        <v>130</v>
      </c>
      <c r="L42" s="124" t="str" cm="1">
        <f t="array" ref="L42">_xlfn.XLOOKUP(1,('Case Pack'!A:A=C42)*('Case Pack'!F:F&lt;=A42),'Case Pack'!G:G,"未找到箱规")</f>
        <v>B</v>
      </c>
      <c r="M42" s="124" cm="1">
        <f t="array" ref="M42">_xlfn.XLOOKUP(1,('Case Pack'!A:A=C42)*('Case Pack'!F:F&lt;=A42),'Case Pack'!D:D,"未找到箱规")</f>
        <v>48</v>
      </c>
      <c r="N42" s="125">
        <f t="shared" si="0"/>
        <v>2</v>
      </c>
      <c r="O42" s="310">
        <f>_xlfn.XLOOKUP(L42,'Case Type'!A:A,'Case Type'!H:H)*N42</f>
        <v>0.14682809344</v>
      </c>
      <c r="P42" s="86" t="s">
        <v>130</v>
      </c>
      <c r="Q42" s="86" t="s">
        <v>130</v>
      </c>
      <c r="R42" s="86" t="s">
        <v>130</v>
      </c>
      <c r="S42" s="86">
        <f>_xlfn.XLOOKUP(C42,'Product List'!B:B,'Product List'!R:R)</f>
        <v>1.34</v>
      </c>
      <c r="T42" s="86">
        <f t="shared" si="1"/>
        <v>128.64</v>
      </c>
      <c r="U42" s="86" t="s">
        <v>92</v>
      </c>
      <c r="V42" s="86"/>
    </row>
    <row r="43" customFormat="1" spans="1:22">
      <c r="A43" s="308">
        <v>46081</v>
      </c>
      <c r="B43" s="86" t="str">
        <f>_xlfn.XLOOKUP(C43,'Product List'!B:B,'Product List'!I:I)</f>
        <v>MMO-WAVE BRIDGE</v>
      </c>
      <c r="C43" s="135" t="s">
        <v>61</v>
      </c>
      <c r="D43" s="234">
        <f>VLOOKUP(C43,'Product List'!B:C,2,0)</f>
        <v>850030338440</v>
      </c>
      <c r="E43" s="201" t="s">
        <v>135</v>
      </c>
      <c r="F43" s="125">
        <v>429</v>
      </c>
      <c r="G43" s="309" t="s">
        <v>130</v>
      </c>
      <c r="H43" s="309" t="s">
        <v>130</v>
      </c>
      <c r="I43" s="251">
        <v>46160</v>
      </c>
      <c r="J43" s="251">
        <v>46159</v>
      </c>
      <c r="K43" s="309" t="s">
        <v>130</v>
      </c>
      <c r="L43" s="124" t="str" cm="1">
        <f t="array" ref="L43">_xlfn.XLOOKUP(1,('Case Pack'!A:A=C43)*('Case Pack'!F:F&lt;=A43),'Case Pack'!G:G,"未找到箱规")</f>
        <v>C</v>
      </c>
      <c r="M43" s="124" cm="1">
        <f t="array" ref="M43">_xlfn.XLOOKUP(1,('Case Pack'!A:A=C43)*('Case Pack'!F:F&lt;=A43),'Case Pack'!D:D,"未找到箱规")</f>
        <v>33</v>
      </c>
      <c r="N43" s="125">
        <f t="shared" si="0"/>
        <v>13</v>
      </c>
      <c r="O43" s="310">
        <f>_xlfn.XLOOKUP(L43,'Case Type'!A:A,'Case Type'!H:H)*N43</f>
        <v>2.0451055872</v>
      </c>
      <c r="P43" s="86" t="s">
        <v>130</v>
      </c>
      <c r="Q43" s="86" t="s">
        <v>130</v>
      </c>
      <c r="R43" s="86" t="s">
        <v>130</v>
      </c>
      <c r="S43" s="86">
        <f>_xlfn.XLOOKUP(C43,'Product List'!B:B,'Product List'!R:R)</f>
        <v>2.79</v>
      </c>
      <c r="T43" s="86">
        <f t="shared" si="1"/>
        <v>1196.91</v>
      </c>
      <c r="U43" s="86" t="s">
        <v>92</v>
      </c>
      <c r="V43" s="86"/>
    </row>
    <row r="44" customFormat="1" spans="1:22">
      <c r="A44" s="308">
        <v>46081</v>
      </c>
      <c r="B44" s="86" t="str">
        <f>_xlfn.XLOOKUP(C44,'Product List'!B:B,'Product List'!I:I)</f>
        <v>MINI/MOE BENDABLE BIRCHWOOD FENCE</v>
      </c>
      <c r="C44" s="135" t="s">
        <v>62</v>
      </c>
      <c r="D44" s="234">
        <f>VLOOKUP(C44,'Product List'!B:C,2,0)</f>
        <v>850030338150</v>
      </c>
      <c r="E44" s="201" t="s">
        <v>135</v>
      </c>
      <c r="F44" s="125">
        <v>672</v>
      </c>
      <c r="G44" s="309">
        <v>46162</v>
      </c>
      <c r="H44" s="309">
        <v>46163</v>
      </c>
      <c r="I44" s="251">
        <v>46188</v>
      </c>
      <c r="J44" s="251">
        <v>46191</v>
      </c>
      <c r="K44" s="309" t="s">
        <v>130</v>
      </c>
      <c r="L44" s="124" t="str" cm="1">
        <f t="array" ref="L44">_xlfn.XLOOKUP(1,('Case Pack'!A:A=C44)*('Case Pack'!F:F&lt;=A44),'Case Pack'!G:G,"未找到箱规")</f>
        <v>F</v>
      </c>
      <c r="M44" s="124" cm="1">
        <f t="array" ref="M44">_xlfn.XLOOKUP(1,('Case Pack'!A:A=C44)*('Case Pack'!F:F&lt;=A44),'Case Pack'!D:D,"未找到箱规")</f>
        <v>32</v>
      </c>
      <c r="N44" s="125">
        <f t="shared" si="0"/>
        <v>21</v>
      </c>
      <c r="O44" s="310">
        <f>_xlfn.XLOOKUP(L44,'Case Type'!A:A,'Case Type'!H:H)*N44</f>
        <v>0.77084749056</v>
      </c>
      <c r="P44" s="86" t="s">
        <v>136</v>
      </c>
      <c r="Q44" s="86" t="s">
        <v>137</v>
      </c>
      <c r="R44" s="86" t="s">
        <v>138</v>
      </c>
      <c r="S44" s="86">
        <f>_xlfn.XLOOKUP(C44,'Product List'!B:B,'Product List'!R:R)</f>
        <v>3.4</v>
      </c>
      <c r="T44" s="86">
        <f t="shared" si="1"/>
        <v>2284.8</v>
      </c>
      <c r="U44" s="86" t="s">
        <v>92</v>
      </c>
      <c r="V44" s="86"/>
    </row>
    <row r="45" customFormat="1" spans="1:22">
      <c r="A45" s="308">
        <v>46081</v>
      </c>
      <c r="B45" s="86" t="str">
        <f>_xlfn.XLOOKUP(C45,'Product List'!B:B,'Product List'!I:I)</f>
        <v>MMO-STARFISH CASTLE</v>
      </c>
      <c r="C45" s="135" t="s">
        <v>60</v>
      </c>
      <c r="D45" s="234">
        <f>VLOOKUP(C45,'Product List'!B:C,2,0)</f>
        <v>850030338433</v>
      </c>
      <c r="E45" s="201" t="s">
        <v>135</v>
      </c>
      <c r="F45" s="125">
        <v>1840</v>
      </c>
      <c r="G45" s="309">
        <v>46162</v>
      </c>
      <c r="H45" s="309">
        <v>46163</v>
      </c>
      <c r="I45" s="251">
        <v>46188</v>
      </c>
      <c r="J45" s="251">
        <v>46191</v>
      </c>
      <c r="K45" s="309" t="s">
        <v>130</v>
      </c>
      <c r="L45" s="124" t="str" cm="1">
        <f t="array" ref="L45">_xlfn.XLOOKUP(1,('Case Pack'!A:A=C45)*('Case Pack'!F:F&lt;=A45),'Case Pack'!G:G,"未找到箱规")</f>
        <v>C</v>
      </c>
      <c r="M45" s="124" cm="1">
        <f t="array" ref="M45">_xlfn.XLOOKUP(1,('Case Pack'!A:A=C45)*('Case Pack'!F:F&lt;=A45),'Case Pack'!D:D,"未找到箱规")</f>
        <v>20</v>
      </c>
      <c r="N45" s="125">
        <f t="shared" si="0"/>
        <v>92</v>
      </c>
      <c r="O45" s="310">
        <f>_xlfn.XLOOKUP(L45,'Case Type'!A:A,'Case Type'!H:H)*N45</f>
        <v>14.4730549248</v>
      </c>
      <c r="P45" s="86" t="s">
        <v>136</v>
      </c>
      <c r="Q45" s="86" t="s">
        <v>137</v>
      </c>
      <c r="R45" s="86" t="s">
        <v>138</v>
      </c>
      <c r="S45" s="86">
        <f>_xlfn.XLOOKUP(C45,'Product List'!B:B,'Product List'!R:R)</f>
        <v>2.81</v>
      </c>
      <c r="T45" s="86">
        <f t="shared" si="1"/>
        <v>5170.4</v>
      </c>
      <c r="U45" s="86" t="s">
        <v>92</v>
      </c>
      <c r="V45" s="86"/>
    </row>
    <row r="46" customFormat="1" spans="1:22">
      <c r="A46" s="308">
        <v>46081</v>
      </c>
      <c r="B46" s="86" t="str">
        <f>_xlfn.XLOOKUP(C46,'Product List'!B:B,'Product List'!I:I)</f>
        <v>MINI/MOE RUFFLE BOWL</v>
      </c>
      <c r="C46" s="135" t="s">
        <v>78</v>
      </c>
      <c r="D46" s="234">
        <f>VLOOKUP(C46,'Product List'!B:C,2,0)</f>
        <v>850030338969</v>
      </c>
      <c r="E46" s="201" t="s">
        <v>135</v>
      </c>
      <c r="F46" s="125">
        <v>2976</v>
      </c>
      <c r="G46" s="309">
        <v>46162</v>
      </c>
      <c r="H46" s="309">
        <v>46163</v>
      </c>
      <c r="I46" s="251">
        <v>46188</v>
      </c>
      <c r="J46" s="251">
        <v>46191</v>
      </c>
      <c r="K46" s="309" t="s">
        <v>130</v>
      </c>
      <c r="L46" s="124" t="str" cm="1">
        <f t="array" ref="L46">_xlfn.XLOOKUP(1,('Case Pack'!A:A=C46)*('Case Pack'!F:F&lt;=A46),'Case Pack'!G:G,"未找到箱规")</f>
        <v>B</v>
      </c>
      <c r="M46" s="124" cm="1">
        <f t="array" ref="M46">_xlfn.XLOOKUP(1,('Case Pack'!A:A=C46)*('Case Pack'!F:F&lt;=A46),'Case Pack'!D:D,"未找到箱规")</f>
        <v>48</v>
      </c>
      <c r="N46" s="125">
        <f t="shared" si="0"/>
        <v>62</v>
      </c>
      <c r="O46" s="310">
        <f>_xlfn.XLOOKUP(L46,'Case Type'!A:A,'Case Type'!H:H)*N46</f>
        <v>4.55167089664</v>
      </c>
      <c r="P46" s="86" t="s">
        <v>136</v>
      </c>
      <c r="Q46" s="86" t="s">
        <v>137</v>
      </c>
      <c r="R46" s="86" t="s">
        <v>138</v>
      </c>
      <c r="S46" s="86">
        <f>_xlfn.XLOOKUP(C46,'Product List'!B:B,'Product List'!R:R)</f>
        <v>1.34</v>
      </c>
      <c r="T46" s="86">
        <f t="shared" si="1"/>
        <v>3987.84</v>
      </c>
      <c r="U46" s="86" t="s">
        <v>92</v>
      </c>
      <c r="V46" s="86"/>
    </row>
    <row r="47" customFormat="1" spans="1:22">
      <c r="A47" s="308">
        <v>46081</v>
      </c>
      <c r="B47" s="86" t="str">
        <f>_xlfn.XLOOKUP(C47,'Product List'!B:B,'Product List'!I:I)</f>
        <v>MMO-PAPER PEBBLES</v>
      </c>
      <c r="C47" s="135" t="s">
        <v>81</v>
      </c>
      <c r="D47" s="234">
        <f>VLOOKUP(C47,'Product List'!B:C,2,0)</f>
        <v>850067049258</v>
      </c>
      <c r="E47" s="201" t="s">
        <v>135</v>
      </c>
      <c r="F47" s="125">
        <v>1740</v>
      </c>
      <c r="G47" s="309">
        <v>46162</v>
      </c>
      <c r="H47" s="309">
        <v>46163</v>
      </c>
      <c r="I47" s="251">
        <v>46188</v>
      </c>
      <c r="J47" s="251">
        <v>46191</v>
      </c>
      <c r="K47" s="309" t="s">
        <v>130</v>
      </c>
      <c r="L47" s="124" t="str" cm="1">
        <f t="array" ref="L47">_xlfn.XLOOKUP(1,('Case Pack'!A:A=C47)*('Case Pack'!F:F&lt;=A47),'Case Pack'!G:G,"未找到箱规")</f>
        <v>B</v>
      </c>
      <c r="M47" s="124" cm="1">
        <f t="array" ref="M47">_xlfn.XLOOKUP(1,('Case Pack'!A:A=C47)*('Case Pack'!F:F&lt;=A47),'Case Pack'!D:D,"未找到箱规")</f>
        <v>12</v>
      </c>
      <c r="N47" s="125">
        <f t="shared" si="0"/>
        <v>145</v>
      </c>
      <c r="O47" s="310">
        <f>_xlfn.XLOOKUP(L47,'Case Type'!A:A,'Case Type'!H:H)*N47</f>
        <v>10.6450367744</v>
      </c>
      <c r="P47" s="86" t="s">
        <v>136</v>
      </c>
      <c r="Q47" s="86" t="s">
        <v>137</v>
      </c>
      <c r="R47" s="86" t="s">
        <v>138</v>
      </c>
      <c r="S47" s="86">
        <f>_xlfn.XLOOKUP(C47,'Product List'!B:B,'Product List'!R:R)</f>
        <v>2.84</v>
      </c>
      <c r="T47" s="86">
        <f t="shared" si="1"/>
        <v>4941.6</v>
      </c>
      <c r="U47" s="86" t="s">
        <v>92</v>
      </c>
      <c r="V47" s="86"/>
    </row>
    <row r="48" customFormat="1" spans="1:22">
      <c r="A48" s="308">
        <v>46081</v>
      </c>
      <c r="B48" s="86" t="str">
        <f>_xlfn.XLOOKUP(C48,'Product List'!B:B,'Product List'!I:I)</f>
        <v>MMO-PAPER TWIST BLU/WHT</v>
      </c>
      <c r="C48" s="135" t="s">
        <v>68</v>
      </c>
      <c r="D48" s="234">
        <f>VLOOKUP(C48,'Product List'!B:C,2,0)</f>
        <v>850030338075</v>
      </c>
      <c r="E48" s="201" t="s">
        <v>135</v>
      </c>
      <c r="F48" s="125">
        <v>1920</v>
      </c>
      <c r="G48" s="309">
        <v>46162</v>
      </c>
      <c r="H48" s="309">
        <v>46163</v>
      </c>
      <c r="I48" s="251">
        <v>46188</v>
      </c>
      <c r="J48" s="251">
        <v>46191</v>
      </c>
      <c r="K48" s="309" t="s">
        <v>130</v>
      </c>
      <c r="L48" s="124" t="str" cm="1">
        <f t="array" ref="L48">_xlfn.XLOOKUP(1,('Case Pack'!A:A=C48)*('Case Pack'!F:F&lt;=A48),'Case Pack'!G:G,"未找到箱规")</f>
        <v>A</v>
      </c>
      <c r="M48" s="124" cm="1">
        <f t="array" ref="M48">_xlfn.XLOOKUP(1,('Case Pack'!A:A=C48)*('Case Pack'!F:F&lt;=A48),'Case Pack'!D:D,"未找到箱规")</f>
        <v>30</v>
      </c>
      <c r="N48" s="125">
        <f t="shared" si="0"/>
        <v>64</v>
      </c>
      <c r="O48" s="310">
        <f>_xlfn.XLOOKUP(L48,'Case Type'!A:A,'Case Type'!H:H)*N48</f>
        <v>7.04774848512</v>
      </c>
      <c r="P48" s="86" t="s">
        <v>136</v>
      </c>
      <c r="Q48" s="86" t="s">
        <v>137</v>
      </c>
      <c r="R48" s="86" t="s">
        <v>138</v>
      </c>
      <c r="S48" s="86">
        <f>_xlfn.XLOOKUP(C48,'Product List'!B:B,'Product List'!R:R)</f>
        <v>1.98</v>
      </c>
      <c r="T48" s="86">
        <f t="shared" si="1"/>
        <v>3801.6</v>
      </c>
      <c r="U48" s="86" t="s">
        <v>92</v>
      </c>
      <c r="V48" s="86"/>
    </row>
    <row r="49" customFormat="1" spans="1:22">
      <c r="A49" s="308">
        <v>46081</v>
      </c>
      <c r="B49" s="86" t="str">
        <f>_xlfn.XLOOKUP(C49,'Product List'!B:B,'Product List'!I:I)</f>
        <v>MMO-COTTON NESTING BALLS</v>
      </c>
      <c r="C49" s="135" t="s">
        <v>84</v>
      </c>
      <c r="D49" s="234">
        <f>VLOOKUP(C49,'Product List'!B:C,2,0)</f>
        <v>850030338198</v>
      </c>
      <c r="E49" s="201" t="s">
        <v>135</v>
      </c>
      <c r="F49" s="125">
        <v>2368</v>
      </c>
      <c r="G49" s="309">
        <v>46162</v>
      </c>
      <c r="H49" s="309">
        <v>46163</v>
      </c>
      <c r="I49" s="251">
        <v>46188</v>
      </c>
      <c r="J49" s="251">
        <v>46191</v>
      </c>
      <c r="K49" s="309" t="s">
        <v>130</v>
      </c>
      <c r="L49" s="124" t="str" cm="1">
        <f t="array" ref="L49">_xlfn.XLOOKUP(1,('Case Pack'!A:A=C49)*('Case Pack'!F:F&lt;=A49),'Case Pack'!G:G,"未找到箱规")</f>
        <v>A</v>
      </c>
      <c r="M49" s="124" cm="1">
        <f t="array" ref="M49">_xlfn.XLOOKUP(1,('Case Pack'!A:A=C49)*('Case Pack'!F:F&lt;=A49),'Case Pack'!D:D,"未找到箱规")</f>
        <v>32</v>
      </c>
      <c r="N49" s="125">
        <f t="shared" si="0"/>
        <v>74</v>
      </c>
      <c r="O49" s="310">
        <f>_xlfn.XLOOKUP(L49,'Case Type'!A:A,'Case Type'!H:H)*N49</f>
        <v>8.14895918592</v>
      </c>
      <c r="P49" s="86" t="s">
        <v>136</v>
      </c>
      <c r="Q49" s="86" t="s">
        <v>137</v>
      </c>
      <c r="R49" s="86" t="s">
        <v>138</v>
      </c>
      <c r="S49" s="86">
        <f>_xlfn.XLOOKUP(C49,'Product List'!B:B,'Product List'!R:R)</f>
        <v>1.64</v>
      </c>
      <c r="T49" s="86">
        <f t="shared" si="1"/>
        <v>3883.52</v>
      </c>
      <c r="U49" s="86" t="s">
        <v>92</v>
      </c>
      <c r="V49" s="86"/>
    </row>
    <row r="50" customFormat="1" spans="1:22">
      <c r="A50" s="308">
        <v>46081</v>
      </c>
      <c r="B50" s="86" t="str">
        <f>_xlfn.XLOOKUP(C50,'Product List'!B:B,'Product List'!I:I)</f>
        <v>MMO-WAVE BRIDGE</v>
      </c>
      <c r="C50" s="135" t="s">
        <v>61</v>
      </c>
      <c r="D50" s="234">
        <f>VLOOKUP(C50,'Product List'!B:C,2,0)</f>
        <v>850030338440</v>
      </c>
      <c r="E50" s="201" t="s">
        <v>135</v>
      </c>
      <c r="F50" s="125">
        <v>2079</v>
      </c>
      <c r="G50" s="309">
        <v>46157</v>
      </c>
      <c r="H50" s="309">
        <v>46160</v>
      </c>
      <c r="I50" s="251">
        <v>46203</v>
      </c>
      <c r="J50" s="251">
        <v>46183</v>
      </c>
      <c r="K50" s="309" t="s">
        <v>130</v>
      </c>
      <c r="L50" s="124" t="str" cm="1">
        <f t="array" ref="L50">_xlfn.XLOOKUP(1,('Case Pack'!A:A=C50)*('Case Pack'!F:F&lt;=A50),'Case Pack'!G:G,"未找到箱规")</f>
        <v>C</v>
      </c>
      <c r="M50" s="124" cm="1">
        <f t="array" ref="M50">_xlfn.XLOOKUP(1,('Case Pack'!A:A=C50)*('Case Pack'!F:F&lt;=A50),'Case Pack'!D:D,"未找到箱规")</f>
        <v>33</v>
      </c>
      <c r="N50" s="125">
        <f t="shared" si="0"/>
        <v>63</v>
      </c>
      <c r="O50" s="310">
        <f>_xlfn.XLOOKUP(L50,'Case Type'!A:A,'Case Type'!H:H)*N50</f>
        <v>9.9108963072</v>
      </c>
      <c r="P50" s="86" t="s">
        <v>139</v>
      </c>
      <c r="Q50" s="86" t="s">
        <v>140</v>
      </c>
      <c r="R50" s="86" t="s">
        <v>141</v>
      </c>
      <c r="S50" s="86">
        <f>_xlfn.XLOOKUP(C50,'Product List'!B:B,'Product List'!R:R)</f>
        <v>2.79</v>
      </c>
      <c r="T50" s="86">
        <f t="shared" si="1"/>
        <v>5800.41</v>
      </c>
      <c r="U50" s="86" t="s">
        <v>92</v>
      </c>
      <c r="V50" s="86"/>
    </row>
    <row r="51" customFormat="1" spans="1:22">
      <c r="A51" s="308">
        <v>46079</v>
      </c>
      <c r="B51" s="86" t="str">
        <f>_xlfn.XLOOKUP(C51,'Product List'!B:B,'Product List'!I:I)</f>
        <v>MINI/MOE TV VIEWING CAGE</v>
      </c>
      <c r="C51" s="135" t="s">
        <v>50</v>
      </c>
      <c r="D51" s="234">
        <f>VLOOKUP(C51,'Product List'!B:C,2,0)</f>
        <v>850030338761</v>
      </c>
      <c r="E51" s="201" t="s">
        <v>142</v>
      </c>
      <c r="F51" s="125">
        <v>1108</v>
      </c>
      <c r="G51" s="309" t="s">
        <v>130</v>
      </c>
      <c r="H51" s="309" t="s">
        <v>130</v>
      </c>
      <c r="I51" s="251">
        <v>46160</v>
      </c>
      <c r="J51" s="251">
        <v>46154</v>
      </c>
      <c r="K51" s="309" t="s">
        <v>130</v>
      </c>
      <c r="L51" s="124" t="str" cm="1">
        <f t="array" ref="L51">_xlfn.XLOOKUP(1,('Case Pack'!A:A=C51)*('Case Pack'!F:F&lt;=A51),'Case Pack'!G:G,"未找到箱规")</f>
        <v>S1</v>
      </c>
      <c r="M51" s="124" cm="1">
        <f t="array" ref="M51">_xlfn.XLOOKUP(1,('Case Pack'!A:A=C51)*('Case Pack'!F:F&lt;=A51),'Case Pack'!D:D,"未找到箱规")</f>
        <v>1</v>
      </c>
      <c r="N51" s="125">
        <f t="shared" si="0"/>
        <v>1108</v>
      </c>
      <c r="O51" s="310">
        <f>_xlfn.XLOOKUP(L51,'Case Type'!A:A,'Case Type'!H:H)*N51</f>
        <v>81.994520311092</v>
      </c>
      <c r="P51" s="86" t="s">
        <v>130</v>
      </c>
      <c r="Q51" s="86" t="s">
        <v>130</v>
      </c>
      <c r="R51" s="86" t="s">
        <v>130</v>
      </c>
      <c r="S51" s="86">
        <f>_xlfn.XLOOKUP(C51,'Product List'!B:B,'Product List'!R:R)</f>
        <v>24.09</v>
      </c>
      <c r="T51" s="86">
        <f t="shared" si="1"/>
        <v>26691.72</v>
      </c>
      <c r="U51" s="86" t="s">
        <v>92</v>
      </c>
      <c r="V51" s="86"/>
    </row>
    <row r="52" customFormat="1" spans="1:22">
      <c r="A52" s="308">
        <v>46079</v>
      </c>
      <c r="B52" s="86" t="str">
        <f>_xlfn.XLOOKUP(C52,'Product List'!B:B,'Product List'!I:I)</f>
        <v>MINI/MOE SILENT CRSTL RUN WHEEL XL 11.5 1EA</v>
      </c>
      <c r="C52" s="135" t="s">
        <v>76</v>
      </c>
      <c r="D52" s="234">
        <f>VLOOKUP(C52,'Product List'!B:C,2,0)</f>
        <v>850030338518</v>
      </c>
      <c r="E52" s="201" t="s">
        <v>142</v>
      </c>
      <c r="F52" s="125">
        <v>1260</v>
      </c>
      <c r="G52" s="309" t="s">
        <v>130</v>
      </c>
      <c r="H52" s="309" t="s">
        <v>130</v>
      </c>
      <c r="I52" s="251">
        <v>46160</v>
      </c>
      <c r="J52" s="251">
        <v>46167</v>
      </c>
      <c r="K52" s="309" t="s">
        <v>130</v>
      </c>
      <c r="L52" s="124" t="str" cm="1">
        <f t="array" ref="L52">_xlfn.XLOOKUP(1,('Case Pack'!A:A=C52)*('Case Pack'!F:F&lt;=A52),'Case Pack'!G:G,"未找到箱规")</f>
        <v>C</v>
      </c>
      <c r="M52" s="124" cm="1">
        <f t="array" ref="M52">_xlfn.XLOOKUP(1,('Case Pack'!A:A=C52)*('Case Pack'!F:F&lt;=A52),'Case Pack'!D:D,"未找到箱规")</f>
        <v>3</v>
      </c>
      <c r="N52" s="125">
        <f t="shared" si="0"/>
        <v>420</v>
      </c>
      <c r="O52" s="310">
        <f>_xlfn.XLOOKUP(L52,'Case Type'!A:A,'Case Type'!H:H)*N52</f>
        <v>66.072642048</v>
      </c>
      <c r="P52" s="86" t="s">
        <v>130</v>
      </c>
      <c r="Q52" s="86" t="s">
        <v>130</v>
      </c>
      <c r="R52" s="86" t="s">
        <v>130</v>
      </c>
      <c r="S52" s="86">
        <f>_xlfn.XLOOKUP(C52,'Product List'!B:B,'Product List'!R:R)</f>
        <v>10.42</v>
      </c>
      <c r="T52" s="86">
        <f t="shared" si="1"/>
        <v>13129.2</v>
      </c>
      <c r="U52" s="86" t="s">
        <v>92</v>
      </c>
      <c r="V52" s="86"/>
    </row>
    <row r="53" customFormat="1" spans="1:22">
      <c r="A53" s="308">
        <v>46079</v>
      </c>
      <c r="B53" s="86" t="str">
        <f>_xlfn.XLOOKUP(C53,'Product List'!B:B,'Product List'!I:I)</f>
        <v>D. MMO-COTTAGE VIEW CAGE</v>
      </c>
      <c r="C53" s="135" t="s">
        <v>64</v>
      </c>
      <c r="D53" s="234">
        <f>VLOOKUP(C53,'Product List'!B:C,2,0)</f>
        <v>850030338730</v>
      </c>
      <c r="E53" s="201" t="s">
        <v>142</v>
      </c>
      <c r="F53" s="125">
        <v>734</v>
      </c>
      <c r="G53" s="309" t="s">
        <v>130</v>
      </c>
      <c r="H53" s="309" t="s">
        <v>130</v>
      </c>
      <c r="I53" s="251">
        <v>46160</v>
      </c>
      <c r="J53" s="251">
        <v>46154</v>
      </c>
      <c r="K53" s="309" t="s">
        <v>130</v>
      </c>
      <c r="L53" s="124" t="str" cm="1">
        <f t="array" ref="L53">_xlfn.XLOOKUP(1,('Case Pack'!A:A=C53)*('Case Pack'!F:F&lt;=A53),'Case Pack'!G:G,"未找到箱规")</f>
        <v>S3</v>
      </c>
      <c r="M53" s="124" cm="1">
        <f t="array" ref="M53">_xlfn.XLOOKUP(1,('Case Pack'!A:A=C53)*('Case Pack'!F:F&lt;=A53),'Case Pack'!D:D,"未找到箱规")</f>
        <v>1</v>
      </c>
      <c r="N53" s="125">
        <f t="shared" si="0"/>
        <v>734</v>
      </c>
      <c r="O53" s="310">
        <f>_xlfn.XLOOKUP(L53,'Case Type'!A:A,'Case Type'!H:H)*N53</f>
        <v>104.422988350736</v>
      </c>
      <c r="P53" s="86" t="s">
        <v>130</v>
      </c>
      <c r="Q53" s="86" t="s">
        <v>130</v>
      </c>
      <c r="R53" s="86" t="s">
        <v>130</v>
      </c>
      <c r="S53" s="86">
        <f>_xlfn.XLOOKUP(C53,'Product List'!B:B,'Product List'!R:R)</f>
        <v>28.56</v>
      </c>
      <c r="T53" s="86">
        <f t="shared" si="1"/>
        <v>20963.04</v>
      </c>
      <c r="U53" s="86" t="s">
        <v>92</v>
      </c>
      <c r="V53" s="86"/>
    </row>
    <row r="54" customFormat="1" spans="1:22">
      <c r="A54" s="308">
        <v>46079</v>
      </c>
      <c r="B54" s="86" t="str">
        <f>_xlfn.XLOOKUP(C54,'Product List'!B:B,'Product List'!I:I)</f>
        <v>MINI/MOE SILENT CRSTL RUN WHEEL LG 8.5-Green</v>
      </c>
      <c r="C54" s="135" t="s">
        <v>28</v>
      </c>
      <c r="D54" s="234">
        <f>VLOOKUP(C54,'Product List'!B:C,2,0)</f>
        <v>698746777135</v>
      </c>
      <c r="E54" s="201" t="s">
        <v>142</v>
      </c>
      <c r="F54" s="125">
        <v>696</v>
      </c>
      <c r="G54" s="309" t="s">
        <v>130</v>
      </c>
      <c r="H54" s="309" t="s">
        <v>130</v>
      </c>
      <c r="I54" s="251">
        <v>46160</v>
      </c>
      <c r="J54" s="251">
        <v>46154</v>
      </c>
      <c r="K54" s="309" t="s">
        <v>130</v>
      </c>
      <c r="L54" s="124" t="str" cm="1">
        <f t="array" ref="L54">_xlfn.XLOOKUP(1,('Case Pack'!A:A=C54)*('Case Pack'!F:F&lt;=A54),'Case Pack'!G:G,"未找到箱规")</f>
        <v>C</v>
      </c>
      <c r="M54" s="124" cm="1">
        <f t="array" ref="M54">_xlfn.XLOOKUP(1,('Case Pack'!A:A=C54)*('Case Pack'!F:F&lt;=A54),'Case Pack'!D:D,"未找到箱规")</f>
        <v>8</v>
      </c>
      <c r="N54" s="125">
        <f t="shared" si="0"/>
        <v>87</v>
      </c>
      <c r="O54" s="310">
        <f>_xlfn.XLOOKUP(L54,'Case Type'!A:A,'Case Type'!H:H)*N54</f>
        <v>13.6864758528</v>
      </c>
      <c r="P54" s="86" t="s">
        <v>130</v>
      </c>
      <c r="Q54" s="86" t="s">
        <v>130</v>
      </c>
      <c r="R54" s="86" t="s">
        <v>130</v>
      </c>
      <c r="S54" s="86">
        <f>_xlfn.XLOOKUP(C54,'Product List'!B:B,'Product List'!R:R)</f>
        <v>6.27</v>
      </c>
      <c r="T54" s="86">
        <f t="shared" si="1"/>
        <v>4363.92</v>
      </c>
      <c r="U54" s="86" t="s">
        <v>92</v>
      </c>
      <c r="V54" s="86"/>
    </row>
    <row r="55" customFormat="1" spans="1:22">
      <c r="A55" s="308">
        <v>46079</v>
      </c>
      <c r="B55" s="86" t="str">
        <f>_xlfn.XLOOKUP(C55,'Product List'!B:B,'Product List'!I:I)</f>
        <v>MINI/MOE WOODLAND POTTY</v>
      </c>
      <c r="C55" s="135" t="s">
        <v>79</v>
      </c>
      <c r="D55" s="234">
        <f>VLOOKUP(C55,'Product List'!B:C,2,0)</f>
        <v>760762457077</v>
      </c>
      <c r="E55" s="201" t="s">
        <v>142</v>
      </c>
      <c r="F55" s="125">
        <v>792</v>
      </c>
      <c r="G55" s="309" t="s">
        <v>130</v>
      </c>
      <c r="H55" s="309" t="s">
        <v>130</v>
      </c>
      <c r="I55" s="251">
        <v>46160</v>
      </c>
      <c r="J55" s="251">
        <v>46154</v>
      </c>
      <c r="K55" s="309" t="s">
        <v>130</v>
      </c>
      <c r="L55" s="124" t="str" cm="1">
        <f t="array" ref="L55">_xlfn.XLOOKUP(1,('Case Pack'!A:A=C55)*('Case Pack'!F:F&lt;=A55),'Case Pack'!G:G,"未找到箱规")</f>
        <v>C</v>
      </c>
      <c r="M55" s="124" cm="1">
        <f t="array" ref="M55">_xlfn.XLOOKUP(1,('Case Pack'!A:A=C55)*('Case Pack'!F:F&lt;=A55),'Case Pack'!D:D,"未找到箱规")</f>
        <v>36</v>
      </c>
      <c r="N55" s="125">
        <f t="shared" si="0"/>
        <v>22</v>
      </c>
      <c r="O55" s="310">
        <f>_xlfn.XLOOKUP(L55,'Case Type'!A:A,'Case Type'!H:H)*N55</f>
        <v>3.4609479168</v>
      </c>
      <c r="P55" s="86" t="s">
        <v>130</v>
      </c>
      <c r="Q55" s="86" t="s">
        <v>130</v>
      </c>
      <c r="R55" s="86" t="s">
        <v>130</v>
      </c>
      <c r="S55" s="86">
        <f>_xlfn.XLOOKUP(C55,'Product List'!B:B,'Product List'!R:R)</f>
        <v>1.19</v>
      </c>
      <c r="T55" s="86">
        <f t="shared" si="1"/>
        <v>942.48</v>
      </c>
      <c r="U55" s="86" t="s">
        <v>92</v>
      </c>
      <c r="V55" s="86"/>
    </row>
    <row r="56" customFormat="1" spans="1:22">
      <c r="A56" s="308">
        <v>46079</v>
      </c>
      <c r="B56" s="86" t="str">
        <f>_xlfn.XLOOKUP(C56,'Product List'!B:B,'Product List'!I:I)</f>
        <v>MINI/MOE TULIP WATER BOTTLE</v>
      </c>
      <c r="C56" s="135" t="s">
        <v>52</v>
      </c>
      <c r="D56" s="234">
        <f>VLOOKUP(C56,'Product List'!B:C,2,0)</f>
        <v>850062627567</v>
      </c>
      <c r="E56" s="201" t="s">
        <v>142</v>
      </c>
      <c r="F56" s="125">
        <v>1140</v>
      </c>
      <c r="G56" s="309" t="s">
        <v>130</v>
      </c>
      <c r="H56" s="309" t="s">
        <v>130</v>
      </c>
      <c r="I56" s="251">
        <v>46160</v>
      </c>
      <c r="J56" s="251">
        <v>46154</v>
      </c>
      <c r="K56" s="309" t="s">
        <v>130</v>
      </c>
      <c r="L56" s="124" t="str" cm="1">
        <f t="array" ref="L56">_xlfn.XLOOKUP(1,('Case Pack'!A:A=C56)*('Case Pack'!F:F&lt;=A56),'Case Pack'!G:G,"未找到箱规")</f>
        <v>C</v>
      </c>
      <c r="M56" s="124" cm="1">
        <f t="array" ref="M56">_xlfn.XLOOKUP(1,('Case Pack'!A:A=C56)*('Case Pack'!F:F&lt;=A56),'Case Pack'!D:D,"未找到箱规")</f>
        <v>60</v>
      </c>
      <c r="N56" s="125">
        <f t="shared" si="0"/>
        <v>19</v>
      </c>
      <c r="O56" s="310">
        <f>_xlfn.XLOOKUP(L56,'Case Type'!A:A,'Case Type'!H:H)*N56</f>
        <v>2.9890004736</v>
      </c>
      <c r="P56" s="86" t="s">
        <v>130</v>
      </c>
      <c r="Q56" s="86" t="s">
        <v>130</v>
      </c>
      <c r="R56" s="86" t="s">
        <v>130</v>
      </c>
      <c r="S56" s="86">
        <f>_xlfn.XLOOKUP(C56,'Product List'!B:B,'Product List'!R:R)</f>
        <v>0.73</v>
      </c>
      <c r="T56" s="86">
        <f t="shared" si="1"/>
        <v>832.2</v>
      </c>
      <c r="U56" s="86" t="s">
        <v>92</v>
      </c>
      <c r="V56" s="86"/>
    </row>
    <row r="57" customFormat="1" spans="1:22">
      <c r="A57" s="308">
        <v>46079</v>
      </c>
      <c r="B57" s="86" t="str">
        <f>_xlfn.XLOOKUP(C57,'Product List'!B:B,'Product List'!I:I)</f>
        <v>MINI/MOE GARDEN TEAPOT</v>
      </c>
      <c r="C57" s="135" t="s">
        <v>43</v>
      </c>
      <c r="D57" s="234">
        <f>VLOOKUP(C57,'Product List'!B:C,2,0)</f>
        <v>760762457015</v>
      </c>
      <c r="E57" s="201" t="s">
        <v>142</v>
      </c>
      <c r="F57" s="125">
        <v>210</v>
      </c>
      <c r="G57" s="309" t="s">
        <v>130</v>
      </c>
      <c r="H57" s="309" t="s">
        <v>130</v>
      </c>
      <c r="I57" s="251">
        <v>46160</v>
      </c>
      <c r="J57" s="251">
        <v>46154</v>
      </c>
      <c r="K57" s="309" t="s">
        <v>130</v>
      </c>
      <c r="L57" s="124" t="str" cm="1">
        <f t="array" ref="L57">_xlfn.XLOOKUP(1,('Case Pack'!A:A=C57)*('Case Pack'!F:F&lt;=A57),'Case Pack'!G:G,"未找到箱规")</f>
        <v>C</v>
      </c>
      <c r="M57" s="124" cm="1">
        <f t="array" ref="M57">_xlfn.XLOOKUP(1,('Case Pack'!A:A=C57)*('Case Pack'!F:F&lt;=A57),'Case Pack'!D:D,"未找到箱规")</f>
        <v>30</v>
      </c>
      <c r="N57" s="125">
        <f t="shared" si="0"/>
        <v>7</v>
      </c>
      <c r="O57" s="310">
        <f>_xlfn.XLOOKUP(L57,'Case Type'!A:A,'Case Type'!H:H)*N57</f>
        <v>1.1012107008</v>
      </c>
      <c r="P57" s="86" t="s">
        <v>130</v>
      </c>
      <c r="Q57" s="86" t="s">
        <v>130</v>
      </c>
      <c r="R57" s="86" t="s">
        <v>130</v>
      </c>
      <c r="S57" s="86">
        <f>_xlfn.XLOOKUP(C57,'Product List'!B:B,'Product List'!R:R)</f>
        <v>2.25</v>
      </c>
      <c r="T57" s="86">
        <f t="shared" si="1"/>
        <v>472.5</v>
      </c>
      <c r="U57" s="86" t="s">
        <v>92</v>
      </c>
      <c r="V57" s="86"/>
    </row>
    <row r="58" customFormat="1" spans="1:22">
      <c r="A58" s="308">
        <v>46079</v>
      </c>
      <c r="B58" s="86" t="str">
        <f>_xlfn.XLOOKUP(C58,'Product List'!B:B,'Product List'!I:I)</f>
        <v>MINI/MOE MUSHROOM CABIN</v>
      </c>
      <c r="C58" s="135" t="s">
        <v>39</v>
      </c>
      <c r="D58" s="234">
        <f>VLOOKUP(C58,'Product List'!B:C,2,0)</f>
        <v>760762457008</v>
      </c>
      <c r="E58" s="201" t="s">
        <v>142</v>
      </c>
      <c r="F58" s="125">
        <v>528</v>
      </c>
      <c r="G58" s="309" t="s">
        <v>130</v>
      </c>
      <c r="H58" s="309" t="s">
        <v>130</v>
      </c>
      <c r="I58" s="251">
        <v>46148</v>
      </c>
      <c r="J58" s="251">
        <v>46149</v>
      </c>
      <c r="K58" s="309" t="s">
        <v>130</v>
      </c>
      <c r="L58" s="124" t="str" cm="1">
        <f t="array" ref="L58">_xlfn.XLOOKUP(1,('Case Pack'!A:A=C58)*('Case Pack'!F:F&lt;=A58),'Case Pack'!G:G,"未找到箱规")</f>
        <v>C</v>
      </c>
      <c r="M58" s="124" cm="1">
        <f t="array" ref="M58">_xlfn.XLOOKUP(1,('Case Pack'!A:A=C58)*('Case Pack'!F:F&lt;=A58),'Case Pack'!D:D,"未找到箱规")</f>
        <v>16</v>
      </c>
      <c r="N58" s="125">
        <f t="shared" si="0"/>
        <v>33</v>
      </c>
      <c r="O58" s="310">
        <f>_xlfn.XLOOKUP(L58,'Case Type'!A:A,'Case Type'!H:H)*N58</f>
        <v>5.1914218752</v>
      </c>
      <c r="P58" s="86" t="s">
        <v>130</v>
      </c>
      <c r="Q58" s="86" t="s">
        <v>130</v>
      </c>
      <c r="R58" s="86" t="s">
        <v>130</v>
      </c>
      <c r="S58" s="86">
        <f>_xlfn.XLOOKUP(C58,'Product List'!B:B,'Product List'!R:R)</f>
        <v>3.2</v>
      </c>
      <c r="T58" s="86">
        <f t="shared" si="1"/>
        <v>1689.6</v>
      </c>
      <c r="U58" s="86" t="s">
        <v>92</v>
      </c>
      <c r="V58" s="86"/>
    </row>
    <row r="59" customFormat="1" spans="1:22">
      <c r="A59" s="308">
        <v>46079</v>
      </c>
      <c r="B59" s="86" t="str">
        <f>_xlfn.XLOOKUP(C59,'Product List'!B:B,'Product List'!I:I)</f>
        <v>MINI/MOE TREEHOUSE CABIN</v>
      </c>
      <c r="C59" s="135" t="s">
        <v>41</v>
      </c>
      <c r="D59" s="234">
        <f>VLOOKUP(C59,'Product List'!B:C,2,0)</f>
        <v>760762457022</v>
      </c>
      <c r="E59" s="201" t="s">
        <v>142</v>
      </c>
      <c r="F59" s="125">
        <v>570</v>
      </c>
      <c r="G59" s="309" t="s">
        <v>130</v>
      </c>
      <c r="H59" s="309" t="s">
        <v>130</v>
      </c>
      <c r="I59" s="251">
        <v>46148</v>
      </c>
      <c r="J59" s="251">
        <v>46149</v>
      </c>
      <c r="K59" s="309" t="s">
        <v>130</v>
      </c>
      <c r="L59" s="124" t="str" cm="1">
        <f t="array" ref="L59">_xlfn.XLOOKUP(1,('Case Pack'!A:A=C59)*('Case Pack'!F:F&lt;=A59),'Case Pack'!G:G,"未找到箱规")</f>
        <v>C</v>
      </c>
      <c r="M59" s="124" cm="1">
        <f t="array" ref="M59">_xlfn.XLOOKUP(1,('Case Pack'!A:A=C59)*('Case Pack'!F:F&lt;=A59),'Case Pack'!D:D,"未找到箱规")</f>
        <v>30</v>
      </c>
      <c r="N59" s="125">
        <f t="shared" si="0"/>
        <v>19</v>
      </c>
      <c r="O59" s="310">
        <f>_xlfn.XLOOKUP(L59,'Case Type'!A:A,'Case Type'!H:H)*N59</f>
        <v>2.9890004736</v>
      </c>
      <c r="P59" s="86" t="s">
        <v>130</v>
      </c>
      <c r="Q59" s="86" t="s">
        <v>130</v>
      </c>
      <c r="R59" s="86" t="s">
        <v>130</v>
      </c>
      <c r="S59" s="86">
        <f>_xlfn.XLOOKUP(C59,'Product List'!B:B,'Product List'!R:R)</f>
        <v>2.07</v>
      </c>
      <c r="T59" s="86">
        <f t="shared" si="1"/>
        <v>1179.9</v>
      </c>
      <c r="U59" s="86" t="s">
        <v>92</v>
      </c>
      <c r="V59" s="86"/>
    </row>
    <row r="60" customFormat="1" spans="1:22">
      <c r="A60" s="308">
        <v>46079</v>
      </c>
      <c r="B60" s="86" t="str">
        <f>_xlfn.XLOOKUP(C60,'Product List'!B:B,'Product List'!I:I)</f>
        <v>MINI/MOE CAMPING TENT HIDE</v>
      </c>
      <c r="C60" s="135" t="s">
        <v>73</v>
      </c>
      <c r="D60" s="234">
        <f>VLOOKUP(C60,'Product List'!B:C,2,0)</f>
        <v>850030338082</v>
      </c>
      <c r="E60" s="201" t="s">
        <v>142</v>
      </c>
      <c r="F60" s="125">
        <v>576</v>
      </c>
      <c r="G60" s="309" t="s">
        <v>130</v>
      </c>
      <c r="H60" s="309" t="s">
        <v>130</v>
      </c>
      <c r="I60" s="251">
        <v>46148</v>
      </c>
      <c r="J60" s="251">
        <v>46149</v>
      </c>
      <c r="K60" s="309" t="s">
        <v>130</v>
      </c>
      <c r="L60" s="124" t="str" cm="1">
        <f t="array" ref="L60">_xlfn.XLOOKUP(1,('Case Pack'!A:A=C60)*('Case Pack'!F:F&lt;=A60),'Case Pack'!G:G,"未找到箱规")</f>
        <v>B</v>
      </c>
      <c r="M60" s="124" cm="1">
        <f t="array" ref="M60">_xlfn.XLOOKUP(1,('Case Pack'!A:A=C60)*('Case Pack'!F:F&lt;=A60),'Case Pack'!D:D,"未找到箱规")</f>
        <v>12</v>
      </c>
      <c r="N60" s="125">
        <f t="shared" si="0"/>
        <v>48</v>
      </c>
      <c r="O60" s="310">
        <f>_xlfn.XLOOKUP(L60,'Case Type'!A:A,'Case Type'!H:H)*N60</f>
        <v>3.52387424256</v>
      </c>
      <c r="P60" s="86" t="s">
        <v>130</v>
      </c>
      <c r="Q60" s="86" t="s">
        <v>130</v>
      </c>
      <c r="R60" s="86" t="s">
        <v>130</v>
      </c>
      <c r="S60" s="86">
        <f>_xlfn.XLOOKUP(C60,'Product List'!B:B,'Product List'!R:R)</f>
        <v>1.96</v>
      </c>
      <c r="T60" s="86">
        <f t="shared" si="1"/>
        <v>1128.96</v>
      </c>
      <c r="U60" s="86" t="s">
        <v>92</v>
      </c>
      <c r="V60" s="86"/>
    </row>
    <row r="61" customFormat="1" spans="1:22">
      <c r="A61" s="308">
        <v>46079</v>
      </c>
      <c r="B61" s="86" t="str">
        <f>_xlfn.XLOOKUP(C61,'Product List'!B:B,'Product List'!I:I)</f>
        <v>MINI/MOE MUSHROOM CABIN</v>
      </c>
      <c r="C61" s="135" t="s">
        <v>39</v>
      </c>
      <c r="D61" s="234">
        <f>VLOOKUP(C61,'Product List'!B:C,2,0)</f>
        <v>760762457008</v>
      </c>
      <c r="E61" s="201" t="s">
        <v>142</v>
      </c>
      <c r="F61" s="125">
        <v>816</v>
      </c>
      <c r="G61" s="309">
        <v>46157</v>
      </c>
      <c r="H61" s="309">
        <v>46160</v>
      </c>
      <c r="I61" s="251">
        <v>46180</v>
      </c>
      <c r="J61" s="251">
        <v>46183</v>
      </c>
      <c r="K61" s="309" t="s">
        <v>130</v>
      </c>
      <c r="L61" s="124" t="str" cm="1">
        <f t="array" ref="L61">_xlfn.XLOOKUP(1,('Case Pack'!A:A=C61)*('Case Pack'!F:F&lt;=A61),'Case Pack'!G:G,"未找到箱规")</f>
        <v>C</v>
      </c>
      <c r="M61" s="124" cm="1">
        <f t="array" ref="M61">_xlfn.XLOOKUP(1,('Case Pack'!A:A=C61)*('Case Pack'!F:F&lt;=A61),'Case Pack'!D:D,"未找到箱规")</f>
        <v>16</v>
      </c>
      <c r="N61" s="125">
        <f t="shared" si="0"/>
        <v>51</v>
      </c>
      <c r="O61" s="310">
        <f>_xlfn.XLOOKUP(L61,'Case Type'!A:A,'Case Type'!H:H)*N61</f>
        <v>8.0231065344</v>
      </c>
      <c r="P61" s="86" t="s">
        <v>139</v>
      </c>
      <c r="Q61" s="86" t="s">
        <v>140</v>
      </c>
      <c r="R61" s="86" t="s">
        <v>141</v>
      </c>
      <c r="S61" s="86">
        <f>_xlfn.XLOOKUP(C61,'Product List'!B:B,'Product List'!R:R)</f>
        <v>3.2</v>
      </c>
      <c r="T61" s="86">
        <f t="shared" si="1"/>
        <v>2611.2</v>
      </c>
      <c r="U61" s="86" t="s">
        <v>92</v>
      </c>
      <c r="V61" s="86"/>
    </row>
    <row r="62" customFormat="1" spans="1:22">
      <c r="A62" s="308">
        <v>46079</v>
      </c>
      <c r="B62" s="86" t="str">
        <f>_xlfn.XLOOKUP(C62,'Product List'!B:B,'Product List'!I:I)</f>
        <v>MINI/MOE GARDEN TEAPOT</v>
      </c>
      <c r="C62" s="135" t="s">
        <v>43</v>
      </c>
      <c r="D62" s="234">
        <f>VLOOKUP(C62,'Product List'!B:C,2,0)</f>
        <v>760762457015</v>
      </c>
      <c r="E62" s="201" t="s">
        <v>142</v>
      </c>
      <c r="F62" s="125">
        <v>1230</v>
      </c>
      <c r="G62" s="309">
        <v>46157</v>
      </c>
      <c r="H62" s="309">
        <v>46160</v>
      </c>
      <c r="I62" s="251">
        <v>46180</v>
      </c>
      <c r="J62" s="251">
        <v>46183</v>
      </c>
      <c r="K62" s="309" t="s">
        <v>130</v>
      </c>
      <c r="L62" s="124" t="str" cm="1">
        <f t="array" ref="L62">_xlfn.XLOOKUP(1,('Case Pack'!A:A=C62)*('Case Pack'!F:F&lt;=A62),'Case Pack'!G:G,"未找到箱规")</f>
        <v>C</v>
      </c>
      <c r="M62" s="124" cm="1">
        <f t="array" ref="M62">_xlfn.XLOOKUP(1,('Case Pack'!A:A=C62)*('Case Pack'!F:F&lt;=A62),'Case Pack'!D:D,"未找到箱规")</f>
        <v>30</v>
      </c>
      <c r="N62" s="125">
        <f t="shared" si="0"/>
        <v>41</v>
      </c>
      <c r="O62" s="310">
        <f>_xlfn.XLOOKUP(L62,'Case Type'!A:A,'Case Type'!H:H)*N62</f>
        <v>6.4499483904</v>
      </c>
      <c r="P62" s="86" t="s">
        <v>139</v>
      </c>
      <c r="Q62" s="86" t="s">
        <v>140</v>
      </c>
      <c r="R62" s="86" t="s">
        <v>141</v>
      </c>
      <c r="S62" s="86">
        <f>_xlfn.XLOOKUP(C62,'Product List'!B:B,'Product List'!R:R)</f>
        <v>2.25</v>
      </c>
      <c r="T62" s="86">
        <f t="shared" si="1"/>
        <v>2767.5</v>
      </c>
      <c r="U62" s="86" t="s">
        <v>92</v>
      </c>
      <c r="V62" s="86"/>
    </row>
    <row r="63" customFormat="1" spans="1:22">
      <c r="A63" s="308">
        <v>46079</v>
      </c>
      <c r="B63" s="86" t="str">
        <f>_xlfn.XLOOKUP(C63,'Product List'!B:B,'Product List'!I:I)</f>
        <v>MINI/MOE TREEHOUSE CABIN</v>
      </c>
      <c r="C63" s="135" t="s">
        <v>41</v>
      </c>
      <c r="D63" s="234">
        <f>VLOOKUP(C63,'Product List'!B:C,2,0)</f>
        <v>760762457022</v>
      </c>
      <c r="E63" s="201" t="s">
        <v>142</v>
      </c>
      <c r="F63" s="125">
        <v>780</v>
      </c>
      <c r="G63" s="309">
        <v>46157</v>
      </c>
      <c r="H63" s="309">
        <v>46160</v>
      </c>
      <c r="I63" s="251">
        <v>46180</v>
      </c>
      <c r="J63" s="251">
        <v>46183</v>
      </c>
      <c r="K63" s="309" t="s">
        <v>130</v>
      </c>
      <c r="L63" s="124" t="str" cm="1">
        <f t="array" ref="L63">_xlfn.XLOOKUP(1,('Case Pack'!A:A=C63)*('Case Pack'!F:F&lt;=A63),'Case Pack'!G:G,"未找到箱规")</f>
        <v>C</v>
      </c>
      <c r="M63" s="124" cm="1">
        <f t="array" ref="M63">_xlfn.XLOOKUP(1,('Case Pack'!A:A=C63)*('Case Pack'!F:F&lt;=A63),'Case Pack'!D:D,"未找到箱规")</f>
        <v>30</v>
      </c>
      <c r="N63" s="125">
        <f t="shared" si="0"/>
        <v>26</v>
      </c>
      <c r="O63" s="310">
        <f>_xlfn.XLOOKUP(L63,'Case Type'!A:A,'Case Type'!H:H)*N63</f>
        <v>4.0902111744</v>
      </c>
      <c r="P63" s="86" t="s">
        <v>139</v>
      </c>
      <c r="Q63" s="86" t="s">
        <v>140</v>
      </c>
      <c r="R63" s="86" t="s">
        <v>141</v>
      </c>
      <c r="S63" s="86">
        <f>_xlfn.XLOOKUP(C63,'Product List'!B:B,'Product List'!R:R)</f>
        <v>2.07</v>
      </c>
      <c r="T63" s="86">
        <f t="shared" si="1"/>
        <v>1614.6</v>
      </c>
      <c r="U63" s="86" t="s">
        <v>92</v>
      </c>
      <c r="V63" s="86"/>
    </row>
    <row r="64" customFormat="1" spans="1:22">
      <c r="A64" s="308">
        <v>46079</v>
      </c>
      <c r="B64" s="86" t="str">
        <f>_xlfn.XLOOKUP(C64,'Product List'!B:B,'Product List'!I:I)</f>
        <v>MINI/MOE IVY BURROWING BOX</v>
      </c>
      <c r="C64" s="135" t="s">
        <v>49</v>
      </c>
      <c r="D64" s="234">
        <f>VLOOKUP(C64,'Product List'!B:C,2,0)</f>
        <v>850030338051</v>
      </c>
      <c r="E64" s="201" t="s">
        <v>142</v>
      </c>
      <c r="F64" s="125">
        <v>1388</v>
      </c>
      <c r="G64" s="309">
        <v>46157</v>
      </c>
      <c r="H64" s="309">
        <v>46160</v>
      </c>
      <c r="I64" s="251">
        <v>46180</v>
      </c>
      <c r="J64" s="251">
        <v>46183</v>
      </c>
      <c r="K64" s="309" t="s">
        <v>130</v>
      </c>
      <c r="L64" s="124" t="str" cm="1">
        <f t="array" ref="L64">_xlfn.XLOOKUP(1,('Case Pack'!A:A=C64)*('Case Pack'!F:F&lt;=A64),'Case Pack'!G:G,"未找到箱规")</f>
        <v>D</v>
      </c>
      <c r="M64" s="124" cm="1">
        <f t="array" ref="M64">_xlfn.XLOOKUP(1,('Case Pack'!A:A=C64)*('Case Pack'!F:F&lt;=A64),'Case Pack'!D:D,"未找到箱规")</f>
        <v>4</v>
      </c>
      <c r="N64" s="125">
        <f t="shared" si="0"/>
        <v>347</v>
      </c>
      <c r="O64" s="310">
        <f>_xlfn.XLOOKUP(L64,'Case Type'!A:A,'Case Type'!H:H)*N64</f>
        <v>30.5717582112</v>
      </c>
      <c r="P64" s="86" t="s">
        <v>139</v>
      </c>
      <c r="Q64" s="86" t="s">
        <v>140</v>
      </c>
      <c r="R64" s="86" t="s">
        <v>141</v>
      </c>
      <c r="S64" s="86">
        <f>_xlfn.XLOOKUP(C64,'Product List'!B:B,'Product List'!R:R)</f>
        <v>7.16</v>
      </c>
      <c r="T64" s="86">
        <f t="shared" si="1"/>
        <v>9938.08</v>
      </c>
      <c r="U64" s="86" t="s">
        <v>92</v>
      </c>
      <c r="V64" s="86"/>
    </row>
    <row r="65" customFormat="1" spans="1:22">
      <c r="A65" s="308">
        <v>46079</v>
      </c>
      <c r="B65" s="86" t="str">
        <f>_xlfn.XLOOKUP(C65,'Product List'!B:B,'Product List'!I:I)</f>
        <v>MINI/MOE CAMPING TENT HIDE</v>
      </c>
      <c r="C65" s="135" t="s">
        <v>73</v>
      </c>
      <c r="D65" s="234">
        <f>VLOOKUP(C65,'Product List'!B:C,2,0)</f>
        <v>850030338082</v>
      </c>
      <c r="E65" s="201" t="s">
        <v>142</v>
      </c>
      <c r="F65" s="125">
        <v>912</v>
      </c>
      <c r="G65" s="309">
        <v>46187</v>
      </c>
      <c r="H65" s="309">
        <f>IF(P65="","",_xlfn.XLOOKUP(P65,'Shipment Control'!A:A,'Shipment Control'!I:I))</f>
        <v>46192</v>
      </c>
      <c r="I65" s="251">
        <f>IF(P65="",G65+30,_xlfn.XLOOKUP(P65,'Shipment Control'!A:A,'Shipment Control'!J:J))</f>
        <v>46218</v>
      </c>
      <c r="J65" s="251">
        <v>46224</v>
      </c>
      <c r="K65" s="309" t="s">
        <v>130</v>
      </c>
      <c r="L65" s="124" t="str" cm="1">
        <f t="array" ref="L65">_xlfn.XLOOKUP(1,('Case Pack'!A:A=C65)*('Case Pack'!F:F&lt;=A65),'Case Pack'!G:G,"未找到箱规")</f>
        <v>B</v>
      </c>
      <c r="M65" s="124" cm="1">
        <f t="array" ref="M65">_xlfn.XLOOKUP(1,('Case Pack'!A:A=C65)*('Case Pack'!F:F&lt;=A65),'Case Pack'!D:D,"未找到箱规")</f>
        <v>12</v>
      </c>
      <c r="N65" s="125">
        <f t="shared" si="0"/>
        <v>76</v>
      </c>
      <c r="O65" s="310">
        <f>_xlfn.XLOOKUP(L65,'Case Type'!A:A,'Case Type'!H:H)*N65</f>
        <v>5.57946755072</v>
      </c>
      <c r="P65" s="311" t="s">
        <v>143</v>
      </c>
      <c r="Q65" s="86" t="s">
        <v>144</v>
      </c>
      <c r="R65" s="86" t="s">
        <v>145</v>
      </c>
      <c r="S65" s="86">
        <f>_xlfn.XLOOKUP(C65,'Product List'!B:B,'Product List'!R:R)</f>
        <v>1.96</v>
      </c>
      <c r="T65" s="86">
        <f t="shared" si="1"/>
        <v>1787.52</v>
      </c>
      <c r="U65" s="86" t="s">
        <v>92</v>
      </c>
      <c r="V65" s="86"/>
    </row>
    <row r="66" customFormat="1" spans="1:22">
      <c r="A66" s="308">
        <v>46079</v>
      </c>
      <c r="B66" s="86" t="str">
        <f>_xlfn.XLOOKUP(C66,'Product List'!B:B,'Product List'!I:I)</f>
        <v>MINI/MOE CAMPING TENT HIDE</v>
      </c>
      <c r="C66" s="135" t="s">
        <v>73</v>
      </c>
      <c r="D66" s="234">
        <f>VLOOKUP(C66,'Product List'!B:C,2,0)</f>
        <v>850030338082</v>
      </c>
      <c r="E66" s="201" t="s">
        <v>142</v>
      </c>
      <c r="F66" s="125">
        <v>780</v>
      </c>
      <c r="G66" s="309">
        <v>46157</v>
      </c>
      <c r="H66" s="309">
        <v>46160</v>
      </c>
      <c r="I66" s="251">
        <v>46180</v>
      </c>
      <c r="J66" s="251">
        <v>46183</v>
      </c>
      <c r="K66" s="309" t="s">
        <v>130</v>
      </c>
      <c r="L66" s="124" t="str" cm="1">
        <f t="array" ref="L66">_xlfn.XLOOKUP(1,('Case Pack'!A:A=C66)*('Case Pack'!F:F&lt;=A66),'Case Pack'!G:G,"未找到箱规")</f>
        <v>B</v>
      </c>
      <c r="M66" s="124" cm="1">
        <f t="array" ref="M66">_xlfn.XLOOKUP(1,('Case Pack'!A:A=C66)*('Case Pack'!F:F&lt;=A66),'Case Pack'!D:D,"未找到箱规")</f>
        <v>12</v>
      </c>
      <c r="N66" s="125">
        <f t="shared" ref="N66:N100" si="2">F66/M66</f>
        <v>65</v>
      </c>
      <c r="O66" s="310">
        <f>_xlfn.XLOOKUP(L66,'Case Type'!A:A,'Case Type'!H:H)*N66</f>
        <v>4.7719130368</v>
      </c>
      <c r="P66" s="86" t="s">
        <v>139</v>
      </c>
      <c r="Q66" s="86" t="s">
        <v>140</v>
      </c>
      <c r="R66" s="86" t="s">
        <v>141</v>
      </c>
      <c r="S66" s="86">
        <f>_xlfn.XLOOKUP(C66,'Product List'!B:B,'Product List'!R:R)</f>
        <v>1.96</v>
      </c>
      <c r="T66" s="86">
        <f t="shared" ref="T66:T129" si="3">S66*F66</f>
        <v>1528.8</v>
      </c>
      <c r="U66" s="86" t="s">
        <v>92</v>
      </c>
      <c r="V66" s="86"/>
    </row>
    <row r="67" customFormat="1" spans="1:22">
      <c r="A67" s="308">
        <v>46079</v>
      </c>
      <c r="B67" s="86" t="str">
        <f>_xlfn.XLOOKUP(C67,'Product List'!B:B,'Product List'!I:I)</f>
        <v>MINI/MOE BENDABLE BIRCHWOOD FENCE</v>
      </c>
      <c r="C67" s="135" t="s">
        <v>62</v>
      </c>
      <c r="D67" s="234">
        <f>VLOOKUP(C67,'Product List'!B:C,2,0)</f>
        <v>850030338150</v>
      </c>
      <c r="E67" s="201" t="s">
        <v>142</v>
      </c>
      <c r="F67" s="125">
        <v>1216</v>
      </c>
      <c r="G67" s="309">
        <v>46157</v>
      </c>
      <c r="H67" s="309">
        <v>46160</v>
      </c>
      <c r="I67" s="251">
        <v>46180</v>
      </c>
      <c r="J67" s="251">
        <v>46183</v>
      </c>
      <c r="K67" s="309" t="s">
        <v>130</v>
      </c>
      <c r="L67" s="124" t="str" cm="1">
        <f t="array" ref="L67">_xlfn.XLOOKUP(1,('Case Pack'!A:A=C67)*('Case Pack'!F:F&lt;=A67),'Case Pack'!G:G,"未找到箱规")</f>
        <v>F</v>
      </c>
      <c r="M67" s="124" cm="1">
        <f t="array" ref="M67">_xlfn.XLOOKUP(1,('Case Pack'!A:A=C67)*('Case Pack'!F:F&lt;=A67),'Case Pack'!D:D,"未找到箱规")</f>
        <v>32</v>
      </c>
      <c r="N67" s="125">
        <f t="shared" si="2"/>
        <v>38</v>
      </c>
      <c r="O67" s="310">
        <f>_xlfn.XLOOKUP(L67,'Case Type'!A:A,'Case Type'!H:H)*N67</f>
        <v>1.39486688768</v>
      </c>
      <c r="P67" s="86" t="s">
        <v>139</v>
      </c>
      <c r="Q67" s="86" t="s">
        <v>140</v>
      </c>
      <c r="R67" s="86" t="s">
        <v>141</v>
      </c>
      <c r="S67" s="86">
        <f>_xlfn.XLOOKUP(C67,'Product List'!B:B,'Product List'!R:R)</f>
        <v>3.4</v>
      </c>
      <c r="T67" s="86">
        <f t="shared" si="3"/>
        <v>4134.4</v>
      </c>
      <c r="U67" s="86" t="s">
        <v>92</v>
      </c>
      <c r="V67" s="86"/>
    </row>
    <row r="68" customFormat="1" spans="1:22">
      <c r="A68" s="308">
        <v>46079</v>
      </c>
      <c r="B68" s="86" t="str">
        <f>_xlfn.XLOOKUP(C68,'Product List'!B:B,'Product List'!I:I)</f>
        <v>MINI/MOE RUFFLE BOWL</v>
      </c>
      <c r="C68" s="135" t="s">
        <v>78</v>
      </c>
      <c r="D68" s="234">
        <f>VLOOKUP(C68,'Product List'!B:C,2,0)</f>
        <v>850030338969</v>
      </c>
      <c r="E68" s="201" t="s">
        <v>142</v>
      </c>
      <c r="F68" s="125">
        <v>240</v>
      </c>
      <c r="G68" s="309">
        <v>46157</v>
      </c>
      <c r="H68" s="309">
        <v>46160</v>
      </c>
      <c r="I68" s="251">
        <v>46180</v>
      </c>
      <c r="J68" s="251">
        <v>46183</v>
      </c>
      <c r="K68" s="309" t="s">
        <v>130</v>
      </c>
      <c r="L68" s="124" t="str" cm="1">
        <f t="array" ref="L68">_xlfn.XLOOKUP(1,('Case Pack'!A:A=C68)*('Case Pack'!F:F&lt;=A68),'Case Pack'!G:G,"未找到箱规")</f>
        <v>B</v>
      </c>
      <c r="M68" s="124" cm="1">
        <f t="array" ref="M68">_xlfn.XLOOKUP(1,('Case Pack'!A:A=C68)*('Case Pack'!F:F&lt;=A68),'Case Pack'!D:D,"未找到箱规")</f>
        <v>48</v>
      </c>
      <c r="N68" s="125">
        <f t="shared" si="2"/>
        <v>5</v>
      </c>
      <c r="O68" s="310">
        <f>_xlfn.XLOOKUP(L68,'Case Type'!A:A,'Case Type'!H:H)*N68</f>
        <v>0.3670702336</v>
      </c>
      <c r="P68" s="86" t="s">
        <v>139</v>
      </c>
      <c r="Q68" s="86" t="s">
        <v>140</v>
      </c>
      <c r="R68" s="86" t="s">
        <v>141</v>
      </c>
      <c r="S68" s="86">
        <f>_xlfn.XLOOKUP(C68,'Product List'!B:B,'Product List'!R:R)</f>
        <v>1.34</v>
      </c>
      <c r="T68" s="86">
        <f t="shared" si="3"/>
        <v>321.6</v>
      </c>
      <c r="U68" s="86" t="s">
        <v>92</v>
      </c>
      <c r="V68" s="86"/>
    </row>
    <row r="69" customFormat="1" spans="1:22">
      <c r="A69" s="308">
        <v>46079</v>
      </c>
      <c r="B69" s="86" t="str">
        <f>_xlfn.XLOOKUP(C69,'Product List'!B:B,'Product List'!I:I)</f>
        <v>D. MMO-COTTAGE VIEW CAGE</v>
      </c>
      <c r="C69" s="135" t="s">
        <v>64</v>
      </c>
      <c r="D69" s="234">
        <f>VLOOKUP(C69,'Product List'!B:C,2,0)</f>
        <v>850030338730</v>
      </c>
      <c r="E69" s="201" t="s">
        <v>142</v>
      </c>
      <c r="F69" s="125">
        <v>7</v>
      </c>
      <c r="G69" s="309">
        <v>46162</v>
      </c>
      <c r="H69" s="309">
        <v>46163</v>
      </c>
      <c r="I69" s="251">
        <v>46188</v>
      </c>
      <c r="J69" s="251">
        <v>46191</v>
      </c>
      <c r="K69" s="309" t="s">
        <v>130</v>
      </c>
      <c r="L69" s="124" t="str" cm="1">
        <f t="array" ref="L69">_xlfn.XLOOKUP(1,('Case Pack'!A:A=C69)*('Case Pack'!F:F&lt;=A69),'Case Pack'!G:G,"未找到箱规")</f>
        <v>S3</v>
      </c>
      <c r="M69" s="124" cm="1">
        <f t="array" ref="M69">_xlfn.XLOOKUP(1,('Case Pack'!A:A=C69)*('Case Pack'!F:F&lt;=A69),'Case Pack'!D:D,"未找到箱规")</f>
        <v>1</v>
      </c>
      <c r="N69" s="125">
        <f t="shared" si="2"/>
        <v>7</v>
      </c>
      <c r="O69" s="310">
        <f>_xlfn.XLOOKUP(L69,'Case Type'!A:A,'Case Type'!H:H)*N69</f>
        <v>0.995859561928</v>
      </c>
      <c r="P69" s="86" t="s">
        <v>136</v>
      </c>
      <c r="Q69" s="86" t="s">
        <v>137</v>
      </c>
      <c r="R69" s="86" t="s">
        <v>138</v>
      </c>
      <c r="S69" s="86">
        <f>_xlfn.XLOOKUP(C69,'Product List'!B:B,'Product List'!R:R)</f>
        <v>28.56</v>
      </c>
      <c r="T69" s="86">
        <f t="shared" si="3"/>
        <v>199.92</v>
      </c>
      <c r="U69" s="86" t="s">
        <v>92</v>
      </c>
      <c r="V69" s="86"/>
    </row>
    <row r="70" customFormat="1" spans="1:22">
      <c r="A70" s="308">
        <v>46079</v>
      </c>
      <c r="B70" s="86" t="str">
        <f>_xlfn.XLOOKUP(C70,'Product List'!B:B,'Product List'!I:I)</f>
        <v>MINI/MOE SILENT CRSTL RUN WHEEL XL 11.5 1EA</v>
      </c>
      <c r="C70" s="135" t="s">
        <v>76</v>
      </c>
      <c r="D70" s="234">
        <f>VLOOKUP(C70,'Product List'!B:C,2,0)</f>
        <v>850030338518</v>
      </c>
      <c r="E70" s="201" t="s">
        <v>142</v>
      </c>
      <c r="F70" s="125">
        <v>66</v>
      </c>
      <c r="G70" s="309">
        <v>46162</v>
      </c>
      <c r="H70" s="309">
        <v>46163</v>
      </c>
      <c r="I70" s="251">
        <v>46188</v>
      </c>
      <c r="J70" s="251">
        <v>46191</v>
      </c>
      <c r="K70" s="309" t="s">
        <v>130</v>
      </c>
      <c r="L70" s="124" t="str" cm="1">
        <f t="array" ref="L70">_xlfn.XLOOKUP(1,('Case Pack'!A:A=C70)*('Case Pack'!F:F&lt;=A70),'Case Pack'!G:G,"未找到箱规")</f>
        <v>C</v>
      </c>
      <c r="M70" s="124" cm="1">
        <f t="array" ref="M70">_xlfn.XLOOKUP(1,('Case Pack'!A:A=C70)*('Case Pack'!F:F&lt;=A70),'Case Pack'!D:D,"未找到箱规")</f>
        <v>3</v>
      </c>
      <c r="N70" s="125">
        <f t="shared" si="2"/>
        <v>22</v>
      </c>
      <c r="O70" s="310">
        <f>_xlfn.XLOOKUP(L70,'Case Type'!A:A,'Case Type'!H:H)*N70</f>
        <v>3.4609479168</v>
      </c>
      <c r="P70" s="86" t="s">
        <v>136</v>
      </c>
      <c r="Q70" s="86" t="s">
        <v>137</v>
      </c>
      <c r="R70" s="86" t="s">
        <v>138</v>
      </c>
      <c r="S70" s="86">
        <f>_xlfn.XLOOKUP(C70,'Product List'!B:B,'Product List'!R:R)</f>
        <v>10.42</v>
      </c>
      <c r="T70" s="86">
        <f t="shared" si="3"/>
        <v>687.72</v>
      </c>
      <c r="U70" s="86" t="s">
        <v>92</v>
      </c>
      <c r="V70" s="86"/>
    </row>
    <row r="71" customFormat="1" spans="1:22">
      <c r="A71" s="308">
        <v>46079</v>
      </c>
      <c r="B71" s="86" t="str">
        <f>_xlfn.XLOOKUP(C71,'Product List'!B:B,'Product List'!I:I)</f>
        <v>MINI/MOE TULIP WATER BOTTLE</v>
      </c>
      <c r="C71" s="135" t="s">
        <v>52</v>
      </c>
      <c r="D71" s="234">
        <f>VLOOKUP(C71,'Product List'!B:C,2,0)</f>
        <v>850062627567</v>
      </c>
      <c r="E71" s="201" t="s">
        <v>142</v>
      </c>
      <c r="F71" s="125">
        <v>180</v>
      </c>
      <c r="G71" s="309">
        <v>46162</v>
      </c>
      <c r="H71" s="309">
        <v>46163</v>
      </c>
      <c r="I71" s="251">
        <v>46188</v>
      </c>
      <c r="J71" s="251">
        <v>46191</v>
      </c>
      <c r="K71" s="309" t="s">
        <v>130</v>
      </c>
      <c r="L71" s="124" t="str" cm="1">
        <f t="array" ref="L71">_xlfn.XLOOKUP(1,('Case Pack'!A:A=C71)*('Case Pack'!F:F&lt;=A71),'Case Pack'!G:G,"未找到箱规")</f>
        <v>C</v>
      </c>
      <c r="M71" s="124" cm="1">
        <f t="array" ref="M71">_xlfn.XLOOKUP(1,('Case Pack'!A:A=C71)*('Case Pack'!F:F&lt;=A71),'Case Pack'!D:D,"未找到箱规")</f>
        <v>60</v>
      </c>
      <c r="N71" s="125">
        <f t="shared" si="2"/>
        <v>3</v>
      </c>
      <c r="O71" s="310">
        <f>_xlfn.XLOOKUP(L71,'Case Type'!A:A,'Case Type'!H:H)*N71</f>
        <v>0.4719474432</v>
      </c>
      <c r="P71" s="86" t="s">
        <v>136</v>
      </c>
      <c r="Q71" s="86" t="s">
        <v>137</v>
      </c>
      <c r="R71" s="86" t="s">
        <v>138</v>
      </c>
      <c r="S71" s="86">
        <f>_xlfn.XLOOKUP(C71,'Product List'!B:B,'Product List'!R:R)</f>
        <v>0.73</v>
      </c>
      <c r="T71" s="86">
        <f t="shared" si="3"/>
        <v>131.4</v>
      </c>
      <c r="U71" s="86" t="s">
        <v>92</v>
      </c>
      <c r="V71" s="86"/>
    </row>
    <row r="72" customFormat="1" spans="1:22">
      <c r="A72" s="308">
        <v>46079</v>
      </c>
      <c r="B72" s="86" t="str">
        <f>_xlfn.XLOOKUP(C72,'Product List'!B:B,'Product List'!I:I)</f>
        <v>MINI/MOE SILENT CRSTL RUN WHEEL LG 8.5-Green</v>
      </c>
      <c r="C72" s="135" t="s">
        <v>28</v>
      </c>
      <c r="D72" s="234">
        <f>VLOOKUP(C72,'Product List'!B:C,2,0)</f>
        <v>698746777135</v>
      </c>
      <c r="E72" s="201" t="s">
        <v>142</v>
      </c>
      <c r="F72" s="125">
        <v>48</v>
      </c>
      <c r="G72" s="309">
        <v>46162</v>
      </c>
      <c r="H72" s="309">
        <v>46163</v>
      </c>
      <c r="I72" s="251">
        <v>46188</v>
      </c>
      <c r="J72" s="251">
        <v>46191</v>
      </c>
      <c r="K72" s="309" t="s">
        <v>130</v>
      </c>
      <c r="L72" s="124" t="str" cm="1">
        <f t="array" ref="L72">_xlfn.XLOOKUP(1,('Case Pack'!A:A=C72)*('Case Pack'!F:F&lt;=A72),'Case Pack'!G:G,"未找到箱规")</f>
        <v>C</v>
      </c>
      <c r="M72" s="124" cm="1">
        <f t="array" ref="M72">_xlfn.XLOOKUP(1,('Case Pack'!A:A=C72)*('Case Pack'!F:F&lt;=A72),'Case Pack'!D:D,"未找到箱规")</f>
        <v>8</v>
      </c>
      <c r="N72" s="125">
        <f t="shared" si="2"/>
        <v>6</v>
      </c>
      <c r="O72" s="310">
        <f>_xlfn.XLOOKUP(L72,'Case Type'!A:A,'Case Type'!H:H)*N72</f>
        <v>0.9438948864</v>
      </c>
      <c r="P72" s="86" t="s">
        <v>136</v>
      </c>
      <c r="Q72" s="86" t="s">
        <v>137</v>
      </c>
      <c r="R72" s="86" t="s">
        <v>138</v>
      </c>
      <c r="S72" s="86">
        <f>_xlfn.XLOOKUP(C72,'Product List'!B:B,'Product List'!R:R)</f>
        <v>6.27</v>
      </c>
      <c r="T72" s="86">
        <f t="shared" si="3"/>
        <v>300.96</v>
      </c>
      <c r="U72" s="86" t="s">
        <v>92</v>
      </c>
      <c r="V72" s="86"/>
    </row>
    <row r="73" customFormat="1" spans="1:22">
      <c r="A73" s="308">
        <v>46079</v>
      </c>
      <c r="B73" s="86" t="str">
        <f>_xlfn.XLOOKUP(C73,'Product List'!B:B,'Product List'!I:I)</f>
        <v>MINI/MOE WOODLAND POTTY</v>
      </c>
      <c r="C73" s="135" t="s">
        <v>79</v>
      </c>
      <c r="D73" s="234">
        <f>VLOOKUP(C73,'Product List'!B:C,2,0)</f>
        <v>760762457077</v>
      </c>
      <c r="E73" s="201" t="s">
        <v>142</v>
      </c>
      <c r="F73" s="125">
        <v>108</v>
      </c>
      <c r="G73" s="309">
        <v>46162</v>
      </c>
      <c r="H73" s="309">
        <v>46163</v>
      </c>
      <c r="I73" s="251">
        <v>46188</v>
      </c>
      <c r="J73" s="251">
        <v>46191</v>
      </c>
      <c r="K73" s="309" t="s">
        <v>130</v>
      </c>
      <c r="L73" s="124" t="str" cm="1">
        <f t="array" ref="L73">_xlfn.XLOOKUP(1,('Case Pack'!A:A=C73)*('Case Pack'!F:F&lt;=A73),'Case Pack'!G:G,"未找到箱规")</f>
        <v>C</v>
      </c>
      <c r="M73" s="124" cm="1">
        <f t="array" ref="M73">_xlfn.XLOOKUP(1,('Case Pack'!A:A=C73)*('Case Pack'!F:F&lt;=A73),'Case Pack'!D:D,"未找到箱规")</f>
        <v>36</v>
      </c>
      <c r="N73" s="125">
        <f t="shared" si="2"/>
        <v>3</v>
      </c>
      <c r="O73" s="310">
        <f>_xlfn.XLOOKUP(L73,'Case Type'!A:A,'Case Type'!H:H)*N73</f>
        <v>0.4719474432</v>
      </c>
      <c r="P73" s="86" t="s">
        <v>136</v>
      </c>
      <c r="Q73" s="86" t="s">
        <v>137</v>
      </c>
      <c r="R73" s="86" t="s">
        <v>138</v>
      </c>
      <c r="S73" s="86">
        <f>_xlfn.XLOOKUP(C73,'Product List'!B:B,'Product List'!R:R)</f>
        <v>1.19</v>
      </c>
      <c r="T73" s="86">
        <f t="shared" si="3"/>
        <v>128.52</v>
      </c>
      <c r="U73" s="86" t="s">
        <v>92</v>
      </c>
      <c r="V73" s="86"/>
    </row>
    <row r="74" customFormat="1" spans="1:22">
      <c r="A74" s="308">
        <v>46079</v>
      </c>
      <c r="B74" s="86" t="str">
        <f>_xlfn.XLOOKUP(C74,'Product List'!B:B,'Product List'!I:I)</f>
        <v>MINI/MOE TULIP WATER BOTTLE</v>
      </c>
      <c r="C74" s="135" t="s">
        <v>52</v>
      </c>
      <c r="D74" s="234">
        <f>VLOOKUP(C74,'Product List'!B:C,2,0)</f>
        <v>850062627567</v>
      </c>
      <c r="E74" s="201" t="s">
        <v>142</v>
      </c>
      <c r="F74" s="125">
        <v>1140</v>
      </c>
      <c r="G74" s="309">
        <v>46162</v>
      </c>
      <c r="H74" s="309">
        <v>46163</v>
      </c>
      <c r="I74" s="251">
        <v>46188</v>
      </c>
      <c r="J74" s="251">
        <v>46191</v>
      </c>
      <c r="K74" s="309" t="s">
        <v>130</v>
      </c>
      <c r="L74" s="124" t="str" cm="1">
        <f t="array" ref="L74">_xlfn.XLOOKUP(1,('Case Pack'!A:A=C74)*('Case Pack'!F:F&lt;=A74),'Case Pack'!G:G,"未找到箱规")</f>
        <v>C</v>
      </c>
      <c r="M74" s="124" cm="1">
        <f t="array" ref="M74">_xlfn.XLOOKUP(1,('Case Pack'!A:A=C74)*('Case Pack'!F:F&lt;=A74),'Case Pack'!D:D,"未找到箱规")</f>
        <v>60</v>
      </c>
      <c r="N74" s="125">
        <f t="shared" si="2"/>
        <v>19</v>
      </c>
      <c r="O74" s="310">
        <f>_xlfn.XLOOKUP(L74,'Case Type'!A:A,'Case Type'!H:H)*N74</f>
        <v>2.9890004736</v>
      </c>
      <c r="P74" s="86" t="s">
        <v>136</v>
      </c>
      <c r="Q74" s="86" t="s">
        <v>137</v>
      </c>
      <c r="R74" s="86" t="s">
        <v>138</v>
      </c>
      <c r="S74" s="86">
        <f>_xlfn.XLOOKUP(C74,'Product List'!B:B,'Product List'!R:R)</f>
        <v>0.73</v>
      </c>
      <c r="T74" s="86">
        <f t="shared" si="3"/>
        <v>832.2</v>
      </c>
      <c r="U74" s="86" t="s">
        <v>92</v>
      </c>
      <c r="V74" s="86"/>
    </row>
    <row r="75" customFormat="1" spans="1:22">
      <c r="A75" s="308">
        <v>46125</v>
      </c>
      <c r="B75" s="86" t="str">
        <f>_xlfn.XLOOKUP(C75,'Product List'!B:B,'Product List'!I:I)</f>
        <v>MINI/MOE TV VIEWING CAGE</v>
      </c>
      <c r="C75" s="135" t="s">
        <v>50</v>
      </c>
      <c r="D75" s="234">
        <f>VLOOKUP(C75,'Product List'!B:C,2,0)</f>
        <v>850030338761</v>
      </c>
      <c r="E75" s="201" t="s">
        <v>146</v>
      </c>
      <c r="F75" s="125">
        <v>5712</v>
      </c>
      <c r="G75" s="309">
        <v>46148</v>
      </c>
      <c r="H75" s="309">
        <v>46154</v>
      </c>
      <c r="I75" s="251">
        <v>46188</v>
      </c>
      <c r="J75" s="251">
        <v>46184</v>
      </c>
      <c r="K75" s="309">
        <v>46227</v>
      </c>
      <c r="L75" s="124" t="str" cm="1">
        <f t="array" ref="L75">_xlfn.XLOOKUP(1,('Case Pack'!A:A=C75)*('Case Pack'!F:F&lt;=A75),'Case Pack'!G:G,"未找到箱规")</f>
        <v>S1</v>
      </c>
      <c r="M75" s="124" cm="1">
        <f t="array" ref="M75">_xlfn.XLOOKUP(1,('Case Pack'!A:A=C75)*('Case Pack'!F:F&lt;=A75),'Case Pack'!D:D,"未找到箱规")</f>
        <v>1</v>
      </c>
      <c r="N75" s="125">
        <f t="shared" si="2"/>
        <v>5712</v>
      </c>
      <c r="O75" s="310">
        <f>_xlfn.XLOOKUP(L75,'Case Type'!A:A,'Case Type'!H:H)*N75</f>
        <v>422.700992795088</v>
      </c>
      <c r="P75" s="86" t="s">
        <v>147</v>
      </c>
      <c r="Q75" s="86" t="s">
        <v>148</v>
      </c>
      <c r="R75" s="86" t="s">
        <v>149</v>
      </c>
      <c r="S75" s="86">
        <f>_xlfn.XLOOKUP(C75,'Product List'!B:B,'Product List'!R:R)</f>
        <v>24.09</v>
      </c>
      <c r="T75" s="86">
        <f t="shared" si="3"/>
        <v>137602.08</v>
      </c>
      <c r="U75" s="86" t="s">
        <v>92</v>
      </c>
      <c r="V75" s="86"/>
    </row>
    <row r="76" customFormat="1" spans="1:22">
      <c r="A76" s="308">
        <v>46125</v>
      </c>
      <c r="B76" s="86" t="str">
        <f>_xlfn.XLOOKUP(C76,'Product List'!B:B,'Product List'!I:I)</f>
        <v>MINI/MOE TV VIEWING CAGE</v>
      </c>
      <c r="C76" s="135" t="s">
        <v>50</v>
      </c>
      <c r="D76" s="234">
        <f>VLOOKUP(C76,'Product List'!B:C,2,0)</f>
        <v>850030338761</v>
      </c>
      <c r="E76" s="201" t="s">
        <v>146</v>
      </c>
      <c r="F76" s="283">
        <v>155</v>
      </c>
      <c r="G76" s="309">
        <v>46162</v>
      </c>
      <c r="H76" s="309">
        <v>46163</v>
      </c>
      <c r="I76" s="251">
        <v>46188</v>
      </c>
      <c r="J76" s="251">
        <v>46191</v>
      </c>
      <c r="K76" s="309">
        <v>46227</v>
      </c>
      <c r="L76" s="124" t="str" cm="1">
        <f t="array" ref="L76">_xlfn.XLOOKUP(1,('Case Pack'!A:A=C76)*('Case Pack'!F:F&lt;=A76),'Case Pack'!G:G,"未找到箱规")</f>
        <v>S1</v>
      </c>
      <c r="M76" s="124" cm="1">
        <f t="array" ref="M76">_xlfn.XLOOKUP(1,('Case Pack'!A:A=C76)*('Case Pack'!F:F&lt;=A76),'Case Pack'!D:D,"未找到箱规")</f>
        <v>1</v>
      </c>
      <c r="N76" s="125">
        <f t="shared" si="2"/>
        <v>155</v>
      </c>
      <c r="O76" s="310">
        <f>_xlfn.XLOOKUP(L76,'Case Type'!A:A,'Case Type'!H:H)*N76</f>
        <v>11.470352570595</v>
      </c>
      <c r="P76" s="86" t="s">
        <v>136</v>
      </c>
      <c r="Q76" s="86" t="s">
        <v>137</v>
      </c>
      <c r="R76" s="86" t="s">
        <v>138</v>
      </c>
      <c r="S76" s="86">
        <f>_xlfn.XLOOKUP(C76,'Product List'!B:B,'Product List'!R:R)</f>
        <v>24.09</v>
      </c>
      <c r="T76" s="86">
        <f t="shared" si="3"/>
        <v>3733.95</v>
      </c>
      <c r="U76" s="86" t="s">
        <v>92</v>
      </c>
      <c r="V76" s="86"/>
    </row>
    <row r="77" customFormat="1" spans="1:22">
      <c r="A77" s="308">
        <v>46125</v>
      </c>
      <c r="B77" s="86" t="str">
        <f>_xlfn.XLOOKUP(C77,'Product List'!B:B,'Product List'!I:I)</f>
        <v>MINI/MOE TV VIEWING CAGE</v>
      </c>
      <c r="C77" s="135" t="s">
        <v>50</v>
      </c>
      <c r="D77" s="234">
        <f>VLOOKUP(C77,'Product List'!B:C,2,0)</f>
        <v>850030338761</v>
      </c>
      <c r="E77" s="201" t="s">
        <v>146</v>
      </c>
      <c r="F77" s="125">
        <v>332</v>
      </c>
      <c r="G77" s="309">
        <v>46170</v>
      </c>
      <c r="H77" s="309">
        <f>IF(P77="","",_xlfn.XLOOKUP(P77,'Shipment Control'!A:A,'Shipment Control'!I:I))</f>
        <v>46170</v>
      </c>
      <c r="I77" s="251">
        <f>IF(P77="",G77+30,_xlfn.XLOOKUP(P77,'Shipment Control'!A:A,'Shipment Control'!J:J))</f>
        <v>46195</v>
      </c>
      <c r="J77" s="251">
        <v>46203</v>
      </c>
      <c r="K77" s="309">
        <v>46227</v>
      </c>
      <c r="L77" s="124" t="str" cm="1">
        <f t="array" ref="L77">_xlfn.XLOOKUP(1,('Case Pack'!A:A=C77)*('Case Pack'!F:F&lt;=A77),'Case Pack'!G:G,"未找到箱规")</f>
        <v>S1</v>
      </c>
      <c r="M77" s="124" cm="1">
        <f t="array" ref="M77">_xlfn.XLOOKUP(1,('Case Pack'!A:A=C77)*('Case Pack'!F:F&lt;=A77),'Case Pack'!D:D,"未找到箱规")</f>
        <v>1</v>
      </c>
      <c r="N77" s="125">
        <f t="shared" si="2"/>
        <v>332</v>
      </c>
      <c r="O77" s="310">
        <f>_xlfn.XLOOKUP(L77,'Case Type'!A:A,'Case Type'!H:H)*N77</f>
        <v>24.568755183468</v>
      </c>
      <c r="P77" s="86" t="s">
        <v>150</v>
      </c>
      <c r="Q77" s="86" t="s">
        <v>151</v>
      </c>
      <c r="R77" s="86" t="s">
        <v>152</v>
      </c>
      <c r="S77" s="86">
        <f>_xlfn.XLOOKUP(C77,'Product List'!B:B,'Product List'!R:R)</f>
        <v>24.09</v>
      </c>
      <c r="T77" s="86">
        <f t="shared" si="3"/>
        <v>7997.88</v>
      </c>
      <c r="U77" s="86" t="s">
        <v>92</v>
      </c>
      <c r="V77" s="86"/>
    </row>
    <row r="78" customFormat="1" spans="1:22">
      <c r="A78" s="308">
        <v>46125</v>
      </c>
      <c r="B78" s="86" t="str">
        <f>_xlfn.XLOOKUP(C78,'Product List'!B:B,'Product List'!I:I)</f>
        <v>MINI/MOE TV VIEWING CAGE</v>
      </c>
      <c r="C78" s="135" t="s">
        <v>50</v>
      </c>
      <c r="D78" s="234">
        <f>VLOOKUP(C78,'Product List'!B:C,2,0)</f>
        <v>850030338761</v>
      </c>
      <c r="E78" s="201" t="s">
        <v>146</v>
      </c>
      <c r="F78" s="125">
        <v>61</v>
      </c>
      <c r="G78" s="309">
        <v>46187</v>
      </c>
      <c r="H78" s="309">
        <f>IF(P78="","",_xlfn.XLOOKUP(P78,'Shipment Control'!A:A,'Shipment Control'!I:I))</f>
        <v>46192</v>
      </c>
      <c r="I78" s="251">
        <f>IF(P78="",G78+30,_xlfn.XLOOKUP(P78,'Shipment Control'!A:A,'Shipment Control'!J:J))</f>
        <v>46218</v>
      </c>
      <c r="J78" s="251">
        <v>46224</v>
      </c>
      <c r="K78" s="309">
        <v>46227</v>
      </c>
      <c r="L78" s="124" t="str" cm="1">
        <f t="array" ref="L78">_xlfn.XLOOKUP(1,('Case Pack'!A:A=C78)*('Case Pack'!F:F&lt;=A78),'Case Pack'!G:G,"未找到箱规")</f>
        <v>S1</v>
      </c>
      <c r="M78" s="124" cm="1">
        <f t="array" ref="M78">_xlfn.XLOOKUP(1,('Case Pack'!A:A=C78)*('Case Pack'!F:F&lt;=A78),'Case Pack'!D:D,"未找到箱规")</f>
        <v>1</v>
      </c>
      <c r="N78" s="125">
        <f t="shared" si="2"/>
        <v>61</v>
      </c>
      <c r="O78" s="310">
        <f>_xlfn.XLOOKUP(L78,'Case Type'!A:A,'Case Type'!H:H)*N78</f>
        <v>4.514138753589</v>
      </c>
      <c r="P78" s="311" t="s">
        <v>143</v>
      </c>
      <c r="Q78" s="86" t="s">
        <v>144</v>
      </c>
      <c r="R78" s="86" t="s">
        <v>145</v>
      </c>
      <c r="S78" s="86">
        <f>_xlfn.XLOOKUP(C78,'Product List'!B:B,'Product List'!R:R)</f>
        <v>24.09</v>
      </c>
      <c r="T78" s="86">
        <f t="shared" si="3"/>
        <v>1469.49</v>
      </c>
      <c r="U78" s="86" t="s">
        <v>92</v>
      </c>
      <c r="V78" s="86"/>
    </row>
    <row r="79" customFormat="1" spans="1:22">
      <c r="A79" s="308">
        <v>46125</v>
      </c>
      <c r="B79" s="86" t="str">
        <f>_xlfn.XLOOKUP(C79,'Product List'!B:B,'Product List'!I:I)</f>
        <v>MINI &amp; MOE MAG CONECT WTR BTL 4 OZ</v>
      </c>
      <c r="C79" s="135" t="s">
        <v>37</v>
      </c>
      <c r="D79" s="234">
        <f>VLOOKUP(C79,'Product List'!B:C,2,0)</f>
        <v>698746777319</v>
      </c>
      <c r="E79" s="201" t="s">
        <v>146</v>
      </c>
      <c r="F79" s="125">
        <v>5400</v>
      </c>
      <c r="G79" s="309">
        <v>46189</v>
      </c>
      <c r="H79" s="309">
        <f>IF(P79="","",_xlfn.XLOOKUP(P79,'Shipment Control'!A:A,'Shipment Control'!I:I))</f>
        <v>46194</v>
      </c>
      <c r="I79" s="251">
        <f>IF(P79="",G79+30,_xlfn.XLOOKUP(P79,'Shipment Control'!A:A,'Shipment Control'!J:J))</f>
        <v>46211</v>
      </c>
      <c r="J79" s="251">
        <v>46220</v>
      </c>
      <c r="K79" s="309">
        <v>46227</v>
      </c>
      <c r="L79" s="124" t="str" cm="1">
        <f t="array" ref="L79">_xlfn.XLOOKUP(1,('Case Pack'!A:A=C79)*('Case Pack'!F:F&lt;=A79),'Case Pack'!G:G,"未找到箱规")</f>
        <v>A</v>
      </c>
      <c r="M79" s="124" cm="1">
        <f t="array" ref="M79">_xlfn.XLOOKUP(1,('Case Pack'!A:A=C79)*('Case Pack'!F:F&lt;=A79),'Case Pack'!D:D,"未找到箱规")</f>
        <v>54</v>
      </c>
      <c r="N79" s="125">
        <f t="shared" si="2"/>
        <v>100</v>
      </c>
      <c r="O79" s="310">
        <f>_xlfn.XLOOKUP(L79,'Case Type'!A:A,'Case Type'!H:H)*N79</f>
        <v>11.012107008</v>
      </c>
      <c r="P79" s="86" t="s">
        <v>153</v>
      </c>
      <c r="Q79" s="86" t="s">
        <v>154</v>
      </c>
      <c r="R79" s="86" t="s">
        <v>155</v>
      </c>
      <c r="S79" s="86">
        <f>_xlfn.XLOOKUP(C79,'Product List'!B:B,'Product List'!R:R)</f>
        <v>1.89</v>
      </c>
      <c r="T79" s="86">
        <f t="shared" si="3"/>
        <v>10206</v>
      </c>
      <c r="U79" s="86" t="s">
        <v>92</v>
      </c>
      <c r="V79" s="86"/>
    </row>
    <row r="80" customFormat="1" spans="1:22">
      <c r="A80" s="308">
        <v>46125</v>
      </c>
      <c r="B80" s="86" t="str">
        <f>_xlfn.XLOOKUP(C80,'Product List'!B:B,'Product List'!I:I)</f>
        <v>MINI &amp; MOE COTTAGE HIDE</v>
      </c>
      <c r="C80" s="135" t="s">
        <v>53</v>
      </c>
      <c r="D80" s="234">
        <f>VLOOKUP(C80,'Product List'!B:C,2,0)</f>
        <v>850030338211</v>
      </c>
      <c r="E80" s="201" t="s">
        <v>146</v>
      </c>
      <c r="F80" s="125">
        <v>5520</v>
      </c>
      <c r="G80" s="309">
        <v>46191</v>
      </c>
      <c r="H80" s="309">
        <f>IF(P80="","",_xlfn.XLOOKUP(P80,'Shipment Control'!A:A,'Shipment Control'!I:I))</f>
        <v>46199</v>
      </c>
      <c r="I80" s="251">
        <f>IF(P80="",G80+30,_xlfn.XLOOKUP(P80,'Shipment Control'!A:A,'Shipment Control'!J:J))</f>
        <v>46213</v>
      </c>
      <c r="J80" s="251">
        <v>46225</v>
      </c>
      <c r="K80" s="309">
        <v>46227</v>
      </c>
      <c r="L80" s="124" t="str" cm="1">
        <f t="array" ref="L80">_xlfn.XLOOKUP(1,('Case Pack'!A:A=C80)*('Case Pack'!F:F&lt;=A80),'Case Pack'!G:G,"未找到箱规")</f>
        <v>C</v>
      </c>
      <c r="M80" s="124" cm="1">
        <f t="array" ref="M80">_xlfn.XLOOKUP(1,('Case Pack'!A:A=C80)*('Case Pack'!F:F&lt;=A80),'Case Pack'!D:D,"未找到箱规")</f>
        <v>24</v>
      </c>
      <c r="N80" s="125">
        <f t="shared" si="2"/>
        <v>230</v>
      </c>
      <c r="O80" s="310">
        <f>_xlfn.XLOOKUP(L80,'Case Type'!A:A,'Case Type'!H:H)*N80</f>
        <v>36.182637312</v>
      </c>
      <c r="P80" s="86" t="s">
        <v>156</v>
      </c>
      <c r="Q80" s="86" t="s">
        <v>157</v>
      </c>
      <c r="R80" s="86">
        <v>32448205</v>
      </c>
      <c r="S80" s="86">
        <f>_xlfn.XLOOKUP(C80,'Product List'!B:B,'Product List'!R:R)</f>
        <v>3.61</v>
      </c>
      <c r="T80" s="86">
        <f t="shared" si="3"/>
        <v>19927.2</v>
      </c>
      <c r="U80" s="86" t="s">
        <v>92</v>
      </c>
      <c r="V80" s="86"/>
    </row>
    <row r="81" customFormat="1" spans="1:22">
      <c r="A81" s="308">
        <v>46125</v>
      </c>
      <c r="B81" s="86" t="str">
        <f>_xlfn.XLOOKUP(C81,'Product List'!B:B,'Product List'!I:I)</f>
        <v>MINI &amp; MOE TREE DECOR CHEW</v>
      </c>
      <c r="C81" s="135" t="s">
        <v>47</v>
      </c>
      <c r="D81" s="234">
        <f>VLOOKUP(C81,'Product List'!B:C,2,0)</f>
        <v>698746777333</v>
      </c>
      <c r="E81" s="201" t="s">
        <v>146</v>
      </c>
      <c r="F81" s="125">
        <v>2240</v>
      </c>
      <c r="G81" s="309">
        <v>46182</v>
      </c>
      <c r="H81" s="309">
        <f>IF(P81="","",_xlfn.XLOOKUP(P81,'Shipment Control'!A:A,'Shipment Control'!I:I))</f>
        <v>46190</v>
      </c>
      <c r="I81" s="251">
        <f>IF(P81="",G81+30,_xlfn.XLOOKUP(P81,'Shipment Control'!A:A,'Shipment Control'!J:J))</f>
        <v>46204</v>
      </c>
      <c r="J81" s="251">
        <v>46218</v>
      </c>
      <c r="K81" s="309">
        <v>46227</v>
      </c>
      <c r="L81" s="124" t="str" cm="1">
        <f t="array" ref="L81">_xlfn.XLOOKUP(1,('Case Pack'!A:A=C81)*('Case Pack'!F:F&lt;=A81),'Case Pack'!G:G,"未找到箱规")</f>
        <v>B</v>
      </c>
      <c r="M81" s="124" cm="1">
        <f t="array" ref="M81">_xlfn.XLOOKUP(1,('Case Pack'!A:A=C81)*('Case Pack'!F:F&lt;=A81),'Case Pack'!D:D,"未找到箱规")</f>
        <v>28</v>
      </c>
      <c r="N81" s="125">
        <f t="shared" si="2"/>
        <v>80</v>
      </c>
      <c r="O81" s="310">
        <f>_xlfn.XLOOKUP(L81,'Case Type'!A:A,'Case Type'!H:H)*N81</f>
        <v>5.8731237376</v>
      </c>
      <c r="P81" s="277" t="s">
        <v>158</v>
      </c>
      <c r="Q81" s="312" t="s">
        <v>159</v>
      </c>
      <c r="R81" s="313"/>
      <c r="S81" s="86">
        <f>_xlfn.XLOOKUP(C81,'Product List'!B:B,'Product List'!R:R)</f>
        <v>3.1</v>
      </c>
      <c r="T81" s="86">
        <f t="shared" si="3"/>
        <v>6944</v>
      </c>
      <c r="U81" s="86" t="s">
        <v>92</v>
      </c>
      <c r="V81" s="86"/>
    </row>
    <row r="82" customFormat="1" spans="1:22">
      <c r="A82" s="308">
        <v>46125</v>
      </c>
      <c r="B82" s="86" t="str">
        <f>_xlfn.XLOOKUP(C82,'Product List'!B:B,'Product List'!I:I)</f>
        <v>MINI &amp; MOE TREE DECOR CHEW</v>
      </c>
      <c r="C82" s="135" t="s">
        <v>47</v>
      </c>
      <c r="D82" s="234">
        <f>VLOOKUP(C82,'Product List'!B:C,2,0)</f>
        <v>698746777333</v>
      </c>
      <c r="E82" s="201" t="s">
        <v>146</v>
      </c>
      <c r="F82" s="125">
        <v>3584</v>
      </c>
      <c r="G82" s="309">
        <v>46182</v>
      </c>
      <c r="H82" s="309">
        <f>IF(P82="","",_xlfn.XLOOKUP(P82,'Shipment Control'!A:A,'Shipment Control'!I:I))</f>
        <v>46190</v>
      </c>
      <c r="I82" s="251">
        <f>IF(P82="",G82+30,_xlfn.XLOOKUP(P82,'Shipment Control'!A:A,'Shipment Control'!J:J))</f>
        <v>46204</v>
      </c>
      <c r="J82" s="251">
        <v>46224</v>
      </c>
      <c r="K82" s="309">
        <v>46227</v>
      </c>
      <c r="L82" s="124" t="str" cm="1">
        <f t="array" ref="L82">_xlfn.XLOOKUP(1,('Case Pack'!A:A=C82)*('Case Pack'!F:F&lt;=A82),'Case Pack'!G:G,"未找到箱规")</f>
        <v>B</v>
      </c>
      <c r="M82" s="124" cm="1">
        <f t="array" ref="M82">_xlfn.XLOOKUP(1,('Case Pack'!A:A=C82)*('Case Pack'!F:F&lt;=A82),'Case Pack'!D:D,"未找到箱规")</f>
        <v>28</v>
      </c>
      <c r="N82" s="125">
        <f t="shared" si="2"/>
        <v>128</v>
      </c>
      <c r="O82" s="310">
        <f>_xlfn.XLOOKUP(L82,'Case Type'!A:A,'Case Type'!H:H)*N82</f>
        <v>9.39699798016</v>
      </c>
      <c r="P82" s="277" t="s">
        <v>160</v>
      </c>
      <c r="Q82" s="312" t="s">
        <v>159</v>
      </c>
      <c r="R82" s="313"/>
      <c r="S82" s="86">
        <f>_xlfn.XLOOKUP(C82,'Product List'!B:B,'Product List'!R:R)</f>
        <v>3.1</v>
      </c>
      <c r="T82" s="86">
        <f t="shared" si="3"/>
        <v>11110.4</v>
      </c>
      <c r="U82" s="86" t="s">
        <v>92</v>
      </c>
      <c r="V82" s="86"/>
    </row>
    <row r="83" customFormat="1" spans="1:22">
      <c r="A83" s="308">
        <v>46125</v>
      </c>
      <c r="B83" s="86" t="str">
        <f>_xlfn.XLOOKUP(C83,'Product List'!B:B,'Product List'!I:I)</f>
        <v>MINI &amp; MOE GARDEN DECOR CHEW</v>
      </c>
      <c r="C83" s="135" t="s">
        <v>45</v>
      </c>
      <c r="D83" s="234">
        <f>VLOOKUP(C83,'Product List'!B:C,2,0)</f>
        <v>698746777326</v>
      </c>
      <c r="E83" s="201" t="s">
        <v>146</v>
      </c>
      <c r="F83" s="125">
        <v>3330</v>
      </c>
      <c r="G83" s="309">
        <v>46182</v>
      </c>
      <c r="H83" s="309">
        <f>IF(P83="","",_xlfn.XLOOKUP(P83,'Shipment Control'!A:A,'Shipment Control'!I:I))</f>
        <v>46190</v>
      </c>
      <c r="I83" s="251">
        <f>IF(P83="",G83+30,_xlfn.XLOOKUP(P83,'Shipment Control'!A:A,'Shipment Control'!J:J))</f>
        <v>46204</v>
      </c>
      <c r="J83" s="251">
        <v>46218</v>
      </c>
      <c r="K83" s="309">
        <v>46227</v>
      </c>
      <c r="L83" s="124" t="str" cm="1">
        <f t="array" ref="L83">_xlfn.XLOOKUP(1,('Case Pack'!A:A=C83)*('Case Pack'!F:F&lt;=A83),'Case Pack'!G:G,"未找到箱规")</f>
        <v>B</v>
      </c>
      <c r="M83" s="124" cm="1">
        <f t="array" ref="M83">_xlfn.XLOOKUP(1,('Case Pack'!A:A=C83)*('Case Pack'!F:F&lt;=A83),'Case Pack'!D:D,"未找到箱规")</f>
        <v>45</v>
      </c>
      <c r="N83" s="125">
        <f t="shared" si="2"/>
        <v>74</v>
      </c>
      <c r="O83" s="310">
        <f>_xlfn.XLOOKUP(L83,'Case Type'!A:A,'Case Type'!H:H)*N83</f>
        <v>5.43263945728</v>
      </c>
      <c r="P83" s="277" t="s">
        <v>158</v>
      </c>
      <c r="Q83" s="312" t="s">
        <v>159</v>
      </c>
      <c r="R83" s="313"/>
      <c r="S83" s="86">
        <f>_xlfn.XLOOKUP(C83,'Product List'!B:B,'Product List'!R:R)</f>
        <v>2.35</v>
      </c>
      <c r="T83" s="86">
        <f t="shared" si="3"/>
        <v>7825.5</v>
      </c>
      <c r="U83" s="86" t="s">
        <v>92</v>
      </c>
      <c r="V83" s="86"/>
    </row>
    <row r="84" customFormat="1" spans="1:22">
      <c r="A84" s="308">
        <v>46125</v>
      </c>
      <c r="B84" s="86" t="str">
        <f>_xlfn.XLOOKUP(C84,'Product List'!B:B,'Product List'!I:I)</f>
        <v>MINI &amp; MOE GARDEN DECOR CHEW</v>
      </c>
      <c r="C84" s="135" t="s">
        <v>45</v>
      </c>
      <c r="D84" s="234">
        <f>VLOOKUP(C84,'Product List'!B:C,2,0)</f>
        <v>698746777326</v>
      </c>
      <c r="E84" s="201" t="s">
        <v>146</v>
      </c>
      <c r="F84" s="125">
        <v>2520</v>
      </c>
      <c r="G84" s="309">
        <v>46182</v>
      </c>
      <c r="H84" s="309">
        <f>IF(P84="","",_xlfn.XLOOKUP(P84,'Shipment Control'!A:A,'Shipment Control'!I:I))</f>
        <v>46190</v>
      </c>
      <c r="I84" s="251">
        <f>IF(P84="",G84+30,_xlfn.XLOOKUP(P84,'Shipment Control'!A:A,'Shipment Control'!J:J))</f>
        <v>46204</v>
      </c>
      <c r="J84" s="251">
        <v>46224</v>
      </c>
      <c r="K84" s="309">
        <v>46227</v>
      </c>
      <c r="L84" s="124" t="str" cm="1">
        <f t="array" ref="L84">_xlfn.XLOOKUP(1,('Case Pack'!A:A=C84)*('Case Pack'!F:F&lt;=A84),'Case Pack'!G:G,"未找到箱规")</f>
        <v>B</v>
      </c>
      <c r="M84" s="124" cm="1">
        <f t="array" ref="M84">_xlfn.XLOOKUP(1,('Case Pack'!A:A=C84)*('Case Pack'!F:F&lt;=A84),'Case Pack'!D:D,"未找到箱规")</f>
        <v>45</v>
      </c>
      <c r="N84" s="125">
        <f t="shared" si="2"/>
        <v>56</v>
      </c>
      <c r="O84" s="310">
        <f>_xlfn.XLOOKUP(L84,'Case Type'!A:A,'Case Type'!H:H)*N84</f>
        <v>4.11118661632</v>
      </c>
      <c r="P84" s="277" t="s">
        <v>160</v>
      </c>
      <c r="Q84" s="312" t="s">
        <v>159</v>
      </c>
      <c r="R84" s="313"/>
      <c r="S84" s="86">
        <f>_xlfn.XLOOKUP(C84,'Product List'!B:B,'Product List'!R:R)</f>
        <v>2.35</v>
      </c>
      <c r="T84" s="86">
        <f t="shared" si="3"/>
        <v>5922</v>
      </c>
      <c r="U84" s="86" t="s">
        <v>92</v>
      </c>
      <c r="V84" s="86"/>
    </row>
    <row r="85" customFormat="1" spans="1:22">
      <c r="A85" s="308">
        <v>46125</v>
      </c>
      <c r="B85" s="86" t="str">
        <f>_xlfn.XLOOKUP(C85,'Product List'!B:B,'Product List'!I:I)</f>
        <v>MINI/MOE CAMPING TENT HIDE</v>
      </c>
      <c r="C85" s="135" t="s">
        <v>73</v>
      </c>
      <c r="D85" s="234">
        <f>VLOOKUP(C85,'Product List'!B:C,2,0)</f>
        <v>850030338082</v>
      </c>
      <c r="E85" s="201" t="s">
        <v>146</v>
      </c>
      <c r="F85" s="125">
        <v>5892</v>
      </c>
      <c r="G85" s="309">
        <v>46187</v>
      </c>
      <c r="H85" s="309">
        <f>IF(P85="","",_xlfn.XLOOKUP(P85,'Shipment Control'!A:A,'Shipment Control'!I:I))</f>
        <v>46192</v>
      </c>
      <c r="I85" s="251">
        <f>IF(P85="",G85+30,_xlfn.XLOOKUP(P85,'Shipment Control'!A:A,'Shipment Control'!J:J))</f>
        <v>46218</v>
      </c>
      <c r="J85" s="251">
        <v>46224</v>
      </c>
      <c r="K85" s="309">
        <v>46227</v>
      </c>
      <c r="L85" s="124" t="str" cm="1">
        <f t="array" ref="L85">_xlfn.XLOOKUP(1,('Case Pack'!A:A=C85)*('Case Pack'!F:F&lt;=A85),'Case Pack'!G:G,"未找到箱规")</f>
        <v>B</v>
      </c>
      <c r="M85" s="124" cm="1">
        <f t="array" ref="M85">_xlfn.XLOOKUP(1,('Case Pack'!A:A=C85)*('Case Pack'!F:F&lt;=A85),'Case Pack'!D:D,"未找到箱规")</f>
        <v>12</v>
      </c>
      <c r="N85" s="125">
        <f t="shared" si="2"/>
        <v>491</v>
      </c>
      <c r="O85" s="310">
        <f>_xlfn.XLOOKUP(L85,'Case Type'!A:A,'Case Type'!H:H)*N85</f>
        <v>36.04629693952</v>
      </c>
      <c r="P85" s="311" t="s">
        <v>143</v>
      </c>
      <c r="Q85" s="86" t="s">
        <v>144</v>
      </c>
      <c r="R85" s="86" t="s">
        <v>145</v>
      </c>
      <c r="S85" s="86">
        <f>_xlfn.XLOOKUP(C85,'Product List'!B:B,'Product List'!R:R)</f>
        <v>1.96</v>
      </c>
      <c r="T85" s="86">
        <f t="shared" si="3"/>
        <v>11548.32</v>
      </c>
      <c r="U85" s="86" t="s">
        <v>92</v>
      </c>
      <c r="V85" s="86"/>
    </row>
    <row r="86" customFormat="1" spans="1:22">
      <c r="A86" s="308">
        <v>46125</v>
      </c>
      <c r="B86" s="86" t="str">
        <f>_xlfn.XLOOKUP(C86,'Product List'!B:B,'Product List'!I:I)</f>
        <v>MINI &amp; MOE WOODEN BRIDGE</v>
      </c>
      <c r="C86" s="135" t="s">
        <v>44</v>
      </c>
      <c r="D86" s="234">
        <f>VLOOKUP(C86,'Product List'!B:C,2,0)</f>
        <v>698746776756</v>
      </c>
      <c r="E86" s="201" t="s">
        <v>146</v>
      </c>
      <c r="F86" s="125">
        <v>6624</v>
      </c>
      <c r="G86" s="309">
        <v>46191</v>
      </c>
      <c r="H86" s="309">
        <f>IF(P86="","",_xlfn.XLOOKUP(P86,'Shipment Control'!A:A,'Shipment Control'!I:I))</f>
        <v>46199</v>
      </c>
      <c r="I86" s="251">
        <f>IF(P86="",G86+30,_xlfn.XLOOKUP(P86,'Shipment Control'!A:A,'Shipment Control'!J:J))</f>
        <v>46213</v>
      </c>
      <c r="J86" s="251">
        <v>46225</v>
      </c>
      <c r="K86" s="309">
        <v>46227</v>
      </c>
      <c r="L86" s="124" t="str" cm="1">
        <f t="array" ref="L86">_xlfn.XLOOKUP(1,('Case Pack'!A:A=C86)*('Case Pack'!F:F&lt;=A86),'Case Pack'!G:G,"未找到箱规")</f>
        <v>A</v>
      </c>
      <c r="M86" s="124" cm="1">
        <f t="array" ref="M86">_xlfn.XLOOKUP(1,('Case Pack'!A:A=C86)*('Case Pack'!F:F&lt;=A86),'Case Pack'!D:D,"未找到箱规")</f>
        <v>48</v>
      </c>
      <c r="N86" s="125">
        <f t="shared" si="2"/>
        <v>138</v>
      </c>
      <c r="O86" s="310">
        <f>_xlfn.XLOOKUP(L86,'Case Type'!A:A,'Case Type'!H:H)*N86</f>
        <v>15.19670767104</v>
      </c>
      <c r="P86" s="86" t="s">
        <v>156</v>
      </c>
      <c r="Q86" s="86" t="s">
        <v>157</v>
      </c>
      <c r="R86" s="86">
        <v>32448205</v>
      </c>
      <c r="S86" s="86">
        <f>_xlfn.XLOOKUP(C86,'Product List'!B:B,'Product List'!R:R)</f>
        <v>1.83</v>
      </c>
      <c r="T86" s="86">
        <f t="shared" si="3"/>
        <v>12121.92</v>
      </c>
      <c r="U86" s="86" t="s">
        <v>92</v>
      </c>
      <c r="V86" s="86"/>
    </row>
    <row r="87" customFormat="1" spans="1:22">
      <c r="A87" s="308">
        <v>46125</v>
      </c>
      <c r="B87" s="86" t="str">
        <f>_xlfn.XLOOKUP(C87,'Product List'!B:B,'Product List'!I:I)</f>
        <v>MINI/MOE TV VIEWING CAGE</v>
      </c>
      <c r="C87" s="135" t="s">
        <v>50</v>
      </c>
      <c r="D87" s="234">
        <f>VLOOKUP(C87,'Product List'!B:C,2,0)</f>
        <v>850030338761</v>
      </c>
      <c r="E87" s="314" t="s">
        <v>161</v>
      </c>
      <c r="F87" s="125">
        <v>208</v>
      </c>
      <c r="G87" s="309">
        <v>46187</v>
      </c>
      <c r="H87" s="309">
        <f>IF(P87="","",_xlfn.XLOOKUP(P87,'Shipment Control'!A:A,'Shipment Control'!I:I))</f>
        <v>46192</v>
      </c>
      <c r="I87" s="251">
        <f>IF(P87="",G87+30,_xlfn.XLOOKUP(P87,'Shipment Control'!A:A,'Shipment Control'!J:J))</f>
        <v>46218</v>
      </c>
      <c r="J87" s="251">
        <v>46224</v>
      </c>
      <c r="K87" s="309">
        <v>46227</v>
      </c>
      <c r="L87" s="124" t="str" cm="1">
        <f t="array" ref="L87">_xlfn.XLOOKUP(1,('Case Pack'!A:A=C87)*('Case Pack'!F:F&lt;=A87),'Case Pack'!G:G,"未找到箱规")</f>
        <v>S1</v>
      </c>
      <c r="M87" s="124" cm="1">
        <f t="array" ref="M87">_xlfn.XLOOKUP(1,('Case Pack'!A:A=C87)*('Case Pack'!F:F&lt;=A87),'Case Pack'!D:D,"未找到箱规")</f>
        <v>1</v>
      </c>
      <c r="N87" s="125">
        <f t="shared" si="2"/>
        <v>208</v>
      </c>
      <c r="O87" s="310">
        <f>_xlfn.XLOOKUP(L87,'Case Type'!A:A,'Case Type'!H:H)*N87</f>
        <v>15.392473126992</v>
      </c>
      <c r="P87" s="311" t="s">
        <v>143</v>
      </c>
      <c r="Q87" s="86" t="s">
        <v>144</v>
      </c>
      <c r="R87" s="86" t="s">
        <v>145</v>
      </c>
      <c r="S87" s="86">
        <f>_xlfn.XLOOKUP(C87,'Product List'!B:B,'Product List'!R:R)</f>
        <v>24.09</v>
      </c>
      <c r="T87" s="86">
        <f t="shared" si="3"/>
        <v>5010.72</v>
      </c>
      <c r="U87" s="86" t="s">
        <v>92</v>
      </c>
      <c r="V87" s="86"/>
    </row>
    <row r="88" customFormat="1" spans="1:22">
      <c r="A88" s="308">
        <v>46125</v>
      </c>
      <c r="B88" s="86" t="str">
        <f>_xlfn.XLOOKUP(C88,'Product List'!B:B,'Product List'!I:I)</f>
        <v>MINI/MOE TV VIEWING CAGE</v>
      </c>
      <c r="C88" s="135" t="s">
        <v>50</v>
      </c>
      <c r="D88" s="234">
        <f>VLOOKUP(C88,'Product List'!B:C,2,0)</f>
        <v>850030338761</v>
      </c>
      <c r="E88" s="314" t="s">
        <v>161</v>
      </c>
      <c r="F88" s="125">
        <v>18</v>
      </c>
      <c r="G88" s="309">
        <v>46189</v>
      </c>
      <c r="H88" s="309">
        <f>IF(P88="","",_xlfn.XLOOKUP(P88,'Shipment Control'!A:A,'Shipment Control'!I:I))</f>
        <v>46194</v>
      </c>
      <c r="I88" s="251">
        <f>IF(P88="",G88+30,_xlfn.XLOOKUP(P88,'Shipment Control'!A:A,'Shipment Control'!J:J))</f>
        <v>46212</v>
      </c>
      <c r="J88" s="251">
        <v>46223</v>
      </c>
      <c r="K88" s="309">
        <v>46227</v>
      </c>
      <c r="L88" s="124" t="str" cm="1">
        <f t="array" ref="L88">_xlfn.XLOOKUP(1,('Case Pack'!A:A=C88)*('Case Pack'!F:F&lt;=A88),'Case Pack'!G:G,"未找到箱规")</f>
        <v>S1</v>
      </c>
      <c r="M88" s="124" cm="1">
        <f t="array" ref="M88">_xlfn.XLOOKUP(1,('Case Pack'!A:A=C88)*('Case Pack'!F:F&lt;=A88),'Case Pack'!D:D,"未找到箱规")</f>
        <v>1</v>
      </c>
      <c r="N88" s="125">
        <f t="shared" si="2"/>
        <v>18</v>
      </c>
      <c r="O88" s="310">
        <f>_xlfn.XLOOKUP(L88,'Case Type'!A:A,'Case Type'!H:H)*N88</f>
        <v>1.332040943682</v>
      </c>
      <c r="P88" s="86" t="s">
        <v>162</v>
      </c>
      <c r="Q88" s="315" t="s">
        <v>163</v>
      </c>
      <c r="R88" s="86" t="s">
        <v>164</v>
      </c>
      <c r="S88" s="86">
        <f>_xlfn.XLOOKUP(C88,'Product List'!B:B,'Product List'!R:R)</f>
        <v>24.09</v>
      </c>
      <c r="T88" s="86">
        <f t="shared" si="3"/>
        <v>433.62</v>
      </c>
      <c r="U88" s="86" t="s">
        <v>92</v>
      </c>
      <c r="V88" s="86"/>
    </row>
    <row r="89" customFormat="1" spans="1:22">
      <c r="A89" s="308">
        <v>46125</v>
      </c>
      <c r="B89" s="86" t="str">
        <f>_xlfn.XLOOKUP(C89,'Product List'!B:B,'Product List'!I:I)</f>
        <v>MINI/MOE TV VIEWING CAGE</v>
      </c>
      <c r="C89" s="135" t="s">
        <v>50</v>
      </c>
      <c r="D89" s="234">
        <f>VLOOKUP(C89,'Product List'!B:C,2,0)</f>
        <v>850030338761</v>
      </c>
      <c r="E89" s="314" t="s">
        <v>161</v>
      </c>
      <c r="F89" s="125">
        <v>574</v>
      </c>
      <c r="G89" s="309">
        <v>46189</v>
      </c>
      <c r="H89" s="309">
        <f>IF(P89="","",_xlfn.XLOOKUP(P89,'Shipment Control'!A:A,'Shipment Control'!I:I))</f>
        <v>46194</v>
      </c>
      <c r="I89" s="251">
        <f>IF(P89="",G89+30,_xlfn.XLOOKUP(P89,'Shipment Control'!A:A,'Shipment Control'!J:J))</f>
        <v>46211</v>
      </c>
      <c r="J89" s="251">
        <v>46220</v>
      </c>
      <c r="K89" s="309">
        <v>46227</v>
      </c>
      <c r="L89" s="124" t="str" cm="1">
        <f t="array" ref="L89">_xlfn.XLOOKUP(1,('Case Pack'!A:A=C89)*('Case Pack'!F:F&lt;=A89),'Case Pack'!G:G,"未找到箱规")</f>
        <v>S1</v>
      </c>
      <c r="M89" s="124" cm="1">
        <f t="array" ref="M89">_xlfn.XLOOKUP(1,('Case Pack'!A:A=C89)*('Case Pack'!F:F&lt;=A89),'Case Pack'!D:D,"未找到箱规")</f>
        <v>1</v>
      </c>
      <c r="N89" s="125">
        <f t="shared" si="2"/>
        <v>574</v>
      </c>
      <c r="O89" s="310">
        <f>_xlfn.XLOOKUP(L89,'Case Type'!A:A,'Case Type'!H:H)*N89</f>
        <v>42.477305648526</v>
      </c>
      <c r="P89" s="86" t="s">
        <v>153</v>
      </c>
      <c r="Q89" s="86" t="s">
        <v>154</v>
      </c>
      <c r="R89" s="86" t="s">
        <v>155</v>
      </c>
      <c r="S89" s="86">
        <f>_xlfn.XLOOKUP(C89,'Product List'!B:B,'Product List'!R:R)</f>
        <v>24.09</v>
      </c>
      <c r="T89" s="86">
        <f t="shared" si="3"/>
        <v>13827.66</v>
      </c>
      <c r="U89" s="86" t="s">
        <v>92</v>
      </c>
      <c r="V89" s="86"/>
    </row>
    <row r="90" customFormat="1" spans="1:22">
      <c r="A90" s="308">
        <v>46129</v>
      </c>
      <c r="B90" s="86" t="str">
        <f>_xlfn.XLOOKUP(C90,'Product List'!B:B,'Product List'!I:I)</f>
        <v>MINI &amp; MOE MAG CONECT WTR BTL 4 OZ</v>
      </c>
      <c r="C90" s="135" t="s">
        <v>37</v>
      </c>
      <c r="D90" s="234">
        <f>VLOOKUP(C90,'Product List'!B:C,2,0)</f>
        <v>698746777319</v>
      </c>
      <c r="E90" s="201" t="s">
        <v>165</v>
      </c>
      <c r="F90" s="125">
        <v>7506</v>
      </c>
      <c r="G90" s="309">
        <v>46189</v>
      </c>
      <c r="H90" s="309">
        <f>IF(P90="","",_xlfn.XLOOKUP(P90,'Shipment Control'!A:A,'Shipment Control'!I:I))</f>
        <v>46194</v>
      </c>
      <c r="I90" s="251">
        <f>IF(P90="",G90+30,_xlfn.XLOOKUP(P90,'Shipment Control'!A:A,'Shipment Control'!J:J))</f>
        <v>46211</v>
      </c>
      <c r="J90" s="251">
        <v>46220</v>
      </c>
      <c r="K90" s="309" t="s">
        <v>130</v>
      </c>
      <c r="L90" s="124" t="str" cm="1">
        <f t="array" ref="L90">_xlfn.XLOOKUP(1,('Case Pack'!A:A=C90)*('Case Pack'!F:F&lt;=A90),'Case Pack'!G:G,"未找到箱规")</f>
        <v>A</v>
      </c>
      <c r="M90" s="124" cm="1">
        <f t="array" ref="M90">_xlfn.XLOOKUP(1,('Case Pack'!A:A=C90)*('Case Pack'!F:F&lt;=A90),'Case Pack'!D:D,"未找到箱规")</f>
        <v>54</v>
      </c>
      <c r="N90" s="125">
        <f t="shared" si="2"/>
        <v>139</v>
      </c>
      <c r="O90" s="310">
        <f>_xlfn.XLOOKUP(L90,'Case Type'!A:A,'Case Type'!H:H)*N90</f>
        <v>15.30682874112</v>
      </c>
      <c r="P90" s="86" t="s">
        <v>153</v>
      </c>
      <c r="Q90" s="86" t="s">
        <v>154</v>
      </c>
      <c r="R90" s="86" t="s">
        <v>155</v>
      </c>
      <c r="S90" s="86">
        <f>_xlfn.XLOOKUP(C90,'Product List'!B:B,'Product List'!R:R)</f>
        <v>1.89</v>
      </c>
      <c r="T90" s="86">
        <f t="shared" si="3"/>
        <v>14186.34</v>
      </c>
      <c r="U90" s="86" t="s">
        <v>92</v>
      </c>
      <c r="V90" s="86"/>
    </row>
    <row r="91" customFormat="1" spans="1:22">
      <c r="A91" s="308">
        <v>46129</v>
      </c>
      <c r="B91" s="86" t="str">
        <f>_xlfn.XLOOKUP(C91,'Product List'!B:B,'Product List'!I:I)</f>
        <v>MINI &amp; MOE MAG CONECT WTR BTL 4 OZ</v>
      </c>
      <c r="C91" s="135" t="s">
        <v>37</v>
      </c>
      <c r="D91" s="234">
        <f>VLOOKUP(C91,'Product List'!B:C,2,0)</f>
        <v>698746777319</v>
      </c>
      <c r="E91" s="201" t="s">
        <v>165</v>
      </c>
      <c r="F91" s="125">
        <v>2700</v>
      </c>
      <c r="G91" s="290">
        <v>46220</v>
      </c>
      <c r="H91" s="309">
        <f>IF(P91="","",_xlfn.XLOOKUP(P91,'Shipment Control'!A:A,'Shipment Control'!I:I))</f>
        <v>46224</v>
      </c>
      <c r="I91" s="251">
        <f>IF(P91="",G91+30,_xlfn.XLOOKUP(P91,'Shipment Control'!A:A,'Shipment Control'!J:J))</f>
        <v>46239</v>
      </c>
      <c r="J91" s="251">
        <v>46244</v>
      </c>
      <c r="K91" s="309" t="s">
        <v>130</v>
      </c>
      <c r="L91" s="124" t="str" cm="1">
        <f t="array" ref="L91">_xlfn.XLOOKUP(1,('Case Pack'!A:A=C91)*('Case Pack'!F:F&lt;=A91),'Case Pack'!G:G,"未找到箱规")</f>
        <v>A</v>
      </c>
      <c r="M91" s="124" cm="1">
        <f t="array" ref="M91">_xlfn.XLOOKUP(1,('Case Pack'!A:A=C91)*('Case Pack'!F:F&lt;=A91),'Case Pack'!D:D,"未找到箱规")</f>
        <v>54</v>
      </c>
      <c r="N91" s="125">
        <f t="shared" si="2"/>
        <v>50</v>
      </c>
      <c r="O91" s="310">
        <f>_xlfn.XLOOKUP(L91,'Case Type'!A:A,'Case Type'!H:H)*N91</f>
        <v>5.506053504</v>
      </c>
      <c r="P91" s="86" t="s">
        <v>166</v>
      </c>
      <c r="Q91" s="86" t="s">
        <v>167</v>
      </c>
      <c r="R91" s="124" t="s">
        <v>168</v>
      </c>
      <c r="S91" s="86">
        <f>_xlfn.XLOOKUP(C91,'Product List'!B:B,'Product List'!R:R)</f>
        <v>1.89</v>
      </c>
      <c r="T91" s="86">
        <f t="shared" si="3"/>
        <v>5103</v>
      </c>
      <c r="U91" s="86" t="s">
        <v>92</v>
      </c>
      <c r="V91" s="86"/>
    </row>
    <row r="92" customFormat="1" spans="1:22">
      <c r="A92" s="308">
        <v>46129</v>
      </c>
      <c r="B92" s="86" t="str">
        <f>_xlfn.XLOOKUP(C92,'Product List'!B:B,'Product List'!I:I)</f>
        <v>MINI &amp; MOE COTTAGE HIDE</v>
      </c>
      <c r="C92" s="135" t="s">
        <v>53</v>
      </c>
      <c r="D92" s="234">
        <f>VLOOKUP(C92,'Product List'!B:C,2,0)</f>
        <v>850030338211</v>
      </c>
      <c r="E92" s="201" t="s">
        <v>165</v>
      </c>
      <c r="F92" s="125">
        <v>1032</v>
      </c>
      <c r="G92" s="309">
        <v>46191</v>
      </c>
      <c r="H92" s="309">
        <f>IF(P92="","",_xlfn.XLOOKUP(P92,'Shipment Control'!A:A,'Shipment Control'!I:I))</f>
        <v>46199</v>
      </c>
      <c r="I92" s="251">
        <f>IF(P92="",G92+30,_xlfn.XLOOKUP(P92,'Shipment Control'!A:A,'Shipment Control'!J:J))</f>
        <v>46213</v>
      </c>
      <c r="J92" s="251">
        <v>46225</v>
      </c>
      <c r="K92" s="309" t="s">
        <v>130</v>
      </c>
      <c r="L92" s="124" t="str" cm="1">
        <f t="array" ref="L92">_xlfn.XLOOKUP(1,('Case Pack'!A:A=C92)*('Case Pack'!F:F&lt;=A92),'Case Pack'!G:G,"未找到箱规")</f>
        <v>C</v>
      </c>
      <c r="M92" s="124" cm="1">
        <f t="array" ref="M92">_xlfn.XLOOKUP(1,('Case Pack'!A:A=C92)*('Case Pack'!F:F&lt;=A92),'Case Pack'!D:D,"未找到箱规")</f>
        <v>24</v>
      </c>
      <c r="N92" s="125">
        <f t="shared" si="2"/>
        <v>43</v>
      </c>
      <c r="O92" s="310">
        <f>_xlfn.XLOOKUP(L92,'Case Type'!A:A,'Case Type'!H:H)*N92</f>
        <v>6.7645800192</v>
      </c>
      <c r="P92" s="86" t="s">
        <v>156</v>
      </c>
      <c r="Q92" s="86" t="s">
        <v>157</v>
      </c>
      <c r="R92" s="86">
        <v>32448205</v>
      </c>
      <c r="S92" s="86">
        <f>_xlfn.XLOOKUP(C92,'Product List'!B:B,'Product List'!R:R)</f>
        <v>3.61</v>
      </c>
      <c r="T92" s="86">
        <f t="shared" si="3"/>
        <v>3725.52</v>
      </c>
      <c r="U92" s="86" t="s">
        <v>92</v>
      </c>
      <c r="V92" s="86" t="s">
        <v>169</v>
      </c>
    </row>
    <row r="93" customFormat="1" spans="1:22">
      <c r="A93" s="308">
        <v>46129</v>
      </c>
      <c r="B93" s="86" t="str">
        <f>_xlfn.XLOOKUP(C93,'Product List'!B:B,'Product List'!I:I)</f>
        <v>MINI &amp; MOE TREE DECOR CHEW</v>
      </c>
      <c r="C93" s="135" t="s">
        <v>47</v>
      </c>
      <c r="D93" s="234">
        <f>VLOOKUP(C93,'Product List'!B:C,2,0)</f>
        <v>698746777333</v>
      </c>
      <c r="E93" s="201" t="s">
        <v>165</v>
      </c>
      <c r="F93" s="125">
        <v>5096</v>
      </c>
      <c r="G93" s="309">
        <v>46197</v>
      </c>
      <c r="H93" s="309">
        <v>46204</v>
      </c>
      <c r="I93" s="251">
        <f>IF(P93="",G93+30,_xlfn.XLOOKUP(P93,'Shipment Control'!A:A,'Shipment Control'!J:J))</f>
        <v>46218</v>
      </c>
      <c r="J93" s="251">
        <v>46226</v>
      </c>
      <c r="K93" s="309" t="s">
        <v>130</v>
      </c>
      <c r="L93" s="124" t="str" cm="1">
        <f t="array" ref="L93">_xlfn.XLOOKUP(1,('Case Pack'!A:A=C93)*('Case Pack'!F:F&lt;=A93),'Case Pack'!G:G,"未找到箱规")</f>
        <v>B</v>
      </c>
      <c r="M93" s="124" cm="1">
        <f t="array" ref="M93">_xlfn.XLOOKUP(1,('Case Pack'!A:A=C93)*('Case Pack'!F:F&lt;=A93),'Case Pack'!D:D,"未找到箱规")</f>
        <v>28</v>
      </c>
      <c r="N93" s="125">
        <f t="shared" si="2"/>
        <v>182</v>
      </c>
      <c r="O93" s="310">
        <f>_xlfn.XLOOKUP(L93,'Case Type'!A:A,'Case Type'!H:H)*N93</f>
        <v>13.36135650304</v>
      </c>
      <c r="P93" s="315" t="s">
        <v>170</v>
      </c>
      <c r="Q93" s="316" t="s">
        <v>159</v>
      </c>
      <c r="R93" s="317"/>
      <c r="S93" s="86">
        <f>_xlfn.XLOOKUP(C93,'Product List'!B:B,'Product List'!R:R)</f>
        <v>3.1</v>
      </c>
      <c r="T93" s="86">
        <f t="shared" si="3"/>
        <v>15797.6</v>
      </c>
      <c r="U93" s="86" t="s">
        <v>92</v>
      </c>
      <c r="V93" s="86"/>
    </row>
    <row r="94" customFormat="1" spans="1:22">
      <c r="A94" s="308">
        <v>46129</v>
      </c>
      <c r="B94" s="86" t="str">
        <f>_xlfn.XLOOKUP(C94,'Product List'!B:B,'Product List'!I:I)</f>
        <v>MINI &amp; MOE GARDEN DECOR CHEW</v>
      </c>
      <c r="C94" s="135" t="s">
        <v>45</v>
      </c>
      <c r="D94" s="234">
        <f>VLOOKUP(C94,'Product List'!B:C,2,0)</f>
        <v>698746777326</v>
      </c>
      <c r="E94" s="201" t="s">
        <v>165</v>
      </c>
      <c r="F94" s="125">
        <v>5130</v>
      </c>
      <c r="G94" s="309">
        <v>46197</v>
      </c>
      <c r="H94" s="309">
        <v>46204</v>
      </c>
      <c r="I94" s="251">
        <f>IF(P94="",G94+30,_xlfn.XLOOKUP(P94,'Shipment Control'!A:A,'Shipment Control'!J:J))</f>
        <v>46218</v>
      </c>
      <c r="J94" s="251">
        <v>46226</v>
      </c>
      <c r="K94" s="309" t="s">
        <v>130</v>
      </c>
      <c r="L94" s="124" t="str" cm="1">
        <f t="array" ref="L94">_xlfn.XLOOKUP(1,('Case Pack'!A:A=C94)*('Case Pack'!F:F&lt;=A94),'Case Pack'!G:G,"未找到箱规")</f>
        <v>B</v>
      </c>
      <c r="M94" s="124" cm="1">
        <f t="array" ref="M94">_xlfn.XLOOKUP(1,('Case Pack'!A:A=C94)*('Case Pack'!F:F&lt;=A94),'Case Pack'!D:D,"未找到箱规")</f>
        <v>45</v>
      </c>
      <c r="N94" s="125">
        <f t="shared" si="2"/>
        <v>114</v>
      </c>
      <c r="O94" s="310">
        <f>_xlfn.XLOOKUP(L94,'Case Type'!A:A,'Case Type'!H:H)*N94</f>
        <v>8.36920132608</v>
      </c>
      <c r="P94" s="315" t="s">
        <v>170</v>
      </c>
      <c r="Q94" s="316" t="s">
        <v>159</v>
      </c>
      <c r="R94" s="317"/>
      <c r="S94" s="86">
        <f>_xlfn.XLOOKUP(C94,'Product List'!B:B,'Product List'!R:R)</f>
        <v>2.35</v>
      </c>
      <c r="T94" s="86">
        <f t="shared" si="3"/>
        <v>12055.5</v>
      </c>
      <c r="U94" s="86" t="s">
        <v>92</v>
      </c>
      <c r="V94" s="86"/>
    </row>
    <row r="95" customFormat="1" spans="1:22">
      <c r="A95" s="308">
        <v>46129</v>
      </c>
      <c r="B95" s="86" t="str">
        <f>_xlfn.XLOOKUP(C95,'Product List'!B:B,'Product List'!I:I)</f>
        <v>MINI/MOE CAMPING TENT HIDE</v>
      </c>
      <c r="C95" s="135" t="s">
        <v>73</v>
      </c>
      <c r="D95" s="234">
        <f>VLOOKUP(C95,'Product List'!B:C,2,0)</f>
        <v>850030338082</v>
      </c>
      <c r="E95" s="135" t="s">
        <v>165</v>
      </c>
      <c r="F95" s="125">
        <v>1632</v>
      </c>
      <c r="G95" s="309">
        <v>46218</v>
      </c>
      <c r="H95" s="309">
        <f>IF(P95="","",_xlfn.XLOOKUP(P95,'Shipment Control'!A:A,'Shipment Control'!I:I))</f>
        <v>46218</v>
      </c>
      <c r="I95" s="251">
        <f>IF(P95="",G95+30,_xlfn.XLOOKUP(P95,'Shipment Control'!A:A,'Shipment Control'!J:J))</f>
        <v>46248</v>
      </c>
      <c r="J95" s="251">
        <v>46253</v>
      </c>
      <c r="K95" s="309" t="s">
        <v>130</v>
      </c>
      <c r="L95" s="124" t="str" cm="1">
        <f t="array" ref="L95">_xlfn.XLOOKUP(1,('Case Pack'!A:A=C95)*('Case Pack'!F:F&lt;=A95),'Case Pack'!G:G,"未找到箱规")</f>
        <v>B</v>
      </c>
      <c r="M95" s="124" cm="1">
        <f t="array" ref="M95">_xlfn.XLOOKUP(1,('Case Pack'!A:A=C95)*('Case Pack'!F:F&lt;=A95),'Case Pack'!D:D,"未找到箱规")</f>
        <v>12</v>
      </c>
      <c r="N95" s="125">
        <f t="shared" si="2"/>
        <v>136</v>
      </c>
      <c r="O95" s="310">
        <f>_xlfn.XLOOKUP(L95,'Case Type'!A:A,'Case Type'!H:H)*N95</f>
        <v>9.98431035392</v>
      </c>
      <c r="P95" s="124" t="s">
        <v>171</v>
      </c>
      <c r="Q95" s="86" t="s">
        <v>172</v>
      </c>
      <c r="R95" s="124" t="s">
        <v>173</v>
      </c>
      <c r="S95" s="86">
        <f>_xlfn.XLOOKUP(C95,'Product List'!B:B,'Product List'!R:R)</f>
        <v>1.96</v>
      </c>
      <c r="T95" s="86">
        <f t="shared" si="3"/>
        <v>3198.72</v>
      </c>
      <c r="U95" s="86" t="s">
        <v>92</v>
      </c>
      <c r="V95" s="86"/>
    </row>
    <row r="96" customFormat="1" spans="1:22">
      <c r="A96" s="308">
        <v>46129</v>
      </c>
      <c r="B96" s="86" t="str">
        <f>_xlfn.XLOOKUP(C96,'Product List'!B:B,'Product List'!I:I)</f>
        <v>MINI &amp; MOE WOODEN BRIDGE</v>
      </c>
      <c r="C96" s="135" t="s">
        <v>44</v>
      </c>
      <c r="D96" s="234">
        <f>VLOOKUP(C96,'Product List'!B:C,2,0)</f>
        <v>698746776756</v>
      </c>
      <c r="E96" s="201" t="s">
        <v>165</v>
      </c>
      <c r="F96" s="125">
        <v>1632</v>
      </c>
      <c r="G96" s="309">
        <v>46191</v>
      </c>
      <c r="H96" s="309">
        <f>IF(P96="","",_xlfn.XLOOKUP(P96,'Shipment Control'!A:A,'Shipment Control'!I:I))</f>
        <v>46199</v>
      </c>
      <c r="I96" s="251">
        <f>IF(P96="",G96+30,_xlfn.XLOOKUP(P96,'Shipment Control'!A:A,'Shipment Control'!J:J))</f>
        <v>46213</v>
      </c>
      <c r="J96" s="251">
        <v>46225</v>
      </c>
      <c r="K96" s="309" t="s">
        <v>130</v>
      </c>
      <c r="L96" s="124" t="str" cm="1">
        <f t="array" ref="L96">_xlfn.XLOOKUP(1,('Case Pack'!A:A=C96)*('Case Pack'!F:F&lt;=A96),'Case Pack'!G:G,"未找到箱规")</f>
        <v>A</v>
      </c>
      <c r="M96" s="124" cm="1">
        <f t="array" ref="M96">_xlfn.XLOOKUP(1,('Case Pack'!A:A=C96)*('Case Pack'!F:F&lt;=A96),'Case Pack'!D:D,"未找到箱规")</f>
        <v>48</v>
      </c>
      <c r="N96" s="125">
        <f t="shared" si="2"/>
        <v>34</v>
      </c>
      <c r="O96" s="310">
        <f>_xlfn.XLOOKUP(L96,'Case Type'!A:A,'Case Type'!H:H)*N96</f>
        <v>3.74411638272</v>
      </c>
      <c r="P96" s="86" t="s">
        <v>156</v>
      </c>
      <c r="Q96" s="86" t="s">
        <v>157</v>
      </c>
      <c r="R96" s="86">
        <v>32448205</v>
      </c>
      <c r="S96" s="86">
        <f>_xlfn.XLOOKUP(C96,'Product List'!B:B,'Product List'!R:R)</f>
        <v>1.83</v>
      </c>
      <c r="T96" s="86">
        <f t="shared" si="3"/>
        <v>2986.56</v>
      </c>
      <c r="U96" s="86" t="s">
        <v>92</v>
      </c>
      <c r="V96" s="86"/>
    </row>
    <row r="97" customFormat="1" spans="1:22">
      <c r="A97" s="308">
        <v>46129</v>
      </c>
      <c r="B97" s="86" t="str">
        <f>_xlfn.XLOOKUP(C97,'Product List'!B:B,'Product List'!I:I)</f>
        <v>MINI/MOE TV VIEWING CAGE</v>
      </c>
      <c r="C97" s="135" t="s">
        <v>50</v>
      </c>
      <c r="D97" s="234">
        <f>VLOOKUP(C97,'Product List'!B:C,2,0)</f>
        <v>850030338761</v>
      </c>
      <c r="E97" s="201" t="s">
        <v>165</v>
      </c>
      <c r="F97" s="125">
        <v>91</v>
      </c>
      <c r="G97" s="309">
        <v>46187</v>
      </c>
      <c r="H97" s="309">
        <f>IF(P97="","",_xlfn.XLOOKUP(P97,'Shipment Control'!A:A,'Shipment Control'!I:I))</f>
        <v>46192</v>
      </c>
      <c r="I97" s="251">
        <f>IF(P97="",G97+30,_xlfn.XLOOKUP(P97,'Shipment Control'!A:A,'Shipment Control'!J:J))</f>
        <v>46218</v>
      </c>
      <c r="J97" s="251">
        <v>46224</v>
      </c>
      <c r="K97" s="309" t="s">
        <v>130</v>
      </c>
      <c r="L97" s="124" t="str" cm="1">
        <f t="array" ref="L97">_xlfn.XLOOKUP(1,('Case Pack'!A:A=C97)*('Case Pack'!F:F&lt;=A97),'Case Pack'!G:G,"未找到箱规")</f>
        <v>S1</v>
      </c>
      <c r="M97" s="124" cm="1">
        <f t="array" ref="M97">_xlfn.XLOOKUP(1,('Case Pack'!A:A=C97)*('Case Pack'!F:F&lt;=A97),'Case Pack'!D:D,"未找到箱规")</f>
        <v>1</v>
      </c>
      <c r="N97" s="125">
        <f t="shared" si="2"/>
        <v>91</v>
      </c>
      <c r="O97" s="310">
        <f>_xlfn.XLOOKUP(L97,'Case Type'!A:A,'Case Type'!H:H)*N97</f>
        <v>6.734206993059</v>
      </c>
      <c r="P97" s="311" t="s">
        <v>143</v>
      </c>
      <c r="Q97" s="86" t="s">
        <v>144</v>
      </c>
      <c r="R97" s="86" t="s">
        <v>145</v>
      </c>
      <c r="S97" s="86">
        <f>_xlfn.XLOOKUP(C97,'Product List'!B:B,'Product List'!R:R)</f>
        <v>24.09</v>
      </c>
      <c r="T97" s="86">
        <f t="shared" si="3"/>
        <v>2192.19</v>
      </c>
      <c r="U97" s="86" t="s">
        <v>92</v>
      </c>
      <c r="V97" s="86"/>
    </row>
    <row r="98" customFormat="1" spans="1:22">
      <c r="A98" s="308">
        <v>46129</v>
      </c>
      <c r="B98" s="86" t="str">
        <f>_xlfn.XLOOKUP(C98,'Product List'!B:B,'Product List'!I:I)</f>
        <v>MINI/MOE TV VIEWING CAGE</v>
      </c>
      <c r="C98" s="135" t="s">
        <v>50</v>
      </c>
      <c r="D98" s="234">
        <f>VLOOKUP(C98,'Product List'!B:C,2,0)</f>
        <v>850030338761</v>
      </c>
      <c r="E98" s="201" t="s">
        <v>165</v>
      </c>
      <c r="F98" s="125">
        <v>11</v>
      </c>
      <c r="G98" s="309">
        <v>46189</v>
      </c>
      <c r="H98" s="309">
        <f>IF(P98="","",_xlfn.XLOOKUP(P98,'Shipment Control'!A:A,'Shipment Control'!I:I))</f>
        <v>46194</v>
      </c>
      <c r="I98" s="251">
        <f>IF(P98="",G98+30,_xlfn.XLOOKUP(P98,'Shipment Control'!A:A,'Shipment Control'!J:J))</f>
        <v>46212</v>
      </c>
      <c r="J98" s="251">
        <v>46223</v>
      </c>
      <c r="K98" s="309" t="s">
        <v>130</v>
      </c>
      <c r="L98" s="124" t="str" cm="1">
        <f t="array" ref="L98">_xlfn.XLOOKUP(1,('Case Pack'!A:A=C98)*('Case Pack'!F:F&lt;=A98),'Case Pack'!G:G,"未找到箱规")</f>
        <v>S1</v>
      </c>
      <c r="M98" s="124" cm="1">
        <f t="array" ref="M98">_xlfn.XLOOKUP(1,('Case Pack'!A:A=C98)*('Case Pack'!F:F&lt;=A98),'Case Pack'!D:D,"未找到箱规")</f>
        <v>1</v>
      </c>
      <c r="N98" s="125">
        <f t="shared" si="2"/>
        <v>11</v>
      </c>
      <c r="O98" s="310">
        <f>_xlfn.XLOOKUP(L98,'Case Type'!A:A,'Case Type'!H:H)*N98</f>
        <v>0.814025021139</v>
      </c>
      <c r="P98" s="86" t="s">
        <v>162</v>
      </c>
      <c r="Q98" s="315" t="s">
        <v>163</v>
      </c>
      <c r="R98" s="86" t="s">
        <v>164</v>
      </c>
      <c r="S98" s="86">
        <f>_xlfn.XLOOKUP(C98,'Product List'!B:B,'Product List'!R:R)</f>
        <v>24.09</v>
      </c>
      <c r="T98" s="86">
        <f t="shared" si="3"/>
        <v>264.99</v>
      </c>
      <c r="U98" s="86" t="s">
        <v>92</v>
      </c>
      <c r="V98" s="86"/>
    </row>
    <row r="99" customFormat="1" spans="1:22">
      <c r="A99" s="308">
        <v>46129</v>
      </c>
      <c r="B99" s="86" t="str">
        <f>_xlfn.XLOOKUP(C99,'Product List'!B:B,'Product List'!I:I)</f>
        <v>MINI/MOE TV VIEWING CAGE</v>
      </c>
      <c r="C99" s="135" t="s">
        <v>50</v>
      </c>
      <c r="D99" s="234">
        <f>VLOOKUP(C99,'Product List'!B:C,2,0)</f>
        <v>850030338761</v>
      </c>
      <c r="E99" s="201" t="s">
        <v>165</v>
      </c>
      <c r="F99" s="125">
        <v>4</v>
      </c>
      <c r="G99" s="309">
        <v>46189</v>
      </c>
      <c r="H99" s="309">
        <f>IF(P99="","",_xlfn.XLOOKUP(P99,'Shipment Control'!A:A,'Shipment Control'!I:I))</f>
        <v>46194</v>
      </c>
      <c r="I99" s="251">
        <f>IF(P99="",G99+30,_xlfn.XLOOKUP(P99,'Shipment Control'!A:A,'Shipment Control'!J:J))</f>
        <v>46212</v>
      </c>
      <c r="J99" s="294">
        <v>46224</v>
      </c>
      <c r="K99" s="309" t="s">
        <v>130</v>
      </c>
      <c r="L99" s="124" t="str" cm="1">
        <f t="array" ref="L99">_xlfn.XLOOKUP(1,('Case Pack'!A:A=C99)*('Case Pack'!F:F&lt;=A99),'Case Pack'!G:G,"未找到箱规")</f>
        <v>S1</v>
      </c>
      <c r="M99" s="124" cm="1">
        <f t="array" ref="M99">_xlfn.XLOOKUP(1,('Case Pack'!A:A=C99)*('Case Pack'!F:F&lt;=A99),'Case Pack'!D:D,"未找到箱规")</f>
        <v>1</v>
      </c>
      <c r="N99" s="125">
        <f t="shared" si="2"/>
        <v>4</v>
      </c>
      <c r="O99" s="310">
        <f>_xlfn.XLOOKUP(L99,'Case Type'!A:A,'Case Type'!H:H)*N99</f>
        <v>0.296009098596</v>
      </c>
      <c r="P99" s="86" t="s">
        <v>174</v>
      </c>
      <c r="Q99" s="315" t="s">
        <v>175</v>
      </c>
      <c r="R99" s="86" t="s">
        <v>176</v>
      </c>
      <c r="S99" s="86">
        <f>_xlfn.XLOOKUP(C99,'Product List'!B:B,'Product List'!R:R)</f>
        <v>24.09</v>
      </c>
      <c r="T99" s="86">
        <f t="shared" si="3"/>
        <v>96.36</v>
      </c>
      <c r="U99" s="86" t="s">
        <v>92</v>
      </c>
      <c r="V99" s="86"/>
    </row>
    <row r="100" customFormat="1" spans="1:22">
      <c r="A100" s="308">
        <v>46129</v>
      </c>
      <c r="B100" s="86" t="str">
        <f>_xlfn.XLOOKUP(C100,'Product List'!B:B,'Product List'!I:I)</f>
        <v>MINI/MOE TV VIEWING CAGE</v>
      </c>
      <c r="C100" s="135" t="s">
        <v>50</v>
      </c>
      <c r="D100" s="234">
        <f>VLOOKUP(C100,'Product List'!B:C,2,0)</f>
        <v>850030338761</v>
      </c>
      <c r="E100" s="201" t="s">
        <v>165</v>
      </c>
      <c r="F100" s="125">
        <v>952</v>
      </c>
      <c r="G100" s="309">
        <v>46198</v>
      </c>
      <c r="H100" s="309">
        <f>IF(P100="","",_xlfn.XLOOKUP(P100,'Shipment Control'!A:A,'Shipment Control'!I:I))</f>
        <v>46202</v>
      </c>
      <c r="I100" s="251">
        <f>IF(P100="",G100+30,_xlfn.XLOOKUP(P100,'Shipment Control'!A:A,'Shipment Control'!J:J))</f>
        <v>46220</v>
      </c>
      <c r="J100" s="251">
        <v>46226</v>
      </c>
      <c r="K100" s="309" t="s">
        <v>130</v>
      </c>
      <c r="L100" s="124" t="str" cm="1">
        <f t="array" ref="L100">_xlfn.XLOOKUP(1,('Case Pack'!A:A=C100)*('Case Pack'!F:F&lt;=A100),'Case Pack'!G:G,"未找到箱规")</f>
        <v>S1</v>
      </c>
      <c r="M100" s="124" cm="1">
        <f t="array" ref="M100">_xlfn.XLOOKUP(1,('Case Pack'!A:A=C100)*('Case Pack'!F:F&lt;=A100),'Case Pack'!D:D,"未找到箱规")</f>
        <v>1</v>
      </c>
      <c r="N100" s="125">
        <f t="shared" si="2"/>
        <v>952</v>
      </c>
      <c r="O100" s="310">
        <f>_xlfn.XLOOKUP(L100,'Case Type'!A:A,'Case Type'!H:H)*N100</f>
        <v>70.450165465848</v>
      </c>
      <c r="P100" s="86" t="s">
        <v>177</v>
      </c>
      <c r="Q100" s="86" t="s">
        <v>178</v>
      </c>
      <c r="R100" s="86" t="s">
        <v>179</v>
      </c>
      <c r="S100" s="86">
        <f>_xlfn.XLOOKUP(C100,'Product List'!B:B,'Product List'!R:R)</f>
        <v>24.09</v>
      </c>
      <c r="T100" s="86">
        <f t="shared" si="3"/>
        <v>22933.68</v>
      </c>
      <c r="U100" s="86" t="s">
        <v>92</v>
      </c>
      <c r="V100" s="86"/>
    </row>
    <row r="101" customFormat="1" spans="1:22">
      <c r="A101" s="308">
        <v>46129</v>
      </c>
      <c r="B101" s="86" t="str">
        <f>_xlfn.XLOOKUP(C101,'Product List'!B:B,'Product List'!I:I)</f>
        <v>MINI/MOE TV VIEWING CAGE</v>
      </c>
      <c r="C101" s="135" t="s">
        <v>50</v>
      </c>
      <c r="D101" s="234">
        <f>VLOOKUP(C101,'Product List'!B:C,2,0)</f>
        <v>850030338761</v>
      </c>
      <c r="E101" s="201" t="s">
        <v>165</v>
      </c>
      <c r="F101" s="125">
        <v>197</v>
      </c>
      <c r="G101" s="309">
        <v>46189</v>
      </c>
      <c r="H101" s="309">
        <v>46194</v>
      </c>
      <c r="I101" s="251">
        <v>46212</v>
      </c>
      <c r="J101" s="251">
        <v>46218</v>
      </c>
      <c r="K101" s="309" t="s">
        <v>130</v>
      </c>
      <c r="L101" s="124" t="str" cm="1">
        <f t="array" ref="L101">_xlfn.XLOOKUP(1,('Case Pack'!A:A=C101)*('Case Pack'!F:F&lt;=A101),'Case Pack'!G:G,"未找到箱规")</f>
        <v>S1</v>
      </c>
      <c r="M101" s="124" cm="1">
        <f t="array" ref="M101">_xlfn.XLOOKUP(1,('Case Pack'!A:A=C101)*('Case Pack'!F:F&lt;=A101),'Case Pack'!D:D,"未找到箱规")</f>
        <v>1</v>
      </c>
      <c r="N101" s="125">
        <v>197</v>
      </c>
      <c r="O101" s="310">
        <v>14.6</v>
      </c>
      <c r="P101" s="86" t="s">
        <v>180</v>
      </c>
      <c r="Q101" s="86" t="s">
        <v>181</v>
      </c>
      <c r="R101" s="86" t="s">
        <v>182</v>
      </c>
      <c r="S101" s="86">
        <f>_xlfn.XLOOKUP(C101,'Product List'!B:B,'Product List'!R:R)</f>
        <v>24.09</v>
      </c>
      <c r="T101" s="86">
        <f t="shared" si="3"/>
        <v>4745.73</v>
      </c>
      <c r="U101" s="86" t="s">
        <v>92</v>
      </c>
      <c r="V101" s="86"/>
    </row>
    <row r="102" customFormat="1" spans="1:22">
      <c r="A102" s="308">
        <v>46140</v>
      </c>
      <c r="B102" s="86" t="str">
        <f>_xlfn.XLOOKUP(C102,'Product List'!B:B,'Product List'!I:I)</f>
        <v>MMO-SHELL PEARL HAMSTER CHEW</v>
      </c>
      <c r="C102" s="135" t="s">
        <v>35</v>
      </c>
      <c r="D102" s="234">
        <f>VLOOKUP(C102,'Product List'!B:C,2,0)</f>
        <v>698746777074</v>
      </c>
      <c r="E102" s="201" t="s">
        <v>183</v>
      </c>
      <c r="F102" s="125">
        <v>64</v>
      </c>
      <c r="G102" s="309">
        <v>46179</v>
      </c>
      <c r="H102" s="309">
        <v>46181</v>
      </c>
      <c r="I102" s="251">
        <v>46203</v>
      </c>
      <c r="J102" s="251">
        <v>46185</v>
      </c>
      <c r="K102" s="309" t="s">
        <v>130</v>
      </c>
      <c r="L102" s="124" t="str" cm="1">
        <f t="array" ref="L102">_xlfn.XLOOKUP(1,('Case Pack'!A:A=C102)*('Case Pack'!F:F&lt;=A102),'Case Pack'!G:G,"未找到箱规")</f>
        <v>B</v>
      </c>
      <c r="M102" s="124" cm="1">
        <f t="array" ref="M102">_xlfn.XLOOKUP(1,('Case Pack'!A:A=C102)*('Case Pack'!F:F&lt;=A102),'Case Pack'!D:D,"未找到箱规")</f>
        <v>64</v>
      </c>
      <c r="N102" s="125">
        <f t="shared" ref="N102:N165" si="4">F102/M102</f>
        <v>1</v>
      </c>
      <c r="O102" s="310">
        <f>_xlfn.XLOOKUP(L102,'Case Type'!A:A,'Case Type'!H:H)*N102</f>
        <v>0.07341404672</v>
      </c>
      <c r="P102" s="86" t="s">
        <v>184</v>
      </c>
      <c r="Q102" s="316" t="s">
        <v>159</v>
      </c>
      <c r="R102" s="317"/>
      <c r="S102" s="86">
        <f>_xlfn.XLOOKUP(C102,'Product List'!B:B,'Product List'!R:R)</f>
        <v>0.96</v>
      </c>
      <c r="T102" s="86">
        <f t="shared" si="3"/>
        <v>61.44</v>
      </c>
      <c r="U102" s="86" t="s">
        <v>92</v>
      </c>
      <c r="V102" s="86"/>
    </row>
    <row r="103" customFormat="1" spans="1:22">
      <c r="A103" s="308">
        <v>46140</v>
      </c>
      <c r="B103" s="86" t="str">
        <f>_xlfn.XLOOKUP(C103,'Product List'!B:B,'Product List'!I:I)</f>
        <v>MMO-GREEN APPLE CHEW</v>
      </c>
      <c r="C103" s="135" t="s">
        <v>33</v>
      </c>
      <c r="D103" s="234">
        <f>VLOOKUP(C103,'Product List'!B:C,2,0)</f>
        <v>698746777081</v>
      </c>
      <c r="E103" s="201" t="s">
        <v>183</v>
      </c>
      <c r="F103" s="125">
        <v>240</v>
      </c>
      <c r="G103" s="309">
        <v>46179</v>
      </c>
      <c r="H103" s="309">
        <v>46181</v>
      </c>
      <c r="I103" s="251">
        <v>46203</v>
      </c>
      <c r="J103" s="251">
        <v>46185</v>
      </c>
      <c r="K103" s="309" t="s">
        <v>130</v>
      </c>
      <c r="L103" s="124" t="str" cm="1">
        <f t="array" ref="L103">_xlfn.XLOOKUP(1,('Case Pack'!A:A=C103)*('Case Pack'!F:F&lt;=A103),'Case Pack'!G:G,"未找到箱规")</f>
        <v>B</v>
      </c>
      <c r="M103" s="124" cm="1">
        <f t="array" ref="M103">_xlfn.XLOOKUP(1,('Case Pack'!A:A=C103)*('Case Pack'!F:F&lt;=A103),'Case Pack'!D:D,"未找到箱规")</f>
        <v>48</v>
      </c>
      <c r="N103" s="125">
        <f t="shared" si="4"/>
        <v>5</v>
      </c>
      <c r="O103" s="310">
        <f>_xlfn.XLOOKUP(L103,'Case Type'!A:A,'Case Type'!H:H)*N103</f>
        <v>0.3670702336</v>
      </c>
      <c r="P103" s="86" t="s">
        <v>184</v>
      </c>
      <c r="Q103" s="316" t="s">
        <v>159</v>
      </c>
      <c r="R103" s="317"/>
      <c r="S103" s="86">
        <f>_xlfn.XLOOKUP(C103,'Product List'!B:B,'Product List'!R:R)</f>
        <v>1.04</v>
      </c>
      <c r="T103" s="86">
        <f t="shared" si="3"/>
        <v>249.6</v>
      </c>
      <c r="U103" s="86" t="s">
        <v>92</v>
      </c>
      <c r="V103" s="86"/>
    </row>
    <row r="104" customFormat="1" spans="1:22">
      <c r="A104" s="308">
        <v>46140</v>
      </c>
      <c r="B104" s="86" t="str">
        <f>_xlfn.XLOOKUP(C104,'Product List'!B:B,'Product List'!I:I)</f>
        <v>MMO-CAMP LUNCH BOX CHEW</v>
      </c>
      <c r="C104" s="135" t="s">
        <v>34</v>
      </c>
      <c r="D104" s="234">
        <f>VLOOKUP(C104,'Product List'!B:C,2,0)</f>
        <v>698746777012</v>
      </c>
      <c r="E104" s="201" t="s">
        <v>183</v>
      </c>
      <c r="F104" s="125">
        <v>648</v>
      </c>
      <c r="G104" s="309">
        <v>46179</v>
      </c>
      <c r="H104" s="309">
        <v>46181</v>
      </c>
      <c r="I104" s="251">
        <v>46203</v>
      </c>
      <c r="J104" s="251">
        <v>46185</v>
      </c>
      <c r="K104" s="309" t="s">
        <v>130</v>
      </c>
      <c r="L104" s="124" t="str" cm="1">
        <f t="array" ref="L104">_xlfn.XLOOKUP(1,('Case Pack'!A:A=C104)*('Case Pack'!F:F&lt;=A104),'Case Pack'!G:G,"未找到箱规")</f>
        <v>B</v>
      </c>
      <c r="M104" s="124" cm="1">
        <f t="array" ref="M104">_xlfn.XLOOKUP(1,('Case Pack'!A:A=C104)*('Case Pack'!F:F&lt;=A104),'Case Pack'!D:D,"未找到箱规")</f>
        <v>72</v>
      </c>
      <c r="N104" s="125">
        <f t="shared" si="4"/>
        <v>9</v>
      </c>
      <c r="O104" s="310">
        <f>_xlfn.XLOOKUP(L104,'Case Type'!A:A,'Case Type'!H:H)*N104</f>
        <v>0.66072642048</v>
      </c>
      <c r="P104" s="86" t="s">
        <v>184</v>
      </c>
      <c r="Q104" s="316" t="s">
        <v>159</v>
      </c>
      <c r="R104" s="317"/>
      <c r="S104" s="86">
        <f>_xlfn.XLOOKUP(C104,'Product List'!B:B,'Product List'!R:R)</f>
        <v>1.59</v>
      </c>
      <c r="T104" s="86">
        <f t="shared" si="3"/>
        <v>1030.32</v>
      </c>
      <c r="U104" s="86" t="s">
        <v>92</v>
      </c>
      <c r="V104" s="86"/>
    </row>
    <row r="105" customFormat="1" spans="1:22">
      <c r="A105" s="308">
        <v>46140</v>
      </c>
      <c r="B105" s="86" t="str">
        <f>_xlfn.XLOOKUP(C105,'Product List'!B:B,'Product List'!I:I)</f>
        <v>MMO-SHELL PEARL HAMSTER CHEW</v>
      </c>
      <c r="C105" s="135" t="s">
        <v>35</v>
      </c>
      <c r="D105" s="234">
        <f>VLOOKUP(C105,'Product List'!B:C,2,0)</f>
        <v>698746777074</v>
      </c>
      <c r="E105" s="201" t="s">
        <v>183</v>
      </c>
      <c r="F105" s="125">
        <v>768</v>
      </c>
      <c r="G105" s="309">
        <v>46182</v>
      </c>
      <c r="H105" s="309">
        <f>IF(P105="","",_xlfn.XLOOKUP(P105,'Shipment Control'!A:A,'Shipment Control'!I:I))</f>
        <v>46190</v>
      </c>
      <c r="I105" s="251">
        <f>IF(P105="",G105+30,_xlfn.XLOOKUP(P105,'Shipment Control'!A:A,'Shipment Control'!J:J))</f>
        <v>46204</v>
      </c>
      <c r="J105" s="251">
        <v>46218</v>
      </c>
      <c r="K105" s="309" t="s">
        <v>130</v>
      </c>
      <c r="L105" s="124" t="str" cm="1">
        <f t="array" ref="L105">_xlfn.XLOOKUP(1,('Case Pack'!A:A=C105)*('Case Pack'!F:F&lt;=A105),'Case Pack'!G:G,"未找到箱规")</f>
        <v>B</v>
      </c>
      <c r="M105" s="124" cm="1">
        <f t="array" ref="M105">_xlfn.XLOOKUP(1,('Case Pack'!A:A=C105)*('Case Pack'!F:F&lt;=A105),'Case Pack'!D:D,"未找到箱规")</f>
        <v>64</v>
      </c>
      <c r="N105" s="125">
        <f t="shared" si="4"/>
        <v>12</v>
      </c>
      <c r="O105" s="310">
        <f>_xlfn.XLOOKUP(L105,'Case Type'!A:A,'Case Type'!H:H)*N105</f>
        <v>0.88096856064</v>
      </c>
      <c r="P105" s="277" t="s">
        <v>158</v>
      </c>
      <c r="Q105" s="316" t="s">
        <v>159</v>
      </c>
      <c r="R105" s="317"/>
      <c r="S105" s="86">
        <f>_xlfn.XLOOKUP(C105,'Product List'!B:B,'Product List'!R:R)</f>
        <v>0.96</v>
      </c>
      <c r="T105" s="86">
        <f t="shared" si="3"/>
        <v>737.28</v>
      </c>
      <c r="U105" s="86" t="s">
        <v>92</v>
      </c>
      <c r="V105" s="86"/>
    </row>
    <row r="106" customFormat="1" spans="1:22">
      <c r="A106" s="308">
        <v>46140</v>
      </c>
      <c r="B106" s="86" t="str">
        <f>_xlfn.XLOOKUP(C106,'Product List'!B:B,'Product List'!I:I)</f>
        <v>MMO-SHELL PEARL HAMSTER CHEW</v>
      </c>
      <c r="C106" s="135" t="s">
        <v>35</v>
      </c>
      <c r="D106" s="234">
        <f>VLOOKUP(C106,'Product List'!B:C,2,0)</f>
        <v>698746777074</v>
      </c>
      <c r="E106" s="201" t="s">
        <v>183</v>
      </c>
      <c r="F106" s="125">
        <v>192</v>
      </c>
      <c r="G106" s="309">
        <v>46182</v>
      </c>
      <c r="H106" s="309">
        <f>IF(P106="","",_xlfn.XLOOKUP(P106,'Shipment Control'!A:A,'Shipment Control'!I:I))</f>
        <v>46190</v>
      </c>
      <c r="I106" s="251">
        <f>IF(P106="",G106+30,_xlfn.XLOOKUP(P106,'Shipment Control'!A:A,'Shipment Control'!J:J))</f>
        <v>46204</v>
      </c>
      <c r="J106" s="251">
        <v>46224</v>
      </c>
      <c r="K106" s="309" t="s">
        <v>130</v>
      </c>
      <c r="L106" s="124" t="str" cm="1">
        <f t="array" ref="L106">_xlfn.XLOOKUP(1,('Case Pack'!A:A=C106)*('Case Pack'!F:F&lt;=A106),'Case Pack'!G:G,"未找到箱规")</f>
        <v>B</v>
      </c>
      <c r="M106" s="124" cm="1">
        <f t="array" ref="M106">_xlfn.XLOOKUP(1,('Case Pack'!A:A=C106)*('Case Pack'!F:F&lt;=A106),'Case Pack'!D:D,"未找到箱规")</f>
        <v>64</v>
      </c>
      <c r="N106" s="125">
        <f t="shared" si="4"/>
        <v>3</v>
      </c>
      <c r="O106" s="310">
        <f>_xlfn.XLOOKUP(L106,'Case Type'!A:A,'Case Type'!H:H)*N106</f>
        <v>0.22024214016</v>
      </c>
      <c r="P106" s="277" t="s">
        <v>160</v>
      </c>
      <c r="Q106" s="316" t="s">
        <v>159</v>
      </c>
      <c r="R106" s="317"/>
      <c r="S106" s="86">
        <f>_xlfn.XLOOKUP(C106,'Product List'!B:B,'Product List'!R:R)</f>
        <v>0.96</v>
      </c>
      <c r="T106" s="86">
        <f t="shared" si="3"/>
        <v>184.32</v>
      </c>
      <c r="U106" s="86" t="s">
        <v>92</v>
      </c>
      <c r="V106" s="86"/>
    </row>
    <row r="107" customFormat="1" spans="1:22">
      <c r="A107" s="308">
        <v>46140</v>
      </c>
      <c r="B107" s="86" t="str">
        <f>_xlfn.XLOOKUP(C107,'Product List'!B:B,'Product List'!I:I)</f>
        <v>MMO-GREEN APPLE CHEW</v>
      </c>
      <c r="C107" s="135" t="s">
        <v>33</v>
      </c>
      <c r="D107" s="234">
        <f>VLOOKUP(C107,'Product List'!B:C,2,0)</f>
        <v>698746777081</v>
      </c>
      <c r="E107" s="201" t="s">
        <v>183</v>
      </c>
      <c r="F107" s="125">
        <v>768</v>
      </c>
      <c r="G107" s="309">
        <v>46182</v>
      </c>
      <c r="H107" s="309">
        <f>IF(P107="","",_xlfn.XLOOKUP(P107,'Shipment Control'!A:A,'Shipment Control'!I:I))</f>
        <v>46190</v>
      </c>
      <c r="I107" s="251">
        <f>IF(P107="",G107+30,_xlfn.XLOOKUP(P107,'Shipment Control'!A:A,'Shipment Control'!J:J))</f>
        <v>46204</v>
      </c>
      <c r="J107" s="251">
        <v>46224</v>
      </c>
      <c r="K107" s="309" t="s">
        <v>130</v>
      </c>
      <c r="L107" s="124" t="str" cm="1">
        <f t="array" ref="L107">_xlfn.XLOOKUP(1,('Case Pack'!A:A=C107)*('Case Pack'!F:F&lt;=A107),'Case Pack'!G:G,"未找到箱规")</f>
        <v>B</v>
      </c>
      <c r="M107" s="124" cm="1">
        <f t="array" ref="M107">_xlfn.XLOOKUP(1,('Case Pack'!A:A=C107)*('Case Pack'!F:F&lt;=A107),'Case Pack'!D:D,"未找到箱规")</f>
        <v>48</v>
      </c>
      <c r="N107" s="125">
        <f t="shared" si="4"/>
        <v>16</v>
      </c>
      <c r="O107" s="310">
        <f>_xlfn.XLOOKUP(L107,'Case Type'!A:A,'Case Type'!H:H)*N107</f>
        <v>1.17462474752</v>
      </c>
      <c r="P107" s="277" t="s">
        <v>160</v>
      </c>
      <c r="Q107" s="316" t="s">
        <v>159</v>
      </c>
      <c r="R107" s="317"/>
      <c r="S107" s="86">
        <f>_xlfn.XLOOKUP(C107,'Product List'!B:B,'Product List'!R:R)</f>
        <v>1.04</v>
      </c>
      <c r="T107" s="86">
        <f t="shared" si="3"/>
        <v>798.72</v>
      </c>
      <c r="U107" s="86" t="s">
        <v>92</v>
      </c>
      <c r="V107" s="86"/>
    </row>
    <row r="108" customFormat="1" spans="1:22">
      <c r="A108" s="308">
        <v>46140</v>
      </c>
      <c r="B108" s="86" t="str">
        <f>_xlfn.XLOOKUP(C108,'Product List'!B:B,'Product List'!I:I)</f>
        <v>MMO-CAMP LUNCH BOX CHEW</v>
      </c>
      <c r="C108" s="135" t="s">
        <v>34</v>
      </c>
      <c r="D108" s="234">
        <f>VLOOKUP(C108,'Product List'!B:C,2,0)</f>
        <v>698746777012</v>
      </c>
      <c r="E108" s="201" t="s">
        <v>183</v>
      </c>
      <c r="F108" s="125">
        <v>360</v>
      </c>
      <c r="G108" s="309">
        <v>46182</v>
      </c>
      <c r="H108" s="309">
        <f>IF(P108="","",_xlfn.XLOOKUP(P108,'Shipment Control'!A:A,'Shipment Control'!I:I))</f>
        <v>46190</v>
      </c>
      <c r="I108" s="251">
        <f>IF(P108="",G108+30,_xlfn.XLOOKUP(P108,'Shipment Control'!A:A,'Shipment Control'!J:J))</f>
        <v>46204</v>
      </c>
      <c r="J108" s="251">
        <v>46218</v>
      </c>
      <c r="K108" s="309" t="s">
        <v>130</v>
      </c>
      <c r="L108" s="124" t="str" cm="1">
        <f t="array" ref="L108">_xlfn.XLOOKUP(1,('Case Pack'!A:A=C108)*('Case Pack'!F:F&lt;=A108),'Case Pack'!G:G,"未找到箱规")</f>
        <v>B</v>
      </c>
      <c r="M108" s="124" cm="1">
        <f t="array" ref="M108">_xlfn.XLOOKUP(1,('Case Pack'!A:A=C108)*('Case Pack'!F:F&lt;=A108),'Case Pack'!D:D,"未找到箱规")</f>
        <v>72</v>
      </c>
      <c r="N108" s="125">
        <f t="shared" si="4"/>
        <v>5</v>
      </c>
      <c r="O108" s="310">
        <f>_xlfn.XLOOKUP(L108,'Case Type'!A:A,'Case Type'!H:H)*N108</f>
        <v>0.3670702336</v>
      </c>
      <c r="P108" s="277" t="s">
        <v>158</v>
      </c>
      <c r="Q108" s="316" t="s">
        <v>159</v>
      </c>
      <c r="R108" s="317"/>
      <c r="S108" s="86">
        <f>_xlfn.XLOOKUP(C108,'Product List'!B:B,'Product List'!R:R)</f>
        <v>1.59</v>
      </c>
      <c r="T108" s="86">
        <f t="shared" si="3"/>
        <v>572.4</v>
      </c>
      <c r="U108" s="86" t="s">
        <v>92</v>
      </c>
      <c r="V108" s="86"/>
    </row>
    <row r="109" customFormat="1" spans="1:22">
      <c r="A109" s="308">
        <v>46140</v>
      </c>
      <c r="B109" s="86" t="str">
        <f>_xlfn.XLOOKUP(C109,'Product List'!B:B,'Product List'!I:I)</f>
        <v>MMO-CLOUD WATER BOTTLE</v>
      </c>
      <c r="C109" s="135" t="s">
        <v>77</v>
      </c>
      <c r="D109" s="234">
        <f>VLOOKUP(C109,'Product List'!B:C,2,0)</f>
        <v>850030338112</v>
      </c>
      <c r="E109" s="201" t="s">
        <v>185</v>
      </c>
      <c r="F109" s="125">
        <v>7650</v>
      </c>
      <c r="G109" s="309">
        <v>46170</v>
      </c>
      <c r="H109" s="309">
        <f>IF(P109="","",_xlfn.XLOOKUP(P109,'Shipment Control'!A:A,'Shipment Control'!I:I))</f>
        <v>46170</v>
      </c>
      <c r="I109" s="251">
        <f>IF(P109="",G109+30,_xlfn.XLOOKUP(P109,'Shipment Control'!A:A,'Shipment Control'!J:J))</f>
        <v>46195</v>
      </c>
      <c r="J109" s="251">
        <v>46203</v>
      </c>
      <c r="K109" s="309">
        <v>46210</v>
      </c>
      <c r="L109" s="124" t="str" cm="1">
        <f t="array" ref="L109">_xlfn.XLOOKUP(1,('Case Pack'!A:A=C109)*('Case Pack'!F:F&lt;=A109),'Case Pack'!G:G,"未找到箱规")</f>
        <v>A</v>
      </c>
      <c r="M109" s="124" cm="1">
        <f t="array" ref="M109">_xlfn.XLOOKUP(1,('Case Pack'!A:A=C109)*('Case Pack'!F:F&lt;=A109),'Case Pack'!D:D,"未找到箱规")</f>
        <v>50</v>
      </c>
      <c r="N109" s="125">
        <f t="shared" si="4"/>
        <v>153</v>
      </c>
      <c r="O109" s="310">
        <f>_xlfn.XLOOKUP(L109,'Case Type'!A:A,'Case Type'!H:H)*N109</f>
        <v>16.84852372224</v>
      </c>
      <c r="P109" s="86" t="s">
        <v>150</v>
      </c>
      <c r="Q109" s="86" t="s">
        <v>151</v>
      </c>
      <c r="R109" s="86" t="s">
        <v>152</v>
      </c>
      <c r="S109" s="86">
        <f>_xlfn.XLOOKUP(C109,'Product List'!B:B,'Product List'!R:R)</f>
        <v>0.62</v>
      </c>
      <c r="T109" s="86">
        <f t="shared" si="3"/>
        <v>4743</v>
      </c>
      <c r="U109" s="86" t="s">
        <v>92</v>
      </c>
      <c r="V109" s="86"/>
    </row>
    <row r="110" customFormat="1" spans="1:22">
      <c r="A110" s="308">
        <v>46140</v>
      </c>
      <c r="B110" s="86" t="str">
        <f>_xlfn.XLOOKUP(C110,'Product List'!B:B,'Product List'!I:I)</f>
        <v>MMO-BUBBLE WATER BOTTLE</v>
      </c>
      <c r="C110" s="135" t="s">
        <v>67</v>
      </c>
      <c r="D110" s="234">
        <f>VLOOKUP(C110,'Product List'!B:C,2,0)</f>
        <v>760762456971</v>
      </c>
      <c r="E110" s="201" t="s">
        <v>185</v>
      </c>
      <c r="F110" s="125">
        <v>6804</v>
      </c>
      <c r="G110" s="309">
        <v>46170</v>
      </c>
      <c r="H110" s="309">
        <f>IF(P110="","",_xlfn.XLOOKUP(P110,'Shipment Control'!A:A,'Shipment Control'!I:I))</f>
        <v>46170</v>
      </c>
      <c r="I110" s="251">
        <f>IF(P110="",G110+30,_xlfn.XLOOKUP(P110,'Shipment Control'!A:A,'Shipment Control'!J:J))</f>
        <v>46195</v>
      </c>
      <c r="J110" s="251">
        <v>46203</v>
      </c>
      <c r="K110" s="309">
        <v>46210</v>
      </c>
      <c r="L110" s="124" t="str" cm="1">
        <f t="array" ref="L110">_xlfn.XLOOKUP(1,('Case Pack'!A:A=C110)*('Case Pack'!F:F&lt;=A110),'Case Pack'!G:G,"未找到箱规")</f>
        <v>C</v>
      </c>
      <c r="M110" s="124" cm="1">
        <f t="array" ref="M110">_xlfn.XLOOKUP(1,('Case Pack'!A:A=C110)*('Case Pack'!F:F&lt;=A110),'Case Pack'!D:D,"未找到箱规")</f>
        <v>42</v>
      </c>
      <c r="N110" s="125">
        <f t="shared" si="4"/>
        <v>162</v>
      </c>
      <c r="O110" s="310">
        <f>_xlfn.XLOOKUP(L110,'Case Type'!A:A,'Case Type'!H:H)*N110</f>
        <v>25.4851619328</v>
      </c>
      <c r="P110" s="86" t="s">
        <v>150</v>
      </c>
      <c r="Q110" s="86" t="s">
        <v>151</v>
      </c>
      <c r="R110" s="86" t="s">
        <v>152</v>
      </c>
      <c r="S110" s="86">
        <f>_xlfn.XLOOKUP(C110,'Product List'!B:B,'Product List'!R:R)</f>
        <v>3.1</v>
      </c>
      <c r="T110" s="86">
        <f t="shared" si="3"/>
        <v>21092.4</v>
      </c>
      <c r="U110" s="86" t="s">
        <v>92</v>
      </c>
      <c r="V110" s="86"/>
    </row>
    <row r="111" customFormat="1" spans="1:22">
      <c r="A111" s="308">
        <v>46170</v>
      </c>
      <c r="B111" s="86" t="str">
        <f>_xlfn.XLOOKUP(C111,'Product List'!B:B,'Product List'!I:I)</f>
        <v>MMO-SHELL PEARL HAMSTER CHEW</v>
      </c>
      <c r="C111" s="135" t="s">
        <v>35</v>
      </c>
      <c r="D111" s="234">
        <f>VLOOKUP(C111,'Product List'!B:C,2,0)</f>
        <v>698746777074</v>
      </c>
      <c r="E111" s="201" t="s">
        <v>186</v>
      </c>
      <c r="F111" s="125">
        <v>1280</v>
      </c>
      <c r="G111" s="309">
        <v>46202</v>
      </c>
      <c r="H111" s="309">
        <f>IF(P111="","",_xlfn.XLOOKUP(P111,'Shipment Control'!A:A,'Shipment Control'!I:I))</f>
        <v>46211</v>
      </c>
      <c r="I111" s="251">
        <f>IF(P111="",G111+30,_xlfn.XLOOKUP(P111,'Shipment Control'!A:A,'Shipment Control'!J:J))</f>
        <v>46224</v>
      </c>
      <c r="J111" s="251">
        <v>46232</v>
      </c>
      <c r="K111" s="309" t="s">
        <v>130</v>
      </c>
      <c r="L111" s="124" t="str" cm="1">
        <f t="array" ref="L111">_xlfn.XLOOKUP(1,('Case Pack'!A:A=C111)*('Case Pack'!F:F&lt;=A111),'Case Pack'!G:G,"未找到箱规")</f>
        <v>B</v>
      </c>
      <c r="M111" s="124" cm="1">
        <f t="array" ref="M111">_xlfn.XLOOKUP(1,('Case Pack'!A:A=C111)*('Case Pack'!F:F&lt;=A111),'Case Pack'!D:D,"未找到箱规")</f>
        <v>64</v>
      </c>
      <c r="N111" s="125">
        <f t="shared" si="4"/>
        <v>20</v>
      </c>
      <c r="O111" s="310">
        <f>_xlfn.XLOOKUP(L111,'Case Type'!A:A,'Case Type'!H:H)*N111</f>
        <v>1.4682809344</v>
      </c>
      <c r="P111" s="86" t="s">
        <v>187</v>
      </c>
      <c r="Q111" s="316" t="s">
        <v>159</v>
      </c>
      <c r="R111" s="317"/>
      <c r="S111" s="86">
        <f>_xlfn.XLOOKUP(C111,'Product List'!B:B,'Product List'!R:R)</f>
        <v>0.96</v>
      </c>
      <c r="T111" s="86">
        <f t="shared" si="3"/>
        <v>1228.8</v>
      </c>
      <c r="U111" s="86" t="s">
        <v>92</v>
      </c>
      <c r="V111" s="86"/>
    </row>
    <row r="112" customFormat="1" spans="1:22">
      <c r="A112" s="308">
        <v>46170</v>
      </c>
      <c r="B112" s="86" t="str">
        <f>_xlfn.XLOOKUP(C112,'Product List'!B:B,'Product List'!I:I)</f>
        <v>MMO-GREEN APPLE CHEW</v>
      </c>
      <c r="C112" s="135" t="s">
        <v>33</v>
      </c>
      <c r="D112" s="234">
        <f>VLOOKUP(C112,'Product List'!B:C,2,0)</f>
        <v>698746777081</v>
      </c>
      <c r="E112" s="201" t="s">
        <v>186</v>
      </c>
      <c r="F112" s="125">
        <v>1200</v>
      </c>
      <c r="G112" s="309">
        <v>46202</v>
      </c>
      <c r="H112" s="309">
        <f>IF(P112="","",_xlfn.XLOOKUP(P112,'Shipment Control'!A:A,'Shipment Control'!I:I))</f>
        <v>46211</v>
      </c>
      <c r="I112" s="251">
        <f>IF(P112="",G112+30,_xlfn.XLOOKUP(P112,'Shipment Control'!A:A,'Shipment Control'!J:J))</f>
        <v>46224</v>
      </c>
      <c r="J112" s="251">
        <v>46232</v>
      </c>
      <c r="K112" s="309" t="s">
        <v>130</v>
      </c>
      <c r="L112" s="124" t="str" cm="1">
        <f t="array" ref="L112">_xlfn.XLOOKUP(1,('Case Pack'!A:A=C112)*('Case Pack'!F:F&lt;=A112),'Case Pack'!G:G,"未找到箱规")</f>
        <v>B</v>
      </c>
      <c r="M112" s="124" cm="1">
        <f t="array" ref="M112">_xlfn.XLOOKUP(1,('Case Pack'!A:A=C112)*('Case Pack'!F:F&lt;=A112),'Case Pack'!D:D,"未找到箱规")</f>
        <v>48</v>
      </c>
      <c r="N112" s="125">
        <f t="shared" si="4"/>
        <v>25</v>
      </c>
      <c r="O112" s="310">
        <f>_xlfn.XLOOKUP(L112,'Case Type'!A:A,'Case Type'!H:H)*N112</f>
        <v>1.835351168</v>
      </c>
      <c r="P112" s="86" t="s">
        <v>187</v>
      </c>
      <c r="Q112" s="316" t="s">
        <v>159</v>
      </c>
      <c r="R112" s="317"/>
      <c r="S112" s="86">
        <f>_xlfn.XLOOKUP(C112,'Product List'!B:B,'Product List'!R:R)</f>
        <v>1.04</v>
      </c>
      <c r="T112" s="86">
        <f t="shared" si="3"/>
        <v>1248</v>
      </c>
      <c r="U112" s="86" t="s">
        <v>92</v>
      </c>
      <c r="V112" s="86"/>
    </row>
    <row r="113" customFormat="1" spans="1:22">
      <c r="A113" s="308">
        <v>46170</v>
      </c>
      <c r="B113" s="86" t="str">
        <f>_xlfn.XLOOKUP(C113,'Product List'!B:B,'Product List'!I:I)</f>
        <v>MMO-CAMP LUNCH BOX CHEW</v>
      </c>
      <c r="C113" s="135" t="s">
        <v>34</v>
      </c>
      <c r="D113" s="234">
        <f>VLOOKUP(C113,'Product List'!B:C,2,0)</f>
        <v>698746777012</v>
      </c>
      <c r="E113" s="201" t="s">
        <v>186</v>
      </c>
      <c r="F113" s="125">
        <v>1368</v>
      </c>
      <c r="G113" s="309">
        <v>46202</v>
      </c>
      <c r="H113" s="309">
        <f>IF(P113="","",_xlfn.XLOOKUP(P113,'Shipment Control'!A:A,'Shipment Control'!I:I))</f>
        <v>46211</v>
      </c>
      <c r="I113" s="251">
        <f>IF(P113="",G113+30,_xlfn.XLOOKUP(P113,'Shipment Control'!A:A,'Shipment Control'!J:J))</f>
        <v>46224</v>
      </c>
      <c r="J113" s="251">
        <v>46232</v>
      </c>
      <c r="K113" s="309" t="s">
        <v>130</v>
      </c>
      <c r="L113" s="124" t="str" cm="1">
        <f t="array" ref="L113">_xlfn.XLOOKUP(1,('Case Pack'!A:A=C113)*('Case Pack'!F:F&lt;=A113),'Case Pack'!G:G,"未找到箱规")</f>
        <v>B</v>
      </c>
      <c r="M113" s="124" cm="1">
        <f t="array" ref="M113">_xlfn.XLOOKUP(1,('Case Pack'!A:A=C113)*('Case Pack'!F:F&lt;=A113),'Case Pack'!D:D,"未找到箱规")</f>
        <v>72</v>
      </c>
      <c r="N113" s="125">
        <f t="shared" si="4"/>
        <v>19</v>
      </c>
      <c r="O113" s="310">
        <f>_xlfn.XLOOKUP(L113,'Case Type'!A:A,'Case Type'!H:H)*N113</f>
        <v>1.39486688768</v>
      </c>
      <c r="P113" s="86" t="s">
        <v>187</v>
      </c>
      <c r="Q113" s="316" t="s">
        <v>159</v>
      </c>
      <c r="R113" s="317"/>
      <c r="S113" s="86">
        <f>_xlfn.XLOOKUP(C113,'Product List'!B:B,'Product List'!R:R)</f>
        <v>1.59</v>
      </c>
      <c r="T113" s="86">
        <f t="shared" si="3"/>
        <v>2175.12</v>
      </c>
      <c r="U113" s="86" t="s">
        <v>92</v>
      </c>
      <c r="V113" s="86"/>
    </row>
    <row r="114" s="115" customFormat="1" spans="1:22">
      <c r="A114" s="113">
        <v>46162</v>
      </c>
      <c r="B114" s="86" t="str">
        <f>_xlfn.XLOOKUP(C114,'Product List'!B:B,'Product List'!I:I)</f>
        <v>MINI/MOE SMALL ANIMAL BEDDING PAPER TWISTS</v>
      </c>
      <c r="C114" s="128" t="s">
        <v>69</v>
      </c>
      <c r="D114" s="318">
        <f>VLOOKUP(C114,'Product List'!B:C,2,0)</f>
        <v>698746777210</v>
      </c>
      <c r="E114" s="128" t="s">
        <v>188</v>
      </c>
      <c r="F114" s="263">
        <v>30</v>
      </c>
      <c r="G114" s="306">
        <v>46227</v>
      </c>
      <c r="H114" s="306" t="str">
        <f>IF(P114="","",_xlfn.XLOOKUP(P114,'Shipment Control'!A:A,'Shipment Control'!I:I))</f>
        <v/>
      </c>
      <c r="I114" s="319">
        <f>IF(P114="",G114+30,_xlfn.XLOOKUP(P114,'Shipment Control'!A:A,'Shipment Control'!J:J))</f>
        <v>46257</v>
      </c>
      <c r="J114" s="319"/>
      <c r="K114" s="306">
        <v>46218</v>
      </c>
      <c r="L114" s="124" t="str" cm="1">
        <f t="array" ref="L114">_xlfn.XLOOKUP(1,('Case Pack'!A:A=C114)*('Case Pack'!F:F&lt;=A114),'Case Pack'!G:G,"未找到箱规")</f>
        <v>A</v>
      </c>
      <c r="M114" s="124" cm="1">
        <f t="array" ref="M114">_xlfn.XLOOKUP(1,('Case Pack'!A:A=C114)*('Case Pack'!F:F&lt;=A114),'Case Pack'!D:D,"未找到箱规")</f>
        <v>30</v>
      </c>
      <c r="N114" s="263">
        <f t="shared" si="4"/>
        <v>1</v>
      </c>
      <c r="O114" s="320">
        <f>_xlfn.XLOOKUP(L114,'Case Type'!A:A,'Case Type'!H:H)*N114</f>
        <v>0.11012107008</v>
      </c>
      <c r="P114" s="99"/>
      <c r="Q114" s="99"/>
      <c r="R114" s="99"/>
      <c r="S114" s="99">
        <f>_xlfn.XLOOKUP(C114,'Product List'!B:B,'Product List'!R:R)</f>
        <v>1.98</v>
      </c>
      <c r="T114" s="99">
        <f t="shared" si="3"/>
        <v>59.4</v>
      </c>
      <c r="U114" s="99" t="s">
        <v>92</v>
      </c>
      <c r="V114" s="99" t="s">
        <v>189</v>
      </c>
    </row>
    <row r="115" customFormat="1" spans="1:22">
      <c r="A115" s="308">
        <v>46162</v>
      </c>
      <c r="B115" s="86" t="str">
        <f>_xlfn.XLOOKUP(C115,'Product List'!B:B,'Product List'!I:I)</f>
        <v>MINI/MOE SMALL ANIMAL BEDDING PAPER TWISTS</v>
      </c>
      <c r="C115" s="135" t="s">
        <v>69</v>
      </c>
      <c r="D115" s="234">
        <f>VLOOKUP(C115,'Product List'!B:C,2,0)</f>
        <v>698746777210</v>
      </c>
      <c r="E115" s="201" t="s">
        <v>188</v>
      </c>
      <c r="F115" s="125">
        <v>1830</v>
      </c>
      <c r="G115" s="309">
        <v>46189</v>
      </c>
      <c r="H115" s="309">
        <f>IF(P115="","",_xlfn.XLOOKUP(P115,'Shipment Control'!A:A,'Shipment Control'!I:I))</f>
        <v>46194</v>
      </c>
      <c r="I115" s="251">
        <f>IF(P115="",G115+30,_xlfn.XLOOKUP(P115,'Shipment Control'!A:A,'Shipment Control'!J:J))</f>
        <v>46212</v>
      </c>
      <c r="J115" s="251">
        <v>46224</v>
      </c>
      <c r="K115" s="309">
        <v>46218</v>
      </c>
      <c r="L115" s="124" t="str" cm="1">
        <f t="array" ref="L115">_xlfn.XLOOKUP(1,('Case Pack'!A:A=C115)*('Case Pack'!F:F&lt;=A115),'Case Pack'!G:G,"未找到箱规")</f>
        <v>A</v>
      </c>
      <c r="M115" s="124" cm="1">
        <f t="array" ref="M115">_xlfn.XLOOKUP(1,('Case Pack'!A:A=C115)*('Case Pack'!F:F&lt;=A115),'Case Pack'!D:D,"未找到箱规")</f>
        <v>30</v>
      </c>
      <c r="N115" s="125">
        <f t="shared" si="4"/>
        <v>61</v>
      </c>
      <c r="O115" s="310">
        <f>_xlfn.XLOOKUP(L115,'Case Type'!A:A,'Case Type'!H:H)*N115</f>
        <v>6.71738527488</v>
      </c>
      <c r="P115" s="86" t="s">
        <v>190</v>
      </c>
      <c r="Q115" s="86" t="s">
        <v>191</v>
      </c>
      <c r="R115" s="86" t="s">
        <v>192</v>
      </c>
      <c r="S115" s="86">
        <f>_xlfn.XLOOKUP(C115,'Product List'!B:B,'Product List'!R:R)</f>
        <v>1.98</v>
      </c>
      <c r="T115" s="86">
        <f t="shared" si="3"/>
        <v>3623.4</v>
      </c>
      <c r="U115" s="86" t="s">
        <v>92</v>
      </c>
      <c r="V115" s="86"/>
    </row>
    <row r="116" customFormat="1" spans="1:22">
      <c r="A116" s="308">
        <v>46162</v>
      </c>
      <c r="B116" s="86" t="str">
        <f>_xlfn.XLOOKUP(C116,'Product List'!B:B,'Product List'!I:I)</f>
        <v>MINI/MOE SMALL ANIMAL BEDDING CRINKLE PAPER BROWN 1EA</v>
      </c>
      <c r="C116" s="135" t="s">
        <v>30</v>
      </c>
      <c r="D116" s="234">
        <f>VLOOKUP(C116,'Product List'!B:C,2,0)</f>
        <v>698746777364</v>
      </c>
      <c r="E116" s="201" t="s">
        <v>188</v>
      </c>
      <c r="F116" s="125">
        <v>690</v>
      </c>
      <c r="G116" s="309">
        <v>46189</v>
      </c>
      <c r="H116" s="309">
        <f>IF(P116="","",_xlfn.XLOOKUP(P116,'Shipment Control'!A:A,'Shipment Control'!I:I))</f>
        <v>46194</v>
      </c>
      <c r="I116" s="251">
        <f>IF(P116="",G116+30,_xlfn.XLOOKUP(P116,'Shipment Control'!A:A,'Shipment Control'!J:J))</f>
        <v>46212</v>
      </c>
      <c r="J116" s="251">
        <v>46224</v>
      </c>
      <c r="K116" s="309">
        <v>46218</v>
      </c>
      <c r="L116" s="124" t="str" cm="1">
        <f t="array" ref="L116">_xlfn.XLOOKUP(1,('Case Pack'!A:A=C116)*('Case Pack'!F:F&lt;=A116),'Case Pack'!G:G,"未找到箱规")</f>
        <v>A</v>
      </c>
      <c r="M116" s="124" cm="1">
        <f t="array" ref="M116">_xlfn.XLOOKUP(1,('Case Pack'!A:A=C116)*('Case Pack'!F:F&lt;=A116),'Case Pack'!D:D,"未找到箱规")</f>
        <v>30</v>
      </c>
      <c r="N116" s="125">
        <f t="shared" si="4"/>
        <v>23</v>
      </c>
      <c r="O116" s="310">
        <f>_xlfn.XLOOKUP(L116,'Case Type'!A:A,'Case Type'!H:H)*N116</f>
        <v>2.53278461184</v>
      </c>
      <c r="P116" s="86" t="s">
        <v>190</v>
      </c>
      <c r="Q116" s="86" t="s">
        <v>191</v>
      </c>
      <c r="R116" s="86" t="s">
        <v>192</v>
      </c>
      <c r="S116" s="86">
        <f>_xlfn.XLOOKUP(C116,'Product List'!B:B,'Product List'!R:R)</f>
        <v>1.99</v>
      </c>
      <c r="T116" s="86">
        <f t="shared" si="3"/>
        <v>1373.1</v>
      </c>
      <c r="U116" s="86" t="s">
        <v>92</v>
      </c>
      <c r="V116" s="86"/>
    </row>
    <row r="117" customFormat="1" spans="1:22">
      <c r="A117" s="308">
        <v>46162</v>
      </c>
      <c r="B117" s="86" t="str">
        <f>_xlfn.XLOOKUP(C117,'Product List'!B:B,'Product List'!I:I)</f>
        <v>MINI/MOE SMALL ANIMAL BEDDING ROLLED PAPER FOREST MIX 1EA</v>
      </c>
      <c r="C117" s="135" t="s">
        <v>32</v>
      </c>
      <c r="D117" s="234">
        <f>VLOOKUP(C117,'Product List'!B:C,2,0)</f>
        <v>698746777418</v>
      </c>
      <c r="E117" s="201" t="s">
        <v>188</v>
      </c>
      <c r="F117" s="125">
        <v>1860</v>
      </c>
      <c r="G117" s="309">
        <v>46189</v>
      </c>
      <c r="H117" s="309">
        <f>IF(P117="","",_xlfn.XLOOKUP(P117,'Shipment Control'!A:A,'Shipment Control'!I:I))</f>
        <v>46194</v>
      </c>
      <c r="I117" s="251">
        <f>IF(P117="",G117+30,_xlfn.XLOOKUP(P117,'Shipment Control'!A:A,'Shipment Control'!J:J))</f>
        <v>46212</v>
      </c>
      <c r="J117" s="251">
        <v>46224</v>
      </c>
      <c r="K117" s="309">
        <v>46218</v>
      </c>
      <c r="L117" s="124" t="str" cm="1">
        <f t="array" ref="L117">_xlfn.XLOOKUP(1,('Case Pack'!A:A=C117)*('Case Pack'!F:F&lt;=A117),'Case Pack'!G:G,"未找到箱规")</f>
        <v>A</v>
      </c>
      <c r="M117" s="124" cm="1">
        <f t="array" ref="M117">_xlfn.XLOOKUP(1,('Case Pack'!A:A=C117)*('Case Pack'!F:F&lt;=A117),'Case Pack'!D:D,"未找到箱规")</f>
        <v>30</v>
      </c>
      <c r="N117" s="125">
        <f t="shared" si="4"/>
        <v>62</v>
      </c>
      <c r="O117" s="310">
        <f>_xlfn.XLOOKUP(L117,'Case Type'!A:A,'Case Type'!H:H)*N117</f>
        <v>6.82750634496</v>
      </c>
      <c r="P117" s="86" t="s">
        <v>190</v>
      </c>
      <c r="Q117" s="86" t="s">
        <v>191</v>
      </c>
      <c r="R117" s="86" t="s">
        <v>192</v>
      </c>
      <c r="S117" s="86">
        <f>_xlfn.XLOOKUP(C117,'Product List'!B:B,'Product List'!R:R)</f>
        <v>2.47</v>
      </c>
      <c r="T117" s="86">
        <f t="shared" si="3"/>
        <v>4594.2</v>
      </c>
      <c r="U117" s="86" t="s">
        <v>92</v>
      </c>
      <c r="V117" s="86"/>
    </row>
    <row r="118" customFormat="1" spans="1:22">
      <c r="A118" s="308">
        <v>46162</v>
      </c>
      <c r="B118" s="86" t="str">
        <f>_xlfn.XLOOKUP(C118,'Product List'!B:B,'Product List'!I:I)</f>
        <v>MINI/MOE SMALL ANIMAL BEDDING PAPER FLAKE LAV FIELD 50LT</v>
      </c>
      <c r="C118" s="135" t="s">
        <v>87</v>
      </c>
      <c r="D118" s="234">
        <f>VLOOKUP(C118,'Product List'!B:C,2,0)</f>
        <v>698746777463</v>
      </c>
      <c r="E118" s="201" t="s">
        <v>188</v>
      </c>
      <c r="F118" s="125">
        <v>1848</v>
      </c>
      <c r="G118" s="309">
        <v>46189</v>
      </c>
      <c r="H118" s="309">
        <f>IF(P118="","",_xlfn.XLOOKUP(P118,'Shipment Control'!A:A,'Shipment Control'!I:I))</f>
        <v>46194</v>
      </c>
      <c r="I118" s="251">
        <f>IF(P118="",G118+30,_xlfn.XLOOKUP(P118,'Shipment Control'!A:A,'Shipment Control'!J:J))</f>
        <v>46212</v>
      </c>
      <c r="J118" s="251">
        <v>46224</v>
      </c>
      <c r="K118" s="309">
        <v>46218</v>
      </c>
      <c r="L118" s="124" t="str" cm="1">
        <f t="array" ref="L118">_xlfn.XLOOKUP(1,('Case Pack'!A:A=C118)*('Case Pack'!F:F&lt;=A118),'Case Pack'!G:G,"未找到箱规")</f>
        <v>C</v>
      </c>
      <c r="M118" s="124" cm="1">
        <f t="array" ref="M118">_xlfn.XLOOKUP(1,('Case Pack'!A:A=C118)*('Case Pack'!F:F&lt;=A118),'Case Pack'!D:D,"未找到箱规")</f>
        <v>14</v>
      </c>
      <c r="N118" s="125">
        <f t="shared" si="4"/>
        <v>132</v>
      </c>
      <c r="O118" s="310">
        <f>_xlfn.XLOOKUP(L118,'Case Type'!A:A,'Case Type'!H:H)*N118</f>
        <v>20.7656875008</v>
      </c>
      <c r="P118" s="86" t="s">
        <v>190</v>
      </c>
      <c r="Q118" s="86" t="s">
        <v>191</v>
      </c>
      <c r="R118" s="86" t="s">
        <v>192</v>
      </c>
      <c r="S118" s="86">
        <f>_xlfn.XLOOKUP(C118,'Product List'!B:B,'Product List'!R:R)</f>
        <v>4.79</v>
      </c>
      <c r="T118" s="86">
        <f t="shared" si="3"/>
        <v>8851.92</v>
      </c>
      <c r="U118" s="86" t="s">
        <v>92</v>
      </c>
      <c r="V118" s="86"/>
    </row>
    <row r="119" customFormat="1" spans="1:22">
      <c r="A119" s="308">
        <v>46162</v>
      </c>
      <c r="B119" s="86" t="str">
        <f>_xlfn.XLOOKUP(C119,'Product List'!B:B,'Product List'!I:I)</f>
        <v>MINI/MOE SMALL ANIMAL BEDDING NESTING COTTON BALLS LAV 23LT</v>
      </c>
      <c r="C119" s="135" t="s">
        <v>86</v>
      </c>
      <c r="D119" s="234">
        <f>VLOOKUP(C119,'Product List'!B:C,2,0)</f>
        <v>698746777531</v>
      </c>
      <c r="E119" s="201" t="s">
        <v>188</v>
      </c>
      <c r="F119" s="125">
        <v>1888</v>
      </c>
      <c r="G119" s="309">
        <v>46189</v>
      </c>
      <c r="H119" s="309">
        <f>IF(P119="","",_xlfn.XLOOKUP(P119,'Shipment Control'!A:A,'Shipment Control'!I:I))</f>
        <v>46194</v>
      </c>
      <c r="I119" s="251">
        <f>IF(P119="",G119+30,_xlfn.XLOOKUP(P119,'Shipment Control'!A:A,'Shipment Control'!J:J))</f>
        <v>46212</v>
      </c>
      <c r="J119" s="251">
        <v>46224</v>
      </c>
      <c r="K119" s="309">
        <v>46218</v>
      </c>
      <c r="L119" s="124" t="str" cm="1">
        <f t="array" ref="L119">_xlfn.XLOOKUP(1,('Case Pack'!A:A=C119)*('Case Pack'!F:F&lt;=A119),'Case Pack'!G:G,"未找到箱规")</f>
        <v>A</v>
      </c>
      <c r="M119" s="124" cm="1">
        <f t="array" ref="M119">_xlfn.XLOOKUP(1,('Case Pack'!A:A=C119)*('Case Pack'!F:F&lt;=A119),'Case Pack'!D:D,"未找到箱规")</f>
        <v>32</v>
      </c>
      <c r="N119" s="125">
        <f t="shared" si="4"/>
        <v>59</v>
      </c>
      <c r="O119" s="310">
        <f>_xlfn.XLOOKUP(L119,'Case Type'!A:A,'Case Type'!H:H)*N119</f>
        <v>6.49714313472</v>
      </c>
      <c r="P119" s="86" t="s">
        <v>190</v>
      </c>
      <c r="Q119" s="86" t="s">
        <v>191</v>
      </c>
      <c r="R119" s="86" t="s">
        <v>192</v>
      </c>
      <c r="S119" s="86">
        <f>_xlfn.XLOOKUP(C119,'Product List'!B:B,'Product List'!R:R)</f>
        <v>1.64</v>
      </c>
      <c r="T119" s="86">
        <f t="shared" si="3"/>
        <v>3096.32</v>
      </c>
      <c r="U119" s="86" t="s">
        <v>92</v>
      </c>
      <c r="V119" s="86"/>
    </row>
    <row r="120" customFormat="1" spans="1:22">
      <c r="A120" s="308">
        <v>46162</v>
      </c>
      <c r="B120" s="86" t="str">
        <f>_xlfn.XLOOKUP(C120,'Product List'!B:B,'Product List'!I:I)</f>
        <v>MINI/MOE SMALL ANIMAL BEDDING PAPER PEBBLES OCEAN BLUE 23LT</v>
      </c>
      <c r="C120" s="135" t="s">
        <v>80</v>
      </c>
      <c r="D120" s="234">
        <f>VLOOKUP(C120,'Product List'!B:C,2,0)</f>
        <v>698746777562</v>
      </c>
      <c r="E120" s="201" t="s">
        <v>188</v>
      </c>
      <c r="F120" s="125">
        <v>1848</v>
      </c>
      <c r="G120" s="309">
        <v>46189</v>
      </c>
      <c r="H120" s="309">
        <f>IF(P120="","",_xlfn.XLOOKUP(P120,'Shipment Control'!A:A,'Shipment Control'!I:I))</f>
        <v>46194</v>
      </c>
      <c r="I120" s="251">
        <f>IF(P120="",G120+30,_xlfn.XLOOKUP(P120,'Shipment Control'!A:A,'Shipment Control'!J:J))</f>
        <v>46212</v>
      </c>
      <c r="J120" s="251">
        <v>46223</v>
      </c>
      <c r="K120" s="309">
        <v>46218</v>
      </c>
      <c r="L120" s="124" t="str" cm="1">
        <f t="array" ref="L120">_xlfn.XLOOKUP(1,('Case Pack'!A:A=C120)*('Case Pack'!F:F&lt;=A120),'Case Pack'!G:G,"未找到箱规")</f>
        <v>B</v>
      </c>
      <c r="M120" s="124" cm="1">
        <f t="array" ref="M120">_xlfn.XLOOKUP(1,('Case Pack'!A:A=C120)*('Case Pack'!F:F&lt;=A120),'Case Pack'!D:D,"未找到箱规")</f>
        <v>12</v>
      </c>
      <c r="N120" s="125">
        <f t="shared" si="4"/>
        <v>154</v>
      </c>
      <c r="O120" s="310">
        <f>_xlfn.XLOOKUP(L120,'Case Type'!A:A,'Case Type'!H:H)*N120</f>
        <v>11.30576319488</v>
      </c>
      <c r="P120" s="86" t="s">
        <v>162</v>
      </c>
      <c r="Q120" s="315" t="s">
        <v>163</v>
      </c>
      <c r="R120" s="86" t="s">
        <v>164</v>
      </c>
      <c r="S120" s="86">
        <f>_xlfn.XLOOKUP(C120,'Product List'!B:B,'Product List'!R:R)</f>
        <v>2.84</v>
      </c>
      <c r="T120" s="86">
        <f t="shared" si="3"/>
        <v>5248.32</v>
      </c>
      <c r="U120" s="86" t="s">
        <v>92</v>
      </c>
      <c r="V120" s="86"/>
    </row>
    <row r="121" customFormat="1" spans="1:22">
      <c r="A121" s="308">
        <v>46170</v>
      </c>
      <c r="B121" s="86" t="str">
        <f>_xlfn.XLOOKUP(C121,'Product List'!B:B,'Product List'!I:I)</f>
        <v>MMO-CAMP LUNCH BOX CHEW</v>
      </c>
      <c r="C121" s="135" t="s">
        <v>34</v>
      </c>
      <c r="D121" s="234">
        <f>VLOOKUP(C121,'Product List'!B:C,2,0)</f>
        <v>698746777012</v>
      </c>
      <c r="E121" s="135" t="s">
        <v>193</v>
      </c>
      <c r="F121" s="125">
        <v>360</v>
      </c>
      <c r="G121" s="309">
        <v>46217</v>
      </c>
      <c r="H121" s="309">
        <f>IF(P121="","",_xlfn.XLOOKUP(P121,'Shipment Control'!A:A,'Shipment Control'!I:I))</f>
        <v>46225</v>
      </c>
      <c r="I121" s="251">
        <f>IF(P121="",G121+30,_xlfn.XLOOKUP(P121,'Shipment Control'!A:A,'Shipment Control'!J:J))</f>
        <v>46239</v>
      </c>
      <c r="J121" s="251">
        <v>46249</v>
      </c>
      <c r="K121" s="309" t="s">
        <v>130</v>
      </c>
      <c r="L121" s="124" t="str" cm="1">
        <f t="array" ref="L121">_xlfn.XLOOKUP(1,('Case Pack'!A:A=C121)*('Case Pack'!F:F&lt;=A121),'Case Pack'!G:G,"未找到箱规")</f>
        <v>B</v>
      </c>
      <c r="M121" s="124" cm="1">
        <f t="array" ref="M121">_xlfn.XLOOKUP(1,('Case Pack'!A:A=C121)*('Case Pack'!F:F&lt;=A121),'Case Pack'!D:D,"未找到箱规")</f>
        <v>72</v>
      </c>
      <c r="N121" s="125">
        <f t="shared" si="4"/>
        <v>5</v>
      </c>
      <c r="O121" s="310">
        <f>_xlfn.XLOOKUP(L121,'Case Type'!A:A,'Case Type'!H:H)*N121</f>
        <v>0.3670702336</v>
      </c>
      <c r="P121" s="86" t="s">
        <v>194</v>
      </c>
      <c r="Q121" s="321" t="s">
        <v>159</v>
      </c>
      <c r="R121" s="322"/>
      <c r="S121" s="86">
        <f>_xlfn.XLOOKUP(C121,'Product List'!B:B,'Product List'!R:R)</f>
        <v>1.59</v>
      </c>
      <c r="T121" s="86">
        <f t="shared" si="3"/>
        <v>572.4</v>
      </c>
      <c r="U121" s="86" t="s">
        <v>92</v>
      </c>
      <c r="V121" s="86"/>
    </row>
    <row r="122" customFormat="1" spans="1:22">
      <c r="A122" s="308">
        <v>46170</v>
      </c>
      <c r="B122" s="86" t="str">
        <f>_xlfn.XLOOKUP(C122,'Product List'!B:B,'Product List'!I:I)</f>
        <v>Mushroom Spiral Staircase</v>
      </c>
      <c r="C122" s="135" t="s">
        <v>46</v>
      </c>
      <c r="D122" s="234">
        <f>VLOOKUP(C122,'Product List'!B:C,2,0)</f>
        <v>698746777029</v>
      </c>
      <c r="E122" s="201" t="s">
        <v>193</v>
      </c>
      <c r="F122" s="125">
        <v>288</v>
      </c>
      <c r="G122" s="309">
        <v>46209</v>
      </c>
      <c r="H122" s="309">
        <f>IF(P122="","",_xlfn.XLOOKUP(P122,'Shipment Control'!A:A,'Shipment Control'!I:I))</f>
        <v>46218</v>
      </c>
      <c r="I122" s="251">
        <f>IF(P122="",G122+30,_xlfn.XLOOKUP(P122,'Shipment Control'!A:A,'Shipment Control'!J:J))</f>
        <v>46248</v>
      </c>
      <c r="J122" s="251">
        <v>46253</v>
      </c>
      <c r="K122" s="309" t="s">
        <v>130</v>
      </c>
      <c r="L122" s="124" t="str" cm="1">
        <f t="array" ref="L122">_xlfn.XLOOKUP(1,('Case Pack'!A:A=C122)*('Case Pack'!F:F&lt;=A122),'Case Pack'!G:G,"未找到箱规")</f>
        <v>B</v>
      </c>
      <c r="M122" s="124" cm="1">
        <f t="array" ref="M122">_xlfn.XLOOKUP(1,('Case Pack'!A:A=C122)*('Case Pack'!F:F&lt;=A122),'Case Pack'!D:D,"未找到箱规")</f>
        <v>72</v>
      </c>
      <c r="N122" s="125">
        <f t="shared" si="4"/>
        <v>4</v>
      </c>
      <c r="O122" s="310">
        <f>_xlfn.XLOOKUP(L122,'Case Type'!A:A,'Case Type'!H:H)*N122</f>
        <v>0.29365618688</v>
      </c>
      <c r="P122" s="124" t="s">
        <v>171</v>
      </c>
      <c r="Q122" s="86" t="s">
        <v>172</v>
      </c>
      <c r="R122" s="124" t="s">
        <v>173</v>
      </c>
      <c r="S122" s="86">
        <f>_xlfn.XLOOKUP(C122,'Product List'!B:B,'Product List'!R:R)</f>
        <v>1.42</v>
      </c>
      <c r="T122" s="86">
        <f t="shared" si="3"/>
        <v>408.96</v>
      </c>
      <c r="U122" s="86" t="s">
        <v>92</v>
      </c>
      <c r="V122" s="86"/>
    </row>
    <row r="123" customFormat="1" spans="1:22">
      <c r="A123" s="308">
        <v>46170</v>
      </c>
      <c r="B123" s="86" t="str">
        <f>_xlfn.XLOOKUP(C123,'Product List'!B:B,'Product List'!I:I)</f>
        <v>Swinging Swing Hamster Toy</v>
      </c>
      <c r="C123" s="135" t="s">
        <v>48</v>
      </c>
      <c r="D123" s="234">
        <f>VLOOKUP(C123,'Product List'!B:C,2,0)</f>
        <v>698746777036</v>
      </c>
      <c r="E123" s="201" t="s">
        <v>193</v>
      </c>
      <c r="F123" s="214">
        <v>240</v>
      </c>
      <c r="G123" s="309">
        <v>46227</v>
      </c>
      <c r="H123" s="309">
        <f>IF(P123="","",_xlfn.XLOOKUP(P123,'Shipment Control'!A:A,'Shipment Control'!I:I))</f>
        <v>46238</v>
      </c>
      <c r="I123" s="251">
        <f>IF(P123="",G123+30,_xlfn.XLOOKUP(P123,'Shipment Control'!A:A,'Shipment Control'!J:J))</f>
        <v>46252</v>
      </c>
      <c r="J123" s="251">
        <v>46255</v>
      </c>
      <c r="K123" s="309" t="s">
        <v>130</v>
      </c>
      <c r="L123" s="124" t="str" cm="1">
        <f t="array" ref="L123">_xlfn.XLOOKUP(1,('Case Pack'!A:A=C123)*('Case Pack'!F:F&lt;=A123),'Case Pack'!G:G,"未找到箱规")</f>
        <v>B</v>
      </c>
      <c r="M123" s="124" cm="1">
        <f t="array" ref="M123">_xlfn.XLOOKUP(1,('Case Pack'!A:A=C123)*('Case Pack'!F:F&lt;=A123),'Case Pack'!D:D,"未找到箱规")</f>
        <v>48</v>
      </c>
      <c r="N123" s="125">
        <f t="shared" si="4"/>
        <v>5</v>
      </c>
      <c r="O123" s="310">
        <f>_xlfn.XLOOKUP(L123,'Case Type'!A:A,'Case Type'!H:H)*N123</f>
        <v>0.3670702336</v>
      </c>
      <c r="P123" s="86" t="s">
        <v>195</v>
      </c>
      <c r="Q123" s="86" t="s">
        <v>196</v>
      </c>
      <c r="R123" s="86" t="s">
        <v>197</v>
      </c>
      <c r="S123" s="86">
        <f>_xlfn.XLOOKUP(C123,'Product List'!B:B,'Product List'!R:R)</f>
        <v>1.42</v>
      </c>
      <c r="T123" s="86">
        <f t="shared" si="3"/>
        <v>340.8</v>
      </c>
      <c r="U123" s="86" t="s">
        <v>92</v>
      </c>
      <c r="V123" s="86"/>
    </row>
    <row r="124" customFormat="1" spans="1:22">
      <c r="A124" s="308">
        <v>46170</v>
      </c>
      <c r="B124" s="86" t="str">
        <f>_xlfn.XLOOKUP(C124,'Product List'!B:B,'Product List'!I:I)</f>
        <v>Tree Stump Hide</v>
      </c>
      <c r="C124" s="135" t="s">
        <v>54</v>
      </c>
      <c r="D124" s="234">
        <f>VLOOKUP(C124,'Product List'!B:C,2,0)</f>
        <v>850030338235</v>
      </c>
      <c r="E124" s="201" t="s">
        <v>193</v>
      </c>
      <c r="F124" s="214">
        <v>216</v>
      </c>
      <c r="G124" s="309">
        <v>46227</v>
      </c>
      <c r="H124" s="309">
        <f>IF(P124="","",_xlfn.XLOOKUP(P124,'Shipment Control'!A:A,'Shipment Control'!I:I))</f>
        <v>46238</v>
      </c>
      <c r="I124" s="251">
        <f>IF(P124="",G124+30,_xlfn.XLOOKUP(P124,'Shipment Control'!A:A,'Shipment Control'!J:J))</f>
        <v>46252</v>
      </c>
      <c r="J124" s="251">
        <v>46255</v>
      </c>
      <c r="K124" s="309" t="s">
        <v>130</v>
      </c>
      <c r="L124" s="124" t="str" cm="1">
        <f t="array" ref="L124">_xlfn.XLOOKUP(1,('Case Pack'!A:A=C124)*('Case Pack'!F:F&lt;=A124),'Case Pack'!G:G,"未找到箱规")</f>
        <v>B</v>
      </c>
      <c r="M124" s="124" cm="1">
        <f t="array" ref="M124">_xlfn.XLOOKUP(1,('Case Pack'!A:A=C124)*('Case Pack'!F:F&lt;=A124),'Case Pack'!D:D,"未找到箱规")</f>
        <v>24</v>
      </c>
      <c r="N124" s="125">
        <f t="shared" si="4"/>
        <v>9</v>
      </c>
      <c r="O124" s="310">
        <f>_xlfn.XLOOKUP(L124,'Case Type'!A:A,'Case Type'!H:H)*N124</f>
        <v>0.66072642048</v>
      </c>
      <c r="P124" s="86" t="s">
        <v>195</v>
      </c>
      <c r="Q124" s="86" t="s">
        <v>196</v>
      </c>
      <c r="R124" s="86" t="s">
        <v>197</v>
      </c>
      <c r="S124" s="86">
        <f>_xlfn.XLOOKUP(C124,'Product List'!B:B,'Product List'!R:R)</f>
        <v>2.67</v>
      </c>
      <c r="T124" s="86">
        <f t="shared" si="3"/>
        <v>576.72</v>
      </c>
      <c r="U124" s="86" t="s">
        <v>92</v>
      </c>
      <c r="V124" s="86"/>
    </row>
    <row r="125" customFormat="1" spans="1:22">
      <c r="A125" s="308">
        <v>46170</v>
      </c>
      <c r="B125" s="86" t="str">
        <f>_xlfn.XLOOKUP(C125,'Product List'!B:B,'Product List'!I:I)</f>
        <v>MINI/MOE CAMPING TENT HIDE</v>
      </c>
      <c r="C125" s="135" t="s">
        <v>73</v>
      </c>
      <c r="D125" s="234">
        <f>VLOOKUP(C125,'Product List'!B:C,2,0)</f>
        <v>850030338082</v>
      </c>
      <c r="E125" s="201" t="s">
        <v>193</v>
      </c>
      <c r="F125" s="125">
        <v>204</v>
      </c>
      <c r="G125" s="309">
        <v>46218</v>
      </c>
      <c r="H125" s="309">
        <f>IF(P125="","",_xlfn.XLOOKUP(P125,'Shipment Control'!A:A,'Shipment Control'!I:I))</f>
        <v>46218</v>
      </c>
      <c r="I125" s="251">
        <f>IF(P125="",G125+30,_xlfn.XLOOKUP(P125,'Shipment Control'!A:A,'Shipment Control'!J:J))</f>
        <v>46248</v>
      </c>
      <c r="J125" s="251">
        <v>46253</v>
      </c>
      <c r="K125" s="309" t="s">
        <v>130</v>
      </c>
      <c r="L125" s="124" t="str" cm="1">
        <f t="array" ref="L125">_xlfn.XLOOKUP(1,('Case Pack'!A:A=C125)*('Case Pack'!F:F&lt;=A125),'Case Pack'!G:G,"未找到箱规")</f>
        <v>B</v>
      </c>
      <c r="M125" s="124" cm="1">
        <f t="array" ref="M125">_xlfn.XLOOKUP(1,('Case Pack'!A:A=C125)*('Case Pack'!F:F&lt;=A125),'Case Pack'!D:D,"未找到箱规")</f>
        <v>12</v>
      </c>
      <c r="N125" s="125">
        <f t="shared" si="4"/>
        <v>17</v>
      </c>
      <c r="O125" s="310">
        <f>_xlfn.XLOOKUP(L125,'Case Type'!A:A,'Case Type'!H:H)*N125</f>
        <v>1.24803879424</v>
      </c>
      <c r="P125" s="124" t="s">
        <v>171</v>
      </c>
      <c r="Q125" s="86" t="s">
        <v>172</v>
      </c>
      <c r="R125" s="124" t="s">
        <v>173</v>
      </c>
      <c r="S125" s="86">
        <f>_xlfn.XLOOKUP(C125,'Product List'!B:B,'Product List'!R:R)</f>
        <v>1.96</v>
      </c>
      <c r="T125" s="86">
        <f t="shared" si="3"/>
        <v>399.84</v>
      </c>
      <c r="U125" s="86" t="s">
        <v>92</v>
      </c>
      <c r="V125" s="86"/>
    </row>
    <row r="126" customFormat="1" spans="1:22">
      <c r="A126" s="308">
        <v>46170</v>
      </c>
      <c r="B126" s="86" t="str">
        <f>_xlfn.XLOOKUP(C126,'Product List'!B:B,'Product List'!I:I)</f>
        <v>Bubble water bottle (color:green)</v>
      </c>
      <c r="C126" s="135" t="s">
        <v>66</v>
      </c>
      <c r="D126" s="234">
        <f>VLOOKUP(C126,'Product List'!B:C,2,0)</f>
        <v>634413994429</v>
      </c>
      <c r="E126" s="201" t="s">
        <v>193</v>
      </c>
      <c r="F126" s="125">
        <v>216</v>
      </c>
      <c r="G126" s="309">
        <v>46213</v>
      </c>
      <c r="H126" s="309">
        <f>IF(P126="","",_xlfn.XLOOKUP(P126,'Shipment Control'!A:A,'Shipment Control'!I:I))</f>
        <v>46209</v>
      </c>
      <c r="I126" s="251">
        <f>IF(P126="",G126+30,_xlfn.XLOOKUP(P126,'Shipment Control'!A:A,'Shipment Control'!J:J))</f>
        <v>46231</v>
      </c>
      <c r="J126" s="251">
        <v>46235</v>
      </c>
      <c r="K126" s="309" t="s">
        <v>130</v>
      </c>
      <c r="L126" s="124" t="str" cm="1">
        <f t="array" ref="L126">_xlfn.XLOOKUP(1,('Case Pack'!A:A=C126)*('Case Pack'!F:F&lt;=A126),'Case Pack'!G:G,"未找到箱规")</f>
        <v>B</v>
      </c>
      <c r="M126" s="124" cm="1">
        <f t="array" ref="M126">_xlfn.XLOOKUP(1,('Case Pack'!A:A=C126)*('Case Pack'!F:F&lt;=A126),'Case Pack'!D:D,"未找到箱规")</f>
        <v>18</v>
      </c>
      <c r="N126" s="125">
        <f t="shared" si="4"/>
        <v>12</v>
      </c>
      <c r="O126" s="310">
        <f>_xlfn.XLOOKUP(L126,'Case Type'!A:A,'Case Type'!H:H)*N126</f>
        <v>0.88096856064</v>
      </c>
      <c r="P126" s="277" t="s">
        <v>198</v>
      </c>
      <c r="Q126" s="323" t="s">
        <v>199</v>
      </c>
      <c r="R126" s="323" t="s">
        <v>200</v>
      </c>
      <c r="S126" s="86">
        <f>_xlfn.XLOOKUP(C126,'Product List'!B:B,'Product List'!R:R)</f>
        <v>3.1</v>
      </c>
      <c r="T126" s="86">
        <f t="shared" si="3"/>
        <v>669.6</v>
      </c>
      <c r="U126" s="86" t="s">
        <v>92</v>
      </c>
      <c r="V126" s="86"/>
    </row>
    <row r="127" customFormat="1" spans="1:22">
      <c r="A127" s="308">
        <v>46170</v>
      </c>
      <c r="B127" s="86" t="str">
        <f>_xlfn.XLOOKUP(C127,'Product List'!B:B,'Product List'!I:I)</f>
        <v>Cotton multi color bedding</v>
      </c>
      <c r="C127" s="135" t="s">
        <v>85</v>
      </c>
      <c r="D127" s="234">
        <f>VLOOKUP(C127,'Product List'!B:C,2,0)</f>
        <v>698746777067</v>
      </c>
      <c r="E127" s="201" t="s">
        <v>193</v>
      </c>
      <c r="F127" s="125">
        <v>320</v>
      </c>
      <c r="G127" s="309">
        <v>46213</v>
      </c>
      <c r="H127" s="309">
        <f>IF(P127="","",_xlfn.XLOOKUP(P127,'Shipment Control'!A:A,'Shipment Control'!I:I))</f>
        <v>46209</v>
      </c>
      <c r="I127" s="251">
        <f>IF(P127="",G127+30,_xlfn.XLOOKUP(P127,'Shipment Control'!A:A,'Shipment Control'!J:J))</f>
        <v>46231</v>
      </c>
      <c r="J127" s="251">
        <v>46235</v>
      </c>
      <c r="K127" s="309" t="s">
        <v>130</v>
      </c>
      <c r="L127" s="124" t="str" cm="1">
        <f t="array" ref="L127">_xlfn.XLOOKUP(1,('Case Pack'!A:A=C127)*('Case Pack'!F:F&lt;=A127),'Case Pack'!G:G,"未找到箱规")</f>
        <v>A</v>
      </c>
      <c r="M127" s="124" cm="1">
        <f t="array" ref="M127">_xlfn.XLOOKUP(1,('Case Pack'!A:A=C127)*('Case Pack'!F:F&lt;=A127),'Case Pack'!D:D,"未找到箱规")</f>
        <v>32</v>
      </c>
      <c r="N127" s="125">
        <f t="shared" si="4"/>
        <v>10</v>
      </c>
      <c r="O127" s="310">
        <f>_xlfn.XLOOKUP(L127,'Case Type'!A:A,'Case Type'!H:H)*N127</f>
        <v>1.1012107008</v>
      </c>
      <c r="P127" s="277" t="s">
        <v>198</v>
      </c>
      <c r="Q127" s="323" t="s">
        <v>199</v>
      </c>
      <c r="R127" s="323" t="s">
        <v>200</v>
      </c>
      <c r="S127" s="86">
        <f>_xlfn.XLOOKUP(C127,'Product List'!B:B,'Product List'!R:R)</f>
        <v>1.64</v>
      </c>
      <c r="T127" s="86">
        <f t="shared" si="3"/>
        <v>524.8</v>
      </c>
      <c r="U127" s="86" t="s">
        <v>92</v>
      </c>
      <c r="V127" s="86"/>
    </row>
    <row r="128" customFormat="1" spans="1:22">
      <c r="A128" s="308">
        <v>46170</v>
      </c>
      <c r="B128" s="86" t="str">
        <f>_xlfn.XLOOKUP(C128,'Product List'!B:B,'Product List'!I:I)</f>
        <v>MMO-PAPER PEBBLES</v>
      </c>
      <c r="C128" s="135" t="s">
        <v>81</v>
      </c>
      <c r="D128" s="234">
        <f>VLOOKUP(C128,'Product List'!B:C,2,0)</f>
        <v>850067049258</v>
      </c>
      <c r="E128" s="201" t="s">
        <v>193</v>
      </c>
      <c r="F128" s="125">
        <v>300</v>
      </c>
      <c r="G128" s="309">
        <v>46220</v>
      </c>
      <c r="H128" s="309">
        <f>IF(P128="","",_xlfn.XLOOKUP(P128,'Shipment Control'!A:A,'Shipment Control'!I:I))</f>
        <v>46224</v>
      </c>
      <c r="I128" s="251">
        <f>IF(P128="",G128+30,_xlfn.XLOOKUP(P128,'Shipment Control'!A:A,'Shipment Control'!J:J))</f>
        <v>46239</v>
      </c>
      <c r="J128" s="251">
        <v>46244</v>
      </c>
      <c r="K128" s="309" t="s">
        <v>130</v>
      </c>
      <c r="L128" s="124" t="str" cm="1">
        <f t="array" ref="L128">_xlfn.XLOOKUP(1,('Case Pack'!A:A=C128)*('Case Pack'!F:F&lt;=A128),'Case Pack'!G:G,"未找到箱规")</f>
        <v>B</v>
      </c>
      <c r="M128" s="124" cm="1">
        <f t="array" ref="M128">_xlfn.XLOOKUP(1,('Case Pack'!A:A=C128)*('Case Pack'!F:F&lt;=A128),'Case Pack'!D:D,"未找到箱规")</f>
        <v>12</v>
      </c>
      <c r="N128" s="125">
        <f t="shared" si="4"/>
        <v>25</v>
      </c>
      <c r="O128" s="310">
        <f>_xlfn.XLOOKUP(L128,'Case Type'!A:A,'Case Type'!H:H)*N128</f>
        <v>1.835351168</v>
      </c>
      <c r="P128" s="86" t="s">
        <v>166</v>
      </c>
      <c r="Q128" s="86" t="s">
        <v>167</v>
      </c>
      <c r="R128" s="124" t="s">
        <v>168</v>
      </c>
      <c r="S128" s="86">
        <f>_xlfn.XLOOKUP(C128,'Product List'!B:B,'Product List'!R:R)</f>
        <v>2.84</v>
      </c>
      <c r="T128" s="86">
        <f t="shared" si="3"/>
        <v>852</v>
      </c>
      <c r="U128" s="86" t="s">
        <v>92</v>
      </c>
      <c r="V128" s="86"/>
    </row>
    <row r="129" customFormat="1" spans="1:22">
      <c r="A129" s="308">
        <v>46170</v>
      </c>
      <c r="B129" s="86" t="str">
        <f>_xlfn.XLOOKUP(C129,'Product List'!B:B,'Product List'!I:I)</f>
        <v>Paper straw green bedding</v>
      </c>
      <c r="C129" s="135" t="s">
        <v>83</v>
      </c>
      <c r="D129" s="234">
        <f>VLOOKUP(C129,'Product List'!B:C,2,0)</f>
        <v>860006392840</v>
      </c>
      <c r="E129" s="201" t="s">
        <v>193</v>
      </c>
      <c r="F129" s="125">
        <v>300</v>
      </c>
      <c r="G129" s="309">
        <v>46213</v>
      </c>
      <c r="H129" s="309">
        <f>IF(P129="","",_xlfn.XLOOKUP(P129,'Shipment Control'!A:A,'Shipment Control'!I:I))</f>
        <v>46209</v>
      </c>
      <c r="I129" s="251">
        <f>IF(P129="",G129+30,_xlfn.XLOOKUP(P129,'Shipment Control'!A:A,'Shipment Control'!J:J))</f>
        <v>46231</v>
      </c>
      <c r="J129" s="251">
        <v>46235</v>
      </c>
      <c r="K129" s="309" t="s">
        <v>130</v>
      </c>
      <c r="L129" s="124" t="str" cm="1">
        <f t="array" ref="L129">_xlfn.XLOOKUP(1,('Case Pack'!A:A=C129)*('Case Pack'!F:F&lt;=A129),'Case Pack'!G:G,"未找到箱规")</f>
        <v>C</v>
      </c>
      <c r="M129" s="124" cm="1">
        <f t="array" ref="M129">_xlfn.XLOOKUP(1,('Case Pack'!A:A=C129)*('Case Pack'!F:F&lt;=A129),'Case Pack'!D:D,"未找到箱规")</f>
        <v>30</v>
      </c>
      <c r="N129" s="125">
        <f t="shared" si="4"/>
        <v>10</v>
      </c>
      <c r="O129" s="310">
        <f>_xlfn.XLOOKUP(L129,'Case Type'!A:A,'Case Type'!H:H)*N129</f>
        <v>1.573158144</v>
      </c>
      <c r="P129" s="277" t="s">
        <v>198</v>
      </c>
      <c r="Q129" s="323" t="s">
        <v>199</v>
      </c>
      <c r="R129" s="323" t="s">
        <v>200</v>
      </c>
      <c r="S129" s="86">
        <f>_xlfn.XLOOKUP(C129,'Product List'!B:B,'Product List'!R:R)</f>
        <v>1.88</v>
      </c>
      <c r="T129" s="86">
        <f t="shared" si="3"/>
        <v>564</v>
      </c>
      <c r="U129" s="86" t="s">
        <v>92</v>
      </c>
      <c r="V129" s="86"/>
    </row>
    <row r="130" customFormat="1" spans="1:22">
      <c r="A130" s="308">
        <v>46170</v>
      </c>
      <c r="B130" s="86" t="str">
        <f>_xlfn.XLOOKUP(C130,'Product List'!B:B,'Product List'!I:I)</f>
        <v>Paper twist brown / white bedding</v>
      </c>
      <c r="C130" s="135" t="s">
        <v>70</v>
      </c>
      <c r="D130" s="234">
        <f>VLOOKUP(C130,'Product List'!B:C,2,0)</f>
        <v>698746777050</v>
      </c>
      <c r="E130" s="201" t="s">
        <v>193</v>
      </c>
      <c r="F130" s="214">
        <v>300</v>
      </c>
      <c r="G130" s="309">
        <v>46227</v>
      </c>
      <c r="H130" s="309">
        <f>IF(P130="","",_xlfn.XLOOKUP(P130,'Shipment Control'!A:A,'Shipment Control'!I:I))</f>
        <v>46238</v>
      </c>
      <c r="I130" s="251">
        <f>IF(P130="",G130+30,_xlfn.XLOOKUP(P130,'Shipment Control'!A:A,'Shipment Control'!J:J))</f>
        <v>46252</v>
      </c>
      <c r="J130" s="251">
        <v>46255</v>
      </c>
      <c r="K130" s="309" t="s">
        <v>130</v>
      </c>
      <c r="L130" s="124" t="str" cm="1">
        <f t="array" ref="L130">_xlfn.XLOOKUP(1,('Case Pack'!A:A=C130)*('Case Pack'!F:F&lt;=A130),'Case Pack'!G:G,"未找到箱规")</f>
        <v>A</v>
      </c>
      <c r="M130" s="124" cm="1">
        <f t="array" ref="M130">_xlfn.XLOOKUP(1,('Case Pack'!A:A=C130)*('Case Pack'!F:F&lt;=A130),'Case Pack'!D:D,"未找到箱规")</f>
        <v>30</v>
      </c>
      <c r="N130" s="125">
        <f t="shared" si="4"/>
        <v>10</v>
      </c>
      <c r="O130" s="310">
        <f>_xlfn.XLOOKUP(L130,'Case Type'!A:A,'Case Type'!H:H)*N130</f>
        <v>1.1012107008</v>
      </c>
      <c r="P130" s="86" t="s">
        <v>195</v>
      </c>
      <c r="Q130" s="86" t="s">
        <v>196</v>
      </c>
      <c r="R130" s="86" t="s">
        <v>197</v>
      </c>
      <c r="S130" s="86">
        <f>_xlfn.XLOOKUP(C130,'Product List'!B:B,'Product List'!R:R)</f>
        <v>1.98</v>
      </c>
      <c r="T130" s="86">
        <f t="shared" ref="T130:T193" si="5">S130*F130</f>
        <v>594</v>
      </c>
      <c r="U130" s="86" t="s">
        <v>92</v>
      </c>
      <c r="V130" s="86"/>
    </row>
    <row r="131" customFormat="1" spans="1:22">
      <c r="A131" s="308">
        <v>46170</v>
      </c>
      <c r="B131" s="86" t="str">
        <f>_xlfn.XLOOKUP(C131,'Product List'!B:B,'Product List'!I:I)</f>
        <v>Silent Crystal Running Wheel XL</v>
      </c>
      <c r="C131" s="135" t="s">
        <v>75</v>
      </c>
      <c r="D131" s="234">
        <f>VLOOKUP(C131,'Product List'!B:C,2,0)</f>
        <v>850030338464</v>
      </c>
      <c r="E131" s="201" t="s">
        <v>193</v>
      </c>
      <c r="F131" s="125">
        <v>102</v>
      </c>
      <c r="G131" s="309">
        <v>46213</v>
      </c>
      <c r="H131" s="309">
        <f>IF(P131="","",_xlfn.XLOOKUP(P131,'Shipment Control'!A:A,'Shipment Control'!I:I))</f>
        <v>46209</v>
      </c>
      <c r="I131" s="251">
        <f>IF(P131="",G131+30,_xlfn.XLOOKUP(P131,'Shipment Control'!A:A,'Shipment Control'!J:J))</f>
        <v>46231</v>
      </c>
      <c r="J131" s="251">
        <v>46235</v>
      </c>
      <c r="K131" s="309" t="s">
        <v>130</v>
      </c>
      <c r="L131" s="124" t="str" cm="1">
        <f t="array" ref="L131">_xlfn.XLOOKUP(1,('Case Pack'!A:A=C131)*('Case Pack'!F:F&lt;=A131),'Case Pack'!G:G,"未找到箱规")</f>
        <v>C</v>
      </c>
      <c r="M131" s="124" cm="1">
        <f t="array" ref="M131">_xlfn.XLOOKUP(1,('Case Pack'!A:A=C131)*('Case Pack'!F:F&lt;=A131),'Case Pack'!D:D,"未找到箱规")</f>
        <v>3</v>
      </c>
      <c r="N131" s="125">
        <f t="shared" si="4"/>
        <v>34</v>
      </c>
      <c r="O131" s="310">
        <f>_xlfn.XLOOKUP(L131,'Case Type'!A:A,'Case Type'!H:H)*N131</f>
        <v>5.3487376896</v>
      </c>
      <c r="P131" s="277" t="s">
        <v>198</v>
      </c>
      <c r="Q131" s="323" t="s">
        <v>199</v>
      </c>
      <c r="R131" s="323" t="s">
        <v>200</v>
      </c>
      <c r="S131" s="86">
        <f>_xlfn.XLOOKUP(C131,'Product List'!B:B,'Product List'!R:R)</f>
        <v>10.42</v>
      </c>
      <c r="T131" s="86">
        <f t="shared" si="5"/>
        <v>1062.84</v>
      </c>
      <c r="U131" s="86" t="s">
        <v>92</v>
      </c>
      <c r="V131" s="86"/>
    </row>
    <row r="132" customFormat="1" spans="1:22">
      <c r="A132" s="308">
        <v>46170</v>
      </c>
      <c r="B132" s="86" t="str">
        <f>_xlfn.XLOOKUP(C132,'Product List'!B:B,'Product List'!I:I)</f>
        <v>MINI/MOE SILENT CRSTL RUN WHEEL LG 8.5-White</v>
      </c>
      <c r="C132" s="135" t="s">
        <v>29</v>
      </c>
      <c r="D132" s="234">
        <f>VLOOKUP(C132,'Product List'!B:C,2,0)</f>
        <v>850062627680</v>
      </c>
      <c r="E132" s="201" t="s">
        <v>193</v>
      </c>
      <c r="F132" s="125">
        <v>104</v>
      </c>
      <c r="G132" s="309">
        <v>46213</v>
      </c>
      <c r="H132" s="309">
        <f>IF(P132="","",_xlfn.XLOOKUP(P132,'Shipment Control'!A:A,'Shipment Control'!I:I))</f>
        <v>46209</v>
      </c>
      <c r="I132" s="251">
        <f>IF(P132="",G132+30,_xlfn.XLOOKUP(P132,'Shipment Control'!A:A,'Shipment Control'!J:J))</f>
        <v>46231</v>
      </c>
      <c r="J132" s="251">
        <v>46235</v>
      </c>
      <c r="K132" s="309" t="s">
        <v>130</v>
      </c>
      <c r="L132" s="124" t="str" cm="1">
        <f t="array" ref="L132">_xlfn.XLOOKUP(1,('Case Pack'!A:A=C132)*('Case Pack'!F:F&lt;=A132),'Case Pack'!G:G,"未找到箱规")</f>
        <v>C</v>
      </c>
      <c r="M132" s="124" cm="1">
        <f t="array" ref="M132">_xlfn.XLOOKUP(1,('Case Pack'!A:A=C132)*('Case Pack'!F:F&lt;=A132),'Case Pack'!D:D,"未找到箱规")</f>
        <v>8</v>
      </c>
      <c r="N132" s="125">
        <f t="shared" si="4"/>
        <v>13</v>
      </c>
      <c r="O132" s="310">
        <f>_xlfn.XLOOKUP(L132,'Case Type'!A:A,'Case Type'!H:H)*N132</f>
        <v>2.0451055872</v>
      </c>
      <c r="P132" s="277" t="s">
        <v>198</v>
      </c>
      <c r="Q132" s="323" t="s">
        <v>199</v>
      </c>
      <c r="R132" s="323" t="s">
        <v>200</v>
      </c>
      <c r="S132" s="86">
        <f>_xlfn.XLOOKUP(C132,'Product List'!B:B,'Product List'!R:R)</f>
        <v>6.27</v>
      </c>
      <c r="T132" s="86">
        <f t="shared" si="5"/>
        <v>652.08</v>
      </c>
      <c r="U132" s="86" t="s">
        <v>92</v>
      </c>
      <c r="V132" s="86"/>
    </row>
    <row r="133" customFormat="1" spans="1:22">
      <c r="A133" s="308">
        <v>46170</v>
      </c>
      <c r="B133" s="86" t="str">
        <f>_xlfn.XLOOKUP(C133,'Product List'!B:B,'Product List'!I:I)</f>
        <v>MINI/MOE SILENT CRSTL RUN WHEEL LG 8.5-White</v>
      </c>
      <c r="C133" s="135" t="s">
        <v>29</v>
      </c>
      <c r="D133" s="234">
        <f>VLOOKUP(C133,'Product List'!B:C,2,0)</f>
        <v>850062627680</v>
      </c>
      <c r="E133" s="201" t="s">
        <v>193</v>
      </c>
      <c r="F133" s="125">
        <v>104</v>
      </c>
      <c r="G133" s="309">
        <v>46213</v>
      </c>
      <c r="H133" s="309">
        <f>IF(P133="","",_xlfn.XLOOKUP(P133,'Shipment Control'!A:A,'Shipment Control'!I:I))</f>
        <v>46218</v>
      </c>
      <c r="I133" s="251">
        <f>IF(P133="",G133+30,_xlfn.XLOOKUP(P133,'Shipment Control'!A:A,'Shipment Control'!J:J))</f>
        <v>46248</v>
      </c>
      <c r="J133" s="251">
        <v>46253</v>
      </c>
      <c r="K133" s="309" t="s">
        <v>130</v>
      </c>
      <c r="L133" s="124" t="str" cm="1">
        <f t="array" ref="L133">_xlfn.XLOOKUP(1,('Case Pack'!A:A=C133)*('Case Pack'!F:F&lt;=A133),'Case Pack'!G:G,"未找到箱规")</f>
        <v>C</v>
      </c>
      <c r="M133" s="124" cm="1">
        <f t="array" ref="M133">_xlfn.XLOOKUP(1,('Case Pack'!A:A=C133)*('Case Pack'!F:F&lt;=A133),'Case Pack'!D:D,"未找到箱规")</f>
        <v>8</v>
      </c>
      <c r="N133" s="125">
        <f t="shared" si="4"/>
        <v>13</v>
      </c>
      <c r="O133" s="310">
        <f>_xlfn.XLOOKUP(L133,'Case Type'!A:A,'Case Type'!H:H)*N133</f>
        <v>2.0451055872</v>
      </c>
      <c r="P133" s="124" t="s">
        <v>171</v>
      </c>
      <c r="Q133" s="86" t="s">
        <v>172</v>
      </c>
      <c r="R133" s="124" t="s">
        <v>173</v>
      </c>
      <c r="S133" s="86">
        <f>_xlfn.XLOOKUP(C133,'Product List'!B:B,'Product List'!R:R)</f>
        <v>6.27</v>
      </c>
      <c r="T133" s="86">
        <f t="shared" si="5"/>
        <v>652.08</v>
      </c>
      <c r="U133" s="86" t="s">
        <v>92</v>
      </c>
      <c r="V133" s="86"/>
    </row>
    <row r="134" customFormat="1" spans="1:22">
      <c r="A134" s="308">
        <v>46162</v>
      </c>
      <c r="B134" s="86" t="str">
        <f>_xlfn.XLOOKUP(C134,'Product List'!B:B,'Product List'!I:I)</f>
        <v>MINI/MOE SMALL ANIMAL BEDDING PAPER TWISTS</v>
      </c>
      <c r="C134" s="135" t="s">
        <v>69</v>
      </c>
      <c r="D134" s="234">
        <f>VLOOKUP(C134,'Product List'!B:C,2,0)</f>
        <v>698746777210</v>
      </c>
      <c r="E134" s="201" t="s">
        <v>201</v>
      </c>
      <c r="F134" s="214">
        <v>1560</v>
      </c>
      <c r="G134" s="309">
        <v>46227</v>
      </c>
      <c r="H134" s="309">
        <f>IF(P134="","",_xlfn.XLOOKUP(P134,'Shipment Control'!A:A,'Shipment Control'!I:I))</f>
        <v>46238</v>
      </c>
      <c r="I134" s="251">
        <f>IF(P134="",G134+30,_xlfn.XLOOKUP(P134,'Shipment Control'!A:A,'Shipment Control'!J:J))</f>
        <v>46252</v>
      </c>
      <c r="J134" s="251">
        <v>46255</v>
      </c>
      <c r="K134" s="309" t="s">
        <v>130</v>
      </c>
      <c r="L134" s="124" t="str" cm="1">
        <f t="array" ref="L134">_xlfn.XLOOKUP(1,('Case Pack'!A:A=C134)*('Case Pack'!F:F&lt;=A134),'Case Pack'!G:G,"未找到箱规")</f>
        <v>A</v>
      </c>
      <c r="M134" s="124" cm="1">
        <f t="array" ref="M134">_xlfn.XLOOKUP(1,('Case Pack'!A:A=C134)*('Case Pack'!F:F&lt;=A134),'Case Pack'!D:D,"未找到箱规")</f>
        <v>30</v>
      </c>
      <c r="N134" s="125">
        <f t="shared" si="4"/>
        <v>52</v>
      </c>
      <c r="O134" s="310">
        <f>_xlfn.XLOOKUP(L134,'Case Type'!A:A,'Case Type'!H:H)*N134</f>
        <v>5.72629564416</v>
      </c>
      <c r="P134" s="86" t="s">
        <v>195</v>
      </c>
      <c r="Q134" s="86" t="s">
        <v>196</v>
      </c>
      <c r="R134" s="86" t="s">
        <v>197</v>
      </c>
      <c r="S134" s="86">
        <f>_xlfn.XLOOKUP(C134,'Product List'!B:B,'Product List'!R:R)</f>
        <v>1.98</v>
      </c>
      <c r="T134" s="86">
        <f t="shared" si="5"/>
        <v>3088.8</v>
      </c>
      <c r="U134" s="86" t="s">
        <v>92</v>
      </c>
      <c r="V134" s="86"/>
    </row>
    <row r="135" customFormat="1" spans="1:22">
      <c r="A135" s="308">
        <v>46162</v>
      </c>
      <c r="B135" s="86" t="str">
        <f>_xlfn.XLOOKUP(C135,'Product List'!B:B,'Product List'!I:I)</f>
        <v>MINI/MOE SMALL ANIMAL BEDDING CRINKLE PAPER BROWN 1EA</v>
      </c>
      <c r="C135" s="135" t="s">
        <v>30</v>
      </c>
      <c r="D135" s="234">
        <f>VLOOKUP(C135,'Product List'!B:C,2,0)</f>
        <v>698746777364</v>
      </c>
      <c r="E135" s="201" t="s">
        <v>201</v>
      </c>
      <c r="F135" s="214">
        <v>570</v>
      </c>
      <c r="G135" s="309">
        <v>46227</v>
      </c>
      <c r="H135" s="309">
        <f>IF(P135="","",_xlfn.XLOOKUP(P135,'Shipment Control'!A:A,'Shipment Control'!I:I))</f>
        <v>46238</v>
      </c>
      <c r="I135" s="251">
        <f>IF(P135="",G135+30,_xlfn.XLOOKUP(P135,'Shipment Control'!A:A,'Shipment Control'!J:J))</f>
        <v>46252</v>
      </c>
      <c r="J135" s="251">
        <v>46255</v>
      </c>
      <c r="K135" s="309" t="s">
        <v>130</v>
      </c>
      <c r="L135" s="124" t="str" cm="1">
        <f t="array" ref="L135">_xlfn.XLOOKUP(1,('Case Pack'!A:A=C135)*('Case Pack'!F:F&lt;=A135),'Case Pack'!G:G,"未找到箱规")</f>
        <v>A</v>
      </c>
      <c r="M135" s="124" cm="1">
        <f t="array" ref="M135">_xlfn.XLOOKUP(1,('Case Pack'!A:A=C135)*('Case Pack'!F:F&lt;=A135),'Case Pack'!D:D,"未找到箱规")</f>
        <v>30</v>
      </c>
      <c r="N135" s="125">
        <f t="shared" si="4"/>
        <v>19</v>
      </c>
      <c r="O135" s="310">
        <f>_xlfn.XLOOKUP(L135,'Case Type'!A:A,'Case Type'!H:H)*N135</f>
        <v>2.09230033152</v>
      </c>
      <c r="P135" s="86" t="s">
        <v>195</v>
      </c>
      <c r="Q135" s="86" t="s">
        <v>196</v>
      </c>
      <c r="R135" s="86" t="s">
        <v>197</v>
      </c>
      <c r="S135" s="86">
        <f>_xlfn.XLOOKUP(C135,'Product List'!B:B,'Product List'!R:R)</f>
        <v>1.99</v>
      </c>
      <c r="T135" s="86">
        <f t="shared" si="5"/>
        <v>1134.3</v>
      </c>
      <c r="U135" s="86" t="s">
        <v>92</v>
      </c>
      <c r="V135" s="86"/>
    </row>
    <row r="136" customFormat="1" spans="1:22">
      <c r="A136" s="308">
        <v>46162</v>
      </c>
      <c r="B136" s="86" t="str">
        <f>_xlfn.XLOOKUP(C136,'Product List'!B:B,'Product List'!I:I)</f>
        <v>MINI/MOE SMALL ANIMAL BEDDING ROLLED PAPER FOREST MIX 1EA</v>
      </c>
      <c r="C136" s="135" t="s">
        <v>32</v>
      </c>
      <c r="D136" s="234">
        <f>VLOOKUP(C136,'Product List'!B:C,2,0)</f>
        <v>698746777418</v>
      </c>
      <c r="E136" s="201" t="s">
        <v>201</v>
      </c>
      <c r="F136" s="214">
        <v>1560</v>
      </c>
      <c r="G136" s="309">
        <v>46227</v>
      </c>
      <c r="H136" s="309">
        <f>IF(P136="","",_xlfn.XLOOKUP(P136,'Shipment Control'!A:A,'Shipment Control'!I:I))</f>
        <v>46238</v>
      </c>
      <c r="I136" s="251">
        <f>IF(P136="",G136+30,_xlfn.XLOOKUP(P136,'Shipment Control'!A:A,'Shipment Control'!J:J))</f>
        <v>46252</v>
      </c>
      <c r="J136" s="251">
        <v>46255</v>
      </c>
      <c r="K136" s="309" t="s">
        <v>130</v>
      </c>
      <c r="L136" s="124" t="str" cm="1">
        <f t="array" ref="L136">_xlfn.XLOOKUP(1,('Case Pack'!A:A=C136)*('Case Pack'!F:F&lt;=A136),'Case Pack'!G:G,"未找到箱规")</f>
        <v>A</v>
      </c>
      <c r="M136" s="124" cm="1">
        <f t="array" ref="M136">_xlfn.XLOOKUP(1,('Case Pack'!A:A=C136)*('Case Pack'!F:F&lt;=A136),'Case Pack'!D:D,"未找到箱规")</f>
        <v>30</v>
      </c>
      <c r="N136" s="125">
        <f t="shared" si="4"/>
        <v>52</v>
      </c>
      <c r="O136" s="310">
        <f>_xlfn.XLOOKUP(L136,'Case Type'!A:A,'Case Type'!H:H)*N136</f>
        <v>5.72629564416</v>
      </c>
      <c r="P136" s="86" t="s">
        <v>195</v>
      </c>
      <c r="Q136" s="86" t="s">
        <v>196</v>
      </c>
      <c r="R136" s="86" t="s">
        <v>197</v>
      </c>
      <c r="S136" s="86">
        <f>_xlfn.XLOOKUP(C136,'Product List'!B:B,'Product List'!R:R)</f>
        <v>2.47</v>
      </c>
      <c r="T136" s="86">
        <f t="shared" si="5"/>
        <v>3853.2</v>
      </c>
      <c r="U136" s="86" t="s">
        <v>92</v>
      </c>
      <c r="V136" s="86"/>
    </row>
    <row r="137" customFormat="1" spans="1:22">
      <c r="A137" s="308">
        <v>46162</v>
      </c>
      <c r="B137" s="86" t="str">
        <f>_xlfn.XLOOKUP(C137,'Product List'!B:B,'Product List'!I:I)</f>
        <v>MINI/MOE SMALL ANIMAL BEDDING PAPER FLAKE LAV FIELD 50LT</v>
      </c>
      <c r="C137" s="135" t="s">
        <v>87</v>
      </c>
      <c r="D137" s="234">
        <f>VLOOKUP(C137,'Product List'!B:C,2,0)</f>
        <v>698746777463</v>
      </c>
      <c r="E137" s="201" t="s">
        <v>201</v>
      </c>
      <c r="F137" s="214">
        <v>1512</v>
      </c>
      <c r="G137" s="309">
        <v>46227</v>
      </c>
      <c r="H137" s="309">
        <f>IF(P137="","",_xlfn.XLOOKUP(P137,'Shipment Control'!A:A,'Shipment Control'!I:I))</f>
        <v>46238</v>
      </c>
      <c r="I137" s="251">
        <f>IF(P137="",G137+30,_xlfn.XLOOKUP(P137,'Shipment Control'!A:A,'Shipment Control'!J:J))</f>
        <v>46252</v>
      </c>
      <c r="J137" s="251">
        <v>46255</v>
      </c>
      <c r="K137" s="309" t="s">
        <v>130</v>
      </c>
      <c r="L137" s="124" t="str" cm="1">
        <f t="array" ref="L137">_xlfn.XLOOKUP(1,('Case Pack'!A:A=C137)*('Case Pack'!F:F&lt;=A137),'Case Pack'!G:G,"未找到箱规")</f>
        <v>C</v>
      </c>
      <c r="M137" s="124" cm="1">
        <f t="array" ref="M137">_xlfn.XLOOKUP(1,('Case Pack'!A:A=C137)*('Case Pack'!F:F&lt;=A137),'Case Pack'!D:D,"未找到箱规")</f>
        <v>14</v>
      </c>
      <c r="N137" s="125">
        <f t="shared" si="4"/>
        <v>108</v>
      </c>
      <c r="O137" s="310">
        <f>_xlfn.XLOOKUP(L137,'Case Type'!A:A,'Case Type'!H:H)*N137</f>
        <v>16.9901079552</v>
      </c>
      <c r="P137" s="86" t="s">
        <v>195</v>
      </c>
      <c r="Q137" s="86" t="s">
        <v>196</v>
      </c>
      <c r="R137" s="86" t="s">
        <v>197</v>
      </c>
      <c r="S137" s="86">
        <f>_xlfn.XLOOKUP(C137,'Product List'!B:B,'Product List'!R:R)</f>
        <v>4.79</v>
      </c>
      <c r="T137" s="86">
        <f t="shared" si="5"/>
        <v>7242.48</v>
      </c>
      <c r="U137" s="86" t="s">
        <v>92</v>
      </c>
      <c r="V137" s="86"/>
    </row>
    <row r="138" customFormat="1" spans="1:22">
      <c r="A138" s="308">
        <v>46162</v>
      </c>
      <c r="B138" s="86" t="str">
        <f>_xlfn.XLOOKUP(C138,'Product List'!B:B,'Product List'!I:I)</f>
        <v>MINI/MOE SMALL ANIMAL BEDDING NESTING COTTON BALLS LAV 23LT</v>
      </c>
      <c r="C138" s="135" t="s">
        <v>86</v>
      </c>
      <c r="D138" s="234">
        <f>VLOOKUP(C138,'Product List'!B:C,2,0)</f>
        <v>698746777531</v>
      </c>
      <c r="E138" s="201" t="s">
        <v>201</v>
      </c>
      <c r="F138" s="214">
        <v>1344</v>
      </c>
      <c r="G138" s="309">
        <v>46227</v>
      </c>
      <c r="H138" s="309">
        <f>IF(P138="","",_xlfn.XLOOKUP(P138,'Shipment Control'!A:A,'Shipment Control'!I:I))</f>
        <v>46238</v>
      </c>
      <c r="I138" s="251">
        <f>IF(P138="",G138+30,_xlfn.XLOOKUP(P138,'Shipment Control'!A:A,'Shipment Control'!J:J))</f>
        <v>46252</v>
      </c>
      <c r="J138" s="251">
        <v>46255</v>
      </c>
      <c r="K138" s="309" t="s">
        <v>130</v>
      </c>
      <c r="L138" s="124" t="str" cm="1">
        <f t="array" ref="L138">_xlfn.XLOOKUP(1,('Case Pack'!A:A=C138)*('Case Pack'!F:F&lt;=A138),'Case Pack'!G:G,"未找到箱规")</f>
        <v>A</v>
      </c>
      <c r="M138" s="124" cm="1">
        <f t="array" ref="M138">_xlfn.XLOOKUP(1,('Case Pack'!A:A=C138)*('Case Pack'!F:F&lt;=A138),'Case Pack'!D:D,"未找到箱规")</f>
        <v>32</v>
      </c>
      <c r="N138" s="125">
        <f t="shared" si="4"/>
        <v>42</v>
      </c>
      <c r="O138" s="310">
        <f>_xlfn.XLOOKUP(L138,'Case Type'!A:A,'Case Type'!H:H)*N138</f>
        <v>4.62508494336</v>
      </c>
      <c r="P138" s="86" t="s">
        <v>195</v>
      </c>
      <c r="Q138" s="86" t="s">
        <v>196</v>
      </c>
      <c r="R138" s="86" t="s">
        <v>197</v>
      </c>
      <c r="S138" s="86">
        <f>_xlfn.XLOOKUP(C138,'Product List'!B:B,'Product List'!R:R)</f>
        <v>1.64</v>
      </c>
      <c r="T138" s="86">
        <f t="shared" si="5"/>
        <v>2204.16</v>
      </c>
      <c r="U138" s="86" t="s">
        <v>92</v>
      </c>
      <c r="V138" s="86"/>
    </row>
    <row r="139" customFormat="1" spans="1:22">
      <c r="A139" s="308">
        <v>46162</v>
      </c>
      <c r="B139" s="86" t="str">
        <f>_xlfn.XLOOKUP(C139,'Product List'!B:B,'Product List'!I:I)</f>
        <v>MINI/MOE SMALL ANIMAL BEDDING NESTING COTTON BALLS LAV 23LT</v>
      </c>
      <c r="C139" s="135" t="s">
        <v>86</v>
      </c>
      <c r="D139" s="234">
        <f>VLOOKUP(C139,'Product List'!B:C,2,0)</f>
        <v>698746777531</v>
      </c>
      <c r="E139" s="201" t="s">
        <v>201</v>
      </c>
      <c r="F139" s="125">
        <v>224</v>
      </c>
      <c r="G139" s="309">
        <v>46227</v>
      </c>
      <c r="H139" s="309">
        <f>IF(P139="","",_xlfn.XLOOKUP(P139,'Shipment Control'!A:A,'Shipment Control'!I:I))</f>
        <v>46258</v>
      </c>
      <c r="I139" s="251">
        <f>IF(P139="",G139+30,_xlfn.XLOOKUP(P139,'Shipment Control'!A:A,'Shipment Control'!J:J))</f>
        <v>46277</v>
      </c>
      <c r="J139" s="251">
        <v>46281</v>
      </c>
      <c r="K139" s="309" t="s">
        <v>130</v>
      </c>
      <c r="L139" s="124" t="str" cm="1">
        <f t="array" ref="L139">_xlfn.XLOOKUP(1,('Case Pack'!A:A=C139)*('Case Pack'!F:F&lt;=A139),'Case Pack'!G:G,"未找到箱规")</f>
        <v>A</v>
      </c>
      <c r="M139" s="124" cm="1">
        <f t="array" ref="M139">_xlfn.XLOOKUP(1,('Case Pack'!A:A=C139)*('Case Pack'!F:F&lt;=A139),'Case Pack'!D:D,"未找到箱规")</f>
        <v>32</v>
      </c>
      <c r="N139" s="125">
        <f t="shared" si="4"/>
        <v>7</v>
      </c>
      <c r="O139" s="310">
        <f>_xlfn.XLOOKUP(L139,'Case Type'!A:A,'Case Type'!H:H)*N139</f>
        <v>0.77084749056</v>
      </c>
      <c r="P139" s="124" t="s">
        <v>202</v>
      </c>
      <c r="Q139" s="124" t="s">
        <v>203</v>
      </c>
      <c r="R139" s="124" t="s">
        <v>204</v>
      </c>
      <c r="S139" s="86">
        <f>_xlfn.XLOOKUP(C139,'Product List'!B:B,'Product List'!R:R)</f>
        <v>1.64</v>
      </c>
      <c r="T139" s="86">
        <f t="shared" si="5"/>
        <v>367.36</v>
      </c>
      <c r="U139" s="86" t="s">
        <v>92</v>
      </c>
      <c r="V139" s="86"/>
    </row>
    <row r="140" customFormat="1" spans="1:22">
      <c r="A140" s="308">
        <v>46162</v>
      </c>
      <c r="B140" s="86" t="str">
        <f>_xlfn.XLOOKUP(C140,'Product List'!B:B,'Product List'!I:I)</f>
        <v>MINI/MOE SMALL ANIMAL BEDDING PAPER PEBBLES OCEAN BLUE 23LT</v>
      </c>
      <c r="C140" s="135" t="s">
        <v>80</v>
      </c>
      <c r="D140" s="234">
        <f>VLOOKUP(C140,'Product List'!B:C,2,0)</f>
        <v>698746777562</v>
      </c>
      <c r="E140" s="201" t="s">
        <v>201</v>
      </c>
      <c r="F140" s="214">
        <v>1512</v>
      </c>
      <c r="G140" s="309">
        <v>46227</v>
      </c>
      <c r="H140" s="309">
        <f>IF(P140="","",_xlfn.XLOOKUP(P140,'Shipment Control'!A:A,'Shipment Control'!I:I))</f>
        <v>46238</v>
      </c>
      <c r="I140" s="251">
        <f>IF(P140="",G140+30,_xlfn.XLOOKUP(P140,'Shipment Control'!A:A,'Shipment Control'!J:J))</f>
        <v>46252</v>
      </c>
      <c r="J140" s="251">
        <v>46255</v>
      </c>
      <c r="K140" s="309" t="s">
        <v>130</v>
      </c>
      <c r="L140" s="124" t="str" cm="1">
        <f t="array" ref="L140">_xlfn.XLOOKUP(1,('Case Pack'!A:A=C140)*('Case Pack'!F:F&lt;=A140),'Case Pack'!G:G,"未找到箱规")</f>
        <v>B</v>
      </c>
      <c r="M140" s="124" cm="1">
        <f t="array" ref="M140">_xlfn.XLOOKUP(1,('Case Pack'!A:A=C140)*('Case Pack'!F:F&lt;=A140),'Case Pack'!D:D,"未找到箱规")</f>
        <v>12</v>
      </c>
      <c r="N140" s="125">
        <f t="shared" si="4"/>
        <v>126</v>
      </c>
      <c r="O140" s="310">
        <f>_xlfn.XLOOKUP(L140,'Case Type'!A:A,'Case Type'!H:H)*N140</f>
        <v>9.25016988672</v>
      </c>
      <c r="P140" s="86" t="s">
        <v>195</v>
      </c>
      <c r="Q140" s="86" t="s">
        <v>196</v>
      </c>
      <c r="R140" s="86" t="s">
        <v>197</v>
      </c>
      <c r="S140" s="86">
        <f>_xlfn.XLOOKUP(C140,'Product List'!B:B,'Product List'!R:R)</f>
        <v>2.84</v>
      </c>
      <c r="T140" s="86">
        <f t="shared" si="5"/>
        <v>4294.08</v>
      </c>
      <c r="U140" s="86" t="s">
        <v>92</v>
      </c>
      <c r="V140" s="86"/>
    </row>
    <row r="141" customFormat="1" spans="1:22">
      <c r="A141" s="308">
        <v>46151</v>
      </c>
      <c r="B141" s="86" t="str">
        <f>_xlfn.XLOOKUP(C141,'Product List'!B:B,'Product List'!I:I)</f>
        <v>NONO Magnetic Water Bottle (220 ML)</v>
      </c>
      <c r="C141" s="135" t="s">
        <v>36</v>
      </c>
      <c r="D141" s="234">
        <f>VLOOKUP(C141,'Product List'!B:C,2,0)</f>
        <v>698746776688</v>
      </c>
      <c r="E141" s="201" t="s">
        <v>205</v>
      </c>
      <c r="F141" s="125">
        <v>1260</v>
      </c>
      <c r="G141" s="309">
        <v>46189</v>
      </c>
      <c r="H141" s="309">
        <f>IF(P141="","",_xlfn.XLOOKUP(P141,'Shipment Control'!A:A,'Shipment Control'!I:I))</f>
        <v>46194</v>
      </c>
      <c r="I141" s="251">
        <f>IF(P141="",G141+30,_xlfn.XLOOKUP(P141,'Shipment Control'!A:A,'Shipment Control'!J:J))</f>
        <v>46212</v>
      </c>
      <c r="J141" s="251">
        <v>46223</v>
      </c>
      <c r="K141" s="309">
        <v>46269</v>
      </c>
      <c r="L141" s="124" t="str" cm="1">
        <f t="array" ref="L141">_xlfn.XLOOKUP(1,('Case Pack'!A:A=C141)*('Case Pack'!F:F&lt;=A141),'Case Pack'!G:G,"未找到箱规")</f>
        <v>A</v>
      </c>
      <c r="M141" s="124" cm="1">
        <f t="array" ref="M141">_xlfn.XLOOKUP(1,('Case Pack'!A:A=C141)*('Case Pack'!F:F&lt;=A141),'Case Pack'!D:D,"未找到箱规")</f>
        <v>60</v>
      </c>
      <c r="N141" s="125">
        <f t="shared" si="4"/>
        <v>21</v>
      </c>
      <c r="O141" s="310">
        <f>_xlfn.XLOOKUP(L141,'Case Type'!A:A,'Case Type'!H:H)*N141</f>
        <v>2.31254247168</v>
      </c>
      <c r="P141" s="86" t="s">
        <v>162</v>
      </c>
      <c r="Q141" s="315" t="s">
        <v>163</v>
      </c>
      <c r="R141" s="86" t="s">
        <v>164</v>
      </c>
      <c r="S141" s="86">
        <f>_xlfn.XLOOKUP(C141,'Product List'!B:B,'Product List'!R:R)</f>
        <v>1.62</v>
      </c>
      <c r="T141" s="86">
        <f t="shared" si="5"/>
        <v>2041.2</v>
      </c>
      <c r="U141" s="86" t="s">
        <v>92</v>
      </c>
      <c r="V141" s="86"/>
    </row>
    <row r="142" customFormat="1" spans="1:22">
      <c r="A142" s="308">
        <v>46151</v>
      </c>
      <c r="B142" s="86" t="str">
        <f>_xlfn.XLOOKUP(C142,'Product List'!B:B,'Product List'!I:I)</f>
        <v>MMO-CAMP LUNCH BOX CHEW</v>
      </c>
      <c r="C142" s="135" t="s">
        <v>34</v>
      </c>
      <c r="D142" s="234">
        <f>VLOOKUP(C142,'Product List'!B:C,2,0)</f>
        <v>698746777012</v>
      </c>
      <c r="E142" s="201" t="s">
        <v>205</v>
      </c>
      <c r="F142" s="125">
        <v>216</v>
      </c>
      <c r="G142" s="309">
        <v>46182</v>
      </c>
      <c r="H142" s="309">
        <f>IF(P142="","",_xlfn.XLOOKUP(P142,'Shipment Control'!A:A,'Shipment Control'!I:I))</f>
        <v>46190</v>
      </c>
      <c r="I142" s="251">
        <f>IF(P142="",G142+30,_xlfn.XLOOKUP(P142,'Shipment Control'!A:A,'Shipment Control'!J:J))</f>
        <v>46204</v>
      </c>
      <c r="J142" s="251">
        <v>46218</v>
      </c>
      <c r="K142" s="309">
        <v>46269</v>
      </c>
      <c r="L142" s="124" t="str" cm="1">
        <f t="array" ref="L142">_xlfn.XLOOKUP(1,('Case Pack'!A:A=C142)*('Case Pack'!F:F&lt;=A142),'Case Pack'!G:G,"未找到箱规")</f>
        <v>B</v>
      </c>
      <c r="M142" s="124" cm="1">
        <f t="array" ref="M142">_xlfn.XLOOKUP(1,('Case Pack'!A:A=C142)*('Case Pack'!F:F&lt;=A142),'Case Pack'!D:D,"未找到箱规")</f>
        <v>72</v>
      </c>
      <c r="N142" s="125">
        <f t="shared" si="4"/>
        <v>3</v>
      </c>
      <c r="O142" s="310">
        <f>_xlfn.XLOOKUP(L142,'Case Type'!A:A,'Case Type'!H:H)*N142</f>
        <v>0.22024214016</v>
      </c>
      <c r="P142" s="277" t="s">
        <v>158</v>
      </c>
      <c r="Q142" s="321" t="s">
        <v>159</v>
      </c>
      <c r="R142" s="322"/>
      <c r="S142" s="86">
        <f>_xlfn.XLOOKUP(C142,'Product List'!B:B,'Product List'!R:R)</f>
        <v>1.59</v>
      </c>
      <c r="T142" s="86">
        <f t="shared" si="5"/>
        <v>343.44</v>
      </c>
      <c r="U142" s="86" t="s">
        <v>92</v>
      </c>
      <c r="V142" s="86"/>
    </row>
    <row r="143" customFormat="1" spans="1:22">
      <c r="A143" s="308">
        <v>46151</v>
      </c>
      <c r="B143" s="86" t="str">
        <f>_xlfn.XLOOKUP(C143,'Product List'!B:B,'Product List'!I:I)</f>
        <v>MMO-CAMP LUNCH BOX CHEW</v>
      </c>
      <c r="C143" s="135" t="s">
        <v>34</v>
      </c>
      <c r="D143" s="234">
        <f>VLOOKUP(C143,'Product List'!B:C,2,0)</f>
        <v>698746777012</v>
      </c>
      <c r="E143" s="201" t="s">
        <v>205</v>
      </c>
      <c r="F143" s="125">
        <v>1008</v>
      </c>
      <c r="G143" s="309">
        <v>46182</v>
      </c>
      <c r="H143" s="309">
        <f>IF(P143="","",_xlfn.XLOOKUP(P143,'Shipment Control'!A:A,'Shipment Control'!I:I))</f>
        <v>46190</v>
      </c>
      <c r="I143" s="251">
        <f>IF(P143="",G143+30,_xlfn.XLOOKUP(P143,'Shipment Control'!A:A,'Shipment Control'!J:J))</f>
        <v>46204</v>
      </c>
      <c r="J143" s="251">
        <v>46224</v>
      </c>
      <c r="K143" s="309">
        <v>46269</v>
      </c>
      <c r="L143" s="124" t="str" cm="1">
        <f t="array" ref="L143">_xlfn.XLOOKUP(1,('Case Pack'!A:A=C143)*('Case Pack'!F:F&lt;=A143),'Case Pack'!G:G,"未找到箱规")</f>
        <v>B</v>
      </c>
      <c r="M143" s="124" cm="1">
        <f t="array" ref="M143">_xlfn.XLOOKUP(1,('Case Pack'!A:A=C143)*('Case Pack'!F:F&lt;=A143),'Case Pack'!D:D,"未找到箱规")</f>
        <v>72</v>
      </c>
      <c r="N143" s="125">
        <f t="shared" si="4"/>
        <v>14</v>
      </c>
      <c r="O143" s="310">
        <f>_xlfn.XLOOKUP(L143,'Case Type'!A:A,'Case Type'!H:H)*N143</f>
        <v>1.02779665408</v>
      </c>
      <c r="P143" s="277" t="s">
        <v>160</v>
      </c>
      <c r="Q143" s="321" t="s">
        <v>159</v>
      </c>
      <c r="R143" s="322"/>
      <c r="S143" s="86">
        <f>_xlfn.XLOOKUP(C143,'Product List'!B:B,'Product List'!R:R)</f>
        <v>1.59</v>
      </c>
      <c r="T143" s="86">
        <f t="shared" si="5"/>
        <v>1602.72</v>
      </c>
      <c r="U143" s="86" t="s">
        <v>92</v>
      </c>
      <c r="V143" s="86"/>
    </row>
    <row r="144" customFormat="1" spans="1:22">
      <c r="A144" s="308">
        <v>46151</v>
      </c>
      <c r="B144" s="86" t="str">
        <f>_xlfn.XLOOKUP(C144,'Product List'!B:B,'Product List'!I:I)</f>
        <v>Mushroom Spiral Staircase</v>
      </c>
      <c r="C144" s="135" t="s">
        <v>46</v>
      </c>
      <c r="D144" s="234">
        <f>VLOOKUP(C144,'Product List'!B:C,2,0)</f>
        <v>698746777029</v>
      </c>
      <c r="E144" s="135" t="s">
        <v>205</v>
      </c>
      <c r="F144" s="125">
        <v>720</v>
      </c>
      <c r="G144" s="309">
        <v>46213</v>
      </c>
      <c r="H144" s="309">
        <f>IF(P144="","",_xlfn.XLOOKUP(P144,'Shipment Control'!A:A,'Shipment Control'!I:I))</f>
        <v>46218</v>
      </c>
      <c r="I144" s="251">
        <f>IF(P144="",G144+30,_xlfn.XLOOKUP(P144,'Shipment Control'!A:A,'Shipment Control'!J:J))</f>
        <v>46248</v>
      </c>
      <c r="J144" s="251">
        <v>46253</v>
      </c>
      <c r="K144" s="309">
        <v>46269</v>
      </c>
      <c r="L144" s="124" t="str" cm="1">
        <f t="array" ref="L144">_xlfn.XLOOKUP(1,('Case Pack'!A:A=C144)*('Case Pack'!F:F&lt;=A144),'Case Pack'!G:G,"未找到箱规")</f>
        <v>B</v>
      </c>
      <c r="M144" s="124" cm="1">
        <f t="array" ref="M144">_xlfn.XLOOKUP(1,('Case Pack'!A:A=C144)*('Case Pack'!F:F&lt;=A144),'Case Pack'!D:D,"未找到箱规")</f>
        <v>72</v>
      </c>
      <c r="N144" s="125">
        <f t="shared" si="4"/>
        <v>10</v>
      </c>
      <c r="O144" s="310">
        <f>_xlfn.XLOOKUP(L144,'Case Type'!A:A,'Case Type'!H:H)*N144</f>
        <v>0.7341404672</v>
      </c>
      <c r="P144" s="124" t="s">
        <v>171</v>
      </c>
      <c r="Q144" s="86" t="s">
        <v>172</v>
      </c>
      <c r="R144" s="124" t="s">
        <v>173</v>
      </c>
      <c r="S144" s="86">
        <f>_xlfn.XLOOKUP(C144,'Product List'!B:B,'Product List'!R:R)</f>
        <v>1.42</v>
      </c>
      <c r="T144" s="86">
        <f t="shared" si="5"/>
        <v>1022.4</v>
      </c>
      <c r="U144" s="86" t="s">
        <v>92</v>
      </c>
      <c r="V144" s="86"/>
    </row>
    <row r="145" customFormat="1" spans="1:22">
      <c r="A145" s="308">
        <v>46151</v>
      </c>
      <c r="B145" s="86" t="str">
        <f>_xlfn.XLOOKUP(C145,'Product List'!B:B,'Product List'!I:I)</f>
        <v>Paper twist brown / white bedding</v>
      </c>
      <c r="C145" s="135" t="s">
        <v>70</v>
      </c>
      <c r="D145" s="234">
        <f>VLOOKUP(C145,'Product List'!B:C,2,0)</f>
        <v>698746777050</v>
      </c>
      <c r="E145" s="201" t="s">
        <v>205</v>
      </c>
      <c r="F145" s="125">
        <v>1260</v>
      </c>
      <c r="G145" s="309">
        <v>46189</v>
      </c>
      <c r="H145" s="309">
        <f>IF(P145="","",_xlfn.XLOOKUP(P145,'Shipment Control'!A:A,'Shipment Control'!I:I))</f>
        <v>46194</v>
      </c>
      <c r="I145" s="251">
        <f>IF(P145="",G145+30,_xlfn.XLOOKUP(P145,'Shipment Control'!A:A,'Shipment Control'!J:J))</f>
        <v>46212</v>
      </c>
      <c r="J145" s="251">
        <v>46224</v>
      </c>
      <c r="K145" s="309">
        <v>46269</v>
      </c>
      <c r="L145" s="124" t="str" cm="1">
        <f t="array" ref="L145">_xlfn.XLOOKUP(1,('Case Pack'!A:A=C145)*('Case Pack'!F:F&lt;=A145),'Case Pack'!G:G,"未找到箱规")</f>
        <v>A</v>
      </c>
      <c r="M145" s="124" cm="1">
        <f t="array" ref="M145">_xlfn.XLOOKUP(1,('Case Pack'!A:A=C145)*('Case Pack'!F:F&lt;=A145),'Case Pack'!D:D,"未找到箱规")</f>
        <v>30</v>
      </c>
      <c r="N145" s="125">
        <f t="shared" si="4"/>
        <v>42</v>
      </c>
      <c r="O145" s="310">
        <f>_xlfn.XLOOKUP(L145,'Case Type'!A:A,'Case Type'!H:H)*N145</f>
        <v>4.62508494336</v>
      </c>
      <c r="P145" s="86" t="s">
        <v>190</v>
      </c>
      <c r="Q145" s="86" t="s">
        <v>191</v>
      </c>
      <c r="R145" s="86" t="s">
        <v>192</v>
      </c>
      <c r="S145" s="86">
        <f>_xlfn.XLOOKUP(C145,'Product List'!B:B,'Product List'!R:R)</f>
        <v>1.98</v>
      </c>
      <c r="T145" s="86">
        <f t="shared" si="5"/>
        <v>2494.8</v>
      </c>
      <c r="U145" s="86" t="s">
        <v>92</v>
      </c>
      <c r="V145" s="86"/>
    </row>
    <row r="146" customFormat="1" spans="1:22">
      <c r="A146" s="308">
        <v>46151</v>
      </c>
      <c r="B146" s="86" t="str">
        <f>_xlfn.XLOOKUP(C146,'Product List'!B:B,'Product List'!I:I)</f>
        <v>Cotton multi color bedding</v>
      </c>
      <c r="C146" s="135" t="s">
        <v>85</v>
      </c>
      <c r="D146" s="234">
        <f>VLOOKUP(C146,'Product List'!B:C,2,0)</f>
        <v>698746777067</v>
      </c>
      <c r="E146" s="201" t="s">
        <v>205</v>
      </c>
      <c r="F146" s="125">
        <v>1280</v>
      </c>
      <c r="G146" s="309">
        <v>46189</v>
      </c>
      <c r="H146" s="309">
        <f>IF(P146="","",_xlfn.XLOOKUP(P146,'Shipment Control'!A:A,'Shipment Control'!I:I))</f>
        <v>46194</v>
      </c>
      <c r="I146" s="251">
        <f>IF(P146="",G146+30,_xlfn.XLOOKUP(P146,'Shipment Control'!A:A,'Shipment Control'!J:J))</f>
        <v>46212</v>
      </c>
      <c r="J146" s="251">
        <v>46224</v>
      </c>
      <c r="K146" s="309">
        <v>46269</v>
      </c>
      <c r="L146" s="124" t="str" cm="1">
        <f t="array" ref="L146">_xlfn.XLOOKUP(1,('Case Pack'!A:A=C146)*('Case Pack'!F:F&lt;=A146),'Case Pack'!G:G,"未找到箱规")</f>
        <v>A</v>
      </c>
      <c r="M146" s="124" cm="1">
        <f t="array" ref="M146">_xlfn.XLOOKUP(1,('Case Pack'!A:A=C146)*('Case Pack'!F:F&lt;=A146),'Case Pack'!D:D,"未找到箱规")</f>
        <v>32</v>
      </c>
      <c r="N146" s="125">
        <f t="shared" si="4"/>
        <v>40</v>
      </c>
      <c r="O146" s="310">
        <f>_xlfn.XLOOKUP(L146,'Case Type'!A:A,'Case Type'!H:H)*N146</f>
        <v>4.4048428032</v>
      </c>
      <c r="P146" s="86" t="s">
        <v>190</v>
      </c>
      <c r="Q146" s="86" t="s">
        <v>191</v>
      </c>
      <c r="R146" s="86" t="s">
        <v>192</v>
      </c>
      <c r="S146" s="86">
        <f>_xlfn.XLOOKUP(C146,'Product List'!B:B,'Product List'!R:R)</f>
        <v>1.64</v>
      </c>
      <c r="T146" s="86">
        <f t="shared" si="5"/>
        <v>2099.2</v>
      </c>
      <c r="U146" s="86" t="s">
        <v>92</v>
      </c>
      <c r="V146" s="86"/>
    </row>
    <row r="147" customFormat="1" spans="1:22">
      <c r="A147" s="308">
        <v>46151</v>
      </c>
      <c r="B147" s="86" t="str">
        <f>_xlfn.XLOOKUP(C147,'Product List'!B:B,'Product List'!I:I)</f>
        <v>MMO-GREEN APPLE CHEW</v>
      </c>
      <c r="C147" s="135" t="s">
        <v>33</v>
      </c>
      <c r="D147" s="234">
        <f>VLOOKUP(C147,'Product List'!B:C,2,0)</f>
        <v>698746777081</v>
      </c>
      <c r="E147" s="201" t="s">
        <v>205</v>
      </c>
      <c r="F147" s="125">
        <v>1248</v>
      </c>
      <c r="G147" s="309">
        <v>46182</v>
      </c>
      <c r="H147" s="309">
        <f>IF(P147="","",_xlfn.XLOOKUP(P147,'Shipment Control'!A:A,'Shipment Control'!I:I))</f>
        <v>46190</v>
      </c>
      <c r="I147" s="251">
        <f>IF(P147="",G147+30,_xlfn.XLOOKUP(P147,'Shipment Control'!A:A,'Shipment Control'!J:J))</f>
        <v>46204</v>
      </c>
      <c r="J147" s="251">
        <v>46218</v>
      </c>
      <c r="K147" s="309">
        <v>46269</v>
      </c>
      <c r="L147" s="124" t="str" cm="1">
        <f t="array" ref="L147">_xlfn.XLOOKUP(1,('Case Pack'!A:A=C147)*('Case Pack'!F:F&lt;=A147),'Case Pack'!G:G,"未找到箱规")</f>
        <v>B</v>
      </c>
      <c r="M147" s="124" cm="1">
        <f t="array" ref="M147">_xlfn.XLOOKUP(1,('Case Pack'!A:A=C147)*('Case Pack'!F:F&lt;=A147),'Case Pack'!D:D,"未找到箱规")</f>
        <v>48</v>
      </c>
      <c r="N147" s="125">
        <f t="shared" si="4"/>
        <v>26</v>
      </c>
      <c r="O147" s="310">
        <f>_xlfn.XLOOKUP(L147,'Case Type'!A:A,'Case Type'!H:H)*N147</f>
        <v>1.90876521472</v>
      </c>
      <c r="P147" s="277" t="s">
        <v>158</v>
      </c>
      <c r="Q147" s="312" t="s">
        <v>159</v>
      </c>
      <c r="R147" s="313"/>
      <c r="S147" s="86">
        <f>_xlfn.XLOOKUP(C147,'Product List'!B:B,'Product List'!R:R)</f>
        <v>1.04</v>
      </c>
      <c r="T147" s="86">
        <f t="shared" si="5"/>
        <v>1297.92</v>
      </c>
      <c r="U147" s="86" t="s">
        <v>92</v>
      </c>
      <c r="V147" s="86"/>
    </row>
    <row r="148" customFormat="1" spans="1:22">
      <c r="A148" s="308">
        <v>46151</v>
      </c>
      <c r="B148" s="86" t="str">
        <f>_xlfn.XLOOKUP(C148,'Product List'!B:B,'Product List'!I:I)</f>
        <v>MINI/MOE SMALL ANIMAL BEDDING PAPER PEBBLES PSTCH/CREAM 1EA</v>
      </c>
      <c r="C148" s="135" t="s">
        <v>31</v>
      </c>
      <c r="D148" s="234">
        <f>VLOOKUP(C148,'Product List'!B:C,2,0)</f>
        <v>698746777180</v>
      </c>
      <c r="E148" s="201" t="s">
        <v>205</v>
      </c>
      <c r="F148" s="125">
        <v>1260</v>
      </c>
      <c r="G148" s="309">
        <v>46189</v>
      </c>
      <c r="H148" s="309">
        <f>IF(P148="","",_xlfn.XLOOKUP(P148,'Shipment Control'!A:A,'Shipment Control'!I:I))</f>
        <v>46194</v>
      </c>
      <c r="I148" s="251">
        <f>IF(P148="",G148+30,_xlfn.XLOOKUP(P148,'Shipment Control'!A:A,'Shipment Control'!J:J))</f>
        <v>46212</v>
      </c>
      <c r="J148" s="251">
        <v>46223</v>
      </c>
      <c r="K148" s="309">
        <v>46269</v>
      </c>
      <c r="L148" s="124" t="str" cm="1">
        <f t="array" ref="L148">_xlfn.XLOOKUP(1,('Case Pack'!A:A=C148)*('Case Pack'!F:F&lt;=A148),'Case Pack'!G:G,"未找到箱规")</f>
        <v>A</v>
      </c>
      <c r="M148" s="124" cm="1">
        <f t="array" ref="M148">_xlfn.XLOOKUP(1,('Case Pack'!A:A=C148)*('Case Pack'!F:F&lt;=A148),'Case Pack'!D:D,"未找到箱规")</f>
        <v>30</v>
      </c>
      <c r="N148" s="125">
        <f t="shared" si="4"/>
        <v>42</v>
      </c>
      <c r="O148" s="310">
        <f>_xlfn.XLOOKUP(L148,'Case Type'!A:A,'Case Type'!H:H)*N148</f>
        <v>4.62508494336</v>
      </c>
      <c r="P148" s="86" t="s">
        <v>162</v>
      </c>
      <c r="Q148" s="315" t="s">
        <v>163</v>
      </c>
      <c r="R148" s="86" t="s">
        <v>164</v>
      </c>
      <c r="S148" s="86">
        <f>_xlfn.XLOOKUP(C148,'Product List'!B:B,'Product List'!R:R)</f>
        <v>1.99</v>
      </c>
      <c r="T148" s="86">
        <f t="shared" si="5"/>
        <v>2507.4</v>
      </c>
      <c r="U148" s="86" t="s">
        <v>92</v>
      </c>
      <c r="V148" s="86"/>
    </row>
    <row r="149" customFormat="1" spans="1:22">
      <c r="A149" s="308">
        <v>46151</v>
      </c>
      <c r="B149" s="86" t="str">
        <f>_xlfn.XLOOKUP(C149,'Product List'!B:B,'Product List'!I:I)</f>
        <v>MINI/MOE SMALL ANIMAL BEDDING PAPER TWISTS BUBBLEGUM 1EA</v>
      </c>
      <c r="C149" s="135" t="s">
        <v>71</v>
      </c>
      <c r="D149" s="234">
        <f>VLOOKUP(C149,'Product List'!B:C,2,0)</f>
        <v>850081655015</v>
      </c>
      <c r="E149" s="201" t="s">
        <v>205</v>
      </c>
      <c r="F149" s="125">
        <v>1260</v>
      </c>
      <c r="G149" s="309">
        <v>46189</v>
      </c>
      <c r="H149" s="309">
        <f>IF(P149="","",_xlfn.XLOOKUP(P149,'Shipment Control'!A:A,'Shipment Control'!I:I))</f>
        <v>46194</v>
      </c>
      <c r="I149" s="251">
        <f>IF(P149="",G149+30,_xlfn.XLOOKUP(P149,'Shipment Control'!A:A,'Shipment Control'!J:J))</f>
        <v>46212</v>
      </c>
      <c r="J149" s="251">
        <v>46223</v>
      </c>
      <c r="K149" s="309">
        <v>46269</v>
      </c>
      <c r="L149" s="124" t="str" cm="1">
        <f t="array" ref="L149">_xlfn.XLOOKUP(1,('Case Pack'!A:A=C149)*('Case Pack'!F:F&lt;=A149),'Case Pack'!G:G,"未找到箱规")</f>
        <v>A</v>
      </c>
      <c r="M149" s="124" cm="1">
        <f t="array" ref="M149">_xlfn.XLOOKUP(1,('Case Pack'!A:A=C149)*('Case Pack'!F:F&lt;=A149),'Case Pack'!D:D,"未找到箱规")</f>
        <v>30</v>
      </c>
      <c r="N149" s="125">
        <f t="shared" si="4"/>
        <v>42</v>
      </c>
      <c r="O149" s="310">
        <f>_xlfn.XLOOKUP(L149,'Case Type'!A:A,'Case Type'!H:H)*N149</f>
        <v>4.62508494336</v>
      </c>
      <c r="P149" s="86" t="s">
        <v>162</v>
      </c>
      <c r="Q149" s="315" t="s">
        <v>163</v>
      </c>
      <c r="R149" s="86" t="s">
        <v>164</v>
      </c>
      <c r="S149" s="86">
        <f>_xlfn.XLOOKUP(C149,'Product List'!B:B,'Product List'!R:R)</f>
        <v>1.98</v>
      </c>
      <c r="T149" s="86">
        <f t="shared" si="5"/>
        <v>2494.8</v>
      </c>
      <c r="U149" s="86" t="s">
        <v>92</v>
      </c>
      <c r="V149" s="86"/>
    </row>
    <row r="150" customFormat="1" spans="1:22">
      <c r="A150" s="308">
        <v>46151</v>
      </c>
      <c r="B150" s="86" t="str">
        <f>_xlfn.XLOOKUP(C150,'Product List'!B:B,'Product List'!I:I)</f>
        <v>MINI/MOE SMALL ANIMAL BEDDING PAPER FLK XMAS CRAN/MATCHA 1EA</v>
      </c>
      <c r="C150" s="135" t="s">
        <v>88</v>
      </c>
      <c r="D150" s="234">
        <f>VLOOKUP(C150,'Product List'!B:C,2,0)</f>
        <v>698746777203</v>
      </c>
      <c r="E150" s="201" t="s">
        <v>205</v>
      </c>
      <c r="F150" s="125">
        <v>1008</v>
      </c>
      <c r="G150" s="309">
        <v>46189</v>
      </c>
      <c r="H150" s="309">
        <f>IF(P150="","",_xlfn.XLOOKUP(P150,'Shipment Control'!A:A,'Shipment Control'!I:I))</f>
        <v>46194</v>
      </c>
      <c r="I150" s="251">
        <f>IF(P150="",G150+30,_xlfn.XLOOKUP(P150,'Shipment Control'!A:A,'Shipment Control'!J:J))</f>
        <v>46212</v>
      </c>
      <c r="J150" s="251">
        <v>46224</v>
      </c>
      <c r="K150" s="309">
        <v>46269</v>
      </c>
      <c r="L150" s="124" t="str" cm="1">
        <f t="array" ref="L150">_xlfn.XLOOKUP(1,('Case Pack'!A:A=C150)*('Case Pack'!F:F&lt;=A150),'Case Pack'!G:G,"未找到箱规")</f>
        <v>C</v>
      </c>
      <c r="M150" s="124" cm="1">
        <f t="array" ref="M150">_xlfn.XLOOKUP(1,('Case Pack'!A:A=C150)*('Case Pack'!F:F&lt;=A150),'Case Pack'!D:D,"未找到箱规")</f>
        <v>14</v>
      </c>
      <c r="N150" s="125">
        <f t="shared" si="4"/>
        <v>72</v>
      </c>
      <c r="O150" s="310">
        <f>_xlfn.XLOOKUP(L150,'Case Type'!A:A,'Case Type'!H:H)*N150</f>
        <v>11.3267386368</v>
      </c>
      <c r="P150" s="86" t="s">
        <v>190</v>
      </c>
      <c r="Q150" s="86" t="s">
        <v>191</v>
      </c>
      <c r="R150" s="86" t="s">
        <v>192</v>
      </c>
      <c r="S150" s="86">
        <f>_xlfn.XLOOKUP(C150,'Product List'!B:B,'Product List'!R:R)</f>
        <v>4.79</v>
      </c>
      <c r="T150" s="86">
        <f t="shared" si="5"/>
        <v>4828.32</v>
      </c>
      <c r="U150" s="86" t="s">
        <v>92</v>
      </c>
      <c r="V150" s="86"/>
    </row>
    <row r="151" customFormat="1" spans="1:22">
      <c r="A151" s="308">
        <v>46151</v>
      </c>
      <c r="B151" s="86" t="str">
        <f>_xlfn.XLOOKUP(C151,'Product List'!B:B,'Product List'!I:I)</f>
        <v>MINI/MOE SMALL ANIMAL BEDDING PAPER FLK XMAS CRAN/MATCHA 1EA</v>
      </c>
      <c r="C151" s="135" t="s">
        <v>88</v>
      </c>
      <c r="D151" s="234">
        <f>VLOOKUP(C151,'Product List'!B:C,2,0)</f>
        <v>698746777203</v>
      </c>
      <c r="E151" s="201" t="s">
        <v>205</v>
      </c>
      <c r="F151" s="125">
        <v>252</v>
      </c>
      <c r="G151" s="309">
        <v>46189</v>
      </c>
      <c r="H151" s="309">
        <f>IF(P151="","",_xlfn.XLOOKUP(P151,'Shipment Control'!A:A,'Shipment Control'!I:I))</f>
        <v>46194</v>
      </c>
      <c r="I151" s="251">
        <f>IF(P151="",G151+30,_xlfn.XLOOKUP(P151,'Shipment Control'!A:A,'Shipment Control'!J:J))</f>
        <v>46212</v>
      </c>
      <c r="J151" s="251">
        <v>46218</v>
      </c>
      <c r="K151" s="309">
        <v>46269</v>
      </c>
      <c r="L151" s="124" t="str" cm="1">
        <f t="array" ref="L151">_xlfn.XLOOKUP(1,('Case Pack'!A:A=C151)*('Case Pack'!F:F&lt;=A151),'Case Pack'!G:G,"未找到箱规")</f>
        <v>C</v>
      </c>
      <c r="M151" s="124" cm="1">
        <f t="array" ref="M151">_xlfn.XLOOKUP(1,('Case Pack'!A:A=C151)*('Case Pack'!F:F&lt;=A151),'Case Pack'!D:D,"未找到箱规")</f>
        <v>14</v>
      </c>
      <c r="N151" s="125">
        <f t="shared" si="4"/>
        <v>18</v>
      </c>
      <c r="O151" s="310">
        <f>_xlfn.XLOOKUP(L151,'Case Type'!A:A,'Case Type'!H:H)*N151</f>
        <v>2.8316846592</v>
      </c>
      <c r="P151" s="86" t="s">
        <v>180</v>
      </c>
      <c r="Q151" s="315" t="s">
        <v>181</v>
      </c>
      <c r="R151" s="86" t="s">
        <v>182</v>
      </c>
      <c r="S151" s="86">
        <f>_xlfn.XLOOKUP(C151,'Product List'!B:B,'Product List'!R:R)</f>
        <v>4.79</v>
      </c>
      <c r="T151" s="86">
        <f t="shared" si="5"/>
        <v>1207.08</v>
      </c>
      <c r="U151" s="86" t="s">
        <v>92</v>
      </c>
      <c r="V151" s="86"/>
    </row>
    <row r="152" customFormat="1" spans="1:22">
      <c r="A152" s="308">
        <v>46151</v>
      </c>
      <c r="B152" s="86" t="str">
        <f>_xlfn.XLOOKUP(C152,'Product List'!B:B,'Product List'!I:I)</f>
        <v>MINI/MOE SMALL ANIMAL BEDDING PAPER PEBBLES PSTCH/CREAM 1EA</v>
      </c>
      <c r="C152" s="135" t="s">
        <v>82</v>
      </c>
      <c r="D152" s="234">
        <f>VLOOKUP(C152,'Product List'!B:C,2,0)</f>
        <v>698746777500</v>
      </c>
      <c r="E152" s="201" t="s">
        <v>205</v>
      </c>
      <c r="F152" s="125">
        <v>1248</v>
      </c>
      <c r="G152" s="309">
        <v>46189</v>
      </c>
      <c r="H152" s="309">
        <f>IF(P152="","",_xlfn.XLOOKUP(P152,'Shipment Control'!A:A,'Shipment Control'!I:I))</f>
        <v>46194</v>
      </c>
      <c r="I152" s="251">
        <f>IF(P152="",G152+30,_xlfn.XLOOKUP(P152,'Shipment Control'!A:A,'Shipment Control'!J:J))</f>
        <v>46212</v>
      </c>
      <c r="J152" s="251">
        <v>46218</v>
      </c>
      <c r="K152" s="309">
        <v>46269</v>
      </c>
      <c r="L152" s="124" t="str" cm="1">
        <f t="array" ref="L152">_xlfn.XLOOKUP(1,('Case Pack'!A:A=C152)*('Case Pack'!F:F&lt;=A152),'Case Pack'!G:G,"未找到箱规")</f>
        <v>B</v>
      </c>
      <c r="M152" s="124" cm="1">
        <f t="array" ref="M152">_xlfn.XLOOKUP(1,('Case Pack'!A:A=C152)*('Case Pack'!F:F&lt;=A152),'Case Pack'!D:D,"未找到箱规")</f>
        <v>12</v>
      </c>
      <c r="N152" s="125">
        <f t="shared" si="4"/>
        <v>104</v>
      </c>
      <c r="O152" s="310">
        <f>_xlfn.XLOOKUP(L152,'Case Type'!A:A,'Case Type'!H:H)*N152</f>
        <v>7.63506085888</v>
      </c>
      <c r="P152" s="86" t="s">
        <v>180</v>
      </c>
      <c r="Q152" s="315" t="s">
        <v>181</v>
      </c>
      <c r="R152" s="86" t="s">
        <v>182</v>
      </c>
      <c r="S152" s="86">
        <f>_xlfn.XLOOKUP(C152,'Product List'!B:B,'Product List'!R:R)</f>
        <v>2.84</v>
      </c>
      <c r="T152" s="86">
        <f t="shared" si="5"/>
        <v>3544.32</v>
      </c>
      <c r="U152" s="86" t="s">
        <v>92</v>
      </c>
      <c r="V152" s="86"/>
    </row>
    <row r="153" customFormat="1" spans="1:22">
      <c r="A153" s="308">
        <v>46151</v>
      </c>
      <c r="B153" s="86" t="str">
        <f>_xlfn.XLOOKUP(C153,'Product List'!B:B,'Product List'!I:I)</f>
        <v>MMO-BUBBLE WATER BOTTLE</v>
      </c>
      <c r="C153" s="135" t="s">
        <v>67</v>
      </c>
      <c r="D153" s="234">
        <f>VLOOKUP(C153,'Product List'!B:C,2,0)</f>
        <v>760762456971</v>
      </c>
      <c r="E153" s="201" t="s">
        <v>205</v>
      </c>
      <c r="F153" s="125">
        <v>1260</v>
      </c>
      <c r="G153" s="309">
        <v>46189</v>
      </c>
      <c r="H153" s="309">
        <f>IF(P153="","",_xlfn.XLOOKUP(P153,'Shipment Control'!A:A,'Shipment Control'!I:I))</f>
        <v>46194</v>
      </c>
      <c r="I153" s="251">
        <f>IF(P153="",G153+30,_xlfn.XLOOKUP(P153,'Shipment Control'!A:A,'Shipment Control'!J:J))</f>
        <v>46212</v>
      </c>
      <c r="J153" s="251">
        <v>46218</v>
      </c>
      <c r="K153" s="309">
        <v>46269</v>
      </c>
      <c r="L153" s="124" t="str" cm="1">
        <f t="array" ref="L153">_xlfn.XLOOKUP(1,('Case Pack'!A:A=C153)*('Case Pack'!F:F&lt;=A153),'Case Pack'!G:G,"未找到箱规")</f>
        <v>C</v>
      </c>
      <c r="M153" s="124" cm="1">
        <f t="array" ref="M153">_xlfn.XLOOKUP(1,('Case Pack'!A:A=C153)*('Case Pack'!F:F&lt;=A153),'Case Pack'!D:D,"未找到箱规")</f>
        <v>42</v>
      </c>
      <c r="N153" s="125">
        <f t="shared" si="4"/>
        <v>30</v>
      </c>
      <c r="O153" s="310">
        <f>_xlfn.XLOOKUP(L153,'Case Type'!A:A,'Case Type'!H:H)*N153</f>
        <v>4.719474432</v>
      </c>
      <c r="P153" s="86" t="s">
        <v>180</v>
      </c>
      <c r="Q153" s="315" t="s">
        <v>181</v>
      </c>
      <c r="R153" s="86" t="s">
        <v>182</v>
      </c>
      <c r="S153" s="86">
        <f>_xlfn.XLOOKUP(C153,'Product List'!B:B,'Product List'!R:R)</f>
        <v>3.1</v>
      </c>
      <c r="T153" s="86">
        <f t="shared" si="5"/>
        <v>3906</v>
      </c>
      <c r="U153" s="86" t="s">
        <v>92</v>
      </c>
      <c r="V153" s="86"/>
    </row>
    <row r="154" customFormat="1" spans="1:22">
      <c r="A154" s="308">
        <v>46151</v>
      </c>
      <c r="B154" s="86" t="str">
        <f>_xlfn.XLOOKUP(C154,'Product List'!B:B,'Product List'!I:I)</f>
        <v>MINI/MOE MUSHROOM LADDER 1EA</v>
      </c>
      <c r="C154" s="135" t="s">
        <v>40</v>
      </c>
      <c r="D154" s="234">
        <f>VLOOKUP(C154,'Product List'!B:C,2,0)</f>
        <v>760762456995</v>
      </c>
      <c r="E154" s="135" t="s">
        <v>205</v>
      </c>
      <c r="F154" s="125">
        <v>1260</v>
      </c>
      <c r="G154" s="309">
        <v>46213</v>
      </c>
      <c r="H154" s="309">
        <f>IF(P154="","",_xlfn.XLOOKUP(P154,'Shipment Control'!A:A,'Shipment Control'!I:I))</f>
        <v>46218</v>
      </c>
      <c r="I154" s="251">
        <f>IF(P154="",G154+30,_xlfn.XLOOKUP(P154,'Shipment Control'!A:A,'Shipment Control'!J:J))</f>
        <v>46248</v>
      </c>
      <c r="J154" s="251">
        <v>46253</v>
      </c>
      <c r="K154" s="309">
        <v>46269</v>
      </c>
      <c r="L154" s="124" t="str" cm="1">
        <f t="array" ref="L154">_xlfn.XLOOKUP(1,('Case Pack'!A:A=C154)*('Case Pack'!F:F&lt;=A154),'Case Pack'!G:G,"未找到箱规")</f>
        <v>C</v>
      </c>
      <c r="M154" s="124" cm="1">
        <f t="array" ref="M154">_xlfn.XLOOKUP(1,('Case Pack'!A:A=C154)*('Case Pack'!F:F&lt;=A154),'Case Pack'!D:D,"未找到箱规")</f>
        <v>30</v>
      </c>
      <c r="N154" s="125">
        <f t="shared" si="4"/>
        <v>42</v>
      </c>
      <c r="O154" s="310">
        <f>_xlfn.XLOOKUP(L154,'Case Type'!A:A,'Case Type'!H:H)*N154</f>
        <v>6.6072642048</v>
      </c>
      <c r="P154" s="124" t="s">
        <v>171</v>
      </c>
      <c r="Q154" s="86" t="s">
        <v>172</v>
      </c>
      <c r="R154" s="124" t="s">
        <v>173</v>
      </c>
      <c r="S154" s="86">
        <f>_xlfn.XLOOKUP(C154,'Product List'!B:B,'Product List'!R:R)</f>
        <v>2.2</v>
      </c>
      <c r="T154" s="86">
        <f t="shared" si="5"/>
        <v>2772</v>
      </c>
      <c r="U154" s="86" t="s">
        <v>92</v>
      </c>
      <c r="V154" s="86"/>
    </row>
    <row r="155" customFormat="1" spans="1:22">
      <c r="A155" s="308">
        <v>46151</v>
      </c>
      <c r="B155" s="86" t="str">
        <f>_xlfn.XLOOKUP(C155,'Product List'!B:B,'Product List'!I:I)</f>
        <v>MINI/MOE FISHBONE BRIDGE 1EA</v>
      </c>
      <c r="C155" s="135" t="s">
        <v>42</v>
      </c>
      <c r="D155" s="234">
        <f>VLOOKUP(C155,'Product List'!B:C,2,0)</f>
        <v>760762457039</v>
      </c>
      <c r="E155" s="135" t="s">
        <v>205</v>
      </c>
      <c r="F155" s="125">
        <v>1260</v>
      </c>
      <c r="G155" s="309">
        <v>46213</v>
      </c>
      <c r="H155" s="309">
        <f>IF(P155="","",_xlfn.XLOOKUP(P155,'Shipment Control'!A:A,'Shipment Control'!I:I))</f>
        <v>46218</v>
      </c>
      <c r="I155" s="251">
        <f>IF(P155="",G155+30,_xlfn.XLOOKUP(P155,'Shipment Control'!A:A,'Shipment Control'!J:J))</f>
        <v>46248</v>
      </c>
      <c r="J155" s="251">
        <v>46253</v>
      </c>
      <c r="K155" s="309">
        <v>46269</v>
      </c>
      <c r="L155" s="124" t="str" cm="1">
        <f t="array" ref="L155">_xlfn.XLOOKUP(1,('Case Pack'!A:A=C155)*('Case Pack'!F:F&lt;=A155),'Case Pack'!G:G,"未找到箱规")</f>
        <v>B</v>
      </c>
      <c r="M155" s="124" cm="1">
        <f t="array" ref="M155">_xlfn.XLOOKUP(1,('Case Pack'!A:A=C155)*('Case Pack'!F:F&lt;=A155),'Case Pack'!D:D,"未找到箱规")</f>
        <v>30</v>
      </c>
      <c r="N155" s="125">
        <f t="shared" si="4"/>
        <v>42</v>
      </c>
      <c r="O155" s="310">
        <f>_xlfn.XLOOKUP(L155,'Case Type'!A:A,'Case Type'!H:H)*N155</f>
        <v>3.08338996224</v>
      </c>
      <c r="P155" s="124" t="s">
        <v>171</v>
      </c>
      <c r="Q155" s="86" t="s">
        <v>172</v>
      </c>
      <c r="R155" s="124" t="s">
        <v>173</v>
      </c>
      <c r="S155" s="86">
        <f>_xlfn.XLOOKUP(C155,'Product List'!B:B,'Product List'!R:R)</f>
        <v>1.45</v>
      </c>
      <c r="T155" s="86">
        <f t="shared" si="5"/>
        <v>1827</v>
      </c>
      <c r="U155" s="86" t="s">
        <v>92</v>
      </c>
      <c r="V155" s="86"/>
    </row>
    <row r="156" customFormat="1" spans="1:22">
      <c r="A156" s="308">
        <v>46151</v>
      </c>
      <c r="B156" s="86" t="str">
        <f>_xlfn.XLOOKUP(C156,'Product List'!B:B,'Product List'!I:I)</f>
        <v>Ceramic Candy Bowl</v>
      </c>
      <c r="C156" s="135" t="s">
        <v>38</v>
      </c>
      <c r="D156" s="234">
        <f>VLOOKUP(C156,'Product List'!B:C,2,0)</f>
        <v>850030338174</v>
      </c>
      <c r="E156" s="135" t="s">
        <v>205</v>
      </c>
      <c r="F156" s="125">
        <v>1248</v>
      </c>
      <c r="G156" s="309">
        <v>46189</v>
      </c>
      <c r="H156" s="309">
        <f>IF(P156="","",_xlfn.XLOOKUP(P156,'Shipment Control'!A:A,'Shipment Control'!I:I))</f>
        <v>46194</v>
      </c>
      <c r="I156" s="251">
        <f>IF(P156="",G156+30,_xlfn.XLOOKUP(P156,'Shipment Control'!A:A,'Shipment Control'!J:J))</f>
        <v>46212</v>
      </c>
      <c r="J156" s="251">
        <v>46218</v>
      </c>
      <c r="K156" s="309">
        <v>46269</v>
      </c>
      <c r="L156" s="124" t="str" cm="1">
        <f t="array" ref="L156">_xlfn.XLOOKUP(1,('Case Pack'!A:A=C156)*('Case Pack'!F:F&lt;=A156),'Case Pack'!G:G,"未找到箱规")</f>
        <v>B</v>
      </c>
      <c r="M156" s="124" cm="1">
        <f t="array" ref="M156">_xlfn.XLOOKUP(1,('Case Pack'!A:A=C156)*('Case Pack'!F:F&lt;=A156),'Case Pack'!D:D,"未找到箱规")</f>
        <v>48</v>
      </c>
      <c r="N156" s="125">
        <f t="shared" si="4"/>
        <v>26</v>
      </c>
      <c r="O156" s="310">
        <f>_xlfn.XLOOKUP(L156,'Case Type'!A:A,'Case Type'!H:H)*N156</f>
        <v>1.90876521472</v>
      </c>
      <c r="P156" s="86" t="s">
        <v>180</v>
      </c>
      <c r="Q156" s="315" t="s">
        <v>181</v>
      </c>
      <c r="R156" s="86" t="s">
        <v>182</v>
      </c>
      <c r="S156" s="86">
        <f>_xlfn.XLOOKUP(C156,'Product List'!B:B,'Product List'!R:R)</f>
        <v>1.31</v>
      </c>
      <c r="T156" s="86">
        <f t="shared" si="5"/>
        <v>1634.88</v>
      </c>
      <c r="U156" s="86" t="s">
        <v>92</v>
      </c>
      <c r="V156" s="86"/>
    </row>
    <row r="157" customFormat="1" spans="1:22">
      <c r="A157" s="308">
        <v>46151</v>
      </c>
      <c r="B157" s="86" t="str">
        <f>_xlfn.XLOOKUP(C157,'Product List'!B:B,'Product List'!I:I)</f>
        <v>Sugar Jar</v>
      </c>
      <c r="C157" s="135" t="s">
        <v>59</v>
      </c>
      <c r="D157" s="234">
        <f>VLOOKUP(C157,'Product List'!B:C,2,0)</f>
        <v>850030338273</v>
      </c>
      <c r="E157" s="135" t="s">
        <v>205</v>
      </c>
      <c r="F157" s="125">
        <v>1242</v>
      </c>
      <c r="G157" s="309">
        <v>46213</v>
      </c>
      <c r="H157" s="309">
        <f>IF(P157="","",_xlfn.XLOOKUP(P157,'Shipment Control'!A:A,'Shipment Control'!I:I))</f>
        <v>46218</v>
      </c>
      <c r="I157" s="251">
        <f>IF(P157="",G157+30,_xlfn.XLOOKUP(P157,'Shipment Control'!A:A,'Shipment Control'!J:J))</f>
        <v>46248</v>
      </c>
      <c r="J157" s="251">
        <v>46253</v>
      </c>
      <c r="K157" s="309">
        <v>46269</v>
      </c>
      <c r="L157" s="124" t="str" cm="1">
        <f t="array" ref="L157">_xlfn.XLOOKUP(1,('Case Pack'!A:A=C157)*('Case Pack'!F:F&lt;=A157),'Case Pack'!G:G,"未找到箱规")</f>
        <v>C</v>
      </c>
      <c r="M157" s="124" cm="1">
        <f t="array" ref="M157">_xlfn.XLOOKUP(1,('Case Pack'!A:A=C157)*('Case Pack'!F:F&lt;=A157),'Case Pack'!D:D,"未找到箱规")</f>
        <v>27</v>
      </c>
      <c r="N157" s="125">
        <f t="shared" si="4"/>
        <v>46</v>
      </c>
      <c r="O157" s="310">
        <f>_xlfn.XLOOKUP(L157,'Case Type'!A:A,'Case Type'!H:H)*N157</f>
        <v>7.2365274624</v>
      </c>
      <c r="P157" s="124" t="s">
        <v>171</v>
      </c>
      <c r="Q157" s="86" t="s">
        <v>172</v>
      </c>
      <c r="R157" s="124" t="s">
        <v>173</v>
      </c>
      <c r="S157" s="86">
        <f>_xlfn.XLOOKUP(C157,'Product List'!B:B,'Product List'!R:R)</f>
        <v>1.92</v>
      </c>
      <c r="T157" s="86">
        <f t="shared" si="5"/>
        <v>2384.64</v>
      </c>
      <c r="U157" s="86" t="s">
        <v>92</v>
      </c>
      <c r="V157" s="86"/>
    </row>
    <row r="158" customFormat="1" spans="1:22">
      <c r="A158" s="308">
        <v>46151</v>
      </c>
      <c r="B158" s="86" t="str">
        <f>_xlfn.XLOOKUP(C158,'Product List'!B:B,'Product List'!I:I)</f>
        <v>Candy House</v>
      </c>
      <c r="C158" s="135" t="s">
        <v>57</v>
      </c>
      <c r="D158" s="234">
        <f>VLOOKUP(C158,'Product List'!B:C,2,0)</f>
        <v>850030338280</v>
      </c>
      <c r="E158" s="135" t="s">
        <v>205</v>
      </c>
      <c r="F158" s="125">
        <v>1242</v>
      </c>
      <c r="G158" s="309">
        <v>46213</v>
      </c>
      <c r="H158" s="309">
        <f>IF(P158="","",_xlfn.XLOOKUP(P158,'Shipment Control'!A:A,'Shipment Control'!I:I))</f>
        <v>46218</v>
      </c>
      <c r="I158" s="251">
        <f>IF(P158="",G158+30,_xlfn.XLOOKUP(P158,'Shipment Control'!A:A,'Shipment Control'!J:J))</f>
        <v>46248</v>
      </c>
      <c r="J158" s="251">
        <v>46253</v>
      </c>
      <c r="K158" s="309">
        <v>46269</v>
      </c>
      <c r="L158" s="124" t="str" cm="1">
        <f t="array" ref="L158">_xlfn.XLOOKUP(1,('Case Pack'!A:A=C158)*('Case Pack'!F:F&lt;=A158),'Case Pack'!G:G,"未找到箱规")</f>
        <v>C</v>
      </c>
      <c r="M158" s="124" cm="1">
        <f t="array" ref="M158">_xlfn.XLOOKUP(1,('Case Pack'!A:A=C158)*('Case Pack'!F:F&lt;=A158),'Case Pack'!D:D,"未找到箱规")</f>
        <v>27</v>
      </c>
      <c r="N158" s="125">
        <f t="shared" si="4"/>
        <v>46</v>
      </c>
      <c r="O158" s="310">
        <f>_xlfn.XLOOKUP(L158,'Case Type'!A:A,'Case Type'!H:H)*N158</f>
        <v>7.2365274624</v>
      </c>
      <c r="P158" s="124" t="s">
        <v>171</v>
      </c>
      <c r="Q158" s="86" t="s">
        <v>172</v>
      </c>
      <c r="R158" s="124" t="s">
        <v>173</v>
      </c>
      <c r="S158" s="86">
        <f>_xlfn.XLOOKUP(C158,'Product List'!B:B,'Product List'!R:R)</f>
        <v>2.13</v>
      </c>
      <c r="T158" s="86">
        <f t="shared" si="5"/>
        <v>2645.46</v>
      </c>
      <c r="U158" s="86" t="s">
        <v>92</v>
      </c>
      <c r="V158" s="86"/>
    </row>
    <row r="159" customFormat="1" spans="1:22">
      <c r="A159" s="308">
        <v>46151</v>
      </c>
      <c r="B159" s="86" t="str">
        <f>_xlfn.XLOOKUP(C159,'Product List'!B:B,'Product List'!I:I)</f>
        <v>MINI/MOE SMALL ANIMAL HOUSING CAKE HOUSE 1EA</v>
      </c>
      <c r="C159" s="135" t="s">
        <v>58</v>
      </c>
      <c r="D159" s="234">
        <f>VLOOKUP(C159,'Product List'!B:C,2,0)</f>
        <v>850030338297</v>
      </c>
      <c r="E159" s="135" t="s">
        <v>205</v>
      </c>
      <c r="F159" s="125">
        <v>1248</v>
      </c>
      <c r="G159" s="309">
        <v>46213</v>
      </c>
      <c r="H159" s="309">
        <f>IF(P159="","",_xlfn.XLOOKUP(P159,'Shipment Control'!A:A,'Shipment Control'!I:I))</f>
        <v>46218</v>
      </c>
      <c r="I159" s="251">
        <f>IF(P159="",G159+30,_xlfn.XLOOKUP(P159,'Shipment Control'!A:A,'Shipment Control'!J:J))</f>
        <v>46248</v>
      </c>
      <c r="J159" s="251">
        <v>46253</v>
      </c>
      <c r="K159" s="309">
        <v>46269</v>
      </c>
      <c r="L159" s="124" t="str" cm="1">
        <f t="array" ref="L159">_xlfn.XLOOKUP(1,('Case Pack'!A:A=C159)*('Case Pack'!F:F&lt;=A159),'Case Pack'!G:G,"未找到箱规")</f>
        <v>C</v>
      </c>
      <c r="M159" s="124" cm="1">
        <f t="array" ref="M159">_xlfn.XLOOKUP(1,('Case Pack'!A:A=C159)*('Case Pack'!F:F&lt;=A159),'Case Pack'!D:D,"未找到箱规")</f>
        <v>13</v>
      </c>
      <c r="N159" s="125">
        <f t="shared" si="4"/>
        <v>96</v>
      </c>
      <c r="O159" s="310">
        <f>_xlfn.XLOOKUP(L159,'Case Type'!A:A,'Case Type'!H:H)*N159</f>
        <v>15.1023181824</v>
      </c>
      <c r="P159" s="124" t="s">
        <v>171</v>
      </c>
      <c r="Q159" s="86" t="s">
        <v>172</v>
      </c>
      <c r="R159" s="124" t="s">
        <v>173</v>
      </c>
      <c r="S159" s="86">
        <f>_xlfn.XLOOKUP(C159,'Product List'!B:B,'Product List'!R:R)</f>
        <v>2.54</v>
      </c>
      <c r="T159" s="86">
        <f t="shared" si="5"/>
        <v>3169.92</v>
      </c>
      <c r="U159" s="86" t="s">
        <v>92</v>
      </c>
      <c r="V159" s="86"/>
    </row>
    <row r="160" customFormat="1" spans="1:22">
      <c r="A160" s="308">
        <v>46151</v>
      </c>
      <c r="B160" s="86" t="str">
        <f>_xlfn.XLOOKUP(C160,'Product List'!B:B,'Product List'!I:I)</f>
        <v>MINI/MOE SMALL ANIMAL HOUSING SWEET BRIDGE 1EA</v>
      </c>
      <c r="C160" s="135" t="s">
        <v>56</v>
      </c>
      <c r="D160" s="234">
        <f>VLOOKUP(C160,'Product List'!B:C,2,0)</f>
        <v>850030338303</v>
      </c>
      <c r="E160" s="135" t="s">
        <v>205</v>
      </c>
      <c r="F160" s="125">
        <v>1260</v>
      </c>
      <c r="G160" s="309">
        <v>46213</v>
      </c>
      <c r="H160" s="309">
        <f>IF(P160="","",_xlfn.XLOOKUP(P160,'Shipment Control'!A:A,'Shipment Control'!I:I))</f>
        <v>46218</v>
      </c>
      <c r="I160" s="251">
        <f>IF(P160="",G160+30,_xlfn.XLOOKUP(P160,'Shipment Control'!A:A,'Shipment Control'!J:J))</f>
        <v>46248</v>
      </c>
      <c r="J160" s="251">
        <v>46253</v>
      </c>
      <c r="K160" s="309">
        <v>46269</v>
      </c>
      <c r="L160" s="124" t="str" cm="1">
        <f t="array" ref="L160">_xlfn.XLOOKUP(1,('Case Pack'!A:A=C160)*('Case Pack'!F:F&lt;=A160),'Case Pack'!G:G,"未找到箱规")</f>
        <v>A</v>
      </c>
      <c r="M160" s="124" cm="1">
        <f t="array" ref="M160">_xlfn.XLOOKUP(1,('Case Pack'!A:A=C160)*('Case Pack'!F:F&lt;=A160),'Case Pack'!D:D,"未找到箱规")</f>
        <v>70</v>
      </c>
      <c r="N160" s="125">
        <f t="shared" si="4"/>
        <v>18</v>
      </c>
      <c r="O160" s="310">
        <f>_xlfn.XLOOKUP(L160,'Case Type'!A:A,'Case Type'!H:H)*N160</f>
        <v>1.98217926144</v>
      </c>
      <c r="P160" s="124" t="s">
        <v>171</v>
      </c>
      <c r="Q160" s="86" t="s">
        <v>172</v>
      </c>
      <c r="R160" s="124" t="s">
        <v>173</v>
      </c>
      <c r="S160" s="86">
        <f>_xlfn.XLOOKUP(C160,'Product List'!B:B,'Product List'!R:R)</f>
        <v>1.58</v>
      </c>
      <c r="T160" s="86">
        <f t="shared" si="5"/>
        <v>1990.8</v>
      </c>
      <c r="U160" s="86" t="s">
        <v>92</v>
      </c>
      <c r="V160" s="86"/>
    </row>
    <row r="161" customFormat="1" spans="1:22">
      <c r="A161" s="308">
        <v>46151</v>
      </c>
      <c r="B161" s="86" t="str">
        <f>_xlfn.XLOOKUP(C161,'Product List'!B:B,'Product List'!I:I)</f>
        <v>MINI/MOE SMALL ANIMAL FEEDING WATER BOTTLE HLDR GUMBALL 1EA</v>
      </c>
      <c r="C161" s="135" t="s">
        <v>55</v>
      </c>
      <c r="D161" s="234">
        <f>VLOOKUP(C161,'Product List'!B:C,2,0)</f>
        <v>850030338341</v>
      </c>
      <c r="E161" s="135" t="s">
        <v>205</v>
      </c>
      <c r="F161" s="125">
        <v>1258</v>
      </c>
      <c r="G161" s="309">
        <v>46213</v>
      </c>
      <c r="H161" s="309">
        <f>IF(P161="","",_xlfn.XLOOKUP(P161,'Shipment Control'!A:A,'Shipment Control'!I:I))</f>
        <v>46218</v>
      </c>
      <c r="I161" s="251">
        <f>IF(P161="",G161+30,_xlfn.XLOOKUP(P161,'Shipment Control'!A:A,'Shipment Control'!J:J))</f>
        <v>46248</v>
      </c>
      <c r="J161" s="251">
        <v>46253</v>
      </c>
      <c r="K161" s="309">
        <v>46269</v>
      </c>
      <c r="L161" s="124" t="str" cm="1">
        <f t="array" ref="L161">_xlfn.XLOOKUP(1,('Case Pack'!A:A=C161)*('Case Pack'!F:F&lt;=A161),'Case Pack'!G:G,"未找到箱规")</f>
        <v>C</v>
      </c>
      <c r="M161" s="124" cm="1">
        <f t="array" ref="M161">_xlfn.XLOOKUP(1,('Case Pack'!A:A=C161)*('Case Pack'!F:F&lt;=A161),'Case Pack'!D:D,"未找到箱规")</f>
        <v>34</v>
      </c>
      <c r="N161" s="125">
        <f t="shared" si="4"/>
        <v>37</v>
      </c>
      <c r="O161" s="310">
        <f>_xlfn.XLOOKUP(L161,'Case Type'!A:A,'Case Type'!H:H)*N161</f>
        <v>5.8206851328</v>
      </c>
      <c r="P161" s="124" t="s">
        <v>171</v>
      </c>
      <c r="Q161" s="86" t="s">
        <v>172</v>
      </c>
      <c r="R161" s="124" t="s">
        <v>173</v>
      </c>
      <c r="S161" s="86">
        <f>_xlfn.XLOOKUP(C161,'Product List'!B:B,'Product List'!R:R)</f>
        <v>1.91</v>
      </c>
      <c r="T161" s="86">
        <f t="shared" si="5"/>
        <v>2402.78</v>
      </c>
      <c r="U161" s="86" t="s">
        <v>92</v>
      </c>
      <c r="V161" s="86"/>
    </row>
    <row r="162" customFormat="1" spans="1:22">
      <c r="A162" s="308">
        <v>46151</v>
      </c>
      <c r="B162" s="86" t="str">
        <f>_xlfn.XLOOKUP(C162,'Product List'!B:B,'Product List'!I:I)</f>
        <v>MINI/MOE MINI TV TUNNEL CAGE 1EA</v>
      </c>
      <c r="C162" s="135" t="s">
        <v>51</v>
      </c>
      <c r="D162" s="234">
        <f>VLOOKUP(C162,'Product List'!B:C,2,0)</f>
        <v>760762457053</v>
      </c>
      <c r="E162" s="201" t="s">
        <v>205</v>
      </c>
      <c r="F162" s="125">
        <v>1000</v>
      </c>
      <c r="G162" s="309">
        <v>46189</v>
      </c>
      <c r="H162" s="309">
        <f>IF(P162="","",_xlfn.XLOOKUP(P162,'Shipment Control'!A:A,'Shipment Control'!I:I))</f>
        <v>46194</v>
      </c>
      <c r="I162" s="251">
        <f>IF(P162="",G162+30,_xlfn.XLOOKUP(P162,'Shipment Control'!A:A,'Shipment Control'!J:J))</f>
        <v>46212</v>
      </c>
      <c r="J162" s="251">
        <v>46218</v>
      </c>
      <c r="K162" s="309">
        <v>46269</v>
      </c>
      <c r="L162" s="124" t="str" cm="1">
        <f t="array" ref="L162">_xlfn.XLOOKUP(1,('Case Pack'!A:A=C162)*('Case Pack'!F:F&lt;=A162),'Case Pack'!G:G,"未找到箱规")</f>
        <v>S2</v>
      </c>
      <c r="M162" s="124" cm="1">
        <f t="array" ref="M162">_xlfn.XLOOKUP(1,('Case Pack'!A:A=C162)*('Case Pack'!F:F&lt;=A162),'Case Pack'!D:D,"未找到箱规")</f>
        <v>1</v>
      </c>
      <c r="N162" s="125">
        <f t="shared" si="4"/>
        <v>1000</v>
      </c>
      <c r="O162" s="310">
        <f>_xlfn.XLOOKUP(L162,'Case Type'!A:A,'Case Type'!H:H)*N162</f>
        <v>35.5725</v>
      </c>
      <c r="P162" s="86" t="s">
        <v>180</v>
      </c>
      <c r="Q162" s="315" t="s">
        <v>181</v>
      </c>
      <c r="R162" s="86" t="s">
        <v>182</v>
      </c>
      <c r="S162" s="86">
        <f>_xlfn.XLOOKUP(C162,'Product List'!B:B,'Product List'!R:R)</f>
        <v>15.25</v>
      </c>
      <c r="T162" s="86">
        <f t="shared" si="5"/>
        <v>15250</v>
      </c>
      <c r="U162" s="86" t="s">
        <v>92</v>
      </c>
      <c r="V162" s="86"/>
    </row>
    <row r="163" customFormat="1" spans="1:22">
      <c r="A163" s="308">
        <v>46151</v>
      </c>
      <c r="B163" s="86" t="str">
        <f>_xlfn.XLOOKUP(C163,'Product List'!B:B,'Product List'!I:I)</f>
        <v>Silent Crystal Running Wheel XL</v>
      </c>
      <c r="C163" s="135" t="s">
        <v>75</v>
      </c>
      <c r="D163" s="234">
        <f>VLOOKUP(C163,'Product List'!B:C,2,0)</f>
        <v>850030338464</v>
      </c>
      <c r="E163" s="201" t="s">
        <v>205</v>
      </c>
      <c r="F163" s="125">
        <v>1254</v>
      </c>
      <c r="G163" s="309">
        <v>46189</v>
      </c>
      <c r="H163" s="309">
        <f>IF(P163="","",_xlfn.XLOOKUP(P163,'Shipment Control'!A:A,'Shipment Control'!I:I))</f>
        <v>46194</v>
      </c>
      <c r="I163" s="251">
        <f>IF(P163="",G163+30,_xlfn.XLOOKUP(P163,'Shipment Control'!A:A,'Shipment Control'!J:J))</f>
        <v>46212</v>
      </c>
      <c r="J163" s="251">
        <v>46224</v>
      </c>
      <c r="K163" s="309">
        <v>46269</v>
      </c>
      <c r="L163" s="124" t="str" cm="1">
        <f t="array" ref="L163">_xlfn.XLOOKUP(1,('Case Pack'!A:A=C163)*('Case Pack'!F:F&lt;=A163),'Case Pack'!G:G,"未找到箱规")</f>
        <v>C</v>
      </c>
      <c r="M163" s="124" cm="1">
        <f t="array" ref="M163">_xlfn.XLOOKUP(1,('Case Pack'!A:A=C163)*('Case Pack'!F:F&lt;=A163),'Case Pack'!D:D,"未找到箱规")</f>
        <v>3</v>
      </c>
      <c r="N163" s="125">
        <f t="shared" si="4"/>
        <v>418</v>
      </c>
      <c r="O163" s="310">
        <f>_xlfn.XLOOKUP(L163,'Case Type'!A:A,'Case Type'!H:H)*N163</f>
        <v>65.7580104192</v>
      </c>
      <c r="P163" s="86" t="s">
        <v>174</v>
      </c>
      <c r="Q163" s="315" t="s">
        <v>175</v>
      </c>
      <c r="R163" s="86" t="s">
        <v>176</v>
      </c>
      <c r="S163" s="86">
        <f>_xlfn.XLOOKUP(C163,'Product List'!B:B,'Product List'!R:R)</f>
        <v>10.42</v>
      </c>
      <c r="T163" s="86">
        <f t="shared" si="5"/>
        <v>13066.68</v>
      </c>
      <c r="U163" s="86" t="s">
        <v>92</v>
      </c>
      <c r="V163" s="86"/>
    </row>
    <row r="164" customFormat="1" spans="1:22">
      <c r="A164" s="308">
        <v>46151</v>
      </c>
      <c r="B164" s="86" t="str">
        <f>_xlfn.XLOOKUP(C164,'Product List'!B:B,'Product List'!I:I)</f>
        <v>Little Devil Travel Cage</v>
      </c>
      <c r="C164" s="135" t="s">
        <v>74</v>
      </c>
      <c r="D164" s="234">
        <f>VLOOKUP(C164,'Product List'!B:C,2,0)</f>
        <v>850030338921</v>
      </c>
      <c r="E164" s="201" t="s">
        <v>205</v>
      </c>
      <c r="F164" s="125">
        <v>1260</v>
      </c>
      <c r="G164" s="309">
        <v>46189</v>
      </c>
      <c r="H164" s="309">
        <f>IF(P164="","",_xlfn.XLOOKUP(P164,'Shipment Control'!A:A,'Shipment Control'!I:I))</f>
        <v>46194</v>
      </c>
      <c r="I164" s="251">
        <f>IF(P164="",G164+30,_xlfn.XLOOKUP(P164,'Shipment Control'!A:A,'Shipment Control'!J:J))</f>
        <v>46212</v>
      </c>
      <c r="J164" s="251">
        <v>46223</v>
      </c>
      <c r="K164" s="309">
        <v>46269</v>
      </c>
      <c r="L164" s="124" t="str" cm="1">
        <f t="array" ref="L164">_xlfn.XLOOKUP(1,('Case Pack'!A:A=C164)*('Case Pack'!F:F&lt;=A164),'Case Pack'!G:G,"未找到箱规")</f>
        <v>C</v>
      </c>
      <c r="M164" s="124" cm="1">
        <f t="array" ref="M164">_xlfn.XLOOKUP(1,('Case Pack'!A:A=C164)*('Case Pack'!F:F&lt;=A164),'Case Pack'!D:D,"未找到箱规")</f>
        <v>18</v>
      </c>
      <c r="N164" s="125">
        <f t="shared" si="4"/>
        <v>70</v>
      </c>
      <c r="O164" s="310">
        <f>_xlfn.XLOOKUP(L164,'Case Type'!A:A,'Case Type'!H:H)*N164</f>
        <v>11.012107008</v>
      </c>
      <c r="P164" s="86" t="s">
        <v>162</v>
      </c>
      <c r="Q164" s="315" t="s">
        <v>163</v>
      </c>
      <c r="R164" s="86" t="s">
        <v>164</v>
      </c>
      <c r="S164" s="86">
        <f>_xlfn.XLOOKUP(C164,'Product List'!B:B,'Product List'!R:R)</f>
        <v>2.23</v>
      </c>
      <c r="T164" s="86">
        <f t="shared" si="5"/>
        <v>2809.8</v>
      </c>
      <c r="U164" s="86" t="s">
        <v>92</v>
      </c>
      <c r="V164" s="86"/>
    </row>
    <row r="165" customFormat="1" spans="1:22">
      <c r="A165" s="308">
        <v>46151</v>
      </c>
      <c r="B165" s="86" t="str">
        <f>_xlfn.XLOOKUP(C165,'Product List'!B:B,'Product List'!I:I)</f>
        <v>Crystal Outdoor Cage</v>
      </c>
      <c r="C165" s="135" t="s">
        <v>63</v>
      </c>
      <c r="D165" s="234">
        <f>VLOOKUP(C165,'Product List'!B:C,2,0)</f>
        <v>698746777579</v>
      </c>
      <c r="E165" s="201" t="s">
        <v>205</v>
      </c>
      <c r="F165" s="125">
        <v>1250</v>
      </c>
      <c r="G165" s="309">
        <v>46189</v>
      </c>
      <c r="H165" s="309">
        <f>IF(P165="","",_xlfn.XLOOKUP(P165,'Shipment Control'!A:A,'Shipment Control'!I:I))</f>
        <v>46194</v>
      </c>
      <c r="I165" s="251">
        <f>IF(P165="",G165+30,_xlfn.XLOOKUP(P165,'Shipment Control'!A:A,'Shipment Control'!J:J))</f>
        <v>46212</v>
      </c>
      <c r="J165" s="251">
        <v>46223</v>
      </c>
      <c r="K165" s="309">
        <v>46269</v>
      </c>
      <c r="L165" s="124" t="str" cm="1">
        <f t="array" ref="L165">_xlfn.XLOOKUP(1,('Case Pack'!A:A=C165)*('Case Pack'!F:F&lt;=A165),'Case Pack'!G:G,"未找到箱规")</f>
        <v>A</v>
      </c>
      <c r="M165" s="124" cm="1">
        <f t="array" ref="M165">_xlfn.XLOOKUP(1,('Case Pack'!A:A=C165)*('Case Pack'!F:F&lt;=A165),'Case Pack'!D:D,"未找到箱规")</f>
        <v>5</v>
      </c>
      <c r="N165" s="125">
        <f t="shared" si="4"/>
        <v>250</v>
      </c>
      <c r="O165" s="310">
        <f>_xlfn.XLOOKUP(L165,'Case Type'!A:A,'Case Type'!H:H)*N165</f>
        <v>27.53026752</v>
      </c>
      <c r="P165" s="86" t="s">
        <v>162</v>
      </c>
      <c r="Q165" s="315" t="s">
        <v>163</v>
      </c>
      <c r="R165" s="86" t="s">
        <v>164</v>
      </c>
      <c r="S165" s="86">
        <f>_xlfn.XLOOKUP(C165,'Product List'!B:B,'Product List'!R:R)</f>
        <v>3.26</v>
      </c>
      <c r="T165" s="86">
        <f t="shared" si="5"/>
        <v>4075</v>
      </c>
      <c r="U165" s="86" t="s">
        <v>92</v>
      </c>
      <c r="V165" s="86"/>
    </row>
    <row r="166" customFormat="1" spans="1:22">
      <c r="A166" s="308">
        <v>46188</v>
      </c>
      <c r="B166" s="86" t="str">
        <f>_xlfn.XLOOKUP(C166,'Product List'!B:B,'Product List'!I:I)</f>
        <v>MINI/MOE SILENT CRSTL RUN WHEEL LG 8.5-White</v>
      </c>
      <c r="C166" s="135" t="s">
        <v>29</v>
      </c>
      <c r="D166" s="234">
        <f>VLOOKUP(C166,'Product List'!B:C,2,0)</f>
        <v>850062627680</v>
      </c>
      <c r="E166" s="201" t="s">
        <v>206</v>
      </c>
      <c r="F166" s="125">
        <v>136</v>
      </c>
      <c r="G166" s="309">
        <v>46223</v>
      </c>
      <c r="H166" s="309">
        <f>IF(P166="","",_xlfn.XLOOKUP(P166,'Shipment Control'!A:A,'Shipment Control'!I:I))</f>
        <v>46218</v>
      </c>
      <c r="I166" s="251">
        <f>IF(P166="",G166+30,_xlfn.XLOOKUP(P166,'Shipment Control'!A:A,'Shipment Control'!J:J))</f>
        <v>46248</v>
      </c>
      <c r="J166" s="251">
        <v>46253</v>
      </c>
      <c r="K166" s="309" t="s">
        <v>130</v>
      </c>
      <c r="L166" s="124" t="str" cm="1">
        <f t="array" ref="L166">_xlfn.XLOOKUP(1,('Case Pack'!A:A=C166)*('Case Pack'!F:F&lt;=A166),'Case Pack'!G:G,"未找到箱规")</f>
        <v>C</v>
      </c>
      <c r="M166" s="124" cm="1">
        <f t="array" ref="M166">_xlfn.XLOOKUP(1,('Case Pack'!A:A=C166)*('Case Pack'!F:F&lt;=A166),'Case Pack'!D:D,"未找到箱规")</f>
        <v>8</v>
      </c>
      <c r="N166" s="125">
        <f t="shared" ref="N166:N229" si="6">F166/M166</f>
        <v>17</v>
      </c>
      <c r="O166" s="310">
        <f>_xlfn.XLOOKUP(L166,'Case Type'!A:A,'Case Type'!H:H)*N166</f>
        <v>2.6743688448</v>
      </c>
      <c r="P166" s="124" t="s">
        <v>171</v>
      </c>
      <c r="Q166" s="86" t="s">
        <v>172</v>
      </c>
      <c r="R166" s="124" t="s">
        <v>173</v>
      </c>
      <c r="S166" s="86">
        <f>_xlfn.XLOOKUP(C166,'Product List'!B:B,'Product List'!R:R)</f>
        <v>6.27</v>
      </c>
      <c r="T166" s="86">
        <f t="shared" si="5"/>
        <v>852.72</v>
      </c>
      <c r="U166" s="86" t="s">
        <v>92</v>
      </c>
      <c r="V166" s="86"/>
    </row>
    <row r="167" customFormat="1" spans="1:22">
      <c r="A167" s="308">
        <v>46188</v>
      </c>
      <c r="B167" s="86" t="str">
        <f>_xlfn.XLOOKUP(C167,'Product List'!B:B,'Product List'!I:I)</f>
        <v>MINI/MOE SILENT CRSTL RUN WHEEL LG 8.5-White</v>
      </c>
      <c r="C167" s="135" t="s">
        <v>29</v>
      </c>
      <c r="D167" s="234">
        <f>VLOOKUP(C167,'Product List'!B:C,2,0)</f>
        <v>850062627680</v>
      </c>
      <c r="E167" s="314" t="s">
        <v>207</v>
      </c>
      <c r="F167" s="125">
        <v>1048</v>
      </c>
      <c r="G167" s="290">
        <v>46220</v>
      </c>
      <c r="H167" s="309">
        <f>IF(P167="","",_xlfn.XLOOKUP(P167,'Shipment Control'!A:A,'Shipment Control'!I:I))</f>
        <v>46224</v>
      </c>
      <c r="I167" s="251">
        <f>IF(P167="",G167+30,_xlfn.XLOOKUP(P167,'Shipment Control'!A:A,'Shipment Control'!J:J))</f>
        <v>46239</v>
      </c>
      <c r="J167" s="251">
        <v>46244</v>
      </c>
      <c r="K167" s="309" t="s">
        <v>130</v>
      </c>
      <c r="L167" s="124" t="str" cm="1">
        <f t="array" ref="L167">_xlfn.XLOOKUP(1,('Case Pack'!A:A=C167)*('Case Pack'!F:F&lt;=A167),'Case Pack'!G:G,"未找到箱规")</f>
        <v>C</v>
      </c>
      <c r="M167" s="124" cm="1">
        <f t="array" ref="M167">_xlfn.XLOOKUP(1,('Case Pack'!A:A=C167)*('Case Pack'!F:F&lt;=A167),'Case Pack'!D:D,"未找到箱规")</f>
        <v>8</v>
      </c>
      <c r="N167" s="125">
        <f t="shared" si="6"/>
        <v>131</v>
      </c>
      <c r="O167" s="310">
        <f>_xlfn.XLOOKUP(L167,'Case Type'!A:A,'Case Type'!H:H)*N167</f>
        <v>20.6083716864</v>
      </c>
      <c r="P167" s="86" t="s">
        <v>166</v>
      </c>
      <c r="Q167" s="86" t="s">
        <v>167</v>
      </c>
      <c r="R167" s="124" t="s">
        <v>168</v>
      </c>
      <c r="S167" s="86">
        <f>_xlfn.XLOOKUP(C167,'Product List'!B:B,'Product List'!R:R)</f>
        <v>6.27</v>
      </c>
      <c r="T167" s="86">
        <f t="shared" si="5"/>
        <v>6570.96</v>
      </c>
      <c r="U167" s="86" t="s">
        <v>92</v>
      </c>
      <c r="V167" s="86"/>
    </row>
    <row r="168" customFormat="1" spans="1:22">
      <c r="A168" s="308">
        <v>46188</v>
      </c>
      <c r="B168" s="86" t="str">
        <f>_xlfn.XLOOKUP(C168,'Product List'!B:B,'Product List'!I:I)</f>
        <v>MMO-GREEN APPLE CHEW</v>
      </c>
      <c r="C168" s="135" t="s">
        <v>33</v>
      </c>
      <c r="D168" s="234">
        <f>VLOOKUP(C168,'Product List'!B:C,2,0)</f>
        <v>698746777081</v>
      </c>
      <c r="E168" s="314" t="s">
        <v>207</v>
      </c>
      <c r="F168" s="125">
        <v>2064</v>
      </c>
      <c r="G168" s="309">
        <v>46217</v>
      </c>
      <c r="H168" s="309">
        <f>IF(P168="","",_xlfn.XLOOKUP(P168,'Shipment Control'!A:A,'Shipment Control'!I:I))</f>
        <v>46225</v>
      </c>
      <c r="I168" s="251">
        <f>IF(P168="",G168+30,_xlfn.XLOOKUP(P168,'Shipment Control'!A:A,'Shipment Control'!J:J))</f>
        <v>46239</v>
      </c>
      <c r="J168" s="251">
        <v>46249</v>
      </c>
      <c r="K168" s="309" t="s">
        <v>130</v>
      </c>
      <c r="L168" s="124" t="str" cm="1">
        <f t="array" ref="L168">_xlfn.XLOOKUP(1,('Case Pack'!A:A=C168)*('Case Pack'!F:F&lt;=A168),'Case Pack'!G:G,"未找到箱规")</f>
        <v>B</v>
      </c>
      <c r="M168" s="124" cm="1">
        <f t="array" ref="M168">_xlfn.XLOOKUP(1,('Case Pack'!A:A=C168)*('Case Pack'!F:F&lt;=A168),'Case Pack'!D:D,"未找到箱规")</f>
        <v>48</v>
      </c>
      <c r="N168" s="125">
        <f t="shared" si="6"/>
        <v>43</v>
      </c>
      <c r="O168" s="310">
        <f>_xlfn.XLOOKUP(L168,'Case Type'!A:A,'Case Type'!H:H)*N168</f>
        <v>3.15680400896</v>
      </c>
      <c r="P168" s="86" t="s">
        <v>194</v>
      </c>
      <c r="Q168" s="321" t="s">
        <v>159</v>
      </c>
      <c r="R168" s="322"/>
      <c r="S168" s="86">
        <f>_xlfn.XLOOKUP(C168,'Product List'!B:B,'Product List'!R:R)</f>
        <v>1.04</v>
      </c>
      <c r="T168" s="86">
        <f t="shared" si="5"/>
        <v>2146.56</v>
      </c>
      <c r="U168" s="86" t="s">
        <v>92</v>
      </c>
      <c r="V168" s="86"/>
    </row>
    <row r="169" customFormat="1" spans="1:22">
      <c r="A169" s="308">
        <v>46188</v>
      </c>
      <c r="B169" s="86" t="str">
        <f>_xlfn.XLOOKUP(C169,'Product List'!B:B,'Product List'!I:I)</f>
        <v>MMO-CAMP LUNCH BOX CHEW</v>
      </c>
      <c r="C169" s="135" t="s">
        <v>34</v>
      </c>
      <c r="D169" s="234">
        <f>VLOOKUP(C169,'Product List'!B:C,2,0)</f>
        <v>698746777012</v>
      </c>
      <c r="E169" s="314" t="s">
        <v>207</v>
      </c>
      <c r="F169" s="125">
        <v>1152</v>
      </c>
      <c r="G169" s="309">
        <v>46217</v>
      </c>
      <c r="H169" s="309">
        <f>IF(P169="","",_xlfn.XLOOKUP(P169,'Shipment Control'!A:A,'Shipment Control'!I:I))</f>
        <v>46225</v>
      </c>
      <c r="I169" s="251">
        <f>IF(P169="",G169+30,_xlfn.XLOOKUP(P169,'Shipment Control'!A:A,'Shipment Control'!J:J))</f>
        <v>46239</v>
      </c>
      <c r="J169" s="251">
        <v>46249</v>
      </c>
      <c r="K169" s="309" t="s">
        <v>130</v>
      </c>
      <c r="L169" s="124" t="str" cm="1">
        <f t="array" ref="L169">_xlfn.XLOOKUP(1,('Case Pack'!A:A=C169)*('Case Pack'!F:F&lt;=A169),'Case Pack'!G:G,"未找到箱规")</f>
        <v>B</v>
      </c>
      <c r="M169" s="124" cm="1">
        <f t="array" ref="M169">_xlfn.XLOOKUP(1,('Case Pack'!A:A=C169)*('Case Pack'!F:F&lt;=A169),'Case Pack'!D:D,"未找到箱规")</f>
        <v>72</v>
      </c>
      <c r="N169" s="125">
        <f t="shared" si="6"/>
        <v>16</v>
      </c>
      <c r="O169" s="310">
        <f>_xlfn.XLOOKUP(L169,'Case Type'!A:A,'Case Type'!H:H)*N169</f>
        <v>1.17462474752</v>
      </c>
      <c r="P169" s="86" t="s">
        <v>194</v>
      </c>
      <c r="Q169" s="321" t="s">
        <v>159</v>
      </c>
      <c r="R169" s="322"/>
      <c r="S169" s="86">
        <f>_xlfn.XLOOKUP(C169,'Product List'!B:B,'Product List'!R:R)</f>
        <v>1.59</v>
      </c>
      <c r="T169" s="86">
        <f t="shared" si="5"/>
        <v>1831.68</v>
      </c>
      <c r="U169" s="86" t="s">
        <v>92</v>
      </c>
      <c r="V169" s="86"/>
    </row>
    <row r="170" customFormat="1" spans="1:22">
      <c r="A170" s="308">
        <v>46188</v>
      </c>
      <c r="B170" s="86" t="str">
        <f>_xlfn.XLOOKUP(C170,'Product List'!B:B,'Product List'!I:I)</f>
        <v>MMO-BUBBLE WATER BOTTLE</v>
      </c>
      <c r="C170" s="135" t="s">
        <v>67</v>
      </c>
      <c r="D170" s="234">
        <f>VLOOKUP(C170,'Product List'!B:C,2,0)</f>
        <v>760762456971</v>
      </c>
      <c r="E170" s="314" t="s">
        <v>207</v>
      </c>
      <c r="F170" s="125">
        <v>3318</v>
      </c>
      <c r="G170" s="290">
        <v>46220</v>
      </c>
      <c r="H170" s="309">
        <f>IF(P170="","",_xlfn.XLOOKUP(P170,'Shipment Control'!A:A,'Shipment Control'!I:I))</f>
        <v>46224</v>
      </c>
      <c r="I170" s="251">
        <f>IF(P170="",G170+30,_xlfn.XLOOKUP(P170,'Shipment Control'!A:A,'Shipment Control'!J:J))</f>
        <v>46239</v>
      </c>
      <c r="J170" s="251">
        <v>46244</v>
      </c>
      <c r="K170" s="309" t="s">
        <v>130</v>
      </c>
      <c r="L170" s="124" t="str" cm="1">
        <f t="array" ref="L170">_xlfn.XLOOKUP(1,('Case Pack'!A:A=C170)*('Case Pack'!F:F&lt;=A170),'Case Pack'!G:G,"未找到箱规")</f>
        <v>C</v>
      </c>
      <c r="M170" s="124" cm="1">
        <f t="array" ref="M170">_xlfn.XLOOKUP(1,('Case Pack'!A:A=C170)*('Case Pack'!F:F&lt;=A170),'Case Pack'!D:D,"未找到箱规")</f>
        <v>42</v>
      </c>
      <c r="N170" s="125">
        <f t="shared" si="6"/>
        <v>79</v>
      </c>
      <c r="O170" s="310">
        <f>_xlfn.XLOOKUP(L170,'Case Type'!A:A,'Case Type'!H:H)*N170</f>
        <v>12.4279493376</v>
      </c>
      <c r="P170" s="324" t="s">
        <v>166</v>
      </c>
      <c r="Q170" s="86" t="s">
        <v>167</v>
      </c>
      <c r="R170" s="124" t="s">
        <v>168</v>
      </c>
      <c r="S170" s="86">
        <f>_xlfn.XLOOKUP(C170,'Product List'!B:B,'Product List'!R:R)</f>
        <v>3.1</v>
      </c>
      <c r="T170" s="86">
        <f t="shared" si="5"/>
        <v>10285.8</v>
      </c>
      <c r="U170" s="86" t="s">
        <v>92</v>
      </c>
      <c r="V170" s="86"/>
    </row>
    <row r="171" customFormat="1" spans="1:22">
      <c r="A171" s="308">
        <v>46188</v>
      </c>
      <c r="B171" s="86" t="str">
        <f>_xlfn.XLOOKUP(C171,'Product List'!B:B,'Product List'!I:I)</f>
        <v>MMO-CLOUD WATER BOTTLE</v>
      </c>
      <c r="C171" s="135" t="s">
        <v>77</v>
      </c>
      <c r="D171" s="234">
        <f>VLOOKUP(C171,'Product List'!B:C,2,0)</f>
        <v>850030338112</v>
      </c>
      <c r="E171" s="314" t="s">
        <v>207</v>
      </c>
      <c r="F171" s="125">
        <v>2900</v>
      </c>
      <c r="G171" s="290">
        <v>46220</v>
      </c>
      <c r="H171" s="309">
        <f>IF(P171="","",_xlfn.XLOOKUP(P171,'Shipment Control'!A:A,'Shipment Control'!I:I))</f>
        <v>46224</v>
      </c>
      <c r="I171" s="251">
        <f>IF(P171="",G171+30,_xlfn.XLOOKUP(P171,'Shipment Control'!A:A,'Shipment Control'!J:J))</f>
        <v>46239</v>
      </c>
      <c r="J171" s="251">
        <v>46244</v>
      </c>
      <c r="K171" s="309" t="s">
        <v>130</v>
      </c>
      <c r="L171" s="124" t="str" cm="1">
        <f t="array" ref="L171">_xlfn.XLOOKUP(1,('Case Pack'!A:A=C171)*('Case Pack'!F:F&lt;=A171),'Case Pack'!G:G,"未找到箱规")</f>
        <v>A</v>
      </c>
      <c r="M171" s="124" cm="1">
        <f t="array" ref="M171">_xlfn.XLOOKUP(1,('Case Pack'!A:A=C171)*('Case Pack'!F:F&lt;=A171),'Case Pack'!D:D,"未找到箱规")</f>
        <v>50</v>
      </c>
      <c r="N171" s="125">
        <f t="shared" si="6"/>
        <v>58</v>
      </c>
      <c r="O171" s="310">
        <f>_xlfn.XLOOKUP(L171,'Case Type'!A:A,'Case Type'!H:H)*N171</f>
        <v>6.38702206464</v>
      </c>
      <c r="P171" s="324" t="s">
        <v>166</v>
      </c>
      <c r="Q171" s="86" t="s">
        <v>167</v>
      </c>
      <c r="R171" s="124" t="s">
        <v>168</v>
      </c>
      <c r="S171" s="86">
        <f>_xlfn.XLOOKUP(C171,'Product List'!B:B,'Product List'!R:R)</f>
        <v>0.62</v>
      </c>
      <c r="T171" s="86">
        <f t="shared" si="5"/>
        <v>1798</v>
      </c>
      <c r="U171" s="86" t="s">
        <v>92</v>
      </c>
      <c r="V171" s="86"/>
    </row>
    <row r="172" customFormat="1" spans="1:22">
      <c r="A172" s="308">
        <v>46188</v>
      </c>
      <c r="B172" s="86" t="str">
        <f>_xlfn.XLOOKUP(C172,'Product List'!B:B,'Product List'!I:I)</f>
        <v>MINI/MOE RUFFLE BOWL</v>
      </c>
      <c r="C172" s="135" t="s">
        <v>78</v>
      </c>
      <c r="D172" s="234">
        <f>VLOOKUP(C172,'Product List'!B:C,2,0)</f>
        <v>850030338969</v>
      </c>
      <c r="E172" s="314" t="s">
        <v>207</v>
      </c>
      <c r="F172" s="125">
        <v>3984</v>
      </c>
      <c r="G172" s="309">
        <v>46249</v>
      </c>
      <c r="H172" s="309">
        <f>IF(P172="","",_xlfn.XLOOKUP(P172,'Shipment Control'!A:A,'Shipment Control'!I:I))</f>
        <v>46258</v>
      </c>
      <c r="I172" s="251">
        <f>IF(P172="",G172+30,_xlfn.XLOOKUP(P172,'Shipment Control'!A:A,'Shipment Control'!J:J))</f>
        <v>46277</v>
      </c>
      <c r="J172" s="251">
        <v>46281</v>
      </c>
      <c r="K172" s="309" t="s">
        <v>130</v>
      </c>
      <c r="L172" s="124" t="str" cm="1">
        <f t="array" ref="L172">_xlfn.XLOOKUP(1,('Case Pack'!A:A=C172)*('Case Pack'!F:F&lt;=A172),'Case Pack'!G:G,"未找到箱规")</f>
        <v>B</v>
      </c>
      <c r="M172" s="124" cm="1">
        <f t="array" ref="M172">_xlfn.XLOOKUP(1,('Case Pack'!A:A=C172)*('Case Pack'!F:F&lt;=A172),'Case Pack'!D:D,"未找到箱规")</f>
        <v>48</v>
      </c>
      <c r="N172" s="125">
        <f t="shared" si="6"/>
        <v>83</v>
      </c>
      <c r="O172" s="310">
        <f>_xlfn.XLOOKUP(L172,'Case Type'!A:A,'Case Type'!H:H)*N172</f>
        <v>6.09336587776</v>
      </c>
      <c r="P172" s="124" t="s">
        <v>202</v>
      </c>
      <c r="Q172" s="124" t="s">
        <v>203</v>
      </c>
      <c r="R172" s="124" t="s">
        <v>204</v>
      </c>
      <c r="S172" s="86">
        <f>_xlfn.XLOOKUP(C172,'Product List'!B:B,'Product List'!R:R)</f>
        <v>1.34</v>
      </c>
      <c r="T172" s="86">
        <f t="shared" si="5"/>
        <v>5338.56</v>
      </c>
      <c r="U172" s="86" t="s">
        <v>92</v>
      </c>
      <c r="V172" s="86"/>
    </row>
    <row r="173" customFormat="1" spans="1:22">
      <c r="A173" s="308">
        <v>46188</v>
      </c>
      <c r="B173" s="86" t="str">
        <f>_xlfn.XLOOKUP(C173,'Product List'!B:B,'Product List'!I:I)</f>
        <v>MMO-PAPER PEBBLES</v>
      </c>
      <c r="C173" s="135" t="s">
        <v>81</v>
      </c>
      <c r="D173" s="234">
        <f>VLOOKUP(C173,'Product List'!B:C,2,0)</f>
        <v>850067049258</v>
      </c>
      <c r="E173" s="314" t="s">
        <v>207</v>
      </c>
      <c r="F173" s="125">
        <v>432</v>
      </c>
      <c r="G173" s="290">
        <v>46220</v>
      </c>
      <c r="H173" s="309">
        <f>IF(P173="","",_xlfn.XLOOKUP(P173,'Shipment Control'!A:A,'Shipment Control'!I:I))</f>
        <v>46224</v>
      </c>
      <c r="I173" s="251">
        <f>IF(P173="",G173+30,_xlfn.XLOOKUP(P173,'Shipment Control'!A:A,'Shipment Control'!J:J))</f>
        <v>46239</v>
      </c>
      <c r="J173" s="251">
        <v>46244</v>
      </c>
      <c r="K173" s="309" t="s">
        <v>130</v>
      </c>
      <c r="L173" s="124" t="str" cm="1">
        <f t="array" ref="L173">_xlfn.XLOOKUP(1,('Case Pack'!A:A=C173)*('Case Pack'!F:F&lt;=A173),'Case Pack'!G:G,"未找到箱规")</f>
        <v>B</v>
      </c>
      <c r="M173" s="124" cm="1">
        <f t="array" ref="M173">_xlfn.XLOOKUP(1,('Case Pack'!A:A=C173)*('Case Pack'!F:F&lt;=A173),'Case Pack'!D:D,"未找到箱规")</f>
        <v>12</v>
      </c>
      <c r="N173" s="125">
        <f t="shared" si="6"/>
        <v>36</v>
      </c>
      <c r="O173" s="310">
        <f>_xlfn.XLOOKUP(L173,'Case Type'!A:A,'Case Type'!H:H)*N173</f>
        <v>2.64290568192</v>
      </c>
      <c r="P173" s="324" t="s">
        <v>166</v>
      </c>
      <c r="Q173" s="86" t="s">
        <v>167</v>
      </c>
      <c r="R173" s="124" t="s">
        <v>168</v>
      </c>
      <c r="S173" s="86">
        <f>_xlfn.XLOOKUP(C173,'Product List'!B:B,'Product List'!R:R)</f>
        <v>2.84</v>
      </c>
      <c r="T173" s="86">
        <f t="shared" si="5"/>
        <v>1226.88</v>
      </c>
      <c r="U173" s="86" t="s">
        <v>92</v>
      </c>
      <c r="V173" s="86"/>
    </row>
    <row r="174" customFormat="1" spans="1:22">
      <c r="A174" s="308">
        <v>46190</v>
      </c>
      <c r="B174" s="86" t="str">
        <f>_xlfn.XLOOKUP(C174,'Product List'!B:B,'Product List'!I:I)</f>
        <v>MINI/MOE SILENT CRSTL RUN WHEEL LG 8.5-White</v>
      </c>
      <c r="C174" s="135" t="s">
        <v>29</v>
      </c>
      <c r="D174" s="234">
        <f>VLOOKUP(C174,'Product List'!B:C,2,0)</f>
        <v>850062627680</v>
      </c>
      <c r="E174" s="314" t="s">
        <v>208</v>
      </c>
      <c r="F174" s="214">
        <v>776</v>
      </c>
      <c r="G174" s="309">
        <v>46227</v>
      </c>
      <c r="H174" s="309">
        <f>IF(P174="","",_xlfn.XLOOKUP(P174,'Shipment Control'!A:A,'Shipment Control'!I:I))</f>
        <v>46238</v>
      </c>
      <c r="I174" s="251">
        <f>IF(P174="",G174+30,_xlfn.XLOOKUP(P174,'Shipment Control'!A:A,'Shipment Control'!J:J))</f>
        <v>46252</v>
      </c>
      <c r="J174" s="251">
        <v>46255</v>
      </c>
      <c r="K174" s="309" t="s">
        <v>130</v>
      </c>
      <c r="L174" s="124" t="str" cm="1">
        <f t="array" ref="L174">_xlfn.XLOOKUP(1,('Case Pack'!A:A=C174)*('Case Pack'!F:F&lt;=A174),'Case Pack'!G:G,"未找到箱规")</f>
        <v>C</v>
      </c>
      <c r="M174" s="124" cm="1">
        <f t="array" ref="M174">_xlfn.XLOOKUP(1,('Case Pack'!A:A=C174)*('Case Pack'!F:F&lt;=A174),'Case Pack'!D:D,"未找到箱规")</f>
        <v>8</v>
      </c>
      <c r="N174" s="125">
        <f t="shared" si="6"/>
        <v>97</v>
      </c>
      <c r="O174" s="310">
        <f>_xlfn.XLOOKUP(L174,'Case Type'!A:A,'Case Type'!H:H)*N174</f>
        <v>15.2596339968</v>
      </c>
      <c r="P174" s="86" t="s">
        <v>195</v>
      </c>
      <c r="Q174" s="86" t="s">
        <v>196</v>
      </c>
      <c r="R174" s="86" t="s">
        <v>197</v>
      </c>
      <c r="S174" s="86">
        <f>_xlfn.XLOOKUP(C174,'Product List'!B:B,'Product List'!R:R)</f>
        <v>6.27</v>
      </c>
      <c r="T174" s="86">
        <f t="shared" si="5"/>
        <v>4865.52</v>
      </c>
      <c r="U174" s="86" t="s">
        <v>92</v>
      </c>
      <c r="V174" s="86"/>
    </row>
    <row r="175" customFormat="1" spans="1:22">
      <c r="A175" s="308">
        <v>46190</v>
      </c>
      <c r="B175" s="86" t="str">
        <f>_xlfn.XLOOKUP(C175,'Product List'!B:B,'Product List'!I:I)</f>
        <v>MMO-GREEN APPLE CHEW</v>
      </c>
      <c r="C175" s="135" t="s">
        <v>33</v>
      </c>
      <c r="D175" s="234">
        <f>VLOOKUP(C175,'Product List'!B:C,2,0)</f>
        <v>698746777081</v>
      </c>
      <c r="E175" s="314" t="s">
        <v>208</v>
      </c>
      <c r="F175" s="125">
        <v>1200</v>
      </c>
      <c r="G175" s="309">
        <v>46217</v>
      </c>
      <c r="H175" s="309">
        <f>IF(P175="","",_xlfn.XLOOKUP(P175,'Shipment Control'!A:A,'Shipment Control'!I:I))</f>
        <v>46225</v>
      </c>
      <c r="I175" s="251">
        <f>IF(P175="",G175+30,_xlfn.XLOOKUP(P175,'Shipment Control'!A:A,'Shipment Control'!J:J))</f>
        <v>46239</v>
      </c>
      <c r="J175" s="251">
        <v>46249</v>
      </c>
      <c r="K175" s="309" t="s">
        <v>130</v>
      </c>
      <c r="L175" s="124" t="str" cm="1">
        <f t="array" ref="L175">_xlfn.XLOOKUP(1,('Case Pack'!A:A=C175)*('Case Pack'!F:F&lt;=A175),'Case Pack'!G:G,"未找到箱规")</f>
        <v>B</v>
      </c>
      <c r="M175" s="124" cm="1">
        <f t="array" ref="M175">_xlfn.XLOOKUP(1,('Case Pack'!A:A=C175)*('Case Pack'!F:F&lt;=A175),'Case Pack'!D:D,"未找到箱规")</f>
        <v>48</v>
      </c>
      <c r="N175" s="125">
        <f t="shared" si="6"/>
        <v>25</v>
      </c>
      <c r="O175" s="310">
        <f>_xlfn.XLOOKUP(L175,'Case Type'!A:A,'Case Type'!H:H)*N175</f>
        <v>1.835351168</v>
      </c>
      <c r="P175" s="86" t="s">
        <v>194</v>
      </c>
      <c r="Q175" s="321" t="s">
        <v>159</v>
      </c>
      <c r="R175" s="322"/>
      <c r="S175" s="86">
        <f>_xlfn.XLOOKUP(C175,'Product List'!B:B,'Product List'!R:R)</f>
        <v>1.04</v>
      </c>
      <c r="T175" s="86">
        <f t="shared" si="5"/>
        <v>1248</v>
      </c>
      <c r="U175" s="86" t="s">
        <v>92</v>
      </c>
      <c r="V175" s="86"/>
    </row>
    <row r="176" customFormat="1" spans="1:22">
      <c r="A176" s="308">
        <v>46190</v>
      </c>
      <c r="B176" s="86" t="str">
        <f>_xlfn.XLOOKUP(C176,'Product List'!B:B,'Product List'!I:I)</f>
        <v>MMO-CAMP LUNCH BOX CHEW</v>
      </c>
      <c r="C176" s="135" t="s">
        <v>34</v>
      </c>
      <c r="D176" s="234">
        <f>VLOOKUP(C176,'Product List'!B:C,2,0)</f>
        <v>698746777012</v>
      </c>
      <c r="E176" s="314" t="s">
        <v>208</v>
      </c>
      <c r="F176" s="125">
        <v>1080</v>
      </c>
      <c r="G176" s="309">
        <v>46217</v>
      </c>
      <c r="H176" s="309">
        <f>IF(P176="","",_xlfn.XLOOKUP(P176,'Shipment Control'!A:A,'Shipment Control'!I:I))</f>
        <v>46225</v>
      </c>
      <c r="I176" s="251">
        <f>IF(P176="",G176+30,_xlfn.XLOOKUP(P176,'Shipment Control'!A:A,'Shipment Control'!J:J))</f>
        <v>46239</v>
      </c>
      <c r="J176" s="251">
        <v>46249</v>
      </c>
      <c r="K176" s="309" t="s">
        <v>130</v>
      </c>
      <c r="L176" s="124" t="str" cm="1">
        <f t="array" ref="L176">_xlfn.XLOOKUP(1,('Case Pack'!A:A=C176)*('Case Pack'!F:F&lt;=A176),'Case Pack'!G:G,"未找到箱规")</f>
        <v>B</v>
      </c>
      <c r="M176" s="124" cm="1">
        <f t="array" ref="M176">_xlfn.XLOOKUP(1,('Case Pack'!A:A=C176)*('Case Pack'!F:F&lt;=A176),'Case Pack'!D:D,"未找到箱规")</f>
        <v>72</v>
      </c>
      <c r="N176" s="125">
        <f t="shared" si="6"/>
        <v>15</v>
      </c>
      <c r="O176" s="310">
        <f>_xlfn.XLOOKUP(L176,'Case Type'!A:A,'Case Type'!H:H)*N176</f>
        <v>1.1012107008</v>
      </c>
      <c r="P176" s="86" t="s">
        <v>194</v>
      </c>
      <c r="Q176" s="321" t="s">
        <v>159</v>
      </c>
      <c r="R176" s="322"/>
      <c r="S176" s="86">
        <f>_xlfn.XLOOKUP(C176,'Product List'!B:B,'Product List'!R:R)</f>
        <v>1.59</v>
      </c>
      <c r="T176" s="86">
        <f t="shared" si="5"/>
        <v>1717.2</v>
      </c>
      <c r="U176" s="86" t="s">
        <v>92</v>
      </c>
      <c r="V176" s="86"/>
    </row>
    <row r="177" customFormat="1" spans="1:26">
      <c r="A177" s="308">
        <v>46190</v>
      </c>
      <c r="B177" s="86" t="str">
        <f>_xlfn.XLOOKUP(C177,'Product List'!B:B,'Product List'!I:I)</f>
        <v>MMO-SHELL PEARL HAMSTER CHEW</v>
      </c>
      <c r="C177" s="135" t="s">
        <v>35</v>
      </c>
      <c r="D177" s="234">
        <f>VLOOKUP(C177,'Product List'!B:C,2,0)</f>
        <v>698746777074</v>
      </c>
      <c r="E177" s="314" t="s">
        <v>208</v>
      </c>
      <c r="F177" s="125">
        <v>128</v>
      </c>
      <c r="G177" s="309">
        <v>46217</v>
      </c>
      <c r="H177" s="309">
        <f>IF(P177="","",_xlfn.XLOOKUP(P177,'Shipment Control'!A:A,'Shipment Control'!I:I))</f>
        <v>46225</v>
      </c>
      <c r="I177" s="251">
        <f>IF(P177="",G177+30,_xlfn.XLOOKUP(P177,'Shipment Control'!A:A,'Shipment Control'!J:J))</f>
        <v>46239</v>
      </c>
      <c r="J177" s="251">
        <v>46249</v>
      </c>
      <c r="K177" s="309" t="s">
        <v>130</v>
      </c>
      <c r="L177" s="124" t="str" cm="1">
        <f t="array" ref="L177">_xlfn.XLOOKUP(1,('Case Pack'!A:A=C177)*('Case Pack'!F:F&lt;=A177),'Case Pack'!G:G,"未找到箱规")</f>
        <v>B</v>
      </c>
      <c r="M177" s="124" cm="1">
        <f t="array" ref="M177">_xlfn.XLOOKUP(1,('Case Pack'!A:A=C177)*('Case Pack'!F:F&lt;=A177),'Case Pack'!D:D,"未找到箱规")</f>
        <v>64</v>
      </c>
      <c r="N177" s="125">
        <f t="shared" si="6"/>
        <v>2</v>
      </c>
      <c r="O177" s="310">
        <f>_xlfn.XLOOKUP(L177,'Case Type'!A:A,'Case Type'!H:H)*N177</f>
        <v>0.14682809344</v>
      </c>
      <c r="P177" s="86" t="s">
        <v>194</v>
      </c>
      <c r="Q177" s="316" t="s">
        <v>159</v>
      </c>
      <c r="R177" s="317"/>
      <c r="S177" s="86">
        <f>_xlfn.XLOOKUP(C177,'Product List'!B:B,'Product List'!R:R)</f>
        <v>0.96</v>
      </c>
      <c r="T177" s="86">
        <f t="shared" si="5"/>
        <v>122.88</v>
      </c>
      <c r="U177" s="86" t="s">
        <v>92</v>
      </c>
      <c r="V177" s="86"/>
    </row>
    <row r="178" customFormat="1" spans="1:26">
      <c r="A178" s="308">
        <v>46190</v>
      </c>
      <c r="B178" s="86" t="str">
        <f>_xlfn.XLOOKUP(C178,'Product List'!B:B,'Product List'!I:I)</f>
        <v>MMO-BUBBLE WATER BOTTLE</v>
      </c>
      <c r="C178" s="135" t="s">
        <v>67</v>
      </c>
      <c r="D178" s="234">
        <f>VLOOKUP(C178,'Product List'!B:C,2,0)</f>
        <v>760762456971</v>
      </c>
      <c r="E178" s="314" t="s">
        <v>208</v>
      </c>
      <c r="F178" s="125">
        <v>1848</v>
      </c>
      <c r="G178" s="290">
        <v>46220</v>
      </c>
      <c r="H178" s="309">
        <f>IF(P178="","",_xlfn.XLOOKUP(P178,'Shipment Control'!A:A,'Shipment Control'!I:I))</f>
        <v>46224</v>
      </c>
      <c r="I178" s="251">
        <f>IF(P178="",G178+30,_xlfn.XLOOKUP(P178,'Shipment Control'!A:A,'Shipment Control'!J:J))</f>
        <v>46239</v>
      </c>
      <c r="J178" s="251">
        <v>46244</v>
      </c>
      <c r="K178" s="309" t="s">
        <v>130</v>
      </c>
      <c r="L178" s="124" t="str" cm="1">
        <f t="array" ref="L178">_xlfn.XLOOKUP(1,('Case Pack'!A:A=C178)*('Case Pack'!F:F&lt;=A178),'Case Pack'!G:G,"未找到箱规")</f>
        <v>C</v>
      </c>
      <c r="M178" s="124" cm="1">
        <f t="array" ref="M178">_xlfn.XLOOKUP(1,('Case Pack'!A:A=C178)*('Case Pack'!F:F&lt;=A178),'Case Pack'!D:D,"未找到箱规")</f>
        <v>42</v>
      </c>
      <c r="N178" s="125">
        <f t="shared" si="6"/>
        <v>44</v>
      </c>
      <c r="O178" s="310">
        <f>_xlfn.XLOOKUP(L178,'Case Type'!A:A,'Case Type'!H:H)*N178</f>
        <v>6.9218958336</v>
      </c>
      <c r="P178" s="86" t="s">
        <v>166</v>
      </c>
      <c r="Q178" s="86" t="s">
        <v>167</v>
      </c>
      <c r="R178" s="124" t="s">
        <v>168</v>
      </c>
      <c r="S178" s="86">
        <f>_xlfn.XLOOKUP(C178,'Product List'!B:B,'Product List'!R:R)</f>
        <v>3.1</v>
      </c>
      <c r="T178" s="86">
        <f t="shared" si="5"/>
        <v>5728.8</v>
      </c>
      <c r="U178" s="86" t="s">
        <v>92</v>
      </c>
      <c r="V178" s="86"/>
    </row>
    <row r="179" customFormat="1" spans="1:26">
      <c r="A179" s="308">
        <v>46190</v>
      </c>
      <c r="B179" s="86" t="str">
        <f>_xlfn.XLOOKUP(C179,'Product List'!B:B,'Product List'!I:I)</f>
        <v>MMO-PAPER TWIST BLU/WHT</v>
      </c>
      <c r="C179" s="135" t="s">
        <v>68</v>
      </c>
      <c r="D179" s="234">
        <f>VLOOKUP(C179,'Product List'!B:C,2,0)</f>
        <v>850030338075</v>
      </c>
      <c r="E179" s="314" t="s">
        <v>208</v>
      </c>
      <c r="F179" s="125">
        <v>240</v>
      </c>
      <c r="G179" s="290">
        <v>46220</v>
      </c>
      <c r="H179" s="309">
        <f>IF(P179="","",_xlfn.XLOOKUP(P179,'Shipment Control'!A:A,'Shipment Control'!I:I))</f>
        <v>46224</v>
      </c>
      <c r="I179" s="251">
        <f>IF(P179="",G179+30,_xlfn.XLOOKUP(P179,'Shipment Control'!A:A,'Shipment Control'!J:J))</f>
        <v>46239</v>
      </c>
      <c r="J179" s="251">
        <v>46244</v>
      </c>
      <c r="K179" s="309" t="s">
        <v>130</v>
      </c>
      <c r="L179" s="124" t="str" cm="1">
        <f t="array" ref="L179">_xlfn.XLOOKUP(1,('Case Pack'!A:A=C179)*('Case Pack'!F:F&lt;=A179),'Case Pack'!G:G,"未找到箱规")</f>
        <v>A</v>
      </c>
      <c r="M179" s="124" cm="1">
        <f t="array" ref="M179">_xlfn.XLOOKUP(1,('Case Pack'!A:A=C179)*('Case Pack'!F:F&lt;=A179),'Case Pack'!D:D,"未找到箱规")</f>
        <v>30</v>
      </c>
      <c r="N179" s="125">
        <f t="shared" si="6"/>
        <v>8</v>
      </c>
      <c r="O179" s="310">
        <f>_xlfn.XLOOKUP(L179,'Case Type'!A:A,'Case Type'!H:H)*N179</f>
        <v>0.88096856064</v>
      </c>
      <c r="P179" s="86" t="s">
        <v>166</v>
      </c>
      <c r="Q179" s="86" t="s">
        <v>167</v>
      </c>
      <c r="R179" s="124" t="s">
        <v>168</v>
      </c>
      <c r="S179" s="86">
        <f>_xlfn.XLOOKUP(C179,'Product List'!B:B,'Product List'!R:R)</f>
        <v>1.98</v>
      </c>
      <c r="T179" s="86">
        <f t="shared" si="5"/>
        <v>475.2</v>
      </c>
      <c r="U179" s="86" t="s">
        <v>92</v>
      </c>
      <c r="V179" s="86"/>
      <c r="X179" s="325"/>
      <c r="Y179" s="325"/>
      <c r="Z179" s="325"/>
    </row>
    <row r="180" customFormat="1" spans="1:26">
      <c r="A180" s="308">
        <v>46190</v>
      </c>
      <c r="B180" s="86" t="str">
        <f>_xlfn.XLOOKUP(C180,'Product List'!B:B,'Product List'!I:I)</f>
        <v>MMO-CLOUD WATER BOTTLE</v>
      </c>
      <c r="C180" s="135" t="s">
        <v>77</v>
      </c>
      <c r="D180" s="234">
        <f>VLOOKUP(C180,'Product List'!B:C,2,0)</f>
        <v>850030338112</v>
      </c>
      <c r="E180" s="314" t="s">
        <v>208</v>
      </c>
      <c r="F180" s="125">
        <v>1950</v>
      </c>
      <c r="G180" s="290">
        <v>46220</v>
      </c>
      <c r="H180" s="309">
        <f>IF(P180="","",_xlfn.XLOOKUP(P180,'Shipment Control'!A:A,'Shipment Control'!I:I))</f>
        <v>46224</v>
      </c>
      <c r="I180" s="251">
        <f>IF(P180="",G180+30,_xlfn.XLOOKUP(P180,'Shipment Control'!A:A,'Shipment Control'!J:J))</f>
        <v>46239</v>
      </c>
      <c r="J180" s="251">
        <v>46244</v>
      </c>
      <c r="K180" s="309" t="s">
        <v>130</v>
      </c>
      <c r="L180" s="124" t="str" cm="1">
        <f t="array" ref="L180">_xlfn.XLOOKUP(1,('Case Pack'!A:A=C180)*('Case Pack'!F:F&lt;=A180),'Case Pack'!G:G,"未找到箱规")</f>
        <v>A</v>
      </c>
      <c r="M180" s="124" cm="1">
        <f t="array" ref="M180">_xlfn.XLOOKUP(1,('Case Pack'!A:A=C180)*('Case Pack'!F:F&lt;=A180),'Case Pack'!D:D,"未找到箱规")</f>
        <v>50</v>
      </c>
      <c r="N180" s="125">
        <f t="shared" si="6"/>
        <v>39</v>
      </c>
      <c r="O180" s="310">
        <f>_xlfn.XLOOKUP(L180,'Case Type'!A:A,'Case Type'!H:H)*N180</f>
        <v>4.29472173312</v>
      </c>
      <c r="P180" s="86" t="s">
        <v>166</v>
      </c>
      <c r="Q180" s="86" t="s">
        <v>167</v>
      </c>
      <c r="R180" s="124" t="s">
        <v>168</v>
      </c>
      <c r="S180" s="86">
        <f>_xlfn.XLOOKUP(C180,'Product List'!B:B,'Product List'!R:R)</f>
        <v>0.62</v>
      </c>
      <c r="T180" s="86">
        <f t="shared" si="5"/>
        <v>1209</v>
      </c>
      <c r="U180" s="86" t="s">
        <v>92</v>
      </c>
      <c r="V180" s="86"/>
    </row>
    <row r="181" customFormat="1" spans="1:26">
      <c r="A181" s="308">
        <v>46190</v>
      </c>
      <c r="B181" s="86" t="str">
        <f>_xlfn.XLOOKUP(C181,'Product List'!B:B,'Product List'!I:I)</f>
        <v>MINI/MOE RUFFLE BOWL</v>
      </c>
      <c r="C181" s="135" t="s">
        <v>78</v>
      </c>
      <c r="D181" s="234">
        <f>VLOOKUP(C181,'Product List'!B:C,2,0)</f>
        <v>850030338969</v>
      </c>
      <c r="E181" s="314" t="s">
        <v>208</v>
      </c>
      <c r="F181" s="125">
        <v>576</v>
      </c>
      <c r="G181" s="309">
        <v>46249</v>
      </c>
      <c r="H181" s="309">
        <f>IF(P181="","",_xlfn.XLOOKUP(P181,'Shipment Control'!A:A,'Shipment Control'!I:I))</f>
        <v>46258</v>
      </c>
      <c r="I181" s="251">
        <f>IF(P181="",G181+30,_xlfn.XLOOKUP(P181,'Shipment Control'!A:A,'Shipment Control'!J:J))</f>
        <v>46277</v>
      </c>
      <c r="J181" s="251">
        <v>46281</v>
      </c>
      <c r="K181" s="309" t="s">
        <v>130</v>
      </c>
      <c r="L181" s="124" t="str" cm="1">
        <f t="array" ref="L181">_xlfn.XLOOKUP(1,('Case Pack'!A:A=C181)*('Case Pack'!F:F&lt;=A181),'Case Pack'!G:G,"未找到箱规")</f>
        <v>B</v>
      </c>
      <c r="M181" s="124" cm="1">
        <f t="array" ref="M181">_xlfn.XLOOKUP(1,('Case Pack'!A:A=C181)*('Case Pack'!F:F&lt;=A181),'Case Pack'!D:D,"未找到箱规")</f>
        <v>48</v>
      </c>
      <c r="N181" s="125">
        <f t="shared" si="6"/>
        <v>12</v>
      </c>
      <c r="O181" s="310">
        <f>_xlfn.XLOOKUP(L181,'Case Type'!A:A,'Case Type'!H:H)*N181</f>
        <v>0.88096856064</v>
      </c>
      <c r="P181" s="124" t="s">
        <v>202</v>
      </c>
      <c r="Q181" s="124" t="s">
        <v>203</v>
      </c>
      <c r="R181" s="124" t="s">
        <v>204</v>
      </c>
      <c r="S181" s="86">
        <f>_xlfn.XLOOKUP(C181,'Product List'!B:B,'Product List'!R:R)</f>
        <v>1.34</v>
      </c>
      <c r="T181" s="86">
        <f t="shared" si="5"/>
        <v>771.84</v>
      </c>
      <c r="U181" s="86" t="s">
        <v>92</v>
      </c>
      <c r="V181" s="86"/>
    </row>
    <row r="182" customFormat="1" spans="1:26">
      <c r="A182" s="308">
        <v>46190</v>
      </c>
      <c r="B182" s="86" t="str">
        <f>_xlfn.XLOOKUP(C182,'Product List'!B:B,'Product List'!I:I)</f>
        <v>MMO-PAPER PEBBLES</v>
      </c>
      <c r="C182" s="135" t="s">
        <v>81</v>
      </c>
      <c r="D182" s="234">
        <f>VLOOKUP(C182,'Product List'!B:C,2,0)</f>
        <v>850067049258</v>
      </c>
      <c r="E182" s="314" t="s">
        <v>208</v>
      </c>
      <c r="F182" s="125">
        <v>780</v>
      </c>
      <c r="G182" s="290">
        <v>46220</v>
      </c>
      <c r="H182" s="309">
        <f>IF(P182="","",_xlfn.XLOOKUP(P182,'Shipment Control'!A:A,'Shipment Control'!I:I))</f>
        <v>46224</v>
      </c>
      <c r="I182" s="251">
        <f>IF(P182="",G182+30,_xlfn.XLOOKUP(P182,'Shipment Control'!A:A,'Shipment Control'!J:J))</f>
        <v>46239</v>
      </c>
      <c r="J182" s="251">
        <v>46244</v>
      </c>
      <c r="K182" s="309" t="s">
        <v>130</v>
      </c>
      <c r="L182" s="124" t="str" cm="1">
        <f t="array" ref="L182">_xlfn.XLOOKUP(1,('Case Pack'!A:A=C182)*('Case Pack'!F:F&lt;=A182),'Case Pack'!G:G,"未找到箱规")</f>
        <v>B</v>
      </c>
      <c r="M182" s="124" cm="1">
        <f t="array" ref="M182">_xlfn.XLOOKUP(1,('Case Pack'!A:A=C182)*('Case Pack'!F:F&lt;=A182),'Case Pack'!D:D,"未找到箱规")</f>
        <v>12</v>
      </c>
      <c r="N182" s="125">
        <f t="shared" si="6"/>
        <v>65</v>
      </c>
      <c r="O182" s="310">
        <f>_xlfn.XLOOKUP(L182,'Case Type'!A:A,'Case Type'!H:H)*N182</f>
        <v>4.7719130368</v>
      </c>
      <c r="P182" s="86" t="s">
        <v>166</v>
      </c>
      <c r="Q182" s="86" t="s">
        <v>167</v>
      </c>
      <c r="R182" s="124" t="s">
        <v>168</v>
      </c>
      <c r="S182" s="86">
        <f>_xlfn.XLOOKUP(C182,'Product List'!B:B,'Product List'!R:R)</f>
        <v>2.84</v>
      </c>
      <c r="T182" s="86">
        <f t="shared" si="5"/>
        <v>2215.2</v>
      </c>
      <c r="U182" s="86" t="s">
        <v>92</v>
      </c>
      <c r="V182" s="86"/>
    </row>
    <row r="183" customFormat="1" spans="1:26">
      <c r="A183" s="308">
        <v>46190</v>
      </c>
      <c r="B183" s="86" t="str">
        <f>_xlfn.XLOOKUP(C183,'Product List'!B:B,'Product List'!I:I)</f>
        <v>MMO-COTTON NESTING BALLS</v>
      </c>
      <c r="C183" s="135" t="s">
        <v>84</v>
      </c>
      <c r="D183" s="234">
        <f>VLOOKUP(C183,'Product List'!B:C,2,0)</f>
        <v>850030338198</v>
      </c>
      <c r="E183" s="314" t="s">
        <v>208</v>
      </c>
      <c r="F183" s="214">
        <v>992</v>
      </c>
      <c r="G183" s="309">
        <v>46227</v>
      </c>
      <c r="H183" s="309">
        <f>IF(P183="","",_xlfn.XLOOKUP(P183,'Shipment Control'!A:A,'Shipment Control'!I:I))</f>
        <v>46238</v>
      </c>
      <c r="I183" s="251">
        <f>IF(P183="",G183+30,_xlfn.XLOOKUP(P183,'Shipment Control'!A:A,'Shipment Control'!J:J))</f>
        <v>46252</v>
      </c>
      <c r="J183" s="251">
        <v>46255</v>
      </c>
      <c r="K183" s="309" t="s">
        <v>130</v>
      </c>
      <c r="L183" s="124" t="str" cm="1">
        <f t="array" ref="L183">_xlfn.XLOOKUP(1,('Case Pack'!A:A=C183)*('Case Pack'!F:F&lt;=A183),'Case Pack'!G:G,"未找到箱规")</f>
        <v>A</v>
      </c>
      <c r="M183" s="124" cm="1">
        <f t="array" ref="M183">_xlfn.XLOOKUP(1,('Case Pack'!A:A=C183)*('Case Pack'!F:F&lt;=A183),'Case Pack'!D:D,"未找到箱规")</f>
        <v>32</v>
      </c>
      <c r="N183" s="125">
        <f t="shared" si="6"/>
        <v>31</v>
      </c>
      <c r="O183" s="310">
        <f>_xlfn.XLOOKUP(L183,'Case Type'!A:A,'Case Type'!H:H)*N183</f>
        <v>3.41375317248</v>
      </c>
      <c r="P183" s="86" t="s">
        <v>195</v>
      </c>
      <c r="Q183" s="86" t="s">
        <v>196</v>
      </c>
      <c r="R183" s="86" t="s">
        <v>197</v>
      </c>
      <c r="S183" s="86">
        <f>_xlfn.XLOOKUP(C183,'Product List'!B:B,'Product List'!R:R)</f>
        <v>1.64</v>
      </c>
      <c r="T183" s="86">
        <f t="shared" si="5"/>
        <v>1626.88</v>
      </c>
      <c r="U183" s="86" t="s">
        <v>92</v>
      </c>
      <c r="V183" s="86"/>
    </row>
    <row r="184" customFormat="1" spans="1:26">
      <c r="A184" s="308">
        <v>46204</v>
      </c>
      <c r="B184" s="86" t="str">
        <f>_xlfn.XLOOKUP(C184,'Product List'!B:B,'Product List'!I:I)</f>
        <v>MINI/MOE SILENT CRSTL RUN WHEEL LG 8.5-White</v>
      </c>
      <c r="C184" s="135" t="s">
        <v>29</v>
      </c>
      <c r="D184" s="234">
        <f>VLOOKUP(C184,'Product List'!B:C,2,0)</f>
        <v>850062627680</v>
      </c>
      <c r="E184" s="86" t="s">
        <v>209</v>
      </c>
      <c r="F184" s="125">
        <v>312</v>
      </c>
      <c r="G184" s="309">
        <v>46249</v>
      </c>
      <c r="H184" s="309">
        <f>IF(P184="","",_xlfn.XLOOKUP(P184,'Shipment Control'!A:A,'Shipment Control'!I:I))</f>
        <v>46258</v>
      </c>
      <c r="I184" s="251">
        <f>IF(P184="",G184+30,_xlfn.XLOOKUP(P184,'Shipment Control'!A:A,'Shipment Control'!J:J))</f>
        <v>46277</v>
      </c>
      <c r="J184" s="251">
        <v>46281</v>
      </c>
      <c r="K184" s="309" t="s">
        <v>130</v>
      </c>
      <c r="L184" s="124" t="str" cm="1">
        <f t="array" ref="L184">_xlfn.XLOOKUP(1,('Case Pack'!A:A=C184)*('Case Pack'!F:F&lt;=A184),'Case Pack'!G:G,"未找到箱规")</f>
        <v>C</v>
      </c>
      <c r="M184" s="124" cm="1">
        <f t="array" ref="M184">_xlfn.XLOOKUP(1,('Case Pack'!A:A=C184)*('Case Pack'!F:F&lt;=A184),'Case Pack'!D:D,"未找到箱规")</f>
        <v>8</v>
      </c>
      <c r="N184" s="125">
        <f t="shared" si="6"/>
        <v>39</v>
      </c>
      <c r="O184" s="310">
        <f>_xlfn.XLOOKUP(L184,'Case Type'!A:A,'Case Type'!H:H)*N184</f>
        <v>6.1353167616</v>
      </c>
      <c r="P184" s="124" t="s">
        <v>202</v>
      </c>
      <c r="Q184" s="124" t="s">
        <v>203</v>
      </c>
      <c r="R184" s="124" t="s">
        <v>204</v>
      </c>
      <c r="S184" s="86">
        <f>_xlfn.XLOOKUP(C184,'Product List'!B:B,'Product List'!R:R)</f>
        <v>6.27</v>
      </c>
      <c r="T184" s="86">
        <f t="shared" si="5"/>
        <v>1956.24</v>
      </c>
      <c r="U184" s="86" t="s">
        <v>92</v>
      </c>
      <c r="V184" s="86"/>
    </row>
    <row r="185" customFormat="1" spans="1:26">
      <c r="A185" s="308">
        <v>46204</v>
      </c>
      <c r="B185" s="86" t="str">
        <f>_xlfn.XLOOKUP(C185,'Product List'!B:B,'Product List'!I:I)</f>
        <v>MMO-CAMP LUNCH BOX CHEW</v>
      </c>
      <c r="C185" s="135" t="s">
        <v>34</v>
      </c>
      <c r="D185" s="234">
        <f>VLOOKUP(C185,'Product List'!B:C,2,0)</f>
        <v>698746777012</v>
      </c>
      <c r="E185" s="86" t="s">
        <v>209</v>
      </c>
      <c r="F185" s="125">
        <v>1008</v>
      </c>
      <c r="G185" s="309">
        <v>46247</v>
      </c>
      <c r="H185" s="309">
        <f>IF(P185="","",_xlfn.XLOOKUP(P185,'Shipment Control'!A:A,'Shipment Control'!I:I))</f>
        <v>46260</v>
      </c>
      <c r="I185" s="251">
        <f>IF(P185="",G185+30,_xlfn.XLOOKUP(P185,'Shipment Control'!A:A,'Shipment Control'!J:J))</f>
        <v>46274</v>
      </c>
      <c r="J185" s="251">
        <v>46282</v>
      </c>
      <c r="K185" s="309" t="s">
        <v>130</v>
      </c>
      <c r="L185" s="124" t="str" cm="1">
        <f t="array" ref="L185">_xlfn.XLOOKUP(1,('Case Pack'!A:A=C185)*('Case Pack'!F:F&lt;=A185),'Case Pack'!G:G,"未找到箱规")</f>
        <v>B</v>
      </c>
      <c r="M185" s="124" cm="1">
        <f t="array" ref="M185">_xlfn.XLOOKUP(1,('Case Pack'!A:A=C185)*('Case Pack'!F:F&lt;=A185),'Case Pack'!D:D,"未找到箱规")</f>
        <v>72</v>
      </c>
      <c r="N185" s="125">
        <f t="shared" si="6"/>
        <v>14</v>
      </c>
      <c r="O185" s="310">
        <f>_xlfn.XLOOKUP(L185,'Case Type'!A:A,'Case Type'!H:H)*N185</f>
        <v>1.02779665408</v>
      </c>
      <c r="P185" s="326" t="s">
        <v>210</v>
      </c>
      <c r="Q185" s="321" t="s">
        <v>159</v>
      </c>
      <c r="R185" s="322"/>
      <c r="S185" s="86">
        <f>_xlfn.XLOOKUP(C185,'Product List'!B:B,'Product List'!R:R)</f>
        <v>1.59</v>
      </c>
      <c r="T185" s="86">
        <f t="shared" si="5"/>
        <v>1602.72</v>
      </c>
      <c r="U185" s="86" t="s">
        <v>92</v>
      </c>
      <c r="V185" s="86"/>
    </row>
    <row r="186" customFormat="1" spans="1:26">
      <c r="A186" s="308">
        <v>46204</v>
      </c>
      <c r="B186" s="86" t="str">
        <f>_xlfn.XLOOKUP(C186,'Product List'!B:B,'Product List'!I:I)</f>
        <v>MMO-SHELL PEARL HAMSTER CHEW</v>
      </c>
      <c r="C186" s="135" t="s">
        <v>35</v>
      </c>
      <c r="D186" s="234">
        <f>VLOOKUP(C186,'Product List'!B:C,2,0)</f>
        <v>698746777074</v>
      </c>
      <c r="E186" s="86" t="s">
        <v>209</v>
      </c>
      <c r="F186" s="125">
        <v>1024</v>
      </c>
      <c r="G186" s="309">
        <v>46247</v>
      </c>
      <c r="H186" s="309">
        <f>IF(P186="","",_xlfn.XLOOKUP(P186,'Shipment Control'!A:A,'Shipment Control'!I:I))</f>
        <v>46260</v>
      </c>
      <c r="I186" s="251">
        <f>IF(P186="",G186+30,_xlfn.XLOOKUP(P186,'Shipment Control'!A:A,'Shipment Control'!J:J))</f>
        <v>46274</v>
      </c>
      <c r="J186" s="251">
        <v>46282</v>
      </c>
      <c r="K186" s="309" t="s">
        <v>130</v>
      </c>
      <c r="L186" s="124" t="str" cm="1">
        <f t="array" ref="L186">_xlfn.XLOOKUP(1,('Case Pack'!A:A=C186)*('Case Pack'!F:F&lt;=A186),'Case Pack'!G:G,"未找到箱规")</f>
        <v>B</v>
      </c>
      <c r="M186" s="124" cm="1">
        <f t="array" ref="M186">_xlfn.XLOOKUP(1,('Case Pack'!A:A=C186)*('Case Pack'!F:F&lt;=A186),'Case Pack'!D:D,"未找到箱规")</f>
        <v>64</v>
      </c>
      <c r="N186" s="125">
        <f t="shared" si="6"/>
        <v>16</v>
      </c>
      <c r="O186" s="310">
        <f>_xlfn.XLOOKUP(L186,'Case Type'!A:A,'Case Type'!H:H)*N186</f>
        <v>1.17462474752</v>
      </c>
      <c r="P186" s="326" t="s">
        <v>210</v>
      </c>
      <c r="Q186" s="316" t="s">
        <v>159</v>
      </c>
      <c r="R186" s="317"/>
      <c r="S186" s="86">
        <f>_xlfn.XLOOKUP(C186,'Product List'!B:B,'Product List'!R:R)</f>
        <v>0.96</v>
      </c>
      <c r="T186" s="86">
        <f t="shared" si="5"/>
        <v>983.04</v>
      </c>
      <c r="U186" s="86" t="s">
        <v>92</v>
      </c>
      <c r="V186" s="86"/>
    </row>
    <row r="187" customFormat="1" spans="1:26">
      <c r="A187" s="308">
        <v>46204</v>
      </c>
      <c r="B187" s="86" t="str">
        <f>_xlfn.XLOOKUP(C187,'Product List'!B:B,'Product List'!I:I)</f>
        <v>MMO-PAPER TWIST BLU/WHT</v>
      </c>
      <c r="C187" s="135" t="s">
        <v>68</v>
      </c>
      <c r="D187" s="234">
        <f>VLOOKUP(C187,'Product List'!B:C,2,0)</f>
        <v>850030338075</v>
      </c>
      <c r="E187" s="86" t="s">
        <v>209</v>
      </c>
      <c r="F187" s="125">
        <v>1020</v>
      </c>
      <c r="G187" s="309">
        <v>46249</v>
      </c>
      <c r="H187" s="309">
        <f>IF(P187="","",_xlfn.XLOOKUP(P187,'Shipment Control'!A:A,'Shipment Control'!I:I))</f>
        <v>46258</v>
      </c>
      <c r="I187" s="251">
        <f>IF(P187="",G187+30,_xlfn.XLOOKUP(P187,'Shipment Control'!A:A,'Shipment Control'!J:J))</f>
        <v>46277</v>
      </c>
      <c r="J187" s="251">
        <v>46281</v>
      </c>
      <c r="K187" s="309" t="s">
        <v>130</v>
      </c>
      <c r="L187" s="124" t="str" cm="1">
        <f t="array" ref="L187">_xlfn.XLOOKUP(1,('Case Pack'!A:A=C187)*('Case Pack'!F:F&lt;=A187),'Case Pack'!G:G,"未找到箱规")</f>
        <v>A</v>
      </c>
      <c r="M187" s="124" cm="1">
        <f t="array" ref="M187">_xlfn.XLOOKUP(1,('Case Pack'!A:A=C187)*('Case Pack'!F:F&lt;=A187),'Case Pack'!D:D,"未找到箱规")</f>
        <v>30</v>
      </c>
      <c r="N187" s="125">
        <f t="shared" si="6"/>
        <v>34</v>
      </c>
      <c r="O187" s="310">
        <f>_xlfn.XLOOKUP(L187,'Case Type'!A:A,'Case Type'!H:H)*N187</f>
        <v>3.74411638272</v>
      </c>
      <c r="P187" s="124" t="s">
        <v>202</v>
      </c>
      <c r="Q187" s="124" t="s">
        <v>203</v>
      </c>
      <c r="R187" s="124" t="s">
        <v>204</v>
      </c>
      <c r="S187" s="86">
        <f>_xlfn.XLOOKUP(C187,'Product List'!B:B,'Product List'!R:R)</f>
        <v>1.98</v>
      </c>
      <c r="T187" s="86">
        <f t="shared" si="5"/>
        <v>2019.6</v>
      </c>
      <c r="U187" s="86" t="s">
        <v>92</v>
      </c>
      <c r="V187" s="86"/>
    </row>
    <row r="188" customFormat="1" spans="1:26">
      <c r="A188" s="308">
        <v>46204</v>
      </c>
      <c r="B188" s="86" t="str">
        <f>_xlfn.XLOOKUP(C188,'Product List'!B:B,'Product List'!I:I)</f>
        <v>MINI/MOE RUFFLE BOWL</v>
      </c>
      <c r="C188" s="135" t="s">
        <v>78</v>
      </c>
      <c r="D188" s="234">
        <f>VLOOKUP(C188,'Product List'!B:C,2,0)</f>
        <v>850030338969</v>
      </c>
      <c r="E188" s="86" t="s">
        <v>209</v>
      </c>
      <c r="F188" s="125">
        <v>1920</v>
      </c>
      <c r="G188" s="309">
        <v>46266</v>
      </c>
      <c r="H188" s="309">
        <f>IF(P188="","",_xlfn.XLOOKUP(P188,'Shipment Control'!A:A,'Shipment Control'!I:I))</f>
        <v>46258</v>
      </c>
      <c r="I188" s="251">
        <f>IF(P188="",G188+30,_xlfn.XLOOKUP(P188,'Shipment Control'!A:A,'Shipment Control'!J:J))</f>
        <v>46277</v>
      </c>
      <c r="J188" s="251">
        <v>46281</v>
      </c>
      <c r="K188" s="309" t="s">
        <v>130</v>
      </c>
      <c r="L188" s="124" t="str" cm="1">
        <f t="array" ref="L188">_xlfn.XLOOKUP(1,('Case Pack'!A:A=C188)*('Case Pack'!F:F&lt;=A188),'Case Pack'!G:G,"未找到箱规")</f>
        <v>B</v>
      </c>
      <c r="M188" s="124" cm="1">
        <f t="array" ref="M188">_xlfn.XLOOKUP(1,('Case Pack'!A:A=C188)*('Case Pack'!F:F&lt;=A188),'Case Pack'!D:D,"未找到箱规")</f>
        <v>48</v>
      </c>
      <c r="N188" s="125">
        <f t="shared" si="6"/>
        <v>40</v>
      </c>
      <c r="O188" s="310">
        <f>_xlfn.XLOOKUP(L188,'Case Type'!A:A,'Case Type'!H:H)*N188</f>
        <v>2.9365618688</v>
      </c>
      <c r="P188" s="124" t="s">
        <v>202</v>
      </c>
      <c r="Q188" s="124" t="s">
        <v>203</v>
      </c>
      <c r="R188" s="124" t="s">
        <v>204</v>
      </c>
      <c r="S188" s="86">
        <f>_xlfn.XLOOKUP(C188,'Product List'!B:B,'Product List'!R:R)</f>
        <v>1.34</v>
      </c>
      <c r="T188" s="86">
        <f t="shared" si="5"/>
        <v>2572.8</v>
      </c>
      <c r="U188" s="86" t="s">
        <v>92</v>
      </c>
      <c r="V188" s="86"/>
    </row>
    <row r="189" customFormat="1" spans="1:26">
      <c r="A189" s="308">
        <v>46204</v>
      </c>
      <c r="B189" s="86" t="str">
        <f>_xlfn.XLOOKUP(C189,'Product List'!B:B,'Product List'!I:I)</f>
        <v>MMO-PAPER PEBBLES</v>
      </c>
      <c r="C189" s="135" t="s">
        <v>81</v>
      </c>
      <c r="D189" s="234">
        <f>VLOOKUP(C189,'Product List'!B:C,2,0)</f>
        <v>850067049258</v>
      </c>
      <c r="E189" s="86" t="s">
        <v>209</v>
      </c>
      <c r="F189" s="125">
        <v>1008</v>
      </c>
      <c r="G189" s="309">
        <v>46249</v>
      </c>
      <c r="H189" s="309">
        <f>IF(P189="","",_xlfn.XLOOKUP(P189,'Shipment Control'!A:A,'Shipment Control'!I:I))</f>
        <v>46258</v>
      </c>
      <c r="I189" s="251">
        <f>IF(P189="",G189+30,_xlfn.XLOOKUP(P189,'Shipment Control'!A:A,'Shipment Control'!J:J))</f>
        <v>46277</v>
      </c>
      <c r="J189" s="251">
        <v>46281</v>
      </c>
      <c r="K189" s="309" t="s">
        <v>130</v>
      </c>
      <c r="L189" s="124" t="str" cm="1">
        <f t="array" ref="L189">_xlfn.XLOOKUP(1,('Case Pack'!A:A=C189)*('Case Pack'!F:F&lt;=A189),'Case Pack'!G:G,"未找到箱规")</f>
        <v>B</v>
      </c>
      <c r="M189" s="124" cm="1">
        <f t="array" ref="M189">_xlfn.XLOOKUP(1,('Case Pack'!A:A=C189)*('Case Pack'!F:F&lt;=A189),'Case Pack'!D:D,"未找到箱规")</f>
        <v>12</v>
      </c>
      <c r="N189" s="125">
        <f t="shared" si="6"/>
        <v>84</v>
      </c>
      <c r="O189" s="310">
        <f>_xlfn.XLOOKUP(L189,'Case Type'!A:A,'Case Type'!H:H)*N189</f>
        <v>6.16677992448</v>
      </c>
      <c r="P189" s="124" t="s">
        <v>202</v>
      </c>
      <c r="Q189" s="124" t="s">
        <v>203</v>
      </c>
      <c r="R189" s="124" t="s">
        <v>204</v>
      </c>
      <c r="S189" s="86">
        <f>_xlfn.XLOOKUP(C189,'Product List'!B:B,'Product List'!R:R)</f>
        <v>2.84</v>
      </c>
      <c r="T189" s="86">
        <f t="shared" si="5"/>
        <v>2862.72</v>
      </c>
      <c r="U189" s="86" t="s">
        <v>92</v>
      </c>
      <c r="V189" s="86"/>
    </row>
    <row r="190" customFormat="1" spans="1:26">
      <c r="A190" s="308">
        <v>46204</v>
      </c>
      <c r="B190" s="86" t="str">
        <f>_xlfn.XLOOKUP(C190,'Product List'!B:B,'Product List'!I:I)</f>
        <v>MMO-COTTON NESTING BALLS</v>
      </c>
      <c r="C190" s="135" t="s">
        <v>84</v>
      </c>
      <c r="D190" s="234">
        <f>VLOOKUP(C190,'Product List'!B:C,2,0)</f>
        <v>850030338198</v>
      </c>
      <c r="E190" s="86" t="s">
        <v>209</v>
      </c>
      <c r="F190" s="125">
        <v>992</v>
      </c>
      <c r="G190" s="309">
        <v>46249</v>
      </c>
      <c r="H190" s="309">
        <f>IF(P190="","",_xlfn.XLOOKUP(P190,'Shipment Control'!A:A,'Shipment Control'!I:I))</f>
        <v>46258</v>
      </c>
      <c r="I190" s="251">
        <f>IF(P190="",G190+30,_xlfn.XLOOKUP(P190,'Shipment Control'!A:A,'Shipment Control'!J:J))</f>
        <v>46277</v>
      </c>
      <c r="J190" s="251">
        <v>46281</v>
      </c>
      <c r="K190" s="309" t="s">
        <v>130</v>
      </c>
      <c r="L190" s="124" t="str" cm="1">
        <f t="array" ref="L190">_xlfn.XLOOKUP(1,('Case Pack'!A:A=C190)*('Case Pack'!F:F&lt;=A190),'Case Pack'!G:G,"未找到箱规")</f>
        <v>A</v>
      </c>
      <c r="M190" s="124" cm="1">
        <f t="array" ref="M190">_xlfn.XLOOKUP(1,('Case Pack'!A:A=C190)*('Case Pack'!F:F&lt;=A190),'Case Pack'!D:D,"未找到箱规")</f>
        <v>32</v>
      </c>
      <c r="N190" s="125">
        <f t="shared" si="6"/>
        <v>31</v>
      </c>
      <c r="O190" s="310">
        <f>_xlfn.XLOOKUP(L190,'Case Type'!A:A,'Case Type'!H:H)*N190</f>
        <v>3.41375317248</v>
      </c>
      <c r="P190" s="124" t="s">
        <v>202</v>
      </c>
      <c r="Q190" s="124" t="s">
        <v>203</v>
      </c>
      <c r="R190" s="124" t="s">
        <v>204</v>
      </c>
      <c r="S190" s="86">
        <f>_xlfn.XLOOKUP(C190,'Product List'!B:B,'Product List'!R:R)</f>
        <v>1.64</v>
      </c>
      <c r="T190" s="86">
        <f t="shared" si="5"/>
        <v>1626.88</v>
      </c>
      <c r="U190" s="86" t="s">
        <v>92</v>
      </c>
      <c r="V190" s="86"/>
    </row>
    <row r="191" customFormat="1" spans="1:26">
      <c r="A191" s="308">
        <v>46204</v>
      </c>
      <c r="B191" s="86" t="str">
        <f>_xlfn.XLOOKUP(C191,'Product List'!B:B,'Product List'!I:I)</f>
        <v>MMO-COTTON NESTING BALLS</v>
      </c>
      <c r="C191" s="135" t="s">
        <v>84</v>
      </c>
      <c r="D191" s="234">
        <f>VLOOKUP(C191,'Product List'!B:C,2,0)</f>
        <v>850030338198</v>
      </c>
      <c r="E191" s="86" t="s">
        <v>209</v>
      </c>
      <c r="F191" s="125">
        <v>32</v>
      </c>
      <c r="G191" s="309">
        <v>46264</v>
      </c>
      <c r="H191" s="309">
        <f>IF(P191="","",_xlfn.XLOOKUP(P191,'Shipment Control'!A:A,'Shipment Control'!I:I))</f>
        <v>46281</v>
      </c>
      <c r="I191" s="251">
        <f>IF(P191="",G191+30,_xlfn.XLOOKUP(P191,'Shipment Control'!A:A,'Shipment Control'!J:J))</f>
        <v>46299</v>
      </c>
      <c r="J191" s="251">
        <v>46303</v>
      </c>
      <c r="K191" s="309" t="s">
        <v>130</v>
      </c>
      <c r="L191" s="124" t="str" cm="1">
        <f t="array" ref="L191">_xlfn.XLOOKUP(1,('Case Pack'!A:A=C191)*('Case Pack'!F:F&lt;=A191),'Case Pack'!G:G,"未找到箱规")</f>
        <v>A</v>
      </c>
      <c r="M191" s="124" cm="1">
        <f t="array" ref="M191">_xlfn.XLOOKUP(1,('Case Pack'!A:A=C191)*('Case Pack'!F:F&lt;=A191),'Case Pack'!D:D,"未找到箱规")</f>
        <v>32</v>
      </c>
      <c r="N191" s="125">
        <f t="shared" si="6"/>
        <v>1</v>
      </c>
      <c r="O191" s="310">
        <f>_xlfn.XLOOKUP(L191,'Case Type'!A:A,'Case Type'!H:H)*N191</f>
        <v>0.11012107008</v>
      </c>
      <c r="P191" s="124" t="s">
        <v>211</v>
      </c>
      <c r="Q191" s="124" t="s">
        <v>212</v>
      </c>
      <c r="R191" s="124" t="s">
        <v>213</v>
      </c>
      <c r="S191" s="86">
        <f>_xlfn.XLOOKUP(C191,'Product List'!B:B,'Product List'!R:R)</f>
        <v>1.64</v>
      </c>
      <c r="T191" s="86">
        <f t="shared" si="5"/>
        <v>52.48</v>
      </c>
      <c r="U191" s="86" t="s">
        <v>92</v>
      </c>
      <c r="V191" s="86"/>
    </row>
    <row r="192" customFormat="1" spans="1:26">
      <c r="A192" s="308">
        <v>46219</v>
      </c>
      <c r="B192" s="86" t="str">
        <f>_xlfn.XLOOKUP(C192,'Product List'!B:B,'Product List'!I:I)</f>
        <v>MINI/MOE TV VIEWING CAGE</v>
      </c>
      <c r="C192" s="135" t="s">
        <v>50</v>
      </c>
      <c r="D192" s="234">
        <f>VLOOKUP(C192,'Product List'!B:C,2,0)</f>
        <v>850030338761</v>
      </c>
      <c r="E192" s="86" t="s">
        <v>214</v>
      </c>
      <c r="F192" s="283">
        <v>264</v>
      </c>
      <c r="G192" s="309">
        <v>46264</v>
      </c>
      <c r="H192" s="309">
        <f>IF(P192="","",_xlfn.XLOOKUP(P192,'Shipment Control'!A:A,'Shipment Control'!I:I))</f>
        <v>46281</v>
      </c>
      <c r="I192" s="251">
        <f>IF(P192="",G192+30,_xlfn.XLOOKUP(P192,'Shipment Control'!A:A,'Shipment Control'!J:J))</f>
        <v>46299</v>
      </c>
      <c r="J192" s="251">
        <v>46303</v>
      </c>
      <c r="K192" s="309" t="s">
        <v>130</v>
      </c>
      <c r="L192" s="124" t="str" cm="1">
        <f t="array" ref="L192">_xlfn.XLOOKUP(1,('Case Pack'!A:A=C192)*('Case Pack'!F:F&lt;=A192),'Case Pack'!G:G,"未找到箱规")</f>
        <v>S1</v>
      </c>
      <c r="M192" s="124" cm="1">
        <f t="array" ref="M192">_xlfn.XLOOKUP(1,('Case Pack'!A:A=C192)*('Case Pack'!F:F&lt;=A192),'Case Pack'!D:D,"未找到箱规")</f>
        <v>1</v>
      </c>
      <c r="N192" s="125">
        <f t="shared" si="6"/>
        <v>264</v>
      </c>
      <c r="O192" s="310">
        <f>_xlfn.XLOOKUP(L192,'Case Type'!A:A,'Case Type'!H:H)*N192</f>
        <v>19.536600507336</v>
      </c>
      <c r="P192" s="124" t="s">
        <v>211</v>
      </c>
      <c r="Q192" s="124" t="s">
        <v>212</v>
      </c>
      <c r="R192" s="124" t="s">
        <v>213</v>
      </c>
      <c r="S192" s="86">
        <f>_xlfn.XLOOKUP(C192,'Product List'!B:B,'Product List'!R:R)</f>
        <v>24.09</v>
      </c>
      <c r="T192" s="86">
        <f t="shared" si="5"/>
        <v>6359.76</v>
      </c>
      <c r="U192" s="86" t="s">
        <v>92</v>
      </c>
      <c r="V192" s="86"/>
    </row>
    <row r="193" customFormat="1" spans="1:22">
      <c r="A193" s="308">
        <v>46219</v>
      </c>
      <c r="B193" s="86" t="str">
        <f>_xlfn.XLOOKUP(C193,'Product List'!B:B,'Product List'!I:I)</f>
        <v>MINI/MOE TV VIEWING CAGE</v>
      </c>
      <c r="C193" s="135" t="s">
        <v>50</v>
      </c>
      <c r="D193" s="234">
        <f>VLOOKUP(C193,'Product List'!B:C,2,0)</f>
        <v>850030338761</v>
      </c>
      <c r="E193" s="86" t="s">
        <v>214</v>
      </c>
      <c r="F193" s="283">
        <v>952</v>
      </c>
      <c r="G193" s="309">
        <v>46255</v>
      </c>
      <c r="H193" s="309">
        <f>IF(P193="","",_xlfn.XLOOKUP(P193,'Shipment Control'!A:A,'Shipment Control'!I:I))</f>
        <v>46266</v>
      </c>
      <c r="I193" s="251">
        <f>IF(P193="",G193+30,_xlfn.XLOOKUP(P193,'Shipment Control'!A:A,'Shipment Control'!J:J))</f>
        <v>46287</v>
      </c>
      <c r="J193" s="251">
        <v>46295</v>
      </c>
      <c r="K193" s="309" t="s">
        <v>130</v>
      </c>
      <c r="L193" s="124" t="str" cm="1">
        <f t="array" ref="L193">_xlfn.XLOOKUP(1,('Case Pack'!A:A=C193)*('Case Pack'!F:F&lt;=A193),'Case Pack'!G:G,"未找到箱规")</f>
        <v>S1</v>
      </c>
      <c r="M193" s="124" cm="1">
        <f t="array" ref="M193">_xlfn.XLOOKUP(1,('Case Pack'!A:A=C193)*('Case Pack'!F:F&lt;=A193),'Case Pack'!D:D,"未找到箱规")</f>
        <v>1</v>
      </c>
      <c r="N193" s="125">
        <f t="shared" si="6"/>
        <v>952</v>
      </c>
      <c r="O193" s="310">
        <f>_xlfn.XLOOKUP(L193,'Case Type'!A:A,'Case Type'!H:H)*N193</f>
        <v>70.450165465848</v>
      </c>
      <c r="P193" s="124" t="s">
        <v>215</v>
      </c>
      <c r="Q193" s="124" t="s">
        <v>216</v>
      </c>
      <c r="R193" s="124" t="s">
        <v>217</v>
      </c>
      <c r="S193" s="86">
        <f>_xlfn.XLOOKUP(C193,'Product List'!B:B,'Product List'!R:R)</f>
        <v>24.09</v>
      </c>
      <c r="T193" s="86">
        <f t="shared" si="5"/>
        <v>22933.68</v>
      </c>
      <c r="U193" s="86" t="s">
        <v>92</v>
      </c>
      <c r="V193" s="86"/>
    </row>
    <row r="194" customFormat="1" spans="1:22">
      <c r="A194" s="308">
        <v>46219</v>
      </c>
      <c r="B194" s="86" t="str">
        <f>_xlfn.XLOOKUP(C194,'Product List'!B:B,'Product List'!I:I)</f>
        <v>MINI/MOE TV VIEWING CAGE</v>
      </c>
      <c r="C194" s="135" t="s">
        <v>50</v>
      </c>
      <c r="D194" s="234">
        <f>VLOOKUP(C194,'Product List'!B:C,2,0)</f>
        <v>850030338761</v>
      </c>
      <c r="E194" s="86" t="s">
        <v>214</v>
      </c>
      <c r="F194" s="125">
        <v>952</v>
      </c>
      <c r="G194" s="309">
        <v>46255</v>
      </c>
      <c r="H194" s="309">
        <v>46259</v>
      </c>
      <c r="I194" s="251">
        <f>IF(P194="",G194+30,_xlfn.XLOOKUP(P194,'Shipment Control'!A:A,'Shipment Control'!J:J))</f>
        <v>46285</v>
      </c>
      <c r="J194" s="251">
        <v>46289</v>
      </c>
      <c r="K194" s="309" t="s">
        <v>130</v>
      </c>
      <c r="L194" s="124" t="str" cm="1">
        <f t="array" ref="L194">_xlfn.XLOOKUP(1,('Case Pack'!A:A=C194)*('Case Pack'!F:F&lt;=A194),'Case Pack'!G:G,"未找到箱规")</f>
        <v>S1</v>
      </c>
      <c r="M194" s="124" cm="1">
        <f t="array" ref="M194">_xlfn.XLOOKUP(1,('Case Pack'!A:A=C194)*('Case Pack'!F:F&lt;=A194),'Case Pack'!D:D,"未找到箱规")</f>
        <v>1</v>
      </c>
      <c r="N194" s="125">
        <f t="shared" si="6"/>
        <v>952</v>
      </c>
      <c r="O194" s="310">
        <f>_xlfn.XLOOKUP(L194,'Case Type'!A:A,'Case Type'!H:H)*N194</f>
        <v>70.450165465848</v>
      </c>
      <c r="P194" s="124" t="s">
        <v>218</v>
      </c>
      <c r="Q194" s="124" t="s">
        <v>219</v>
      </c>
      <c r="R194" s="124" t="s">
        <v>220</v>
      </c>
      <c r="S194" s="86">
        <f>_xlfn.XLOOKUP(C194,'Product List'!B:B,'Product List'!R:R)</f>
        <v>24.09</v>
      </c>
      <c r="T194" s="86">
        <f t="shared" ref="T194:T246" si="7">S194*F194</f>
        <v>22933.68</v>
      </c>
      <c r="U194" s="86" t="s">
        <v>92</v>
      </c>
      <c r="V194" s="86"/>
    </row>
    <row r="195" customFormat="1" spans="1:22">
      <c r="A195" s="308">
        <v>46219</v>
      </c>
      <c r="B195" s="86" t="str">
        <f>_xlfn.XLOOKUP(C195,'Product List'!B:B,'Product List'!I:I)</f>
        <v>MINI/MOE TV VIEWING CAGE</v>
      </c>
      <c r="C195" s="135" t="s">
        <v>50</v>
      </c>
      <c r="D195" s="234">
        <f>VLOOKUP(C195,'Product List'!B:C,2,0)</f>
        <v>850030338761</v>
      </c>
      <c r="E195" s="86" t="s">
        <v>214</v>
      </c>
      <c r="F195" s="125">
        <v>952</v>
      </c>
      <c r="G195" s="309">
        <v>46255</v>
      </c>
      <c r="H195" s="309">
        <v>46259</v>
      </c>
      <c r="I195" s="251">
        <f>IF(P195="",G195+30,_xlfn.XLOOKUP(P195,'Shipment Control'!A:A,'Shipment Control'!J:J))</f>
        <v>46285</v>
      </c>
      <c r="J195" s="251">
        <v>46294</v>
      </c>
      <c r="K195" s="309" t="s">
        <v>130</v>
      </c>
      <c r="L195" s="124" t="str" cm="1">
        <f t="array" ref="L195">_xlfn.XLOOKUP(1,('Case Pack'!A:A=C195)*('Case Pack'!F:F&lt;=A195),'Case Pack'!G:G,"未找到箱规")</f>
        <v>S1</v>
      </c>
      <c r="M195" s="124" cm="1">
        <f t="array" ref="M195">_xlfn.XLOOKUP(1,('Case Pack'!A:A=C195)*('Case Pack'!F:F&lt;=A195),'Case Pack'!D:D,"未找到箱规")</f>
        <v>1</v>
      </c>
      <c r="N195" s="125">
        <f t="shared" si="6"/>
        <v>952</v>
      </c>
      <c r="O195" s="310">
        <f>_xlfn.XLOOKUP(L195,'Case Type'!A:A,'Case Type'!H:H)*N195</f>
        <v>70.450165465848</v>
      </c>
      <c r="P195" s="124" t="s">
        <v>221</v>
      </c>
      <c r="Q195" s="124" t="s">
        <v>222</v>
      </c>
      <c r="R195" s="124" t="s">
        <v>223</v>
      </c>
      <c r="S195" s="86">
        <f>_xlfn.XLOOKUP(C195,'Product List'!B:B,'Product List'!R:R)</f>
        <v>24.09</v>
      </c>
      <c r="T195" s="86">
        <f t="shared" si="7"/>
        <v>22933.68</v>
      </c>
      <c r="U195" s="86" t="s">
        <v>92</v>
      </c>
      <c r="V195" s="86"/>
    </row>
    <row r="196" customFormat="1" spans="1:22">
      <c r="A196" s="308">
        <v>46219</v>
      </c>
      <c r="B196" s="86" t="str">
        <f>_xlfn.XLOOKUP(C196,'Product List'!B:B,'Product List'!I:I)</f>
        <v>MMO-CLOUD WATER BOTTLE</v>
      </c>
      <c r="C196" s="135" t="s">
        <v>77</v>
      </c>
      <c r="D196" s="234">
        <f>VLOOKUP(C196,'Product List'!B:C,2,0)</f>
        <v>850030338112</v>
      </c>
      <c r="E196" s="86" t="s">
        <v>214</v>
      </c>
      <c r="F196" s="125">
        <v>2200</v>
      </c>
      <c r="G196" s="309">
        <v>46255</v>
      </c>
      <c r="H196" s="309">
        <f>IF(P196="","",_xlfn.XLOOKUP(P196,'Shipment Control'!A:A,'Shipment Control'!I:I))</f>
        <v>46258</v>
      </c>
      <c r="I196" s="251">
        <f>IF(P196="",G196+30,_xlfn.XLOOKUP(P196,'Shipment Control'!A:A,'Shipment Control'!J:J))</f>
        <v>46277</v>
      </c>
      <c r="J196" s="251">
        <v>46281</v>
      </c>
      <c r="K196" s="309" t="s">
        <v>130</v>
      </c>
      <c r="L196" s="124" t="str" cm="1">
        <f t="array" ref="L196">_xlfn.XLOOKUP(1,('Case Pack'!A:A=C196)*('Case Pack'!F:F&lt;=A196),'Case Pack'!G:G,"未找到箱规")</f>
        <v>A</v>
      </c>
      <c r="M196" s="124" cm="1">
        <f t="array" ref="M196">_xlfn.XLOOKUP(1,('Case Pack'!A:A=C196)*('Case Pack'!F:F&lt;=A196),'Case Pack'!D:D,"未找到箱规")</f>
        <v>50</v>
      </c>
      <c r="N196" s="125">
        <f t="shared" si="6"/>
        <v>44</v>
      </c>
      <c r="O196" s="310">
        <f>_xlfn.XLOOKUP(L196,'Case Type'!A:A,'Case Type'!H:H)*N196</f>
        <v>4.84532708352</v>
      </c>
      <c r="P196" s="124" t="s">
        <v>202</v>
      </c>
      <c r="Q196" s="124" t="s">
        <v>203</v>
      </c>
      <c r="R196" s="124" t="s">
        <v>204</v>
      </c>
      <c r="S196" s="86">
        <f>_xlfn.XLOOKUP(C196,'Product List'!B:B,'Product List'!R:R)</f>
        <v>0.62</v>
      </c>
      <c r="T196" s="86">
        <f t="shared" si="7"/>
        <v>1364</v>
      </c>
      <c r="U196" s="86" t="s">
        <v>92</v>
      </c>
      <c r="V196" s="86"/>
    </row>
    <row r="197" customFormat="1" spans="1:22">
      <c r="A197" s="308">
        <v>46219</v>
      </c>
      <c r="B197" s="86" t="str">
        <f>_xlfn.XLOOKUP(C197,'Product List'!B:B,'Product List'!I:I)</f>
        <v>MMO-BUBBLE WATER BOTTLE</v>
      </c>
      <c r="C197" s="135" t="s">
        <v>67</v>
      </c>
      <c r="D197" s="234">
        <f>VLOOKUP(C197,'Product List'!B:C,2,0)</f>
        <v>760762456971</v>
      </c>
      <c r="E197" s="86" t="s">
        <v>214</v>
      </c>
      <c r="F197" s="125">
        <v>1848</v>
      </c>
      <c r="G197" s="309">
        <v>46255</v>
      </c>
      <c r="H197" s="309">
        <f>IF(P197="","",_xlfn.XLOOKUP(P197,'Shipment Control'!A:A,'Shipment Control'!I:I))</f>
        <v>46258</v>
      </c>
      <c r="I197" s="251">
        <f>IF(P197="",G197+30,_xlfn.XLOOKUP(P197,'Shipment Control'!A:A,'Shipment Control'!J:J))</f>
        <v>46277</v>
      </c>
      <c r="J197" s="251">
        <v>46281</v>
      </c>
      <c r="K197" s="309" t="s">
        <v>130</v>
      </c>
      <c r="L197" s="124" t="str" cm="1">
        <f t="array" ref="L197">_xlfn.XLOOKUP(1,('Case Pack'!A:A=C197)*('Case Pack'!F:F&lt;=A197),'Case Pack'!G:G,"未找到箱规")</f>
        <v>C</v>
      </c>
      <c r="M197" s="124" cm="1">
        <f t="array" ref="M197">_xlfn.XLOOKUP(1,('Case Pack'!A:A=C197)*('Case Pack'!F:F&lt;=A197),'Case Pack'!D:D,"未找到箱规")</f>
        <v>42</v>
      </c>
      <c r="N197" s="125">
        <f t="shared" si="6"/>
        <v>44</v>
      </c>
      <c r="O197" s="310">
        <f>_xlfn.XLOOKUP(L197,'Case Type'!A:A,'Case Type'!H:H)*N197</f>
        <v>6.9218958336</v>
      </c>
      <c r="P197" s="124" t="s">
        <v>202</v>
      </c>
      <c r="Q197" s="124" t="s">
        <v>203</v>
      </c>
      <c r="R197" s="124" t="s">
        <v>204</v>
      </c>
      <c r="S197" s="86">
        <f>_xlfn.XLOOKUP(C197,'Product List'!B:B,'Product List'!R:R)</f>
        <v>3.1</v>
      </c>
      <c r="T197" s="86">
        <f t="shared" si="7"/>
        <v>5728.8</v>
      </c>
      <c r="U197" s="86" t="s">
        <v>92</v>
      </c>
      <c r="V197" s="86"/>
    </row>
    <row r="198" customFormat="1" spans="1:22">
      <c r="A198" s="308">
        <v>46219</v>
      </c>
      <c r="B198" s="86" t="str">
        <f>_xlfn.XLOOKUP(C198,'Product List'!B:B,'Product List'!I:I)</f>
        <v>MMO-BUBBLE WATER BOTTLE</v>
      </c>
      <c r="C198" s="135" t="s">
        <v>67</v>
      </c>
      <c r="D198" s="234">
        <f>VLOOKUP(C198,'Product List'!B:C,2,0)</f>
        <v>760762456971</v>
      </c>
      <c r="E198" s="86" t="s">
        <v>214</v>
      </c>
      <c r="F198" s="125">
        <v>378</v>
      </c>
      <c r="G198" s="309">
        <v>46264</v>
      </c>
      <c r="H198" s="309">
        <f>IF(P198="","",_xlfn.XLOOKUP(P198,'Shipment Control'!A:A,'Shipment Control'!I:I))</f>
        <v>46281</v>
      </c>
      <c r="I198" s="251">
        <f>IF(P198="",G198+30,_xlfn.XLOOKUP(P198,'Shipment Control'!A:A,'Shipment Control'!J:J))</f>
        <v>46299</v>
      </c>
      <c r="J198" s="251">
        <v>46303</v>
      </c>
      <c r="K198" s="309" t="s">
        <v>130</v>
      </c>
      <c r="L198" s="124" t="str" cm="1">
        <f t="array" ref="L198">_xlfn.XLOOKUP(1,('Case Pack'!A:A=C198)*('Case Pack'!F:F&lt;=A198),'Case Pack'!G:G,"未找到箱规")</f>
        <v>C</v>
      </c>
      <c r="M198" s="124" cm="1">
        <f t="array" ref="M198">_xlfn.XLOOKUP(1,('Case Pack'!A:A=C198)*('Case Pack'!F:F&lt;=A198),'Case Pack'!D:D,"未找到箱规")</f>
        <v>42</v>
      </c>
      <c r="N198" s="125">
        <f t="shared" si="6"/>
        <v>9</v>
      </c>
      <c r="O198" s="310">
        <f>_xlfn.XLOOKUP(L198,'Case Type'!A:A,'Case Type'!H:H)*N198</f>
        <v>1.4158423296</v>
      </c>
      <c r="P198" s="124" t="s">
        <v>211</v>
      </c>
      <c r="Q198" s="124" t="s">
        <v>212</v>
      </c>
      <c r="R198" s="124" t="s">
        <v>213</v>
      </c>
      <c r="S198" s="86">
        <f>_xlfn.XLOOKUP(C198,'Product List'!B:B,'Product List'!R:R)</f>
        <v>3.1</v>
      </c>
      <c r="T198" s="86">
        <f t="shared" si="7"/>
        <v>1171.8</v>
      </c>
      <c r="U198" s="86" t="s">
        <v>92</v>
      </c>
      <c r="V198" s="86"/>
    </row>
    <row r="199" customFormat="1" spans="1:22">
      <c r="A199" s="308">
        <v>46219</v>
      </c>
      <c r="B199" s="86" t="str">
        <f>_xlfn.XLOOKUP(C199,'Product List'!B:B,'Product List'!I:I)</f>
        <v>MMO-COTTON NESTING BALLS</v>
      </c>
      <c r="C199" s="135" t="s">
        <v>84</v>
      </c>
      <c r="D199" s="234">
        <f>VLOOKUP(C199,'Product List'!B:C,2,0)</f>
        <v>850030338198</v>
      </c>
      <c r="E199" s="86" t="s">
        <v>214</v>
      </c>
      <c r="F199" s="125">
        <v>1888</v>
      </c>
      <c r="G199" s="309">
        <v>46264</v>
      </c>
      <c r="H199" s="309">
        <f>IF(P199="","",_xlfn.XLOOKUP(P199,'Shipment Control'!A:A,'Shipment Control'!I:I))</f>
        <v>46281</v>
      </c>
      <c r="I199" s="251">
        <f>IF(P199="",G199+30,_xlfn.XLOOKUP(P199,'Shipment Control'!A:A,'Shipment Control'!J:J))</f>
        <v>46299</v>
      </c>
      <c r="J199" s="251">
        <v>46303</v>
      </c>
      <c r="K199" s="309" t="s">
        <v>130</v>
      </c>
      <c r="L199" s="124" t="str" cm="1">
        <f t="array" ref="L199">_xlfn.XLOOKUP(1,('Case Pack'!A:A=C199)*('Case Pack'!F:F&lt;=A199),'Case Pack'!G:G,"未找到箱规")</f>
        <v>A</v>
      </c>
      <c r="M199" s="124" cm="1">
        <f t="array" ref="M199">_xlfn.XLOOKUP(1,('Case Pack'!A:A=C199)*('Case Pack'!F:F&lt;=A199),'Case Pack'!D:D,"未找到箱规")</f>
        <v>32</v>
      </c>
      <c r="N199" s="125">
        <f t="shared" si="6"/>
        <v>59</v>
      </c>
      <c r="O199" s="310">
        <f>_xlfn.XLOOKUP(L199,'Case Type'!A:A,'Case Type'!H:H)*N199</f>
        <v>6.49714313472</v>
      </c>
      <c r="P199" s="124" t="s">
        <v>211</v>
      </c>
      <c r="Q199" s="124" t="s">
        <v>212</v>
      </c>
      <c r="R199" s="124" t="s">
        <v>213</v>
      </c>
      <c r="S199" s="86">
        <f>_xlfn.XLOOKUP(C199,'Product List'!B:B,'Product List'!R:R)</f>
        <v>1.64</v>
      </c>
      <c r="T199" s="86">
        <f t="shared" si="7"/>
        <v>3096.32</v>
      </c>
      <c r="U199" s="86" t="s">
        <v>92</v>
      </c>
      <c r="V199" s="86"/>
    </row>
    <row r="200" customFormat="1" spans="1:22">
      <c r="A200" s="308">
        <v>46219</v>
      </c>
      <c r="B200" s="86" t="str">
        <f>_xlfn.XLOOKUP(C200,'Product List'!B:B,'Product List'!I:I)</f>
        <v>MMO-PAPER TWIST BLU/WHT</v>
      </c>
      <c r="C200" s="135" t="s">
        <v>68</v>
      </c>
      <c r="D200" s="234">
        <f>VLOOKUP(C200,'Product List'!B:C,2,0)</f>
        <v>850030338075</v>
      </c>
      <c r="E200" s="86" t="s">
        <v>214</v>
      </c>
      <c r="F200" s="125">
        <v>1560</v>
      </c>
      <c r="G200" s="309">
        <v>46264</v>
      </c>
      <c r="H200" s="309">
        <f>IF(P200="","",_xlfn.XLOOKUP(P200,'Shipment Control'!A:A,'Shipment Control'!I:I))</f>
        <v>46281</v>
      </c>
      <c r="I200" s="251">
        <f>IF(P200="",G200+30,_xlfn.XLOOKUP(P200,'Shipment Control'!A:A,'Shipment Control'!J:J))</f>
        <v>46299</v>
      </c>
      <c r="J200" s="251">
        <v>46303</v>
      </c>
      <c r="K200" s="309" t="s">
        <v>130</v>
      </c>
      <c r="L200" s="124" t="str" cm="1">
        <f t="array" ref="L200">_xlfn.XLOOKUP(1,('Case Pack'!A:A=C200)*('Case Pack'!F:F&lt;=A200),'Case Pack'!G:G,"未找到箱规")</f>
        <v>A</v>
      </c>
      <c r="M200" s="124" cm="1">
        <f t="array" ref="M200">_xlfn.XLOOKUP(1,('Case Pack'!A:A=C200)*('Case Pack'!F:F&lt;=A200),'Case Pack'!D:D,"未找到箱规")</f>
        <v>30</v>
      </c>
      <c r="N200" s="125">
        <f t="shared" si="6"/>
        <v>52</v>
      </c>
      <c r="O200" s="310">
        <f>_xlfn.XLOOKUP(L200,'Case Type'!A:A,'Case Type'!H:H)*N200</f>
        <v>5.72629564416</v>
      </c>
      <c r="P200" s="124" t="s">
        <v>211</v>
      </c>
      <c r="Q200" s="124" t="s">
        <v>212</v>
      </c>
      <c r="R200" s="124" t="s">
        <v>213</v>
      </c>
      <c r="S200" s="86">
        <f>_xlfn.XLOOKUP(C200,'Product List'!B:B,'Product List'!R:R)</f>
        <v>1.98</v>
      </c>
      <c r="T200" s="86">
        <f t="shared" si="7"/>
        <v>3088.8</v>
      </c>
      <c r="U200" s="86" t="s">
        <v>92</v>
      </c>
      <c r="V200" s="86"/>
    </row>
    <row r="201" s="115" customFormat="1" spans="1:22">
      <c r="A201" s="113">
        <v>46219</v>
      </c>
      <c r="B201" s="86" t="str">
        <f>_xlfn.XLOOKUP(C201,'Product List'!B:B,'Product List'!I:I)</f>
        <v>MINI/MOE RUFFLE BOWL</v>
      </c>
      <c r="C201" s="128" t="s">
        <v>78</v>
      </c>
      <c r="D201" s="318">
        <f>VLOOKUP(C201,'Product List'!B:C,2,0)</f>
        <v>850030338969</v>
      </c>
      <c r="E201" s="99" t="s">
        <v>214</v>
      </c>
      <c r="F201" s="263">
        <v>2736</v>
      </c>
      <c r="G201" s="306">
        <v>46281</v>
      </c>
      <c r="H201" s="306" t="str">
        <f>IF(P201="","",_xlfn.XLOOKUP(P201,'Shipment Control'!A:A,'Shipment Control'!I:I))</f>
        <v/>
      </c>
      <c r="I201" s="319">
        <f>IF(P201="",G201+30,_xlfn.XLOOKUP(P201,'Shipment Control'!A:A,'Shipment Control'!J:J))</f>
        <v>46311</v>
      </c>
      <c r="J201" s="319"/>
      <c r="K201" s="306" t="s">
        <v>130</v>
      </c>
      <c r="L201" s="124" t="str" cm="1">
        <f t="array" ref="L201">_xlfn.XLOOKUP(1,('Case Pack'!A:A=C201)*('Case Pack'!F:F&lt;=A201),'Case Pack'!G:G,"未找到箱规")</f>
        <v>B</v>
      </c>
      <c r="M201" s="124" cm="1">
        <f t="array" ref="M201">_xlfn.XLOOKUP(1,('Case Pack'!A:A=C201)*('Case Pack'!F:F&lt;=A201),'Case Pack'!D:D,"未找到箱规")</f>
        <v>48</v>
      </c>
      <c r="N201" s="263">
        <f t="shared" si="6"/>
        <v>57</v>
      </c>
      <c r="O201" s="320">
        <f>_xlfn.XLOOKUP(L201,'Case Type'!A:A,'Case Type'!H:H)*N201</f>
        <v>4.18460066304</v>
      </c>
      <c r="P201" s="108"/>
      <c r="Q201" s="108"/>
      <c r="R201" s="108"/>
      <c r="S201" s="99">
        <f>_xlfn.XLOOKUP(C201,'Product List'!B:B,'Product List'!R:R)</f>
        <v>1.34</v>
      </c>
      <c r="T201" s="99">
        <f t="shared" si="7"/>
        <v>3666.24</v>
      </c>
      <c r="U201" s="99" t="s">
        <v>92</v>
      </c>
      <c r="V201" s="99" t="s">
        <v>224</v>
      </c>
    </row>
    <row r="202" customFormat="1" spans="1:22">
      <c r="A202" s="308">
        <v>46219</v>
      </c>
      <c r="B202" s="86" t="str">
        <f>_xlfn.XLOOKUP(C202,'Product List'!B:B,'Product List'!I:I)</f>
        <v>MMO-PAPER PEBBLES</v>
      </c>
      <c r="C202" s="135" t="s">
        <v>81</v>
      </c>
      <c r="D202" s="234">
        <f>VLOOKUP(C202,'Product List'!B:C,2,0)</f>
        <v>850067049258</v>
      </c>
      <c r="E202" s="86" t="s">
        <v>214</v>
      </c>
      <c r="F202" s="125">
        <v>1896</v>
      </c>
      <c r="G202" s="309">
        <v>46264</v>
      </c>
      <c r="H202" s="309">
        <f>IF(P202="","",_xlfn.XLOOKUP(P202,'Shipment Control'!A:A,'Shipment Control'!I:I))</f>
        <v>46281</v>
      </c>
      <c r="I202" s="251">
        <f>IF(P202="",G202+30,_xlfn.XLOOKUP(P202,'Shipment Control'!A:A,'Shipment Control'!J:J))</f>
        <v>46299</v>
      </c>
      <c r="J202" s="251">
        <v>46303</v>
      </c>
      <c r="K202" s="309" t="s">
        <v>130</v>
      </c>
      <c r="L202" s="124" t="str" cm="1">
        <f t="array" ref="L202">_xlfn.XLOOKUP(1,('Case Pack'!A:A=C202)*('Case Pack'!F:F&lt;=A202),'Case Pack'!G:G,"未找到箱规")</f>
        <v>B</v>
      </c>
      <c r="M202" s="124" cm="1">
        <f t="array" ref="M202">_xlfn.XLOOKUP(1,('Case Pack'!A:A=C202)*('Case Pack'!F:F&lt;=A202),'Case Pack'!D:D,"未找到箱规")</f>
        <v>12</v>
      </c>
      <c r="N202" s="125">
        <f t="shared" si="6"/>
        <v>158</v>
      </c>
      <c r="O202" s="310">
        <f>_xlfn.XLOOKUP(L202,'Case Type'!A:A,'Case Type'!H:H)*N202</f>
        <v>11.59941938176</v>
      </c>
      <c r="P202" s="124" t="s">
        <v>211</v>
      </c>
      <c r="Q202" s="124" t="s">
        <v>212</v>
      </c>
      <c r="R202" s="124" t="s">
        <v>213</v>
      </c>
      <c r="S202" s="86">
        <f>_xlfn.XLOOKUP(C202,'Product List'!B:B,'Product List'!R:R)</f>
        <v>2.84</v>
      </c>
      <c r="T202" s="86">
        <f t="shared" si="7"/>
        <v>5384.64</v>
      </c>
      <c r="U202" s="86" t="s">
        <v>92</v>
      </c>
      <c r="V202" s="86"/>
    </row>
    <row r="203" customFormat="1" spans="1:22">
      <c r="A203" s="308">
        <v>46219</v>
      </c>
      <c r="B203" s="86" t="str">
        <f>_xlfn.XLOOKUP(C203,'Product List'!B:B,'Product List'!I:I)</f>
        <v>MINI/MOE TULIP WATER BOTTLE</v>
      </c>
      <c r="C203" s="135" t="s">
        <v>52</v>
      </c>
      <c r="D203" s="234">
        <f>VLOOKUP(C203,'Product List'!B:C,2,0)</f>
        <v>850062627567</v>
      </c>
      <c r="E203" s="86" t="s">
        <v>214</v>
      </c>
      <c r="F203" s="125">
        <v>180</v>
      </c>
      <c r="G203" s="309">
        <v>46255</v>
      </c>
      <c r="H203" s="309">
        <f>IF(P203="","",_xlfn.XLOOKUP(P203,'Shipment Control'!A:A,'Shipment Control'!I:I))</f>
        <v>46258</v>
      </c>
      <c r="I203" s="251">
        <f>IF(P203="",G203+30,_xlfn.XLOOKUP(P203,'Shipment Control'!A:A,'Shipment Control'!J:J))</f>
        <v>46277</v>
      </c>
      <c r="J203" s="251">
        <v>46281</v>
      </c>
      <c r="K203" s="309" t="s">
        <v>130</v>
      </c>
      <c r="L203" s="124" t="str" cm="1">
        <f t="array" ref="L203">_xlfn.XLOOKUP(1,('Case Pack'!A:A=C203)*('Case Pack'!F:F&lt;=A203),'Case Pack'!G:G,"未找到箱规")</f>
        <v>C</v>
      </c>
      <c r="M203" s="124" cm="1">
        <f t="array" ref="M203">_xlfn.XLOOKUP(1,('Case Pack'!A:A=C203)*('Case Pack'!F:F&lt;=A203),'Case Pack'!D:D,"未找到箱规")</f>
        <v>60</v>
      </c>
      <c r="N203" s="125">
        <f t="shared" si="6"/>
        <v>3</v>
      </c>
      <c r="O203" s="310">
        <f>_xlfn.XLOOKUP(L203,'Case Type'!A:A,'Case Type'!H:H)*N203</f>
        <v>0.4719474432</v>
      </c>
      <c r="P203" s="124" t="s">
        <v>202</v>
      </c>
      <c r="Q203" s="124" t="s">
        <v>203</v>
      </c>
      <c r="R203" s="124" t="s">
        <v>204</v>
      </c>
      <c r="S203" s="86">
        <f>_xlfn.XLOOKUP(C203,'Product List'!B:B,'Product List'!R:R)</f>
        <v>0.73</v>
      </c>
      <c r="T203" s="86">
        <f t="shared" si="7"/>
        <v>131.4</v>
      </c>
      <c r="U203" s="86" t="s">
        <v>92</v>
      </c>
      <c r="V203" s="86"/>
    </row>
    <row r="204" customFormat="1" spans="1:22">
      <c r="A204" s="308">
        <v>46219</v>
      </c>
      <c r="B204" s="86" t="str">
        <f>_xlfn.XLOOKUP(C204,'Product List'!B:B,'Product List'!I:I)</f>
        <v>MINI/MOE SILENT CRSTL RUN WHEEL LG 8.5-White</v>
      </c>
      <c r="C204" s="135" t="s">
        <v>29</v>
      </c>
      <c r="D204" s="234">
        <f>VLOOKUP(C204,'Product List'!B:C,2,0)</f>
        <v>850062627680</v>
      </c>
      <c r="E204" s="86" t="s">
        <v>214</v>
      </c>
      <c r="F204" s="125">
        <v>1312</v>
      </c>
      <c r="G204" s="309">
        <v>46255</v>
      </c>
      <c r="H204" s="309">
        <f>IF(P204="","",_xlfn.XLOOKUP(P204,'Shipment Control'!A:A,'Shipment Control'!I:I))</f>
        <v>46258</v>
      </c>
      <c r="I204" s="251">
        <f>IF(P204="",G204+30,_xlfn.XLOOKUP(P204,'Shipment Control'!A:A,'Shipment Control'!J:J))</f>
        <v>46277</v>
      </c>
      <c r="J204" s="251">
        <v>46281</v>
      </c>
      <c r="K204" s="309" t="s">
        <v>130</v>
      </c>
      <c r="L204" s="124" t="str" cm="1">
        <f t="array" ref="L204">_xlfn.XLOOKUP(1,('Case Pack'!A:A=C204)*('Case Pack'!F:F&lt;=A204),'Case Pack'!G:G,"未找到箱规")</f>
        <v>C</v>
      </c>
      <c r="M204" s="124" cm="1">
        <f t="array" ref="M204">_xlfn.XLOOKUP(1,('Case Pack'!A:A=C204)*('Case Pack'!F:F&lt;=A204),'Case Pack'!D:D,"未找到箱规")</f>
        <v>8</v>
      </c>
      <c r="N204" s="125">
        <f t="shared" si="6"/>
        <v>164</v>
      </c>
      <c r="O204" s="310">
        <f>_xlfn.XLOOKUP(L204,'Case Type'!A:A,'Case Type'!H:H)*N204</f>
        <v>25.7997935616</v>
      </c>
      <c r="P204" s="124" t="s">
        <v>202</v>
      </c>
      <c r="Q204" s="124" t="s">
        <v>203</v>
      </c>
      <c r="R204" s="124" t="s">
        <v>204</v>
      </c>
      <c r="S204" s="86">
        <f>_xlfn.XLOOKUP(C204,'Product List'!B:B,'Product List'!R:R)</f>
        <v>6.27</v>
      </c>
      <c r="T204" s="86">
        <f t="shared" si="7"/>
        <v>8226.24</v>
      </c>
      <c r="U204" s="86" t="s">
        <v>92</v>
      </c>
      <c r="V204" s="86"/>
    </row>
    <row r="205" customFormat="1" spans="1:22">
      <c r="A205" s="308">
        <v>46219</v>
      </c>
      <c r="B205" s="86" t="str">
        <f>_xlfn.XLOOKUP(C205,'Product List'!B:B,'Product List'!I:I)</f>
        <v>MINI/MOE TREEHOUSE CABIN</v>
      </c>
      <c r="C205" s="135" t="s">
        <v>41</v>
      </c>
      <c r="D205" s="234">
        <f>VLOOKUP(C205,'Product List'!B:C,2,0)</f>
        <v>760762457022</v>
      </c>
      <c r="E205" s="86" t="s">
        <v>214</v>
      </c>
      <c r="F205" s="125">
        <v>510</v>
      </c>
      <c r="G205" s="306">
        <v>46286</v>
      </c>
      <c r="H205" s="309">
        <f>IF(P205="","",_xlfn.XLOOKUP(P205,'Shipment Control'!A:A,'Shipment Control'!I:I))</f>
        <v>46292</v>
      </c>
      <c r="I205" s="251">
        <f>IF(P205="",G205+30,_xlfn.XLOOKUP(P205,'Shipment Control'!A:A,'Shipment Control'!J:J))</f>
        <v>46311</v>
      </c>
      <c r="J205" s="251">
        <v>46317</v>
      </c>
      <c r="K205" s="309" t="s">
        <v>130</v>
      </c>
      <c r="L205" s="124" t="str" cm="1">
        <f t="array" ref="L205">_xlfn.XLOOKUP(1,('Case Pack'!A:A=C205)*('Case Pack'!F:F&lt;=A205),'Case Pack'!G:G,"未找到箱规")</f>
        <v>C</v>
      </c>
      <c r="M205" s="124" cm="1">
        <f t="array" ref="M205">_xlfn.XLOOKUP(1,('Case Pack'!A:A=C205)*('Case Pack'!F:F&lt;=A205),'Case Pack'!D:D,"未找到箱规")</f>
        <v>30</v>
      </c>
      <c r="N205" s="125">
        <f t="shared" si="6"/>
        <v>17</v>
      </c>
      <c r="O205" s="310">
        <f>_xlfn.XLOOKUP(L205,'Case Type'!A:A,'Case Type'!H:H)*N205</f>
        <v>2.6743688448</v>
      </c>
      <c r="P205" s="124" t="s">
        <v>225</v>
      </c>
      <c r="Q205" s="124" t="s">
        <v>226</v>
      </c>
      <c r="R205" s="124" t="s">
        <v>227</v>
      </c>
      <c r="S205" s="86">
        <f>_xlfn.XLOOKUP(C205,'Product List'!B:B,'Product List'!R:R)</f>
        <v>2.07</v>
      </c>
      <c r="T205" s="86">
        <f t="shared" si="7"/>
        <v>1055.7</v>
      </c>
      <c r="U205" s="86" t="s">
        <v>92</v>
      </c>
      <c r="V205" s="86"/>
    </row>
    <row r="206" customFormat="1" spans="1:22">
      <c r="A206" s="308">
        <v>46219</v>
      </c>
      <c r="B206" s="86" t="str">
        <f>_xlfn.XLOOKUP(C206,'Product List'!B:B,'Product List'!I:I)</f>
        <v>MMO-SHELL PEARL HAMSTER CHEW</v>
      </c>
      <c r="C206" s="135" t="s">
        <v>35</v>
      </c>
      <c r="D206" s="234">
        <f>VLOOKUP(C206,'Product List'!B:C,2,0)</f>
        <v>698746777074</v>
      </c>
      <c r="E206" s="86" t="s">
        <v>214</v>
      </c>
      <c r="F206" s="125">
        <v>896</v>
      </c>
      <c r="G206" s="309">
        <v>46247</v>
      </c>
      <c r="H206" s="309">
        <f>IF(P206="","",_xlfn.XLOOKUP(P206,'Shipment Control'!A:A,'Shipment Control'!I:I))</f>
        <v>46260</v>
      </c>
      <c r="I206" s="251">
        <f>IF(P206="",G206+30,_xlfn.XLOOKUP(P206,'Shipment Control'!A:A,'Shipment Control'!J:J))</f>
        <v>46274</v>
      </c>
      <c r="J206" s="251">
        <v>46282</v>
      </c>
      <c r="K206" s="309" t="s">
        <v>130</v>
      </c>
      <c r="L206" s="124" t="str" cm="1">
        <f t="array" ref="L206">_xlfn.XLOOKUP(1,('Case Pack'!A:A=C206)*('Case Pack'!F:F&lt;=A206),'Case Pack'!G:G,"未找到箱规")</f>
        <v>B</v>
      </c>
      <c r="M206" s="124" cm="1">
        <f t="array" ref="M206">_xlfn.XLOOKUP(1,('Case Pack'!A:A=C206)*('Case Pack'!F:F&lt;=A206),'Case Pack'!D:D,"未找到箱规")</f>
        <v>64</v>
      </c>
      <c r="N206" s="125">
        <f t="shared" si="6"/>
        <v>14</v>
      </c>
      <c r="O206" s="310">
        <f>_xlfn.XLOOKUP(L206,'Case Type'!A:A,'Case Type'!H:H)*N206</f>
        <v>1.02779665408</v>
      </c>
      <c r="P206" s="326" t="s">
        <v>210</v>
      </c>
      <c r="Q206" s="124" t="s">
        <v>159</v>
      </c>
      <c r="R206" s="124"/>
      <c r="S206" s="86">
        <f>_xlfn.XLOOKUP(C206,'Product List'!B:B,'Product List'!R:R)</f>
        <v>0.96</v>
      </c>
      <c r="T206" s="86">
        <f t="shared" si="7"/>
        <v>860.16</v>
      </c>
      <c r="U206" s="86" t="s">
        <v>92</v>
      </c>
      <c r="V206" s="86"/>
    </row>
    <row r="207" s="115" customFormat="1" spans="1:22">
      <c r="A207" s="113">
        <v>46219</v>
      </c>
      <c r="B207" s="86" t="str">
        <f>_xlfn.XLOOKUP(C207,'Product List'!B:B,'Product List'!I:I)</f>
        <v>MMO-SHELL PEARL HAMSTER CHEW</v>
      </c>
      <c r="C207" s="128" t="s">
        <v>35</v>
      </c>
      <c r="D207" s="318">
        <f>VLOOKUP(C207,'Product List'!B:C,2,0)</f>
        <v>698746777074</v>
      </c>
      <c r="E207" s="99" t="s">
        <v>214</v>
      </c>
      <c r="F207" s="263">
        <v>128</v>
      </c>
      <c r="G207" s="306">
        <v>46255</v>
      </c>
      <c r="H207" s="306" t="str">
        <f>IF(P207="","",_xlfn.XLOOKUP(P207,'Shipment Control'!A:A,'Shipment Control'!I:I))</f>
        <v/>
      </c>
      <c r="I207" s="319">
        <f>IF(P207="",G207+30,_xlfn.XLOOKUP(P207,'Shipment Control'!A:A,'Shipment Control'!J:J))</f>
        <v>46285</v>
      </c>
      <c r="J207" s="319"/>
      <c r="K207" s="306" t="s">
        <v>130</v>
      </c>
      <c r="L207" s="124" t="str" cm="1">
        <f t="array" ref="L207">_xlfn.XLOOKUP(1,('Case Pack'!A:A=C207)*('Case Pack'!F:F&lt;=A207),'Case Pack'!G:G,"未找到箱规")</f>
        <v>B</v>
      </c>
      <c r="M207" s="124" cm="1">
        <f t="array" ref="M207">_xlfn.XLOOKUP(1,('Case Pack'!A:A=C207)*('Case Pack'!F:F&lt;=A207),'Case Pack'!D:D,"未找到箱规")</f>
        <v>64</v>
      </c>
      <c r="N207" s="263">
        <f t="shared" si="6"/>
        <v>2</v>
      </c>
      <c r="O207" s="320">
        <f>_xlfn.XLOOKUP(L207,'Case Type'!A:A,'Case Type'!H:H)*N207</f>
        <v>0.14682809344</v>
      </c>
      <c r="P207" s="108"/>
      <c r="Q207" s="108"/>
      <c r="R207" s="108"/>
      <c r="S207" s="99">
        <f>_xlfn.XLOOKUP(C207,'Product List'!B:B,'Product List'!R:R)</f>
        <v>0.96</v>
      </c>
      <c r="T207" s="99">
        <f t="shared" si="7"/>
        <v>122.88</v>
      </c>
      <c r="U207" s="99" t="s">
        <v>92</v>
      </c>
      <c r="V207" s="99" t="s">
        <v>224</v>
      </c>
    </row>
    <row r="208" customFormat="1" spans="1:22">
      <c r="A208" s="308">
        <v>46219</v>
      </c>
      <c r="B208" s="86" t="str">
        <f>_xlfn.XLOOKUP(C208,'Product List'!B:B,'Product List'!I:I)</f>
        <v>MMO-CAMP LUNCH BOX CHEW</v>
      </c>
      <c r="C208" s="135" t="s">
        <v>34</v>
      </c>
      <c r="D208" s="234">
        <f>VLOOKUP(C208,'Product List'!B:C,2,0)</f>
        <v>698746777012</v>
      </c>
      <c r="E208" s="86" t="s">
        <v>214</v>
      </c>
      <c r="F208" s="214">
        <v>2448</v>
      </c>
      <c r="G208" s="309">
        <v>46247</v>
      </c>
      <c r="H208" s="309">
        <f>IF(P208="","",_xlfn.XLOOKUP(P208,'Shipment Control'!A:A,'Shipment Control'!I:I))</f>
        <v>46260</v>
      </c>
      <c r="I208" s="251">
        <f>IF(P208="",G208+30,_xlfn.XLOOKUP(P208,'Shipment Control'!A:A,'Shipment Control'!J:J))</f>
        <v>46274</v>
      </c>
      <c r="J208" s="251">
        <v>46282</v>
      </c>
      <c r="K208" s="309" t="s">
        <v>130</v>
      </c>
      <c r="L208" s="124" t="str" cm="1">
        <f t="array" ref="L208">_xlfn.XLOOKUP(1,('Case Pack'!A:A=C208)*('Case Pack'!F:F&lt;=A208),'Case Pack'!G:G,"未找到箱规")</f>
        <v>B</v>
      </c>
      <c r="M208" s="124" cm="1">
        <f t="array" ref="M208">_xlfn.XLOOKUP(1,('Case Pack'!A:A=C208)*('Case Pack'!F:F&lt;=A208),'Case Pack'!D:D,"未找到箱规")</f>
        <v>72</v>
      </c>
      <c r="N208" s="125">
        <f t="shared" si="6"/>
        <v>34</v>
      </c>
      <c r="O208" s="310">
        <f>_xlfn.XLOOKUP(L208,'Case Type'!A:A,'Case Type'!H:H)*N208</f>
        <v>2.49607758848</v>
      </c>
      <c r="P208" s="326" t="s">
        <v>210</v>
      </c>
      <c r="Q208" s="124" t="s">
        <v>159</v>
      </c>
      <c r="R208" s="124"/>
      <c r="S208" s="86">
        <f>_xlfn.XLOOKUP(C208,'Product List'!B:B,'Product List'!R:R)</f>
        <v>1.59</v>
      </c>
      <c r="T208" s="86">
        <f t="shared" si="7"/>
        <v>3892.32</v>
      </c>
      <c r="U208" s="86" t="s">
        <v>92</v>
      </c>
      <c r="V208" s="86"/>
    </row>
    <row r="209" customFormat="1" spans="1:22">
      <c r="A209" s="308">
        <v>46219</v>
      </c>
      <c r="B209" s="86" t="str">
        <f>_xlfn.XLOOKUP(C209,'Product List'!B:B,'Product List'!I:I)</f>
        <v>MMO-GREEN APPLE CHEW</v>
      </c>
      <c r="C209" s="135" t="s">
        <v>33</v>
      </c>
      <c r="D209" s="234">
        <f>VLOOKUP(C209,'Product List'!B:C,2,0)</f>
        <v>698746777081</v>
      </c>
      <c r="E209" s="86" t="s">
        <v>214</v>
      </c>
      <c r="F209" s="125">
        <v>2256</v>
      </c>
      <c r="G209" s="309">
        <v>46247</v>
      </c>
      <c r="H209" s="309">
        <f>IF(P209="","",_xlfn.XLOOKUP(P209,'Shipment Control'!A:A,'Shipment Control'!I:I))</f>
        <v>46260</v>
      </c>
      <c r="I209" s="251">
        <f>IF(P209="",G209+30,_xlfn.XLOOKUP(P209,'Shipment Control'!A:A,'Shipment Control'!J:J))</f>
        <v>46274</v>
      </c>
      <c r="J209" s="251">
        <v>46282</v>
      </c>
      <c r="K209" s="309" t="s">
        <v>130</v>
      </c>
      <c r="L209" s="124" t="str" cm="1">
        <f t="array" ref="L209">_xlfn.XLOOKUP(1,('Case Pack'!A:A=C209)*('Case Pack'!F:F&lt;=A209),'Case Pack'!G:G,"未找到箱规")</f>
        <v>B</v>
      </c>
      <c r="M209" s="124" cm="1">
        <f t="array" ref="M209">_xlfn.XLOOKUP(1,('Case Pack'!A:A=C209)*('Case Pack'!F:F&lt;=A209),'Case Pack'!D:D,"未找到箱规")</f>
        <v>48</v>
      </c>
      <c r="N209" s="125">
        <f t="shared" si="6"/>
        <v>47</v>
      </c>
      <c r="O209" s="310">
        <f>_xlfn.XLOOKUP(L209,'Case Type'!A:A,'Case Type'!H:H)*N209</f>
        <v>3.45046019584</v>
      </c>
      <c r="P209" s="326" t="s">
        <v>210</v>
      </c>
      <c r="Q209" s="124" t="s">
        <v>159</v>
      </c>
      <c r="R209" s="124"/>
      <c r="S209" s="86">
        <f>_xlfn.XLOOKUP(C209,'Product List'!B:B,'Product List'!R:R)</f>
        <v>1.04</v>
      </c>
      <c r="T209" s="86">
        <f t="shared" si="7"/>
        <v>2346.24</v>
      </c>
      <c r="U209" s="86" t="s">
        <v>92</v>
      </c>
      <c r="V209" s="86"/>
    </row>
    <row r="210" customFormat="1" spans="1:22">
      <c r="A210" s="308">
        <v>46241</v>
      </c>
      <c r="B210" s="86" t="str">
        <f>_xlfn.XLOOKUP(C210,'Product List'!B:B,'Product List'!I:I)</f>
        <v>MINI/MOE TV VIEWING CAGE</v>
      </c>
      <c r="C210" s="135" t="s">
        <v>50</v>
      </c>
      <c r="D210" s="234">
        <f>VLOOKUP(C210,'Product List'!B:C,2,0)</f>
        <v>850030338761</v>
      </c>
      <c r="E210" s="86" t="s">
        <v>228</v>
      </c>
      <c r="F210" s="125">
        <v>579</v>
      </c>
      <c r="G210" s="306">
        <v>46286</v>
      </c>
      <c r="H210" s="309">
        <f>IF(P210="","",_xlfn.XLOOKUP(P210,'Shipment Control'!A:A,'Shipment Control'!I:I))</f>
        <v>46292</v>
      </c>
      <c r="I210" s="251">
        <f>IF(P210="",G210+30,_xlfn.XLOOKUP(P210,'Shipment Control'!A:A,'Shipment Control'!J:J))</f>
        <v>46311</v>
      </c>
      <c r="J210" s="251">
        <v>46317</v>
      </c>
      <c r="K210" s="309" t="s">
        <v>130</v>
      </c>
      <c r="L210" s="124" t="str" cm="1">
        <f t="array" ref="L210">_xlfn.XLOOKUP(1,('Case Pack'!A:A=C210)*('Case Pack'!F:F&lt;=A210),'Case Pack'!G:G,"未找到箱规")</f>
        <v>S1</v>
      </c>
      <c r="M210" s="124" cm="1">
        <f t="array" ref="M210">_xlfn.XLOOKUP(1,('Case Pack'!A:A=C210)*('Case Pack'!F:F&lt;=A210),'Case Pack'!D:D,"未找到箱规")</f>
        <v>1</v>
      </c>
      <c r="N210" s="125">
        <f t="shared" si="6"/>
        <v>579</v>
      </c>
      <c r="O210" s="310">
        <f>_xlfn.XLOOKUP(L210,'Case Type'!A:A,'Case Type'!H:H)*N210</f>
        <v>42.847317021771</v>
      </c>
      <c r="P210" s="124" t="s">
        <v>225</v>
      </c>
      <c r="Q210" s="124" t="s">
        <v>226</v>
      </c>
      <c r="R210" s="124" t="s">
        <v>227</v>
      </c>
      <c r="S210" s="86">
        <f>_xlfn.XLOOKUP(C210,'Product List'!B:B,'Product List'!R:R)</f>
        <v>24.09</v>
      </c>
      <c r="T210" s="86">
        <f t="shared" si="7"/>
        <v>13948.11</v>
      </c>
      <c r="U210" s="86" t="s">
        <v>92</v>
      </c>
      <c r="V210" s="86"/>
    </row>
    <row r="211" customFormat="1" spans="1:22">
      <c r="A211" s="308">
        <v>46241</v>
      </c>
      <c r="B211" s="86" t="str">
        <f>_xlfn.XLOOKUP(C211,'Product List'!B:B,'Product List'!I:I)</f>
        <v>MMO-BUBBLE WATER BOTTLE</v>
      </c>
      <c r="C211" s="135" t="s">
        <v>67</v>
      </c>
      <c r="D211" s="234">
        <f>VLOOKUP(C211,'Product List'!B:C,2,0)</f>
        <v>760762456971</v>
      </c>
      <c r="E211" s="86" t="s">
        <v>228</v>
      </c>
      <c r="F211" s="125">
        <v>714</v>
      </c>
      <c r="G211" s="309">
        <v>46264</v>
      </c>
      <c r="H211" s="309">
        <f>IF(P211="","",_xlfn.XLOOKUP(P211,'Shipment Control'!A:A,'Shipment Control'!I:I))</f>
        <v>46281</v>
      </c>
      <c r="I211" s="251">
        <v>46305</v>
      </c>
      <c r="J211" s="251">
        <v>46303</v>
      </c>
      <c r="K211" s="309" t="s">
        <v>130</v>
      </c>
      <c r="L211" s="124" t="str" cm="1">
        <f t="array" ref="L211">_xlfn.XLOOKUP(1,('Case Pack'!A:A=C211)*('Case Pack'!F:F&lt;=A211),'Case Pack'!G:G,"未找到箱规")</f>
        <v>C</v>
      </c>
      <c r="M211" s="124" cm="1">
        <f t="array" ref="M211">_xlfn.XLOOKUP(1,('Case Pack'!A:A=C211)*('Case Pack'!F:F&lt;=A211),'Case Pack'!D:D,"未找到箱规")</f>
        <v>42</v>
      </c>
      <c r="N211" s="125">
        <f t="shared" si="6"/>
        <v>17</v>
      </c>
      <c r="O211" s="310">
        <f>_xlfn.XLOOKUP(L211,'Case Type'!A:A,'Case Type'!H:H)*N211</f>
        <v>2.6743688448</v>
      </c>
      <c r="P211" s="124" t="s">
        <v>211</v>
      </c>
      <c r="Q211" s="124" t="s">
        <v>212</v>
      </c>
      <c r="R211" s="124" t="s">
        <v>213</v>
      </c>
      <c r="S211" s="86">
        <f>_xlfn.XLOOKUP(C211,'Product List'!B:B,'Product List'!R:R)</f>
        <v>3.1</v>
      </c>
      <c r="T211" s="86">
        <f t="shared" si="7"/>
        <v>2213.4</v>
      </c>
      <c r="U211" s="86" t="s">
        <v>92</v>
      </c>
      <c r="V211" s="86"/>
    </row>
    <row r="212" customFormat="1" spans="1:22">
      <c r="A212" s="308">
        <v>46241</v>
      </c>
      <c r="B212" s="86" t="str">
        <f>_xlfn.XLOOKUP(C212,'Product List'!B:B,'Product List'!I:I)</f>
        <v>MINI/MOE TULIP WATER BOTTLE</v>
      </c>
      <c r="C212" s="135" t="s">
        <v>52</v>
      </c>
      <c r="D212" s="234">
        <f>VLOOKUP(C212,'Product List'!B:C,2,0)</f>
        <v>850062627567</v>
      </c>
      <c r="E212" s="86" t="s">
        <v>228</v>
      </c>
      <c r="F212" s="125">
        <v>420</v>
      </c>
      <c r="G212" s="309">
        <v>46264</v>
      </c>
      <c r="H212" s="309">
        <f>IF(P212="","",_xlfn.XLOOKUP(P212,'Shipment Control'!A:A,'Shipment Control'!I:I))</f>
        <v>46281</v>
      </c>
      <c r="I212" s="251">
        <v>46305</v>
      </c>
      <c r="J212" s="251">
        <v>46303</v>
      </c>
      <c r="K212" s="309" t="s">
        <v>130</v>
      </c>
      <c r="L212" s="124" t="str" cm="1">
        <f t="array" ref="L212">_xlfn.XLOOKUP(1,('Case Pack'!A:A=C212)*('Case Pack'!F:F&lt;=A212),'Case Pack'!G:G,"未找到箱规")</f>
        <v>C</v>
      </c>
      <c r="M212" s="124" cm="1">
        <f t="array" ref="M212">_xlfn.XLOOKUP(1,('Case Pack'!A:A=C212)*('Case Pack'!F:F&lt;=A212),'Case Pack'!D:D,"未找到箱规")</f>
        <v>60</v>
      </c>
      <c r="N212" s="125">
        <f t="shared" si="6"/>
        <v>7</v>
      </c>
      <c r="O212" s="310">
        <f>_xlfn.XLOOKUP(L212,'Case Type'!A:A,'Case Type'!H:H)*N212</f>
        <v>1.1012107008</v>
      </c>
      <c r="P212" s="124" t="s">
        <v>211</v>
      </c>
      <c r="Q212" s="124" t="s">
        <v>212</v>
      </c>
      <c r="R212" s="124" t="s">
        <v>213</v>
      </c>
      <c r="S212" s="86">
        <f>_xlfn.XLOOKUP(C212,'Product List'!B:B,'Product List'!R:R)</f>
        <v>0.73</v>
      </c>
      <c r="T212" s="86">
        <f t="shared" si="7"/>
        <v>306.6</v>
      </c>
      <c r="U212" s="86" t="s">
        <v>92</v>
      </c>
      <c r="V212" s="86"/>
    </row>
    <row r="213" customFormat="1" spans="1:22">
      <c r="A213" s="308">
        <v>46241</v>
      </c>
      <c r="B213" s="86" t="str">
        <f>_xlfn.XLOOKUP(C213,'Product List'!B:B,'Product List'!I:I)</f>
        <v>MINI/MOE SILENT CRSTL RUN WHEEL LG 8.5-White</v>
      </c>
      <c r="C213" s="135" t="s">
        <v>29</v>
      </c>
      <c r="D213" s="234">
        <f>VLOOKUP(C213,'Product List'!B:C,2,0)</f>
        <v>850062627680</v>
      </c>
      <c r="E213" s="86" t="s">
        <v>228</v>
      </c>
      <c r="F213" s="125">
        <v>984</v>
      </c>
      <c r="G213" s="309">
        <v>46264</v>
      </c>
      <c r="H213" s="309">
        <f>IF(P213="","",_xlfn.XLOOKUP(P213,'Shipment Control'!A:A,'Shipment Control'!I:I))</f>
        <v>46281</v>
      </c>
      <c r="I213" s="251">
        <v>46305</v>
      </c>
      <c r="J213" s="251">
        <v>46303</v>
      </c>
      <c r="K213" s="309" t="s">
        <v>130</v>
      </c>
      <c r="L213" s="124" t="str" cm="1">
        <f t="array" ref="L213">_xlfn.XLOOKUP(1,('Case Pack'!A:A=C213)*('Case Pack'!F:F&lt;=A213),'Case Pack'!G:G,"未找到箱规")</f>
        <v>C</v>
      </c>
      <c r="M213" s="124" cm="1">
        <f t="array" ref="M213">_xlfn.XLOOKUP(1,('Case Pack'!A:A=C213)*('Case Pack'!F:F&lt;=A213),'Case Pack'!D:D,"未找到箱规")</f>
        <v>8</v>
      </c>
      <c r="N213" s="125">
        <f t="shared" si="6"/>
        <v>123</v>
      </c>
      <c r="O213" s="310">
        <f>_xlfn.XLOOKUP(L213,'Case Type'!A:A,'Case Type'!H:H)*N213</f>
        <v>19.3498451712</v>
      </c>
      <c r="P213" s="124" t="s">
        <v>211</v>
      </c>
      <c r="Q213" s="124" t="s">
        <v>212</v>
      </c>
      <c r="R213" s="124" t="s">
        <v>213</v>
      </c>
      <c r="S213" s="86">
        <f>_xlfn.XLOOKUP(C213,'Product List'!B:B,'Product List'!R:R)</f>
        <v>6.27</v>
      </c>
      <c r="T213" s="86">
        <f t="shared" si="7"/>
        <v>6169.68</v>
      </c>
      <c r="U213" s="86" t="s">
        <v>92</v>
      </c>
      <c r="V213" s="86"/>
    </row>
    <row r="214" customFormat="1" spans="1:22">
      <c r="A214" s="308">
        <v>46252</v>
      </c>
      <c r="B214" s="86" t="str">
        <f>_xlfn.XLOOKUP(C214,'Product List'!B:B,'Product List'!I:I)</f>
        <v>MINI/MOE TULIP WATER BOTTLE</v>
      </c>
      <c r="C214" s="135" t="s">
        <v>52</v>
      </c>
      <c r="D214" s="234">
        <f>VLOOKUP(C214,'Product List'!B:C,2,0)</f>
        <v>850062627567</v>
      </c>
      <c r="E214" s="86" t="s">
        <v>229</v>
      </c>
      <c r="F214" s="125">
        <v>120</v>
      </c>
      <c r="G214" s="306">
        <v>46286</v>
      </c>
      <c r="H214" s="309">
        <f>IF(P214="","",_xlfn.XLOOKUP(P214,'Shipment Control'!A:A,'Shipment Control'!I:I))</f>
        <v>46292</v>
      </c>
      <c r="I214" s="251">
        <f>IF(P214="",G214+30,_xlfn.XLOOKUP(P214,'Shipment Control'!A:A,'Shipment Control'!J:J))</f>
        <v>46311</v>
      </c>
      <c r="J214" s="251">
        <v>46317</v>
      </c>
      <c r="K214" s="309" t="s">
        <v>130</v>
      </c>
      <c r="L214" s="124" t="str" cm="1">
        <f t="array" ref="L214">_xlfn.XLOOKUP(1,('Case Pack'!A:A=C214)*('Case Pack'!F:F&lt;=A214),'Case Pack'!G:G,"未找到箱规")</f>
        <v>C</v>
      </c>
      <c r="M214" s="124" cm="1">
        <f t="array" ref="M214">_xlfn.XLOOKUP(1,('Case Pack'!A:A=C214)*('Case Pack'!F:F&lt;=A214),'Case Pack'!D:D,"未找到箱规")</f>
        <v>60</v>
      </c>
      <c r="N214" s="125">
        <f t="shared" si="6"/>
        <v>2</v>
      </c>
      <c r="O214" s="310">
        <f>_xlfn.XLOOKUP(L214,'Case Type'!A:A,'Case Type'!H:H)*N214</f>
        <v>0.3146316288</v>
      </c>
      <c r="P214" s="124" t="s">
        <v>225</v>
      </c>
      <c r="Q214" s="124" t="s">
        <v>226</v>
      </c>
      <c r="R214" s="124" t="s">
        <v>227</v>
      </c>
      <c r="S214" s="86">
        <f>_xlfn.XLOOKUP(C214,'Product List'!B:B,'Product List'!R:R)</f>
        <v>0.73</v>
      </c>
      <c r="T214" s="86">
        <f t="shared" si="7"/>
        <v>87.6</v>
      </c>
      <c r="U214" s="86" t="s">
        <v>92</v>
      </c>
      <c r="V214" s="86"/>
    </row>
    <row r="215" customFormat="1" spans="1:22">
      <c r="A215" s="308">
        <v>46252</v>
      </c>
      <c r="B215" s="86" t="str">
        <f>_xlfn.XLOOKUP(C215,'Product List'!B:B,'Product List'!I:I)</f>
        <v>MINI/MOE BENDABLE BIRCHWOOD FENCE</v>
      </c>
      <c r="C215" s="135" t="s">
        <v>62</v>
      </c>
      <c r="D215" s="234">
        <f>VLOOKUP(C215,'Product List'!B:C,2,0)</f>
        <v>850030338150</v>
      </c>
      <c r="E215" s="86" t="s">
        <v>229</v>
      </c>
      <c r="F215" s="125">
        <f>576+128</f>
        <v>704</v>
      </c>
      <c r="G215" s="306">
        <v>46286</v>
      </c>
      <c r="H215" s="309">
        <f>IF(P215="","",_xlfn.XLOOKUP(P215,'Shipment Control'!A:A,'Shipment Control'!I:I))</f>
        <v>46292</v>
      </c>
      <c r="I215" s="251">
        <f>IF(P215="",G215+30,_xlfn.XLOOKUP(P215,'Shipment Control'!A:A,'Shipment Control'!J:J))</f>
        <v>46311</v>
      </c>
      <c r="J215" s="251">
        <v>46317</v>
      </c>
      <c r="K215" s="309" t="s">
        <v>130</v>
      </c>
      <c r="L215" s="124" t="str" cm="1">
        <f t="array" ref="L215">_xlfn.XLOOKUP(1,('Case Pack'!A:A=C215)*('Case Pack'!F:F&lt;=A215),'Case Pack'!G:G,"未找到箱规")</f>
        <v>F</v>
      </c>
      <c r="M215" s="124" cm="1">
        <f t="array" ref="M215">_xlfn.XLOOKUP(1,('Case Pack'!A:A=C215)*('Case Pack'!F:F&lt;=A215),'Case Pack'!D:D,"未找到箱规")</f>
        <v>32</v>
      </c>
      <c r="N215" s="125">
        <f t="shared" si="6"/>
        <v>22</v>
      </c>
      <c r="O215" s="310">
        <f>_xlfn.XLOOKUP(L215,'Case Type'!A:A,'Case Type'!H:H)*N215</f>
        <v>0.80755451392</v>
      </c>
      <c r="P215" s="124" t="s">
        <v>225</v>
      </c>
      <c r="Q215" s="124" t="s">
        <v>226</v>
      </c>
      <c r="R215" s="124" t="s">
        <v>227</v>
      </c>
      <c r="S215" s="86">
        <f>_xlfn.XLOOKUP(C215,'Product List'!B:B,'Product List'!R:R)</f>
        <v>3.4</v>
      </c>
      <c r="T215" s="86">
        <f t="shared" si="7"/>
        <v>2393.6</v>
      </c>
      <c r="U215" s="86" t="s">
        <v>92</v>
      </c>
      <c r="V215" s="86"/>
    </row>
    <row r="216" customFormat="1" spans="1:22">
      <c r="A216" s="308">
        <v>46252</v>
      </c>
      <c r="B216" s="86" t="str">
        <f>_xlfn.XLOOKUP(C216,'Product List'!B:B,'Product List'!I:I)</f>
        <v>MINI/MOE MUSHROOM CABIN</v>
      </c>
      <c r="C216" s="135" t="s">
        <v>39</v>
      </c>
      <c r="D216" s="234">
        <f>VLOOKUP(C216,'Product List'!B:C,2,0)</f>
        <v>760762457008</v>
      </c>
      <c r="E216" s="86" t="s">
        <v>229</v>
      </c>
      <c r="F216" s="125">
        <v>512</v>
      </c>
      <c r="G216" s="306">
        <v>46286</v>
      </c>
      <c r="H216" s="309">
        <f>IF(P216="","",_xlfn.XLOOKUP(P216,'Shipment Control'!A:A,'Shipment Control'!I:I))</f>
        <v>46292</v>
      </c>
      <c r="I216" s="251">
        <f>IF(P216="",G216+30,_xlfn.XLOOKUP(P216,'Shipment Control'!A:A,'Shipment Control'!J:J))</f>
        <v>46311</v>
      </c>
      <c r="J216" s="251">
        <v>46317</v>
      </c>
      <c r="K216" s="309" t="s">
        <v>130</v>
      </c>
      <c r="L216" s="124" t="str" cm="1">
        <f t="array" ref="L216">_xlfn.XLOOKUP(1,('Case Pack'!A:A=C216)*('Case Pack'!F:F&lt;=A216),'Case Pack'!G:G,"未找到箱规")</f>
        <v>C</v>
      </c>
      <c r="M216" s="124" cm="1">
        <f t="array" ref="M216">_xlfn.XLOOKUP(1,('Case Pack'!A:A=C216)*('Case Pack'!F:F&lt;=A216),'Case Pack'!D:D,"未找到箱规")</f>
        <v>16</v>
      </c>
      <c r="N216" s="125">
        <f t="shared" si="6"/>
        <v>32</v>
      </c>
      <c r="O216" s="310">
        <f>_xlfn.XLOOKUP(L216,'Case Type'!A:A,'Case Type'!H:H)*N216</f>
        <v>5.0341060608</v>
      </c>
      <c r="P216" s="124" t="s">
        <v>225</v>
      </c>
      <c r="Q216" s="124" t="s">
        <v>226</v>
      </c>
      <c r="R216" s="124" t="s">
        <v>227</v>
      </c>
      <c r="S216" s="86">
        <f>_xlfn.XLOOKUP(C216,'Product List'!B:B,'Product List'!R:R)</f>
        <v>3.2</v>
      </c>
      <c r="T216" s="86">
        <f t="shared" si="7"/>
        <v>1638.4</v>
      </c>
      <c r="U216" s="86" t="s">
        <v>92</v>
      </c>
      <c r="V216" s="86"/>
    </row>
    <row r="217" customFormat="1" spans="1:22">
      <c r="A217" s="308">
        <v>46252</v>
      </c>
      <c r="B217" s="86" t="str">
        <f>_xlfn.XLOOKUP(C217,'Product List'!B:B,'Product List'!I:I)</f>
        <v>MINI/MOE TREEHOUSE CABIN</v>
      </c>
      <c r="C217" s="135" t="s">
        <v>41</v>
      </c>
      <c r="D217" s="234">
        <f>VLOOKUP(C217,'Product List'!B:C,2,0)</f>
        <v>760762457022</v>
      </c>
      <c r="E217" s="86" t="s">
        <v>229</v>
      </c>
      <c r="F217" s="125">
        <v>510</v>
      </c>
      <c r="G217" s="306">
        <v>46286</v>
      </c>
      <c r="H217" s="309">
        <f>IF(P217="","",_xlfn.XLOOKUP(P217,'Shipment Control'!A:A,'Shipment Control'!I:I))</f>
        <v>46292</v>
      </c>
      <c r="I217" s="251">
        <f>IF(P217="",G217+30,_xlfn.XLOOKUP(P217,'Shipment Control'!A:A,'Shipment Control'!J:J))</f>
        <v>46311</v>
      </c>
      <c r="J217" s="251">
        <v>46317</v>
      </c>
      <c r="K217" s="309" t="s">
        <v>130</v>
      </c>
      <c r="L217" s="124" t="str" cm="1">
        <f t="array" ref="L217">_xlfn.XLOOKUP(1,('Case Pack'!A:A=C217)*('Case Pack'!F:F&lt;=A217),'Case Pack'!G:G,"未找到箱规")</f>
        <v>C</v>
      </c>
      <c r="M217" s="124" cm="1">
        <f t="array" ref="M217">_xlfn.XLOOKUP(1,('Case Pack'!A:A=C217)*('Case Pack'!F:F&lt;=A217),'Case Pack'!D:D,"未找到箱规")</f>
        <v>30</v>
      </c>
      <c r="N217" s="125">
        <f t="shared" si="6"/>
        <v>17</v>
      </c>
      <c r="O217" s="310">
        <f>_xlfn.XLOOKUP(L217,'Case Type'!A:A,'Case Type'!H:H)*N217</f>
        <v>2.6743688448</v>
      </c>
      <c r="P217" s="124" t="s">
        <v>225</v>
      </c>
      <c r="Q217" s="124" t="s">
        <v>226</v>
      </c>
      <c r="R217" s="124" t="s">
        <v>227</v>
      </c>
      <c r="S217" s="86">
        <f>_xlfn.XLOOKUP(C217,'Product List'!B:B,'Product List'!R:R)</f>
        <v>2.07</v>
      </c>
      <c r="T217" s="86">
        <f t="shared" si="7"/>
        <v>1055.7</v>
      </c>
      <c r="U217" s="86" t="s">
        <v>92</v>
      </c>
      <c r="V217" s="86"/>
    </row>
    <row r="218" customFormat="1" spans="1:22">
      <c r="A218" s="308">
        <v>46252</v>
      </c>
      <c r="B218" s="86" t="str">
        <f>_xlfn.XLOOKUP(C218,'Product List'!B:B,'Product List'!I:I)</f>
        <v>MINI/MOE WOODLAND POTTY</v>
      </c>
      <c r="C218" s="135" t="s">
        <v>79</v>
      </c>
      <c r="D218" s="234">
        <f>VLOOKUP(C218,'Product List'!B:C,2,0)</f>
        <v>760762457077</v>
      </c>
      <c r="E218" s="86" t="s">
        <v>229</v>
      </c>
      <c r="F218" s="125">
        <v>108</v>
      </c>
      <c r="G218" s="306">
        <v>46286</v>
      </c>
      <c r="H218" s="309">
        <f>IF(P218="","",_xlfn.XLOOKUP(P218,'Shipment Control'!A:A,'Shipment Control'!I:I))</f>
        <v>46292</v>
      </c>
      <c r="I218" s="251">
        <f>IF(P218="",G218+30,_xlfn.XLOOKUP(P218,'Shipment Control'!A:A,'Shipment Control'!J:J))</f>
        <v>46311</v>
      </c>
      <c r="J218" s="251">
        <v>46317</v>
      </c>
      <c r="K218" s="309" t="s">
        <v>130</v>
      </c>
      <c r="L218" s="124" t="str" cm="1">
        <f t="array" ref="L218">_xlfn.XLOOKUP(1,('Case Pack'!A:A=C218)*('Case Pack'!F:F&lt;=A218),'Case Pack'!G:G,"未找到箱规")</f>
        <v>C</v>
      </c>
      <c r="M218" s="124" cm="1">
        <f t="array" ref="M218">_xlfn.XLOOKUP(1,('Case Pack'!A:A=C218)*('Case Pack'!F:F&lt;=A218),'Case Pack'!D:D,"未找到箱规")</f>
        <v>36</v>
      </c>
      <c r="N218" s="125">
        <f t="shared" si="6"/>
        <v>3</v>
      </c>
      <c r="O218" s="310">
        <f>_xlfn.XLOOKUP(L218,'Case Type'!A:A,'Case Type'!H:H)*N218</f>
        <v>0.4719474432</v>
      </c>
      <c r="P218" s="124" t="s">
        <v>225</v>
      </c>
      <c r="Q218" s="124" t="s">
        <v>226</v>
      </c>
      <c r="R218" s="124" t="s">
        <v>227</v>
      </c>
      <c r="S218" s="86">
        <f>_xlfn.XLOOKUP(C218,'Product List'!B:B,'Product List'!R:R)</f>
        <v>1.19</v>
      </c>
      <c r="T218" s="86">
        <f t="shared" si="7"/>
        <v>128.52</v>
      </c>
      <c r="U218" s="86" t="s">
        <v>92</v>
      </c>
      <c r="V218" s="86"/>
    </row>
    <row r="219" s="115" customFormat="1" spans="1:22">
      <c r="A219" s="113">
        <v>46272</v>
      </c>
      <c r="B219" s="86" t="str">
        <f>_xlfn.XLOOKUP(C219,'Product List'!B:B,'Product List'!I:I)</f>
        <v>MMO-BUBBLE WATER BOTTLE</v>
      </c>
      <c r="C219" s="128" t="s">
        <v>67</v>
      </c>
      <c r="D219" s="318">
        <f>VLOOKUP(C219,'Product List'!B:C,2,0)</f>
        <v>760762456971</v>
      </c>
      <c r="E219" s="99" t="s">
        <v>230</v>
      </c>
      <c r="F219" s="327">
        <v>3654</v>
      </c>
      <c r="G219" s="328">
        <v>46302</v>
      </c>
      <c r="H219" s="328"/>
      <c r="I219" s="319">
        <v>46333</v>
      </c>
      <c r="J219" s="319"/>
      <c r="K219" s="306" t="s">
        <v>130</v>
      </c>
      <c r="L219" s="124" t="str" cm="1">
        <f t="array" ref="L219">_xlfn.XLOOKUP(1,('Case Pack'!A:A=C219)*('Case Pack'!F:F&lt;=A219),'Case Pack'!G:G,"未找到箱规")</f>
        <v>C</v>
      </c>
      <c r="M219" s="124" cm="1">
        <f t="array" ref="M219">_xlfn.XLOOKUP(1,('Case Pack'!A:A=C219)*('Case Pack'!F:F&lt;=A219),'Case Pack'!D:D,"未找到箱规")</f>
        <v>42</v>
      </c>
      <c r="N219" s="263">
        <f t="shared" si="6"/>
        <v>87</v>
      </c>
      <c r="O219" s="320">
        <f>_xlfn.XLOOKUP(L219,'Case Type'!A:A,'Case Type'!H:H)*N219</f>
        <v>13.6864758528</v>
      </c>
      <c r="P219" s="108"/>
      <c r="Q219" s="108"/>
      <c r="R219" s="108"/>
      <c r="S219" s="99">
        <f>_xlfn.XLOOKUP(C219,'Product List'!B:B,'Product List'!R:R)</f>
        <v>3.1</v>
      </c>
      <c r="T219" s="99">
        <f t="shared" si="7"/>
        <v>11327.4</v>
      </c>
      <c r="U219" s="99" t="s">
        <v>92</v>
      </c>
      <c r="V219" s="99" t="s">
        <v>224</v>
      </c>
    </row>
    <row r="220" customFormat="1" spans="1:22">
      <c r="A220" s="308">
        <v>46272</v>
      </c>
      <c r="B220" s="86" t="str">
        <f>_xlfn.XLOOKUP(C220,'Product List'!B:B,'Product List'!I:I)</f>
        <v>MINI/MOE CAMPING TENT HIDE</v>
      </c>
      <c r="C220" s="128" t="s">
        <v>73</v>
      </c>
      <c r="D220" s="234">
        <f>VLOOKUP(C220,'Product List'!B:C,2,0)</f>
        <v>850030338082</v>
      </c>
      <c r="E220" s="86" t="s">
        <v>230</v>
      </c>
      <c r="F220" s="238">
        <v>2088</v>
      </c>
      <c r="G220" s="290">
        <v>46302</v>
      </c>
      <c r="H220" s="290"/>
      <c r="I220" s="251">
        <v>46333</v>
      </c>
      <c r="J220" s="251"/>
      <c r="K220" s="309" t="s">
        <v>130</v>
      </c>
      <c r="L220" s="124" t="str" cm="1">
        <f t="array" ref="L220">_xlfn.XLOOKUP(1,('Case Pack'!A:A=C220)*('Case Pack'!F:F&lt;=A220),'Case Pack'!G:G,"未找到箱规")</f>
        <v>B</v>
      </c>
      <c r="M220" s="124" cm="1">
        <f t="array" ref="M220">_xlfn.XLOOKUP(1,('Case Pack'!A:A=C220)*('Case Pack'!F:F&lt;=A220),'Case Pack'!D:D,"未找到箱规")</f>
        <v>12</v>
      </c>
      <c r="N220" s="125">
        <f t="shared" si="6"/>
        <v>174</v>
      </c>
      <c r="O220" s="310">
        <f>_xlfn.XLOOKUP(L220,'Case Type'!A:A,'Case Type'!H:H)*N220</f>
        <v>12.77404412928</v>
      </c>
      <c r="P220" s="86"/>
      <c r="Q220" s="124"/>
      <c r="R220" s="124"/>
      <c r="S220" s="86">
        <f>_xlfn.XLOOKUP(C220,'Product List'!B:B,'Product List'!R:R)</f>
        <v>1.96</v>
      </c>
      <c r="T220" s="86">
        <f t="shared" si="7"/>
        <v>4092.48</v>
      </c>
      <c r="U220" s="86" t="s">
        <v>92</v>
      </c>
      <c r="V220" s="86"/>
    </row>
    <row r="221" customFormat="1" spans="1:22">
      <c r="A221" s="308">
        <v>46272</v>
      </c>
      <c r="B221" s="86" t="str">
        <f>_xlfn.XLOOKUP(C221,'Product List'!B:B,'Product List'!I:I)</f>
        <v>MINI &amp; MOE WOODEN BRIDGE</v>
      </c>
      <c r="C221" s="128" t="s">
        <v>44</v>
      </c>
      <c r="D221" s="234">
        <f>VLOOKUP(C221,'Product List'!B:C,2,0)</f>
        <v>698746776756</v>
      </c>
      <c r="E221" s="86" t="s">
        <v>230</v>
      </c>
      <c r="F221" s="238">
        <v>1920</v>
      </c>
      <c r="G221" s="290">
        <v>46302</v>
      </c>
      <c r="H221" s="290"/>
      <c r="I221" s="251">
        <v>46356</v>
      </c>
      <c r="J221" s="251"/>
      <c r="K221" s="309" t="s">
        <v>130</v>
      </c>
      <c r="L221" s="124" t="str" cm="1">
        <f t="array" ref="L221">_xlfn.XLOOKUP(1,('Case Pack'!A:A=C221)*('Case Pack'!F:F&lt;=A221),'Case Pack'!G:G,"未找到箱规")</f>
        <v>A</v>
      </c>
      <c r="M221" s="124" cm="1">
        <f t="array" ref="M221">_xlfn.XLOOKUP(1,('Case Pack'!A:A=C221)*('Case Pack'!F:F&lt;=A221),'Case Pack'!D:D,"未找到箱规")</f>
        <v>48</v>
      </c>
      <c r="N221" s="125">
        <f t="shared" si="6"/>
        <v>40</v>
      </c>
      <c r="O221" s="310">
        <f>_xlfn.XLOOKUP(L221,'Case Type'!A:A,'Case Type'!H:H)*N221</f>
        <v>4.4048428032</v>
      </c>
      <c r="P221" s="124"/>
      <c r="Q221" s="124"/>
      <c r="R221" s="124"/>
      <c r="S221" s="86">
        <f>_xlfn.XLOOKUP(C221,'Product List'!B:B,'Product List'!R:R)</f>
        <v>1.83</v>
      </c>
      <c r="T221" s="86">
        <f t="shared" si="7"/>
        <v>3513.6</v>
      </c>
      <c r="U221" s="86" t="s">
        <v>92</v>
      </c>
      <c r="V221" s="86"/>
    </row>
    <row r="222" s="115" customFormat="1" spans="1:22">
      <c r="A222" s="113">
        <v>46272</v>
      </c>
      <c r="B222" s="86" t="str">
        <f>_xlfn.XLOOKUP(C222,'Product List'!B:B,'Product List'!I:I)</f>
        <v>MMO-CAMP LUNCH BOX CHEW</v>
      </c>
      <c r="C222" s="128" t="s">
        <v>34</v>
      </c>
      <c r="D222" s="318">
        <f>VLOOKUP(C222,'Product List'!B:C,2,0)</f>
        <v>698746777012</v>
      </c>
      <c r="E222" s="99" t="s">
        <v>230</v>
      </c>
      <c r="F222" s="327">
        <v>1440</v>
      </c>
      <c r="G222" s="328">
        <v>46302</v>
      </c>
      <c r="H222" s="328"/>
      <c r="I222" s="319">
        <v>46333</v>
      </c>
      <c r="J222" s="319"/>
      <c r="K222" s="306" t="s">
        <v>130</v>
      </c>
      <c r="L222" s="124" t="str" cm="1">
        <f t="array" ref="L222">_xlfn.XLOOKUP(1,('Case Pack'!A:A=C222)*('Case Pack'!F:F&lt;=A222),'Case Pack'!G:G,"未找到箱规")</f>
        <v>B</v>
      </c>
      <c r="M222" s="124" cm="1">
        <f t="array" ref="M222">_xlfn.XLOOKUP(1,('Case Pack'!A:A=C222)*('Case Pack'!F:F&lt;=A222),'Case Pack'!D:D,"未找到箱规")</f>
        <v>72</v>
      </c>
      <c r="N222" s="263">
        <f t="shared" si="6"/>
        <v>20</v>
      </c>
      <c r="O222" s="320">
        <f>_xlfn.XLOOKUP(L222,'Case Type'!A:A,'Case Type'!H:H)*N222</f>
        <v>1.4682809344</v>
      </c>
      <c r="P222" s="108"/>
      <c r="Q222" s="108"/>
      <c r="R222" s="108"/>
      <c r="S222" s="99">
        <f>_xlfn.XLOOKUP(C222,'Product List'!B:B,'Product List'!R:R)</f>
        <v>1.59</v>
      </c>
      <c r="T222" s="99">
        <f t="shared" si="7"/>
        <v>2289.6</v>
      </c>
      <c r="U222" s="99" t="s">
        <v>92</v>
      </c>
      <c r="V222" s="99" t="s">
        <v>224</v>
      </c>
    </row>
    <row r="223" s="115" customFormat="1" spans="1:22">
      <c r="A223" s="113">
        <v>46272</v>
      </c>
      <c r="B223" s="86" t="str">
        <f>_xlfn.XLOOKUP(C223,'Product List'!B:B,'Product List'!I:I)</f>
        <v>MMO-GREEN APPLE CHEW</v>
      </c>
      <c r="C223" s="128" t="s">
        <v>33</v>
      </c>
      <c r="D223" s="318">
        <f>VLOOKUP(C223,'Product List'!B:C,2,0)</f>
        <v>698746777081</v>
      </c>
      <c r="E223" s="99" t="s">
        <v>230</v>
      </c>
      <c r="F223" s="327">
        <v>1392</v>
      </c>
      <c r="G223" s="328">
        <v>46302</v>
      </c>
      <c r="H223" s="328"/>
      <c r="I223" s="319">
        <v>46333</v>
      </c>
      <c r="J223" s="319"/>
      <c r="K223" s="306" t="s">
        <v>130</v>
      </c>
      <c r="L223" s="124" t="str" cm="1">
        <f t="array" ref="L223">_xlfn.XLOOKUP(1,('Case Pack'!A:A=C223)*('Case Pack'!F:F&lt;=A223),'Case Pack'!G:G,"未找到箱规")</f>
        <v>B</v>
      </c>
      <c r="M223" s="124" cm="1">
        <f t="array" ref="M223">_xlfn.XLOOKUP(1,('Case Pack'!A:A=C223)*('Case Pack'!F:F&lt;=A223),'Case Pack'!D:D,"未找到箱规")</f>
        <v>48</v>
      </c>
      <c r="N223" s="263">
        <f t="shared" si="6"/>
        <v>29</v>
      </c>
      <c r="O223" s="320">
        <f>_xlfn.XLOOKUP(L223,'Case Type'!A:A,'Case Type'!H:H)*N223</f>
        <v>2.12900735488</v>
      </c>
      <c r="P223" s="108"/>
      <c r="Q223" s="108"/>
      <c r="R223" s="108"/>
      <c r="S223" s="99">
        <f>_xlfn.XLOOKUP(C223,'Product List'!B:B,'Product List'!R:R)</f>
        <v>1.04</v>
      </c>
      <c r="T223" s="99">
        <f t="shared" si="7"/>
        <v>1447.68</v>
      </c>
      <c r="U223" s="99" t="s">
        <v>92</v>
      </c>
      <c r="V223" s="99" t="s">
        <v>224</v>
      </c>
    </row>
    <row r="224" customFormat="1" spans="1:22">
      <c r="A224" s="308">
        <v>46272</v>
      </c>
      <c r="B224" s="86" t="str">
        <f>_xlfn.XLOOKUP(C224,'Product List'!B:B,'Product List'!I:I)</f>
        <v>MINI &amp; MOE COTTAGE HIDE</v>
      </c>
      <c r="C224" s="128" t="s">
        <v>53</v>
      </c>
      <c r="D224" s="234">
        <f>VLOOKUP(C224,'Product List'!B:C,2,0)</f>
        <v>850030338211</v>
      </c>
      <c r="E224" s="86" t="s">
        <v>230</v>
      </c>
      <c r="F224" s="125">
        <v>936</v>
      </c>
      <c r="G224" s="290">
        <v>46302</v>
      </c>
      <c r="H224" s="290"/>
      <c r="I224" s="251">
        <v>46356</v>
      </c>
      <c r="J224" s="251"/>
      <c r="K224" s="309" t="s">
        <v>130</v>
      </c>
      <c r="L224" s="124" t="str" cm="1">
        <f t="array" ref="L224">_xlfn.XLOOKUP(1,('Case Pack'!A:A=C224)*('Case Pack'!F:F&lt;=A224),'Case Pack'!G:G,"未找到箱规")</f>
        <v>C</v>
      </c>
      <c r="M224" s="124" cm="1">
        <f t="array" ref="M224">_xlfn.XLOOKUP(1,('Case Pack'!A:A=C224)*('Case Pack'!F:F&lt;=A224),'Case Pack'!D:D,"未找到箱规")</f>
        <v>24</v>
      </c>
      <c r="N224" s="125">
        <f t="shared" si="6"/>
        <v>39</v>
      </c>
      <c r="O224" s="310">
        <f>_xlfn.XLOOKUP(L224,'Case Type'!A:A,'Case Type'!H:H)*N224</f>
        <v>6.1353167616</v>
      </c>
      <c r="P224" s="124"/>
      <c r="Q224" s="124"/>
      <c r="R224" s="124"/>
      <c r="S224" s="86">
        <f>_xlfn.XLOOKUP(C224,'Product List'!B:B,'Product List'!R:R)</f>
        <v>3.61</v>
      </c>
      <c r="T224" s="86">
        <f t="shared" si="7"/>
        <v>3378.96</v>
      </c>
      <c r="U224" s="86" t="s">
        <v>92</v>
      </c>
      <c r="V224" s="86"/>
    </row>
    <row r="225" customFormat="1" spans="1:22">
      <c r="A225" s="308">
        <v>46272</v>
      </c>
      <c r="B225" s="86" t="str">
        <f>_xlfn.XLOOKUP(C225,'Product List'!B:B,'Product List'!I:I)</f>
        <v>MINI/MOE TV VIEWING CAGE</v>
      </c>
      <c r="C225" s="128" t="s">
        <v>50</v>
      </c>
      <c r="D225" s="234">
        <f>VLOOKUP(C225,'Product List'!B:C,2,0)</f>
        <v>850030338761</v>
      </c>
      <c r="E225" s="86" t="s">
        <v>230</v>
      </c>
      <c r="F225" s="125">
        <v>372</v>
      </c>
      <c r="G225" s="306">
        <v>46286</v>
      </c>
      <c r="H225" s="309">
        <f>IF(P225="","",_xlfn.XLOOKUP(P225,'Shipment Control'!A:A,'Shipment Control'!I:I))</f>
        <v>46292</v>
      </c>
      <c r="I225" s="251">
        <f>IF(P225="",G225+30,_xlfn.XLOOKUP(P225,'Shipment Control'!A:A,'Shipment Control'!J:J))</f>
        <v>46311</v>
      </c>
      <c r="J225" s="251">
        <v>46317</v>
      </c>
      <c r="K225" s="309" t="s">
        <v>130</v>
      </c>
      <c r="L225" s="124" t="str" cm="1">
        <f t="array" ref="L225">_xlfn.XLOOKUP(1,('Case Pack'!A:A=C225)*('Case Pack'!F:F&lt;=A225),'Case Pack'!G:G,"未找到箱规")</f>
        <v>S1</v>
      </c>
      <c r="M225" s="124" cm="1">
        <f t="array" ref="M225">_xlfn.XLOOKUP(1,('Case Pack'!A:A=C225)*('Case Pack'!F:F&lt;=A225),'Case Pack'!D:D,"未找到箱规")</f>
        <v>1</v>
      </c>
      <c r="N225" s="125">
        <f t="shared" si="6"/>
        <v>372</v>
      </c>
      <c r="O225" s="310">
        <f>_xlfn.XLOOKUP(L225,'Case Type'!A:A,'Case Type'!H:H)*N225</f>
        <v>27.528846169428</v>
      </c>
      <c r="P225" s="124" t="s">
        <v>225</v>
      </c>
      <c r="Q225" s="124" t="s">
        <v>226</v>
      </c>
      <c r="R225" s="124" t="s">
        <v>227</v>
      </c>
      <c r="S225" s="86">
        <f>_xlfn.XLOOKUP(C225,'Product List'!B:B,'Product List'!R:R)</f>
        <v>24.09</v>
      </c>
      <c r="T225" s="86">
        <f t="shared" si="7"/>
        <v>8961.48</v>
      </c>
      <c r="U225" s="86" t="s">
        <v>92</v>
      </c>
      <c r="V225" s="86"/>
    </row>
    <row r="226" customFormat="1" spans="1:22">
      <c r="A226" s="308">
        <v>46272</v>
      </c>
      <c r="B226" s="86" t="str">
        <f>_xlfn.XLOOKUP(C226,'Product List'!B:B,'Product List'!I:I)</f>
        <v>MINI/MOE TV VIEWING CAGE</v>
      </c>
      <c r="C226" s="128" t="s">
        <v>50</v>
      </c>
      <c r="D226" s="234">
        <f>VLOOKUP(C226,'Product List'!B:C,2,0)</f>
        <v>850030338761</v>
      </c>
      <c r="E226" s="86" t="s">
        <v>230</v>
      </c>
      <c r="F226" s="125">
        <v>396</v>
      </c>
      <c r="G226" s="290">
        <v>46302</v>
      </c>
      <c r="H226" s="309" t="str">
        <f>IF(P226="","",_xlfn.XLOOKUP(P226,'Shipment Control'!A:A,'Shipment Control'!I:I))</f>
        <v/>
      </c>
      <c r="I226" s="251">
        <v>46333</v>
      </c>
      <c r="J226" s="251"/>
      <c r="K226" s="309" t="s">
        <v>130</v>
      </c>
      <c r="L226" s="124" t="str" cm="1">
        <f t="array" ref="L226">_xlfn.XLOOKUP(1,('Case Pack'!A:A=C226)*('Case Pack'!F:F&lt;=A226),'Case Pack'!G:G,"未找到箱规")</f>
        <v>S1</v>
      </c>
      <c r="M226" s="124" cm="1">
        <f t="array" ref="M226">_xlfn.XLOOKUP(1,('Case Pack'!A:A=C226)*('Case Pack'!F:F&lt;=A226),'Case Pack'!D:D,"未找到箱规")</f>
        <v>1</v>
      </c>
      <c r="N226" s="125">
        <f t="shared" si="6"/>
        <v>396</v>
      </c>
      <c r="O226" s="310">
        <f>_xlfn.XLOOKUP(L226,'Case Type'!A:A,'Case Type'!H:H)*N226</f>
        <v>29.304900761004</v>
      </c>
      <c r="P226" s="124"/>
      <c r="Q226" s="124"/>
      <c r="R226" s="124"/>
      <c r="S226" s="86">
        <f>_xlfn.XLOOKUP(C226,'Product List'!B:B,'Product List'!R:R)</f>
        <v>24.09</v>
      </c>
      <c r="T226" s="86">
        <f t="shared" si="7"/>
        <v>9539.64</v>
      </c>
      <c r="U226" s="86" t="s">
        <v>92</v>
      </c>
      <c r="V226" s="86"/>
    </row>
    <row r="227" s="115" customFormat="1" spans="1:22">
      <c r="A227" s="113">
        <v>46272</v>
      </c>
      <c r="B227" s="86" t="str">
        <f>_xlfn.XLOOKUP(C227,'Product List'!B:B,'Product List'!I:I)</f>
        <v>MINI/MOE SILENT CRSTL RUN WHEEL LG 8.5-White</v>
      </c>
      <c r="C227" s="128" t="s">
        <v>29</v>
      </c>
      <c r="D227" s="318">
        <f>VLOOKUP(C227,'Product List'!B:C,2,0)</f>
        <v>850062627680</v>
      </c>
      <c r="E227" s="99" t="s">
        <v>230</v>
      </c>
      <c r="F227" s="327">
        <v>544</v>
      </c>
      <c r="G227" s="328">
        <v>46302</v>
      </c>
      <c r="H227" s="309" t="str">
        <f>IF(P227="","",_xlfn.XLOOKUP(P227,'Shipment Control'!A:A,'Shipment Control'!I:I))</f>
        <v/>
      </c>
      <c r="I227" s="319">
        <v>46333</v>
      </c>
      <c r="J227" s="319"/>
      <c r="K227" s="306" t="s">
        <v>130</v>
      </c>
      <c r="L227" s="124" t="str" cm="1">
        <f t="array" ref="L227">_xlfn.XLOOKUP(1,('Case Pack'!A:A=C227)*('Case Pack'!F:F&lt;=A227),'Case Pack'!G:G,"未找到箱规")</f>
        <v>A</v>
      </c>
      <c r="M227" s="124" cm="1">
        <f t="array" ref="M227">_xlfn.XLOOKUP(1,('Case Pack'!A:A=C227)*('Case Pack'!F:F&lt;=A227),'Case Pack'!D:D,"未找到箱规")</f>
        <v>8</v>
      </c>
      <c r="N227" s="263">
        <f t="shared" si="6"/>
        <v>68</v>
      </c>
      <c r="O227" s="320">
        <f>_xlfn.XLOOKUP(L227,'Case Type'!A:A,'Case Type'!H:H)*N227</f>
        <v>7.48823276544</v>
      </c>
      <c r="P227" s="108"/>
      <c r="Q227" s="108"/>
      <c r="R227" s="108"/>
      <c r="S227" s="99">
        <f>_xlfn.XLOOKUP(C227,'Product List'!B:B,'Product List'!R:R)</f>
        <v>6.27</v>
      </c>
      <c r="T227" s="99">
        <f t="shared" si="7"/>
        <v>3410.88</v>
      </c>
      <c r="U227" s="99" t="s">
        <v>92</v>
      </c>
      <c r="V227" s="99" t="s">
        <v>224</v>
      </c>
    </row>
    <row r="228" customFormat="1" spans="1:22">
      <c r="A228" s="308">
        <v>46274</v>
      </c>
      <c r="B228" s="86" t="str">
        <f>_xlfn.XLOOKUP(C228,'Product List'!B:B,'Product List'!I:I)</f>
        <v>MINI &amp; MOE GARDEN DECOR CHEW</v>
      </c>
      <c r="C228" s="106" t="s">
        <v>45</v>
      </c>
      <c r="D228" s="234">
        <f>VLOOKUP(C228,'Product List'!B:C,2,0)</f>
        <v>698746777326</v>
      </c>
      <c r="E228" s="86" t="s">
        <v>231</v>
      </c>
      <c r="F228" s="125">
        <v>2070</v>
      </c>
      <c r="G228" s="290">
        <v>46304</v>
      </c>
      <c r="H228" s="309" t="str">
        <f>IF(P228="","",_xlfn.XLOOKUP(P228,'Shipment Control'!A:A,'Shipment Control'!I:I))</f>
        <v/>
      </c>
      <c r="I228" s="251">
        <v>46335</v>
      </c>
      <c r="J228" s="251"/>
      <c r="K228" s="309" t="s">
        <v>130</v>
      </c>
      <c r="L228" s="124" t="str" cm="1">
        <f t="array" ref="L228">_xlfn.XLOOKUP(1,('Case Pack'!A:A=C228)*('Case Pack'!F:F&lt;=A228),'Case Pack'!G:G,"未找到箱规")</f>
        <v>B</v>
      </c>
      <c r="M228" s="124" cm="1">
        <f t="array" ref="M228">_xlfn.XLOOKUP(1,('Case Pack'!A:A=C228)*('Case Pack'!F:F&lt;=A228),'Case Pack'!D:D,"未找到箱规")</f>
        <v>45</v>
      </c>
      <c r="N228" s="125">
        <f t="shared" si="6"/>
        <v>46</v>
      </c>
      <c r="O228" s="310">
        <f>_xlfn.XLOOKUP(L228,'Case Type'!A:A,'Case Type'!H:H)*N228</f>
        <v>3.37704614912</v>
      </c>
      <c r="P228" s="124"/>
      <c r="Q228" s="124"/>
      <c r="R228" s="124"/>
      <c r="S228" s="86">
        <f>_xlfn.XLOOKUP(C228,'Product List'!B:B,'Product List'!R:R)</f>
        <v>2.35</v>
      </c>
      <c r="T228" s="86">
        <f t="shared" si="7"/>
        <v>4864.5</v>
      </c>
      <c r="U228" s="86" t="s">
        <v>92</v>
      </c>
      <c r="V228" s="86"/>
    </row>
    <row r="229" customFormat="1" spans="1:22">
      <c r="A229" s="308">
        <v>46274</v>
      </c>
      <c r="B229" s="86" t="str">
        <f>_xlfn.XLOOKUP(C229,'Product List'!B:B,'Product List'!I:I)</f>
        <v>MINI/MOE TV VIEWING CAGE</v>
      </c>
      <c r="C229" s="99" t="s">
        <v>50</v>
      </c>
      <c r="D229" s="234">
        <f>VLOOKUP(C229,'Product List'!B:C,2,0)</f>
        <v>850030338761</v>
      </c>
      <c r="E229" s="86" t="s">
        <v>231</v>
      </c>
      <c r="F229" s="125">
        <v>1166</v>
      </c>
      <c r="G229" s="290">
        <v>46307</v>
      </c>
      <c r="H229" s="309">
        <f>IF(P229="","",_xlfn.XLOOKUP(P229,'Shipment Control'!A:A,'Shipment Control'!I:I))</f>
        <v>46315</v>
      </c>
      <c r="I229" s="251">
        <v>46356</v>
      </c>
      <c r="J229" s="251"/>
      <c r="K229" s="309" t="s">
        <v>130</v>
      </c>
      <c r="L229" s="124" t="str" cm="1">
        <f t="array" ref="L229">_xlfn.XLOOKUP(1,('Case Pack'!A:A=C229)*('Case Pack'!F:F&lt;=A229),'Case Pack'!G:G,"未找到箱规")</f>
        <v>S1</v>
      </c>
      <c r="M229" s="124" cm="1">
        <f t="array" ref="M229">_xlfn.XLOOKUP(1,('Case Pack'!A:A=C229)*('Case Pack'!F:F&lt;=A229),'Case Pack'!D:D,"未找到箱规")</f>
        <v>1</v>
      </c>
      <c r="N229" s="125">
        <f t="shared" si="6"/>
        <v>1166</v>
      </c>
      <c r="O229" s="310">
        <f>_xlfn.XLOOKUP(L229,'Case Type'!A:A,'Case Type'!H:H)*N229</f>
        <v>86.286652240734</v>
      </c>
      <c r="P229" s="124" t="s">
        <v>232</v>
      </c>
      <c r="Q229" s="124" t="s">
        <v>233</v>
      </c>
      <c r="R229" s="124" t="s">
        <v>234</v>
      </c>
      <c r="S229" s="86">
        <f>_xlfn.XLOOKUP(C229,'Product List'!B:B,'Product List'!R:R)</f>
        <v>24.09</v>
      </c>
      <c r="T229" s="86">
        <f t="shared" si="7"/>
        <v>28088.94</v>
      </c>
      <c r="U229" s="86" t="s">
        <v>92</v>
      </c>
      <c r="V229" s="86"/>
    </row>
    <row r="230" customFormat="1" spans="1:22">
      <c r="A230" s="308">
        <v>46274</v>
      </c>
      <c r="B230" s="86" t="str">
        <f>_xlfn.XLOOKUP(C230,'Product List'!B:B,'Product List'!I:I)</f>
        <v>MINI/MOE TV VIEWING CAGE</v>
      </c>
      <c r="C230" s="99" t="s">
        <v>50</v>
      </c>
      <c r="D230" s="234">
        <f>VLOOKUP(C230,'Product List'!B:C,2,0)</f>
        <v>850030338761</v>
      </c>
      <c r="E230" s="86" t="s">
        <v>231</v>
      </c>
      <c r="F230" s="125">
        <v>480</v>
      </c>
      <c r="G230" s="290">
        <v>46327</v>
      </c>
      <c r="H230" s="290"/>
      <c r="I230" s="251">
        <v>46356</v>
      </c>
      <c r="J230" s="251"/>
      <c r="K230" s="309" t="s">
        <v>130</v>
      </c>
      <c r="L230" s="124" t="str" cm="1">
        <f t="array" ref="L230">_xlfn.XLOOKUP(1,('Case Pack'!A:A=C230)*('Case Pack'!F:F&lt;=A230),'Case Pack'!G:G,"未找到箱规")</f>
        <v>S1</v>
      </c>
      <c r="M230" s="124" cm="1">
        <f t="array" ref="M230">_xlfn.XLOOKUP(1,('Case Pack'!A:A=C230)*('Case Pack'!F:F&lt;=A230),'Case Pack'!D:D,"未找到箱规")</f>
        <v>1</v>
      </c>
      <c r="N230" s="125">
        <f>F230/M230</f>
        <v>480</v>
      </c>
      <c r="O230" s="310">
        <f>_xlfn.XLOOKUP(L230,'Case Type'!A:A,'Case Type'!H:H)*N230</f>
        <v>35.52109183152</v>
      </c>
      <c r="P230" s="124"/>
      <c r="Q230" s="124"/>
      <c r="R230" s="124"/>
      <c r="S230" s="86">
        <f>_xlfn.XLOOKUP(C230,'Product List'!B:B,'Product List'!R:R)</f>
        <v>24.09</v>
      </c>
      <c r="T230" s="86">
        <f t="shared" si="7"/>
        <v>11563.2</v>
      </c>
      <c r="U230" s="86" t="s">
        <v>92</v>
      </c>
      <c r="V230" s="86"/>
    </row>
    <row r="231" s="115" customFormat="1" spans="1:22">
      <c r="A231" s="113">
        <v>46274</v>
      </c>
      <c r="B231" s="86" t="str">
        <f>_xlfn.XLOOKUP(C231,'Product List'!B:B,'Product List'!I:I)</f>
        <v>MMO-BUBBLE WATER BOTTLE</v>
      </c>
      <c r="C231" s="99" t="s">
        <v>67</v>
      </c>
      <c r="D231" s="318">
        <f>VLOOKUP(C231,'Product List'!B:C,2,0)</f>
        <v>760762456971</v>
      </c>
      <c r="E231" s="99" t="s">
        <v>231</v>
      </c>
      <c r="F231" s="327">
        <v>1470</v>
      </c>
      <c r="G231" s="328">
        <v>46327</v>
      </c>
      <c r="H231" s="328"/>
      <c r="I231" s="319">
        <v>46356</v>
      </c>
      <c r="J231" s="319"/>
      <c r="K231" s="306" t="s">
        <v>130</v>
      </c>
      <c r="L231" s="124" t="str" cm="1">
        <f t="array" ref="L231">_xlfn.XLOOKUP(1,('Case Pack'!A:A=C231)*('Case Pack'!F:F&lt;=A231),'Case Pack'!G:G,"未找到箱规")</f>
        <v>C</v>
      </c>
      <c r="M231" s="124" cm="1">
        <f t="array" ref="M231">_xlfn.XLOOKUP(1,('Case Pack'!A:A=C231)*('Case Pack'!F:F&lt;=A231),'Case Pack'!D:D,"未找到箱规")</f>
        <v>42</v>
      </c>
      <c r="N231" s="263">
        <f t="shared" ref="N231:N246" si="8">F231/M231</f>
        <v>35</v>
      </c>
      <c r="O231" s="320">
        <f>_xlfn.XLOOKUP(L231,'Case Type'!A:A,'Case Type'!H:H)*N231</f>
        <v>5.506053504</v>
      </c>
      <c r="P231" s="108"/>
      <c r="Q231" s="108"/>
      <c r="R231" s="108"/>
      <c r="S231" s="99">
        <f>_xlfn.XLOOKUP(C231,'Product List'!B:B,'Product List'!R:R)</f>
        <v>3.1</v>
      </c>
      <c r="T231" s="99">
        <f t="shared" si="7"/>
        <v>4557</v>
      </c>
      <c r="U231" s="99" t="s">
        <v>92</v>
      </c>
      <c r="V231" s="99" t="s">
        <v>224</v>
      </c>
    </row>
    <row r="232" s="115" customFormat="1" spans="1:22">
      <c r="A232" s="113">
        <v>46274</v>
      </c>
      <c r="B232" s="86" t="str">
        <f>_xlfn.XLOOKUP(C232,'Product List'!B:B,'Product List'!I:I)</f>
        <v>MINI/MOE SILENT CRSTL RUN WHEEL LG 8.5-White</v>
      </c>
      <c r="C232" s="99" t="s">
        <v>29</v>
      </c>
      <c r="D232" s="318">
        <f>VLOOKUP(C232,'Product List'!B:C,2,0)</f>
        <v>850062627680</v>
      </c>
      <c r="E232" s="99" t="s">
        <v>231</v>
      </c>
      <c r="F232" s="327">
        <v>808</v>
      </c>
      <c r="G232" s="328">
        <v>46304</v>
      </c>
      <c r="H232" s="328"/>
      <c r="I232" s="319">
        <v>46333</v>
      </c>
      <c r="J232" s="319"/>
      <c r="K232" s="306" t="s">
        <v>130</v>
      </c>
      <c r="L232" s="124" t="str" cm="1">
        <f t="array" ref="L232">_xlfn.XLOOKUP(1,('Case Pack'!A:A=C232)*('Case Pack'!F:F&lt;=A232),'Case Pack'!G:G,"未找到箱规")</f>
        <v>A</v>
      </c>
      <c r="M232" s="124" cm="1">
        <f t="array" ref="M232">_xlfn.XLOOKUP(1,('Case Pack'!A:A=C232)*('Case Pack'!F:F&lt;=A232),'Case Pack'!D:D,"未找到箱规")</f>
        <v>8</v>
      </c>
      <c r="N232" s="263">
        <f t="shared" si="8"/>
        <v>101</v>
      </c>
      <c r="O232" s="320">
        <f>_xlfn.XLOOKUP(L232,'Case Type'!A:A,'Case Type'!H:H)*N232</f>
        <v>11.12222807808</v>
      </c>
      <c r="P232" s="108"/>
      <c r="Q232" s="108"/>
      <c r="R232" s="108"/>
      <c r="S232" s="99">
        <f>_xlfn.XLOOKUP(C232,'Product List'!B:B,'Product List'!R:R)</f>
        <v>6.27</v>
      </c>
      <c r="T232" s="99">
        <f t="shared" si="7"/>
        <v>5066.16</v>
      </c>
      <c r="U232" s="99" t="s">
        <v>92</v>
      </c>
      <c r="V232" s="99" t="s">
        <v>224</v>
      </c>
    </row>
    <row r="233" s="115" customFormat="1" spans="1:22">
      <c r="A233" s="113">
        <v>46274</v>
      </c>
      <c r="B233" s="86" t="str">
        <f>_xlfn.XLOOKUP(C233,'Product List'!B:B,'Product List'!I:I)</f>
        <v>MMO-CAMP LUNCH BOX CHEW</v>
      </c>
      <c r="C233" s="106" t="s">
        <v>34</v>
      </c>
      <c r="D233" s="318">
        <f>VLOOKUP(C233,'Product List'!B:C,2,0)</f>
        <v>698746777012</v>
      </c>
      <c r="E233" s="99" t="s">
        <v>231</v>
      </c>
      <c r="F233" s="327">
        <v>720</v>
      </c>
      <c r="G233" s="328">
        <v>46304</v>
      </c>
      <c r="H233" s="328"/>
      <c r="I233" s="319">
        <v>46333</v>
      </c>
      <c r="J233" s="319"/>
      <c r="K233" s="306" t="s">
        <v>130</v>
      </c>
      <c r="L233" s="124" t="str" cm="1">
        <f t="array" ref="L233">_xlfn.XLOOKUP(1,('Case Pack'!A:A=C233)*('Case Pack'!F:F&lt;=A233),'Case Pack'!G:G,"未找到箱规")</f>
        <v>B</v>
      </c>
      <c r="M233" s="124" cm="1">
        <f t="array" ref="M233">_xlfn.XLOOKUP(1,('Case Pack'!A:A=C233)*('Case Pack'!F:F&lt;=A233),'Case Pack'!D:D,"未找到箱规")</f>
        <v>72</v>
      </c>
      <c r="N233" s="263">
        <f t="shared" si="8"/>
        <v>10</v>
      </c>
      <c r="O233" s="320">
        <f>_xlfn.XLOOKUP(L233,'Case Type'!A:A,'Case Type'!H:H)*N233</f>
        <v>0.7341404672</v>
      </c>
      <c r="P233" s="108"/>
      <c r="Q233" s="108"/>
      <c r="R233" s="108"/>
      <c r="S233" s="99">
        <f>_xlfn.XLOOKUP(C233,'Product List'!B:B,'Product List'!R:R)</f>
        <v>1.59</v>
      </c>
      <c r="T233" s="99">
        <f t="shared" si="7"/>
        <v>1144.8</v>
      </c>
      <c r="U233" s="99" t="s">
        <v>92</v>
      </c>
      <c r="V233" s="99" t="s">
        <v>224</v>
      </c>
    </row>
    <row r="234" s="115" customFormat="1" spans="1:22">
      <c r="A234" s="113">
        <v>46274</v>
      </c>
      <c r="B234" s="86" t="str">
        <f>_xlfn.XLOOKUP(C234,'Product List'!B:B,'Product List'!I:I)</f>
        <v>MMO-GREEN APPLE CHEW</v>
      </c>
      <c r="C234" s="106" t="s">
        <v>33</v>
      </c>
      <c r="D234" s="318">
        <f>VLOOKUP(C234,'Product List'!B:C,2,0)</f>
        <v>698746777081</v>
      </c>
      <c r="E234" s="99" t="s">
        <v>231</v>
      </c>
      <c r="F234" s="327">
        <v>720</v>
      </c>
      <c r="G234" s="328">
        <v>46327</v>
      </c>
      <c r="H234" s="328"/>
      <c r="I234" s="319">
        <v>46356</v>
      </c>
      <c r="J234" s="319"/>
      <c r="K234" s="306" t="s">
        <v>130</v>
      </c>
      <c r="L234" s="124" t="str" cm="1">
        <f t="array" ref="L234">_xlfn.XLOOKUP(1,('Case Pack'!A:A=C234)*('Case Pack'!F:F&lt;=A234),'Case Pack'!G:G,"未找到箱规")</f>
        <v>B</v>
      </c>
      <c r="M234" s="124" cm="1">
        <f t="array" ref="M234">_xlfn.XLOOKUP(1,('Case Pack'!A:A=C234)*('Case Pack'!F:F&lt;=A234),'Case Pack'!D:D,"未找到箱规")</f>
        <v>48</v>
      </c>
      <c r="N234" s="263">
        <f t="shared" si="8"/>
        <v>15</v>
      </c>
      <c r="O234" s="320">
        <f>_xlfn.XLOOKUP(L234,'Case Type'!A:A,'Case Type'!H:H)*N234</f>
        <v>1.1012107008</v>
      </c>
      <c r="P234" s="108"/>
      <c r="Q234" s="108"/>
      <c r="R234" s="108"/>
      <c r="S234" s="99">
        <f>_xlfn.XLOOKUP(C234,'Product List'!B:B,'Product List'!R:R)</f>
        <v>1.04</v>
      </c>
      <c r="T234" s="99">
        <f t="shared" si="7"/>
        <v>748.8</v>
      </c>
      <c r="U234" s="99" t="s">
        <v>92</v>
      </c>
      <c r="V234" s="99" t="s">
        <v>224</v>
      </c>
    </row>
    <row r="235" customFormat="1" spans="1:22">
      <c r="A235" s="308">
        <v>46274</v>
      </c>
      <c r="B235" s="86" t="str">
        <f>_xlfn.XLOOKUP(C235,'Product List'!B:B,'Product List'!I:I)</f>
        <v>MINI/MOE CAMPING TENT HIDE</v>
      </c>
      <c r="C235" s="99" t="s">
        <v>73</v>
      </c>
      <c r="D235" s="234">
        <f>VLOOKUP(C235,'Product List'!B:C,2,0)</f>
        <v>850030338082</v>
      </c>
      <c r="E235" s="86" t="s">
        <v>231</v>
      </c>
      <c r="F235" s="238">
        <v>684</v>
      </c>
      <c r="G235" s="290">
        <v>46304</v>
      </c>
      <c r="H235" s="290"/>
      <c r="I235" s="251">
        <v>46333</v>
      </c>
      <c r="J235" s="251"/>
      <c r="K235" s="309" t="s">
        <v>130</v>
      </c>
      <c r="L235" s="124" t="str" cm="1">
        <f t="array" ref="L235">_xlfn.XLOOKUP(1,('Case Pack'!A:A=C235)*('Case Pack'!F:F&lt;=A235),'Case Pack'!G:G,"未找到箱规")</f>
        <v>B</v>
      </c>
      <c r="M235" s="124" cm="1">
        <f t="array" ref="M235">_xlfn.XLOOKUP(1,('Case Pack'!A:A=C235)*('Case Pack'!F:F&lt;=A235),'Case Pack'!D:D,"未找到箱规")</f>
        <v>12</v>
      </c>
      <c r="N235" s="125">
        <f t="shared" si="8"/>
        <v>57</v>
      </c>
      <c r="O235" s="310">
        <f>_xlfn.XLOOKUP(L235,'Case Type'!A:A,'Case Type'!H:H)*N235</f>
        <v>4.18460066304</v>
      </c>
      <c r="P235" s="86"/>
      <c r="Q235" s="124"/>
      <c r="R235" s="124"/>
      <c r="S235" s="86">
        <f>_xlfn.XLOOKUP(C235,'Product List'!B:B,'Product List'!R:R)</f>
        <v>1.96</v>
      </c>
      <c r="T235" s="86">
        <f t="shared" si="7"/>
        <v>1340.64</v>
      </c>
      <c r="U235" s="86" t="s">
        <v>92</v>
      </c>
      <c r="V235" s="86"/>
    </row>
    <row r="236" customFormat="1" spans="1:22">
      <c r="A236" s="308">
        <v>46274</v>
      </c>
      <c r="B236" s="86" t="str">
        <f>_xlfn.XLOOKUP(C236,'Product List'!B:B,'Product List'!I:I)</f>
        <v>MINI &amp; MOE WOODEN BRIDGE</v>
      </c>
      <c r="C236" s="106" t="s">
        <v>44</v>
      </c>
      <c r="D236" s="234">
        <f>VLOOKUP(C236,'Product List'!B:C,2,0)</f>
        <v>698746776756</v>
      </c>
      <c r="E236" s="86" t="s">
        <v>231</v>
      </c>
      <c r="F236" s="238">
        <v>432</v>
      </c>
      <c r="G236" s="290">
        <v>46304</v>
      </c>
      <c r="H236" s="290"/>
      <c r="I236" s="251">
        <v>46333</v>
      </c>
      <c r="J236" s="251"/>
      <c r="K236" s="309" t="s">
        <v>130</v>
      </c>
      <c r="L236" s="124" t="str" cm="1">
        <f t="array" ref="L236">_xlfn.XLOOKUP(1,('Case Pack'!A:A=C236)*('Case Pack'!F:F&lt;=A236),'Case Pack'!G:G,"未找到箱规")</f>
        <v>A</v>
      </c>
      <c r="M236" s="124" cm="1">
        <f t="array" ref="M236">_xlfn.XLOOKUP(1,('Case Pack'!A:A=C236)*('Case Pack'!F:F&lt;=A236),'Case Pack'!D:D,"未找到箱规")</f>
        <v>48</v>
      </c>
      <c r="N236" s="125">
        <f t="shared" si="8"/>
        <v>9</v>
      </c>
      <c r="O236" s="310">
        <f>_xlfn.XLOOKUP(L236,'Case Type'!A:A,'Case Type'!H:H)*N236</f>
        <v>0.99108963072</v>
      </c>
      <c r="P236" s="124"/>
      <c r="Q236" s="124"/>
      <c r="R236" s="124"/>
      <c r="S236" s="86">
        <f>_xlfn.XLOOKUP(C236,'Product List'!B:B,'Product List'!R:R)</f>
        <v>1.83</v>
      </c>
      <c r="T236" s="86">
        <f t="shared" si="7"/>
        <v>790.56</v>
      </c>
      <c r="U236" s="86" t="s">
        <v>92</v>
      </c>
      <c r="V236" s="86"/>
    </row>
    <row r="237" customFormat="1" spans="1:22">
      <c r="A237" s="308">
        <v>46282</v>
      </c>
      <c r="B237" s="86" t="str">
        <f>_xlfn.XLOOKUP(C237,'Product List'!B:B,'Product List'!I:I)</f>
        <v>MINI &amp; MOE WOODEN BRIDGE</v>
      </c>
      <c r="C237" s="329" t="s">
        <v>44</v>
      </c>
      <c r="D237" s="330">
        <v>698746776756</v>
      </c>
      <c r="E237" s="104" t="s">
        <v>235</v>
      </c>
      <c r="F237" s="331">
        <v>3264</v>
      </c>
      <c r="G237" s="290">
        <v>46312</v>
      </c>
      <c r="H237" s="290"/>
      <c r="I237" s="251">
        <v>46343</v>
      </c>
      <c r="J237" s="251"/>
      <c r="K237" s="309" t="s">
        <v>130</v>
      </c>
      <c r="L237" s="124" t="str" cm="1">
        <f t="array" ref="L237">_xlfn.XLOOKUP(1,('Case Pack'!A:A=C237)*('Case Pack'!F:F&lt;=A237),'Case Pack'!G:G,"未找到箱规")</f>
        <v>A</v>
      </c>
      <c r="M237" s="124" cm="1">
        <f t="array" ref="M237">_xlfn.XLOOKUP(1,('Case Pack'!A:A=C237)*('Case Pack'!F:F&lt;=A237),'Case Pack'!D:D,"未找到箱规")</f>
        <v>48</v>
      </c>
      <c r="N237" s="125">
        <f t="shared" si="8"/>
        <v>68</v>
      </c>
      <c r="O237" s="310">
        <f>_xlfn.XLOOKUP(L237,'Case Type'!A:A,'Case Type'!H:H)*N237</f>
        <v>7.48823276544</v>
      </c>
      <c r="P237" s="124"/>
      <c r="Q237" s="124"/>
      <c r="R237" s="124"/>
      <c r="S237" s="86">
        <f>_xlfn.XLOOKUP(C237,'Product List'!B:B,'Product List'!R:R)</f>
        <v>1.83</v>
      </c>
      <c r="T237" s="86">
        <f t="shared" si="7"/>
        <v>5973.12</v>
      </c>
      <c r="U237" s="86" t="s">
        <v>92</v>
      </c>
      <c r="V237" s="86"/>
    </row>
    <row r="238" customFormat="1" spans="1:22">
      <c r="A238" s="308">
        <v>46282</v>
      </c>
      <c r="B238" s="86" t="str">
        <f>_xlfn.XLOOKUP(C238,'Product List'!B:B,'Product List'!I:I)</f>
        <v>MINI &amp; MOE GARDEN DECOR CHEW</v>
      </c>
      <c r="C238" s="329" t="s">
        <v>45</v>
      </c>
      <c r="D238" s="330">
        <v>698746777326</v>
      </c>
      <c r="E238" s="104" t="s">
        <v>235</v>
      </c>
      <c r="F238" s="104">
        <v>4320</v>
      </c>
      <c r="G238" s="290">
        <v>46312</v>
      </c>
      <c r="H238" s="290"/>
      <c r="I238" s="251">
        <v>46343</v>
      </c>
      <c r="J238" s="251"/>
      <c r="K238" s="309" t="s">
        <v>130</v>
      </c>
      <c r="L238" s="124" t="str" cm="1">
        <f t="array" ref="L238">_xlfn.XLOOKUP(1,('Case Pack'!A:A=C238)*('Case Pack'!F:F&lt;=A238),'Case Pack'!G:G,"未找到箱规")</f>
        <v>B</v>
      </c>
      <c r="M238" s="124" cm="1">
        <f t="array" ref="M238">_xlfn.XLOOKUP(1,('Case Pack'!A:A=C238)*('Case Pack'!F:F&lt;=A238),'Case Pack'!D:D,"未找到箱规")</f>
        <v>45</v>
      </c>
      <c r="N238" s="125">
        <f t="shared" si="8"/>
        <v>96</v>
      </c>
      <c r="O238" s="310">
        <f>_xlfn.XLOOKUP(L238,'Case Type'!A:A,'Case Type'!H:H)*N238</f>
        <v>7.04774848512</v>
      </c>
      <c r="P238" s="124"/>
      <c r="Q238" s="124"/>
      <c r="R238" s="124"/>
      <c r="S238" s="86">
        <f>_xlfn.XLOOKUP(C238,'Product List'!B:B,'Product List'!R:R)</f>
        <v>2.35</v>
      </c>
      <c r="T238" s="86">
        <f t="shared" si="7"/>
        <v>10152</v>
      </c>
      <c r="U238" s="86" t="s">
        <v>92</v>
      </c>
      <c r="V238" s="86"/>
    </row>
    <row r="239" customFormat="1" spans="1:22">
      <c r="A239" s="308">
        <v>46282</v>
      </c>
      <c r="B239" s="86" t="str">
        <f>_xlfn.XLOOKUP(C239,'Product List'!B:B,'Product List'!I:I)</f>
        <v>MINI/MOE CAMPING TENT HIDE</v>
      </c>
      <c r="C239" s="329" t="s">
        <v>73</v>
      </c>
      <c r="D239" s="330">
        <v>850030338082</v>
      </c>
      <c r="E239" s="104" t="s">
        <v>235</v>
      </c>
      <c r="F239" s="332">
        <v>3744</v>
      </c>
      <c r="G239" s="290">
        <v>46312</v>
      </c>
      <c r="H239" s="290"/>
      <c r="I239" s="251">
        <v>46343</v>
      </c>
      <c r="J239" s="251"/>
      <c r="K239" s="309" t="s">
        <v>130</v>
      </c>
      <c r="L239" s="124" t="str" cm="1">
        <f t="array" ref="L239">_xlfn.XLOOKUP(1,('Case Pack'!A:A=C239)*('Case Pack'!F:F&lt;=A239),'Case Pack'!G:G,"未找到箱规")</f>
        <v>B</v>
      </c>
      <c r="M239" s="124" cm="1">
        <f t="array" ref="M239">_xlfn.XLOOKUP(1,('Case Pack'!A:A=C239)*('Case Pack'!F:F&lt;=A239),'Case Pack'!D:D,"未找到箱规")</f>
        <v>18</v>
      </c>
      <c r="N239" s="125">
        <f t="shared" si="8"/>
        <v>208</v>
      </c>
      <c r="O239" s="310">
        <f>_xlfn.XLOOKUP(L239,'Case Type'!A:A,'Case Type'!H:H)*N239</f>
        <v>15.27012171776</v>
      </c>
      <c r="P239" s="124"/>
      <c r="Q239" s="124"/>
      <c r="R239" s="124"/>
      <c r="S239" s="86">
        <f>_xlfn.XLOOKUP(C239,'Product List'!B:B,'Product List'!R:R)</f>
        <v>1.96</v>
      </c>
      <c r="T239" s="86">
        <f t="shared" si="7"/>
        <v>7338.24</v>
      </c>
      <c r="U239" s="86" t="s">
        <v>92</v>
      </c>
      <c r="V239" s="86"/>
    </row>
    <row r="240" customFormat="1" spans="1:22">
      <c r="A240" s="308">
        <v>46282</v>
      </c>
      <c r="B240" s="86" t="str">
        <f>_xlfn.XLOOKUP(C240,'Product List'!B:B,'Product List'!I:I)</f>
        <v>MINI &amp; MOE TREE DECOR CHEW</v>
      </c>
      <c r="C240" s="329" t="s">
        <v>47</v>
      </c>
      <c r="D240" s="330">
        <v>698746777333</v>
      </c>
      <c r="E240" s="104" t="s">
        <v>235</v>
      </c>
      <c r="F240" s="104">
        <v>3808</v>
      </c>
      <c r="G240" s="290">
        <v>46312</v>
      </c>
      <c r="H240" s="290"/>
      <c r="I240" s="251">
        <v>46343</v>
      </c>
      <c r="J240" s="251"/>
      <c r="K240" s="309" t="s">
        <v>130</v>
      </c>
      <c r="L240" s="124" t="str" cm="1">
        <f t="array" ref="L240">_xlfn.XLOOKUP(1,('Case Pack'!A:A=C240)*('Case Pack'!F:F&lt;=A240),'Case Pack'!G:G,"未找到箱规")</f>
        <v>B</v>
      </c>
      <c r="M240" s="124" cm="1">
        <f t="array" ref="M240">_xlfn.XLOOKUP(1,('Case Pack'!A:A=C240)*('Case Pack'!F:F&lt;=A240),'Case Pack'!D:D,"未找到箱规")</f>
        <v>28</v>
      </c>
      <c r="N240" s="125">
        <f t="shared" si="8"/>
        <v>136</v>
      </c>
      <c r="O240" s="310">
        <f>_xlfn.XLOOKUP(L240,'Case Type'!A:A,'Case Type'!H:H)*N240</f>
        <v>9.98431035392</v>
      </c>
      <c r="P240" s="124"/>
      <c r="Q240" s="124"/>
      <c r="R240" s="124"/>
      <c r="S240" s="86">
        <f>_xlfn.XLOOKUP(C240,'Product List'!B:B,'Product List'!R:R)</f>
        <v>3.1</v>
      </c>
      <c r="T240" s="86">
        <f t="shared" si="7"/>
        <v>11804.8</v>
      </c>
      <c r="U240" s="86" t="s">
        <v>92</v>
      </c>
      <c r="V240" s="86"/>
    </row>
    <row r="241" customFormat="1" spans="1:22">
      <c r="A241" s="308">
        <v>46282</v>
      </c>
      <c r="B241" s="86" t="str">
        <f>_xlfn.XLOOKUP(C241,'Product List'!B:B,'Product List'!I:I)</f>
        <v>MINI &amp; MOE COTTAGE HIDE</v>
      </c>
      <c r="C241" s="329" t="s">
        <v>53</v>
      </c>
      <c r="D241" s="330">
        <v>850030338211</v>
      </c>
      <c r="E241" s="104" t="s">
        <v>235</v>
      </c>
      <c r="F241" s="104">
        <v>1296</v>
      </c>
      <c r="G241" s="290">
        <v>46312</v>
      </c>
      <c r="H241" s="290"/>
      <c r="I241" s="251">
        <v>46343</v>
      </c>
      <c r="J241" s="251"/>
      <c r="K241" s="309" t="s">
        <v>130</v>
      </c>
      <c r="L241" s="124" t="str" cm="1">
        <f t="array" ref="L241">_xlfn.XLOOKUP(1,('Case Pack'!A:A=C241)*('Case Pack'!F:F&lt;=A241),'Case Pack'!G:G,"未找到箱规")</f>
        <v>C</v>
      </c>
      <c r="M241" s="124" cm="1">
        <f t="array" ref="M241">_xlfn.XLOOKUP(1,('Case Pack'!A:A=C241)*('Case Pack'!F:F&lt;=A241),'Case Pack'!D:D,"未找到箱规")</f>
        <v>24</v>
      </c>
      <c r="N241" s="125">
        <f t="shared" si="8"/>
        <v>54</v>
      </c>
      <c r="O241" s="310">
        <f>_xlfn.XLOOKUP(L241,'Case Type'!A:A,'Case Type'!H:H)*N241</f>
        <v>8.4950539776</v>
      </c>
      <c r="P241" s="124"/>
      <c r="Q241" s="124"/>
      <c r="R241" s="124"/>
      <c r="S241" s="86">
        <f>_xlfn.XLOOKUP(C241,'Product List'!B:B,'Product List'!R:R)</f>
        <v>3.61</v>
      </c>
      <c r="T241" s="86">
        <f t="shared" si="7"/>
        <v>4678.56</v>
      </c>
      <c r="U241" s="86" t="s">
        <v>92</v>
      </c>
      <c r="V241" s="86"/>
    </row>
    <row r="242" s="115" customFormat="1" spans="1:22">
      <c r="A242" s="113">
        <v>46282</v>
      </c>
      <c r="B242" s="86" t="str">
        <f>_xlfn.XLOOKUP(C242,'Product List'!B:B,'Product List'!I:I)</f>
        <v>MMO-SHELL PEARL HAMSTER CHEW</v>
      </c>
      <c r="C242" s="329" t="s">
        <v>35</v>
      </c>
      <c r="D242" s="333">
        <v>698746777074</v>
      </c>
      <c r="E242" s="332" t="s">
        <v>235</v>
      </c>
      <c r="F242" s="334">
        <v>512</v>
      </c>
      <c r="G242" s="328">
        <v>46312</v>
      </c>
      <c r="H242" s="328"/>
      <c r="I242" s="319">
        <v>46343</v>
      </c>
      <c r="J242" s="319"/>
      <c r="K242" s="306" t="s">
        <v>130</v>
      </c>
      <c r="L242" s="124" t="str" cm="1">
        <f t="array" ref="L242">_xlfn.XLOOKUP(1,('Case Pack'!A:A=C242)*('Case Pack'!F:F&lt;=A242),'Case Pack'!G:G,"未找到箱规")</f>
        <v>B</v>
      </c>
      <c r="M242" s="124" cm="1">
        <f t="array" ref="M242">_xlfn.XLOOKUP(1,('Case Pack'!A:A=C242)*('Case Pack'!F:F&lt;=A242),'Case Pack'!D:D,"未找到箱规")</f>
        <v>64</v>
      </c>
      <c r="N242" s="263">
        <f t="shared" si="8"/>
        <v>8</v>
      </c>
      <c r="O242" s="320">
        <f>_xlfn.XLOOKUP(L242,'Case Type'!A:A,'Case Type'!H:H)*N242</f>
        <v>0.58731237376</v>
      </c>
      <c r="P242" s="108"/>
      <c r="Q242" s="108"/>
      <c r="R242" s="108"/>
      <c r="S242" s="99">
        <f>_xlfn.XLOOKUP(C242,'Product List'!B:B,'Product List'!R:R)</f>
        <v>0.96</v>
      </c>
      <c r="T242" s="99">
        <f t="shared" si="7"/>
        <v>491.52</v>
      </c>
      <c r="U242" s="99" t="s">
        <v>92</v>
      </c>
      <c r="V242" s="99" t="s">
        <v>224</v>
      </c>
    </row>
    <row r="243" customFormat="1" spans="1:22">
      <c r="A243" s="308">
        <v>46282</v>
      </c>
      <c r="B243" s="86" t="str">
        <f>_xlfn.XLOOKUP(C243,'Product List'!B:B,'Product List'!I:I)</f>
        <v>MINI/MOE WOODLAND POTTY</v>
      </c>
      <c r="C243" s="329" t="s">
        <v>79</v>
      </c>
      <c r="D243" s="330">
        <v>760762457077</v>
      </c>
      <c r="E243" s="104" t="s">
        <v>235</v>
      </c>
      <c r="F243" s="104">
        <v>324</v>
      </c>
      <c r="G243" s="290">
        <v>46312</v>
      </c>
      <c r="H243" s="290"/>
      <c r="I243" s="251">
        <v>46343</v>
      </c>
      <c r="J243" s="251"/>
      <c r="K243" s="309" t="s">
        <v>130</v>
      </c>
      <c r="L243" s="124" t="str" cm="1">
        <f t="array" ref="L243">_xlfn.XLOOKUP(1,('Case Pack'!A:A=C243)*('Case Pack'!F:F&lt;=A243),'Case Pack'!G:G,"未找到箱规")</f>
        <v>C</v>
      </c>
      <c r="M243" s="124" cm="1">
        <f t="array" ref="M243">_xlfn.XLOOKUP(1,('Case Pack'!A:A=C243)*('Case Pack'!F:F&lt;=A243),'Case Pack'!D:D,"未找到箱规")</f>
        <v>36</v>
      </c>
      <c r="N243" s="125">
        <f t="shared" si="8"/>
        <v>9</v>
      </c>
      <c r="O243" s="310">
        <f>_xlfn.XLOOKUP(L243,'Case Type'!A:A,'Case Type'!H:H)*N243</f>
        <v>1.4158423296</v>
      </c>
      <c r="P243" s="124"/>
      <c r="Q243" s="124"/>
      <c r="R243" s="124"/>
      <c r="S243" s="86">
        <f>_xlfn.XLOOKUP(C243,'Product List'!B:B,'Product List'!R:R)</f>
        <v>1.19</v>
      </c>
      <c r="T243" s="86">
        <f t="shared" si="7"/>
        <v>385.56</v>
      </c>
      <c r="U243" s="86" t="s">
        <v>92</v>
      </c>
      <c r="V243" s="86"/>
    </row>
    <row r="244" s="115" customFormat="1" spans="1:22">
      <c r="A244" s="271">
        <v>46282</v>
      </c>
      <c r="B244" s="86" t="str">
        <f>_xlfn.XLOOKUP(C244,'Product List'!B:B,'Product List'!I:I)</f>
        <v>MINI &amp; MOE MAG CONECT WTR BTL 4 OZ</v>
      </c>
      <c r="C244" s="335" t="s">
        <v>37</v>
      </c>
      <c r="D244" s="336">
        <v>698746777319</v>
      </c>
      <c r="E244" s="337" t="s">
        <v>235</v>
      </c>
      <c r="F244" s="338">
        <v>432</v>
      </c>
      <c r="G244" s="328">
        <v>46312</v>
      </c>
      <c r="H244" s="339"/>
      <c r="I244" s="319">
        <v>46343</v>
      </c>
      <c r="J244" s="251"/>
      <c r="K244" s="340" t="s">
        <v>130</v>
      </c>
      <c r="L244" s="124" t="str" cm="1">
        <f t="array" ref="L244">_xlfn.XLOOKUP(1,('Case Pack'!A:A=C244)*('Case Pack'!F:F&lt;=A244),'Case Pack'!G:G,"未找到箱规")</f>
        <v>A</v>
      </c>
      <c r="M244" s="124" cm="1">
        <f t="array" ref="M244">_xlfn.XLOOKUP(1,('Case Pack'!A:A=C244)*('Case Pack'!F:F&lt;=A244),'Case Pack'!D:D,"未找到箱规")</f>
        <v>54</v>
      </c>
      <c r="N244" s="341">
        <f t="shared" si="8"/>
        <v>8</v>
      </c>
      <c r="O244" s="342">
        <f>_xlfn.XLOOKUP(L244,'Case Type'!A:A,'Case Type'!H:H)*N244</f>
        <v>0.88096856064</v>
      </c>
      <c r="P244" s="343"/>
      <c r="Q244" s="343"/>
      <c r="R244" s="343"/>
      <c r="S244" s="344">
        <f>_xlfn.XLOOKUP(C244,'Product List'!B:B,'Product List'!R:R)</f>
        <v>1.89</v>
      </c>
      <c r="T244" s="344">
        <f t="shared" si="7"/>
        <v>816.48</v>
      </c>
      <c r="U244" s="344" t="s">
        <v>92</v>
      </c>
      <c r="V244" s="344" t="s">
        <v>224</v>
      </c>
    </row>
    <row r="245" spans="1:22">
      <c r="A245" s="271">
        <v>46310</v>
      </c>
      <c r="B245" s="86" t="str">
        <f>_xlfn.XLOOKUP(C245,'Product List'!B:B,'Product List'!I:I)</f>
        <v>MINI/MOE MUSHROOM CABIN</v>
      </c>
      <c r="C245" s="335" t="s">
        <v>39</v>
      </c>
      <c r="D245" s="336">
        <v>760762457008</v>
      </c>
      <c r="E245" s="335" t="s">
        <v>236</v>
      </c>
      <c r="F245" s="335">
        <v>512</v>
      </c>
      <c r="G245" s="290">
        <v>46341</v>
      </c>
      <c r="H245" s="339"/>
      <c r="I245" s="251">
        <v>46371</v>
      </c>
      <c r="J245" s="251"/>
      <c r="K245" s="340" t="s">
        <v>130</v>
      </c>
      <c r="L245" s="124" t="str" cm="1">
        <f t="array" ref="L245">_xlfn.XLOOKUP(1,('Case Pack'!A:A=C245)*('Case Pack'!F:F&lt;=A245),'Case Pack'!G:G,"未找到箱规")</f>
        <v>C</v>
      </c>
      <c r="M245" s="124" cm="1">
        <f t="array" ref="M245">_xlfn.XLOOKUP(1,('Case Pack'!A:A=C245)*('Case Pack'!F:F&lt;=A245),'Case Pack'!D:D,"未找到箱规")</f>
        <v>16</v>
      </c>
      <c r="N245" s="341">
        <f t="shared" si="8"/>
        <v>32</v>
      </c>
      <c r="O245" s="342">
        <f>_xlfn.XLOOKUP(L245,'Case Type'!A:A,'Case Type'!H:H)*N245</f>
        <v>5.0341060608</v>
      </c>
      <c r="P245" s="343"/>
      <c r="Q245" s="343"/>
      <c r="R245" s="343"/>
      <c r="S245" s="344">
        <f>_xlfn.XLOOKUP(C245,'Product List'!B:B,'Product List'!R:R)</f>
        <v>3.2</v>
      </c>
      <c r="T245" s="344">
        <f t="shared" si="7"/>
        <v>1638.4</v>
      </c>
      <c r="U245" s="344" t="s">
        <v>92</v>
      </c>
      <c r="V245" s="344"/>
    </row>
    <row r="246" spans="1:22">
      <c r="A246" s="271">
        <v>46310</v>
      </c>
      <c r="B246" s="86" t="str">
        <f>_xlfn.XLOOKUP(C246,'Product List'!B:B,'Product List'!I:I)</f>
        <v>MINI/MOE GARDEN TEAPOT</v>
      </c>
      <c r="C246" s="335" t="s">
        <v>43</v>
      </c>
      <c r="D246" s="336">
        <v>760762457015</v>
      </c>
      <c r="E246" s="335" t="s">
        <v>236</v>
      </c>
      <c r="F246" s="335">
        <v>510</v>
      </c>
      <c r="G246" s="290">
        <v>46341</v>
      </c>
      <c r="H246" s="339"/>
      <c r="I246" s="251">
        <v>46371</v>
      </c>
      <c r="J246" s="251"/>
      <c r="K246" s="340" t="s">
        <v>130</v>
      </c>
      <c r="L246" s="124" t="str" cm="1">
        <f t="array" ref="L246">_xlfn.XLOOKUP(1,('Case Pack'!A:A=C246)*('Case Pack'!F:F&lt;=A246),'Case Pack'!G:G,"未找到箱规")</f>
        <v>C</v>
      </c>
      <c r="M246" s="124" cm="1">
        <f t="array" ref="M246">_xlfn.XLOOKUP(1,('Case Pack'!A:A=C246)*('Case Pack'!F:F&lt;=A246),'Case Pack'!D:D,"未找到箱规")</f>
        <v>30</v>
      </c>
      <c r="N246" s="341">
        <f t="shared" si="8"/>
        <v>17</v>
      </c>
      <c r="O246" s="342">
        <f>_xlfn.XLOOKUP(L246,'Case Type'!A:A,'Case Type'!H:H)*N246</f>
        <v>2.6743688448</v>
      </c>
      <c r="P246" s="343"/>
      <c r="Q246" s="343"/>
      <c r="R246" s="343"/>
      <c r="S246" s="344">
        <f>_xlfn.XLOOKUP(C246,'Product List'!B:B,'Product List'!R:R)</f>
        <v>2.25</v>
      </c>
      <c r="T246" s="344">
        <f t="shared" si="7"/>
        <v>1147.5</v>
      </c>
      <c r="U246" s="344" t="s">
        <v>92</v>
      </c>
      <c r="V246" s="344"/>
    </row>
  </sheetData>
  <sheetProtection formatCells="0" formatColumns="0" formatRows="0" insertRows="0" insertColumns="0" insertHyperlinks="0" deleteColumns="0" deleteRows="0" sort="0" autoFilter="0" pivotTables="0"/>
  <mergeCells count="27">
    <mergeCell ref="Q81:R81"/>
    <mergeCell ref="Q82:R82"/>
    <mergeCell ref="Q83:R83"/>
    <mergeCell ref="Q84:R84"/>
    <mergeCell ref="Q93:R93"/>
    <mergeCell ref="Q94:R94"/>
    <mergeCell ref="Q102:R102"/>
    <mergeCell ref="Q103:R103"/>
    <mergeCell ref="Q104:R104"/>
    <mergeCell ref="Q105:R105"/>
    <mergeCell ref="Q106:R106"/>
    <mergeCell ref="Q107:R107"/>
    <mergeCell ref="Q108:R108"/>
    <mergeCell ref="Q111:R111"/>
    <mergeCell ref="Q112:R112"/>
    <mergeCell ref="Q113:R113"/>
    <mergeCell ref="Q121:R121"/>
    <mergeCell ref="Q142:R142"/>
    <mergeCell ref="Q143:R143"/>
    <mergeCell ref="Q147:R147"/>
    <mergeCell ref="Q168:R168"/>
    <mergeCell ref="Q169:R169"/>
    <mergeCell ref="Q175:R175"/>
    <mergeCell ref="Q176:R176"/>
    <mergeCell ref="Q177:R177"/>
    <mergeCell ref="Q185:R185"/>
    <mergeCell ref="Q186:R18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EEBF7"/>
  </sheetPr>
  <dimension ref="A1:R1048171"/>
  <sheetViews>
    <sheetView zoomScale="74" zoomScaleNormal="74" workbookViewId="0">
      <selection activeCell="G33" sqref="G33"/>
    </sheetView>
  </sheetViews>
  <sheetFormatPr defaultColWidth="9.14285714285714" defaultRowHeight="12.75"/>
  <cols>
    <col min="1" max="1" width="26.8571428571429" customWidth="1"/>
    <col min="2" max="2" width="14.5714285714286" customWidth="1"/>
    <col min="3" max="3" width="12.7142857142857" customWidth="1"/>
    <col min="4" max="4" width="10.8571428571429" customWidth="1"/>
    <col min="5" max="5" width="12.2857142857143" customWidth="1"/>
    <col min="6" max="6" width="13.8761904761905" customWidth="1"/>
    <col min="7" max="7" width="13.2666666666667" customWidth="1"/>
    <col min="8" max="8" width="12.752380952381" style="251" customWidth="1"/>
    <col min="9" max="12" width="14.1809523809524" style="251" customWidth="1"/>
    <col min="13" max="15" width="17.8571428571429" style="251" customWidth="1"/>
    <col min="16" max="16" width="29.2857142857143" style="251" customWidth="1"/>
    <col min="17" max="17" width="72.2857142857143" style="110" customWidth="1"/>
  </cols>
  <sheetData>
    <row r="1" customFormat="1" ht="32.25" customHeight="1" spans="1:17">
      <c r="A1" s="276" t="s">
        <v>122</v>
      </c>
      <c r="B1" s="276" t="s">
        <v>123</v>
      </c>
      <c r="C1" s="276" t="s">
        <v>124</v>
      </c>
      <c r="D1" s="276" t="s">
        <v>26</v>
      </c>
      <c r="E1" s="276" t="s">
        <v>237</v>
      </c>
      <c r="F1" s="276" t="s">
        <v>238</v>
      </c>
      <c r="G1" s="276" t="s">
        <v>239</v>
      </c>
      <c r="H1" s="276" t="s">
        <v>115</v>
      </c>
      <c r="I1" s="276" t="s">
        <v>116</v>
      </c>
      <c r="J1" s="276" t="s">
        <v>117</v>
      </c>
      <c r="K1" s="276" t="s">
        <v>240</v>
      </c>
      <c r="L1" s="276" t="s">
        <v>118</v>
      </c>
      <c r="M1" s="276" t="s">
        <v>241</v>
      </c>
      <c r="N1" s="276" t="s">
        <v>242</v>
      </c>
      <c r="O1" s="276" t="s">
        <v>243</v>
      </c>
      <c r="P1" s="276" t="s">
        <v>244</v>
      </c>
      <c r="Q1" s="276" t="s">
        <v>245</v>
      </c>
    </row>
    <row r="2" ht="16.5" customHeight="1" spans="1:17">
      <c r="A2" s="277" t="s">
        <v>150</v>
      </c>
      <c r="B2" s="278" t="s">
        <v>151</v>
      </c>
      <c r="C2" s="278" t="s">
        <v>152</v>
      </c>
      <c r="D2" s="277">
        <f>SUMIF(Purchase!P:P,A2,Purchase!N:N)</f>
        <v>647</v>
      </c>
      <c r="E2" s="277" t="s">
        <v>246</v>
      </c>
      <c r="F2" s="279">
        <v>52182.9</v>
      </c>
      <c r="G2" s="277" t="s">
        <v>247</v>
      </c>
      <c r="H2" s="280">
        <v>46170</v>
      </c>
      <c r="I2" s="280">
        <v>46170</v>
      </c>
      <c r="J2" s="280">
        <v>46195</v>
      </c>
      <c r="K2" s="280">
        <v>46200</v>
      </c>
      <c r="L2" s="280">
        <f>IF(_xlfn.XLOOKUP(A2,Purchase!P:P,Purchase!J:J)="","尚未送仓",_xlfn.XLOOKUP(A2,Purchase!P:P,Purchase!J:J))</f>
        <v>46203</v>
      </c>
      <c r="M2" s="281"/>
      <c r="N2" s="280"/>
      <c r="O2" s="280"/>
      <c r="P2" s="110"/>
      <c r="Q2" s="282" t="s">
        <v>248</v>
      </c>
    </row>
    <row r="3" ht="16.5" spans="1:17">
      <c r="A3" s="283" t="s">
        <v>143</v>
      </c>
      <c r="B3" s="278" t="s">
        <v>144</v>
      </c>
      <c r="C3" s="278" t="s">
        <v>145</v>
      </c>
      <c r="D3" s="277">
        <f>SUMIF(Purchase!P:P,A3,Purchase!N:N)</f>
        <v>927</v>
      </c>
      <c r="E3" s="277" t="s">
        <v>246</v>
      </c>
      <c r="F3" s="279">
        <v>69379.539425</v>
      </c>
      <c r="G3" s="277" t="s">
        <v>247</v>
      </c>
      <c r="H3" s="280">
        <v>46187</v>
      </c>
      <c r="I3" s="280">
        <v>46192</v>
      </c>
      <c r="J3" s="280">
        <v>46218</v>
      </c>
      <c r="K3" s="280">
        <v>46218</v>
      </c>
      <c r="L3" s="280">
        <f>IF(_xlfn.XLOOKUP(A3,Purchase!P:P,Purchase!J:J)="","尚未送仓",_xlfn.XLOOKUP(A3,Purchase!P:P,Purchase!J:J))</f>
        <v>46224</v>
      </c>
      <c r="M3" s="281"/>
      <c r="N3" s="280"/>
      <c r="O3" s="280"/>
      <c r="P3" s="110"/>
      <c r="Q3" s="282" t="s">
        <v>249</v>
      </c>
    </row>
    <row r="4" ht="16.5" spans="1:17">
      <c r="A4" s="277" t="s">
        <v>162</v>
      </c>
      <c r="B4" s="278" t="s">
        <v>163</v>
      </c>
      <c r="C4" s="278" t="s">
        <v>164</v>
      </c>
      <c r="D4" s="277">
        <f>SUMIF(Purchase!P:P,A4,Purchase!N:N)</f>
        <v>608</v>
      </c>
      <c r="E4" s="277" t="s">
        <v>246</v>
      </c>
      <c r="F4" s="279">
        <v>72292.09515</v>
      </c>
      <c r="G4" s="277" t="s">
        <v>247</v>
      </c>
      <c r="H4" s="280">
        <v>46189</v>
      </c>
      <c r="I4" s="280">
        <v>46194</v>
      </c>
      <c r="J4" s="280">
        <v>46212</v>
      </c>
      <c r="K4" s="280">
        <v>46212</v>
      </c>
      <c r="L4" s="280">
        <f>IF(_xlfn.XLOOKUP(A4,Purchase!P:P,Purchase!J:J)="","尚未送仓",_xlfn.XLOOKUP(A4,Purchase!P:P,Purchase!J:J))</f>
        <v>46223</v>
      </c>
      <c r="M4" s="281"/>
      <c r="N4" s="280"/>
      <c r="O4" s="280"/>
      <c r="P4" s="110"/>
      <c r="Q4" s="282" t="s">
        <v>250</v>
      </c>
    </row>
    <row r="5" ht="16.5" spans="1:17">
      <c r="A5" s="277" t="s">
        <v>153</v>
      </c>
      <c r="B5" s="278" t="s">
        <v>154</v>
      </c>
      <c r="C5" s="278" t="s">
        <v>155</v>
      </c>
      <c r="D5" s="277">
        <f>SUMIF(Purchase!P:P,A5,Purchase!N:N)</f>
        <v>813</v>
      </c>
      <c r="E5" s="277" t="s">
        <v>246</v>
      </c>
      <c r="F5" s="279">
        <f>78481.56305+3808.66145</f>
        <v>82290.2245</v>
      </c>
      <c r="G5" s="277" t="s">
        <v>247</v>
      </c>
      <c r="H5" s="280">
        <v>46189</v>
      </c>
      <c r="I5" s="280">
        <v>46194</v>
      </c>
      <c r="J5" s="280">
        <v>46211</v>
      </c>
      <c r="K5" s="280">
        <v>46211</v>
      </c>
      <c r="L5" s="280">
        <f>IF(_xlfn.XLOOKUP(A5,Purchase!P:P,Purchase!J:J)="","尚未送仓",_xlfn.XLOOKUP(A5,Purchase!P:P,Purchase!J:J))</f>
        <v>46220</v>
      </c>
      <c r="M5" s="281"/>
      <c r="N5" s="280"/>
      <c r="O5" s="280"/>
      <c r="P5" s="110"/>
      <c r="Q5" s="282" t="s">
        <v>251</v>
      </c>
    </row>
    <row r="6" ht="23.25" customHeight="1" spans="1:17">
      <c r="A6" s="277" t="s">
        <v>156</v>
      </c>
      <c r="B6" s="278" t="s">
        <v>157</v>
      </c>
      <c r="C6" s="278">
        <v>32448205</v>
      </c>
      <c r="D6" s="277">
        <f>SUMIF(Purchase!P:P,A6,Purchase!N:N)</f>
        <v>445</v>
      </c>
      <c r="E6" s="277" t="s">
        <v>246</v>
      </c>
      <c r="F6" s="279">
        <f>84685.34595+250</f>
        <v>84935.34595</v>
      </c>
      <c r="G6" s="277" t="s">
        <v>247</v>
      </c>
      <c r="H6" s="280">
        <v>46191</v>
      </c>
      <c r="I6" s="280">
        <v>46199</v>
      </c>
      <c r="J6" s="280">
        <v>46213</v>
      </c>
      <c r="K6" s="280">
        <v>46212</v>
      </c>
      <c r="L6" s="280">
        <f>IF(_xlfn.XLOOKUP(A6,Purchase!P:P,Purchase!J:J)="","尚未送仓",_xlfn.XLOOKUP(A6,Purchase!P:P,Purchase!J:J))</f>
        <v>46225</v>
      </c>
      <c r="M6" s="281"/>
      <c r="N6" s="280"/>
      <c r="O6" s="280"/>
      <c r="P6" s="110"/>
      <c r="Q6" s="282" t="s">
        <v>252</v>
      </c>
    </row>
    <row r="7" ht="16.5" spans="1:17">
      <c r="A7" s="277" t="s">
        <v>174</v>
      </c>
      <c r="B7" s="278" t="s">
        <v>175</v>
      </c>
      <c r="C7" s="278" t="s">
        <v>176</v>
      </c>
      <c r="D7" s="277">
        <f>SUMIF(Purchase!P:P,A7,Purchase!N:N)</f>
        <v>422</v>
      </c>
      <c r="E7" s="277" t="s">
        <v>246</v>
      </c>
      <c r="F7" s="279">
        <v>66600.897525</v>
      </c>
      <c r="G7" s="277" t="s">
        <v>247</v>
      </c>
      <c r="H7" s="280">
        <v>46189</v>
      </c>
      <c r="I7" s="280">
        <v>46194</v>
      </c>
      <c r="J7" s="280">
        <v>46212</v>
      </c>
      <c r="K7" s="280">
        <v>46212</v>
      </c>
      <c r="L7" s="280">
        <f>IF(_xlfn.XLOOKUP(A7,Purchase!P:P,Purchase!J:J)="","尚未送仓",_xlfn.XLOOKUP(A7,Purchase!P:P,Purchase!J:J))</f>
        <v>46224</v>
      </c>
      <c r="M7" s="281"/>
      <c r="N7" s="280"/>
      <c r="O7" s="280"/>
      <c r="P7" s="110"/>
      <c r="Q7" s="282" t="s">
        <v>250</v>
      </c>
    </row>
    <row r="8" ht="16.5" spans="1:17">
      <c r="A8" s="277" t="s">
        <v>190</v>
      </c>
      <c r="B8" s="278" t="s">
        <v>191</v>
      </c>
      <c r="C8" s="278" t="s">
        <v>192</v>
      </c>
      <c r="D8" s="277">
        <f>SUMIF(Purchase!P:P,A8,Purchase!N:N)</f>
        <v>491</v>
      </c>
      <c r="E8" s="277" t="s">
        <v>246</v>
      </c>
      <c r="F8" s="279">
        <v>73563.93245</v>
      </c>
      <c r="G8" s="277" t="s">
        <v>247</v>
      </c>
      <c r="H8" s="280">
        <v>46189</v>
      </c>
      <c r="I8" s="280">
        <v>46194</v>
      </c>
      <c r="J8" s="280">
        <v>46212</v>
      </c>
      <c r="K8" s="280">
        <v>46212</v>
      </c>
      <c r="L8" s="280">
        <f>IF(_xlfn.XLOOKUP(A8,Purchase!P:P,Purchase!J:J)="","尚未送仓",_xlfn.XLOOKUP(A8,Purchase!P:P,Purchase!J:J))</f>
        <v>46224</v>
      </c>
      <c r="M8" s="281"/>
      <c r="N8" s="280"/>
      <c r="O8" s="280"/>
      <c r="P8" s="110"/>
      <c r="Q8" s="282" t="s">
        <v>250</v>
      </c>
    </row>
    <row r="9" ht="16.5" spans="1:17">
      <c r="A9" s="277" t="s">
        <v>180</v>
      </c>
      <c r="B9" s="278" t="s">
        <v>181</v>
      </c>
      <c r="C9" s="278" t="s">
        <v>182</v>
      </c>
      <c r="D9" s="277">
        <f>SUMIF(Purchase!P:P,A9,Purchase!N:N)</f>
        <v>1375</v>
      </c>
      <c r="E9" s="277" t="s">
        <v>246</v>
      </c>
      <c r="F9" s="279">
        <v>70244.53755</v>
      </c>
      <c r="G9" s="277" t="s">
        <v>247</v>
      </c>
      <c r="H9" s="280">
        <v>46189</v>
      </c>
      <c r="I9" s="280">
        <v>46194</v>
      </c>
      <c r="J9" s="280">
        <v>46212</v>
      </c>
      <c r="K9" s="280">
        <v>46212</v>
      </c>
      <c r="L9" s="280">
        <f>IF(_xlfn.XLOOKUP(A9,Purchase!P:P,Purchase!J:J)="","尚未送仓",_xlfn.XLOOKUP(A9,Purchase!P:P,Purchase!J:J))</f>
        <v>46218</v>
      </c>
      <c r="M9" s="281"/>
      <c r="N9" s="280"/>
      <c r="O9" s="280"/>
      <c r="P9" s="110"/>
      <c r="Q9" s="282" t="s">
        <v>250</v>
      </c>
    </row>
    <row r="10" customFormat="1" ht="16.5" spans="1:17">
      <c r="A10" s="277" t="s">
        <v>158</v>
      </c>
      <c r="B10" s="284" t="s">
        <v>253</v>
      </c>
      <c r="C10" s="285"/>
      <c r="D10" s="277">
        <f>SUMIF(Purchase!P:P,A10,Purchase!N:N)</f>
        <v>200</v>
      </c>
      <c r="E10" s="277" t="s">
        <v>246</v>
      </c>
      <c r="F10" s="279">
        <v>36369</v>
      </c>
      <c r="G10" s="277" t="s">
        <v>247</v>
      </c>
      <c r="H10" s="280">
        <v>46182</v>
      </c>
      <c r="I10" s="280">
        <v>46190</v>
      </c>
      <c r="J10" s="280">
        <v>46204</v>
      </c>
      <c r="K10" s="280">
        <v>46205</v>
      </c>
      <c r="L10" s="280">
        <f>IF(_xlfn.XLOOKUP(A10,Purchase!P:P,Purchase!J:J)="","尚未送仓",_xlfn.XLOOKUP(A10,Purchase!P:P,Purchase!J:J))</f>
        <v>46218</v>
      </c>
      <c r="M10" s="281"/>
      <c r="N10" s="280"/>
      <c r="O10" s="280"/>
      <c r="P10" s="277" t="s">
        <v>254</v>
      </c>
      <c r="Q10" s="282" t="s">
        <v>255</v>
      </c>
    </row>
    <row r="11" customFormat="1" ht="16.5" spans="1:17">
      <c r="A11" s="277" t="s">
        <v>160</v>
      </c>
      <c r="B11" s="284" t="s">
        <v>256</v>
      </c>
      <c r="C11" s="285"/>
      <c r="D11" s="277">
        <f>SUMIF(Purchase!P:P,A11,Purchase!N:N)</f>
        <v>217</v>
      </c>
      <c r="E11" s="277" t="s">
        <v>246</v>
      </c>
      <c r="F11" s="279">
        <v>34460.5</v>
      </c>
      <c r="G11" s="277" t="s">
        <v>247</v>
      </c>
      <c r="H11" s="280">
        <v>46182</v>
      </c>
      <c r="I11" s="280">
        <v>46190</v>
      </c>
      <c r="J11" s="280">
        <v>46204</v>
      </c>
      <c r="K11" s="280">
        <v>46204</v>
      </c>
      <c r="L11" s="280">
        <f>IF(_xlfn.XLOOKUP(A11,Purchase!P:P,Purchase!J:J)="","尚未送仓",_xlfn.XLOOKUP(A11,Purchase!P:P,Purchase!J:J))</f>
        <v>46224</v>
      </c>
      <c r="M11" s="281"/>
      <c r="N11" s="280"/>
      <c r="O11" s="280"/>
      <c r="P11" s="277" t="s">
        <v>257</v>
      </c>
      <c r="Q11" s="282" t="s">
        <v>255</v>
      </c>
    </row>
    <row r="12" ht="16.5" spans="1:17">
      <c r="A12" s="277" t="s">
        <v>170</v>
      </c>
      <c r="B12" s="284" t="s">
        <v>258</v>
      </c>
      <c r="C12" s="285"/>
      <c r="D12" s="277">
        <f>SUMIF(Purchase!P:P,A12,Purchase!N:N)</f>
        <v>296</v>
      </c>
      <c r="E12" s="277" t="s">
        <v>246</v>
      </c>
      <c r="F12" s="279">
        <v>55034.4</v>
      </c>
      <c r="G12" s="277" t="s">
        <v>259</v>
      </c>
      <c r="H12" s="280">
        <v>46197</v>
      </c>
      <c r="I12" s="286">
        <v>46204</v>
      </c>
      <c r="J12" s="286">
        <v>46218</v>
      </c>
      <c r="K12" s="286">
        <v>46218</v>
      </c>
      <c r="L12" s="280">
        <f>IF(_xlfn.XLOOKUP(A12,Purchase!P:P,Purchase!J:J)="","尚未送仓",_xlfn.XLOOKUP(A12,Purchase!P:P,Purchase!J:J))</f>
        <v>46226</v>
      </c>
      <c r="M12" s="281"/>
      <c r="N12" s="286"/>
      <c r="O12" s="286"/>
      <c r="P12" s="277" t="s">
        <v>260</v>
      </c>
      <c r="Q12" s="282" t="s">
        <v>261</v>
      </c>
    </row>
    <row r="13" ht="16.5" spans="1:17">
      <c r="A13" s="277" t="s">
        <v>177</v>
      </c>
      <c r="B13" s="278" t="s">
        <v>178</v>
      </c>
      <c r="C13" s="278" t="s">
        <v>179</v>
      </c>
      <c r="D13" s="277">
        <f>SUMIF(Purchase!P:P,A13,Purchase!N:N)</f>
        <v>952</v>
      </c>
      <c r="E13" s="277" t="s">
        <v>262</v>
      </c>
      <c r="F13" s="279">
        <v>76500</v>
      </c>
      <c r="G13" s="277" t="s">
        <v>247</v>
      </c>
      <c r="H13" s="286">
        <v>46198</v>
      </c>
      <c r="I13" s="286">
        <v>46202</v>
      </c>
      <c r="J13" s="286">
        <v>46220</v>
      </c>
      <c r="K13" s="286">
        <v>46220</v>
      </c>
      <c r="L13" s="280">
        <f>IF(_xlfn.XLOOKUP(A13,Purchase!P:P,Purchase!J:J)="","尚未送仓",_xlfn.XLOOKUP(A13,Purchase!P:P,Purchase!J:J))</f>
        <v>46226</v>
      </c>
      <c r="M13" s="281"/>
      <c r="N13" s="286"/>
      <c r="O13" s="286"/>
      <c r="P13" s="277"/>
      <c r="Q13" s="287" t="s">
        <v>263</v>
      </c>
    </row>
    <row r="14" ht="16.5" spans="1:17">
      <c r="A14" s="277" t="s">
        <v>187</v>
      </c>
      <c r="B14" s="284" t="s">
        <v>264</v>
      </c>
      <c r="C14" s="288"/>
      <c r="D14" s="277">
        <f>SUMIF(Purchase!P:P,A14,Purchase!N:N)</f>
        <v>64</v>
      </c>
      <c r="E14" s="277" t="s">
        <v>246</v>
      </c>
      <c r="F14" s="279">
        <v>8522.8</v>
      </c>
      <c r="G14" s="277" t="s">
        <v>247</v>
      </c>
      <c r="H14" s="286">
        <v>46202</v>
      </c>
      <c r="I14" s="280">
        <v>46211</v>
      </c>
      <c r="J14" s="280">
        <v>46224</v>
      </c>
      <c r="K14" s="280">
        <v>46224</v>
      </c>
      <c r="L14" s="280">
        <f>IF(_xlfn.XLOOKUP(A14,Purchase!P:P,Purchase!J:J)="","尚未送仓",_xlfn.XLOOKUP(A14,Purchase!P:P,Purchase!J:J))</f>
        <v>46232</v>
      </c>
      <c r="M14" s="281"/>
      <c r="N14" s="280"/>
      <c r="O14" s="280"/>
      <c r="P14" s="277" t="s">
        <v>265</v>
      </c>
      <c r="Q14" s="282" t="s">
        <v>266</v>
      </c>
    </row>
    <row r="15" ht="16.5" customHeight="1" spans="1:17">
      <c r="A15" s="277" t="s">
        <v>198</v>
      </c>
      <c r="B15" s="278" t="s">
        <v>199</v>
      </c>
      <c r="C15" s="278" t="s">
        <v>200</v>
      </c>
      <c r="D15" s="277">
        <f>SUMIF(Purchase!P:P,A15,Purchase!N:N)</f>
        <v>79</v>
      </c>
      <c r="E15" s="277" t="s">
        <v>246</v>
      </c>
      <c r="F15" s="279">
        <f>72550.70195+272.268</f>
        <v>72822.96995</v>
      </c>
      <c r="G15" s="277" t="s">
        <v>247</v>
      </c>
      <c r="H15" s="286">
        <v>46204</v>
      </c>
      <c r="I15" s="280">
        <v>46209</v>
      </c>
      <c r="J15" s="280">
        <v>46231</v>
      </c>
      <c r="K15" s="280">
        <v>46231</v>
      </c>
      <c r="L15" s="280">
        <f>IF(_xlfn.XLOOKUP(A15,Purchase!P:P,Purchase!J:J)="","尚未送仓",_xlfn.XLOOKUP(A15,Purchase!P:P,Purchase!J:J))</f>
        <v>46235</v>
      </c>
      <c r="M15" s="281"/>
      <c r="N15" s="280"/>
      <c r="O15" s="280"/>
      <c r="P15" s="277" t="s">
        <v>267</v>
      </c>
      <c r="Q15" s="289" t="s">
        <v>268</v>
      </c>
    </row>
    <row r="16" s="172" customFormat="1" spans="1:17">
      <c r="A16" s="124" t="s">
        <v>171</v>
      </c>
      <c r="B16" s="95" t="s">
        <v>172</v>
      </c>
      <c r="C16" s="264" t="s">
        <v>173</v>
      </c>
      <c r="D16" s="277">
        <f>SUMIF(Purchase!P:P,A16,Purchase!N:N)</f>
        <v>524</v>
      </c>
      <c r="E16" s="86" t="s">
        <v>246</v>
      </c>
      <c r="F16" s="279">
        <f>85063.232125+1021.005</f>
        <v>86084.237125</v>
      </c>
      <c r="G16" s="277" t="s">
        <v>247</v>
      </c>
      <c r="H16" s="290">
        <v>46209</v>
      </c>
      <c r="I16" s="290">
        <v>46218</v>
      </c>
      <c r="J16" s="290">
        <v>46248</v>
      </c>
      <c r="K16" s="290">
        <v>46247</v>
      </c>
      <c r="L16" s="280">
        <f>IF(_xlfn.XLOOKUP(A16,Purchase!P:P,Purchase!J:J)="","尚未送仓",_xlfn.XLOOKUP(A16,Purchase!P:P,Purchase!J:J))</f>
        <v>46253</v>
      </c>
      <c r="M16" s="281"/>
      <c r="N16" s="290"/>
      <c r="O16" s="290"/>
      <c r="P16" s="277" t="s">
        <v>269</v>
      </c>
      <c r="Q16" s="289" t="s">
        <v>270</v>
      </c>
    </row>
    <row r="17" ht="14.25" customHeight="1" spans="1:18">
      <c r="A17" s="86" t="s">
        <v>194</v>
      </c>
      <c r="B17" s="291" t="s">
        <v>271</v>
      </c>
      <c r="C17" s="292"/>
      <c r="D17" s="277">
        <f>SUMIF(Purchase!P:P,A17,Purchase!N:N)</f>
        <v>106</v>
      </c>
      <c r="E17" s="86" t="s">
        <v>246</v>
      </c>
      <c r="F17" s="279">
        <v>24260.4</v>
      </c>
      <c r="G17" s="277" t="s">
        <v>259</v>
      </c>
      <c r="H17" s="290">
        <v>46217</v>
      </c>
      <c r="I17" s="290">
        <v>46225</v>
      </c>
      <c r="J17" s="290">
        <v>46239</v>
      </c>
      <c r="K17" s="290">
        <v>46239</v>
      </c>
      <c r="L17" s="280">
        <f>IF(_xlfn.XLOOKUP(A17,Purchase!P:P,Purchase!J:J)="","尚未送仓",_xlfn.XLOOKUP(A17,Purchase!P:P,Purchase!J:J))</f>
        <v>46249</v>
      </c>
      <c r="M17" s="281"/>
      <c r="P17" s="277" t="s">
        <v>272</v>
      </c>
      <c r="Q17" s="289" t="s">
        <v>273</v>
      </c>
      <c r="R17" s="293"/>
    </row>
    <row r="18" spans="1:18">
      <c r="A18" s="86" t="s">
        <v>166</v>
      </c>
      <c r="B18" s="95" t="s">
        <v>167</v>
      </c>
      <c r="C18" s="264" t="s">
        <v>168</v>
      </c>
      <c r="D18" s="277">
        <f>SUMIF(Purchase!P:P,A18,Purchase!N:N)</f>
        <v>535</v>
      </c>
      <c r="E18" s="86" t="s">
        <v>246</v>
      </c>
      <c r="F18" s="279">
        <f>64944.449075+1565.541</f>
        <v>66509.990075</v>
      </c>
      <c r="G18" s="277" t="s">
        <v>247</v>
      </c>
      <c r="H18" s="290">
        <v>46220</v>
      </c>
      <c r="I18" s="290">
        <v>46224</v>
      </c>
      <c r="J18" s="290">
        <v>46239</v>
      </c>
      <c r="K18" s="290">
        <v>46239</v>
      </c>
      <c r="L18" s="280">
        <f>IF(_xlfn.XLOOKUP(A18,Purchase!P:P,Purchase!J:J)="","尚未送仓",_xlfn.XLOOKUP(A18,Purchase!P:P,Purchase!J:J))</f>
        <v>46244</v>
      </c>
      <c r="M18" s="281"/>
      <c r="P18" s="294"/>
      <c r="Q18" s="289" t="s">
        <v>274</v>
      </c>
    </row>
    <row r="19" spans="1:18">
      <c r="A19" s="86" t="s">
        <v>195</v>
      </c>
      <c r="B19" s="86" t="s">
        <v>196</v>
      </c>
      <c r="C19" s="86" t="s">
        <v>197</v>
      </c>
      <c r="D19" s="277">
        <f>SUMIF(Purchase!P:P,A19,Purchase!N:N)</f>
        <v>551</v>
      </c>
      <c r="E19" s="86" t="s">
        <v>246</v>
      </c>
      <c r="F19" s="279">
        <v>66293.582382</v>
      </c>
      <c r="G19" s="277" t="s">
        <v>247</v>
      </c>
      <c r="H19" s="290">
        <v>46227</v>
      </c>
      <c r="I19" s="290">
        <v>46238</v>
      </c>
      <c r="J19" s="290">
        <v>46252</v>
      </c>
      <c r="K19" s="290">
        <v>46252</v>
      </c>
      <c r="L19" s="280">
        <f>IF(_xlfn.XLOOKUP(A19,Purchase!P:P,Purchase!J:J)="","尚未送仓",_xlfn.XLOOKUP(A19,Purchase!P:P,Purchase!J:J))</f>
        <v>46255</v>
      </c>
      <c r="M19" s="280"/>
      <c r="P19" s="294" t="s">
        <v>275</v>
      </c>
      <c r="Q19" s="289" t="s">
        <v>276</v>
      </c>
    </row>
    <row r="20" spans="1:18">
      <c r="A20" s="124" t="s">
        <v>202</v>
      </c>
      <c r="B20" s="264" t="s">
        <v>203</v>
      </c>
      <c r="C20" s="264" t="s">
        <v>204</v>
      </c>
      <c r="D20" s="277">
        <f>SUMIF(Purchase!P:P,A20,Purchase!N:N)</f>
        <v>585</v>
      </c>
      <c r="E20" s="86" t="s">
        <v>246</v>
      </c>
      <c r="F20" s="279">
        <v>68296.181589</v>
      </c>
      <c r="G20" s="277" t="s">
        <v>247</v>
      </c>
      <c r="H20" s="290">
        <v>46252</v>
      </c>
      <c r="I20" s="290">
        <v>46258</v>
      </c>
      <c r="J20" s="290">
        <v>46277</v>
      </c>
      <c r="K20" s="290">
        <v>46277</v>
      </c>
      <c r="L20" s="280">
        <f>IF(_xlfn.XLOOKUP(A20,Purchase!P:P,Purchase!J:J)="","尚未送仓",_xlfn.XLOOKUP(A20,Purchase!P:P,Purchase!J:J))</f>
        <v>46281</v>
      </c>
      <c r="M20" s="280"/>
      <c r="N20" s="290"/>
      <c r="P20" s="294"/>
      <c r="Q20" s="289" t="s">
        <v>277</v>
      </c>
    </row>
    <row r="21" spans="1:18">
      <c r="A21" s="124" t="s">
        <v>218</v>
      </c>
      <c r="B21" s="264" t="s">
        <v>219</v>
      </c>
      <c r="C21" s="264" t="s">
        <v>220</v>
      </c>
      <c r="D21" s="277">
        <f>SUMIF(Purchase!P:P,A21,Purchase!N:N)</f>
        <v>952</v>
      </c>
      <c r="E21" s="86" t="s">
        <v>246</v>
      </c>
      <c r="F21" s="279">
        <v>65191.713786</v>
      </c>
      <c r="G21" s="277" t="s">
        <v>247</v>
      </c>
      <c r="H21" s="290">
        <v>46254</v>
      </c>
      <c r="I21" s="290">
        <v>46265</v>
      </c>
      <c r="J21" s="290">
        <v>46285</v>
      </c>
      <c r="K21" s="290">
        <v>46285</v>
      </c>
      <c r="L21" s="280">
        <f>IF(_xlfn.XLOOKUP(A21,Purchase!P:P,Purchase!J:J)="","尚未送仓",_xlfn.XLOOKUP(A21,Purchase!P:P,Purchase!J:J))</f>
        <v>46289</v>
      </c>
      <c r="M21" s="280"/>
      <c r="Q21" s="289" t="s">
        <v>278</v>
      </c>
    </row>
    <row r="22" spans="1:18">
      <c r="A22" s="124" t="s">
        <v>221</v>
      </c>
      <c r="B22" s="264" t="s">
        <v>222</v>
      </c>
      <c r="C22" s="264" t="s">
        <v>223</v>
      </c>
      <c r="D22" s="277">
        <f>SUMIF(Purchase!P:P,A22,Purchase!N:N)</f>
        <v>952</v>
      </c>
      <c r="E22" s="86" t="s">
        <v>246</v>
      </c>
      <c r="F22" s="279">
        <v>65191.713786</v>
      </c>
      <c r="G22" s="277" t="s">
        <v>247</v>
      </c>
      <c r="H22" s="290">
        <v>46254</v>
      </c>
      <c r="I22" s="290">
        <v>46265</v>
      </c>
      <c r="J22" s="290">
        <v>46285</v>
      </c>
      <c r="K22" s="290">
        <v>46285</v>
      </c>
      <c r="L22" s="280">
        <f>IF(_xlfn.XLOOKUP(A22,Purchase!P:P,Purchase!J:J)="","尚未送仓",_xlfn.XLOOKUP(A22,Purchase!P:P,Purchase!J:J))</f>
        <v>46294</v>
      </c>
      <c r="M22" s="280"/>
      <c r="P22" s="294"/>
      <c r="Q22" s="289" t="s">
        <v>278</v>
      </c>
    </row>
    <row r="23" spans="1:18">
      <c r="A23" s="124" t="s">
        <v>210</v>
      </c>
      <c r="B23" s="291" t="s">
        <v>279</v>
      </c>
      <c r="C23" s="292"/>
      <c r="D23" s="277">
        <f>SUMIF(Purchase!P:P,A23,Purchase!N:N)</f>
        <v>125</v>
      </c>
      <c r="E23" s="86" t="s">
        <v>246</v>
      </c>
      <c r="F23" s="279">
        <v>21021</v>
      </c>
      <c r="G23" s="277" t="s">
        <v>259</v>
      </c>
      <c r="H23" s="290">
        <v>46247</v>
      </c>
      <c r="I23" s="290">
        <v>46260</v>
      </c>
      <c r="J23" s="290">
        <v>46274</v>
      </c>
      <c r="K23" s="290">
        <v>46275</v>
      </c>
      <c r="L23" s="280">
        <f>IF(_xlfn.XLOOKUP(A23,Purchase!P:P,Purchase!J:J)="","尚未送仓",_xlfn.XLOOKUP(A23,Purchase!P:P,Purchase!J:J))</f>
        <v>46282</v>
      </c>
      <c r="M23" s="280"/>
      <c r="P23" s="277" t="s">
        <v>280</v>
      </c>
      <c r="Q23" s="289" t="s">
        <v>281</v>
      </c>
    </row>
    <row r="24" spans="1:18">
      <c r="A24" s="124" t="s">
        <v>215</v>
      </c>
      <c r="B24" s="264" t="s">
        <v>216</v>
      </c>
      <c r="C24" s="264" t="s">
        <v>217</v>
      </c>
      <c r="D24" s="277">
        <f>SUMIF(Purchase!P:P,A24,Purchase!N:N)</f>
        <v>952</v>
      </c>
      <c r="E24" s="86" t="s">
        <v>246</v>
      </c>
      <c r="F24" s="279">
        <v>66280.785786</v>
      </c>
      <c r="G24" s="277" t="s">
        <v>247</v>
      </c>
      <c r="H24" s="290">
        <v>46258</v>
      </c>
      <c r="I24" s="290">
        <v>46266</v>
      </c>
      <c r="J24" s="290">
        <v>46287</v>
      </c>
      <c r="K24" s="290">
        <v>46287</v>
      </c>
      <c r="L24" s="280">
        <f>IF(_xlfn.XLOOKUP(A24,Purchase!P:P,Purchase!J:J)="","尚未送仓",_xlfn.XLOOKUP(A24,Purchase!P:P,Purchase!J:J))</f>
        <v>46295</v>
      </c>
      <c r="M24" s="280"/>
      <c r="Q24" s="289" t="s">
        <v>282</v>
      </c>
    </row>
    <row r="25" spans="1:18">
      <c r="A25" s="264" t="s">
        <v>211</v>
      </c>
      <c r="B25" s="264" t="s">
        <v>212</v>
      </c>
      <c r="C25" s="264" t="s">
        <v>213</v>
      </c>
      <c r="D25" s="277">
        <f>SUMIF(Purchase!P:P,A25,Purchase!N:N)</f>
        <v>690</v>
      </c>
      <c r="E25" s="86" t="s">
        <v>246</v>
      </c>
      <c r="F25" s="279">
        <v>68594.859585</v>
      </c>
      <c r="G25" s="277" t="s">
        <v>259</v>
      </c>
      <c r="H25" s="290">
        <v>46264</v>
      </c>
      <c r="I25" s="290">
        <v>46281</v>
      </c>
      <c r="J25" s="290">
        <v>46299</v>
      </c>
      <c r="K25" s="290">
        <v>46299</v>
      </c>
      <c r="L25" s="280">
        <f>IF(_xlfn.XLOOKUP(A25,Purchase!P:P,Purchase!J:J)="","尚未送仓",_xlfn.XLOOKUP(A25,Purchase!P:P,Purchase!J:J))</f>
        <v>46303</v>
      </c>
      <c r="M25" s="280"/>
      <c r="P25" s="294" t="s">
        <v>283</v>
      </c>
      <c r="Q25" s="289" t="s">
        <v>284</v>
      </c>
    </row>
    <row r="26" spans="1:18">
      <c r="A26" s="124" t="s">
        <v>225</v>
      </c>
      <c r="B26" s="124" t="s">
        <v>226</v>
      </c>
      <c r="C26" s="124" t="s">
        <v>227</v>
      </c>
      <c r="D26" s="277">
        <f>SUMIF(Purchase!P:P,A26,Purchase!N:N)</f>
        <v>1044</v>
      </c>
      <c r="E26" s="86" t="s">
        <v>246</v>
      </c>
      <c r="F26" s="279">
        <v>84728.780595</v>
      </c>
      <c r="G26" s="277" t="s">
        <v>259</v>
      </c>
      <c r="H26" s="290">
        <v>46286</v>
      </c>
      <c r="I26" s="290">
        <v>46292</v>
      </c>
      <c r="J26" s="290">
        <v>46311</v>
      </c>
      <c r="K26" s="290">
        <v>46312</v>
      </c>
      <c r="L26" s="280">
        <f>IF(_xlfn.XLOOKUP(A26,Purchase!P:P,Purchase!J:J)="","尚未送仓",_xlfn.XLOOKUP(A26,Purchase!P:P,Purchase!J:J))</f>
        <v>46317</v>
      </c>
      <c r="M26" s="280"/>
      <c r="P26" s="294"/>
      <c r="Q26" s="289" t="s">
        <v>285</v>
      </c>
    </row>
    <row r="27" spans="1:18">
      <c r="A27" s="124" t="s">
        <v>232</v>
      </c>
      <c r="B27" s="124" t="s">
        <v>233</v>
      </c>
      <c r="C27" s="124" t="s">
        <v>234</v>
      </c>
      <c r="D27" s="277">
        <f>SUMIF(Purchase!P:P,A27,Purchase!N:N)</f>
        <v>1166</v>
      </c>
      <c r="E27" s="86" t="s">
        <v>246</v>
      </c>
      <c r="F27" s="124"/>
      <c r="G27" s="277" t="s">
        <v>259</v>
      </c>
      <c r="H27" s="290">
        <v>46307</v>
      </c>
      <c r="I27" s="290">
        <v>46315</v>
      </c>
      <c r="J27" s="290">
        <v>46332</v>
      </c>
      <c r="L27" s="280" t="str">
        <f>IF(_xlfn.XLOOKUP(A27,Purchase!P:P,Purchase!J:J)="","尚未送仓",_xlfn.XLOOKUP(A27,Purchase!P:P,Purchase!J:J))</f>
        <v>尚未送仓</v>
      </c>
      <c r="M27" s="280"/>
      <c r="Q27" s="289" t="s">
        <v>286</v>
      </c>
    </row>
    <row r="28" spans="1:18">
      <c r="A28" s="124"/>
      <c r="B28" s="124"/>
      <c r="C28" s="124"/>
      <c r="D28" s="124"/>
      <c r="E28" s="124"/>
      <c r="F28" s="124"/>
      <c r="G28" s="124"/>
      <c r="Q28" s="289"/>
    </row>
    <row r="29" spans="1:18">
      <c r="A29" s="124"/>
      <c r="B29" s="124"/>
      <c r="C29" s="124"/>
      <c r="D29" s="124"/>
      <c r="E29" s="124"/>
      <c r="F29" s="124"/>
      <c r="G29" s="124"/>
      <c r="Q29" s="289"/>
    </row>
    <row r="30" spans="1:18">
      <c r="A30" s="124"/>
      <c r="B30" s="124"/>
      <c r="C30" s="124"/>
      <c r="D30" s="124"/>
      <c r="E30" s="124"/>
      <c r="F30" s="124"/>
      <c r="G30" s="124"/>
    </row>
    <row r="31" spans="1:18">
      <c r="A31" s="124"/>
      <c r="B31" s="124"/>
      <c r="C31" s="124"/>
      <c r="D31" s="124"/>
      <c r="E31" s="124"/>
      <c r="F31" s="124"/>
      <c r="G31" s="124"/>
    </row>
    <row r="32" spans="1:18">
      <c r="A32" s="124"/>
      <c r="B32" s="124"/>
      <c r="C32" s="124"/>
      <c r="D32" s="124"/>
      <c r="E32" s="124"/>
      <c r="F32" s="124"/>
      <c r="G32" s="124"/>
    </row>
    <row r="33" spans="1:7">
      <c r="A33" s="124"/>
      <c r="B33" s="124"/>
      <c r="C33" s="124"/>
      <c r="D33" s="124"/>
      <c r="E33" s="124"/>
      <c r="F33" s="124"/>
      <c r="G33" s="124"/>
    </row>
    <row r="34" spans="1:7">
      <c r="A34" s="124"/>
      <c r="B34" s="124"/>
      <c r="C34" s="124"/>
      <c r="D34" s="124"/>
      <c r="E34" s="124"/>
      <c r="F34" s="124"/>
      <c r="G34" s="124"/>
    </row>
    <row r="35" spans="1:7">
      <c r="A35" s="124"/>
      <c r="B35" s="124"/>
      <c r="C35" s="124"/>
      <c r="D35" s="124"/>
      <c r="E35" s="124"/>
      <c r="F35" s="124"/>
      <c r="G35" s="124"/>
    </row>
    <row r="36" spans="1:7">
      <c r="A36" s="124"/>
      <c r="B36" s="124"/>
      <c r="C36" s="124"/>
      <c r="D36" s="124"/>
      <c r="E36" s="124"/>
      <c r="F36" s="124"/>
      <c r="G36" s="124"/>
    </row>
    <row r="37" spans="1:7">
      <c r="A37" s="124"/>
      <c r="B37" s="124"/>
      <c r="C37" s="124"/>
      <c r="D37" s="124"/>
      <c r="E37" s="124"/>
      <c r="F37" s="124"/>
      <c r="G37" s="124"/>
    </row>
    <row r="38" spans="1:7">
      <c r="A38" s="124"/>
      <c r="B38" s="124"/>
      <c r="C38" s="124"/>
      <c r="D38" s="124"/>
      <c r="E38" s="124"/>
      <c r="F38" s="124"/>
      <c r="G38" s="124"/>
    </row>
    <row r="39" spans="1:7">
      <c r="A39" s="124"/>
      <c r="B39" s="124"/>
      <c r="C39" s="124"/>
      <c r="D39" s="124"/>
      <c r="E39" s="124"/>
      <c r="F39" s="124"/>
      <c r="G39" s="124"/>
    </row>
    <row r="40" spans="1:7">
      <c r="A40" s="124"/>
      <c r="B40" s="124"/>
      <c r="C40" s="124"/>
      <c r="D40" s="124"/>
      <c r="E40" s="124"/>
      <c r="F40" s="124"/>
      <c r="G40" s="124"/>
    </row>
    <row r="41" spans="1:7">
      <c r="A41" s="124"/>
      <c r="B41" s="124"/>
      <c r="C41" s="124"/>
      <c r="D41" s="124"/>
      <c r="E41" s="124"/>
      <c r="F41" s="124"/>
      <c r="G41" s="124"/>
    </row>
    <row r="42" spans="1:7">
      <c r="A42" s="124"/>
      <c r="B42" s="124"/>
      <c r="C42" s="124"/>
      <c r="D42" s="124"/>
      <c r="E42" s="124"/>
      <c r="F42" s="124"/>
      <c r="G42" s="124"/>
    </row>
    <row r="43" spans="1:7">
      <c r="A43" s="124"/>
      <c r="B43" s="124"/>
      <c r="C43" s="124"/>
      <c r="D43" s="124"/>
      <c r="E43" s="124"/>
      <c r="F43" s="124"/>
      <c r="G43" s="124"/>
    </row>
    <row r="44" spans="1:7">
      <c r="A44" s="124"/>
      <c r="B44" s="124"/>
      <c r="C44" s="124"/>
      <c r="D44" s="124"/>
      <c r="E44" s="124"/>
      <c r="F44" s="124"/>
      <c r="G44" s="124"/>
    </row>
    <row r="45" spans="1:7">
      <c r="A45" s="124"/>
      <c r="B45" s="124"/>
      <c r="C45" s="124"/>
      <c r="D45" s="124"/>
      <c r="E45" s="124"/>
      <c r="F45" s="124"/>
      <c r="G45" s="124"/>
    </row>
    <row r="46" spans="1:7">
      <c r="A46" s="124"/>
      <c r="B46" s="124"/>
      <c r="C46" s="124"/>
      <c r="D46" s="124"/>
      <c r="E46" s="124"/>
      <c r="F46" s="124"/>
      <c r="G46" s="124"/>
    </row>
    <row r="47" spans="1:7">
      <c r="A47" s="124"/>
      <c r="B47" s="124"/>
      <c r="C47" s="124"/>
      <c r="D47" s="124"/>
      <c r="E47" s="124"/>
      <c r="F47" s="124"/>
      <c r="G47" s="124"/>
    </row>
    <row r="48" spans="1:7">
      <c r="A48" s="124"/>
      <c r="B48" s="124"/>
      <c r="C48" s="124"/>
      <c r="D48" s="124"/>
      <c r="E48" s="124"/>
      <c r="F48" s="124"/>
      <c r="G48" s="124"/>
    </row>
    <row r="49" spans="1:7">
      <c r="A49" s="124"/>
      <c r="B49" s="124"/>
      <c r="C49" s="124"/>
      <c r="D49" s="124"/>
      <c r="E49" s="124"/>
      <c r="F49" s="124"/>
      <c r="G49" s="124"/>
    </row>
    <row r="50" spans="1:7">
      <c r="A50" s="124"/>
      <c r="B50" s="124"/>
      <c r="C50" s="124"/>
      <c r="D50" s="124"/>
      <c r="E50" s="124"/>
      <c r="F50" s="124"/>
      <c r="G50" s="124"/>
    </row>
    <row r="51" spans="1:7">
      <c r="A51" s="124"/>
      <c r="B51" s="124"/>
      <c r="C51" s="124"/>
      <c r="D51" s="124"/>
      <c r="E51" s="124"/>
      <c r="F51" s="124"/>
      <c r="G51" s="124"/>
    </row>
    <row r="52" spans="1:7">
      <c r="A52" s="124"/>
      <c r="B52" s="124"/>
      <c r="C52" s="124"/>
      <c r="D52" s="124"/>
      <c r="E52" s="124"/>
      <c r="F52" s="124"/>
      <c r="G52" s="124"/>
    </row>
    <row r="53" spans="1:7">
      <c r="A53" s="124"/>
      <c r="B53" s="124"/>
      <c r="C53" s="124"/>
      <c r="D53" s="124"/>
      <c r="E53" s="124"/>
      <c r="F53" s="124"/>
      <c r="G53" s="124"/>
    </row>
    <row r="54" spans="1:7">
      <c r="A54" s="124"/>
      <c r="B54" s="124"/>
      <c r="C54" s="124"/>
      <c r="D54" s="124"/>
      <c r="E54" s="124"/>
      <c r="F54" s="124"/>
      <c r="G54" s="124"/>
    </row>
    <row r="55" spans="1:7">
      <c r="A55" s="124"/>
      <c r="B55" s="124"/>
      <c r="C55" s="124"/>
      <c r="D55" s="124"/>
      <c r="E55" s="124"/>
      <c r="F55" s="124"/>
      <c r="G55" s="124"/>
    </row>
    <row r="56" spans="1:7">
      <c r="A56" s="124"/>
      <c r="B56" s="124"/>
      <c r="C56" s="124"/>
      <c r="D56" s="124"/>
      <c r="E56" s="124"/>
      <c r="F56" s="124"/>
      <c r="G56" s="124"/>
    </row>
    <row r="57" spans="1:7">
      <c r="A57" s="124"/>
      <c r="B57" s="124"/>
      <c r="C57" s="124"/>
      <c r="D57" s="124"/>
      <c r="E57" s="124"/>
      <c r="F57" s="124"/>
      <c r="G57" s="124"/>
    </row>
    <row r="58" spans="1:7">
      <c r="A58" s="124"/>
      <c r="B58" s="124"/>
      <c r="C58" s="124"/>
      <c r="D58" s="124"/>
      <c r="E58" s="124"/>
      <c r="F58" s="124"/>
      <c r="G58" s="124"/>
    </row>
    <row r="59" spans="1:7">
      <c r="A59" s="124"/>
      <c r="B59" s="124"/>
      <c r="C59" s="124"/>
      <c r="D59" s="124"/>
      <c r="E59" s="124"/>
      <c r="F59" s="124"/>
      <c r="G59" s="124"/>
    </row>
    <row r="60" spans="1:7">
      <c r="A60" s="124"/>
      <c r="B60" s="124"/>
      <c r="C60" s="124"/>
      <c r="D60" s="124"/>
      <c r="E60" s="124"/>
      <c r="F60" s="124"/>
      <c r="G60" s="124"/>
    </row>
    <row r="61" spans="1:7">
      <c r="A61" s="124"/>
      <c r="B61" s="124"/>
      <c r="C61" s="124"/>
      <c r="D61" s="124"/>
      <c r="E61" s="124"/>
      <c r="F61" s="124"/>
      <c r="G61" s="124"/>
    </row>
    <row r="62" spans="1:7">
      <c r="A62" s="124"/>
      <c r="B62" s="124"/>
      <c r="C62" s="124"/>
      <c r="D62" s="124"/>
      <c r="E62" s="124"/>
      <c r="F62" s="124"/>
      <c r="G62" s="124"/>
    </row>
    <row r="63" spans="1:7">
      <c r="A63" s="124"/>
      <c r="B63" s="124"/>
      <c r="C63" s="124"/>
      <c r="D63" s="124"/>
      <c r="E63" s="124"/>
      <c r="F63" s="124"/>
      <c r="G63" s="124"/>
    </row>
    <row r="64" spans="1:7">
      <c r="A64" s="124"/>
      <c r="B64" s="124"/>
      <c r="C64" s="124"/>
      <c r="D64" s="124"/>
      <c r="E64" s="124"/>
      <c r="F64" s="124"/>
      <c r="G64" s="124"/>
    </row>
    <row r="65" spans="1:7">
      <c r="A65" s="124"/>
      <c r="B65" s="124"/>
      <c r="C65" s="124"/>
      <c r="D65" s="124"/>
      <c r="E65" s="124"/>
      <c r="F65" s="124"/>
      <c r="G65" s="124"/>
    </row>
    <row r="66" spans="1:7">
      <c r="A66" s="124"/>
      <c r="B66" s="124"/>
      <c r="C66" s="124"/>
      <c r="D66" s="124"/>
      <c r="E66" s="124"/>
      <c r="F66" s="124"/>
      <c r="G66" s="124"/>
    </row>
    <row r="67" spans="1:7">
      <c r="A67" s="124"/>
      <c r="B67" s="124"/>
      <c r="C67" s="124"/>
      <c r="D67" s="124"/>
      <c r="E67" s="124"/>
      <c r="F67" s="124"/>
      <c r="G67" s="124"/>
    </row>
    <row r="68" spans="1:7">
      <c r="A68" s="124"/>
      <c r="B68" s="124"/>
      <c r="C68" s="124"/>
      <c r="D68" s="124"/>
      <c r="E68" s="124"/>
      <c r="F68" s="124"/>
      <c r="G68" s="124"/>
    </row>
    <row r="69" spans="1:7">
      <c r="A69" s="124"/>
      <c r="B69" s="124"/>
      <c r="C69" s="124"/>
      <c r="D69" s="124"/>
      <c r="E69" s="124"/>
      <c r="F69" s="124"/>
      <c r="G69" s="124"/>
    </row>
    <row r="70" spans="1:7">
      <c r="A70" s="124"/>
      <c r="B70" s="124"/>
      <c r="C70" s="124"/>
      <c r="D70" s="124"/>
      <c r="E70" s="124"/>
      <c r="F70" s="124"/>
      <c r="G70" s="124"/>
    </row>
    <row r="71" spans="1:7">
      <c r="A71" s="124"/>
      <c r="B71" s="124"/>
      <c r="C71" s="124"/>
      <c r="D71" s="124"/>
      <c r="E71" s="124"/>
      <c r="F71" s="124"/>
      <c r="G71" s="124"/>
    </row>
    <row r="72" spans="1:7">
      <c r="A72" s="124"/>
      <c r="B72" s="124"/>
      <c r="C72" s="124"/>
      <c r="D72" s="124"/>
      <c r="E72" s="124"/>
      <c r="F72" s="124"/>
      <c r="G72" s="124"/>
    </row>
    <row r="73" spans="1:7">
      <c r="A73" s="124"/>
      <c r="B73" s="124"/>
      <c r="C73" s="124"/>
      <c r="D73" s="124"/>
      <c r="E73" s="124"/>
      <c r="F73" s="124"/>
      <c r="G73" s="124"/>
    </row>
    <row r="74" spans="1:7">
      <c r="A74" s="124"/>
      <c r="B74" s="124"/>
      <c r="C74" s="124"/>
      <c r="D74" s="124"/>
      <c r="E74" s="124"/>
      <c r="F74" s="124"/>
      <c r="G74" s="124"/>
    </row>
    <row r="75" spans="1:7">
      <c r="A75" s="124"/>
      <c r="B75" s="124"/>
      <c r="C75" s="124"/>
      <c r="D75" s="124"/>
      <c r="E75" s="124"/>
      <c r="F75" s="124"/>
      <c r="G75" s="124"/>
    </row>
    <row r="76" spans="1:7">
      <c r="A76" s="124"/>
      <c r="B76" s="124"/>
      <c r="C76" s="124"/>
      <c r="D76" s="124"/>
      <c r="E76" s="124"/>
      <c r="F76" s="124"/>
      <c r="G76" s="124"/>
    </row>
    <row r="77" spans="1:7">
      <c r="A77" s="124"/>
      <c r="B77" s="124"/>
      <c r="C77" s="124"/>
      <c r="D77" s="124"/>
      <c r="E77" s="124"/>
      <c r="F77" s="124"/>
      <c r="G77" s="124"/>
    </row>
    <row r="78" spans="1:7">
      <c r="A78" s="124"/>
      <c r="B78" s="124"/>
      <c r="C78" s="124"/>
      <c r="D78" s="124"/>
      <c r="E78" s="124"/>
      <c r="F78" s="124"/>
      <c r="G78" s="124"/>
    </row>
    <row r="79" spans="1:7">
      <c r="A79" s="124"/>
      <c r="B79" s="124"/>
      <c r="C79" s="124"/>
      <c r="D79" s="124"/>
      <c r="E79" s="124"/>
      <c r="F79" s="124"/>
      <c r="G79" s="124"/>
    </row>
    <row r="80" spans="1:7">
      <c r="A80" s="124"/>
      <c r="B80" s="124"/>
      <c r="C80" s="124"/>
      <c r="D80" s="124"/>
      <c r="E80" s="124"/>
      <c r="F80" s="124"/>
      <c r="G80" s="124"/>
    </row>
    <row r="81" spans="1:7">
      <c r="A81" s="124"/>
      <c r="B81" s="124"/>
      <c r="C81" s="124"/>
      <c r="D81" s="124"/>
      <c r="E81" s="124"/>
      <c r="F81" s="124"/>
      <c r="G81" s="124"/>
    </row>
    <row r="82" spans="1:7">
      <c r="A82" s="124"/>
      <c r="B82" s="124"/>
      <c r="C82" s="124"/>
      <c r="D82" s="124"/>
      <c r="E82" s="124"/>
      <c r="F82" s="124"/>
      <c r="G82" s="124"/>
    </row>
    <row r="83" spans="1:7">
      <c r="A83" s="124"/>
      <c r="B83" s="124"/>
      <c r="C83" s="124"/>
      <c r="D83" s="124"/>
      <c r="E83" s="124"/>
      <c r="F83" s="124"/>
      <c r="G83" s="124"/>
    </row>
    <row r="84" spans="1:7">
      <c r="A84" s="124"/>
      <c r="B84" s="124"/>
      <c r="C84" s="124"/>
      <c r="D84" s="124"/>
      <c r="E84" s="124"/>
      <c r="F84" s="124"/>
      <c r="G84" s="124"/>
    </row>
    <row r="85" spans="1:7">
      <c r="A85" s="124"/>
      <c r="B85" s="124"/>
      <c r="C85" s="124"/>
      <c r="D85" s="124"/>
      <c r="E85" s="124"/>
      <c r="F85" s="124"/>
      <c r="G85" s="124"/>
    </row>
    <row r="86" spans="1:7">
      <c r="A86" s="124"/>
      <c r="B86" s="124"/>
      <c r="C86" s="124"/>
      <c r="D86" s="124"/>
      <c r="E86" s="124"/>
      <c r="F86" s="124"/>
      <c r="G86" s="124"/>
    </row>
    <row r="87" spans="1:7">
      <c r="A87" s="124"/>
      <c r="B87" s="124"/>
      <c r="C87" s="124"/>
      <c r="D87" s="124"/>
      <c r="E87" s="124"/>
      <c r="F87" s="124"/>
      <c r="G87" s="124"/>
    </row>
    <row r="88" spans="1:7">
      <c r="A88" s="124"/>
      <c r="B88" s="124"/>
      <c r="C88" s="124"/>
      <c r="D88" s="124"/>
      <c r="E88" s="124"/>
      <c r="F88" s="124"/>
      <c r="G88" s="124"/>
    </row>
    <row r="89" spans="1:7">
      <c r="A89" s="124"/>
      <c r="B89" s="124"/>
      <c r="C89" s="124"/>
      <c r="D89" s="124"/>
      <c r="E89" s="124"/>
      <c r="F89" s="124"/>
      <c r="G89" s="124"/>
    </row>
    <row r="90" spans="1:7">
      <c r="A90" s="124"/>
      <c r="B90" s="124"/>
      <c r="C90" s="124"/>
      <c r="D90" s="124"/>
      <c r="E90" s="124"/>
      <c r="F90" s="124"/>
      <c r="G90" s="124"/>
    </row>
    <row r="91" spans="1:7">
      <c r="A91" s="124"/>
      <c r="B91" s="124"/>
      <c r="C91" s="124"/>
      <c r="D91" s="124"/>
      <c r="E91" s="124"/>
      <c r="F91" s="124"/>
      <c r="G91" s="124"/>
    </row>
    <row r="92" spans="1:7">
      <c r="A92" s="124"/>
      <c r="B92" s="124"/>
      <c r="C92" s="124"/>
      <c r="D92" s="124"/>
      <c r="E92" s="124"/>
      <c r="F92" s="124"/>
      <c r="G92" s="124"/>
    </row>
    <row r="93" spans="1:7">
      <c r="A93" s="124"/>
      <c r="B93" s="124"/>
      <c r="C93" s="124"/>
      <c r="D93" s="124"/>
      <c r="E93" s="124"/>
      <c r="F93" s="124"/>
      <c r="G93" s="124"/>
    </row>
    <row r="94" spans="1:7">
      <c r="A94" s="124"/>
      <c r="B94" s="124"/>
      <c r="C94" s="124"/>
      <c r="D94" s="124"/>
      <c r="E94" s="124"/>
      <c r="F94" s="124"/>
      <c r="G94" s="124"/>
    </row>
    <row r="95" spans="1:7">
      <c r="A95" s="124"/>
      <c r="B95" s="124"/>
      <c r="C95" s="124"/>
      <c r="D95" s="124"/>
      <c r="E95" s="124"/>
      <c r="F95" s="124"/>
      <c r="G95" s="124"/>
    </row>
    <row r="96" spans="1:7">
      <c r="A96" s="124"/>
      <c r="B96" s="124"/>
      <c r="C96" s="124"/>
      <c r="D96" s="124"/>
      <c r="E96" s="124"/>
      <c r="F96" s="124"/>
      <c r="G96" s="124"/>
    </row>
    <row r="97" spans="1:7">
      <c r="A97" s="124"/>
      <c r="B97" s="124"/>
      <c r="C97" s="124"/>
      <c r="D97" s="124"/>
      <c r="E97" s="124"/>
      <c r="F97" s="124"/>
      <c r="G97" s="124"/>
    </row>
    <row r="98" spans="1:7">
      <c r="A98" s="124"/>
      <c r="B98" s="124"/>
      <c r="C98" s="124"/>
      <c r="D98" s="124"/>
      <c r="E98" s="124"/>
      <c r="F98" s="124"/>
      <c r="G98" s="124"/>
    </row>
    <row r="99" spans="1:7">
      <c r="A99" s="124"/>
      <c r="B99" s="124"/>
      <c r="C99" s="124"/>
      <c r="D99" s="124"/>
      <c r="E99" s="124"/>
      <c r="F99" s="124"/>
      <c r="G99" s="124"/>
    </row>
    <row r="100" spans="1:7">
      <c r="A100" s="124"/>
      <c r="B100" s="124"/>
      <c r="C100" s="124"/>
      <c r="D100" s="124"/>
      <c r="E100" s="124"/>
      <c r="F100" s="124"/>
      <c r="G100" s="124"/>
    </row>
    <row r="101" spans="1:7">
      <c r="A101" s="124"/>
      <c r="B101" s="124"/>
      <c r="C101" s="124"/>
      <c r="D101" s="124"/>
      <c r="E101" s="124"/>
      <c r="F101" s="124"/>
      <c r="G101" s="124"/>
    </row>
    <row r="102" spans="1:7">
      <c r="A102" s="124"/>
      <c r="B102" s="124"/>
      <c r="C102" s="124"/>
      <c r="D102" s="124"/>
      <c r="E102" s="124"/>
      <c r="F102" s="124"/>
      <c r="G102" s="124"/>
    </row>
    <row r="103" spans="1:7">
      <c r="A103" s="124"/>
      <c r="B103" s="124"/>
      <c r="C103" s="124"/>
      <c r="D103" s="124"/>
      <c r="E103" s="124"/>
      <c r="F103" s="124"/>
      <c r="G103" s="124"/>
    </row>
    <row r="104" spans="1:7">
      <c r="A104" s="124"/>
      <c r="B104" s="124"/>
      <c r="C104" s="124"/>
      <c r="D104" s="124"/>
      <c r="E104" s="124"/>
      <c r="F104" s="124"/>
      <c r="G104" s="124"/>
    </row>
    <row r="105" spans="1:7">
      <c r="A105" s="124"/>
      <c r="B105" s="124"/>
      <c r="C105" s="124"/>
      <c r="D105" s="124"/>
      <c r="E105" s="124"/>
      <c r="F105" s="124"/>
      <c r="G105" s="124"/>
    </row>
    <row r="106" spans="1:7">
      <c r="A106" s="124"/>
      <c r="B106" s="124"/>
      <c r="C106" s="124"/>
      <c r="D106" s="124"/>
      <c r="E106" s="124"/>
      <c r="F106" s="124"/>
      <c r="G106" s="124"/>
    </row>
    <row r="107" spans="1:7">
      <c r="A107" s="124"/>
      <c r="B107" s="124"/>
      <c r="C107" s="124"/>
      <c r="D107" s="124"/>
      <c r="E107" s="124"/>
      <c r="F107" s="124"/>
      <c r="G107" s="124"/>
    </row>
    <row r="108" spans="1:7">
      <c r="A108" s="124"/>
      <c r="B108" s="124"/>
      <c r="C108" s="124"/>
      <c r="D108" s="124"/>
      <c r="E108" s="124"/>
      <c r="F108" s="124"/>
      <c r="G108" s="124"/>
    </row>
    <row r="109" spans="1:7">
      <c r="A109" s="124"/>
      <c r="B109" s="124"/>
      <c r="C109" s="124"/>
      <c r="D109" s="124"/>
      <c r="E109" s="124"/>
      <c r="F109" s="124"/>
      <c r="G109" s="124"/>
    </row>
    <row r="110" spans="1:7">
      <c r="A110" s="124"/>
      <c r="B110" s="124"/>
      <c r="C110" s="124"/>
      <c r="D110" s="124"/>
      <c r="E110" s="124"/>
      <c r="F110" s="124"/>
      <c r="G110" s="124"/>
    </row>
    <row r="111" spans="1:7">
      <c r="A111" s="124"/>
      <c r="B111" s="124"/>
      <c r="C111" s="124"/>
      <c r="D111" s="124"/>
      <c r="E111" s="124"/>
      <c r="F111" s="124"/>
      <c r="G111" s="124"/>
    </row>
    <row r="112" spans="1:7">
      <c r="A112" s="124"/>
      <c r="B112" s="124"/>
      <c r="C112" s="124"/>
      <c r="D112" s="124"/>
      <c r="E112" s="124"/>
      <c r="F112" s="124"/>
      <c r="G112" s="124"/>
    </row>
    <row r="113" spans="1:7">
      <c r="A113" s="124"/>
      <c r="B113" s="124"/>
      <c r="C113" s="124"/>
      <c r="D113" s="124"/>
      <c r="E113" s="124"/>
      <c r="F113" s="124"/>
      <c r="G113" s="124"/>
    </row>
    <row r="114" spans="1:7">
      <c r="A114" s="124"/>
      <c r="B114" s="124"/>
      <c r="C114" s="124"/>
      <c r="D114" s="124"/>
      <c r="E114" s="124"/>
      <c r="F114" s="124"/>
      <c r="G114" s="124"/>
    </row>
    <row r="115" spans="1:7">
      <c r="A115" s="124"/>
      <c r="B115" s="124"/>
      <c r="C115" s="124"/>
      <c r="D115" s="124"/>
      <c r="E115" s="124"/>
      <c r="F115" s="124"/>
      <c r="G115" s="124"/>
    </row>
    <row r="116" spans="1:7">
      <c r="A116" s="124"/>
      <c r="B116" s="124"/>
      <c r="C116" s="124"/>
      <c r="D116" s="124"/>
      <c r="E116" s="124"/>
      <c r="F116" s="124"/>
      <c r="G116" s="124"/>
    </row>
    <row r="117" spans="1:7">
      <c r="A117" s="124"/>
      <c r="B117" s="124"/>
      <c r="C117" s="124"/>
      <c r="D117" s="124"/>
      <c r="E117" s="124"/>
      <c r="F117" s="124"/>
      <c r="G117" s="124"/>
    </row>
    <row r="118" spans="1:7">
      <c r="A118" s="124"/>
      <c r="B118" s="124"/>
      <c r="C118" s="124"/>
      <c r="D118" s="124"/>
      <c r="E118" s="124"/>
      <c r="F118" s="124"/>
      <c r="G118" s="124"/>
    </row>
    <row r="119" spans="1:7">
      <c r="A119" s="124"/>
      <c r="B119" s="124"/>
      <c r="C119" s="124"/>
      <c r="D119" s="124"/>
      <c r="E119" s="124"/>
      <c r="F119" s="124"/>
      <c r="G119" s="124"/>
    </row>
    <row r="120" spans="1:7">
      <c r="A120" s="124"/>
      <c r="B120" s="124"/>
      <c r="C120" s="124"/>
      <c r="D120" s="124"/>
      <c r="E120" s="124"/>
      <c r="F120" s="124"/>
      <c r="G120" s="124"/>
    </row>
    <row r="121" spans="1:7">
      <c r="A121" s="124"/>
      <c r="B121" s="124"/>
      <c r="C121" s="124"/>
      <c r="D121" s="124"/>
      <c r="E121" s="124"/>
      <c r="F121" s="124"/>
      <c r="G121" s="124"/>
    </row>
    <row r="122" spans="1:7">
      <c r="A122" s="124"/>
      <c r="B122" s="124"/>
      <c r="C122" s="124"/>
      <c r="D122" s="124"/>
      <c r="E122" s="124"/>
      <c r="F122" s="124"/>
      <c r="G122" s="124"/>
    </row>
    <row r="123" spans="1:7">
      <c r="A123" s="124"/>
      <c r="B123" s="124"/>
      <c r="C123" s="124"/>
      <c r="D123" s="124"/>
      <c r="E123" s="124"/>
      <c r="F123" s="124"/>
      <c r="G123" s="124"/>
    </row>
    <row r="124" spans="1:7">
      <c r="A124" s="124"/>
      <c r="B124" s="124"/>
      <c r="C124" s="124"/>
      <c r="D124" s="124"/>
      <c r="E124" s="124"/>
      <c r="F124" s="124"/>
      <c r="G124" s="124"/>
    </row>
    <row r="125" spans="1:7">
      <c r="A125" s="124"/>
      <c r="B125" s="124"/>
      <c r="C125" s="124"/>
      <c r="D125" s="124"/>
      <c r="E125" s="124"/>
      <c r="F125" s="124"/>
      <c r="G125" s="124"/>
    </row>
    <row r="126" spans="1:7">
      <c r="A126" s="124"/>
      <c r="B126" s="124"/>
      <c r="C126" s="124"/>
      <c r="D126" s="124"/>
      <c r="E126" s="124"/>
      <c r="F126" s="124"/>
      <c r="G126" s="124"/>
    </row>
    <row r="127" spans="1:7">
      <c r="A127" s="124"/>
      <c r="B127" s="124"/>
      <c r="C127" s="124"/>
      <c r="D127" s="124"/>
      <c r="E127" s="124"/>
      <c r="F127" s="124"/>
      <c r="G127" s="124"/>
    </row>
    <row r="128" spans="1:7">
      <c r="A128" s="124"/>
      <c r="B128" s="124"/>
      <c r="C128" s="124"/>
      <c r="D128" s="124"/>
      <c r="E128" s="124"/>
      <c r="F128" s="124"/>
      <c r="G128" s="124"/>
    </row>
    <row r="129" spans="1:7">
      <c r="A129" s="124"/>
      <c r="B129" s="124"/>
      <c r="C129" s="124"/>
      <c r="D129" s="124"/>
      <c r="E129" s="124"/>
      <c r="F129" s="124"/>
      <c r="G129" s="124"/>
    </row>
    <row r="130" spans="1:7">
      <c r="A130" s="124"/>
      <c r="B130" s="124"/>
      <c r="C130" s="124"/>
      <c r="D130" s="124"/>
      <c r="E130" s="124"/>
      <c r="F130" s="124"/>
      <c r="G130" s="124"/>
    </row>
    <row r="131" spans="1:7">
      <c r="A131" s="124"/>
      <c r="B131" s="124"/>
      <c r="C131" s="124"/>
      <c r="D131" s="124"/>
      <c r="E131" s="124"/>
      <c r="F131" s="124"/>
      <c r="G131" s="124"/>
    </row>
    <row r="132" spans="1:7">
      <c r="A132" s="124"/>
      <c r="B132" s="124"/>
      <c r="C132" s="124"/>
      <c r="D132" s="124"/>
      <c r="E132" s="124"/>
      <c r="F132" s="124"/>
      <c r="G132" s="124"/>
    </row>
    <row r="133" spans="1:7">
      <c r="A133" s="124"/>
      <c r="B133" s="124"/>
      <c r="C133" s="124"/>
      <c r="D133" s="124"/>
      <c r="E133" s="124"/>
      <c r="F133" s="124"/>
      <c r="G133" s="124"/>
    </row>
    <row r="134" spans="1:7">
      <c r="A134" s="124"/>
      <c r="B134" s="124"/>
      <c r="C134" s="124"/>
      <c r="D134" s="124"/>
      <c r="E134" s="124"/>
      <c r="F134" s="124"/>
      <c r="G134" s="124"/>
    </row>
    <row r="135" spans="1:7">
      <c r="A135" s="124"/>
      <c r="B135" s="124"/>
      <c r="C135" s="124"/>
      <c r="D135" s="124"/>
      <c r="E135" s="124"/>
      <c r="F135" s="124"/>
      <c r="G135" s="124"/>
    </row>
    <row r="136" spans="1:7">
      <c r="A136" s="124"/>
      <c r="B136" s="124"/>
      <c r="C136" s="124"/>
      <c r="D136" s="124"/>
      <c r="E136" s="124"/>
      <c r="F136" s="124"/>
      <c r="G136" s="124"/>
    </row>
    <row r="137" spans="1:7">
      <c r="A137" s="124"/>
      <c r="B137" s="124"/>
      <c r="C137" s="124"/>
      <c r="D137" s="124"/>
      <c r="E137" s="124"/>
      <c r="F137" s="124"/>
      <c r="G137" s="124"/>
    </row>
    <row r="138" spans="1:7">
      <c r="A138" s="124"/>
      <c r="B138" s="124"/>
      <c r="C138" s="124"/>
      <c r="D138" s="124"/>
      <c r="E138" s="124"/>
      <c r="F138" s="124"/>
      <c r="G138" s="124"/>
    </row>
    <row r="139" spans="1:7">
      <c r="A139" s="124"/>
      <c r="B139" s="124"/>
      <c r="C139" s="124"/>
      <c r="D139" s="124"/>
      <c r="E139" s="124"/>
      <c r="F139" s="124"/>
      <c r="G139" s="124"/>
    </row>
    <row r="140" spans="1:7">
      <c r="A140" s="124"/>
      <c r="B140" s="124"/>
      <c r="C140" s="124"/>
      <c r="D140" s="124"/>
      <c r="E140" s="124"/>
      <c r="F140" s="124"/>
      <c r="G140" s="124"/>
    </row>
    <row r="141" spans="1:7">
      <c r="A141" s="124"/>
      <c r="B141" s="124"/>
      <c r="C141" s="124"/>
      <c r="D141" s="124"/>
      <c r="E141" s="124"/>
      <c r="F141" s="124"/>
      <c r="G141" s="124"/>
    </row>
    <row r="142" spans="1:7">
      <c r="A142" s="124"/>
      <c r="B142" s="124"/>
      <c r="C142" s="124"/>
      <c r="D142" s="124"/>
      <c r="E142" s="124"/>
      <c r="F142" s="124"/>
      <c r="G142" s="124"/>
    </row>
    <row r="143" spans="1:7">
      <c r="A143" s="124"/>
      <c r="B143" s="124"/>
      <c r="C143" s="124"/>
      <c r="D143" s="124"/>
      <c r="E143" s="124"/>
      <c r="F143" s="124"/>
      <c r="G143" s="124"/>
    </row>
    <row r="144" spans="1:7">
      <c r="A144" s="124"/>
      <c r="B144" s="124"/>
      <c r="C144" s="124"/>
      <c r="D144" s="124"/>
      <c r="E144" s="124"/>
      <c r="F144" s="124"/>
      <c r="G144" s="124"/>
    </row>
    <row r="145" spans="1:7">
      <c r="A145" s="124"/>
      <c r="B145" s="124"/>
      <c r="C145" s="124"/>
      <c r="D145" s="124"/>
      <c r="E145" s="124"/>
      <c r="F145" s="124"/>
      <c r="G145" s="124"/>
    </row>
    <row r="146" spans="1:7">
      <c r="A146" s="124"/>
      <c r="B146" s="124"/>
      <c r="C146" s="124"/>
      <c r="D146" s="124"/>
      <c r="E146" s="124"/>
      <c r="F146" s="124"/>
      <c r="G146" s="124"/>
    </row>
    <row r="147" spans="1:7">
      <c r="A147" s="124"/>
      <c r="B147" s="124"/>
      <c r="C147" s="124"/>
      <c r="D147" s="124"/>
      <c r="E147" s="124"/>
      <c r="F147" s="124"/>
      <c r="G147" s="124"/>
    </row>
    <row r="148" spans="1:7">
      <c r="A148" s="124"/>
      <c r="B148" s="124"/>
      <c r="C148" s="124"/>
      <c r="D148" s="124"/>
      <c r="E148" s="124"/>
      <c r="F148" s="124"/>
      <c r="G148" s="124"/>
    </row>
    <row r="149" spans="1:7">
      <c r="A149" s="124"/>
      <c r="B149" s="124"/>
      <c r="C149" s="124"/>
      <c r="D149" s="124"/>
      <c r="E149" s="124"/>
      <c r="F149" s="124"/>
      <c r="G149" s="124"/>
    </row>
    <row r="150" spans="1:7">
      <c r="A150" s="124"/>
      <c r="B150" s="124"/>
      <c r="C150" s="124"/>
      <c r="D150" s="124"/>
      <c r="E150" s="124"/>
      <c r="F150" s="124"/>
      <c r="G150" s="124"/>
    </row>
    <row r="151" spans="1:7">
      <c r="A151" s="124"/>
      <c r="B151" s="124"/>
      <c r="C151" s="124"/>
      <c r="D151" s="124"/>
      <c r="E151" s="124"/>
      <c r="F151" s="124"/>
      <c r="G151" s="124"/>
    </row>
    <row r="152" spans="1:7">
      <c r="A152" s="124"/>
      <c r="B152" s="124"/>
      <c r="C152" s="124"/>
      <c r="D152" s="124"/>
      <c r="E152" s="124"/>
      <c r="F152" s="124"/>
      <c r="G152" s="124"/>
    </row>
    <row r="153" spans="1:7">
      <c r="A153" s="124"/>
      <c r="B153" s="124"/>
      <c r="C153" s="124"/>
      <c r="D153" s="124"/>
      <c r="E153" s="124"/>
      <c r="F153" s="124"/>
      <c r="G153" s="124"/>
    </row>
    <row r="154" spans="1:7">
      <c r="A154" s="124"/>
      <c r="B154" s="124"/>
      <c r="C154" s="124"/>
      <c r="D154" s="124"/>
      <c r="E154" s="124"/>
      <c r="F154" s="124"/>
      <c r="G154" s="124"/>
    </row>
    <row r="155" spans="1:7">
      <c r="A155" s="124"/>
      <c r="B155" s="124"/>
      <c r="C155" s="124"/>
      <c r="D155" s="124"/>
      <c r="E155" s="124"/>
      <c r="F155" s="124"/>
      <c r="G155" s="124"/>
    </row>
    <row r="156" spans="1:7">
      <c r="A156" s="124"/>
      <c r="B156" s="124"/>
      <c r="C156" s="124"/>
      <c r="D156" s="124"/>
      <c r="E156" s="124"/>
      <c r="F156" s="124"/>
      <c r="G156" s="124"/>
    </row>
    <row r="157" spans="1:7">
      <c r="A157" s="124"/>
      <c r="B157" s="124"/>
      <c r="C157" s="124"/>
      <c r="D157" s="124"/>
      <c r="E157" s="124"/>
      <c r="F157" s="124"/>
      <c r="G157" s="124"/>
    </row>
    <row r="158" spans="1:7">
      <c r="A158" s="124"/>
      <c r="B158" s="124"/>
      <c r="C158" s="124"/>
      <c r="D158" s="124"/>
      <c r="E158" s="124"/>
      <c r="F158" s="124"/>
      <c r="G158" s="124"/>
    </row>
    <row r="159" spans="1:7">
      <c r="A159" s="124"/>
      <c r="B159" s="124"/>
      <c r="C159" s="124"/>
      <c r="D159" s="124"/>
      <c r="E159" s="124"/>
      <c r="F159" s="124"/>
      <c r="G159" s="124"/>
    </row>
    <row r="160" spans="1:7">
      <c r="A160" s="124"/>
      <c r="B160" s="124"/>
      <c r="C160" s="124"/>
      <c r="D160" s="124"/>
      <c r="E160" s="124"/>
      <c r="F160" s="124"/>
      <c r="G160" s="124"/>
    </row>
    <row r="161" spans="1:7">
      <c r="A161" s="124"/>
      <c r="B161" s="124"/>
      <c r="C161" s="124"/>
      <c r="D161" s="124"/>
      <c r="E161" s="124"/>
      <c r="F161" s="124"/>
      <c r="G161" s="124"/>
    </row>
    <row r="162" spans="1:7">
      <c r="A162" s="124"/>
      <c r="B162" s="124"/>
      <c r="C162" s="124"/>
      <c r="D162" s="124"/>
      <c r="E162" s="124"/>
      <c r="F162" s="124"/>
      <c r="G162" s="124"/>
    </row>
    <row r="163" spans="1:7">
      <c r="A163" s="124"/>
      <c r="B163" s="124"/>
      <c r="C163" s="124"/>
      <c r="D163" s="124"/>
      <c r="E163" s="124"/>
      <c r="F163" s="124"/>
      <c r="G163" s="124"/>
    </row>
    <row r="164" spans="1:7">
      <c r="A164" s="124"/>
      <c r="B164" s="124"/>
      <c r="C164" s="124"/>
      <c r="D164" s="124"/>
      <c r="E164" s="124"/>
      <c r="F164" s="124"/>
      <c r="G164" s="124"/>
    </row>
    <row r="165" spans="1:7">
      <c r="A165" s="124"/>
      <c r="B165" s="124"/>
      <c r="C165" s="124"/>
      <c r="D165" s="124"/>
      <c r="E165" s="124"/>
      <c r="F165" s="124"/>
      <c r="G165" s="124"/>
    </row>
    <row r="166" spans="1:7">
      <c r="A166" s="124"/>
      <c r="B166" s="124"/>
      <c r="C166" s="124"/>
      <c r="D166" s="124"/>
      <c r="E166" s="124"/>
      <c r="F166" s="124"/>
      <c r="G166" s="124"/>
    </row>
    <row r="167" spans="1:7">
      <c r="A167" s="124"/>
      <c r="B167" s="124"/>
      <c r="C167" s="124"/>
      <c r="D167" s="124"/>
      <c r="E167" s="124"/>
      <c r="F167" s="124"/>
      <c r="G167" s="124"/>
    </row>
    <row r="168" spans="1:7">
      <c r="A168" s="124"/>
      <c r="B168" s="124"/>
      <c r="C168" s="124"/>
      <c r="D168" s="124"/>
      <c r="E168" s="124"/>
      <c r="F168" s="124"/>
      <c r="G168" s="124"/>
    </row>
    <row r="169" spans="1:7">
      <c r="A169" s="124"/>
      <c r="B169" s="124"/>
      <c r="C169" s="124"/>
      <c r="D169" s="124"/>
      <c r="E169" s="124"/>
      <c r="F169" s="124"/>
      <c r="G169" s="124"/>
    </row>
    <row r="170" spans="1:7">
      <c r="A170" s="124"/>
      <c r="B170" s="124"/>
      <c r="C170" s="124"/>
      <c r="D170" s="124"/>
      <c r="E170" s="124"/>
      <c r="F170" s="124"/>
      <c r="G170" s="124"/>
    </row>
    <row r="171" spans="1:7">
      <c r="A171" s="124"/>
      <c r="B171" s="124"/>
      <c r="C171" s="124"/>
      <c r="D171" s="124"/>
      <c r="E171" s="124"/>
      <c r="F171" s="124"/>
      <c r="G171" s="124"/>
    </row>
    <row r="172" spans="1:7">
      <c r="A172" s="124"/>
      <c r="B172" s="124"/>
      <c r="C172" s="124"/>
      <c r="D172" s="124"/>
      <c r="E172" s="124"/>
      <c r="F172" s="124"/>
      <c r="G172" s="124"/>
    </row>
    <row r="173" spans="1:7">
      <c r="A173" s="124"/>
      <c r="B173" s="124"/>
      <c r="C173" s="124"/>
      <c r="D173" s="124"/>
      <c r="E173" s="124"/>
      <c r="F173" s="124"/>
      <c r="G173" s="124"/>
    </row>
    <row r="174" spans="1:7">
      <c r="A174" s="124"/>
      <c r="B174" s="124"/>
      <c r="C174" s="124"/>
      <c r="D174" s="124"/>
      <c r="E174" s="124"/>
      <c r="F174" s="124"/>
      <c r="G174" s="124"/>
    </row>
    <row r="175" spans="1:7">
      <c r="A175" s="124"/>
      <c r="B175" s="124"/>
      <c r="C175" s="124"/>
      <c r="D175" s="124"/>
      <c r="E175" s="124"/>
      <c r="F175" s="124"/>
      <c r="G175" s="124"/>
    </row>
    <row r="176" spans="1:7">
      <c r="A176" s="124"/>
      <c r="B176" s="124"/>
      <c r="C176" s="124"/>
      <c r="D176" s="124"/>
      <c r="E176" s="124"/>
      <c r="F176" s="124"/>
      <c r="G176" s="124"/>
    </row>
    <row r="177" spans="1:7">
      <c r="A177" s="124"/>
      <c r="B177" s="124"/>
      <c r="C177" s="124"/>
      <c r="D177" s="124"/>
      <c r="E177" s="124"/>
      <c r="F177" s="124"/>
      <c r="G177" s="124"/>
    </row>
    <row r="178" spans="1:7">
      <c r="A178" s="124"/>
      <c r="B178" s="124"/>
      <c r="C178" s="124"/>
      <c r="D178" s="124"/>
      <c r="E178" s="124"/>
      <c r="F178" s="124"/>
      <c r="G178" s="124"/>
    </row>
    <row r="179" spans="1:7">
      <c r="A179" s="124"/>
      <c r="B179" s="124"/>
      <c r="C179" s="124"/>
      <c r="D179" s="124"/>
      <c r="E179" s="124"/>
      <c r="F179" s="124"/>
      <c r="G179" s="124"/>
    </row>
    <row r="180" spans="1:7">
      <c r="A180" s="124"/>
      <c r="B180" s="124"/>
      <c r="C180" s="124"/>
      <c r="D180" s="124"/>
      <c r="E180" s="124"/>
      <c r="F180" s="124"/>
      <c r="G180" s="124"/>
    </row>
    <row r="181" spans="1:7">
      <c r="A181" s="124"/>
      <c r="B181" s="124"/>
      <c r="C181" s="124"/>
      <c r="D181" s="124"/>
      <c r="E181" s="124"/>
      <c r="F181" s="124"/>
      <c r="G181" s="124"/>
    </row>
    <row r="182" spans="1:7">
      <c r="A182" s="124"/>
      <c r="B182" s="124"/>
      <c r="C182" s="124"/>
      <c r="D182" s="124"/>
      <c r="E182" s="124"/>
      <c r="F182" s="124"/>
      <c r="G182" s="124"/>
    </row>
    <row r="183" spans="1:7">
      <c r="A183" s="124"/>
      <c r="B183" s="124"/>
      <c r="C183" s="124"/>
      <c r="D183" s="124"/>
      <c r="E183" s="124"/>
      <c r="F183" s="124"/>
      <c r="G183" s="124"/>
    </row>
    <row r="184" spans="1:7">
      <c r="A184" s="124"/>
      <c r="B184" s="124"/>
      <c r="C184" s="124"/>
      <c r="D184" s="124"/>
      <c r="E184" s="124"/>
      <c r="F184" s="124"/>
      <c r="G184" s="124"/>
    </row>
    <row r="185" spans="1:7">
      <c r="A185" s="124"/>
      <c r="B185" s="124"/>
      <c r="C185" s="124"/>
      <c r="D185" s="124"/>
      <c r="E185" s="124"/>
      <c r="F185" s="124"/>
      <c r="G185" s="124"/>
    </row>
    <row r="186" spans="1:7">
      <c r="A186" s="124"/>
      <c r="B186" s="124"/>
      <c r="C186" s="124"/>
      <c r="D186" s="124"/>
      <c r="E186" s="124"/>
      <c r="F186" s="124"/>
      <c r="G186" s="124"/>
    </row>
    <row r="187" spans="1:7">
      <c r="A187" s="124"/>
      <c r="B187" s="124"/>
      <c r="C187" s="124"/>
      <c r="D187" s="124"/>
      <c r="E187" s="124"/>
      <c r="F187" s="124"/>
      <c r="G187" s="124"/>
    </row>
    <row r="188" spans="1:7">
      <c r="A188" s="124"/>
      <c r="B188" s="124"/>
      <c r="C188" s="124"/>
      <c r="D188" s="124"/>
      <c r="E188" s="124"/>
      <c r="F188" s="124"/>
      <c r="G188" s="124"/>
    </row>
    <row r="189" spans="1:7">
      <c r="A189" s="124"/>
      <c r="B189" s="124"/>
      <c r="C189" s="124"/>
      <c r="D189" s="124"/>
      <c r="E189" s="124"/>
      <c r="F189" s="124"/>
      <c r="G189" s="124"/>
    </row>
    <row r="190" spans="1:7">
      <c r="A190" s="124"/>
      <c r="B190" s="124"/>
      <c r="C190" s="124"/>
      <c r="D190" s="124"/>
      <c r="E190" s="124"/>
      <c r="F190" s="124"/>
      <c r="G190" s="124"/>
    </row>
    <row r="191" spans="1:7">
      <c r="A191" s="124"/>
      <c r="B191" s="124"/>
      <c r="C191" s="124"/>
      <c r="D191" s="124"/>
      <c r="E191" s="124"/>
      <c r="F191" s="124"/>
      <c r="G191" s="124"/>
    </row>
    <row r="192" spans="1:7">
      <c r="A192" s="124"/>
      <c r="B192" s="124"/>
      <c r="C192" s="124"/>
      <c r="D192" s="124"/>
      <c r="E192" s="124"/>
      <c r="F192" s="124"/>
      <c r="G192" s="124"/>
    </row>
    <row r="193" spans="1:7">
      <c r="A193" s="124"/>
      <c r="B193" s="124"/>
      <c r="C193" s="124"/>
      <c r="D193" s="124"/>
      <c r="E193" s="124"/>
      <c r="F193" s="124"/>
      <c r="G193" s="124"/>
    </row>
    <row r="194" spans="1:7">
      <c r="A194" s="124"/>
      <c r="B194" s="124"/>
      <c r="C194" s="124"/>
      <c r="D194" s="124"/>
      <c r="E194" s="124"/>
      <c r="F194" s="124"/>
      <c r="G194" s="124"/>
    </row>
    <row r="195" spans="1:7">
      <c r="A195" s="124"/>
      <c r="B195" s="124"/>
      <c r="C195" s="124"/>
      <c r="D195" s="124"/>
      <c r="E195" s="124"/>
      <c r="F195" s="124"/>
      <c r="G195" s="124"/>
    </row>
    <row r="196" spans="1:7">
      <c r="A196" s="124"/>
      <c r="B196" s="124"/>
      <c r="C196" s="124"/>
      <c r="D196" s="124"/>
      <c r="E196" s="124"/>
      <c r="F196" s="124"/>
      <c r="G196" s="124"/>
    </row>
    <row r="197" spans="1:7">
      <c r="A197" s="124"/>
      <c r="B197" s="124"/>
      <c r="C197" s="124"/>
      <c r="D197" s="124"/>
      <c r="E197" s="124"/>
      <c r="F197" s="124"/>
      <c r="G197" s="124"/>
    </row>
    <row r="198" spans="1:7">
      <c r="A198" s="124"/>
      <c r="B198" s="124"/>
      <c r="C198" s="124"/>
      <c r="D198" s="124"/>
      <c r="E198" s="124"/>
      <c r="F198" s="124"/>
      <c r="G198" s="124"/>
    </row>
    <row r="199" spans="1:7">
      <c r="A199" s="124"/>
      <c r="B199" s="124"/>
      <c r="C199" s="124"/>
      <c r="D199" s="124"/>
      <c r="E199" s="124"/>
      <c r="F199" s="124"/>
      <c r="G199" s="124"/>
    </row>
    <row r="200" spans="1:7">
      <c r="A200" s="124"/>
      <c r="B200" s="124"/>
      <c r="C200" s="124"/>
      <c r="D200" s="124"/>
      <c r="E200" s="124"/>
      <c r="F200" s="124"/>
      <c r="G200" s="124"/>
    </row>
    <row r="201" spans="1:7">
      <c r="A201" s="124"/>
      <c r="B201" s="124"/>
      <c r="C201" s="124"/>
      <c r="D201" s="124"/>
      <c r="E201" s="124"/>
      <c r="F201" s="124"/>
      <c r="G201" s="124"/>
    </row>
    <row r="202" spans="1:7">
      <c r="A202" s="124"/>
      <c r="B202" s="124"/>
      <c r="C202" s="124"/>
      <c r="D202" s="124"/>
      <c r="E202" s="124"/>
      <c r="F202" s="124"/>
      <c r="G202" s="124"/>
    </row>
    <row r="203" spans="1:7">
      <c r="A203" s="124"/>
      <c r="B203" s="124"/>
      <c r="C203" s="124"/>
      <c r="D203" s="124"/>
      <c r="E203" s="124"/>
      <c r="F203" s="124"/>
      <c r="G203" s="124"/>
    </row>
    <row r="204" spans="1:7">
      <c r="A204" s="124"/>
      <c r="B204" s="124"/>
      <c r="C204" s="124"/>
      <c r="D204" s="124"/>
      <c r="E204" s="124"/>
      <c r="F204" s="124"/>
      <c r="G204" s="124"/>
    </row>
    <row r="205" spans="1:7">
      <c r="A205" s="124"/>
      <c r="B205" s="124"/>
      <c r="C205" s="124"/>
      <c r="D205" s="124"/>
      <c r="E205" s="124"/>
      <c r="F205" s="124"/>
      <c r="G205" s="124"/>
    </row>
    <row r="206" spans="1:7">
      <c r="A206" s="124"/>
      <c r="B206" s="124"/>
      <c r="C206" s="124"/>
      <c r="D206" s="124"/>
      <c r="E206" s="124"/>
      <c r="F206" s="124"/>
      <c r="G206" s="124"/>
    </row>
    <row r="207" spans="1:7">
      <c r="A207" s="124"/>
      <c r="B207" s="124"/>
      <c r="C207" s="124"/>
      <c r="D207" s="124"/>
      <c r="E207" s="124"/>
      <c r="F207" s="124"/>
      <c r="G207" s="124"/>
    </row>
    <row r="208" spans="1:7">
      <c r="A208" s="124"/>
      <c r="B208" s="124"/>
      <c r="C208" s="124"/>
      <c r="D208" s="124"/>
      <c r="E208" s="124"/>
      <c r="F208" s="124"/>
      <c r="G208" s="124"/>
    </row>
    <row r="209" spans="1:7">
      <c r="A209" s="124"/>
      <c r="B209" s="124"/>
      <c r="C209" s="124"/>
      <c r="D209" s="124"/>
      <c r="E209" s="124"/>
      <c r="F209" s="124"/>
      <c r="G209" s="124"/>
    </row>
    <row r="210" spans="1:7">
      <c r="A210" s="124"/>
      <c r="B210" s="124"/>
      <c r="C210" s="124"/>
      <c r="D210" s="124"/>
      <c r="E210" s="124"/>
      <c r="F210" s="124"/>
      <c r="G210" s="124"/>
    </row>
    <row r="211" spans="1:7">
      <c r="A211" s="124"/>
      <c r="B211" s="124"/>
      <c r="C211" s="124"/>
      <c r="D211" s="124"/>
      <c r="E211" s="124"/>
      <c r="F211" s="124"/>
      <c r="G211" s="124"/>
    </row>
    <row r="212" spans="1:7">
      <c r="A212" s="124"/>
      <c r="B212" s="124"/>
      <c r="C212" s="124"/>
      <c r="D212" s="124"/>
      <c r="E212" s="124"/>
      <c r="F212" s="124"/>
      <c r="G212" s="124"/>
    </row>
    <row r="213" spans="1:7">
      <c r="A213" s="124"/>
      <c r="B213" s="124"/>
      <c r="C213" s="124"/>
      <c r="D213" s="124"/>
      <c r="E213" s="124"/>
      <c r="F213" s="124"/>
      <c r="G213" s="124"/>
    </row>
    <row r="214" spans="1:7">
      <c r="A214" s="124"/>
      <c r="B214" s="124"/>
      <c r="C214" s="124"/>
      <c r="D214" s="124"/>
      <c r="E214" s="124"/>
      <c r="F214" s="124"/>
      <c r="G214" s="124"/>
    </row>
    <row r="215" spans="1:7">
      <c r="A215" s="124"/>
      <c r="B215" s="124"/>
      <c r="C215" s="124"/>
      <c r="D215" s="124"/>
      <c r="E215" s="124"/>
      <c r="F215" s="124"/>
      <c r="G215" s="124"/>
    </row>
    <row r="216" spans="1:7">
      <c r="A216" s="124"/>
      <c r="B216" s="124"/>
      <c r="C216" s="124"/>
      <c r="D216" s="124"/>
      <c r="E216" s="124"/>
      <c r="F216" s="124"/>
      <c r="G216" s="124"/>
    </row>
    <row r="217" spans="1:7">
      <c r="A217" s="124"/>
      <c r="B217" s="124"/>
      <c r="C217" s="124"/>
      <c r="D217" s="124"/>
      <c r="E217" s="124"/>
      <c r="F217" s="124"/>
      <c r="G217" s="124"/>
    </row>
    <row r="218" spans="1:7">
      <c r="A218" s="124"/>
      <c r="B218" s="124"/>
      <c r="C218" s="124"/>
      <c r="D218" s="124"/>
      <c r="E218" s="124"/>
      <c r="F218" s="124"/>
      <c r="G218" s="124"/>
    </row>
    <row r="219" spans="1:7">
      <c r="A219" s="124"/>
      <c r="B219" s="124"/>
      <c r="C219" s="124"/>
      <c r="D219" s="124"/>
      <c r="E219" s="124"/>
      <c r="F219" s="124"/>
      <c r="G219" s="124"/>
    </row>
    <row r="220" spans="1:7">
      <c r="A220" s="124"/>
      <c r="B220" s="124"/>
      <c r="C220" s="124"/>
      <c r="D220" s="124"/>
      <c r="E220" s="124"/>
      <c r="F220" s="124"/>
      <c r="G220" s="124"/>
    </row>
    <row r="221" spans="1:7">
      <c r="A221" s="124"/>
      <c r="B221" s="124"/>
      <c r="C221" s="124"/>
      <c r="D221" s="124"/>
      <c r="E221" s="124"/>
      <c r="F221" s="124"/>
      <c r="G221" s="124"/>
    </row>
    <row r="222" spans="1:7">
      <c r="A222" s="124"/>
      <c r="B222" s="124"/>
      <c r="C222" s="124"/>
      <c r="D222" s="124"/>
      <c r="E222" s="124"/>
      <c r="F222" s="124"/>
      <c r="G222" s="124"/>
    </row>
    <row r="223" spans="1:7">
      <c r="A223" s="124"/>
      <c r="B223" s="124"/>
      <c r="C223" s="124"/>
      <c r="D223" s="124"/>
      <c r="E223" s="124"/>
      <c r="F223" s="124"/>
      <c r="G223" s="124"/>
    </row>
    <row r="224" spans="1:7">
      <c r="A224" s="124"/>
      <c r="B224" s="124"/>
      <c r="C224" s="124"/>
      <c r="D224" s="124"/>
      <c r="E224" s="124"/>
      <c r="F224" s="124"/>
      <c r="G224" s="124"/>
    </row>
    <row r="225" spans="1:7">
      <c r="A225" s="124"/>
      <c r="B225" s="124"/>
      <c r="C225" s="124"/>
      <c r="D225" s="124"/>
      <c r="E225" s="124"/>
      <c r="F225" s="124"/>
      <c r="G225" s="124"/>
    </row>
    <row r="226" spans="1:7">
      <c r="A226" s="124"/>
      <c r="B226" s="124"/>
      <c r="C226" s="124"/>
      <c r="D226" s="124"/>
      <c r="E226" s="124"/>
      <c r="F226" s="124"/>
      <c r="G226" s="124"/>
    </row>
    <row r="227" spans="1:7">
      <c r="A227" s="124"/>
      <c r="B227" s="124"/>
      <c r="C227" s="124"/>
      <c r="D227" s="124"/>
      <c r="E227" s="124"/>
      <c r="F227" s="124"/>
      <c r="G227" s="124"/>
    </row>
    <row r="228" spans="1:7">
      <c r="A228" s="124"/>
      <c r="B228" s="124"/>
      <c r="C228" s="124"/>
      <c r="D228" s="124"/>
      <c r="E228" s="124"/>
      <c r="F228" s="124"/>
      <c r="G228" s="124"/>
    </row>
    <row r="229" spans="1:7">
      <c r="A229" s="124"/>
      <c r="B229" s="124"/>
      <c r="C229" s="124"/>
      <c r="D229" s="124"/>
      <c r="E229" s="124"/>
      <c r="F229" s="124"/>
      <c r="G229" s="124"/>
    </row>
    <row r="230" spans="1:7">
      <c r="A230" s="124"/>
      <c r="B230" s="124"/>
      <c r="C230" s="124"/>
      <c r="D230" s="124"/>
      <c r="E230" s="124"/>
      <c r="F230" s="124"/>
      <c r="G230" s="124"/>
    </row>
    <row r="231" spans="1:7">
      <c r="A231" s="124"/>
      <c r="B231" s="124"/>
      <c r="C231" s="124"/>
      <c r="D231" s="124"/>
      <c r="E231" s="124"/>
      <c r="F231" s="124"/>
      <c r="G231" s="124"/>
    </row>
    <row r="232" spans="1:7">
      <c r="A232" s="124"/>
      <c r="B232" s="124"/>
      <c r="C232" s="124"/>
      <c r="D232" s="124"/>
      <c r="E232" s="124"/>
      <c r="F232" s="124"/>
      <c r="G232" s="124"/>
    </row>
    <row r="233" spans="1:7">
      <c r="A233" s="124"/>
      <c r="B233" s="124"/>
      <c r="C233" s="124"/>
      <c r="D233" s="124"/>
      <c r="E233" s="124"/>
      <c r="F233" s="124"/>
      <c r="G233" s="124"/>
    </row>
    <row r="234" spans="1:7">
      <c r="A234" s="124"/>
      <c r="B234" s="124"/>
      <c r="C234" s="124"/>
      <c r="D234" s="124"/>
      <c r="E234" s="124"/>
      <c r="F234" s="124"/>
      <c r="G234" s="124"/>
    </row>
    <row r="235" spans="1:7">
      <c r="A235" s="124"/>
      <c r="B235" s="124"/>
      <c r="C235" s="124"/>
      <c r="D235" s="124"/>
      <c r="E235" s="124"/>
      <c r="F235" s="124"/>
      <c r="G235" s="124"/>
    </row>
    <row r="236" spans="1:7">
      <c r="A236" s="124"/>
      <c r="B236" s="124"/>
      <c r="C236" s="124"/>
      <c r="D236" s="124"/>
      <c r="E236" s="124"/>
      <c r="F236" s="124"/>
      <c r="G236" s="124"/>
    </row>
    <row r="237" spans="1:7">
      <c r="A237" s="124"/>
      <c r="B237" s="124"/>
      <c r="C237" s="124"/>
      <c r="D237" s="124"/>
      <c r="E237" s="124"/>
      <c r="F237" s="124"/>
      <c r="G237" s="124"/>
    </row>
    <row r="238" spans="1:7">
      <c r="A238" s="124"/>
      <c r="B238" s="124"/>
      <c r="C238" s="124"/>
      <c r="D238" s="124"/>
      <c r="E238" s="124"/>
      <c r="F238" s="124"/>
      <c r="G238" s="124"/>
    </row>
    <row r="239" spans="1:7">
      <c r="A239" s="124"/>
      <c r="B239" s="124"/>
      <c r="C239" s="124"/>
      <c r="D239" s="124"/>
      <c r="E239" s="124"/>
      <c r="F239" s="124"/>
      <c r="G239" s="124"/>
    </row>
    <row r="240" spans="1:7">
      <c r="A240" s="124"/>
      <c r="B240" s="124"/>
      <c r="C240" s="124"/>
      <c r="D240" s="124"/>
      <c r="E240" s="124"/>
      <c r="F240" s="124"/>
      <c r="G240" s="124"/>
    </row>
    <row r="241" spans="1:7">
      <c r="A241" s="124"/>
      <c r="B241" s="124"/>
      <c r="C241" s="124"/>
      <c r="D241" s="124"/>
      <c r="E241" s="124"/>
      <c r="F241" s="124"/>
      <c r="G241" s="124"/>
    </row>
    <row r="242" spans="1:7">
      <c r="A242" s="124"/>
      <c r="B242" s="124"/>
      <c r="C242" s="124"/>
      <c r="D242" s="124"/>
      <c r="E242" s="124"/>
      <c r="F242" s="124"/>
      <c r="G242" s="124"/>
    </row>
    <row r="243" spans="1:7">
      <c r="A243" s="124"/>
      <c r="B243" s="124"/>
      <c r="C243" s="124"/>
      <c r="D243" s="124"/>
      <c r="E243" s="124"/>
      <c r="F243" s="124"/>
      <c r="G243" s="124"/>
    </row>
    <row r="244" spans="1:7">
      <c r="A244" s="124"/>
      <c r="B244" s="124"/>
      <c r="C244" s="124"/>
      <c r="D244" s="124"/>
      <c r="E244" s="124"/>
      <c r="F244" s="124"/>
      <c r="G244" s="124"/>
    </row>
    <row r="245" spans="1:7">
      <c r="A245" s="124"/>
      <c r="B245" s="124"/>
      <c r="C245" s="124"/>
      <c r="D245" s="124"/>
      <c r="E245" s="124"/>
      <c r="F245" s="124"/>
      <c r="G245" s="124"/>
    </row>
    <row r="246" spans="1:7">
      <c r="A246" s="124"/>
      <c r="B246" s="124"/>
      <c r="C246" s="124"/>
      <c r="D246" s="124"/>
      <c r="E246" s="124"/>
      <c r="F246" s="124"/>
      <c r="G246" s="124"/>
    </row>
    <row r="247" spans="1:7">
      <c r="A247" s="124"/>
      <c r="B247" s="124"/>
      <c r="C247" s="124"/>
      <c r="D247" s="124"/>
      <c r="E247" s="124"/>
      <c r="F247" s="124"/>
      <c r="G247" s="124"/>
    </row>
    <row r="248" spans="1:7">
      <c r="A248" s="124"/>
      <c r="B248" s="124"/>
      <c r="C248" s="124"/>
      <c r="D248" s="124"/>
      <c r="E248" s="124"/>
      <c r="F248" s="124"/>
      <c r="G248" s="124"/>
    </row>
    <row r="249" spans="1:7">
      <c r="A249" s="124"/>
      <c r="B249" s="124"/>
      <c r="C249" s="124"/>
      <c r="D249" s="124"/>
      <c r="E249" s="124"/>
      <c r="F249" s="124"/>
      <c r="G249" s="124"/>
    </row>
    <row r="250" spans="1:7">
      <c r="A250" s="124"/>
      <c r="B250" s="124"/>
      <c r="C250" s="124"/>
      <c r="D250" s="124"/>
      <c r="E250" s="124"/>
      <c r="F250" s="124"/>
      <c r="G250" s="124"/>
    </row>
    <row r="251" spans="1:7">
      <c r="A251" s="124"/>
      <c r="B251" s="124"/>
      <c r="C251" s="124"/>
      <c r="D251" s="124"/>
      <c r="E251" s="124"/>
      <c r="F251" s="124"/>
      <c r="G251" s="124"/>
    </row>
    <row r="252" spans="1:7">
      <c r="A252" s="124"/>
      <c r="B252" s="124"/>
      <c r="C252" s="124"/>
      <c r="D252" s="124"/>
      <c r="E252" s="124"/>
      <c r="F252" s="124"/>
      <c r="G252" s="124"/>
    </row>
    <row r="253" spans="1:7">
      <c r="A253" s="124"/>
      <c r="B253" s="124"/>
      <c r="C253" s="124"/>
      <c r="D253" s="124"/>
      <c r="E253" s="124"/>
      <c r="F253" s="124"/>
      <c r="G253" s="124"/>
    </row>
    <row r="254" spans="1:7">
      <c r="A254" s="124"/>
      <c r="B254" s="124"/>
      <c r="C254" s="124"/>
      <c r="D254" s="124"/>
      <c r="E254" s="124"/>
      <c r="F254" s="124"/>
      <c r="G254" s="124"/>
    </row>
    <row r="255" spans="1:7">
      <c r="A255" s="124"/>
      <c r="B255" s="124"/>
      <c r="C255" s="124"/>
      <c r="D255" s="124"/>
      <c r="E255" s="124"/>
      <c r="F255" s="124"/>
      <c r="G255" s="124"/>
    </row>
    <row r="256" spans="1:7">
      <c r="A256" s="124"/>
      <c r="B256" s="124"/>
      <c r="C256" s="124"/>
      <c r="D256" s="124"/>
      <c r="E256" s="124"/>
      <c r="F256" s="124"/>
      <c r="G256" s="124"/>
    </row>
    <row r="257" spans="1:7">
      <c r="A257" s="124"/>
      <c r="B257" s="124"/>
      <c r="C257" s="124"/>
      <c r="D257" s="124"/>
      <c r="E257" s="124"/>
      <c r="F257" s="124"/>
      <c r="G257" s="124"/>
    </row>
    <row r="258" spans="1:7">
      <c r="A258" s="124"/>
      <c r="B258" s="124"/>
      <c r="C258" s="124"/>
      <c r="D258" s="124"/>
      <c r="E258" s="124"/>
      <c r="F258" s="124"/>
      <c r="G258" s="124"/>
    </row>
    <row r="259" spans="1:7">
      <c r="A259" s="124"/>
      <c r="B259" s="124"/>
      <c r="C259" s="124"/>
      <c r="D259" s="124"/>
      <c r="E259" s="124"/>
      <c r="F259" s="124"/>
      <c r="G259" s="124"/>
    </row>
    <row r="260" spans="1:7">
      <c r="A260" s="124"/>
      <c r="B260" s="124"/>
      <c r="C260" s="124"/>
      <c r="D260" s="124"/>
      <c r="E260" s="124"/>
      <c r="F260" s="124"/>
      <c r="G260" s="124"/>
    </row>
    <row r="261" spans="1:7">
      <c r="A261" s="124"/>
      <c r="B261" s="124"/>
      <c r="C261" s="124"/>
      <c r="D261" s="124"/>
      <c r="E261" s="124"/>
      <c r="F261" s="124"/>
      <c r="G261" s="124"/>
    </row>
    <row r="262" spans="1:7">
      <c r="A262" s="124"/>
      <c r="B262" s="124"/>
      <c r="C262" s="124"/>
      <c r="D262" s="124"/>
      <c r="E262" s="124"/>
      <c r="F262" s="124"/>
      <c r="G262" s="124"/>
    </row>
    <row r="263" spans="1:7">
      <c r="A263" s="124"/>
      <c r="B263" s="124"/>
      <c r="C263" s="124"/>
      <c r="D263" s="124"/>
      <c r="E263" s="124"/>
      <c r="F263" s="124"/>
      <c r="G263" s="124"/>
    </row>
    <row r="264" spans="1:7">
      <c r="A264" s="124"/>
      <c r="B264" s="124"/>
      <c r="C264" s="124"/>
      <c r="D264" s="124"/>
      <c r="E264" s="124"/>
      <c r="F264" s="124"/>
      <c r="G264" s="124"/>
    </row>
    <row r="265" spans="1:7">
      <c r="A265" s="124"/>
      <c r="B265" s="124"/>
      <c r="C265" s="124"/>
      <c r="D265" s="124"/>
      <c r="E265" s="124"/>
      <c r="F265" s="124"/>
      <c r="G265" s="124"/>
    </row>
    <row r="266" spans="1:7">
      <c r="A266" s="124"/>
      <c r="B266" s="124"/>
      <c r="C266" s="124"/>
      <c r="D266" s="124"/>
      <c r="E266" s="124"/>
      <c r="F266" s="124"/>
      <c r="G266" s="124"/>
    </row>
    <row r="267" spans="1:7">
      <c r="A267" s="124"/>
      <c r="B267" s="124"/>
      <c r="C267" s="124"/>
      <c r="D267" s="124"/>
      <c r="E267" s="124"/>
      <c r="F267" s="124"/>
      <c r="G267" s="124"/>
    </row>
    <row r="268" spans="1:7">
      <c r="A268" s="124"/>
      <c r="B268" s="124"/>
      <c r="C268" s="124"/>
      <c r="D268" s="124"/>
      <c r="E268" s="124"/>
      <c r="F268" s="124"/>
      <c r="G268" s="124"/>
    </row>
    <row r="269" spans="1:7">
      <c r="A269" s="124"/>
      <c r="B269" s="124"/>
      <c r="C269" s="124"/>
      <c r="D269" s="124"/>
      <c r="E269" s="124"/>
      <c r="F269" s="124"/>
      <c r="G269" s="124"/>
    </row>
    <row r="270" spans="1:7">
      <c r="A270" s="124"/>
      <c r="B270" s="124"/>
      <c r="C270" s="124"/>
      <c r="D270" s="124"/>
      <c r="E270" s="124"/>
      <c r="F270" s="124"/>
      <c r="G270" s="124"/>
    </row>
    <row r="271" spans="1:7">
      <c r="A271" s="124"/>
      <c r="B271" s="124"/>
      <c r="C271" s="124"/>
      <c r="D271" s="124"/>
      <c r="E271" s="124"/>
      <c r="F271" s="124"/>
      <c r="G271" s="124"/>
    </row>
    <row r="272" spans="1:7">
      <c r="A272" s="124"/>
      <c r="B272" s="124"/>
      <c r="C272" s="124"/>
      <c r="D272" s="124"/>
      <c r="E272" s="124"/>
      <c r="F272" s="124"/>
      <c r="G272" s="124"/>
    </row>
    <row r="273" spans="1:7">
      <c r="A273" s="124"/>
      <c r="B273" s="124"/>
      <c r="C273" s="124"/>
      <c r="D273" s="124"/>
      <c r="E273" s="124"/>
      <c r="F273" s="124"/>
      <c r="G273" s="124"/>
    </row>
    <row r="274" spans="1:7">
      <c r="A274" s="124"/>
      <c r="B274" s="124"/>
      <c r="C274" s="124"/>
      <c r="D274" s="124"/>
      <c r="E274" s="124"/>
      <c r="F274" s="124"/>
      <c r="G274" s="124"/>
    </row>
    <row r="275" spans="1:7">
      <c r="A275" s="124"/>
      <c r="B275" s="124"/>
      <c r="C275" s="124"/>
      <c r="D275" s="124"/>
      <c r="E275" s="124"/>
      <c r="F275" s="124"/>
      <c r="G275" s="124"/>
    </row>
    <row r="276" spans="1:7">
      <c r="A276" s="124"/>
      <c r="B276" s="124"/>
      <c r="C276" s="124"/>
      <c r="D276" s="124"/>
      <c r="E276" s="124"/>
      <c r="F276" s="124"/>
      <c r="G276" s="124"/>
    </row>
    <row r="277" spans="1:7">
      <c r="A277" s="124"/>
      <c r="B277" s="124"/>
      <c r="C277" s="124"/>
      <c r="D277" s="124"/>
      <c r="E277" s="124"/>
      <c r="F277" s="124"/>
      <c r="G277" s="124"/>
    </row>
    <row r="278" spans="1:7">
      <c r="A278" s="124"/>
      <c r="B278" s="124"/>
      <c r="C278" s="124"/>
      <c r="D278" s="124"/>
      <c r="E278" s="124"/>
      <c r="F278" s="124"/>
      <c r="G278" s="124"/>
    </row>
    <row r="279" spans="1:7">
      <c r="A279" s="124"/>
      <c r="B279" s="124"/>
      <c r="C279" s="124"/>
      <c r="D279" s="124"/>
      <c r="E279" s="124"/>
      <c r="F279" s="124"/>
      <c r="G279" s="124"/>
    </row>
    <row r="280" spans="1:7">
      <c r="A280" s="124"/>
      <c r="B280" s="124"/>
      <c r="C280" s="124"/>
      <c r="D280" s="124"/>
      <c r="E280" s="124"/>
      <c r="F280" s="124"/>
      <c r="G280" s="124"/>
    </row>
    <row r="281" spans="1:7">
      <c r="A281" s="124"/>
      <c r="B281" s="124"/>
      <c r="C281" s="124"/>
      <c r="D281" s="124"/>
      <c r="E281" s="124"/>
      <c r="F281" s="124"/>
      <c r="G281" s="124"/>
    </row>
    <row r="282" spans="1:7">
      <c r="A282" s="124"/>
      <c r="B282" s="124"/>
      <c r="C282" s="124"/>
      <c r="D282" s="124"/>
      <c r="E282" s="124"/>
      <c r="F282" s="124"/>
      <c r="G282" s="124"/>
    </row>
    <row r="283" spans="1:7">
      <c r="A283" s="124"/>
      <c r="B283" s="124"/>
      <c r="C283" s="124"/>
      <c r="D283" s="124"/>
      <c r="E283" s="124"/>
      <c r="F283" s="124"/>
      <c r="G283" s="124"/>
    </row>
    <row r="284" spans="1:7">
      <c r="A284" s="124"/>
      <c r="B284" s="124"/>
      <c r="C284" s="124"/>
      <c r="D284" s="124"/>
      <c r="E284" s="124"/>
      <c r="F284" s="124"/>
      <c r="G284" s="124"/>
    </row>
    <row r="285" spans="1:7">
      <c r="A285" s="124"/>
      <c r="B285" s="124"/>
      <c r="C285" s="124"/>
      <c r="D285" s="124"/>
      <c r="E285" s="124"/>
      <c r="F285" s="124"/>
      <c r="G285" s="124"/>
    </row>
    <row r="286" spans="1:7">
      <c r="A286" s="124"/>
      <c r="B286" s="124"/>
      <c r="C286" s="124"/>
      <c r="D286" s="124"/>
      <c r="E286" s="124"/>
      <c r="F286" s="124"/>
      <c r="G286" s="124"/>
    </row>
    <row r="287" spans="1:7">
      <c r="A287" s="124"/>
      <c r="B287" s="124"/>
      <c r="C287" s="124"/>
      <c r="D287" s="124"/>
      <c r="E287" s="124"/>
      <c r="F287" s="124"/>
      <c r="G287" s="124"/>
    </row>
    <row r="288" spans="1:7">
      <c r="A288" s="124"/>
      <c r="B288" s="124"/>
      <c r="C288" s="124"/>
      <c r="D288" s="124"/>
      <c r="E288" s="124"/>
      <c r="F288" s="124"/>
      <c r="G288" s="124"/>
    </row>
    <row r="289" spans="1:7">
      <c r="A289" s="124"/>
      <c r="B289" s="124"/>
      <c r="C289" s="124"/>
      <c r="D289" s="124"/>
      <c r="E289" s="124"/>
      <c r="F289" s="124"/>
      <c r="G289" s="124"/>
    </row>
    <row r="290" spans="1:7">
      <c r="A290" s="124"/>
      <c r="B290" s="124"/>
      <c r="C290" s="124"/>
      <c r="D290" s="124"/>
      <c r="E290" s="124"/>
      <c r="F290" s="124"/>
      <c r="G290" s="124"/>
    </row>
    <row r="291" spans="1:7">
      <c r="A291" s="124"/>
      <c r="B291" s="124"/>
      <c r="C291" s="124"/>
      <c r="D291" s="124"/>
      <c r="E291" s="124"/>
      <c r="F291" s="124"/>
      <c r="G291" s="124"/>
    </row>
    <row r="292" spans="1:7">
      <c r="A292" s="124"/>
      <c r="B292" s="124"/>
      <c r="C292" s="124"/>
      <c r="D292" s="124"/>
      <c r="E292" s="124"/>
      <c r="F292" s="124"/>
      <c r="G292" s="124"/>
    </row>
    <row r="293" spans="1:7">
      <c r="A293" s="124"/>
      <c r="B293" s="124"/>
      <c r="C293" s="124"/>
      <c r="D293" s="124"/>
      <c r="E293" s="124"/>
      <c r="F293" s="124"/>
      <c r="G293" s="124"/>
    </row>
    <row r="294" spans="1:7">
      <c r="A294" s="124"/>
      <c r="B294" s="124"/>
      <c r="C294" s="124"/>
      <c r="D294" s="124"/>
      <c r="E294" s="124"/>
      <c r="F294" s="124"/>
      <c r="G294" s="124"/>
    </row>
    <row r="295" spans="1:7">
      <c r="A295" s="124"/>
      <c r="B295" s="124"/>
      <c r="C295" s="124"/>
      <c r="D295" s="124"/>
      <c r="E295" s="124"/>
      <c r="F295" s="124"/>
      <c r="G295" s="124"/>
    </row>
    <row r="296" spans="1:7">
      <c r="A296" s="124"/>
      <c r="B296" s="124"/>
      <c r="C296" s="124"/>
      <c r="D296" s="124"/>
      <c r="E296" s="124"/>
      <c r="F296" s="124"/>
      <c r="G296" s="124"/>
    </row>
    <row r="297" spans="1:7">
      <c r="A297" s="124"/>
      <c r="B297" s="124"/>
      <c r="C297" s="124"/>
      <c r="D297" s="124"/>
      <c r="E297" s="124"/>
      <c r="F297" s="124"/>
      <c r="G297" s="124"/>
    </row>
    <row r="298" spans="1:7">
      <c r="A298" s="124"/>
      <c r="B298" s="124"/>
      <c r="C298" s="124"/>
      <c r="D298" s="124"/>
      <c r="E298" s="124"/>
      <c r="F298" s="124"/>
      <c r="G298" s="124"/>
    </row>
    <row r="299" spans="1:7">
      <c r="A299" s="124"/>
      <c r="B299" s="124"/>
      <c r="C299" s="124"/>
      <c r="D299" s="124"/>
      <c r="E299" s="124"/>
      <c r="F299" s="124"/>
      <c r="G299" s="124"/>
    </row>
    <row r="300" spans="1:7">
      <c r="A300" s="124"/>
      <c r="B300" s="124"/>
      <c r="C300" s="124"/>
      <c r="D300" s="124"/>
      <c r="E300" s="124"/>
      <c r="F300" s="124"/>
      <c r="G300" s="124"/>
    </row>
    <row r="301" spans="1:7">
      <c r="A301" s="124"/>
      <c r="B301" s="124"/>
      <c r="C301" s="124"/>
      <c r="D301" s="124"/>
      <c r="E301" s="124"/>
      <c r="F301" s="124"/>
      <c r="G301" s="124"/>
    </row>
    <row r="302" spans="1:7">
      <c r="A302" s="124"/>
      <c r="B302" s="124"/>
      <c r="C302" s="124"/>
      <c r="D302" s="124"/>
      <c r="E302" s="124"/>
      <c r="F302" s="124"/>
      <c r="G302" s="124"/>
    </row>
    <row r="303" spans="1:7">
      <c r="A303" s="124"/>
      <c r="B303" s="124"/>
      <c r="C303" s="124"/>
      <c r="D303" s="124"/>
      <c r="E303" s="124"/>
      <c r="F303" s="124"/>
      <c r="G303" s="124"/>
    </row>
    <row r="304" spans="1:7">
      <c r="A304" s="124"/>
      <c r="B304" s="124"/>
      <c r="C304" s="124"/>
      <c r="D304" s="124"/>
      <c r="E304" s="124"/>
      <c r="F304" s="124"/>
      <c r="G304" s="124"/>
    </row>
    <row r="305" spans="1:7">
      <c r="A305" s="124"/>
      <c r="B305" s="124"/>
      <c r="C305" s="124"/>
      <c r="D305" s="124"/>
      <c r="E305" s="124"/>
      <c r="F305" s="124"/>
      <c r="G305" s="124"/>
    </row>
    <row r="306" spans="1:7">
      <c r="A306" s="124"/>
      <c r="B306" s="124"/>
      <c r="C306" s="124"/>
      <c r="D306" s="124"/>
      <c r="E306" s="124"/>
      <c r="F306" s="124"/>
      <c r="G306" s="124"/>
    </row>
    <row r="307" spans="1:7">
      <c r="A307" s="124"/>
      <c r="B307" s="124"/>
      <c r="C307" s="124"/>
      <c r="D307" s="124"/>
      <c r="E307" s="124"/>
      <c r="F307" s="124"/>
      <c r="G307" s="124"/>
    </row>
    <row r="308" spans="1:7">
      <c r="A308" s="124"/>
      <c r="B308" s="124"/>
      <c r="C308" s="124"/>
      <c r="D308" s="124"/>
      <c r="E308" s="124"/>
      <c r="F308" s="124"/>
      <c r="G308" s="124"/>
    </row>
    <row r="309" spans="1:7">
      <c r="A309" s="124"/>
      <c r="B309" s="124"/>
      <c r="C309" s="124"/>
      <c r="D309" s="124"/>
      <c r="E309" s="124"/>
      <c r="F309" s="124"/>
      <c r="G309" s="124"/>
    </row>
    <row r="310" spans="1:7">
      <c r="A310" s="124"/>
      <c r="B310" s="124"/>
      <c r="C310" s="124"/>
      <c r="D310" s="124"/>
      <c r="E310" s="124"/>
      <c r="F310" s="124"/>
      <c r="G310" s="124"/>
    </row>
    <row r="311" spans="1:7">
      <c r="A311" s="124"/>
      <c r="B311" s="124"/>
      <c r="C311" s="124"/>
      <c r="D311" s="124"/>
      <c r="E311" s="124"/>
      <c r="F311" s="124"/>
      <c r="G311" s="124"/>
    </row>
    <row r="312" spans="1:7">
      <c r="A312" s="124"/>
      <c r="B312" s="124"/>
      <c r="C312" s="124"/>
      <c r="D312" s="124"/>
      <c r="E312" s="124"/>
      <c r="F312" s="124"/>
      <c r="G312" s="124"/>
    </row>
    <row r="313" spans="1:7">
      <c r="A313" s="124"/>
      <c r="B313" s="124"/>
      <c r="C313" s="124"/>
      <c r="D313" s="124"/>
      <c r="E313" s="124"/>
      <c r="F313" s="124"/>
      <c r="G313" s="124"/>
    </row>
    <row r="314" spans="1:7">
      <c r="A314" s="124"/>
      <c r="B314" s="124"/>
      <c r="C314" s="124"/>
      <c r="D314" s="124"/>
      <c r="E314" s="124"/>
      <c r="F314" s="124"/>
      <c r="G314" s="124"/>
    </row>
    <row r="315" spans="1:7">
      <c r="A315" s="124"/>
      <c r="B315" s="124"/>
      <c r="C315" s="124"/>
      <c r="D315" s="124"/>
      <c r="E315" s="124"/>
      <c r="F315" s="124"/>
      <c r="G315" s="124"/>
    </row>
    <row r="316" spans="1:7">
      <c r="A316" s="124"/>
      <c r="B316" s="124"/>
      <c r="C316" s="124"/>
      <c r="D316" s="124"/>
      <c r="E316" s="124"/>
      <c r="F316" s="124"/>
      <c r="G316" s="124"/>
    </row>
    <row r="317" spans="1:7">
      <c r="A317" s="124"/>
      <c r="B317" s="124"/>
      <c r="C317" s="124"/>
      <c r="D317" s="124"/>
      <c r="E317" s="124"/>
      <c r="F317" s="124"/>
      <c r="G317" s="124"/>
    </row>
    <row r="318" spans="1:7">
      <c r="A318" s="124"/>
      <c r="B318" s="124"/>
      <c r="C318" s="124"/>
      <c r="D318" s="124"/>
      <c r="E318" s="124"/>
      <c r="F318" s="124"/>
      <c r="G318" s="124"/>
    </row>
    <row r="319" spans="1:7">
      <c r="A319" s="124"/>
      <c r="B319" s="124"/>
      <c r="C319" s="124"/>
      <c r="D319" s="124"/>
      <c r="E319" s="124"/>
      <c r="F319" s="124"/>
      <c r="G319" s="124"/>
    </row>
    <row r="320" spans="1:7">
      <c r="A320" s="124"/>
      <c r="B320" s="124"/>
      <c r="C320" s="124"/>
      <c r="D320" s="124"/>
      <c r="E320" s="124"/>
      <c r="F320" s="124"/>
      <c r="G320" s="124"/>
    </row>
    <row r="321" spans="1:7">
      <c r="A321" s="124"/>
      <c r="B321" s="124"/>
      <c r="C321" s="124"/>
      <c r="D321" s="124"/>
      <c r="E321" s="124"/>
      <c r="F321" s="124"/>
      <c r="G321" s="124"/>
    </row>
    <row r="322" spans="1:7">
      <c r="A322" s="124"/>
      <c r="B322" s="124"/>
      <c r="C322" s="124"/>
      <c r="D322" s="124"/>
      <c r="E322" s="124"/>
      <c r="F322" s="124"/>
      <c r="G322" s="124"/>
    </row>
    <row r="323" spans="1:7">
      <c r="A323" s="124"/>
      <c r="B323" s="124"/>
      <c r="C323" s="124"/>
      <c r="D323" s="124"/>
      <c r="E323" s="124"/>
      <c r="F323" s="124"/>
      <c r="G323" s="124"/>
    </row>
    <row r="324" spans="1:7">
      <c r="A324" s="124"/>
      <c r="B324" s="124"/>
      <c r="C324" s="124"/>
      <c r="D324" s="124"/>
      <c r="E324" s="124"/>
      <c r="F324" s="124"/>
      <c r="G324" s="124"/>
    </row>
    <row r="325" spans="1:7">
      <c r="A325" s="124"/>
      <c r="B325" s="124"/>
      <c r="C325" s="124"/>
      <c r="D325" s="124"/>
      <c r="E325" s="124"/>
      <c r="F325" s="124"/>
      <c r="G325" s="124"/>
    </row>
    <row r="326" spans="1:7">
      <c r="A326" s="124"/>
      <c r="B326" s="124"/>
      <c r="C326" s="124"/>
      <c r="D326" s="124"/>
      <c r="E326" s="124"/>
      <c r="F326" s="124"/>
      <c r="G326" s="124"/>
    </row>
    <row r="327" spans="1:7">
      <c r="A327" s="124"/>
      <c r="B327" s="124"/>
      <c r="C327" s="124"/>
      <c r="D327" s="124"/>
      <c r="E327" s="124"/>
      <c r="F327" s="124"/>
      <c r="G327" s="124"/>
    </row>
    <row r="328" spans="1:7">
      <c r="A328" s="124"/>
      <c r="B328" s="124"/>
      <c r="C328" s="124"/>
      <c r="D328" s="124"/>
      <c r="E328" s="124"/>
      <c r="F328" s="124"/>
      <c r="G328" s="124"/>
    </row>
    <row r="329" spans="1:7">
      <c r="A329" s="124"/>
      <c r="B329" s="124"/>
      <c r="C329" s="124"/>
      <c r="D329" s="124"/>
      <c r="E329" s="124"/>
      <c r="F329" s="124"/>
      <c r="G329" s="124"/>
    </row>
    <row r="330" spans="1:7">
      <c r="A330" s="124"/>
      <c r="B330" s="124"/>
      <c r="C330" s="124"/>
      <c r="D330" s="124"/>
      <c r="E330" s="124"/>
      <c r="F330" s="124"/>
      <c r="G330" s="124"/>
    </row>
    <row r="331" spans="1:7">
      <c r="A331" s="124"/>
      <c r="B331" s="124"/>
      <c r="C331" s="124"/>
      <c r="D331" s="124"/>
      <c r="E331" s="124"/>
      <c r="F331" s="124"/>
      <c r="G331" s="124"/>
    </row>
    <row r="332" spans="1:7">
      <c r="A332" s="124"/>
      <c r="B332" s="124"/>
      <c r="C332" s="124"/>
      <c r="D332" s="124"/>
      <c r="E332" s="124"/>
      <c r="F332" s="124"/>
      <c r="G332" s="124"/>
    </row>
    <row r="333" spans="1:7">
      <c r="A333" s="124"/>
      <c r="B333" s="124"/>
      <c r="C333" s="124"/>
      <c r="D333" s="124"/>
      <c r="E333" s="124"/>
      <c r="F333" s="124"/>
      <c r="G333" s="124"/>
    </row>
    <row r="334" spans="1:7">
      <c r="A334" s="124"/>
      <c r="B334" s="124"/>
      <c r="C334" s="124"/>
      <c r="D334" s="124"/>
      <c r="E334" s="124"/>
      <c r="F334" s="124"/>
      <c r="G334" s="124"/>
    </row>
    <row r="335" spans="1:7">
      <c r="A335" s="124"/>
      <c r="B335" s="124"/>
      <c r="C335" s="124"/>
      <c r="D335" s="124"/>
      <c r="E335" s="124"/>
      <c r="F335" s="124"/>
      <c r="G335" s="124"/>
    </row>
    <row r="336" spans="1:7">
      <c r="A336" s="124"/>
      <c r="B336" s="124"/>
      <c r="C336" s="124"/>
      <c r="D336" s="124"/>
      <c r="E336" s="124"/>
      <c r="F336" s="124"/>
      <c r="G336" s="124"/>
    </row>
    <row r="337" spans="1:7">
      <c r="A337" s="124"/>
      <c r="B337" s="124"/>
      <c r="C337" s="124"/>
      <c r="D337" s="124"/>
      <c r="E337" s="124"/>
      <c r="F337" s="124"/>
      <c r="G337" s="124"/>
    </row>
    <row r="338" spans="1:7">
      <c r="A338" s="124"/>
      <c r="B338" s="124"/>
      <c r="C338" s="124"/>
      <c r="D338" s="124"/>
      <c r="E338" s="124"/>
      <c r="F338" s="124"/>
      <c r="G338" s="124"/>
    </row>
    <row r="339" spans="1:7">
      <c r="A339" s="124"/>
      <c r="B339" s="124"/>
      <c r="C339" s="124"/>
      <c r="D339" s="124"/>
      <c r="E339" s="124"/>
      <c r="F339" s="124"/>
      <c r="G339" s="124"/>
    </row>
    <row r="340" spans="1:7">
      <c r="A340" s="124"/>
      <c r="B340" s="124"/>
      <c r="C340" s="124"/>
      <c r="D340" s="124"/>
      <c r="E340" s="124"/>
      <c r="F340" s="124"/>
      <c r="G340" s="124"/>
    </row>
    <row r="341" spans="1:7">
      <c r="A341" s="124"/>
      <c r="B341" s="124"/>
      <c r="C341" s="124"/>
      <c r="D341" s="124"/>
      <c r="E341" s="124"/>
      <c r="F341" s="124"/>
      <c r="G341" s="124"/>
    </row>
    <row r="342" spans="1:7">
      <c r="A342" s="124"/>
      <c r="B342" s="124"/>
      <c r="C342" s="124"/>
      <c r="D342" s="124"/>
      <c r="E342" s="124"/>
      <c r="F342" s="124"/>
      <c r="G342" s="124"/>
    </row>
    <row r="343" spans="1:7">
      <c r="A343" s="124"/>
      <c r="B343" s="124"/>
      <c r="C343" s="124"/>
      <c r="D343" s="124"/>
      <c r="E343" s="124"/>
      <c r="F343" s="124"/>
      <c r="G343" s="124"/>
    </row>
    <row r="344" spans="1:7">
      <c r="A344" s="124"/>
      <c r="B344" s="124"/>
      <c r="C344" s="124"/>
      <c r="D344" s="124"/>
      <c r="E344" s="124"/>
      <c r="F344" s="124"/>
      <c r="G344" s="124"/>
    </row>
    <row r="345" spans="1:7">
      <c r="A345" s="124"/>
      <c r="B345" s="124"/>
      <c r="C345" s="124"/>
      <c r="D345" s="124"/>
      <c r="E345" s="124"/>
      <c r="F345" s="124"/>
      <c r="G345" s="124"/>
    </row>
    <row r="346" spans="1:7">
      <c r="A346" s="124"/>
      <c r="B346" s="124"/>
      <c r="C346" s="124"/>
      <c r="D346" s="124"/>
      <c r="E346" s="124"/>
      <c r="F346" s="124"/>
      <c r="G346" s="124"/>
    </row>
    <row r="347" spans="1:7">
      <c r="A347" s="124"/>
      <c r="B347" s="124"/>
      <c r="C347" s="124"/>
      <c r="D347" s="124"/>
      <c r="E347" s="124"/>
      <c r="F347" s="124"/>
      <c r="G347" s="124"/>
    </row>
    <row r="348" spans="1:7">
      <c r="A348" s="124"/>
      <c r="B348" s="124"/>
      <c r="C348" s="124"/>
      <c r="D348" s="124"/>
      <c r="E348" s="124"/>
      <c r="F348" s="124"/>
      <c r="G348" s="124"/>
    </row>
    <row r="349" spans="1:7">
      <c r="A349" s="124"/>
      <c r="B349" s="124"/>
      <c r="C349" s="124"/>
      <c r="D349" s="124"/>
      <c r="E349" s="124"/>
      <c r="F349" s="124"/>
      <c r="G349" s="124"/>
    </row>
    <row r="350" spans="1:7">
      <c r="A350" s="124"/>
      <c r="B350" s="124"/>
      <c r="C350" s="124"/>
      <c r="D350" s="124"/>
      <c r="E350" s="124"/>
      <c r="F350" s="124"/>
      <c r="G350" s="124"/>
    </row>
    <row r="351" spans="1:7">
      <c r="A351" s="124"/>
      <c r="B351" s="124"/>
      <c r="C351" s="124"/>
      <c r="D351" s="124"/>
      <c r="E351" s="124"/>
      <c r="F351" s="124"/>
      <c r="G351" s="124"/>
    </row>
    <row r="352" spans="1:7">
      <c r="A352" s="124"/>
      <c r="B352" s="124"/>
      <c r="C352" s="124"/>
      <c r="D352" s="124"/>
      <c r="E352" s="124"/>
      <c r="F352" s="124"/>
      <c r="G352" s="124"/>
    </row>
    <row r="353" spans="1:7">
      <c r="A353" s="124"/>
      <c r="B353" s="124"/>
      <c r="C353" s="124"/>
      <c r="D353" s="124"/>
      <c r="E353" s="124"/>
      <c r="F353" s="124"/>
      <c r="G353" s="124"/>
    </row>
    <row r="354" spans="1:7">
      <c r="A354" s="124"/>
      <c r="B354" s="124"/>
      <c r="C354" s="124"/>
      <c r="D354" s="124"/>
      <c r="E354" s="124"/>
      <c r="F354" s="124"/>
      <c r="G354" s="124"/>
    </row>
    <row r="355" spans="1:7">
      <c r="A355" s="124"/>
      <c r="B355" s="124"/>
      <c r="C355" s="124"/>
      <c r="D355" s="124"/>
      <c r="E355" s="124"/>
      <c r="F355" s="124"/>
      <c r="G355" s="124"/>
    </row>
    <row r="356" spans="1:7">
      <c r="A356" s="124"/>
      <c r="B356" s="124"/>
      <c r="C356" s="124"/>
      <c r="D356" s="124"/>
      <c r="E356" s="124"/>
      <c r="F356" s="124"/>
      <c r="G356" s="124"/>
    </row>
    <row r="357" spans="1:7">
      <c r="A357" s="124"/>
      <c r="B357" s="124"/>
      <c r="C357" s="124"/>
      <c r="D357" s="124"/>
      <c r="E357" s="124"/>
      <c r="F357" s="124"/>
      <c r="G357" s="124"/>
    </row>
    <row r="358" spans="1:7">
      <c r="A358" s="124"/>
      <c r="B358" s="124"/>
      <c r="C358" s="124"/>
      <c r="D358" s="124"/>
      <c r="E358" s="124"/>
      <c r="F358" s="124"/>
      <c r="G358" s="124"/>
    </row>
    <row r="359" spans="1:7">
      <c r="A359" s="124"/>
      <c r="B359" s="124"/>
      <c r="C359" s="124"/>
      <c r="D359" s="124"/>
      <c r="E359" s="124"/>
      <c r="F359" s="124"/>
      <c r="G359" s="124"/>
    </row>
    <row r="360" spans="1:7">
      <c r="A360" s="124"/>
      <c r="B360" s="124"/>
      <c r="C360" s="124"/>
      <c r="D360" s="124"/>
      <c r="E360" s="124"/>
      <c r="F360" s="124"/>
      <c r="G360" s="124"/>
    </row>
    <row r="361" spans="1:7">
      <c r="A361" s="124"/>
      <c r="B361" s="124"/>
      <c r="C361" s="124"/>
      <c r="D361" s="124"/>
      <c r="E361" s="124"/>
      <c r="F361" s="124"/>
      <c r="G361" s="124"/>
    </row>
    <row r="362" spans="1:7">
      <c r="A362" s="124"/>
      <c r="B362" s="124"/>
      <c r="C362" s="124"/>
      <c r="D362" s="124"/>
      <c r="E362" s="124"/>
      <c r="F362" s="124"/>
      <c r="G362" s="124"/>
    </row>
    <row r="363" spans="1:7">
      <c r="A363" s="124"/>
      <c r="B363" s="124"/>
      <c r="C363" s="124"/>
      <c r="D363" s="124"/>
      <c r="E363" s="124"/>
      <c r="F363" s="124"/>
      <c r="G363" s="124"/>
    </row>
    <row r="364" spans="1:7">
      <c r="A364" s="124"/>
      <c r="B364" s="124"/>
      <c r="C364" s="124"/>
      <c r="D364" s="124"/>
      <c r="E364" s="124"/>
      <c r="F364" s="124"/>
      <c r="G364" s="124"/>
    </row>
    <row r="365" spans="1:7">
      <c r="A365" s="124"/>
      <c r="B365" s="124"/>
      <c r="C365" s="124"/>
      <c r="D365" s="124"/>
      <c r="E365" s="124"/>
      <c r="F365" s="124"/>
      <c r="G365" s="124"/>
    </row>
    <row r="366" spans="1:7">
      <c r="A366" s="124"/>
      <c r="B366" s="124"/>
      <c r="C366" s="124"/>
      <c r="D366" s="124"/>
      <c r="E366" s="124"/>
      <c r="F366" s="124"/>
      <c r="G366" s="124"/>
    </row>
    <row r="367" spans="1:7">
      <c r="A367" s="124"/>
      <c r="B367" s="124"/>
      <c r="C367" s="124"/>
      <c r="D367" s="124"/>
      <c r="E367" s="124"/>
      <c r="F367" s="124"/>
      <c r="G367" s="124"/>
    </row>
    <row r="368" spans="1:7">
      <c r="A368" s="124"/>
      <c r="B368" s="124"/>
      <c r="C368" s="124"/>
      <c r="D368" s="124"/>
      <c r="E368" s="124"/>
      <c r="F368" s="124"/>
      <c r="G368" s="124"/>
    </row>
    <row r="369" spans="1:7">
      <c r="A369" s="124"/>
      <c r="B369" s="124"/>
      <c r="C369" s="124"/>
      <c r="D369" s="124"/>
      <c r="E369" s="124"/>
      <c r="F369" s="124"/>
      <c r="G369" s="124"/>
    </row>
    <row r="370" spans="1:7">
      <c r="A370" s="124"/>
      <c r="B370" s="124"/>
      <c r="C370" s="124"/>
      <c r="D370" s="124"/>
      <c r="E370" s="124"/>
      <c r="F370" s="124"/>
      <c r="G370" s="124"/>
    </row>
    <row r="371" spans="1:7">
      <c r="A371" s="124"/>
      <c r="B371" s="124"/>
      <c r="C371" s="124"/>
      <c r="D371" s="124"/>
      <c r="E371" s="124"/>
      <c r="F371" s="124"/>
      <c r="G371" s="124"/>
    </row>
    <row r="372" spans="1:7">
      <c r="A372" s="124"/>
      <c r="B372" s="124"/>
      <c r="C372" s="124"/>
      <c r="D372" s="124"/>
      <c r="E372" s="124"/>
      <c r="F372" s="124"/>
      <c r="G372" s="124"/>
    </row>
    <row r="373" spans="1:7">
      <c r="A373" s="124"/>
      <c r="B373" s="124"/>
      <c r="C373" s="124"/>
      <c r="D373" s="124"/>
      <c r="E373" s="124"/>
      <c r="F373" s="124"/>
      <c r="G373" s="124"/>
    </row>
    <row r="374" spans="1:7">
      <c r="A374" s="124"/>
      <c r="B374" s="124"/>
      <c r="C374" s="124"/>
      <c r="D374" s="124"/>
      <c r="E374" s="124"/>
      <c r="F374" s="124"/>
      <c r="G374" s="124"/>
    </row>
    <row r="375" spans="1:7">
      <c r="A375" s="124"/>
      <c r="B375" s="124"/>
      <c r="C375" s="124"/>
      <c r="D375" s="124"/>
      <c r="E375" s="124"/>
      <c r="F375" s="124"/>
      <c r="G375" s="124"/>
    </row>
    <row r="376" spans="1:7">
      <c r="A376" s="124"/>
      <c r="B376" s="124"/>
      <c r="C376" s="124"/>
      <c r="D376" s="124"/>
      <c r="E376" s="124"/>
      <c r="F376" s="124"/>
      <c r="G376" s="124"/>
    </row>
    <row r="377" spans="1:7">
      <c r="A377" s="124"/>
      <c r="B377" s="124"/>
      <c r="C377" s="124"/>
      <c r="D377" s="124"/>
      <c r="E377" s="124"/>
      <c r="F377" s="124"/>
      <c r="G377" s="124"/>
    </row>
    <row r="378" spans="1:7">
      <c r="A378" s="124"/>
      <c r="B378" s="124"/>
      <c r="C378" s="124"/>
      <c r="D378" s="124"/>
      <c r="E378" s="124"/>
      <c r="F378" s="124"/>
      <c r="G378" s="124"/>
    </row>
    <row r="379" spans="1:7">
      <c r="A379" s="124"/>
      <c r="B379" s="124"/>
      <c r="C379" s="124"/>
      <c r="D379" s="124"/>
      <c r="E379" s="124"/>
      <c r="F379" s="124"/>
      <c r="G379" s="124"/>
    </row>
    <row r="380" spans="1:7">
      <c r="A380" s="124"/>
      <c r="B380" s="124"/>
      <c r="C380" s="124"/>
      <c r="D380" s="124"/>
      <c r="E380" s="124"/>
      <c r="F380" s="124"/>
      <c r="G380" s="124"/>
    </row>
    <row r="381" spans="1:7">
      <c r="A381" s="124"/>
      <c r="B381" s="124"/>
      <c r="C381" s="124"/>
      <c r="D381" s="124"/>
      <c r="E381" s="124"/>
      <c r="F381" s="124"/>
      <c r="G381" s="124"/>
    </row>
    <row r="382" spans="1:7">
      <c r="A382" s="124"/>
      <c r="B382" s="124"/>
      <c r="C382" s="124"/>
      <c r="D382" s="124"/>
      <c r="E382" s="124"/>
      <c r="F382" s="124"/>
      <c r="G382" s="124"/>
    </row>
    <row r="383" spans="1:7">
      <c r="A383" s="124"/>
      <c r="B383" s="124"/>
      <c r="C383" s="124"/>
      <c r="D383" s="124"/>
      <c r="E383" s="124"/>
      <c r="F383" s="124"/>
      <c r="G383" s="124"/>
    </row>
    <row r="384" spans="1:7">
      <c r="A384" s="124"/>
      <c r="B384" s="124"/>
      <c r="C384" s="124"/>
      <c r="D384" s="124"/>
      <c r="E384" s="124"/>
      <c r="F384" s="124"/>
      <c r="G384" s="124"/>
    </row>
    <row r="385" spans="1:7">
      <c r="A385" s="124"/>
      <c r="B385" s="124"/>
      <c r="C385" s="124"/>
      <c r="D385" s="124"/>
      <c r="E385" s="124"/>
      <c r="F385" s="124"/>
      <c r="G385" s="124"/>
    </row>
    <row r="386" spans="1:7">
      <c r="A386" s="124"/>
      <c r="B386" s="124"/>
      <c r="C386" s="124"/>
      <c r="D386" s="124"/>
      <c r="E386" s="124"/>
      <c r="F386" s="124"/>
      <c r="G386" s="124"/>
    </row>
    <row r="387" spans="1:7">
      <c r="A387" s="124"/>
      <c r="B387" s="124"/>
      <c r="C387" s="124"/>
      <c r="D387" s="124"/>
      <c r="E387" s="124"/>
      <c r="F387" s="124"/>
      <c r="G387" s="124"/>
    </row>
    <row r="388" spans="1:7">
      <c r="A388" s="124"/>
      <c r="B388" s="124"/>
      <c r="C388" s="124"/>
      <c r="D388" s="124"/>
      <c r="E388" s="124"/>
      <c r="F388" s="124"/>
      <c r="G388" s="124"/>
    </row>
    <row r="389" spans="1:7">
      <c r="A389" s="124"/>
      <c r="B389" s="124"/>
      <c r="C389" s="124"/>
      <c r="D389" s="124"/>
      <c r="E389" s="124"/>
      <c r="F389" s="124"/>
      <c r="G389" s="124"/>
    </row>
    <row r="390" spans="1:7">
      <c r="A390" s="124"/>
      <c r="B390" s="124"/>
      <c r="C390" s="124"/>
      <c r="D390" s="124"/>
      <c r="E390" s="124"/>
      <c r="F390" s="124"/>
      <c r="G390" s="124"/>
    </row>
    <row r="391" spans="1:7">
      <c r="A391" s="124"/>
      <c r="B391" s="124"/>
      <c r="C391" s="124"/>
      <c r="D391" s="124"/>
      <c r="E391" s="124"/>
      <c r="F391" s="124"/>
      <c r="G391" s="124"/>
    </row>
    <row r="392" spans="1:7">
      <c r="A392" s="124"/>
      <c r="B392" s="124"/>
      <c r="C392" s="124"/>
      <c r="D392" s="124"/>
      <c r="E392" s="124"/>
      <c r="F392" s="124"/>
      <c r="G392" s="124"/>
    </row>
    <row r="393" spans="1:7">
      <c r="A393" s="124"/>
      <c r="B393" s="124"/>
      <c r="C393" s="124"/>
      <c r="D393" s="124"/>
      <c r="E393" s="124"/>
      <c r="F393" s="124"/>
      <c r="G393" s="124"/>
    </row>
    <row r="394" spans="1:7">
      <c r="A394" s="124"/>
      <c r="B394" s="124"/>
      <c r="C394" s="124"/>
      <c r="D394" s="124"/>
      <c r="E394" s="124"/>
      <c r="F394" s="124"/>
      <c r="G394" s="124"/>
    </row>
    <row r="395" spans="1:7">
      <c r="A395" s="124"/>
      <c r="B395" s="124"/>
      <c r="C395" s="124"/>
      <c r="D395" s="124"/>
      <c r="E395" s="124"/>
      <c r="F395" s="124"/>
      <c r="G395" s="124"/>
    </row>
    <row r="396" spans="1:7">
      <c r="A396" s="124"/>
      <c r="B396" s="124"/>
      <c r="C396" s="124"/>
      <c r="D396" s="124"/>
      <c r="E396" s="124"/>
      <c r="F396" s="124"/>
      <c r="G396" s="124"/>
    </row>
    <row r="397" spans="1:7">
      <c r="A397" s="124"/>
      <c r="B397" s="124"/>
      <c r="C397" s="124"/>
      <c r="D397" s="124"/>
      <c r="E397" s="124"/>
      <c r="F397" s="124"/>
      <c r="G397" s="124"/>
    </row>
    <row r="398" spans="1:7">
      <c r="A398" s="124"/>
      <c r="B398" s="124"/>
      <c r="C398" s="124"/>
      <c r="D398" s="124"/>
      <c r="E398" s="124"/>
      <c r="F398" s="124"/>
      <c r="G398" s="124"/>
    </row>
    <row r="399" spans="1:7">
      <c r="A399" s="124"/>
      <c r="B399" s="124"/>
      <c r="C399" s="124"/>
      <c r="D399" s="124"/>
      <c r="E399" s="124"/>
      <c r="F399" s="124"/>
      <c r="G399" s="124"/>
    </row>
    <row r="400" spans="1:7">
      <c r="A400" s="124"/>
      <c r="B400" s="124"/>
      <c r="C400" s="124"/>
      <c r="D400" s="124"/>
      <c r="E400" s="124"/>
      <c r="F400" s="124"/>
      <c r="G400" s="124"/>
    </row>
    <row r="401" spans="1:7">
      <c r="A401" s="124"/>
      <c r="B401" s="124"/>
      <c r="C401" s="124"/>
      <c r="D401" s="124"/>
      <c r="E401" s="124"/>
      <c r="F401" s="124"/>
      <c r="G401" s="124"/>
    </row>
    <row r="402" spans="1:7">
      <c r="A402" s="124"/>
      <c r="B402" s="124"/>
      <c r="C402" s="124"/>
      <c r="D402" s="124"/>
      <c r="E402" s="124"/>
      <c r="F402" s="124"/>
      <c r="G402" s="124"/>
    </row>
    <row r="403" spans="1:7">
      <c r="A403" s="124"/>
      <c r="B403" s="124"/>
      <c r="C403" s="124"/>
      <c r="D403" s="124"/>
      <c r="E403" s="124"/>
      <c r="F403" s="124"/>
      <c r="G403" s="124"/>
    </row>
    <row r="404" spans="1:7">
      <c r="A404" s="124"/>
      <c r="B404" s="124"/>
      <c r="C404" s="124"/>
      <c r="D404" s="124"/>
      <c r="E404" s="124"/>
      <c r="F404" s="124"/>
      <c r="G404" s="124"/>
    </row>
    <row r="405" spans="1:7">
      <c r="A405" s="124"/>
      <c r="B405" s="124"/>
      <c r="C405" s="124"/>
      <c r="D405" s="124"/>
      <c r="E405" s="124"/>
      <c r="F405" s="124"/>
      <c r="G405" s="124"/>
    </row>
    <row r="406" spans="1:7">
      <c r="A406" s="124"/>
      <c r="B406" s="124"/>
      <c r="C406" s="124"/>
      <c r="D406" s="124"/>
      <c r="E406" s="124"/>
      <c r="F406" s="124"/>
      <c r="G406" s="124"/>
    </row>
    <row r="407" spans="1:7">
      <c r="A407" s="124"/>
      <c r="B407" s="124"/>
      <c r="C407" s="124"/>
      <c r="D407" s="124"/>
      <c r="E407" s="124"/>
      <c r="F407" s="124"/>
      <c r="G407" s="124"/>
    </row>
    <row r="408" spans="1:7">
      <c r="A408" s="124"/>
      <c r="B408" s="124"/>
      <c r="C408" s="124"/>
      <c r="D408" s="124"/>
      <c r="E408" s="124"/>
      <c r="F408" s="124"/>
      <c r="G408" s="124"/>
    </row>
    <row r="409" spans="1:7">
      <c r="A409" s="124"/>
      <c r="B409" s="124"/>
      <c r="C409" s="124"/>
      <c r="D409" s="124"/>
      <c r="E409" s="124"/>
      <c r="F409" s="124"/>
      <c r="G409" s="124"/>
    </row>
    <row r="410" spans="1:7">
      <c r="A410" s="124"/>
      <c r="B410" s="124"/>
      <c r="C410" s="124"/>
      <c r="D410" s="124"/>
      <c r="E410" s="124"/>
      <c r="F410" s="124"/>
      <c r="G410" s="124"/>
    </row>
    <row r="411" spans="1:7">
      <c r="A411" s="124"/>
      <c r="B411" s="124"/>
      <c r="C411" s="124"/>
      <c r="D411" s="124"/>
      <c r="E411" s="124"/>
      <c r="F411" s="124"/>
      <c r="G411" s="124"/>
    </row>
    <row r="412" spans="1:7">
      <c r="A412" s="124"/>
      <c r="B412" s="124"/>
      <c r="C412" s="124"/>
      <c r="D412" s="124"/>
      <c r="E412" s="124"/>
      <c r="F412" s="124"/>
      <c r="G412" s="124"/>
    </row>
    <row r="413" spans="1:7">
      <c r="A413" s="124"/>
      <c r="B413" s="124"/>
      <c r="C413" s="124"/>
      <c r="D413" s="124"/>
      <c r="E413" s="124"/>
      <c r="F413" s="124"/>
      <c r="G413" s="124"/>
    </row>
    <row r="414" spans="1:7">
      <c r="A414" s="124"/>
      <c r="B414" s="124"/>
      <c r="C414" s="124"/>
      <c r="D414" s="124"/>
      <c r="E414" s="124"/>
      <c r="F414" s="124"/>
      <c r="G414" s="124"/>
    </row>
    <row r="415" spans="1:7">
      <c r="A415" s="124"/>
      <c r="B415" s="124"/>
      <c r="C415" s="124"/>
      <c r="D415" s="124"/>
      <c r="E415" s="124"/>
      <c r="F415" s="124"/>
      <c r="G415" s="124"/>
    </row>
    <row r="416" spans="1:7">
      <c r="A416" s="124"/>
      <c r="B416" s="124"/>
      <c r="C416" s="124"/>
      <c r="D416" s="124"/>
      <c r="E416" s="124"/>
      <c r="F416" s="124"/>
      <c r="G416" s="124"/>
    </row>
    <row r="417" spans="1:7">
      <c r="A417" s="124"/>
      <c r="B417" s="124"/>
      <c r="C417" s="124"/>
      <c r="D417" s="124"/>
      <c r="E417" s="124"/>
      <c r="F417" s="124"/>
      <c r="G417" s="124"/>
    </row>
    <row r="418" spans="1:7">
      <c r="A418" s="124"/>
      <c r="B418" s="124"/>
      <c r="C418" s="124"/>
      <c r="D418" s="124"/>
      <c r="E418" s="124"/>
      <c r="F418" s="124"/>
      <c r="G418" s="124"/>
    </row>
    <row r="419" spans="1:7">
      <c r="A419" s="124"/>
      <c r="B419" s="124"/>
      <c r="C419" s="124"/>
      <c r="D419" s="124"/>
      <c r="E419" s="124"/>
      <c r="F419" s="124"/>
      <c r="G419" s="124"/>
    </row>
    <row r="420" spans="1:7">
      <c r="A420" s="124"/>
      <c r="B420" s="124"/>
      <c r="C420" s="124"/>
      <c r="D420" s="124"/>
      <c r="E420" s="124"/>
      <c r="F420" s="124"/>
      <c r="G420" s="124"/>
    </row>
    <row r="421" spans="1:7">
      <c r="A421" s="124"/>
      <c r="B421" s="124"/>
      <c r="C421" s="124"/>
      <c r="D421" s="124"/>
      <c r="E421" s="124"/>
      <c r="F421" s="124"/>
      <c r="G421" s="124"/>
    </row>
    <row r="422" spans="1:7">
      <c r="A422" s="124"/>
      <c r="B422" s="124"/>
      <c r="C422" s="124"/>
      <c r="D422" s="124"/>
      <c r="E422" s="124"/>
      <c r="F422" s="124"/>
      <c r="G422" s="124"/>
    </row>
    <row r="423" spans="1:7">
      <c r="A423" s="124"/>
      <c r="B423" s="124"/>
      <c r="C423" s="124"/>
      <c r="D423" s="124"/>
      <c r="E423" s="124"/>
      <c r="F423" s="124"/>
      <c r="G423" s="124"/>
    </row>
    <row r="424" spans="1:7">
      <c r="A424" s="124"/>
      <c r="B424" s="124"/>
      <c r="C424" s="124"/>
      <c r="D424" s="124"/>
      <c r="E424" s="124"/>
      <c r="F424" s="124"/>
      <c r="G424" s="124"/>
    </row>
    <row r="425" spans="1:7">
      <c r="A425" s="124"/>
      <c r="B425" s="124"/>
      <c r="C425" s="124"/>
      <c r="D425" s="124"/>
      <c r="E425" s="124"/>
      <c r="F425" s="124"/>
      <c r="G425" s="124"/>
    </row>
    <row r="426" spans="1:7">
      <c r="A426" s="124"/>
      <c r="B426" s="124"/>
      <c r="C426" s="124"/>
      <c r="D426" s="124"/>
      <c r="E426" s="124"/>
      <c r="F426" s="124"/>
      <c r="G426" s="124"/>
    </row>
    <row r="427" spans="1:7">
      <c r="A427" s="124"/>
      <c r="B427" s="124"/>
      <c r="C427" s="124"/>
      <c r="D427" s="124"/>
      <c r="E427" s="124"/>
      <c r="F427" s="124"/>
      <c r="G427" s="124"/>
    </row>
    <row r="428" spans="1:7">
      <c r="A428" s="124"/>
      <c r="B428" s="124"/>
      <c r="C428" s="124"/>
      <c r="D428" s="124"/>
      <c r="E428" s="124"/>
      <c r="F428" s="124"/>
      <c r="G428" s="124"/>
    </row>
    <row r="429" spans="1:7">
      <c r="A429" s="124"/>
      <c r="B429" s="124"/>
      <c r="C429" s="124"/>
      <c r="D429" s="124"/>
      <c r="E429" s="124"/>
      <c r="F429" s="124"/>
      <c r="G429" s="124"/>
    </row>
    <row r="430" spans="1:7">
      <c r="A430" s="124"/>
      <c r="B430" s="124"/>
      <c r="C430" s="124"/>
      <c r="D430" s="124"/>
      <c r="E430" s="124"/>
      <c r="F430" s="124"/>
      <c r="G430" s="124"/>
    </row>
    <row r="431" spans="1:7">
      <c r="A431" s="124"/>
      <c r="B431" s="124"/>
      <c r="C431" s="124"/>
      <c r="D431" s="124"/>
      <c r="E431" s="124"/>
      <c r="F431" s="124"/>
      <c r="G431" s="124"/>
    </row>
    <row r="432" spans="1:7">
      <c r="A432" s="124"/>
      <c r="B432" s="124"/>
      <c r="C432" s="124"/>
      <c r="D432" s="124"/>
      <c r="E432" s="124"/>
      <c r="F432" s="124"/>
      <c r="G432" s="124"/>
    </row>
    <row r="433" spans="1:7">
      <c r="A433" s="124"/>
      <c r="B433" s="124"/>
      <c r="C433" s="124"/>
      <c r="D433" s="124"/>
      <c r="E433" s="124"/>
      <c r="F433" s="124"/>
      <c r="G433" s="124"/>
    </row>
    <row r="434" spans="1:7">
      <c r="A434" s="124"/>
      <c r="B434" s="124"/>
      <c r="C434" s="124"/>
      <c r="D434" s="124"/>
      <c r="E434" s="124"/>
      <c r="F434" s="124"/>
      <c r="G434" s="124"/>
    </row>
    <row r="435" spans="1:7">
      <c r="A435" s="124"/>
      <c r="B435" s="124"/>
      <c r="C435" s="124"/>
      <c r="D435" s="124"/>
      <c r="E435" s="124"/>
      <c r="F435" s="124"/>
      <c r="G435" s="124"/>
    </row>
    <row r="436" spans="1:7">
      <c r="A436" s="124"/>
      <c r="B436" s="124"/>
      <c r="C436" s="124"/>
      <c r="D436" s="124"/>
      <c r="E436" s="124"/>
      <c r="F436" s="124"/>
      <c r="G436" s="124"/>
    </row>
    <row r="437" spans="1:7">
      <c r="A437" s="124"/>
      <c r="B437" s="124"/>
      <c r="C437" s="124"/>
      <c r="D437" s="124"/>
      <c r="E437" s="124"/>
      <c r="F437" s="124"/>
      <c r="G437" s="124"/>
    </row>
    <row r="438" spans="1:7">
      <c r="A438" s="124"/>
      <c r="B438" s="124"/>
      <c r="C438" s="124"/>
      <c r="D438" s="124"/>
      <c r="E438" s="124"/>
      <c r="F438" s="124"/>
      <c r="G438" s="124"/>
    </row>
    <row r="439" spans="1:7">
      <c r="A439" s="124"/>
      <c r="B439" s="124"/>
      <c r="C439" s="124"/>
      <c r="D439" s="124"/>
      <c r="E439" s="124"/>
      <c r="F439" s="124"/>
      <c r="G439" s="124"/>
    </row>
    <row r="440" spans="1:7">
      <c r="A440" s="124"/>
      <c r="B440" s="124"/>
      <c r="C440" s="124"/>
      <c r="D440" s="124"/>
      <c r="E440" s="124"/>
      <c r="F440" s="124"/>
      <c r="G440" s="124"/>
    </row>
    <row r="441" spans="1:7">
      <c r="A441" s="124"/>
      <c r="B441" s="124"/>
      <c r="C441" s="124"/>
      <c r="D441" s="124"/>
      <c r="E441" s="124"/>
      <c r="F441" s="124"/>
      <c r="G441" s="124"/>
    </row>
    <row r="442" spans="1:7">
      <c r="A442" s="124"/>
      <c r="B442" s="124"/>
      <c r="C442" s="124"/>
      <c r="D442" s="124"/>
      <c r="E442" s="124"/>
      <c r="F442" s="124"/>
      <c r="G442" s="124"/>
    </row>
    <row r="443" spans="1:7">
      <c r="A443" s="124"/>
      <c r="B443" s="124"/>
      <c r="C443" s="124"/>
      <c r="D443" s="124"/>
      <c r="E443" s="124"/>
      <c r="F443" s="124"/>
      <c r="G443" s="124"/>
    </row>
    <row r="444" spans="1:7">
      <c r="A444" s="124"/>
      <c r="B444" s="124"/>
      <c r="C444" s="124"/>
      <c r="D444" s="124"/>
      <c r="E444" s="124"/>
      <c r="F444" s="124"/>
      <c r="G444" s="124"/>
    </row>
    <row r="445" spans="1:7">
      <c r="A445" s="124"/>
      <c r="B445" s="124"/>
      <c r="C445" s="124"/>
      <c r="D445" s="124"/>
      <c r="E445" s="124"/>
      <c r="F445" s="124"/>
      <c r="G445" s="124"/>
    </row>
    <row r="446" spans="1:7">
      <c r="A446" s="124"/>
      <c r="B446" s="124"/>
      <c r="C446" s="124"/>
      <c r="D446" s="124"/>
      <c r="E446" s="124"/>
      <c r="F446" s="124"/>
      <c r="G446" s="124"/>
    </row>
    <row r="447" spans="1:7">
      <c r="A447" s="124"/>
      <c r="B447" s="124"/>
      <c r="C447" s="124"/>
      <c r="D447" s="124"/>
      <c r="E447" s="124"/>
      <c r="F447" s="124"/>
      <c r="G447" s="124"/>
    </row>
    <row r="448" spans="1:7">
      <c r="A448" s="124"/>
      <c r="B448" s="124"/>
      <c r="C448" s="124"/>
      <c r="D448" s="124"/>
      <c r="E448" s="124"/>
      <c r="F448" s="124"/>
      <c r="G448" s="124"/>
    </row>
    <row r="449" spans="1:7">
      <c r="A449" s="124"/>
      <c r="B449" s="124"/>
      <c r="C449" s="124"/>
      <c r="D449" s="124"/>
      <c r="E449" s="124"/>
      <c r="F449" s="124"/>
      <c r="G449" s="124"/>
    </row>
    <row r="450" spans="1:7">
      <c r="A450" s="124"/>
      <c r="B450" s="124"/>
      <c r="C450" s="124"/>
      <c r="D450" s="124"/>
      <c r="E450" s="124"/>
      <c r="F450" s="124"/>
      <c r="G450" s="124"/>
    </row>
    <row r="451" spans="1:7">
      <c r="A451" s="124"/>
      <c r="B451" s="124"/>
      <c r="C451" s="124"/>
      <c r="D451" s="124"/>
      <c r="E451" s="124"/>
      <c r="F451" s="124"/>
      <c r="G451" s="124"/>
    </row>
    <row r="452" spans="1:7">
      <c r="A452" s="124"/>
      <c r="B452" s="124"/>
      <c r="C452" s="124"/>
      <c r="D452" s="124"/>
      <c r="E452" s="124"/>
      <c r="F452" s="124"/>
      <c r="G452" s="124"/>
    </row>
    <row r="453" spans="1:7">
      <c r="A453" s="124"/>
      <c r="B453" s="124"/>
      <c r="C453" s="124"/>
      <c r="D453" s="124"/>
      <c r="E453" s="124"/>
      <c r="F453" s="124"/>
      <c r="G453" s="124"/>
    </row>
    <row r="454" spans="1:7">
      <c r="A454" s="124"/>
      <c r="B454" s="124"/>
      <c r="C454" s="124"/>
      <c r="D454" s="124"/>
      <c r="E454" s="124"/>
      <c r="F454" s="124"/>
      <c r="G454" s="124"/>
    </row>
    <row r="455" spans="1:7">
      <c r="A455" s="124"/>
      <c r="B455" s="124"/>
      <c r="C455" s="124"/>
      <c r="D455" s="124"/>
      <c r="E455" s="124"/>
      <c r="F455" s="124"/>
      <c r="G455" s="124"/>
    </row>
    <row r="456" spans="1:7">
      <c r="A456" s="124"/>
      <c r="B456" s="124"/>
      <c r="C456" s="124"/>
      <c r="D456" s="124"/>
      <c r="E456" s="124"/>
      <c r="F456" s="124"/>
      <c r="G456" s="124"/>
    </row>
    <row r="457" spans="1:7">
      <c r="A457" s="124"/>
      <c r="B457" s="124"/>
      <c r="C457" s="124"/>
      <c r="D457" s="124"/>
      <c r="E457" s="124"/>
      <c r="F457" s="124"/>
      <c r="G457" s="124"/>
    </row>
    <row r="458" spans="1:7">
      <c r="A458" s="124"/>
      <c r="B458" s="124"/>
      <c r="C458" s="124"/>
      <c r="D458" s="124"/>
      <c r="E458" s="124"/>
      <c r="F458" s="124"/>
      <c r="G458" s="124"/>
    </row>
    <row r="459" spans="1:7">
      <c r="A459" s="124"/>
      <c r="B459" s="124"/>
      <c r="C459" s="124"/>
      <c r="D459" s="124"/>
      <c r="E459" s="124"/>
      <c r="F459" s="124"/>
      <c r="G459" s="124"/>
    </row>
    <row r="460" spans="1:7">
      <c r="A460" s="124"/>
      <c r="B460" s="124"/>
      <c r="C460" s="124"/>
      <c r="D460" s="124"/>
      <c r="E460" s="124"/>
      <c r="F460" s="124"/>
      <c r="G460" s="124"/>
    </row>
    <row r="461" spans="1:7">
      <c r="A461" s="124"/>
      <c r="B461" s="124"/>
      <c r="C461" s="124"/>
      <c r="D461" s="124"/>
      <c r="E461" s="124"/>
      <c r="F461" s="124"/>
      <c r="G461" s="124"/>
    </row>
    <row r="462" spans="1:7">
      <c r="A462" s="124"/>
      <c r="B462" s="124"/>
      <c r="C462" s="124"/>
      <c r="D462" s="124"/>
      <c r="E462" s="124"/>
      <c r="F462" s="124"/>
      <c r="G462" s="124"/>
    </row>
    <row r="463" spans="1:7">
      <c r="A463" s="124"/>
      <c r="B463" s="124"/>
      <c r="C463" s="124"/>
      <c r="D463" s="124"/>
      <c r="E463" s="124"/>
      <c r="F463" s="124"/>
      <c r="G463" s="124"/>
    </row>
    <row r="464" spans="1:7">
      <c r="A464" s="124"/>
      <c r="B464" s="124"/>
      <c r="C464" s="124"/>
      <c r="D464" s="124"/>
      <c r="E464" s="124"/>
      <c r="F464" s="124"/>
      <c r="G464" s="124"/>
    </row>
    <row r="465" spans="1:7">
      <c r="A465" s="124"/>
      <c r="B465" s="124"/>
      <c r="C465" s="124"/>
      <c r="D465" s="124"/>
      <c r="E465" s="124"/>
      <c r="F465" s="124"/>
      <c r="G465" s="124"/>
    </row>
    <row r="466" spans="1:7">
      <c r="A466" s="124"/>
      <c r="B466" s="124"/>
      <c r="C466" s="124"/>
      <c r="D466" s="124"/>
      <c r="E466" s="124"/>
      <c r="F466" s="124"/>
      <c r="G466" s="124"/>
    </row>
    <row r="467" spans="1:7">
      <c r="A467" s="124"/>
      <c r="B467" s="124"/>
      <c r="C467" s="124"/>
      <c r="D467" s="124"/>
      <c r="E467" s="124"/>
      <c r="F467" s="124"/>
      <c r="G467" s="124"/>
    </row>
    <row r="468" spans="1:7">
      <c r="A468" s="124"/>
      <c r="B468" s="124"/>
      <c r="C468" s="124"/>
      <c r="D468" s="124"/>
      <c r="E468" s="124"/>
      <c r="F468" s="124"/>
      <c r="G468" s="124"/>
    </row>
    <row r="469" spans="1:7">
      <c r="A469" s="124"/>
      <c r="B469" s="124"/>
      <c r="C469" s="124"/>
      <c r="D469" s="124"/>
      <c r="E469" s="124"/>
      <c r="F469" s="124"/>
      <c r="G469" s="124"/>
    </row>
    <row r="470" spans="1:7">
      <c r="A470" s="124"/>
      <c r="B470" s="124"/>
      <c r="C470" s="124"/>
      <c r="D470" s="124"/>
      <c r="E470" s="124"/>
      <c r="F470" s="124"/>
      <c r="G470" s="124"/>
    </row>
    <row r="471" spans="1:7">
      <c r="A471" s="124"/>
      <c r="B471" s="124"/>
      <c r="C471" s="124"/>
      <c r="D471" s="124"/>
      <c r="E471" s="124"/>
      <c r="F471" s="124"/>
      <c r="G471" s="124"/>
    </row>
    <row r="472" spans="1:7">
      <c r="A472" s="124"/>
      <c r="B472" s="124"/>
      <c r="C472" s="124"/>
      <c r="D472" s="124"/>
      <c r="E472" s="124"/>
      <c r="F472" s="124"/>
      <c r="G472" s="124"/>
    </row>
    <row r="473" spans="1:7">
      <c r="A473" s="124"/>
      <c r="B473" s="124"/>
      <c r="C473" s="124"/>
      <c r="D473" s="124"/>
      <c r="E473" s="124"/>
      <c r="F473" s="124"/>
      <c r="G473" s="124"/>
    </row>
    <row r="474" spans="1:7">
      <c r="A474" s="124"/>
      <c r="B474" s="124"/>
      <c r="C474" s="124"/>
      <c r="D474" s="124"/>
      <c r="E474" s="124"/>
      <c r="F474" s="124"/>
      <c r="G474" s="124"/>
    </row>
    <row r="475" spans="1:7">
      <c r="A475" s="124"/>
      <c r="B475" s="124"/>
      <c r="C475" s="124"/>
      <c r="D475" s="124"/>
      <c r="E475" s="124"/>
      <c r="F475" s="124"/>
      <c r="G475" s="124"/>
    </row>
    <row r="476" spans="1:7">
      <c r="A476" s="124"/>
      <c r="B476" s="124"/>
      <c r="C476" s="124"/>
      <c r="D476" s="124"/>
      <c r="E476" s="124"/>
      <c r="F476" s="124"/>
      <c r="G476" s="124"/>
    </row>
    <row r="477" spans="1:7">
      <c r="A477" s="124"/>
      <c r="B477" s="124"/>
      <c r="C477" s="124"/>
      <c r="D477" s="124"/>
      <c r="E477" s="124"/>
      <c r="F477" s="124"/>
      <c r="G477" s="124"/>
    </row>
    <row r="478" spans="1:7">
      <c r="A478" s="124"/>
      <c r="B478" s="124"/>
      <c r="C478" s="124"/>
      <c r="D478" s="124"/>
      <c r="E478" s="124"/>
      <c r="F478" s="124"/>
      <c r="G478" s="124"/>
    </row>
    <row r="479" spans="1:7">
      <c r="A479" s="124"/>
      <c r="B479" s="124"/>
      <c r="C479" s="124"/>
      <c r="D479" s="124"/>
      <c r="E479" s="124"/>
      <c r="F479" s="124"/>
      <c r="G479" s="124"/>
    </row>
    <row r="480" spans="1:7">
      <c r="A480" s="124"/>
      <c r="B480" s="124"/>
      <c r="C480" s="124"/>
      <c r="D480" s="124"/>
      <c r="E480" s="124"/>
      <c r="F480" s="124"/>
      <c r="G480" s="124"/>
    </row>
    <row r="481" spans="1:7">
      <c r="A481" s="124"/>
      <c r="B481" s="124"/>
      <c r="C481" s="124"/>
      <c r="D481" s="124"/>
      <c r="E481" s="124"/>
      <c r="F481" s="124"/>
      <c r="G481" s="124"/>
    </row>
    <row r="482" spans="1:7">
      <c r="A482" s="124"/>
      <c r="B482" s="124"/>
      <c r="C482" s="124"/>
      <c r="D482" s="124"/>
      <c r="E482" s="124"/>
      <c r="F482" s="124"/>
      <c r="G482" s="124"/>
    </row>
    <row r="483" spans="1:7">
      <c r="A483" s="124"/>
      <c r="B483" s="124"/>
      <c r="C483" s="124"/>
      <c r="D483" s="124"/>
      <c r="E483" s="124"/>
      <c r="F483" s="124"/>
      <c r="G483" s="124"/>
    </row>
    <row r="484" spans="1:7">
      <c r="A484" s="124"/>
      <c r="B484" s="124"/>
      <c r="C484" s="124"/>
      <c r="D484" s="124"/>
      <c r="E484" s="124"/>
      <c r="F484" s="124"/>
      <c r="G484" s="124"/>
    </row>
    <row r="485" spans="1:7">
      <c r="A485" s="124"/>
      <c r="B485" s="124"/>
      <c r="C485" s="124"/>
      <c r="D485" s="124"/>
      <c r="E485" s="124"/>
      <c r="F485" s="124"/>
      <c r="G485" s="124"/>
    </row>
    <row r="486" spans="1:7">
      <c r="A486" s="124"/>
      <c r="B486" s="124"/>
      <c r="C486" s="124"/>
      <c r="D486" s="124"/>
      <c r="E486" s="124"/>
      <c r="F486" s="124"/>
      <c r="G486" s="124"/>
    </row>
    <row r="487" spans="1:7">
      <c r="A487" s="124"/>
      <c r="B487" s="124"/>
      <c r="C487" s="124"/>
      <c r="D487" s="124"/>
      <c r="E487" s="124"/>
      <c r="F487" s="124"/>
      <c r="G487" s="124"/>
    </row>
    <row r="488" spans="1:7">
      <c r="A488" s="124"/>
      <c r="B488" s="124"/>
      <c r="C488" s="124"/>
      <c r="D488" s="124"/>
      <c r="E488" s="124"/>
      <c r="F488" s="124"/>
      <c r="G488" s="124"/>
    </row>
    <row r="489" spans="1:7">
      <c r="A489" s="124"/>
      <c r="B489" s="124"/>
      <c r="C489" s="124"/>
      <c r="D489" s="124"/>
      <c r="E489" s="124"/>
      <c r="F489" s="124"/>
      <c r="G489" s="124"/>
    </row>
    <row r="490" spans="1:7">
      <c r="A490" s="124"/>
      <c r="B490" s="124"/>
      <c r="C490" s="124"/>
      <c r="D490" s="124"/>
      <c r="E490" s="124"/>
      <c r="F490" s="124"/>
      <c r="G490" s="124"/>
    </row>
    <row r="491" spans="1:7">
      <c r="A491" s="124"/>
      <c r="B491" s="124"/>
      <c r="C491" s="124"/>
      <c r="D491" s="124"/>
      <c r="E491" s="124"/>
      <c r="F491" s="124"/>
      <c r="G491" s="124"/>
    </row>
    <row r="492" spans="1:7">
      <c r="A492" s="124"/>
      <c r="B492" s="124"/>
      <c r="C492" s="124"/>
      <c r="D492" s="124"/>
      <c r="E492" s="124"/>
      <c r="F492" s="124"/>
      <c r="G492" s="124"/>
    </row>
    <row r="493" spans="1:7">
      <c r="A493" s="124"/>
      <c r="B493" s="124"/>
      <c r="C493" s="124"/>
      <c r="D493" s="124"/>
      <c r="E493" s="124"/>
      <c r="F493" s="124"/>
      <c r="G493" s="124"/>
    </row>
    <row r="494" spans="1:7">
      <c r="A494" s="124"/>
      <c r="B494" s="124"/>
      <c r="C494" s="124"/>
      <c r="D494" s="124"/>
      <c r="E494" s="124"/>
      <c r="F494" s="124"/>
      <c r="G494" s="124"/>
    </row>
    <row r="495" spans="1:7">
      <c r="A495" s="124"/>
      <c r="B495" s="124"/>
      <c r="C495" s="124"/>
      <c r="D495" s="124"/>
      <c r="E495" s="124"/>
      <c r="F495" s="124"/>
      <c r="G495" s="124"/>
    </row>
    <row r="496" spans="1:7">
      <c r="A496" s="124"/>
      <c r="B496" s="124"/>
      <c r="C496" s="124"/>
      <c r="D496" s="124"/>
      <c r="E496" s="124"/>
      <c r="F496" s="124"/>
      <c r="G496" s="124"/>
    </row>
    <row r="497" spans="1:7">
      <c r="A497" s="124"/>
      <c r="B497" s="124"/>
      <c r="C497" s="124"/>
      <c r="D497" s="124"/>
      <c r="E497" s="124"/>
      <c r="F497" s="124"/>
      <c r="G497" s="124"/>
    </row>
    <row r="498" spans="1:7">
      <c r="A498" s="124"/>
      <c r="B498" s="124"/>
      <c r="C498" s="124"/>
      <c r="D498" s="124"/>
      <c r="E498" s="124"/>
      <c r="F498" s="124"/>
      <c r="G498" s="124"/>
    </row>
    <row r="499" spans="1:7">
      <c r="A499" s="124"/>
      <c r="B499" s="124"/>
      <c r="C499" s="124"/>
      <c r="D499" s="124"/>
      <c r="E499" s="124"/>
      <c r="F499" s="124"/>
      <c r="G499" s="124"/>
    </row>
    <row r="500" spans="1:7">
      <c r="A500" s="124"/>
      <c r="B500" s="124"/>
      <c r="C500" s="124"/>
      <c r="D500" s="124"/>
      <c r="E500" s="124"/>
      <c r="F500" s="124"/>
      <c r="G500" s="124"/>
    </row>
    <row r="501" spans="1:7">
      <c r="A501" s="124"/>
      <c r="B501" s="124"/>
      <c r="C501" s="124"/>
      <c r="D501" s="124"/>
      <c r="E501" s="124"/>
      <c r="F501" s="124"/>
      <c r="G501" s="124"/>
    </row>
    <row r="502" spans="1:7">
      <c r="A502" s="124"/>
      <c r="B502" s="124"/>
      <c r="C502" s="124"/>
      <c r="D502" s="124"/>
      <c r="E502" s="124"/>
      <c r="F502" s="124"/>
      <c r="G502" s="124"/>
    </row>
    <row r="503" spans="1:7">
      <c r="A503" s="124"/>
      <c r="B503" s="124"/>
      <c r="C503" s="124"/>
      <c r="D503" s="124"/>
      <c r="E503" s="124"/>
      <c r="F503" s="124"/>
      <c r="G503" s="124"/>
    </row>
    <row r="504" spans="1:7">
      <c r="A504" s="124"/>
      <c r="B504" s="124"/>
      <c r="C504" s="124"/>
      <c r="D504" s="124"/>
      <c r="E504" s="124"/>
      <c r="F504" s="124"/>
      <c r="G504" s="124"/>
    </row>
    <row r="505" spans="1:7">
      <c r="A505" s="124"/>
      <c r="B505" s="124"/>
      <c r="C505" s="124"/>
      <c r="D505" s="124"/>
      <c r="E505" s="124"/>
      <c r="F505" s="124"/>
      <c r="G505" s="124"/>
    </row>
    <row r="506" spans="1:7">
      <c r="A506" s="124"/>
      <c r="B506" s="124"/>
      <c r="C506" s="124"/>
      <c r="D506" s="124"/>
      <c r="E506" s="124"/>
      <c r="F506" s="124"/>
      <c r="G506" s="124"/>
    </row>
    <row r="507" spans="1:7">
      <c r="A507" s="124"/>
      <c r="B507" s="124"/>
      <c r="C507" s="124"/>
      <c r="D507" s="124"/>
      <c r="E507" s="124"/>
      <c r="F507" s="124"/>
      <c r="G507" s="124"/>
    </row>
    <row r="508" spans="1:7">
      <c r="A508" s="124"/>
      <c r="B508" s="124"/>
      <c r="C508" s="124"/>
      <c r="D508" s="124"/>
      <c r="E508" s="124"/>
      <c r="F508" s="124"/>
      <c r="G508" s="124"/>
    </row>
    <row r="509" spans="1:7">
      <c r="A509" s="124"/>
      <c r="B509" s="124"/>
      <c r="C509" s="124"/>
      <c r="D509" s="124"/>
      <c r="E509" s="124"/>
      <c r="F509" s="124"/>
      <c r="G509" s="124"/>
    </row>
    <row r="510" spans="1:7">
      <c r="A510" s="124"/>
      <c r="B510" s="124"/>
      <c r="C510" s="124"/>
      <c r="D510" s="124"/>
      <c r="E510" s="124"/>
      <c r="F510" s="124"/>
      <c r="G510" s="124"/>
    </row>
    <row r="511" spans="1:7">
      <c r="A511" s="124"/>
      <c r="B511" s="124"/>
      <c r="C511" s="124"/>
      <c r="D511" s="124"/>
      <c r="E511" s="124"/>
      <c r="F511" s="124"/>
      <c r="G511" s="124"/>
    </row>
    <row r="1048095" customFormat="1" spans="17:17">
      <c r="Q1048095" s="110"/>
    </row>
    <row r="1048096" customFormat="1" spans="17:17">
      <c r="Q1048096" s="110"/>
    </row>
    <row r="1048097" customFormat="1" spans="17:17">
      <c r="Q1048097" s="110"/>
    </row>
    <row r="1048098" customFormat="1" spans="17:17">
      <c r="Q1048098" s="110"/>
    </row>
    <row r="1048099" customFormat="1" spans="17:17">
      <c r="Q1048099" s="110"/>
    </row>
    <row r="1048100" customFormat="1" spans="17:17">
      <c r="Q1048100" s="110"/>
    </row>
    <row r="1048101" customFormat="1" spans="17:17">
      <c r="Q1048101" s="110"/>
    </row>
    <row r="1048102" customFormat="1" spans="17:17">
      <c r="Q1048102" s="110"/>
    </row>
    <row r="1048103" customFormat="1" spans="17:17">
      <c r="Q1048103" s="110"/>
    </row>
    <row r="1048104" customFormat="1" spans="17:17">
      <c r="Q1048104" s="110"/>
    </row>
    <row r="1048105" customFormat="1" spans="17:17">
      <c r="Q1048105" s="110"/>
    </row>
    <row r="1048106" customFormat="1" spans="17:17">
      <c r="Q1048106" s="110"/>
    </row>
    <row r="1048107" customFormat="1" spans="17:17">
      <c r="Q1048107" s="110"/>
    </row>
    <row r="1048108" customFormat="1" spans="17:17">
      <c r="Q1048108" s="110"/>
    </row>
    <row r="1048109" customFormat="1" spans="17:17">
      <c r="Q1048109" s="110"/>
    </row>
    <row r="1048110" customFormat="1" spans="17:17">
      <c r="Q1048110" s="110"/>
    </row>
    <row r="1048111" customFormat="1" spans="17:17">
      <c r="Q1048111" s="110"/>
    </row>
    <row r="1048112" customFormat="1" spans="17:17">
      <c r="Q1048112" s="110"/>
    </row>
    <row r="1048113" customFormat="1" spans="17:17">
      <c r="Q1048113" s="110"/>
    </row>
    <row r="1048114" customFormat="1" spans="17:17">
      <c r="Q1048114" s="110"/>
    </row>
    <row r="1048115" customFormat="1" spans="17:17">
      <c r="Q1048115" s="110"/>
    </row>
    <row r="1048116" customFormat="1" spans="17:17">
      <c r="Q1048116" s="110"/>
    </row>
    <row r="1048117" customFormat="1" spans="17:17">
      <c r="Q1048117" s="110"/>
    </row>
    <row r="1048118" customFormat="1" spans="17:17">
      <c r="Q1048118" s="110"/>
    </row>
    <row r="1048119" customFormat="1" spans="17:17">
      <c r="Q1048119" s="110"/>
    </row>
    <row r="1048120" customFormat="1" spans="17:17">
      <c r="Q1048120" s="110"/>
    </row>
    <row r="1048121" customFormat="1" spans="17:17">
      <c r="Q1048121" s="110"/>
    </row>
    <row r="1048122" customFormat="1" spans="17:17">
      <c r="Q1048122" s="110"/>
    </row>
    <row r="1048123" customFormat="1" spans="17:17">
      <c r="Q1048123" s="110"/>
    </row>
    <row r="1048124" customFormat="1" spans="17:17">
      <c r="Q1048124" s="110"/>
    </row>
    <row r="1048125" customFormat="1" spans="17:17">
      <c r="Q1048125" s="110"/>
    </row>
    <row r="1048126" customFormat="1" spans="17:17">
      <c r="Q1048126" s="110"/>
    </row>
    <row r="1048127" customFormat="1" spans="17:17">
      <c r="Q1048127" s="110"/>
    </row>
    <row r="1048128" customFormat="1" spans="17:17">
      <c r="Q1048128" s="110"/>
    </row>
    <row r="1048129" customFormat="1" spans="17:17">
      <c r="Q1048129" s="110"/>
    </row>
    <row r="1048130" customFormat="1" spans="17:17">
      <c r="Q1048130" s="110"/>
    </row>
    <row r="1048131" customFormat="1" spans="17:17">
      <c r="Q1048131" s="110"/>
    </row>
    <row r="1048132" customFormat="1" spans="17:17">
      <c r="Q1048132" s="110"/>
    </row>
    <row r="1048133" customFormat="1" spans="17:17">
      <c r="Q1048133" s="110"/>
    </row>
    <row r="1048134" customFormat="1" spans="17:17">
      <c r="Q1048134" s="110"/>
    </row>
    <row r="1048135" customFormat="1" spans="17:17">
      <c r="Q1048135" s="110"/>
    </row>
    <row r="1048136" customFormat="1" spans="17:17">
      <c r="Q1048136" s="110"/>
    </row>
    <row r="1048137" customFormat="1" spans="17:17">
      <c r="Q1048137" s="110"/>
    </row>
    <row r="1048138" customFormat="1" spans="17:17">
      <c r="Q1048138" s="110"/>
    </row>
    <row r="1048139" customFormat="1" spans="17:17">
      <c r="Q1048139" s="110"/>
    </row>
    <row r="1048140" customFormat="1" spans="17:17">
      <c r="Q1048140" s="110"/>
    </row>
    <row r="1048141" customFormat="1" spans="17:17">
      <c r="Q1048141" s="110"/>
    </row>
    <row r="1048142" customFormat="1" spans="17:17">
      <c r="Q1048142" s="110"/>
    </row>
    <row r="1048143" customFormat="1" spans="17:17">
      <c r="Q1048143" s="110"/>
    </row>
    <row r="1048144" customFormat="1" spans="17:17">
      <c r="Q1048144" s="110"/>
    </row>
    <row r="1048145" customFormat="1" spans="17:17">
      <c r="Q1048145" s="110"/>
    </row>
    <row r="1048146" customFormat="1" spans="17:17">
      <c r="Q1048146" s="110"/>
    </row>
    <row r="1048147" customFormat="1" spans="17:17">
      <c r="Q1048147" s="110"/>
    </row>
    <row r="1048148" customFormat="1" spans="17:17">
      <c r="Q1048148" s="110"/>
    </row>
    <row r="1048149" customFormat="1" spans="17:17">
      <c r="Q1048149" s="110"/>
    </row>
    <row r="1048150" customFormat="1" spans="17:17">
      <c r="Q1048150" s="110"/>
    </row>
    <row r="1048151" customFormat="1" spans="17:17">
      <c r="Q1048151" s="110"/>
    </row>
    <row r="1048152" customFormat="1" spans="17:17">
      <c r="Q1048152" s="110"/>
    </row>
    <row r="1048153" customFormat="1" spans="17:17">
      <c r="Q1048153" s="110"/>
    </row>
    <row r="1048154" customFormat="1" spans="17:17">
      <c r="Q1048154" s="110"/>
    </row>
    <row r="1048155" customFormat="1" spans="17:17">
      <c r="Q1048155" s="110"/>
    </row>
    <row r="1048156" customFormat="1" spans="17:17">
      <c r="Q1048156" s="110"/>
    </row>
    <row r="1048157" customFormat="1" spans="17:17">
      <c r="Q1048157" s="110"/>
    </row>
    <row r="1048158" customFormat="1" spans="17:17">
      <c r="Q1048158" s="110"/>
    </row>
    <row r="1048159" customFormat="1" spans="17:17">
      <c r="Q1048159" s="110"/>
    </row>
    <row r="1048160" customFormat="1" spans="17:17">
      <c r="Q1048160" s="110"/>
    </row>
    <row r="1048161" customFormat="1" spans="17:17">
      <c r="Q1048161" s="110"/>
    </row>
    <row r="1048162" customFormat="1" spans="17:17">
      <c r="Q1048162" s="110"/>
    </row>
    <row r="1048163" customFormat="1" spans="17:17">
      <c r="Q1048163" s="110"/>
    </row>
    <row r="1048164" customFormat="1" spans="17:17">
      <c r="Q1048164" s="110"/>
    </row>
    <row r="1048165" customFormat="1" spans="17:17">
      <c r="Q1048165" s="110"/>
    </row>
    <row r="1048166" customFormat="1" spans="17:17">
      <c r="Q1048166" s="110"/>
    </row>
    <row r="1048167" customFormat="1" spans="17:17">
      <c r="Q1048167" s="110"/>
    </row>
    <row r="1048168" customFormat="1" spans="17:17">
      <c r="Q1048168" s="110"/>
    </row>
    <row r="1048169" customFormat="1" spans="17:17">
      <c r="Q1048169" s="110"/>
    </row>
    <row r="1048170" customFormat="1" spans="17:17">
      <c r="Q1048170" s="110"/>
    </row>
    <row r="1048171" customFormat="1" spans="17:17">
      <c r="Q1048171" s="110"/>
    </row>
  </sheetData>
  <sheetProtection formatCells="0" formatColumns="0" formatRows="0" insertRows="0" insertColumns="0" insertHyperlinks="0" deleteColumns="0" deleteRows="0" sort="0" autoFilter="0" pivotTables="0"/>
  <autoFilter xmlns:etc="http://www.wps.cn/officeDocument/2017/etCustomData" ref="A1:Q1048171" etc:filterBottomFollowUsedRange="1">
    <extLst/>
  </autoFilter>
  <mergeCells count="6">
    <mergeCell ref="B10:C10"/>
    <mergeCell ref="B11:C11"/>
    <mergeCell ref="B12:C12"/>
    <mergeCell ref="B14:C14"/>
    <mergeCell ref="B17:C17"/>
    <mergeCell ref="B23:C23"/>
  </mergeCells>
  <conditionalFormatting sqref="A$1:A$1048576">
    <cfRule type="expression" dxfId="2" priority="1">
      <formula>AND(SUMPRODUCT(IFERROR(1*(($A$1:$A$1048576&amp;"x")=(A1&amp;"x")),0))&gt;1,NOT(ISBLANK(A1)))</formula>
    </cfRule>
  </conditionalFormatting>
  <dataValidations count="3">
    <dataValidation type="list" allowBlank="1" showErrorMessage="1" errorTitle="错误提示" error="请输入下拉列表中的值" sqref="M2 M4:M5 M7:M8 M19:M27">
      <formula1>"已到港，等待提柜,海关查验中,已进入封闭区/码头拥堵,等待放行,已提柜，等待送仓,已预约送仓,其他异常"</formula1>
    </dataValidation>
    <dataValidation type="list" allowBlank="1" showErrorMessage="1" errorTitle="错误提示" error="请输入下拉列表中的值" sqref="M3 M6 M9:M18">
      <formula1>"已到港，等待提柜,海关查验中,已进入封闭区/码头拥堵,等待放行,已放行，刷提柜约,已提柜，等待送仓,已预约送仓,其他异常"</formula1>
    </dataValidation>
    <dataValidation type="list" allowBlank="1" showErrorMessage="1" errorTitle="错误提示" error="请输入下拉列表中的值" id="{40018bec-c41d-4a4d-88d3-02af115f9bf0}" sqref="G2:G27" errorStyle="information">
      <formula1>"Paid,Unpaid,Not Required"</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CC"/>
    <outlinePr summaryBelow="0" summaryRight="0"/>
  </sheetPr>
  <dimension ref="A1:AE979"/>
  <sheetViews>
    <sheetView topLeftCell="K778" workbookViewId="0">
      <selection activeCell="K956" sqref="K956:K979"/>
    </sheetView>
  </sheetViews>
  <sheetFormatPr defaultColWidth="12.6285714285714" defaultRowHeight="12.75"/>
  <cols>
    <col min="1" max="1" width="12.6285714285714" style="246"/>
    <col min="2" max="2" width="31.6095238095238" style="80" customWidth="1"/>
    <col min="3" max="3" width="15.5047619047619" style="80" customWidth="1"/>
    <col min="4" max="4" width="14.2857142857143" style="80" customWidth="1"/>
    <col min="5" max="5" width="10.2190476190476" style="247" customWidth="1"/>
    <col min="6" max="6" width="10.3619047619048" style="247" customWidth="1"/>
    <col min="7" max="7" width="12.9333333333333" style="247" customWidth="1"/>
    <col min="8" max="8" width="10.5714285714286" style="80" customWidth="1"/>
    <col min="9" max="9" width="6.99047619047619" style="80" customWidth="1"/>
    <col min="10" max="10" width="22.8571428571429" style="80" customWidth="1"/>
    <col min="11" max="11" width="15.2857142857143" style="80" customWidth="1"/>
    <col min="12" max="12" width="13.7142857142857" style="80" customWidth="1"/>
    <col min="13" max="13" width="12.8571428571429" style="80" customWidth="1"/>
    <col min="14" max="14" width="9.5047619047619" style="80" customWidth="1"/>
    <col min="15" max="15" width="10.3619047619048" style="80" customWidth="1"/>
    <col min="16" max="16" width="9.21904761904762" style="80" customWidth="1"/>
    <col min="17" max="17" width="5.79047619047619" style="80" customWidth="1"/>
    <col min="18" max="18" width="8.21904761904762" style="80" customWidth="1"/>
    <col min="19" max="19" width="12.8571428571429" style="80"/>
    <col min="20" max="16384" width="12.6285714285714" style="80"/>
  </cols>
  <sheetData>
    <row r="1" s="112" customFormat="1" ht="31" customHeight="1" spans="1:18">
      <c r="A1" s="116" t="s">
        <v>287</v>
      </c>
      <c r="B1" s="117" t="s">
        <v>288</v>
      </c>
      <c r="C1" s="118" t="s">
        <v>111</v>
      </c>
      <c r="D1" s="118" t="s">
        <v>289</v>
      </c>
      <c r="E1" s="119" t="s">
        <v>114</v>
      </c>
      <c r="F1" s="119" t="s">
        <v>290</v>
      </c>
      <c r="G1" s="119" t="s">
        <v>291</v>
      </c>
      <c r="H1" s="120" t="s">
        <v>292</v>
      </c>
      <c r="I1" s="120" t="s">
        <v>127</v>
      </c>
      <c r="J1" s="120" t="s">
        <v>293</v>
      </c>
      <c r="K1" s="121" t="s">
        <v>116</v>
      </c>
      <c r="L1" s="122" t="s">
        <v>294</v>
      </c>
      <c r="M1" s="120" t="s">
        <v>295</v>
      </c>
      <c r="N1" s="120" t="s">
        <v>296</v>
      </c>
      <c r="O1" s="248" t="s">
        <v>26</v>
      </c>
      <c r="P1" s="120" t="s">
        <v>297</v>
      </c>
      <c r="Q1" s="120" t="s">
        <v>25</v>
      </c>
      <c r="R1" s="248" t="s">
        <v>121</v>
      </c>
    </row>
    <row r="2" customFormat="1" spans="1:18">
      <c r="A2" s="113">
        <v>45965</v>
      </c>
      <c r="B2" s="91" t="str">
        <f>_xlfn.XLOOKUP(C2,'Product List'!B:B,'Product List'!I:I)</f>
        <v>MMO-COTTON NESTING BALLS</v>
      </c>
      <c r="C2" s="249" t="s">
        <v>84</v>
      </c>
      <c r="D2" s="250">
        <v>29657897</v>
      </c>
      <c r="E2" s="125">
        <v>248</v>
      </c>
      <c r="F2" s="124">
        <v>3.37</v>
      </c>
      <c r="G2" s="124">
        <f t="shared" ref="G2:G65" si="0">E2*F2</f>
        <v>835.76</v>
      </c>
      <c r="H2" s="86" t="s">
        <v>298</v>
      </c>
      <c r="I2" s="86" t="s">
        <v>92</v>
      </c>
      <c r="J2" s="124" t="s">
        <v>299</v>
      </c>
      <c r="K2" s="193">
        <v>46048</v>
      </c>
      <c r="L2" s="251">
        <v>46048</v>
      </c>
      <c r="M2" s="127">
        <v>1.57</v>
      </c>
      <c r="N2" s="124">
        <f t="shared" ref="N2:N44" si="1">M2*E2</f>
        <v>389.36</v>
      </c>
      <c r="O2" s="124" cm="1">
        <f t="array" ref="O2">E2/_xlfn.XLOOKUP(1,('Case Pack'!$A$4:$A$962=C2)*('Case Pack'!$L$4:$L$962&gt;0)*('Case Pack'!$L$4:$L$962&lt;=A2),'Case Pack'!$D$4:$D$962,"未找到箱规")</f>
        <v>7.75</v>
      </c>
      <c r="P2" s="124" t="str">
        <f>IF(COUNTIF('PO Check'!A:A,D2)&gt;0,"Yes","No")</f>
        <v>Yes</v>
      </c>
      <c r="Q2" s="124" t="str" cm="1">
        <f t="array" ref="Q2">_xlfn.XLOOKUP(1,('Case Pack'!$A$4:$A$962=C2)*('Case Pack'!$L$4:$L$962&gt;0)*('Case Pack'!$L$4:$L$962&lt;=A2),'Case Pack'!$G$4:$G$962,"未找到箱型")</f>
        <v>A</v>
      </c>
      <c r="R2" s="124">
        <f>ROUND(IFERROR(VLOOKUP(Q2,'Case Type'!A:H,8,0),0)*O2,2)</f>
        <v>0.85</v>
      </c>
    </row>
    <row r="3" customFormat="1" spans="1:18">
      <c r="A3" s="113">
        <v>45965</v>
      </c>
      <c r="B3" s="91" t="str">
        <f>_xlfn.XLOOKUP(C3,'Product List'!B:B,'Product List'!I:I)</f>
        <v>MMO-BUBBLE WATER BOTTLE</v>
      </c>
      <c r="C3" s="94" t="s">
        <v>67</v>
      </c>
      <c r="D3" s="250">
        <v>29657897</v>
      </c>
      <c r="E3" s="125">
        <v>216</v>
      </c>
      <c r="F3" s="124">
        <v>4.35</v>
      </c>
      <c r="G3" s="124">
        <f t="shared" si="0"/>
        <v>939.6</v>
      </c>
      <c r="H3" s="86" t="s">
        <v>298</v>
      </c>
      <c r="I3" s="86" t="s">
        <v>92</v>
      </c>
      <c r="J3" s="124" t="s">
        <v>299</v>
      </c>
      <c r="K3" s="193">
        <v>46048</v>
      </c>
      <c r="L3" s="251">
        <v>46048</v>
      </c>
      <c r="M3" s="127">
        <v>3.05</v>
      </c>
      <c r="N3" s="124">
        <f t="shared" si="1"/>
        <v>658.8</v>
      </c>
      <c r="O3" s="124" cm="1">
        <f t="array" ref="O3">E3/_xlfn.XLOOKUP(1,('Case Pack'!$A$4:$A$962=C3)*('Case Pack'!$L$4:$L$962&gt;0)*('Case Pack'!$L$4:$L$962&lt;=A3),'Case Pack'!$D$4:$D$962,"未找到箱规")</f>
        <v>5.14285714285714</v>
      </c>
      <c r="P3" s="124" t="str">
        <f>IF(COUNTIF('PO Check'!A:A,D3)&gt;0,"Yes","No")</f>
        <v>Yes</v>
      </c>
      <c r="Q3" s="124" t="str" cm="1">
        <f t="array" ref="Q3">_xlfn.XLOOKUP(1,('Case Pack'!$A$4:$A$962=C3)*('Case Pack'!$L$4:$L$962&gt;0)*('Case Pack'!$L$4:$L$962&lt;=A3),'Case Pack'!$G$4:$G$962,"未找到箱型")</f>
        <v>C</v>
      </c>
      <c r="R3" s="124">
        <f>ROUND(IFERROR(VLOOKUP(Q3,'Case Type'!A:H,8,0),0)*O3,2)</f>
        <v>0.81</v>
      </c>
    </row>
    <row r="4" customFormat="1" spans="1:18">
      <c r="A4" s="113">
        <v>45965</v>
      </c>
      <c r="B4" s="91" t="str">
        <f>_xlfn.XLOOKUP(C4,'Product List'!B:B,'Product List'!I:I)</f>
        <v>MINI/MOE SILENT CRSTL RUN WHEEL LG 8.5-White</v>
      </c>
      <c r="C4" s="94" t="s">
        <v>29</v>
      </c>
      <c r="D4" s="250">
        <v>29657897</v>
      </c>
      <c r="E4" s="125">
        <v>216</v>
      </c>
      <c r="F4" s="124">
        <v>13.22</v>
      </c>
      <c r="G4" s="124">
        <f t="shared" si="0"/>
        <v>2855.52</v>
      </c>
      <c r="H4" s="86" t="s">
        <v>298</v>
      </c>
      <c r="I4" s="86" t="s">
        <v>92</v>
      </c>
      <c r="J4" s="124" t="s">
        <v>299</v>
      </c>
      <c r="K4" s="193">
        <v>46048</v>
      </c>
      <c r="L4" s="251">
        <v>46048</v>
      </c>
      <c r="M4" s="127">
        <v>6.12</v>
      </c>
      <c r="N4" s="124">
        <f t="shared" si="1"/>
        <v>1321.92</v>
      </c>
      <c r="O4" s="124" cm="1">
        <f t="array" ref="O4">E4/_xlfn.XLOOKUP(1,('Case Pack'!$A$4:$A$962=C4)*('Case Pack'!$L$4:$L$962&gt;0)*('Case Pack'!$L$4:$L$962&lt;=A4),'Case Pack'!$D$4:$D$962,"未找到箱规")</f>
        <v>27</v>
      </c>
      <c r="P4" s="124" t="str">
        <f>IF(COUNTIF('PO Check'!A:A,D4)&gt;0,"Yes","No")</f>
        <v>Yes</v>
      </c>
      <c r="Q4" s="124" t="str" cm="1">
        <f t="array" ref="Q4">_xlfn.XLOOKUP(1,('Case Pack'!$A$4:$A$962=C4)*('Case Pack'!$L$4:$L$962&gt;0)*('Case Pack'!$L$4:$L$962&lt;=A4),'Case Pack'!$G$4:$G$962,"未找到箱型")</f>
        <v>C</v>
      </c>
      <c r="R4" s="124">
        <f>ROUND(IFERROR(VLOOKUP(Q4,'Case Type'!A:H,8,0),0)*O4,2)</f>
        <v>4.25</v>
      </c>
    </row>
    <row r="5" customFormat="1" spans="1:18">
      <c r="A5" s="113">
        <v>45965</v>
      </c>
      <c r="B5" s="91" t="str">
        <f>_xlfn.XLOOKUP(C5,'Product List'!B:B,'Product List'!I:I)</f>
        <v>MMO-CLOUD WATER BOTTLE</v>
      </c>
      <c r="C5" s="94" t="s">
        <v>77</v>
      </c>
      <c r="D5" s="250">
        <v>29657897</v>
      </c>
      <c r="E5" s="125">
        <v>300</v>
      </c>
      <c r="F5" s="124">
        <v>1.32</v>
      </c>
      <c r="G5" s="124">
        <f t="shared" si="0"/>
        <v>396</v>
      </c>
      <c r="H5" s="86" t="s">
        <v>298</v>
      </c>
      <c r="I5" s="86" t="s">
        <v>92</v>
      </c>
      <c r="J5" s="124" t="s">
        <v>299</v>
      </c>
      <c r="K5" s="193">
        <v>46048</v>
      </c>
      <c r="L5" s="251">
        <v>46048</v>
      </c>
      <c r="M5" s="127">
        <v>0.59</v>
      </c>
      <c r="N5" s="124">
        <f t="shared" si="1"/>
        <v>177</v>
      </c>
      <c r="O5" s="124" cm="1">
        <f t="array" ref="O5">E5/_xlfn.XLOOKUP(1,('Case Pack'!$A$4:$A$962=C5)*('Case Pack'!$L$4:$L$962&gt;0)*('Case Pack'!$L$4:$L$962&lt;=A5),'Case Pack'!$D$4:$D$962,"未找到箱规")</f>
        <v>6</v>
      </c>
      <c r="P5" s="124" t="str">
        <f>IF(COUNTIF('PO Check'!A:A,D5)&gt;0,"Yes","No")</f>
        <v>Yes</v>
      </c>
      <c r="Q5" s="124" t="str" cm="1">
        <f t="array" ref="Q5">_xlfn.XLOOKUP(1,('Case Pack'!$A$4:$A$962=C5)*('Case Pack'!$L$4:$L$962&gt;0)*('Case Pack'!$L$4:$L$962&lt;=A5),'Case Pack'!$G$4:$G$962,"未找到箱型")</f>
        <v>A</v>
      </c>
      <c r="R5" s="124">
        <f>ROUND(IFERROR(VLOOKUP(Q5,'Case Type'!A:H,8,0),0)*O5,2)</f>
        <v>0.66</v>
      </c>
    </row>
    <row r="6" customFormat="1" spans="1:18">
      <c r="A6" s="113">
        <v>45965</v>
      </c>
      <c r="B6" s="91" t="str">
        <f>_xlfn.XLOOKUP(C6,'Product List'!B:B,'Product List'!I:I)</f>
        <v>MINI/MOE TV VIEWING CAGE</v>
      </c>
      <c r="C6" s="94" t="s">
        <v>50</v>
      </c>
      <c r="D6" s="250">
        <v>29657897</v>
      </c>
      <c r="E6" s="125">
        <v>203</v>
      </c>
      <c r="F6" s="124">
        <v>48.49</v>
      </c>
      <c r="G6" s="124">
        <f t="shared" si="0"/>
        <v>9843.47</v>
      </c>
      <c r="H6" s="86" t="s">
        <v>298</v>
      </c>
      <c r="I6" s="86" t="s">
        <v>92</v>
      </c>
      <c r="J6" s="124" t="s">
        <v>299</v>
      </c>
      <c r="K6" s="193">
        <v>46048</v>
      </c>
      <c r="L6" s="251">
        <v>46048</v>
      </c>
      <c r="M6" s="127">
        <v>24.09</v>
      </c>
      <c r="N6" s="124">
        <f t="shared" si="1"/>
        <v>4890.27</v>
      </c>
      <c r="O6" s="124" cm="1">
        <f t="array" ref="O6">E6/_xlfn.XLOOKUP(1,('Case Pack'!$A$4:$A$962=C6)*('Case Pack'!$L$4:$L$962&gt;0)*('Case Pack'!$L$4:$L$962&lt;=A6),'Case Pack'!$D$4:$D$962,"未找到箱规")</f>
        <v>203</v>
      </c>
      <c r="P6" s="124" t="str">
        <f>IF(COUNTIF('PO Check'!A:A,D6)&gt;0,"Yes","No")</f>
        <v>Yes</v>
      </c>
      <c r="Q6" s="124" t="str" cm="1">
        <f t="array" ref="Q6">_xlfn.XLOOKUP(1,('Case Pack'!$A$4:$A$962=C6)*('Case Pack'!$L$4:$L$962&gt;0)*('Case Pack'!$L$4:$L$962&lt;=A6),'Case Pack'!$G$4:$G$962,"未找到箱型")</f>
        <v>S1</v>
      </c>
      <c r="R6" s="124">
        <f>ROUND(IFERROR(VLOOKUP(Q6,'Case Type'!A:H,8,0),0)*O6,2)</f>
        <v>15.02</v>
      </c>
    </row>
    <row r="7" customFormat="1" spans="1:18">
      <c r="A7" s="113">
        <v>45965</v>
      </c>
      <c r="B7" s="91" t="str">
        <f>_xlfn.XLOOKUP(C7,'Product List'!B:B,'Product List'!I:I)</f>
        <v>MMO-PAPER PEBBLES</v>
      </c>
      <c r="C7" s="249" t="s">
        <v>81</v>
      </c>
      <c r="D7" s="250">
        <v>29657897</v>
      </c>
      <c r="E7" s="125">
        <v>220</v>
      </c>
      <c r="F7" s="124">
        <v>5.81</v>
      </c>
      <c r="G7" s="124">
        <f t="shared" si="0"/>
        <v>1278.2</v>
      </c>
      <c r="H7" s="86" t="s">
        <v>298</v>
      </c>
      <c r="I7" s="86" t="s">
        <v>92</v>
      </c>
      <c r="J7" s="124" t="s">
        <v>299</v>
      </c>
      <c r="K7" s="193">
        <v>46048</v>
      </c>
      <c r="L7" s="251">
        <v>46048</v>
      </c>
      <c r="M7" s="127">
        <v>2.7</v>
      </c>
      <c r="N7" s="124">
        <f t="shared" si="1"/>
        <v>594</v>
      </c>
      <c r="O7" s="124" cm="1">
        <f t="array" ref="O7">E7/_xlfn.XLOOKUP(1,('Case Pack'!$A$4:$A$962=C7)*('Case Pack'!$L$4:$L$962&gt;0)*('Case Pack'!$L$4:$L$962&lt;=A7),'Case Pack'!$D$4:$D$962,"未找到箱规")</f>
        <v>18.3333333333333</v>
      </c>
      <c r="P7" s="124" t="str">
        <f>IF(COUNTIF('PO Check'!A:A,D7)&gt;0,"Yes","No")</f>
        <v>Yes</v>
      </c>
      <c r="Q7" s="124" t="str" cm="1">
        <f t="array" ref="Q7">_xlfn.XLOOKUP(1,('Case Pack'!$A$4:$A$962=C7)*('Case Pack'!$L$4:$L$962&gt;0)*('Case Pack'!$L$4:$L$962&lt;=A7),'Case Pack'!$G$4:$G$962,"未找到箱型")</f>
        <v>B</v>
      </c>
      <c r="R7" s="124">
        <f>ROUND(IFERROR(VLOOKUP(Q7,'Case Type'!A:H,8,0),0)*O7,2)</f>
        <v>1.35</v>
      </c>
    </row>
    <row r="8" customFormat="1" spans="1:18">
      <c r="A8" s="113">
        <v>45965</v>
      </c>
      <c r="B8" s="91" t="str">
        <f>_xlfn.XLOOKUP(C8,'Product List'!B:B,'Product List'!I:I)</f>
        <v>MMO-PAPER TWIST BLU/WHT</v>
      </c>
      <c r="C8" s="249" t="s">
        <v>68</v>
      </c>
      <c r="D8" s="250">
        <v>29657897</v>
      </c>
      <c r="E8" s="125">
        <v>252</v>
      </c>
      <c r="F8" s="124">
        <v>3.89</v>
      </c>
      <c r="G8" s="124">
        <f t="shared" si="0"/>
        <v>980.28</v>
      </c>
      <c r="H8" s="86" t="s">
        <v>298</v>
      </c>
      <c r="I8" s="86" t="s">
        <v>92</v>
      </c>
      <c r="J8" s="124" t="s">
        <v>299</v>
      </c>
      <c r="K8" s="193">
        <v>46048</v>
      </c>
      <c r="L8" s="251">
        <v>46048</v>
      </c>
      <c r="M8" s="127">
        <v>1.91</v>
      </c>
      <c r="N8" s="124">
        <f t="shared" si="1"/>
        <v>481.32</v>
      </c>
      <c r="O8" s="124" cm="1">
        <f t="array" ref="O8">E8/_xlfn.XLOOKUP(1,('Case Pack'!$A$4:$A$962=C8)*('Case Pack'!$L$4:$L$962&gt;0)*('Case Pack'!$L$4:$L$962&lt;=A8),'Case Pack'!$D$4:$D$962,"未找到箱规")</f>
        <v>8.4</v>
      </c>
      <c r="P8" s="124" t="str">
        <f>IF(COUNTIF('PO Check'!A:A,D8)&gt;0,"Yes","No")</f>
        <v>Yes</v>
      </c>
      <c r="Q8" s="124" t="str" cm="1">
        <f t="array" ref="Q8">_xlfn.XLOOKUP(1,('Case Pack'!$A$4:$A$962=C8)*('Case Pack'!$L$4:$L$962&gt;0)*('Case Pack'!$L$4:$L$962&lt;=A8),'Case Pack'!$G$4:$G$962,"未找到箱型")</f>
        <v>A</v>
      </c>
      <c r="R8" s="124">
        <f>ROUND(IFERROR(VLOOKUP(Q8,'Case Type'!A:H,8,0),0)*O8,2)</f>
        <v>0.93</v>
      </c>
    </row>
    <row r="9" customFormat="1" spans="1:18">
      <c r="A9" s="113">
        <v>45965</v>
      </c>
      <c r="B9" s="91" t="str">
        <f>_xlfn.XLOOKUP(C9,'Product List'!B:B,'Product List'!I:I)</f>
        <v>MMO-COTTON NESTING BALLS</v>
      </c>
      <c r="C9" s="249" t="s">
        <v>84</v>
      </c>
      <c r="D9" s="250">
        <v>29657900</v>
      </c>
      <c r="E9" s="125">
        <v>186</v>
      </c>
      <c r="F9" s="124">
        <v>3.37</v>
      </c>
      <c r="G9" s="124">
        <f t="shared" si="0"/>
        <v>626.82</v>
      </c>
      <c r="H9" s="86" t="s">
        <v>298</v>
      </c>
      <c r="I9" s="86" t="s">
        <v>92</v>
      </c>
      <c r="J9" s="124" t="s">
        <v>300</v>
      </c>
      <c r="K9" s="193">
        <v>46048</v>
      </c>
      <c r="L9" s="251">
        <v>46048</v>
      </c>
      <c r="M9" s="127">
        <v>1.57</v>
      </c>
      <c r="N9" s="124">
        <f t="shared" si="1"/>
        <v>292.02</v>
      </c>
      <c r="O9" s="124" cm="1">
        <f t="array" ref="O9">E9/_xlfn.XLOOKUP(1,('Case Pack'!$A$4:$A$962=C9)*('Case Pack'!$L$4:$L$962&gt;0)*('Case Pack'!$L$4:$L$962&lt;=A9),'Case Pack'!$D$4:$D$962,"未找到箱规")</f>
        <v>5.8125</v>
      </c>
      <c r="P9" s="124" t="str">
        <f>IF(COUNTIF('PO Check'!A:A,D9)&gt;0,"Yes","No")</f>
        <v>Yes</v>
      </c>
      <c r="Q9" s="124" t="str" cm="1">
        <f t="array" ref="Q9">_xlfn.XLOOKUP(1,('Case Pack'!$A$4:$A$962=C9)*('Case Pack'!$L$4:$L$962&gt;0)*('Case Pack'!$L$4:$L$962&lt;=A9),'Case Pack'!$G$4:$G$962,"未找到箱型")</f>
        <v>A</v>
      </c>
      <c r="R9" s="124">
        <f>ROUND(IFERROR(VLOOKUP(Q9,'Case Type'!A:H,8,0),0)*O9,2)</f>
        <v>0.64</v>
      </c>
    </row>
    <row r="10" customFormat="1" spans="1:18">
      <c r="A10" s="113">
        <v>45965</v>
      </c>
      <c r="B10" s="91" t="str">
        <f>_xlfn.XLOOKUP(C10,'Product List'!B:B,'Product List'!I:I)</f>
        <v>MMO-BUBBLE WATER BOTTLE</v>
      </c>
      <c r="C10" s="94" t="s">
        <v>67</v>
      </c>
      <c r="D10" s="250">
        <v>29657900</v>
      </c>
      <c r="E10" s="125">
        <v>144</v>
      </c>
      <c r="F10" s="124">
        <v>4.35</v>
      </c>
      <c r="G10" s="124">
        <f t="shared" si="0"/>
        <v>626.4</v>
      </c>
      <c r="H10" s="86" t="s">
        <v>298</v>
      </c>
      <c r="I10" s="86" t="s">
        <v>92</v>
      </c>
      <c r="J10" s="124" t="s">
        <v>300</v>
      </c>
      <c r="K10" s="193">
        <v>46048</v>
      </c>
      <c r="L10" s="251">
        <v>46048</v>
      </c>
      <c r="M10" s="127">
        <v>3.05</v>
      </c>
      <c r="N10" s="124">
        <f t="shared" si="1"/>
        <v>439.2</v>
      </c>
      <c r="O10" s="124" cm="1">
        <f t="array" ref="O10">E10/_xlfn.XLOOKUP(1,('Case Pack'!$A$4:$A$962=C10)*('Case Pack'!$L$4:$L$962&gt;0)*('Case Pack'!$L$4:$L$962&lt;=A10),'Case Pack'!$D$4:$D$962,"未找到箱规")</f>
        <v>3.42857142857143</v>
      </c>
      <c r="P10" s="124" t="str">
        <f>IF(COUNTIF('PO Check'!A:A,D10)&gt;0,"Yes","No")</f>
        <v>Yes</v>
      </c>
      <c r="Q10" s="124" t="str" cm="1">
        <f t="array" ref="Q10">_xlfn.XLOOKUP(1,('Case Pack'!$A$4:$A$962=C10)*('Case Pack'!$L$4:$L$962&gt;0)*('Case Pack'!$L$4:$L$962&lt;=A10),'Case Pack'!$G$4:$G$962,"未找到箱型")</f>
        <v>C</v>
      </c>
      <c r="R10" s="124">
        <f>ROUND(IFERROR(VLOOKUP(Q10,'Case Type'!A:H,8,0),0)*O10,2)</f>
        <v>0.54</v>
      </c>
    </row>
    <row r="11" customFormat="1" spans="1:18">
      <c r="A11" s="113">
        <v>45965</v>
      </c>
      <c r="B11" s="91" t="str">
        <f>_xlfn.XLOOKUP(C11,'Product List'!B:B,'Product List'!I:I)</f>
        <v>MINI/MOE SILENT CRSTL RUN WHEEL LG 8.5-White</v>
      </c>
      <c r="C11" s="94" t="s">
        <v>29</v>
      </c>
      <c r="D11" s="250">
        <v>29657900</v>
      </c>
      <c r="E11" s="125">
        <v>136</v>
      </c>
      <c r="F11" s="124">
        <v>13.22</v>
      </c>
      <c r="G11" s="124">
        <f t="shared" si="0"/>
        <v>1797.92</v>
      </c>
      <c r="H11" s="86" t="s">
        <v>298</v>
      </c>
      <c r="I11" s="86" t="s">
        <v>92</v>
      </c>
      <c r="J11" s="124" t="s">
        <v>300</v>
      </c>
      <c r="K11" s="193">
        <v>46048</v>
      </c>
      <c r="L11" s="251">
        <v>46048</v>
      </c>
      <c r="M11" s="127">
        <v>6.12</v>
      </c>
      <c r="N11" s="124">
        <f t="shared" si="1"/>
        <v>832.32</v>
      </c>
      <c r="O11" s="124" cm="1">
        <f t="array" ref="O11">E11/_xlfn.XLOOKUP(1,('Case Pack'!$A$4:$A$962=C11)*('Case Pack'!$L$4:$L$962&gt;0)*('Case Pack'!$L$4:$L$962&lt;=A11),'Case Pack'!$D$4:$D$962,"未找到箱规")</f>
        <v>17</v>
      </c>
      <c r="P11" s="124" t="str">
        <f>IF(COUNTIF('PO Check'!A:A,D11)&gt;0,"Yes","No")</f>
        <v>Yes</v>
      </c>
      <c r="Q11" s="124" t="str" cm="1">
        <f t="array" ref="Q11">_xlfn.XLOOKUP(1,('Case Pack'!$A$4:$A$962=C11)*('Case Pack'!$L$4:$L$962&gt;0)*('Case Pack'!$L$4:$L$962&lt;=A11),'Case Pack'!$G$4:$G$962,"未找到箱型")</f>
        <v>C</v>
      </c>
      <c r="R11" s="124">
        <f>ROUND(IFERROR(VLOOKUP(Q11,'Case Type'!A:H,8,0),0)*O11,2)</f>
        <v>2.67</v>
      </c>
    </row>
    <row r="12" customFormat="1" spans="1:18">
      <c r="A12" s="113">
        <v>45965</v>
      </c>
      <c r="B12" s="91" t="str">
        <f>_xlfn.XLOOKUP(C12,'Product List'!B:B,'Product List'!I:I)</f>
        <v>MMO-CLOUD WATER BOTTLE</v>
      </c>
      <c r="C12" s="94" t="s">
        <v>77</v>
      </c>
      <c r="D12" s="250">
        <v>29657900</v>
      </c>
      <c r="E12" s="125">
        <v>180</v>
      </c>
      <c r="F12" s="124">
        <v>1.32</v>
      </c>
      <c r="G12" s="124">
        <f t="shared" si="0"/>
        <v>237.6</v>
      </c>
      <c r="H12" s="86" t="s">
        <v>298</v>
      </c>
      <c r="I12" s="86" t="s">
        <v>92</v>
      </c>
      <c r="J12" s="124" t="s">
        <v>300</v>
      </c>
      <c r="K12" s="193">
        <v>46048</v>
      </c>
      <c r="L12" s="251">
        <v>46048</v>
      </c>
      <c r="M12" s="127">
        <v>0.59</v>
      </c>
      <c r="N12" s="124">
        <f t="shared" si="1"/>
        <v>106.2</v>
      </c>
      <c r="O12" s="124" cm="1">
        <f t="array" ref="O12">E12/_xlfn.XLOOKUP(1,('Case Pack'!$A$4:$A$962=C12)*('Case Pack'!$L$4:$L$962&gt;0)*('Case Pack'!$L$4:$L$962&lt;=A12),'Case Pack'!$D$4:$D$962,"未找到箱规")</f>
        <v>3.6</v>
      </c>
      <c r="P12" s="124" t="str">
        <f>IF(COUNTIF('PO Check'!A:A,D12)&gt;0,"Yes","No")</f>
        <v>Yes</v>
      </c>
      <c r="Q12" s="124" t="str" cm="1">
        <f t="array" ref="Q12">_xlfn.XLOOKUP(1,('Case Pack'!$A$4:$A$962=C12)*('Case Pack'!$L$4:$L$962&gt;0)*('Case Pack'!$L$4:$L$962&lt;=A12),'Case Pack'!$G$4:$G$962,"未找到箱型")</f>
        <v>A</v>
      </c>
      <c r="R12" s="124">
        <f>ROUND(IFERROR(VLOOKUP(Q12,'Case Type'!A:H,8,0),0)*O12,2)</f>
        <v>0.4</v>
      </c>
    </row>
    <row r="13" customFormat="1" spans="1:18">
      <c r="A13" s="113">
        <v>45965</v>
      </c>
      <c r="B13" s="91" t="str">
        <f>_xlfn.XLOOKUP(C13,'Product List'!B:B,'Product List'!I:I)</f>
        <v>MINI/MOE TV VIEWING CAGE</v>
      </c>
      <c r="C13" s="94" t="s">
        <v>50</v>
      </c>
      <c r="D13" s="250">
        <v>29657900</v>
      </c>
      <c r="E13" s="125">
        <v>129</v>
      </c>
      <c r="F13" s="124">
        <v>48.49</v>
      </c>
      <c r="G13" s="124">
        <f t="shared" si="0"/>
        <v>6255.21</v>
      </c>
      <c r="H13" s="86" t="s">
        <v>298</v>
      </c>
      <c r="I13" s="86" t="s">
        <v>92</v>
      </c>
      <c r="J13" s="124" t="s">
        <v>300</v>
      </c>
      <c r="K13" s="193">
        <v>46048</v>
      </c>
      <c r="L13" s="251">
        <v>46048</v>
      </c>
      <c r="M13" s="127">
        <v>24.09</v>
      </c>
      <c r="N13" s="124">
        <f t="shared" si="1"/>
        <v>3107.61</v>
      </c>
      <c r="O13" s="124" cm="1">
        <f t="array" ref="O13">E13/_xlfn.XLOOKUP(1,('Case Pack'!$A$4:$A$962=C13)*('Case Pack'!$L$4:$L$962&gt;0)*('Case Pack'!$L$4:$L$962&lt;=A13),'Case Pack'!$D$4:$D$962,"未找到箱规")</f>
        <v>129</v>
      </c>
      <c r="P13" s="124" t="str">
        <f>IF(COUNTIF('PO Check'!A:A,D13)&gt;0,"Yes","No")</f>
        <v>Yes</v>
      </c>
      <c r="Q13" s="124" t="str" cm="1">
        <f t="array" ref="Q13">_xlfn.XLOOKUP(1,('Case Pack'!$A$4:$A$962=C13)*('Case Pack'!$L$4:$L$962&gt;0)*('Case Pack'!$L$4:$L$962&lt;=A13),'Case Pack'!$G$4:$G$962,"未找到箱型")</f>
        <v>S1</v>
      </c>
      <c r="R13" s="124">
        <f>ROUND(IFERROR(VLOOKUP(Q13,'Case Type'!A:H,8,0),0)*O13,2)</f>
        <v>9.55</v>
      </c>
    </row>
    <row r="14" customFormat="1" spans="1:18">
      <c r="A14" s="113">
        <v>45965</v>
      </c>
      <c r="B14" s="91" t="str">
        <f>_xlfn.XLOOKUP(C14,'Product List'!B:B,'Product List'!I:I)</f>
        <v>MMO-PAPER PEBBLES</v>
      </c>
      <c r="C14" s="249" t="s">
        <v>81</v>
      </c>
      <c r="D14" s="250">
        <v>29657900</v>
      </c>
      <c r="E14" s="125">
        <v>140</v>
      </c>
      <c r="F14" s="124">
        <v>5.81</v>
      </c>
      <c r="G14" s="124">
        <f t="shared" si="0"/>
        <v>813.4</v>
      </c>
      <c r="H14" s="86" t="s">
        <v>298</v>
      </c>
      <c r="I14" s="86" t="s">
        <v>92</v>
      </c>
      <c r="J14" s="124" t="s">
        <v>300</v>
      </c>
      <c r="K14" s="193">
        <v>46048</v>
      </c>
      <c r="L14" s="251">
        <v>46048</v>
      </c>
      <c r="M14" s="127">
        <v>2.7</v>
      </c>
      <c r="N14" s="124">
        <f t="shared" si="1"/>
        <v>378</v>
      </c>
      <c r="O14" s="124" cm="1">
        <f t="array" ref="O14">E14/_xlfn.XLOOKUP(1,('Case Pack'!$A$4:$A$962=C14)*('Case Pack'!$L$4:$L$962&gt;0)*('Case Pack'!$L$4:$L$962&lt;=A14),'Case Pack'!$D$4:$D$962,"未找到箱规")</f>
        <v>11.6666666666667</v>
      </c>
      <c r="P14" s="124" t="str">
        <f>IF(COUNTIF('PO Check'!A:A,D14)&gt;0,"Yes","No")</f>
        <v>Yes</v>
      </c>
      <c r="Q14" s="124" t="str" cm="1">
        <f t="array" ref="Q14">_xlfn.XLOOKUP(1,('Case Pack'!$A$4:$A$962=C14)*('Case Pack'!$L$4:$L$962&gt;0)*('Case Pack'!$L$4:$L$962&lt;=A14),'Case Pack'!$G$4:$G$962,"未找到箱型")</f>
        <v>B</v>
      </c>
      <c r="R14" s="124">
        <f>ROUND(IFERROR(VLOOKUP(Q14,'Case Type'!A:H,8,0),0)*O14,2)</f>
        <v>0.86</v>
      </c>
    </row>
    <row r="15" customFormat="1" spans="1:18">
      <c r="A15" s="113">
        <v>45965</v>
      </c>
      <c r="B15" s="91" t="str">
        <f>_xlfn.XLOOKUP(C15,'Product List'!B:B,'Product List'!I:I)</f>
        <v>MMO-PAPER TWIST BLU/WHT</v>
      </c>
      <c r="C15" s="249" t="s">
        <v>68</v>
      </c>
      <c r="D15" s="250">
        <v>29657900</v>
      </c>
      <c r="E15" s="125">
        <v>162</v>
      </c>
      <c r="F15" s="124">
        <v>3.89</v>
      </c>
      <c r="G15" s="124">
        <f t="shared" si="0"/>
        <v>630.18</v>
      </c>
      <c r="H15" s="86" t="s">
        <v>298</v>
      </c>
      <c r="I15" s="86" t="s">
        <v>92</v>
      </c>
      <c r="J15" s="124" t="s">
        <v>300</v>
      </c>
      <c r="K15" s="193">
        <v>46048</v>
      </c>
      <c r="L15" s="251">
        <v>46048</v>
      </c>
      <c r="M15" s="127">
        <v>1.91</v>
      </c>
      <c r="N15" s="124">
        <f t="shared" si="1"/>
        <v>309.42</v>
      </c>
      <c r="O15" s="124" cm="1">
        <f t="array" ref="O15">E15/_xlfn.XLOOKUP(1,('Case Pack'!$A$4:$A$962=C15)*('Case Pack'!$L$4:$L$962&gt;0)*('Case Pack'!$L$4:$L$962&lt;=A15),'Case Pack'!$D$4:$D$962,"未找到箱规")</f>
        <v>5.4</v>
      </c>
      <c r="P15" s="124" t="str">
        <f>IF(COUNTIF('PO Check'!A:A,D15)&gt;0,"Yes","No")</f>
        <v>Yes</v>
      </c>
      <c r="Q15" s="124" t="str" cm="1">
        <f t="array" ref="Q15">_xlfn.XLOOKUP(1,('Case Pack'!$A$4:$A$962=C15)*('Case Pack'!$L$4:$L$962&gt;0)*('Case Pack'!$L$4:$L$962&lt;=A15),'Case Pack'!$G$4:$G$962,"未找到箱型")</f>
        <v>A</v>
      </c>
      <c r="R15" s="124">
        <f>ROUND(IFERROR(VLOOKUP(Q15,'Case Type'!A:H,8,0),0)*O15,2)</f>
        <v>0.59</v>
      </c>
    </row>
    <row r="16" customFormat="1" spans="1:18">
      <c r="A16" s="113">
        <v>45965</v>
      </c>
      <c r="B16" s="91" t="str">
        <f>_xlfn.XLOOKUP(C16,'Product List'!B:B,'Product List'!I:I)</f>
        <v>MMO-COTTON NESTING BALLS</v>
      </c>
      <c r="C16" s="249" t="s">
        <v>84</v>
      </c>
      <c r="D16" s="250">
        <v>29657898</v>
      </c>
      <c r="E16" s="125">
        <v>186</v>
      </c>
      <c r="F16" s="124">
        <v>3.37</v>
      </c>
      <c r="G16" s="124">
        <f t="shared" si="0"/>
        <v>626.82</v>
      </c>
      <c r="H16" s="86" t="s">
        <v>298</v>
      </c>
      <c r="I16" s="86" t="s">
        <v>92</v>
      </c>
      <c r="J16" s="124" t="s">
        <v>301</v>
      </c>
      <c r="K16" s="193">
        <v>46048</v>
      </c>
      <c r="L16" s="251">
        <v>46048</v>
      </c>
      <c r="M16" s="127">
        <v>1.57</v>
      </c>
      <c r="N16" s="124">
        <f t="shared" si="1"/>
        <v>292.02</v>
      </c>
      <c r="O16" s="124" cm="1">
        <f t="array" ref="O16">E16/_xlfn.XLOOKUP(1,('Case Pack'!$A$4:$A$962=C16)*('Case Pack'!$L$4:$L$962&gt;0)*('Case Pack'!$L$4:$L$962&lt;=A16),'Case Pack'!$D$4:$D$962,"未找到箱规")</f>
        <v>5.8125</v>
      </c>
      <c r="P16" s="124" t="str">
        <f>IF(COUNTIF('PO Check'!A:A,D16)&gt;0,"Yes","No")</f>
        <v>Yes</v>
      </c>
      <c r="Q16" s="124" t="str" cm="1">
        <f t="array" ref="Q16">_xlfn.XLOOKUP(1,('Case Pack'!$A$4:$A$962=C16)*('Case Pack'!$L$4:$L$962&gt;0)*('Case Pack'!$L$4:$L$962&lt;=A16),'Case Pack'!$G$4:$G$962,"未找到箱型")</f>
        <v>A</v>
      </c>
      <c r="R16" s="124">
        <f>ROUND(IFERROR(VLOOKUP(Q16,'Case Type'!A:H,8,0),0)*O16,2)</f>
        <v>0.64</v>
      </c>
    </row>
    <row r="17" customFormat="1" spans="1:18">
      <c r="A17" s="113">
        <v>45965</v>
      </c>
      <c r="B17" s="91" t="str">
        <f>_xlfn.XLOOKUP(C17,'Product List'!B:B,'Product List'!I:I)</f>
        <v>MMO-BUBBLE WATER BOTTLE</v>
      </c>
      <c r="C17" s="94" t="s">
        <v>67</v>
      </c>
      <c r="D17" s="250">
        <v>29657898</v>
      </c>
      <c r="E17" s="125">
        <v>180</v>
      </c>
      <c r="F17" s="124">
        <v>4.35</v>
      </c>
      <c r="G17" s="124">
        <f t="shared" si="0"/>
        <v>783</v>
      </c>
      <c r="H17" s="86" t="s">
        <v>298</v>
      </c>
      <c r="I17" s="86" t="s">
        <v>92</v>
      </c>
      <c r="J17" s="124" t="s">
        <v>301</v>
      </c>
      <c r="K17" s="193">
        <v>46048</v>
      </c>
      <c r="L17" s="251">
        <v>46048</v>
      </c>
      <c r="M17" s="127">
        <v>3.05</v>
      </c>
      <c r="N17" s="124">
        <f t="shared" si="1"/>
        <v>549</v>
      </c>
      <c r="O17" s="124" cm="1">
        <f t="array" ref="O17">E17/_xlfn.XLOOKUP(1,('Case Pack'!$A$4:$A$962=C17)*('Case Pack'!$L$4:$L$962&gt;0)*('Case Pack'!$L$4:$L$962&lt;=A17),'Case Pack'!$D$4:$D$962,"未找到箱规")</f>
        <v>4.28571428571429</v>
      </c>
      <c r="P17" s="124" t="str">
        <f>IF(COUNTIF('PO Check'!A:A,D17)&gt;0,"Yes","No")</f>
        <v>Yes</v>
      </c>
      <c r="Q17" s="124" t="str" cm="1">
        <f t="array" ref="Q17">_xlfn.XLOOKUP(1,('Case Pack'!$A$4:$A$962=C17)*('Case Pack'!$L$4:$L$962&gt;0)*('Case Pack'!$L$4:$L$962&lt;=A17),'Case Pack'!$G$4:$G$962,"未找到箱型")</f>
        <v>C</v>
      </c>
      <c r="R17" s="124">
        <f>ROUND(IFERROR(VLOOKUP(Q17,'Case Type'!A:H,8,0),0)*O17,2)</f>
        <v>0.67</v>
      </c>
    </row>
    <row r="18" customFormat="1" spans="1:18">
      <c r="A18" s="113">
        <v>45965</v>
      </c>
      <c r="B18" s="91" t="str">
        <f>_xlfn.XLOOKUP(C18,'Product List'!B:B,'Product List'!I:I)</f>
        <v>MINI/MOE SILENT CRSTL RUN WHEEL LG 8.5-White</v>
      </c>
      <c r="C18" s="94" t="s">
        <v>29</v>
      </c>
      <c r="D18" s="250">
        <v>29657898</v>
      </c>
      <c r="E18" s="125">
        <v>168</v>
      </c>
      <c r="F18" s="124">
        <v>13.22</v>
      </c>
      <c r="G18" s="124">
        <f t="shared" si="0"/>
        <v>2220.96</v>
      </c>
      <c r="H18" s="86" t="s">
        <v>298</v>
      </c>
      <c r="I18" s="86" t="s">
        <v>92</v>
      </c>
      <c r="J18" s="124" t="s">
        <v>301</v>
      </c>
      <c r="K18" s="193">
        <v>46048</v>
      </c>
      <c r="L18" s="251">
        <v>46048</v>
      </c>
      <c r="M18" s="127">
        <v>6.12</v>
      </c>
      <c r="N18" s="124">
        <f t="shared" si="1"/>
        <v>1028.16</v>
      </c>
      <c r="O18" s="124" cm="1">
        <f t="array" ref="O18">E18/_xlfn.XLOOKUP(1,('Case Pack'!$A$4:$A$962=C18)*('Case Pack'!$L$4:$L$962&gt;0)*('Case Pack'!$L$4:$L$962&lt;=A18),'Case Pack'!$D$4:$D$962,"未找到箱规")</f>
        <v>21</v>
      </c>
      <c r="P18" s="124" t="str">
        <f>IF(COUNTIF('PO Check'!A:A,D18)&gt;0,"Yes","No")</f>
        <v>Yes</v>
      </c>
      <c r="Q18" s="124" t="str" cm="1">
        <f t="array" ref="Q18">_xlfn.XLOOKUP(1,('Case Pack'!$A$4:$A$962=C18)*('Case Pack'!$L$4:$L$962&gt;0)*('Case Pack'!$L$4:$L$962&lt;=A18),'Case Pack'!$G$4:$G$962,"未找到箱型")</f>
        <v>C</v>
      </c>
      <c r="R18" s="124">
        <f>ROUND(IFERROR(VLOOKUP(Q18,'Case Type'!A:H,8,0),0)*O18,2)</f>
        <v>3.3</v>
      </c>
    </row>
    <row r="19" customFormat="1" spans="1:18">
      <c r="A19" s="113">
        <v>45965</v>
      </c>
      <c r="B19" s="91" t="str">
        <f>_xlfn.XLOOKUP(C19,'Product List'!B:B,'Product List'!I:I)</f>
        <v>MMO-CLOUD WATER BOTTLE</v>
      </c>
      <c r="C19" s="94" t="s">
        <v>77</v>
      </c>
      <c r="D19" s="250">
        <v>29657898</v>
      </c>
      <c r="E19" s="125">
        <v>240</v>
      </c>
      <c r="F19" s="124">
        <v>1.32</v>
      </c>
      <c r="G19" s="124">
        <f t="shared" si="0"/>
        <v>316.8</v>
      </c>
      <c r="H19" s="86" t="s">
        <v>298</v>
      </c>
      <c r="I19" s="86" t="s">
        <v>92</v>
      </c>
      <c r="J19" s="124" t="s">
        <v>301</v>
      </c>
      <c r="K19" s="193">
        <v>46048</v>
      </c>
      <c r="L19" s="251">
        <v>46048</v>
      </c>
      <c r="M19" s="127">
        <v>0.59</v>
      </c>
      <c r="N19" s="124">
        <f t="shared" si="1"/>
        <v>141.6</v>
      </c>
      <c r="O19" s="124" cm="1">
        <f t="array" ref="O19">E19/_xlfn.XLOOKUP(1,('Case Pack'!$A$4:$A$962=C19)*('Case Pack'!$L$4:$L$962&gt;0)*('Case Pack'!$L$4:$L$962&lt;=A19),'Case Pack'!$D$4:$D$962,"未找到箱规")</f>
        <v>4.8</v>
      </c>
      <c r="P19" s="124" t="str">
        <f>IF(COUNTIF('PO Check'!A:A,D19)&gt;0,"Yes","No")</f>
        <v>Yes</v>
      </c>
      <c r="Q19" s="124" t="str" cm="1">
        <f t="array" ref="Q19">_xlfn.XLOOKUP(1,('Case Pack'!$A$4:$A$962=C19)*('Case Pack'!$L$4:$L$962&gt;0)*('Case Pack'!$L$4:$L$962&lt;=A19),'Case Pack'!$G$4:$G$962,"未找到箱型")</f>
        <v>A</v>
      </c>
      <c r="R19" s="124">
        <f>ROUND(IFERROR(VLOOKUP(Q19,'Case Type'!A:H,8,0),0)*O19,2)</f>
        <v>0.53</v>
      </c>
    </row>
    <row r="20" customFormat="1" spans="1:18">
      <c r="A20" s="113">
        <v>45965</v>
      </c>
      <c r="B20" s="91" t="str">
        <f>_xlfn.XLOOKUP(C20,'Product List'!B:B,'Product List'!I:I)</f>
        <v>MINI/MOE TV VIEWING CAGE</v>
      </c>
      <c r="C20" s="94" t="s">
        <v>50</v>
      </c>
      <c r="D20" s="250">
        <v>29657898</v>
      </c>
      <c r="E20" s="125">
        <v>156</v>
      </c>
      <c r="F20" s="124">
        <v>48.49</v>
      </c>
      <c r="G20" s="124">
        <f t="shared" si="0"/>
        <v>7564.44</v>
      </c>
      <c r="H20" s="86" t="s">
        <v>298</v>
      </c>
      <c r="I20" s="86" t="s">
        <v>92</v>
      </c>
      <c r="J20" s="124" t="s">
        <v>301</v>
      </c>
      <c r="K20" s="193">
        <v>46048</v>
      </c>
      <c r="L20" s="251">
        <v>46048</v>
      </c>
      <c r="M20" s="127">
        <v>24.09</v>
      </c>
      <c r="N20" s="124">
        <f t="shared" si="1"/>
        <v>3758.04</v>
      </c>
      <c r="O20" s="124" cm="1">
        <f t="array" ref="O20">E20/_xlfn.XLOOKUP(1,('Case Pack'!$A$4:$A$962=C20)*('Case Pack'!$L$4:$L$962&gt;0)*('Case Pack'!$L$4:$L$962&lt;=A20),'Case Pack'!$D$4:$D$962,"未找到箱规")</f>
        <v>156</v>
      </c>
      <c r="P20" s="124" t="str">
        <f>IF(COUNTIF('PO Check'!A:A,D20)&gt;0,"Yes","No")</f>
        <v>Yes</v>
      </c>
      <c r="Q20" s="124" t="str" cm="1">
        <f t="array" ref="Q20">_xlfn.XLOOKUP(1,('Case Pack'!$A$4:$A$962=C20)*('Case Pack'!$L$4:$L$962&gt;0)*('Case Pack'!$L$4:$L$962&lt;=A20),'Case Pack'!$G$4:$G$962,"未找到箱型")</f>
        <v>S1</v>
      </c>
      <c r="R20" s="124">
        <f>ROUND(IFERROR(VLOOKUP(Q20,'Case Type'!A:H,8,0),0)*O20,2)</f>
        <v>11.54</v>
      </c>
    </row>
    <row r="21" customFormat="1" spans="1:18">
      <c r="A21" s="113">
        <v>45965</v>
      </c>
      <c r="B21" s="91" t="str">
        <f>_xlfn.XLOOKUP(C21,'Product List'!B:B,'Product List'!I:I)</f>
        <v>MMO-PAPER PEBBLES</v>
      </c>
      <c r="C21" s="249" t="s">
        <v>81</v>
      </c>
      <c r="D21" s="250">
        <v>29657898</v>
      </c>
      <c r="E21" s="125">
        <v>170</v>
      </c>
      <c r="F21" s="124">
        <v>5.81</v>
      </c>
      <c r="G21" s="124">
        <f t="shared" si="0"/>
        <v>987.7</v>
      </c>
      <c r="H21" s="86" t="s">
        <v>298</v>
      </c>
      <c r="I21" s="86" t="s">
        <v>92</v>
      </c>
      <c r="J21" s="124" t="s">
        <v>301</v>
      </c>
      <c r="K21" s="193">
        <v>46048</v>
      </c>
      <c r="L21" s="251">
        <v>46048</v>
      </c>
      <c r="M21" s="127">
        <v>2.7</v>
      </c>
      <c r="N21" s="124">
        <f t="shared" si="1"/>
        <v>459</v>
      </c>
      <c r="O21" s="124" cm="1">
        <f t="array" ref="O21">E21/_xlfn.XLOOKUP(1,('Case Pack'!$A$4:$A$962=C21)*('Case Pack'!$L$4:$L$962&gt;0)*('Case Pack'!$L$4:$L$962&lt;=A21),'Case Pack'!$D$4:$D$962,"未找到箱规")</f>
        <v>14.1666666666667</v>
      </c>
      <c r="P21" s="124" t="str">
        <f>IF(COUNTIF('PO Check'!A:A,D21)&gt;0,"Yes","No")</f>
        <v>Yes</v>
      </c>
      <c r="Q21" s="124" t="str" cm="1">
        <f t="array" ref="Q21">_xlfn.XLOOKUP(1,('Case Pack'!$A$4:$A$962=C21)*('Case Pack'!$L$4:$L$962&gt;0)*('Case Pack'!$L$4:$L$962&lt;=A21),'Case Pack'!$G$4:$G$962,"未找到箱型")</f>
        <v>B</v>
      </c>
      <c r="R21" s="124">
        <f>ROUND(IFERROR(VLOOKUP(Q21,'Case Type'!A:H,8,0),0)*O21,2)</f>
        <v>1.04</v>
      </c>
    </row>
    <row r="22" customFormat="1" spans="1:18">
      <c r="A22" s="113">
        <v>45965</v>
      </c>
      <c r="B22" s="91" t="str">
        <f>_xlfn.XLOOKUP(C22,'Product List'!B:B,'Product List'!I:I)</f>
        <v>MMO-PAPER TWIST BLU/WHT</v>
      </c>
      <c r="C22" s="249" t="s">
        <v>68</v>
      </c>
      <c r="D22" s="250">
        <v>29657898</v>
      </c>
      <c r="E22" s="125">
        <v>198</v>
      </c>
      <c r="F22" s="124">
        <v>3.89</v>
      </c>
      <c r="G22" s="124">
        <f t="shared" si="0"/>
        <v>770.22</v>
      </c>
      <c r="H22" s="86" t="s">
        <v>298</v>
      </c>
      <c r="I22" s="86" t="s">
        <v>92</v>
      </c>
      <c r="J22" s="124" t="s">
        <v>301</v>
      </c>
      <c r="K22" s="193">
        <v>46048</v>
      </c>
      <c r="L22" s="251">
        <v>46048</v>
      </c>
      <c r="M22" s="127">
        <v>1.91</v>
      </c>
      <c r="N22" s="124">
        <f t="shared" si="1"/>
        <v>378.18</v>
      </c>
      <c r="O22" s="124" cm="1">
        <f t="array" ref="O22">E22/_xlfn.XLOOKUP(1,('Case Pack'!$A$4:$A$962=C22)*('Case Pack'!$L$4:$L$962&gt;0)*('Case Pack'!$L$4:$L$962&lt;=A22),'Case Pack'!$D$4:$D$962,"未找到箱规")</f>
        <v>6.6</v>
      </c>
      <c r="P22" s="124" t="str">
        <f>IF(COUNTIF('PO Check'!A:A,D22)&gt;0,"Yes","No")</f>
        <v>Yes</v>
      </c>
      <c r="Q22" s="124" t="str" cm="1">
        <f t="array" ref="Q22">_xlfn.XLOOKUP(1,('Case Pack'!$A$4:$A$962=C22)*('Case Pack'!$L$4:$L$962&gt;0)*('Case Pack'!$L$4:$L$962&lt;=A22),'Case Pack'!$G$4:$G$962,"未找到箱型")</f>
        <v>A</v>
      </c>
      <c r="R22" s="124">
        <f>ROUND(IFERROR(VLOOKUP(Q22,'Case Type'!A:H,8,0),0)*O22,2)</f>
        <v>0.73</v>
      </c>
    </row>
    <row r="23" customFormat="1" spans="1:18">
      <c r="A23" s="113">
        <v>45965</v>
      </c>
      <c r="B23" s="91" t="str">
        <f>_xlfn.XLOOKUP(C23,'Product List'!B:B,'Product List'!I:I)</f>
        <v>MMO-COTTON NESTING BALLS</v>
      </c>
      <c r="C23" s="249" t="s">
        <v>84</v>
      </c>
      <c r="D23" s="250">
        <v>29657902</v>
      </c>
      <c r="E23" s="125">
        <v>310</v>
      </c>
      <c r="F23" s="124">
        <v>3.37</v>
      </c>
      <c r="G23" s="124">
        <f t="shared" si="0"/>
        <v>1044.7</v>
      </c>
      <c r="H23" s="86" t="s">
        <v>298</v>
      </c>
      <c r="I23" s="86" t="s">
        <v>92</v>
      </c>
      <c r="J23" s="124" t="s">
        <v>302</v>
      </c>
      <c r="K23" s="193">
        <v>46048</v>
      </c>
      <c r="L23" s="251">
        <v>46048</v>
      </c>
      <c r="M23" s="127">
        <v>1.57</v>
      </c>
      <c r="N23" s="124">
        <f t="shared" si="1"/>
        <v>486.7</v>
      </c>
      <c r="O23" s="124" cm="1">
        <f t="array" ref="O23">E23/_xlfn.XLOOKUP(1,('Case Pack'!$A$4:$A$962=C23)*('Case Pack'!$L$4:$L$962&gt;0)*('Case Pack'!$L$4:$L$962&lt;=A23),'Case Pack'!$D$4:$D$962,"未找到箱规")</f>
        <v>9.6875</v>
      </c>
      <c r="P23" s="124" t="str">
        <f>IF(COUNTIF('PO Check'!A:A,D23)&gt;0,"Yes","No")</f>
        <v>Yes</v>
      </c>
      <c r="Q23" s="124" t="str" cm="1">
        <f t="array" ref="Q23">_xlfn.XLOOKUP(1,('Case Pack'!$A$4:$A$962=C23)*('Case Pack'!$L$4:$L$962&gt;0)*('Case Pack'!$L$4:$L$962&lt;=A23),'Case Pack'!$G$4:$G$962,"未找到箱型")</f>
        <v>A</v>
      </c>
      <c r="R23" s="124">
        <f>ROUND(IFERROR(VLOOKUP(Q23,'Case Type'!A:H,8,0),0)*O23,2)</f>
        <v>1.07</v>
      </c>
    </row>
    <row r="24" customFormat="1" spans="1:18">
      <c r="A24" s="113">
        <v>45965</v>
      </c>
      <c r="B24" s="91" t="str">
        <f>_xlfn.XLOOKUP(C24,'Product List'!B:B,'Product List'!I:I)</f>
        <v>MMO-BUBBLE WATER BOTTLE</v>
      </c>
      <c r="C24" s="94" t="s">
        <v>67</v>
      </c>
      <c r="D24" s="250">
        <v>29657902</v>
      </c>
      <c r="E24" s="125">
        <v>288</v>
      </c>
      <c r="F24" s="124">
        <v>4.35</v>
      </c>
      <c r="G24" s="124">
        <f t="shared" si="0"/>
        <v>1252.8</v>
      </c>
      <c r="H24" s="86" t="s">
        <v>298</v>
      </c>
      <c r="I24" s="86" t="s">
        <v>92</v>
      </c>
      <c r="J24" s="124" t="s">
        <v>302</v>
      </c>
      <c r="K24" s="193">
        <v>46048</v>
      </c>
      <c r="L24" s="251">
        <v>46048</v>
      </c>
      <c r="M24" s="127">
        <v>3.05</v>
      </c>
      <c r="N24" s="124">
        <f t="shared" si="1"/>
        <v>878.4</v>
      </c>
      <c r="O24" s="124" cm="1">
        <f t="array" ref="O24">E24/_xlfn.XLOOKUP(1,('Case Pack'!$A$4:$A$962=C24)*('Case Pack'!$L$4:$L$962&gt;0)*('Case Pack'!$L$4:$L$962&lt;=A24),'Case Pack'!$D$4:$D$962,"未找到箱规")</f>
        <v>6.85714285714286</v>
      </c>
      <c r="P24" s="124" t="str">
        <f>IF(COUNTIF('PO Check'!A:A,D24)&gt;0,"Yes","No")</f>
        <v>Yes</v>
      </c>
      <c r="Q24" s="124" t="str" cm="1">
        <f t="array" ref="Q24">_xlfn.XLOOKUP(1,('Case Pack'!$A$4:$A$962=C24)*('Case Pack'!$L$4:$L$962&gt;0)*('Case Pack'!$L$4:$L$962&lt;=A24),'Case Pack'!$G$4:$G$962,"未找到箱型")</f>
        <v>C</v>
      </c>
      <c r="R24" s="124">
        <f>ROUND(IFERROR(VLOOKUP(Q24,'Case Type'!A:H,8,0),0)*O24,2)</f>
        <v>1.08</v>
      </c>
    </row>
    <row r="25" customFormat="1" spans="1:18">
      <c r="A25" s="113">
        <v>45965</v>
      </c>
      <c r="B25" s="91" t="str">
        <f>_xlfn.XLOOKUP(C25,'Product List'!B:B,'Product List'!I:I)</f>
        <v>MINI/MOE SILENT CRSTL RUN WHEEL LG 8.5-White</v>
      </c>
      <c r="C25" s="94" t="s">
        <v>29</v>
      </c>
      <c r="D25" s="250">
        <v>29657902</v>
      </c>
      <c r="E25" s="125">
        <v>272</v>
      </c>
      <c r="F25" s="124">
        <v>13.22</v>
      </c>
      <c r="G25" s="124">
        <f t="shared" si="0"/>
        <v>3595.84</v>
      </c>
      <c r="H25" s="86" t="s">
        <v>298</v>
      </c>
      <c r="I25" s="86" t="s">
        <v>92</v>
      </c>
      <c r="J25" s="124" t="s">
        <v>302</v>
      </c>
      <c r="K25" s="193">
        <v>46048</v>
      </c>
      <c r="L25" s="251">
        <v>46048</v>
      </c>
      <c r="M25" s="127">
        <v>6.12</v>
      </c>
      <c r="N25" s="124">
        <f t="shared" si="1"/>
        <v>1664.64</v>
      </c>
      <c r="O25" s="124" cm="1">
        <f t="array" ref="O25">E25/_xlfn.XLOOKUP(1,('Case Pack'!$A$4:$A$962=C25)*('Case Pack'!$L$4:$L$962&gt;0)*('Case Pack'!$L$4:$L$962&lt;=A25),'Case Pack'!$D$4:$D$962,"未找到箱规")</f>
        <v>34</v>
      </c>
      <c r="P25" s="124" t="str">
        <f>IF(COUNTIF('PO Check'!A:A,D25)&gt;0,"Yes","No")</f>
        <v>Yes</v>
      </c>
      <c r="Q25" s="124" t="str" cm="1">
        <f t="array" ref="Q25">_xlfn.XLOOKUP(1,('Case Pack'!$A$4:$A$962=C25)*('Case Pack'!$L$4:$L$962&gt;0)*('Case Pack'!$L$4:$L$962&lt;=A25),'Case Pack'!$G$4:$G$962,"未找到箱型")</f>
        <v>C</v>
      </c>
      <c r="R25" s="124">
        <f>ROUND(IFERROR(VLOOKUP(Q25,'Case Type'!A:H,8,0),0)*O25,2)</f>
        <v>5.35</v>
      </c>
    </row>
    <row r="26" customFormat="1" spans="1:18">
      <c r="A26" s="113">
        <v>45965</v>
      </c>
      <c r="B26" s="91" t="str">
        <f>_xlfn.XLOOKUP(C26,'Product List'!B:B,'Product List'!I:I)</f>
        <v>MMO-CLOUD WATER BOTTLE</v>
      </c>
      <c r="C26" s="94" t="s">
        <v>77</v>
      </c>
      <c r="D26" s="250">
        <v>29657902</v>
      </c>
      <c r="E26" s="125">
        <v>360</v>
      </c>
      <c r="F26" s="124">
        <v>1.32</v>
      </c>
      <c r="G26" s="124">
        <f t="shared" si="0"/>
        <v>475.2</v>
      </c>
      <c r="H26" s="86" t="s">
        <v>298</v>
      </c>
      <c r="I26" s="86" t="s">
        <v>92</v>
      </c>
      <c r="J26" s="124" t="s">
        <v>302</v>
      </c>
      <c r="K26" s="193">
        <v>46048</v>
      </c>
      <c r="L26" s="251">
        <v>46048</v>
      </c>
      <c r="M26" s="127">
        <v>0.59</v>
      </c>
      <c r="N26" s="124">
        <f t="shared" si="1"/>
        <v>212.4</v>
      </c>
      <c r="O26" s="124" cm="1">
        <f t="array" ref="O26">E26/_xlfn.XLOOKUP(1,('Case Pack'!$A$4:$A$962=C26)*('Case Pack'!$L$4:$L$962&gt;0)*('Case Pack'!$L$4:$L$962&lt;=A26),'Case Pack'!$D$4:$D$962,"未找到箱规")</f>
        <v>7.2</v>
      </c>
      <c r="P26" s="124" t="str">
        <f>IF(COUNTIF('PO Check'!A:A,D26)&gt;0,"Yes","No")</f>
        <v>Yes</v>
      </c>
      <c r="Q26" s="124" t="str" cm="1">
        <f t="array" ref="Q26">_xlfn.XLOOKUP(1,('Case Pack'!$A$4:$A$962=C26)*('Case Pack'!$L$4:$L$962&gt;0)*('Case Pack'!$L$4:$L$962&lt;=A26),'Case Pack'!$G$4:$G$962,"未找到箱型")</f>
        <v>A</v>
      </c>
      <c r="R26" s="124">
        <f>ROUND(IFERROR(VLOOKUP(Q26,'Case Type'!A:H,8,0),0)*O26,2)</f>
        <v>0.79</v>
      </c>
    </row>
    <row r="27" customFormat="1" spans="1:18">
      <c r="A27" s="113">
        <v>45965</v>
      </c>
      <c r="B27" s="91" t="str">
        <f>_xlfn.XLOOKUP(C27,'Product List'!B:B,'Product List'!I:I)</f>
        <v>MINI/MOE TV VIEWING CAGE</v>
      </c>
      <c r="C27" s="94" t="s">
        <v>50</v>
      </c>
      <c r="D27" s="250">
        <v>29657902</v>
      </c>
      <c r="E27" s="125">
        <v>255</v>
      </c>
      <c r="F27" s="124">
        <v>48.49</v>
      </c>
      <c r="G27" s="124">
        <f t="shared" si="0"/>
        <v>12364.95</v>
      </c>
      <c r="H27" s="86" t="s">
        <v>298</v>
      </c>
      <c r="I27" s="86" t="s">
        <v>92</v>
      </c>
      <c r="J27" s="124" t="s">
        <v>302</v>
      </c>
      <c r="K27" s="193">
        <v>46048</v>
      </c>
      <c r="L27" s="251">
        <v>46048</v>
      </c>
      <c r="M27" s="127">
        <v>24.09</v>
      </c>
      <c r="N27" s="124">
        <f t="shared" si="1"/>
        <v>6142.95</v>
      </c>
      <c r="O27" s="124" cm="1">
        <f t="array" ref="O27">E27/_xlfn.XLOOKUP(1,('Case Pack'!$A$4:$A$962=C27)*('Case Pack'!$L$4:$L$962&gt;0)*('Case Pack'!$L$4:$L$962&lt;=A27),'Case Pack'!$D$4:$D$962,"未找到箱规")</f>
        <v>255</v>
      </c>
      <c r="P27" s="124" t="str">
        <f>IF(COUNTIF('PO Check'!A:A,D27)&gt;0,"Yes","No")</f>
        <v>Yes</v>
      </c>
      <c r="Q27" s="124" t="str" cm="1">
        <f t="array" ref="Q27">_xlfn.XLOOKUP(1,('Case Pack'!$A$4:$A$962=C27)*('Case Pack'!$L$4:$L$962&gt;0)*('Case Pack'!$L$4:$L$962&lt;=A27),'Case Pack'!$G$4:$G$962,"未找到箱型")</f>
        <v>S1</v>
      </c>
      <c r="R27" s="124">
        <f>ROUND(IFERROR(VLOOKUP(Q27,'Case Type'!A:H,8,0),0)*O27,2)</f>
        <v>18.87</v>
      </c>
    </row>
    <row r="28" customFormat="1" spans="1:18">
      <c r="A28" s="113">
        <v>45965</v>
      </c>
      <c r="B28" s="91" t="str">
        <f>_xlfn.XLOOKUP(C28,'Product List'!B:B,'Product List'!I:I)</f>
        <v>MMO-PAPER PEBBLES</v>
      </c>
      <c r="C28" s="249" t="s">
        <v>81</v>
      </c>
      <c r="D28" s="250">
        <v>29657902</v>
      </c>
      <c r="E28" s="125">
        <v>280</v>
      </c>
      <c r="F28" s="124">
        <v>5.81</v>
      </c>
      <c r="G28" s="124">
        <f t="shared" si="0"/>
        <v>1626.8</v>
      </c>
      <c r="H28" s="86" t="s">
        <v>298</v>
      </c>
      <c r="I28" s="86" t="s">
        <v>92</v>
      </c>
      <c r="J28" s="124" t="s">
        <v>302</v>
      </c>
      <c r="K28" s="193">
        <v>46048</v>
      </c>
      <c r="L28" s="251">
        <v>46048</v>
      </c>
      <c r="M28" s="127">
        <v>2.7</v>
      </c>
      <c r="N28" s="124">
        <f t="shared" si="1"/>
        <v>756</v>
      </c>
      <c r="O28" s="124" cm="1">
        <f t="array" ref="O28">E28/_xlfn.XLOOKUP(1,('Case Pack'!$A$4:$A$962=C28)*('Case Pack'!$L$4:$L$962&gt;0)*('Case Pack'!$L$4:$L$962&lt;=A28),'Case Pack'!$D$4:$D$962,"未找到箱规")</f>
        <v>23.3333333333333</v>
      </c>
      <c r="P28" s="124" t="str">
        <f>IF(COUNTIF('PO Check'!A:A,D28)&gt;0,"Yes","No")</f>
        <v>Yes</v>
      </c>
      <c r="Q28" s="124" t="str" cm="1">
        <f t="array" ref="Q28">_xlfn.XLOOKUP(1,('Case Pack'!$A$4:$A$962=C28)*('Case Pack'!$L$4:$L$962&gt;0)*('Case Pack'!$L$4:$L$962&lt;=A28),'Case Pack'!$G$4:$G$962,"未找到箱型")</f>
        <v>B</v>
      </c>
      <c r="R28" s="124">
        <f>ROUND(IFERROR(VLOOKUP(Q28,'Case Type'!A:H,8,0),0)*O28,2)</f>
        <v>1.71</v>
      </c>
    </row>
    <row r="29" customFormat="1" spans="1:18">
      <c r="A29" s="113">
        <v>45965</v>
      </c>
      <c r="B29" s="91" t="str">
        <f>_xlfn.XLOOKUP(C29,'Product List'!B:B,'Product List'!I:I)</f>
        <v>MMO-PAPER TWIST BLU/WHT</v>
      </c>
      <c r="C29" s="249" t="s">
        <v>68</v>
      </c>
      <c r="D29" s="250">
        <v>29657902</v>
      </c>
      <c r="E29" s="125">
        <v>306</v>
      </c>
      <c r="F29" s="124">
        <v>3.89</v>
      </c>
      <c r="G29" s="124">
        <f t="shared" si="0"/>
        <v>1190.34</v>
      </c>
      <c r="H29" s="86" t="s">
        <v>298</v>
      </c>
      <c r="I29" s="86" t="s">
        <v>92</v>
      </c>
      <c r="J29" s="124" t="s">
        <v>302</v>
      </c>
      <c r="K29" s="193">
        <v>46048</v>
      </c>
      <c r="L29" s="251">
        <v>46048</v>
      </c>
      <c r="M29" s="127">
        <v>1.91</v>
      </c>
      <c r="N29" s="124">
        <f t="shared" si="1"/>
        <v>584.46</v>
      </c>
      <c r="O29" s="124" cm="1">
        <f t="array" ref="O29">E29/_xlfn.XLOOKUP(1,('Case Pack'!$A$4:$A$962=C29)*('Case Pack'!$L$4:$L$962&gt;0)*('Case Pack'!$L$4:$L$962&lt;=A29),'Case Pack'!$D$4:$D$962,"未找到箱规")</f>
        <v>10.2</v>
      </c>
      <c r="P29" s="124" t="str">
        <f>IF(COUNTIF('PO Check'!A:A,D29)&gt;0,"Yes","No")</f>
        <v>Yes</v>
      </c>
      <c r="Q29" s="124" t="str" cm="1">
        <f t="array" ref="Q29">_xlfn.XLOOKUP(1,('Case Pack'!$A$4:$A$962=C29)*('Case Pack'!$L$4:$L$962&gt;0)*('Case Pack'!$L$4:$L$962&lt;=A29),'Case Pack'!$G$4:$G$962,"未找到箱型")</f>
        <v>A</v>
      </c>
      <c r="R29" s="124">
        <f>ROUND(IFERROR(VLOOKUP(Q29,'Case Type'!A:H,8,0),0)*O29,2)</f>
        <v>1.12</v>
      </c>
    </row>
    <row r="30" customFormat="1" spans="1:18">
      <c r="A30" s="113">
        <v>45965</v>
      </c>
      <c r="B30" s="91" t="str">
        <f>_xlfn.XLOOKUP(C30,'Product List'!B:B,'Product List'!I:I)</f>
        <v>MMO-COTTON NESTING BALLS</v>
      </c>
      <c r="C30" s="249" t="s">
        <v>84</v>
      </c>
      <c r="D30" s="250">
        <v>29657899</v>
      </c>
      <c r="E30" s="125">
        <v>124</v>
      </c>
      <c r="F30" s="124">
        <v>3.37</v>
      </c>
      <c r="G30" s="124">
        <f t="shared" si="0"/>
        <v>417.88</v>
      </c>
      <c r="H30" s="86" t="s">
        <v>298</v>
      </c>
      <c r="I30" s="86" t="s">
        <v>92</v>
      </c>
      <c r="J30" s="124" t="s">
        <v>303</v>
      </c>
      <c r="K30" s="193">
        <v>46048</v>
      </c>
      <c r="L30" s="251">
        <v>46048</v>
      </c>
      <c r="M30" s="127">
        <v>1.57</v>
      </c>
      <c r="N30" s="124">
        <f t="shared" si="1"/>
        <v>194.68</v>
      </c>
      <c r="O30" s="124" cm="1">
        <f t="array" ref="O30">E30/_xlfn.XLOOKUP(1,('Case Pack'!$A$4:$A$962=C30)*('Case Pack'!$L$4:$L$962&gt;0)*('Case Pack'!$L$4:$L$962&lt;=A30),'Case Pack'!$D$4:$D$962,"未找到箱规")</f>
        <v>3.875</v>
      </c>
      <c r="P30" s="124" t="str">
        <f>IF(COUNTIF('PO Check'!A:A,D30)&gt;0,"Yes","No")</f>
        <v>Yes</v>
      </c>
      <c r="Q30" s="124" t="str" cm="1">
        <f t="array" ref="Q30">_xlfn.XLOOKUP(1,('Case Pack'!$A$4:$A$962=C30)*('Case Pack'!$L$4:$L$962&gt;0)*('Case Pack'!$L$4:$L$962&lt;=A30),'Case Pack'!$G$4:$G$962,"未找到箱型")</f>
        <v>A</v>
      </c>
      <c r="R30" s="124">
        <f>ROUND(IFERROR(VLOOKUP(Q30,'Case Type'!A:H,8,0),0)*O30,2)</f>
        <v>0.43</v>
      </c>
    </row>
    <row r="31" customFormat="1" spans="1:18">
      <c r="A31" s="113">
        <v>45965</v>
      </c>
      <c r="B31" s="91" t="str">
        <f>_xlfn.XLOOKUP(C31,'Product List'!B:B,'Product List'!I:I)</f>
        <v>MMO-BUBBLE WATER BOTTLE</v>
      </c>
      <c r="C31" s="94" t="s">
        <v>67</v>
      </c>
      <c r="D31" s="250">
        <v>29657899</v>
      </c>
      <c r="E31" s="125">
        <v>108</v>
      </c>
      <c r="F31" s="124">
        <v>4.35</v>
      </c>
      <c r="G31" s="124">
        <f t="shared" si="0"/>
        <v>469.8</v>
      </c>
      <c r="H31" s="86" t="s">
        <v>298</v>
      </c>
      <c r="I31" s="86" t="s">
        <v>92</v>
      </c>
      <c r="J31" s="124" t="s">
        <v>303</v>
      </c>
      <c r="K31" s="193">
        <v>46048</v>
      </c>
      <c r="L31" s="251">
        <v>46048</v>
      </c>
      <c r="M31" s="127">
        <v>3.05</v>
      </c>
      <c r="N31" s="124">
        <f t="shared" si="1"/>
        <v>329.4</v>
      </c>
      <c r="O31" s="124" cm="1">
        <f t="array" ref="O31">E31/_xlfn.XLOOKUP(1,('Case Pack'!$A$4:$A$962=C31)*('Case Pack'!$L$4:$L$962&gt;0)*('Case Pack'!$L$4:$L$962&lt;=A31),'Case Pack'!$D$4:$D$962,"未找到箱规")</f>
        <v>2.57142857142857</v>
      </c>
      <c r="P31" s="124" t="str">
        <f>IF(COUNTIF('PO Check'!A:A,D31)&gt;0,"Yes","No")</f>
        <v>Yes</v>
      </c>
      <c r="Q31" s="124" t="str" cm="1">
        <f t="array" ref="Q31">_xlfn.XLOOKUP(1,('Case Pack'!$A$4:$A$962=C31)*('Case Pack'!$L$4:$L$962&gt;0)*('Case Pack'!$L$4:$L$962&lt;=A31),'Case Pack'!$G$4:$G$962,"未找到箱型")</f>
        <v>C</v>
      </c>
      <c r="R31" s="124">
        <f>ROUND(IFERROR(VLOOKUP(Q31,'Case Type'!A:H,8,0),0)*O31,2)</f>
        <v>0.4</v>
      </c>
    </row>
    <row r="32" customFormat="1" spans="1:18">
      <c r="A32" s="113">
        <v>45965</v>
      </c>
      <c r="B32" s="91" t="str">
        <f>_xlfn.XLOOKUP(C32,'Product List'!B:B,'Product List'!I:I)</f>
        <v>D. MMO-COTTAGE VIEW CAGE</v>
      </c>
      <c r="C32" s="94" t="s">
        <v>64</v>
      </c>
      <c r="D32" s="250">
        <v>29657899</v>
      </c>
      <c r="E32" s="125">
        <v>20</v>
      </c>
      <c r="F32" s="124">
        <v>70.28</v>
      </c>
      <c r="G32" s="124">
        <f t="shared" si="0"/>
        <v>1405.6</v>
      </c>
      <c r="H32" s="86" t="s">
        <v>298</v>
      </c>
      <c r="I32" s="86" t="s">
        <v>92</v>
      </c>
      <c r="J32" s="124" t="s">
        <v>303</v>
      </c>
      <c r="K32" s="193">
        <v>46048</v>
      </c>
      <c r="L32" s="251">
        <v>46048</v>
      </c>
      <c r="M32" s="127">
        <v>28.56</v>
      </c>
      <c r="N32" s="124">
        <f t="shared" si="1"/>
        <v>571.2</v>
      </c>
      <c r="O32" s="124" cm="1">
        <f t="array" ref="O32">E32/_xlfn.XLOOKUP(1,('Case Pack'!$A$4:$A$962=C32)*('Case Pack'!$L$4:$L$962&gt;0)*('Case Pack'!$L$4:$L$962&lt;=A32),'Case Pack'!$D$4:$D$962,"未找到箱规")</f>
        <v>20</v>
      </c>
      <c r="P32" s="124" t="str">
        <f>IF(COUNTIF('PO Check'!A:A,D32)&gt;0,"Yes","No")</f>
        <v>Yes</v>
      </c>
      <c r="Q32" s="124" t="str" cm="1">
        <f t="array" ref="Q32">_xlfn.XLOOKUP(1,('Case Pack'!$A$4:$A$962=C32)*('Case Pack'!$L$4:$L$962&gt;0)*('Case Pack'!$L$4:$L$962&lt;=A32),'Case Pack'!$G$4:$G$962,"未找到箱型")</f>
        <v>S3</v>
      </c>
      <c r="R32" s="124">
        <f>ROUND(IFERROR(VLOOKUP(Q32,'Case Type'!A:H,8,0),0)*O32,2)</f>
        <v>2.85</v>
      </c>
    </row>
    <row r="33" customFormat="1" spans="1:18">
      <c r="A33" s="113">
        <v>45965</v>
      </c>
      <c r="B33" s="91" t="str">
        <f>_xlfn.XLOOKUP(C33,'Product List'!B:B,'Product List'!I:I)</f>
        <v>MINI/MOE SILENT CRSTL RUN WHEEL LG 8.5-White</v>
      </c>
      <c r="C33" s="94" t="s">
        <v>29</v>
      </c>
      <c r="D33" s="250">
        <v>29657899</v>
      </c>
      <c r="E33" s="125">
        <v>120</v>
      </c>
      <c r="F33" s="124">
        <v>13.22</v>
      </c>
      <c r="G33" s="124">
        <f t="shared" si="0"/>
        <v>1586.4</v>
      </c>
      <c r="H33" s="86" t="s">
        <v>298</v>
      </c>
      <c r="I33" s="86" t="s">
        <v>92</v>
      </c>
      <c r="J33" s="124" t="s">
        <v>303</v>
      </c>
      <c r="K33" s="193">
        <v>46048</v>
      </c>
      <c r="L33" s="251">
        <v>46048</v>
      </c>
      <c r="M33" s="127">
        <v>6.12</v>
      </c>
      <c r="N33" s="124">
        <f t="shared" si="1"/>
        <v>734.4</v>
      </c>
      <c r="O33" s="124" cm="1">
        <f t="array" ref="O33">E33/_xlfn.XLOOKUP(1,('Case Pack'!$A$4:$A$962=C33)*('Case Pack'!$L$4:$L$962&gt;0)*('Case Pack'!$L$4:$L$962&lt;=A33),'Case Pack'!$D$4:$D$962,"未找到箱规")</f>
        <v>15</v>
      </c>
      <c r="P33" s="124" t="str">
        <f>IF(COUNTIF('PO Check'!A:A,D33)&gt;0,"Yes","No")</f>
        <v>Yes</v>
      </c>
      <c r="Q33" s="124" t="str" cm="1">
        <f t="array" ref="Q33">_xlfn.XLOOKUP(1,('Case Pack'!$A$4:$A$962=C33)*('Case Pack'!$L$4:$L$962&gt;0)*('Case Pack'!$L$4:$L$962&lt;=A33),'Case Pack'!$G$4:$G$962,"未找到箱型")</f>
        <v>C</v>
      </c>
      <c r="R33" s="124">
        <f>ROUND(IFERROR(VLOOKUP(Q33,'Case Type'!A:H,8,0),0)*O33,2)</f>
        <v>2.36</v>
      </c>
    </row>
    <row r="34" customFormat="1" spans="1:18">
      <c r="A34" s="113">
        <v>45965</v>
      </c>
      <c r="B34" s="91" t="str">
        <f>_xlfn.XLOOKUP(C34,'Product List'!B:B,'Product List'!I:I)</f>
        <v>MMO-CLOUD WATER BOTTLE</v>
      </c>
      <c r="C34" s="94" t="s">
        <v>77</v>
      </c>
      <c r="D34" s="250">
        <v>29657899</v>
      </c>
      <c r="E34" s="125">
        <v>120</v>
      </c>
      <c r="F34" s="124">
        <v>1.32</v>
      </c>
      <c r="G34" s="124">
        <f t="shared" si="0"/>
        <v>158.4</v>
      </c>
      <c r="H34" s="86" t="s">
        <v>298</v>
      </c>
      <c r="I34" s="86" t="s">
        <v>92</v>
      </c>
      <c r="J34" s="124" t="s">
        <v>303</v>
      </c>
      <c r="K34" s="193">
        <v>46048</v>
      </c>
      <c r="L34" s="251">
        <v>46048</v>
      </c>
      <c r="M34" s="127">
        <v>0.59</v>
      </c>
      <c r="N34" s="124">
        <f t="shared" si="1"/>
        <v>70.8</v>
      </c>
      <c r="O34" s="124" cm="1">
        <f t="array" ref="O34">E34/_xlfn.XLOOKUP(1,('Case Pack'!$A$4:$A$962=C34)*('Case Pack'!$L$4:$L$962&gt;0)*('Case Pack'!$L$4:$L$962&lt;=A34),'Case Pack'!$D$4:$D$962,"未找到箱规")</f>
        <v>2.4</v>
      </c>
      <c r="P34" s="124" t="str">
        <f>IF(COUNTIF('PO Check'!A:A,D34)&gt;0,"Yes","No")</f>
        <v>Yes</v>
      </c>
      <c r="Q34" s="124" t="str" cm="1">
        <f t="array" ref="Q34">_xlfn.XLOOKUP(1,('Case Pack'!$A$4:$A$962=C34)*('Case Pack'!$L$4:$L$962&gt;0)*('Case Pack'!$L$4:$L$962&lt;=A34),'Case Pack'!$G$4:$G$962,"未找到箱型")</f>
        <v>A</v>
      </c>
      <c r="R34" s="124">
        <f>ROUND(IFERROR(VLOOKUP(Q34,'Case Type'!A:H,8,0),0)*O34,2)</f>
        <v>0.26</v>
      </c>
    </row>
    <row r="35" customFormat="1" spans="1:18">
      <c r="A35" s="113">
        <v>45965</v>
      </c>
      <c r="B35" s="91" t="str">
        <f>_xlfn.XLOOKUP(C35,'Product List'!B:B,'Product List'!I:I)</f>
        <v>MINI/MOE TV VIEWING CAGE</v>
      </c>
      <c r="C35" s="94" t="s">
        <v>50</v>
      </c>
      <c r="D35" s="250">
        <v>29657899</v>
      </c>
      <c r="E35" s="125">
        <v>108</v>
      </c>
      <c r="F35" s="124">
        <v>48.49</v>
      </c>
      <c r="G35" s="124">
        <f t="shared" si="0"/>
        <v>5236.92</v>
      </c>
      <c r="H35" s="86" t="s">
        <v>298</v>
      </c>
      <c r="I35" s="86" t="s">
        <v>92</v>
      </c>
      <c r="J35" s="124" t="s">
        <v>303</v>
      </c>
      <c r="K35" s="193">
        <v>46048</v>
      </c>
      <c r="L35" s="251">
        <v>46048</v>
      </c>
      <c r="M35" s="127">
        <v>24.09</v>
      </c>
      <c r="N35" s="124">
        <f t="shared" si="1"/>
        <v>2601.72</v>
      </c>
      <c r="O35" s="124" cm="1">
        <f t="array" ref="O35">E35/_xlfn.XLOOKUP(1,('Case Pack'!$A$4:$A$962=C35)*('Case Pack'!$L$4:$L$962&gt;0)*('Case Pack'!$L$4:$L$962&lt;=A35),'Case Pack'!$D$4:$D$962,"未找到箱规")</f>
        <v>108</v>
      </c>
      <c r="P35" s="124" t="str">
        <f>IF(COUNTIF('PO Check'!A:A,D35)&gt;0,"Yes","No")</f>
        <v>Yes</v>
      </c>
      <c r="Q35" s="124" t="str" cm="1">
        <f t="array" ref="Q35">_xlfn.XLOOKUP(1,('Case Pack'!$A$4:$A$962=C35)*('Case Pack'!$L$4:$L$962&gt;0)*('Case Pack'!$L$4:$L$962&lt;=A35),'Case Pack'!$G$4:$G$962,"未找到箱型")</f>
        <v>S1</v>
      </c>
      <c r="R35" s="124">
        <f>ROUND(IFERROR(VLOOKUP(Q35,'Case Type'!A:H,8,0),0)*O35,2)</f>
        <v>7.99</v>
      </c>
    </row>
    <row r="36" customFormat="1" spans="1:18">
      <c r="A36" s="113">
        <v>45965</v>
      </c>
      <c r="B36" s="91" t="str">
        <f>_xlfn.XLOOKUP(C36,'Product List'!B:B,'Product List'!I:I)</f>
        <v>MMO-PAPER PEBBLES</v>
      </c>
      <c r="C36" s="249" t="s">
        <v>81</v>
      </c>
      <c r="D36" s="250">
        <v>29657899</v>
      </c>
      <c r="E36" s="125">
        <v>120</v>
      </c>
      <c r="F36" s="124">
        <v>5.81</v>
      </c>
      <c r="G36" s="124">
        <f t="shared" si="0"/>
        <v>697.2</v>
      </c>
      <c r="H36" s="86" t="s">
        <v>298</v>
      </c>
      <c r="I36" s="86" t="s">
        <v>92</v>
      </c>
      <c r="J36" s="124" t="s">
        <v>303</v>
      </c>
      <c r="K36" s="193">
        <v>46048</v>
      </c>
      <c r="L36" s="251">
        <v>46048</v>
      </c>
      <c r="M36" s="127">
        <v>2.7</v>
      </c>
      <c r="N36" s="124">
        <f t="shared" si="1"/>
        <v>324</v>
      </c>
      <c r="O36" s="124" cm="1">
        <f t="array" ref="O36">E36/_xlfn.XLOOKUP(1,('Case Pack'!$A$4:$A$962=C36)*('Case Pack'!$L$4:$L$962&gt;0)*('Case Pack'!$L$4:$L$962&lt;=A36),'Case Pack'!$D$4:$D$962,"未找到箱规")</f>
        <v>10</v>
      </c>
      <c r="P36" s="124" t="str">
        <f>IF(COUNTIF('PO Check'!A:A,D36)&gt;0,"Yes","No")</f>
        <v>Yes</v>
      </c>
      <c r="Q36" s="124" t="str" cm="1">
        <f t="array" ref="Q36">_xlfn.XLOOKUP(1,('Case Pack'!$A$4:$A$962=C36)*('Case Pack'!$L$4:$L$962&gt;0)*('Case Pack'!$L$4:$L$962&lt;=A36),'Case Pack'!$G$4:$G$962,"未找到箱型")</f>
        <v>B</v>
      </c>
      <c r="R36" s="124">
        <f>ROUND(IFERROR(VLOOKUP(Q36,'Case Type'!A:H,8,0),0)*O36,2)</f>
        <v>0.73</v>
      </c>
    </row>
    <row r="37" customFormat="1" spans="1:18">
      <c r="A37" s="113">
        <v>45965</v>
      </c>
      <c r="B37" s="91" t="str">
        <f>_xlfn.XLOOKUP(C37,'Product List'!B:B,'Product List'!I:I)</f>
        <v>MMO-PAPER TWIST BLU/WHT</v>
      </c>
      <c r="C37" s="249" t="s">
        <v>68</v>
      </c>
      <c r="D37" s="250">
        <v>29657899</v>
      </c>
      <c r="E37" s="125">
        <v>126</v>
      </c>
      <c r="F37" s="124">
        <v>3.89</v>
      </c>
      <c r="G37" s="124">
        <f t="shared" si="0"/>
        <v>490.14</v>
      </c>
      <c r="H37" s="86" t="s">
        <v>298</v>
      </c>
      <c r="I37" s="86" t="s">
        <v>92</v>
      </c>
      <c r="J37" s="124" t="s">
        <v>303</v>
      </c>
      <c r="K37" s="193">
        <v>46048</v>
      </c>
      <c r="L37" s="251">
        <v>46048</v>
      </c>
      <c r="M37" s="127">
        <v>1.91</v>
      </c>
      <c r="N37" s="124">
        <f t="shared" si="1"/>
        <v>240.66</v>
      </c>
      <c r="O37" s="124" cm="1">
        <f t="array" ref="O37">E37/_xlfn.XLOOKUP(1,('Case Pack'!$A$4:$A$962=C37)*('Case Pack'!$L$4:$L$962&gt;0)*('Case Pack'!$L$4:$L$962&lt;=A37),'Case Pack'!$D$4:$D$962,"未找到箱规")</f>
        <v>4.2</v>
      </c>
      <c r="P37" s="124" t="str">
        <f>IF(COUNTIF('PO Check'!A:A,D37)&gt;0,"Yes","No")</f>
        <v>Yes</v>
      </c>
      <c r="Q37" s="124" t="str" cm="1">
        <f t="array" ref="Q37">_xlfn.XLOOKUP(1,('Case Pack'!$A$4:$A$962=C37)*('Case Pack'!$L$4:$L$962&gt;0)*('Case Pack'!$L$4:$L$962&lt;=A37),'Case Pack'!$G$4:$G$962,"未找到箱型")</f>
        <v>A</v>
      </c>
      <c r="R37" s="124">
        <f>ROUND(IFERROR(VLOOKUP(Q37,'Case Type'!A:H,8,0),0)*O37,2)</f>
        <v>0.46</v>
      </c>
    </row>
    <row r="38" customFormat="1" spans="1:18">
      <c r="A38" s="113">
        <v>45965</v>
      </c>
      <c r="B38" s="91" t="str">
        <f>_xlfn.XLOOKUP(C38,'Product List'!B:B,'Product List'!I:I)</f>
        <v>MMO-COTTON NESTING BALLS</v>
      </c>
      <c r="C38" s="249" t="s">
        <v>84</v>
      </c>
      <c r="D38" s="250">
        <v>29657901</v>
      </c>
      <c r="E38" s="125">
        <v>186</v>
      </c>
      <c r="F38" s="124">
        <v>3.37</v>
      </c>
      <c r="G38" s="124">
        <f t="shared" si="0"/>
        <v>626.82</v>
      </c>
      <c r="H38" s="86" t="s">
        <v>298</v>
      </c>
      <c r="I38" s="86" t="s">
        <v>92</v>
      </c>
      <c r="J38" s="124" t="s">
        <v>304</v>
      </c>
      <c r="K38" s="193">
        <v>46048</v>
      </c>
      <c r="L38" s="251">
        <v>46048</v>
      </c>
      <c r="M38" s="127">
        <v>1.57</v>
      </c>
      <c r="N38" s="124">
        <f t="shared" si="1"/>
        <v>292.02</v>
      </c>
      <c r="O38" s="124" cm="1">
        <f t="array" ref="O38">E38/_xlfn.XLOOKUP(1,('Case Pack'!$A$4:$A$962=C38)*('Case Pack'!$L$4:$L$962&gt;0)*('Case Pack'!$L$4:$L$962&lt;=A38),'Case Pack'!$D$4:$D$962,"未找到箱规")</f>
        <v>5.8125</v>
      </c>
      <c r="P38" s="124" t="str">
        <f>IF(COUNTIF('PO Check'!A:A,D38)&gt;0,"Yes","No")</f>
        <v>Yes</v>
      </c>
      <c r="Q38" s="124" t="str" cm="1">
        <f t="array" ref="Q38">_xlfn.XLOOKUP(1,('Case Pack'!$A$4:$A$962=C38)*('Case Pack'!$L$4:$L$962&gt;0)*('Case Pack'!$L$4:$L$962&lt;=A38),'Case Pack'!$G$4:$G$962,"未找到箱型")</f>
        <v>A</v>
      </c>
      <c r="R38" s="124">
        <f>ROUND(IFERROR(VLOOKUP(Q38,'Case Type'!A:H,8,0),0)*O38,2)</f>
        <v>0.64</v>
      </c>
    </row>
    <row r="39" customFormat="1" spans="1:18">
      <c r="A39" s="113">
        <v>45965</v>
      </c>
      <c r="B39" s="91" t="str">
        <f>_xlfn.XLOOKUP(C39,'Product List'!B:B,'Product List'!I:I)</f>
        <v>MMO-BUBBLE WATER BOTTLE</v>
      </c>
      <c r="C39" s="94" t="s">
        <v>67</v>
      </c>
      <c r="D39" s="250">
        <v>29657901</v>
      </c>
      <c r="E39" s="125">
        <v>180</v>
      </c>
      <c r="F39" s="124">
        <v>4.35</v>
      </c>
      <c r="G39" s="124">
        <f t="shared" si="0"/>
        <v>783</v>
      </c>
      <c r="H39" s="86" t="s">
        <v>298</v>
      </c>
      <c r="I39" s="86" t="s">
        <v>92</v>
      </c>
      <c r="J39" s="124" t="s">
        <v>304</v>
      </c>
      <c r="K39" s="193">
        <v>46048</v>
      </c>
      <c r="L39" s="251">
        <v>46048</v>
      </c>
      <c r="M39" s="127">
        <v>3.05</v>
      </c>
      <c r="N39" s="124">
        <f t="shared" si="1"/>
        <v>549</v>
      </c>
      <c r="O39" s="124" cm="1">
        <f t="array" ref="O39">E39/_xlfn.XLOOKUP(1,('Case Pack'!$A$4:$A$962=C39)*('Case Pack'!$L$4:$L$962&gt;0)*('Case Pack'!$L$4:$L$962&lt;=A39),'Case Pack'!$D$4:$D$962,"未找到箱规")</f>
        <v>4.28571428571429</v>
      </c>
      <c r="P39" s="124" t="str">
        <f>IF(COUNTIF('PO Check'!A:A,D39)&gt;0,"Yes","No")</f>
        <v>Yes</v>
      </c>
      <c r="Q39" s="124" t="str" cm="1">
        <f t="array" ref="Q39">_xlfn.XLOOKUP(1,('Case Pack'!$A$4:$A$962=C39)*('Case Pack'!$L$4:$L$962&gt;0)*('Case Pack'!$L$4:$L$962&lt;=A39),'Case Pack'!$G$4:$G$962,"未找到箱型")</f>
        <v>C</v>
      </c>
      <c r="R39" s="124">
        <f>ROUND(IFERROR(VLOOKUP(Q39,'Case Type'!A:H,8,0),0)*O39,2)</f>
        <v>0.67</v>
      </c>
    </row>
    <row r="40" customFormat="1" spans="1:18">
      <c r="A40" s="113">
        <v>45965</v>
      </c>
      <c r="B40" s="91" t="str">
        <f>_xlfn.XLOOKUP(C40,'Product List'!B:B,'Product List'!I:I)</f>
        <v>MINI/MOE SILENT CRSTL RUN WHEEL LG 8.5-White</v>
      </c>
      <c r="C40" s="94" t="s">
        <v>29</v>
      </c>
      <c r="D40" s="250">
        <v>29657901</v>
      </c>
      <c r="E40" s="125">
        <v>176</v>
      </c>
      <c r="F40" s="124">
        <v>13.22</v>
      </c>
      <c r="G40" s="124">
        <f t="shared" si="0"/>
        <v>2326.72</v>
      </c>
      <c r="H40" s="86" t="s">
        <v>298</v>
      </c>
      <c r="I40" s="86" t="s">
        <v>92</v>
      </c>
      <c r="J40" s="124" t="s">
        <v>304</v>
      </c>
      <c r="K40" s="193">
        <v>46048</v>
      </c>
      <c r="L40" s="251">
        <v>46048</v>
      </c>
      <c r="M40" s="127">
        <v>6.12</v>
      </c>
      <c r="N40" s="124">
        <f t="shared" si="1"/>
        <v>1077.12</v>
      </c>
      <c r="O40" s="124" cm="1">
        <f t="array" ref="O40">E40/_xlfn.XLOOKUP(1,('Case Pack'!$A$4:$A$962=C40)*('Case Pack'!$L$4:$L$962&gt;0)*('Case Pack'!$L$4:$L$962&lt;=A40),'Case Pack'!$D$4:$D$962,"未找到箱规")</f>
        <v>22</v>
      </c>
      <c r="P40" s="124" t="str">
        <f>IF(COUNTIF('PO Check'!A:A,D40)&gt;0,"Yes","No")</f>
        <v>Yes</v>
      </c>
      <c r="Q40" s="124" t="str" cm="1">
        <f t="array" ref="Q40">_xlfn.XLOOKUP(1,('Case Pack'!$A$4:$A$962=C40)*('Case Pack'!$L$4:$L$962&gt;0)*('Case Pack'!$L$4:$L$962&lt;=A40),'Case Pack'!$G$4:$G$962,"未找到箱型")</f>
        <v>C</v>
      </c>
      <c r="R40" s="124">
        <f>ROUND(IFERROR(VLOOKUP(Q40,'Case Type'!A:H,8,0),0)*O40,2)</f>
        <v>3.46</v>
      </c>
    </row>
    <row r="41" customFormat="1" spans="1:18">
      <c r="A41" s="113">
        <v>45965</v>
      </c>
      <c r="B41" s="91" t="str">
        <f>_xlfn.XLOOKUP(C41,'Product List'!B:B,'Product List'!I:I)</f>
        <v>MMO-CLOUD WATER BOTTLE</v>
      </c>
      <c r="C41" s="94" t="s">
        <v>77</v>
      </c>
      <c r="D41" s="250">
        <v>29657901</v>
      </c>
      <c r="E41" s="125">
        <v>240</v>
      </c>
      <c r="F41" s="124">
        <v>1.32</v>
      </c>
      <c r="G41" s="124">
        <f t="shared" si="0"/>
        <v>316.8</v>
      </c>
      <c r="H41" s="86" t="s">
        <v>298</v>
      </c>
      <c r="I41" s="86" t="s">
        <v>92</v>
      </c>
      <c r="J41" s="124" t="s">
        <v>304</v>
      </c>
      <c r="K41" s="193">
        <v>46048</v>
      </c>
      <c r="L41" s="251">
        <v>46048</v>
      </c>
      <c r="M41" s="127">
        <v>0.59</v>
      </c>
      <c r="N41" s="124">
        <f t="shared" si="1"/>
        <v>141.6</v>
      </c>
      <c r="O41" s="124" cm="1">
        <f t="array" ref="O41">E41/_xlfn.XLOOKUP(1,('Case Pack'!$A$4:$A$962=C41)*('Case Pack'!$L$4:$L$962&gt;0)*('Case Pack'!$L$4:$L$962&lt;=A41),'Case Pack'!$D$4:$D$962,"未找到箱规")</f>
        <v>4.8</v>
      </c>
      <c r="P41" s="124" t="str">
        <f>IF(COUNTIF('PO Check'!A:A,D41)&gt;0,"Yes","No")</f>
        <v>Yes</v>
      </c>
      <c r="Q41" s="124" t="str" cm="1">
        <f t="array" ref="Q41">_xlfn.XLOOKUP(1,('Case Pack'!$A$4:$A$962=C41)*('Case Pack'!$L$4:$L$962&gt;0)*('Case Pack'!$L$4:$L$962&lt;=A41),'Case Pack'!$G$4:$G$962,"未找到箱型")</f>
        <v>A</v>
      </c>
      <c r="R41" s="124">
        <f>ROUND(IFERROR(VLOOKUP(Q41,'Case Type'!A:H,8,0),0)*O41,2)</f>
        <v>0.53</v>
      </c>
    </row>
    <row r="42" customFormat="1" spans="1:18">
      <c r="A42" s="113">
        <v>45965</v>
      </c>
      <c r="B42" s="91" t="str">
        <f>_xlfn.XLOOKUP(C42,'Product List'!B:B,'Product List'!I:I)</f>
        <v>MINI/MOE TV VIEWING CAGE</v>
      </c>
      <c r="C42" s="94" t="s">
        <v>50</v>
      </c>
      <c r="D42" s="250">
        <v>29657901</v>
      </c>
      <c r="E42" s="125">
        <v>159</v>
      </c>
      <c r="F42" s="124">
        <v>48.49</v>
      </c>
      <c r="G42" s="124">
        <f t="shared" si="0"/>
        <v>7709.91</v>
      </c>
      <c r="H42" s="86" t="s">
        <v>298</v>
      </c>
      <c r="I42" s="86" t="s">
        <v>92</v>
      </c>
      <c r="J42" s="124" t="s">
        <v>304</v>
      </c>
      <c r="K42" s="193">
        <v>46048</v>
      </c>
      <c r="L42" s="251">
        <v>46048</v>
      </c>
      <c r="M42" s="127">
        <v>24.09</v>
      </c>
      <c r="N42" s="124">
        <f t="shared" si="1"/>
        <v>3830.31</v>
      </c>
      <c r="O42" s="124" cm="1">
        <f t="array" ref="O42">E42/_xlfn.XLOOKUP(1,('Case Pack'!$A$4:$A$962=C42)*('Case Pack'!$L$4:$L$962&gt;0)*('Case Pack'!$L$4:$L$962&lt;=A42),'Case Pack'!$D$4:$D$962,"未找到箱规")</f>
        <v>159</v>
      </c>
      <c r="P42" s="124" t="str">
        <f>IF(COUNTIF('PO Check'!A:A,D42)&gt;0,"Yes","No")</f>
        <v>Yes</v>
      </c>
      <c r="Q42" s="124" t="str" cm="1">
        <f t="array" ref="Q42">_xlfn.XLOOKUP(1,('Case Pack'!$A$4:$A$962=C42)*('Case Pack'!$L$4:$L$962&gt;0)*('Case Pack'!$L$4:$L$962&lt;=A42),'Case Pack'!$G$4:$G$962,"未找到箱型")</f>
        <v>S1</v>
      </c>
      <c r="R42" s="124">
        <f>ROUND(IFERROR(VLOOKUP(Q42,'Case Type'!A:H,8,0),0)*O42,2)</f>
        <v>11.77</v>
      </c>
    </row>
    <row r="43" customFormat="1" spans="1:18">
      <c r="A43" s="113">
        <v>45965</v>
      </c>
      <c r="B43" s="91" t="str">
        <f>_xlfn.XLOOKUP(C43,'Product List'!B:B,'Product List'!I:I)</f>
        <v>MMO-PAPER PEBBLES</v>
      </c>
      <c r="C43" s="249" t="s">
        <v>81</v>
      </c>
      <c r="D43" s="250">
        <v>29657901</v>
      </c>
      <c r="E43" s="125">
        <v>170</v>
      </c>
      <c r="F43" s="124">
        <v>5.81</v>
      </c>
      <c r="G43" s="124">
        <f t="shared" si="0"/>
        <v>987.7</v>
      </c>
      <c r="H43" s="86" t="s">
        <v>298</v>
      </c>
      <c r="I43" s="86" t="s">
        <v>92</v>
      </c>
      <c r="J43" s="124" t="s">
        <v>304</v>
      </c>
      <c r="K43" s="193">
        <v>46048</v>
      </c>
      <c r="L43" s="251">
        <v>46048</v>
      </c>
      <c r="M43" s="127">
        <v>2.7</v>
      </c>
      <c r="N43" s="124">
        <f t="shared" si="1"/>
        <v>459</v>
      </c>
      <c r="O43" s="124" cm="1">
        <f t="array" ref="O43">E43/_xlfn.XLOOKUP(1,('Case Pack'!$A$4:$A$962=C43)*('Case Pack'!$L$4:$L$962&gt;0)*('Case Pack'!$L$4:$L$962&lt;=A43),'Case Pack'!$D$4:$D$962,"未找到箱规")</f>
        <v>14.1666666666667</v>
      </c>
      <c r="P43" s="124" t="str">
        <f>IF(COUNTIF('PO Check'!A:A,D43)&gt;0,"Yes","No")</f>
        <v>Yes</v>
      </c>
      <c r="Q43" s="124" t="str" cm="1">
        <f t="array" ref="Q43">_xlfn.XLOOKUP(1,('Case Pack'!$A$4:$A$962=C43)*('Case Pack'!$L$4:$L$962&gt;0)*('Case Pack'!$L$4:$L$962&lt;=A43),'Case Pack'!$G$4:$G$962,"未找到箱型")</f>
        <v>B</v>
      </c>
      <c r="R43" s="124">
        <f>ROUND(IFERROR(VLOOKUP(Q43,'Case Type'!A:H,8,0),0)*O43,2)</f>
        <v>1.04</v>
      </c>
    </row>
    <row r="44" customFormat="1" spans="1:18">
      <c r="A44" s="113">
        <v>45965</v>
      </c>
      <c r="B44" s="91" t="str">
        <f>_xlfn.XLOOKUP(C44,'Product List'!B:B,'Product List'!I:I)</f>
        <v>MMO-PAPER TWIST BLU/WHT</v>
      </c>
      <c r="C44" s="249" t="s">
        <v>68</v>
      </c>
      <c r="D44" s="250">
        <v>29657901</v>
      </c>
      <c r="E44" s="125">
        <v>198</v>
      </c>
      <c r="F44" s="124">
        <v>3.89</v>
      </c>
      <c r="G44" s="124">
        <f t="shared" si="0"/>
        <v>770.22</v>
      </c>
      <c r="H44" s="86" t="s">
        <v>298</v>
      </c>
      <c r="I44" s="86" t="s">
        <v>92</v>
      </c>
      <c r="J44" s="124" t="s">
        <v>304</v>
      </c>
      <c r="K44" s="193">
        <v>46048</v>
      </c>
      <c r="L44" s="251">
        <v>46048</v>
      </c>
      <c r="M44" s="127">
        <v>1.91</v>
      </c>
      <c r="N44" s="124">
        <f t="shared" si="1"/>
        <v>378.18</v>
      </c>
      <c r="O44" s="124" cm="1">
        <f t="array" ref="O44">E44/_xlfn.XLOOKUP(1,('Case Pack'!$A$4:$A$962=C44)*('Case Pack'!$L$4:$L$962&gt;0)*('Case Pack'!$L$4:$L$962&lt;=A44),'Case Pack'!$D$4:$D$962,"未找到箱规")</f>
        <v>6.6</v>
      </c>
      <c r="P44" s="124" t="str">
        <f>IF(COUNTIF('PO Check'!A:A,D44)&gt;0,"Yes","No")</f>
        <v>Yes</v>
      </c>
      <c r="Q44" s="124" t="str" cm="1">
        <f t="array" ref="Q44">_xlfn.XLOOKUP(1,('Case Pack'!$A$4:$A$962=C44)*('Case Pack'!$L$4:$L$962&gt;0)*('Case Pack'!$L$4:$L$962&lt;=A44),'Case Pack'!$G$4:$G$962,"未找到箱型")</f>
        <v>A</v>
      </c>
      <c r="R44" s="124">
        <f>ROUND(IFERROR(VLOOKUP(Q44,'Case Type'!A:H,8,0),0)*O44,2)</f>
        <v>0.73</v>
      </c>
    </row>
    <row r="45" customFormat="1" spans="1:18">
      <c r="A45" s="113">
        <v>45965</v>
      </c>
      <c r="B45" s="91" t="str">
        <f>_xlfn.XLOOKUP(C45,'Product List'!B:B,'Product List'!I:I)</f>
        <v>MINI/MOE BENDABLE BIRCHWOOD FENCE</v>
      </c>
      <c r="C45" s="94" t="s">
        <v>62</v>
      </c>
      <c r="D45" s="250">
        <v>29709590</v>
      </c>
      <c r="E45" s="125">
        <v>120</v>
      </c>
      <c r="F45" s="124">
        <v>5.01</v>
      </c>
      <c r="G45" s="124">
        <f t="shared" si="0"/>
        <v>601.2</v>
      </c>
      <c r="H45" s="86" t="s">
        <v>298</v>
      </c>
      <c r="I45" s="86" t="s">
        <v>92</v>
      </c>
      <c r="J45" s="124" t="s">
        <v>303</v>
      </c>
      <c r="K45" s="193">
        <v>46048</v>
      </c>
      <c r="L45" s="251">
        <v>46048</v>
      </c>
      <c r="M45" s="127">
        <v>2.63</v>
      </c>
      <c r="N45" s="124">
        <v>315.6</v>
      </c>
      <c r="O45" s="124" cm="1">
        <f t="array" ref="O45">E45/_xlfn.XLOOKUP(1,('Case Pack'!$A$4:$A$962=C45)*('Case Pack'!$L$4:$L$962&gt;0)*('Case Pack'!$L$4:$L$962&lt;=A45),'Case Pack'!$D$4:$D$962,"未找到箱规")</f>
        <v>3.75</v>
      </c>
      <c r="P45" s="124" t="str">
        <f>IF(COUNTIF('PO Check'!A:A,D45)&gt;0,"Yes","No")</f>
        <v>Yes</v>
      </c>
      <c r="Q45" s="124" t="str" cm="1">
        <f t="array" ref="Q45">_xlfn.XLOOKUP(1,('Case Pack'!$A$4:$A$962=C45)*('Case Pack'!$L$4:$L$962&gt;0)*('Case Pack'!$L$4:$L$962&lt;=A45),'Case Pack'!$G$4:$G$962,"未找到箱型")</f>
        <v>F</v>
      </c>
      <c r="R45" s="124">
        <f>ROUND(IFERROR(VLOOKUP(Q45,'Case Type'!A:H,8,0),0)*O45,2)</f>
        <v>0.14</v>
      </c>
    </row>
    <row r="46" customFormat="1" spans="1:18">
      <c r="A46" s="113">
        <v>45965</v>
      </c>
      <c r="B46" s="91" t="str">
        <f>_xlfn.XLOOKUP(C46,'Product List'!B:B,'Product List'!I:I)</f>
        <v>MINI/MOE RUFFLE BOWL</v>
      </c>
      <c r="C46" s="94" t="s">
        <v>78</v>
      </c>
      <c r="D46" s="250">
        <v>29709590</v>
      </c>
      <c r="E46" s="125">
        <v>160</v>
      </c>
      <c r="F46" s="124">
        <v>2.35</v>
      </c>
      <c r="G46" s="124">
        <f t="shared" si="0"/>
        <v>376</v>
      </c>
      <c r="H46" s="86" t="s">
        <v>298</v>
      </c>
      <c r="I46" s="86" t="s">
        <v>92</v>
      </c>
      <c r="J46" s="124" t="s">
        <v>303</v>
      </c>
      <c r="K46" s="193">
        <v>46048</v>
      </c>
      <c r="L46" s="251">
        <v>46048</v>
      </c>
      <c r="M46" s="127">
        <v>1.34</v>
      </c>
      <c r="N46" s="124">
        <v>214.4</v>
      </c>
      <c r="O46" s="124" cm="1">
        <f t="array" ref="O46">E46/_xlfn.XLOOKUP(1,('Case Pack'!$A$4:$A$962=C46)*('Case Pack'!$L$4:$L$962&gt;0)*('Case Pack'!$L$4:$L$962&lt;=A46),'Case Pack'!$D$4:$D$962,"未找到箱规")</f>
        <v>3.33333333333333</v>
      </c>
      <c r="P46" s="124" t="str">
        <f>IF(COUNTIF('PO Check'!A:A,D46)&gt;0,"Yes","No")</f>
        <v>Yes</v>
      </c>
      <c r="Q46" s="124" t="str" cm="1">
        <f t="array" ref="Q46">_xlfn.XLOOKUP(1,('Case Pack'!$A$4:$A$962=C46)*('Case Pack'!$L$4:$L$962&gt;0)*('Case Pack'!$L$4:$L$962&lt;=A46),'Case Pack'!$G$4:$G$962,"未找到箱型")</f>
        <v>B</v>
      </c>
      <c r="R46" s="124">
        <f>ROUND(IFERROR(VLOOKUP(Q46,'Case Type'!A:H,8,0),0)*O46,2)</f>
        <v>0.24</v>
      </c>
    </row>
    <row r="47" customFormat="1" spans="1:18">
      <c r="A47" s="113">
        <v>45965</v>
      </c>
      <c r="B47" s="91" t="str">
        <f>_xlfn.XLOOKUP(C47,'Product List'!B:B,'Product List'!I:I)</f>
        <v>MMO-STARFISH CASTLE</v>
      </c>
      <c r="C47" s="94" t="s">
        <v>60</v>
      </c>
      <c r="D47" s="250">
        <v>29709590</v>
      </c>
      <c r="E47" s="125">
        <v>108</v>
      </c>
      <c r="F47" s="124">
        <v>5.32</v>
      </c>
      <c r="G47" s="124">
        <f t="shared" si="0"/>
        <v>574.56</v>
      </c>
      <c r="H47" s="86" t="s">
        <v>298</v>
      </c>
      <c r="I47" s="86" t="s">
        <v>92</v>
      </c>
      <c r="J47" s="124" t="s">
        <v>303</v>
      </c>
      <c r="K47" s="193">
        <v>46048</v>
      </c>
      <c r="L47" s="251">
        <v>46048</v>
      </c>
      <c r="M47" s="127">
        <v>2.33</v>
      </c>
      <c r="N47" s="124">
        <v>251.64</v>
      </c>
      <c r="O47" s="124" cm="1">
        <f t="array" ref="O47">E47/_xlfn.XLOOKUP(1,('Case Pack'!$A$4:$A$962=C47)*('Case Pack'!$L$4:$L$962&gt;0)*('Case Pack'!$L$4:$L$962&lt;=A47),'Case Pack'!$D$4:$D$962,"未找到箱规")</f>
        <v>5.4</v>
      </c>
      <c r="P47" s="124" t="str">
        <f>IF(COUNTIF('PO Check'!A:A,D47)&gt;0,"Yes","No")</f>
        <v>Yes</v>
      </c>
      <c r="Q47" s="124" t="str" cm="1">
        <f t="array" ref="Q47">_xlfn.XLOOKUP(1,('Case Pack'!$A$4:$A$962=C47)*('Case Pack'!$L$4:$L$962&gt;0)*('Case Pack'!$L$4:$L$962&lt;=A47),'Case Pack'!$G$4:$G$962,"未找到箱型")</f>
        <v>C</v>
      </c>
      <c r="R47" s="124">
        <f>ROUND(IFERROR(VLOOKUP(Q47,'Case Type'!A:H,8,0),0)*O47,2)</f>
        <v>0.85</v>
      </c>
    </row>
    <row r="48" customFormat="1" spans="1:18">
      <c r="A48" s="113">
        <v>45965</v>
      </c>
      <c r="B48" s="91" t="str">
        <f>_xlfn.XLOOKUP(C48,'Product List'!B:B,'Product List'!I:I)</f>
        <v>MMO-WAVE BRIDGE</v>
      </c>
      <c r="C48" s="94" t="s">
        <v>61</v>
      </c>
      <c r="D48" s="250">
        <v>29709590</v>
      </c>
      <c r="E48" s="125">
        <v>128</v>
      </c>
      <c r="F48" s="124">
        <v>4.84</v>
      </c>
      <c r="G48" s="124">
        <f t="shared" si="0"/>
        <v>619.52</v>
      </c>
      <c r="H48" s="86" t="s">
        <v>298</v>
      </c>
      <c r="I48" s="86" t="s">
        <v>92</v>
      </c>
      <c r="J48" s="124" t="s">
        <v>303</v>
      </c>
      <c r="K48" s="193">
        <v>46048</v>
      </c>
      <c r="L48" s="251">
        <v>46048</v>
      </c>
      <c r="M48" s="127">
        <v>2.35</v>
      </c>
      <c r="N48" s="124">
        <v>300.8</v>
      </c>
      <c r="O48" s="124" cm="1">
        <f t="array" ref="O48">E48/_xlfn.XLOOKUP(1,('Case Pack'!$A$4:$A$962=C48)*('Case Pack'!$L$4:$L$962&gt;0)*('Case Pack'!$L$4:$L$962&lt;=A48),'Case Pack'!$D$4:$D$962,"未找到箱规")</f>
        <v>3.87878787878788</v>
      </c>
      <c r="P48" s="124" t="str">
        <f>IF(COUNTIF('PO Check'!A:A,D48)&gt;0,"Yes","No")</f>
        <v>Yes</v>
      </c>
      <c r="Q48" s="124" t="str" cm="1">
        <f t="array" ref="Q48">_xlfn.XLOOKUP(1,('Case Pack'!$A$4:$A$962=C48)*('Case Pack'!$L$4:$L$962&gt;0)*('Case Pack'!$L$4:$L$962&lt;=A48),'Case Pack'!$G$4:$G$962,"未找到箱型")</f>
        <v>C</v>
      </c>
      <c r="R48" s="124">
        <f>ROUND(IFERROR(VLOOKUP(Q48,'Case Type'!A:H,8,0),0)*O48,2)</f>
        <v>0.61</v>
      </c>
    </row>
    <row r="49" customFormat="1" spans="1:18">
      <c r="A49" s="113">
        <v>45965</v>
      </c>
      <c r="B49" s="91" t="str">
        <f>_xlfn.XLOOKUP(C49,'Product List'!B:B,'Product List'!I:I)</f>
        <v>MINI/MOE BENDABLE BIRCHWOOD FENCE</v>
      </c>
      <c r="C49" s="94" t="s">
        <v>62</v>
      </c>
      <c r="D49" s="250">
        <v>29709589</v>
      </c>
      <c r="E49" s="125">
        <v>192</v>
      </c>
      <c r="F49" s="124">
        <v>5.01</v>
      </c>
      <c r="G49" s="124">
        <f t="shared" si="0"/>
        <v>961.92</v>
      </c>
      <c r="H49" s="86" t="s">
        <v>298</v>
      </c>
      <c r="I49" s="86" t="s">
        <v>92</v>
      </c>
      <c r="J49" s="124" t="s">
        <v>301</v>
      </c>
      <c r="K49" s="193">
        <v>46048</v>
      </c>
      <c r="L49" s="251">
        <v>46048</v>
      </c>
      <c r="M49" s="127">
        <v>2.63</v>
      </c>
      <c r="N49" s="124">
        <v>504.96</v>
      </c>
      <c r="O49" s="124" cm="1">
        <f t="array" ref="O49">E49/_xlfn.XLOOKUP(1,('Case Pack'!$A$4:$A$962=C49)*('Case Pack'!$L$4:$L$962&gt;0)*('Case Pack'!$L$4:$L$962&lt;=A49),'Case Pack'!$D$4:$D$962,"未找到箱规")</f>
        <v>6</v>
      </c>
      <c r="P49" s="124" t="str">
        <f>IF(COUNTIF('PO Check'!A:A,D49)&gt;0,"Yes","No")</f>
        <v>Yes</v>
      </c>
      <c r="Q49" s="124" t="str" cm="1">
        <f t="array" ref="Q49">_xlfn.XLOOKUP(1,('Case Pack'!$A$4:$A$962=C49)*('Case Pack'!$L$4:$L$962&gt;0)*('Case Pack'!$L$4:$L$962&lt;=A49),'Case Pack'!$G$4:$G$962,"未找到箱型")</f>
        <v>F</v>
      </c>
      <c r="R49" s="124">
        <f>ROUND(IFERROR(VLOOKUP(Q49,'Case Type'!A:H,8,0),0)*O49,2)</f>
        <v>0.22</v>
      </c>
    </row>
    <row r="50" customFormat="1" spans="1:18">
      <c r="A50" s="113">
        <v>45965</v>
      </c>
      <c r="B50" s="91" t="str">
        <f>_xlfn.XLOOKUP(C50,'Product List'!B:B,'Product List'!I:I)</f>
        <v>MINI/MOE RUFFLE BOWL</v>
      </c>
      <c r="C50" s="94" t="s">
        <v>78</v>
      </c>
      <c r="D50" s="250">
        <v>29709589</v>
      </c>
      <c r="E50" s="125">
        <v>224</v>
      </c>
      <c r="F50" s="124">
        <v>2.35</v>
      </c>
      <c r="G50" s="124">
        <f t="shared" si="0"/>
        <v>526.4</v>
      </c>
      <c r="H50" s="86" t="s">
        <v>298</v>
      </c>
      <c r="I50" s="86" t="s">
        <v>92</v>
      </c>
      <c r="J50" s="124" t="s">
        <v>301</v>
      </c>
      <c r="K50" s="193">
        <v>46048</v>
      </c>
      <c r="L50" s="251">
        <v>46048</v>
      </c>
      <c r="M50" s="127">
        <v>1.34</v>
      </c>
      <c r="N50" s="124">
        <v>300.16</v>
      </c>
      <c r="O50" s="124" cm="1">
        <f t="array" ref="O50">E50/_xlfn.XLOOKUP(1,('Case Pack'!$A$4:$A$962=C50)*('Case Pack'!$L$4:$L$962&gt;0)*('Case Pack'!$L$4:$L$962&lt;=A50),'Case Pack'!$D$4:$D$962,"未找到箱规")</f>
        <v>4.66666666666667</v>
      </c>
      <c r="P50" s="124" t="str">
        <f>IF(COUNTIF('PO Check'!A:A,D50)&gt;0,"Yes","No")</f>
        <v>Yes</v>
      </c>
      <c r="Q50" s="124" t="str" cm="1">
        <f t="array" ref="Q50">_xlfn.XLOOKUP(1,('Case Pack'!$A$4:$A$962=C50)*('Case Pack'!$L$4:$L$962&gt;0)*('Case Pack'!$L$4:$L$962&lt;=A50),'Case Pack'!$G$4:$G$962,"未找到箱型")</f>
        <v>B</v>
      </c>
      <c r="R50" s="124">
        <f>ROUND(IFERROR(VLOOKUP(Q50,'Case Type'!A:H,8,0),0)*O50,2)</f>
        <v>0.34</v>
      </c>
    </row>
    <row r="51" customFormat="1" spans="1:18">
      <c r="A51" s="113">
        <v>45965</v>
      </c>
      <c r="B51" s="91" t="str">
        <f>_xlfn.XLOOKUP(C51,'Product List'!B:B,'Product List'!I:I)</f>
        <v>MMO-STARFISH CASTLE</v>
      </c>
      <c r="C51" s="94" t="s">
        <v>60</v>
      </c>
      <c r="D51" s="250">
        <v>29709589</v>
      </c>
      <c r="E51" s="125">
        <v>156</v>
      </c>
      <c r="F51" s="124">
        <v>5.32</v>
      </c>
      <c r="G51" s="124">
        <f t="shared" si="0"/>
        <v>829.92</v>
      </c>
      <c r="H51" s="86" t="s">
        <v>298</v>
      </c>
      <c r="I51" s="86" t="s">
        <v>92</v>
      </c>
      <c r="J51" s="124" t="s">
        <v>301</v>
      </c>
      <c r="K51" s="193">
        <v>46048</v>
      </c>
      <c r="L51" s="251">
        <v>46048</v>
      </c>
      <c r="M51" s="127">
        <v>2.33</v>
      </c>
      <c r="N51" s="124">
        <v>363.48</v>
      </c>
      <c r="O51" s="124" cm="1">
        <f t="array" ref="O51">E51/_xlfn.XLOOKUP(1,('Case Pack'!$A$4:$A$962=C51)*('Case Pack'!$L$4:$L$962&gt;0)*('Case Pack'!$L$4:$L$962&lt;=A51),'Case Pack'!$D$4:$D$962,"未找到箱规")</f>
        <v>7.8</v>
      </c>
      <c r="P51" s="124" t="str">
        <f>IF(COUNTIF('PO Check'!A:A,D51)&gt;0,"Yes","No")</f>
        <v>Yes</v>
      </c>
      <c r="Q51" s="124" t="str" cm="1">
        <f t="array" ref="Q51">_xlfn.XLOOKUP(1,('Case Pack'!$A$4:$A$962=C51)*('Case Pack'!$L$4:$L$962&gt;0)*('Case Pack'!$L$4:$L$962&lt;=A51),'Case Pack'!$G$4:$G$962,"未找到箱型")</f>
        <v>C</v>
      </c>
      <c r="R51" s="124">
        <f>ROUND(IFERROR(VLOOKUP(Q51,'Case Type'!A:H,8,0),0)*O51,2)</f>
        <v>1.23</v>
      </c>
    </row>
    <row r="52" customFormat="1" spans="1:18">
      <c r="A52" s="113">
        <v>45965</v>
      </c>
      <c r="B52" s="91" t="str">
        <f>_xlfn.XLOOKUP(C52,'Product List'!B:B,'Product List'!I:I)</f>
        <v>MMO-WAVE BRIDGE</v>
      </c>
      <c r="C52" s="94" t="s">
        <v>61</v>
      </c>
      <c r="D52" s="250">
        <v>29709589</v>
      </c>
      <c r="E52" s="125">
        <v>160</v>
      </c>
      <c r="F52" s="124">
        <v>4.84</v>
      </c>
      <c r="G52" s="124">
        <f t="shared" si="0"/>
        <v>774.4</v>
      </c>
      <c r="H52" s="86" t="s">
        <v>298</v>
      </c>
      <c r="I52" s="86" t="s">
        <v>92</v>
      </c>
      <c r="J52" s="124" t="s">
        <v>301</v>
      </c>
      <c r="K52" s="193">
        <v>46048</v>
      </c>
      <c r="L52" s="251">
        <v>46048</v>
      </c>
      <c r="M52" s="127">
        <v>2.35</v>
      </c>
      <c r="N52" s="124">
        <v>376</v>
      </c>
      <c r="O52" s="124" cm="1">
        <f t="array" ref="O52">E52/_xlfn.XLOOKUP(1,('Case Pack'!$A$4:$A$962=C52)*('Case Pack'!$L$4:$L$962&gt;0)*('Case Pack'!$L$4:$L$962&lt;=A52),'Case Pack'!$D$4:$D$962,"未找到箱规")</f>
        <v>4.84848484848485</v>
      </c>
      <c r="P52" s="124" t="str">
        <f>IF(COUNTIF('PO Check'!A:A,D52)&gt;0,"Yes","No")</f>
        <v>Yes</v>
      </c>
      <c r="Q52" s="124" t="str" cm="1">
        <f t="array" ref="Q52">_xlfn.XLOOKUP(1,('Case Pack'!$A$4:$A$962=C52)*('Case Pack'!$L$4:$L$962&gt;0)*('Case Pack'!$L$4:$L$962&lt;=A52),'Case Pack'!$G$4:$G$962,"未找到箱型")</f>
        <v>C</v>
      </c>
      <c r="R52" s="124">
        <f>ROUND(IFERROR(VLOOKUP(Q52,'Case Type'!A:H,8,0),0)*O52,2)</f>
        <v>0.76</v>
      </c>
    </row>
    <row r="53" customFormat="1" spans="1:18">
      <c r="A53" s="113">
        <v>45965</v>
      </c>
      <c r="B53" s="91" t="str">
        <f>_xlfn.XLOOKUP(C53,'Product List'!B:B,'Product List'!I:I)</f>
        <v>MINI/MOE BENDABLE BIRCHWOOD FENCE</v>
      </c>
      <c r="C53" s="94" t="s">
        <v>62</v>
      </c>
      <c r="D53" s="250">
        <v>29709591</v>
      </c>
      <c r="E53" s="125">
        <v>168</v>
      </c>
      <c r="F53" s="124">
        <v>5.01</v>
      </c>
      <c r="G53" s="124">
        <f t="shared" si="0"/>
        <v>841.68</v>
      </c>
      <c r="H53" s="86" t="s">
        <v>298</v>
      </c>
      <c r="I53" s="86" t="s">
        <v>92</v>
      </c>
      <c r="J53" s="124" t="s">
        <v>300</v>
      </c>
      <c r="K53" s="193">
        <v>46048</v>
      </c>
      <c r="L53" s="251">
        <v>46048</v>
      </c>
      <c r="M53" s="127">
        <v>2.63</v>
      </c>
      <c r="N53" s="124">
        <v>441.84</v>
      </c>
      <c r="O53" s="124" cm="1">
        <f t="array" ref="O53">E53/_xlfn.XLOOKUP(1,('Case Pack'!$A$4:$A$962=C53)*('Case Pack'!$L$4:$L$962&gt;0)*('Case Pack'!$L$4:$L$962&lt;=A53),'Case Pack'!$D$4:$D$962,"未找到箱规")</f>
        <v>5.25</v>
      </c>
      <c r="P53" s="124" t="str">
        <f>IF(COUNTIF('PO Check'!A:A,D53)&gt;0,"Yes","No")</f>
        <v>Yes</v>
      </c>
      <c r="Q53" s="124" t="str" cm="1">
        <f t="array" ref="Q53">_xlfn.XLOOKUP(1,('Case Pack'!$A$4:$A$962=C53)*('Case Pack'!$L$4:$L$962&gt;0)*('Case Pack'!$L$4:$L$962&lt;=A53),'Case Pack'!$G$4:$G$962,"未找到箱型")</f>
        <v>F</v>
      </c>
      <c r="R53" s="124">
        <f>ROUND(IFERROR(VLOOKUP(Q53,'Case Type'!A:H,8,0),0)*O53,2)</f>
        <v>0.19</v>
      </c>
    </row>
    <row r="54" customFormat="1" spans="1:18">
      <c r="A54" s="113">
        <v>45965</v>
      </c>
      <c r="B54" s="91" t="str">
        <f>_xlfn.XLOOKUP(C54,'Product List'!B:B,'Product List'!I:I)</f>
        <v>MINI/MOE RUFFLE BOWL</v>
      </c>
      <c r="C54" s="94" t="s">
        <v>78</v>
      </c>
      <c r="D54" s="250">
        <v>29709591</v>
      </c>
      <c r="E54" s="125">
        <v>192</v>
      </c>
      <c r="F54" s="124">
        <v>2.35</v>
      </c>
      <c r="G54" s="124">
        <f t="shared" si="0"/>
        <v>451.2</v>
      </c>
      <c r="H54" s="86" t="s">
        <v>298</v>
      </c>
      <c r="I54" s="86" t="s">
        <v>92</v>
      </c>
      <c r="J54" s="124" t="s">
        <v>300</v>
      </c>
      <c r="K54" s="193">
        <v>46048</v>
      </c>
      <c r="L54" s="251">
        <v>46048</v>
      </c>
      <c r="M54" s="127">
        <v>1.34</v>
      </c>
      <c r="N54" s="124">
        <v>257.28</v>
      </c>
      <c r="O54" s="124" cm="1">
        <f t="array" ref="O54">E54/_xlfn.XLOOKUP(1,('Case Pack'!$A$4:$A$962=C54)*('Case Pack'!$L$4:$L$962&gt;0)*('Case Pack'!$L$4:$L$962&lt;=A54),'Case Pack'!$D$4:$D$962,"未找到箱规")</f>
        <v>4</v>
      </c>
      <c r="P54" s="124" t="str">
        <f>IF(COUNTIF('PO Check'!A:A,D54)&gt;0,"Yes","No")</f>
        <v>Yes</v>
      </c>
      <c r="Q54" s="124" t="str" cm="1">
        <f t="array" ref="Q54">_xlfn.XLOOKUP(1,('Case Pack'!$A$4:$A$962=C54)*('Case Pack'!$L$4:$L$962&gt;0)*('Case Pack'!$L$4:$L$962&lt;=A54),'Case Pack'!$G$4:$G$962,"未找到箱型")</f>
        <v>B</v>
      </c>
      <c r="R54" s="124">
        <f>ROUND(IFERROR(VLOOKUP(Q54,'Case Type'!A:H,8,0),0)*O54,2)</f>
        <v>0.29</v>
      </c>
    </row>
    <row r="55" customFormat="1" spans="1:18">
      <c r="A55" s="113">
        <v>45965</v>
      </c>
      <c r="B55" s="91" t="str">
        <f>_xlfn.XLOOKUP(C55,'Product List'!B:B,'Product List'!I:I)</f>
        <v>MMO-STARFISH CASTLE</v>
      </c>
      <c r="C55" s="94" t="s">
        <v>60</v>
      </c>
      <c r="D55" s="250">
        <v>29709591</v>
      </c>
      <c r="E55" s="125">
        <v>132</v>
      </c>
      <c r="F55" s="124">
        <v>5.32</v>
      </c>
      <c r="G55" s="124">
        <f t="shared" si="0"/>
        <v>702.24</v>
      </c>
      <c r="H55" s="86" t="s">
        <v>298</v>
      </c>
      <c r="I55" s="86" t="s">
        <v>92</v>
      </c>
      <c r="J55" s="124" t="s">
        <v>300</v>
      </c>
      <c r="K55" s="193">
        <v>46048</v>
      </c>
      <c r="L55" s="251">
        <v>46048</v>
      </c>
      <c r="M55" s="127">
        <v>2.33</v>
      </c>
      <c r="N55" s="124">
        <v>307.56</v>
      </c>
      <c r="O55" s="124" cm="1">
        <f t="array" ref="O55">E55/_xlfn.XLOOKUP(1,('Case Pack'!$A$4:$A$962=C55)*('Case Pack'!$L$4:$L$962&gt;0)*('Case Pack'!$L$4:$L$962&lt;=A55),'Case Pack'!$D$4:$D$962,"未找到箱规")</f>
        <v>6.6</v>
      </c>
      <c r="P55" s="124" t="str">
        <f>IF(COUNTIF('PO Check'!A:A,D55)&gt;0,"Yes","No")</f>
        <v>Yes</v>
      </c>
      <c r="Q55" s="124" t="str" cm="1">
        <f t="array" ref="Q55">_xlfn.XLOOKUP(1,('Case Pack'!$A$4:$A$962=C55)*('Case Pack'!$L$4:$L$962&gt;0)*('Case Pack'!$L$4:$L$962&lt;=A55),'Case Pack'!$G$4:$G$962,"未找到箱型")</f>
        <v>C</v>
      </c>
      <c r="R55" s="124">
        <f>ROUND(IFERROR(VLOOKUP(Q55,'Case Type'!A:H,8,0),0)*O55,2)</f>
        <v>1.04</v>
      </c>
    </row>
    <row r="56" customFormat="1" spans="1:18">
      <c r="A56" s="113">
        <v>45965</v>
      </c>
      <c r="B56" s="91" t="str">
        <f>_xlfn.XLOOKUP(C56,'Product List'!B:B,'Product List'!I:I)</f>
        <v>MMO-WAVE BRIDGE</v>
      </c>
      <c r="C56" s="94" t="s">
        <v>61</v>
      </c>
      <c r="D56" s="250">
        <v>29709591</v>
      </c>
      <c r="E56" s="125">
        <v>128</v>
      </c>
      <c r="F56" s="124">
        <v>4.84</v>
      </c>
      <c r="G56" s="124">
        <f t="shared" si="0"/>
        <v>619.52</v>
      </c>
      <c r="H56" s="86" t="s">
        <v>298</v>
      </c>
      <c r="I56" s="86" t="s">
        <v>92</v>
      </c>
      <c r="J56" s="124" t="s">
        <v>300</v>
      </c>
      <c r="K56" s="193">
        <v>46048</v>
      </c>
      <c r="L56" s="251">
        <v>46048</v>
      </c>
      <c r="M56" s="127">
        <v>2.35</v>
      </c>
      <c r="N56" s="124">
        <v>300.8</v>
      </c>
      <c r="O56" s="124" cm="1">
        <f t="array" ref="O56">E56/_xlfn.XLOOKUP(1,('Case Pack'!$A$4:$A$962=C56)*('Case Pack'!$L$4:$L$962&gt;0)*('Case Pack'!$L$4:$L$962&lt;=A56),'Case Pack'!$D$4:$D$962,"未找到箱规")</f>
        <v>3.87878787878788</v>
      </c>
      <c r="P56" s="124" t="str">
        <f>IF(COUNTIF('PO Check'!A:A,D56)&gt;0,"Yes","No")</f>
        <v>Yes</v>
      </c>
      <c r="Q56" s="124" t="str" cm="1">
        <f t="array" ref="Q56">_xlfn.XLOOKUP(1,('Case Pack'!$A$4:$A$962=C56)*('Case Pack'!$L$4:$L$962&gt;0)*('Case Pack'!$L$4:$L$962&lt;=A56),'Case Pack'!$G$4:$G$962,"未找到箱型")</f>
        <v>C</v>
      </c>
      <c r="R56" s="124">
        <f>ROUND(IFERROR(VLOOKUP(Q56,'Case Type'!A:H,8,0),0)*O56,2)</f>
        <v>0.61</v>
      </c>
    </row>
    <row r="57" customFormat="1" spans="1:18">
      <c r="A57" s="113">
        <v>45965</v>
      </c>
      <c r="B57" s="91" t="str">
        <f>_xlfn.XLOOKUP(C57,'Product List'!B:B,'Product List'!I:I)</f>
        <v>MINI/MOE BENDABLE BIRCHWOOD FENCE</v>
      </c>
      <c r="C57" s="94" t="s">
        <v>62</v>
      </c>
      <c r="D57" s="250">
        <v>29709593</v>
      </c>
      <c r="E57" s="125">
        <v>312</v>
      </c>
      <c r="F57" s="124">
        <v>5.01</v>
      </c>
      <c r="G57" s="124">
        <f t="shared" si="0"/>
        <v>1563.12</v>
      </c>
      <c r="H57" s="86" t="s">
        <v>298</v>
      </c>
      <c r="I57" s="86" t="s">
        <v>92</v>
      </c>
      <c r="J57" s="124" t="s">
        <v>302</v>
      </c>
      <c r="K57" s="193">
        <v>46048</v>
      </c>
      <c r="L57" s="251">
        <v>46048</v>
      </c>
      <c r="M57" s="127">
        <v>2.63</v>
      </c>
      <c r="N57" s="124">
        <v>820.56</v>
      </c>
      <c r="O57" s="124" cm="1">
        <f t="array" ref="O57">E57/_xlfn.XLOOKUP(1,('Case Pack'!$A$4:$A$962=C57)*('Case Pack'!$L$4:$L$962&gt;0)*('Case Pack'!$L$4:$L$962&lt;=A57),'Case Pack'!$D$4:$D$962,"未找到箱规")</f>
        <v>9.75</v>
      </c>
      <c r="P57" s="124" t="str">
        <f>IF(COUNTIF('PO Check'!A:A,D57)&gt;0,"Yes","No")</f>
        <v>Yes</v>
      </c>
      <c r="Q57" s="124" t="str" cm="1">
        <f t="array" ref="Q57">_xlfn.XLOOKUP(1,('Case Pack'!$A$4:$A$962=C57)*('Case Pack'!$L$4:$L$962&gt;0)*('Case Pack'!$L$4:$L$962&lt;=A57),'Case Pack'!$G$4:$G$962,"未找到箱型")</f>
        <v>F</v>
      </c>
      <c r="R57" s="124">
        <f>ROUND(IFERROR(VLOOKUP(Q57,'Case Type'!A:H,8,0),0)*O57,2)</f>
        <v>0.36</v>
      </c>
    </row>
    <row r="58" customFormat="1" spans="1:18">
      <c r="A58" s="113">
        <v>45965</v>
      </c>
      <c r="B58" s="91" t="str">
        <f>_xlfn.XLOOKUP(C58,'Product List'!B:B,'Product List'!I:I)</f>
        <v>MINI/MOE RUFFLE BOWL</v>
      </c>
      <c r="C58" s="94" t="s">
        <v>78</v>
      </c>
      <c r="D58" s="250">
        <v>29709593</v>
      </c>
      <c r="E58" s="125">
        <v>384</v>
      </c>
      <c r="F58" s="124">
        <v>2.35</v>
      </c>
      <c r="G58" s="124">
        <f t="shared" si="0"/>
        <v>902.4</v>
      </c>
      <c r="H58" s="86" t="s">
        <v>298</v>
      </c>
      <c r="I58" s="86" t="s">
        <v>92</v>
      </c>
      <c r="J58" s="124" t="s">
        <v>302</v>
      </c>
      <c r="K58" s="193">
        <v>46048</v>
      </c>
      <c r="L58" s="251">
        <v>46048</v>
      </c>
      <c r="M58" s="127">
        <v>1.34</v>
      </c>
      <c r="N58" s="124">
        <v>514.56</v>
      </c>
      <c r="O58" s="124" cm="1">
        <f t="array" ref="O58">E58/_xlfn.XLOOKUP(1,('Case Pack'!$A$4:$A$962=C58)*('Case Pack'!$L$4:$L$962&gt;0)*('Case Pack'!$L$4:$L$962&lt;=A58),'Case Pack'!$D$4:$D$962,"未找到箱规")</f>
        <v>8</v>
      </c>
      <c r="P58" s="124" t="str">
        <f>IF(COUNTIF('PO Check'!A:A,D58)&gt;0,"Yes","No")</f>
        <v>Yes</v>
      </c>
      <c r="Q58" s="124" t="str" cm="1">
        <f t="array" ref="Q58">_xlfn.XLOOKUP(1,('Case Pack'!$A$4:$A$962=C58)*('Case Pack'!$L$4:$L$962&gt;0)*('Case Pack'!$L$4:$L$962&lt;=A58),'Case Pack'!$G$4:$G$962,"未找到箱型")</f>
        <v>B</v>
      </c>
      <c r="R58" s="124">
        <f>ROUND(IFERROR(VLOOKUP(Q58,'Case Type'!A:H,8,0),0)*O58,2)</f>
        <v>0.59</v>
      </c>
    </row>
    <row r="59" customFormat="1" spans="1:18">
      <c r="A59" s="113">
        <v>45965</v>
      </c>
      <c r="B59" s="91" t="str">
        <f>_xlfn.XLOOKUP(C59,'Product List'!B:B,'Product List'!I:I)</f>
        <v>MMO-STARFISH CASTLE</v>
      </c>
      <c r="C59" s="94" t="s">
        <v>60</v>
      </c>
      <c r="D59" s="250">
        <v>29709593</v>
      </c>
      <c r="E59" s="125">
        <v>252</v>
      </c>
      <c r="F59" s="124">
        <v>5.32</v>
      </c>
      <c r="G59" s="124">
        <f t="shared" si="0"/>
        <v>1340.64</v>
      </c>
      <c r="H59" s="86" t="s">
        <v>298</v>
      </c>
      <c r="I59" s="86" t="s">
        <v>92</v>
      </c>
      <c r="J59" s="124" t="s">
        <v>302</v>
      </c>
      <c r="K59" s="193">
        <v>46048</v>
      </c>
      <c r="L59" s="251">
        <v>46048</v>
      </c>
      <c r="M59" s="127">
        <v>2.33</v>
      </c>
      <c r="N59" s="124">
        <v>587.16</v>
      </c>
      <c r="O59" s="124" cm="1">
        <f t="array" ref="O59">E59/_xlfn.XLOOKUP(1,('Case Pack'!$A$4:$A$962=C59)*('Case Pack'!$L$4:$L$962&gt;0)*('Case Pack'!$L$4:$L$962&lt;=A59),'Case Pack'!$D$4:$D$962,"未找到箱规")</f>
        <v>12.6</v>
      </c>
      <c r="P59" s="124" t="str">
        <f>IF(COUNTIF('PO Check'!A:A,D59)&gt;0,"Yes","No")</f>
        <v>Yes</v>
      </c>
      <c r="Q59" s="124" t="str" cm="1">
        <f t="array" ref="Q59">_xlfn.XLOOKUP(1,('Case Pack'!$A$4:$A$962=C59)*('Case Pack'!$L$4:$L$962&gt;0)*('Case Pack'!$L$4:$L$962&lt;=A59),'Case Pack'!$G$4:$G$962,"未找到箱型")</f>
        <v>C</v>
      </c>
      <c r="R59" s="124">
        <f>ROUND(IFERROR(VLOOKUP(Q59,'Case Type'!A:H,8,0),0)*O59,2)</f>
        <v>1.98</v>
      </c>
    </row>
    <row r="60" customFormat="1" spans="1:18">
      <c r="A60" s="113">
        <v>45965</v>
      </c>
      <c r="B60" s="91" t="str">
        <f>_xlfn.XLOOKUP(C60,'Product List'!B:B,'Product List'!I:I)</f>
        <v>MMO-WAVE BRIDGE</v>
      </c>
      <c r="C60" s="94" t="s">
        <v>61</v>
      </c>
      <c r="D60" s="250">
        <v>29709593</v>
      </c>
      <c r="E60" s="125">
        <v>288</v>
      </c>
      <c r="F60" s="124">
        <v>4.84</v>
      </c>
      <c r="G60" s="124">
        <f t="shared" si="0"/>
        <v>1393.92</v>
      </c>
      <c r="H60" s="86" t="s">
        <v>298</v>
      </c>
      <c r="I60" s="86" t="s">
        <v>92</v>
      </c>
      <c r="J60" s="124" t="s">
        <v>302</v>
      </c>
      <c r="K60" s="193">
        <v>46048</v>
      </c>
      <c r="L60" s="251">
        <v>46048</v>
      </c>
      <c r="M60" s="127">
        <v>2.35</v>
      </c>
      <c r="N60" s="124">
        <v>676.8</v>
      </c>
      <c r="O60" s="124" cm="1">
        <f t="array" ref="O60">E60/_xlfn.XLOOKUP(1,('Case Pack'!$A$4:$A$962=C60)*('Case Pack'!$L$4:$L$962&gt;0)*('Case Pack'!$L$4:$L$962&lt;=A60),'Case Pack'!$D$4:$D$962,"未找到箱规")</f>
        <v>8.72727272727273</v>
      </c>
      <c r="P60" s="124" t="str">
        <f>IF(COUNTIF('PO Check'!A:A,D60)&gt;0,"Yes","No")</f>
        <v>Yes</v>
      </c>
      <c r="Q60" s="124" t="str" cm="1">
        <f t="array" ref="Q60">_xlfn.XLOOKUP(1,('Case Pack'!$A$4:$A$962=C60)*('Case Pack'!$L$4:$L$962&gt;0)*('Case Pack'!$L$4:$L$962&lt;=A60),'Case Pack'!$G$4:$G$962,"未找到箱型")</f>
        <v>C</v>
      </c>
      <c r="R60" s="124">
        <f>ROUND(IFERROR(VLOOKUP(Q60,'Case Type'!A:H,8,0),0)*O60,2)</f>
        <v>1.37</v>
      </c>
    </row>
    <row r="61" customFormat="1" spans="1:18">
      <c r="A61" s="113">
        <v>45965</v>
      </c>
      <c r="B61" s="91" t="str">
        <f>_xlfn.XLOOKUP(C61,'Product List'!B:B,'Product List'!I:I)</f>
        <v>MINI/MOE BENDABLE BIRCHWOOD FENCE</v>
      </c>
      <c r="C61" s="94" t="s">
        <v>62</v>
      </c>
      <c r="D61" s="250">
        <v>29709592</v>
      </c>
      <c r="E61" s="125">
        <v>192</v>
      </c>
      <c r="F61" s="124">
        <v>5.01</v>
      </c>
      <c r="G61" s="124">
        <f t="shared" si="0"/>
        <v>961.92</v>
      </c>
      <c r="H61" s="86" t="s">
        <v>298</v>
      </c>
      <c r="I61" s="86" t="s">
        <v>92</v>
      </c>
      <c r="J61" s="124" t="s">
        <v>304</v>
      </c>
      <c r="K61" s="193">
        <v>46048</v>
      </c>
      <c r="L61" s="251">
        <v>46048</v>
      </c>
      <c r="M61" s="127">
        <v>2.63</v>
      </c>
      <c r="N61" s="124">
        <v>504.96</v>
      </c>
      <c r="O61" s="124" cm="1">
        <f t="array" ref="O61">E61/_xlfn.XLOOKUP(1,('Case Pack'!$A$4:$A$962=C61)*('Case Pack'!$L$4:$L$962&gt;0)*('Case Pack'!$L$4:$L$962&lt;=A61),'Case Pack'!$D$4:$D$962,"未找到箱规")</f>
        <v>6</v>
      </c>
      <c r="P61" s="124" t="str">
        <f>IF(COUNTIF('PO Check'!A:A,D61)&gt;0,"Yes","No")</f>
        <v>Yes</v>
      </c>
      <c r="Q61" s="124" t="str" cm="1">
        <f t="array" ref="Q61">_xlfn.XLOOKUP(1,('Case Pack'!$A$4:$A$962=C61)*('Case Pack'!$L$4:$L$962&gt;0)*('Case Pack'!$L$4:$L$962&lt;=A61),'Case Pack'!$G$4:$G$962,"未找到箱型")</f>
        <v>F</v>
      </c>
      <c r="R61" s="124">
        <f>ROUND(IFERROR(VLOOKUP(Q61,'Case Type'!A:H,8,0),0)*O61,2)</f>
        <v>0.22</v>
      </c>
    </row>
    <row r="62" customFormat="1" spans="1:18">
      <c r="A62" s="113">
        <v>45965</v>
      </c>
      <c r="B62" s="91" t="str">
        <f>_xlfn.XLOOKUP(C62,'Product List'!B:B,'Product List'!I:I)</f>
        <v>MINI/MOE RUFFLE BOWL</v>
      </c>
      <c r="C62" s="94" t="s">
        <v>78</v>
      </c>
      <c r="D62" s="250">
        <v>29709592</v>
      </c>
      <c r="E62" s="125">
        <v>224</v>
      </c>
      <c r="F62" s="124">
        <v>2.35</v>
      </c>
      <c r="G62" s="124">
        <f t="shared" si="0"/>
        <v>526.4</v>
      </c>
      <c r="H62" s="86" t="s">
        <v>298</v>
      </c>
      <c r="I62" s="86" t="s">
        <v>92</v>
      </c>
      <c r="J62" s="124" t="s">
        <v>304</v>
      </c>
      <c r="K62" s="193">
        <v>46048</v>
      </c>
      <c r="L62" s="251">
        <v>46048</v>
      </c>
      <c r="M62" s="127">
        <v>1.34</v>
      </c>
      <c r="N62" s="124">
        <v>300.16</v>
      </c>
      <c r="O62" s="124" cm="1">
        <f t="array" ref="O62">E62/_xlfn.XLOOKUP(1,('Case Pack'!$A$4:$A$962=C62)*('Case Pack'!$L$4:$L$962&gt;0)*('Case Pack'!$L$4:$L$962&lt;=A62),'Case Pack'!$D$4:$D$962,"未找到箱规")</f>
        <v>4.66666666666667</v>
      </c>
      <c r="P62" s="124" t="str">
        <f>IF(COUNTIF('PO Check'!A:A,D62)&gt;0,"Yes","No")</f>
        <v>Yes</v>
      </c>
      <c r="Q62" s="124" t="str" cm="1">
        <f t="array" ref="Q62">_xlfn.XLOOKUP(1,('Case Pack'!$A$4:$A$962=C62)*('Case Pack'!$L$4:$L$962&gt;0)*('Case Pack'!$L$4:$L$962&lt;=A62),'Case Pack'!$G$4:$G$962,"未找到箱型")</f>
        <v>B</v>
      </c>
      <c r="R62" s="124">
        <f>ROUND(IFERROR(VLOOKUP(Q62,'Case Type'!A:H,8,0),0)*O62,2)</f>
        <v>0.34</v>
      </c>
    </row>
    <row r="63" customFormat="1" spans="1:18">
      <c r="A63" s="113">
        <v>45965</v>
      </c>
      <c r="B63" s="91" t="str">
        <f>_xlfn.XLOOKUP(C63,'Product List'!B:B,'Product List'!I:I)</f>
        <v>MMO-STARFISH CASTLE</v>
      </c>
      <c r="C63" s="94" t="s">
        <v>60</v>
      </c>
      <c r="D63" s="250">
        <v>29709592</v>
      </c>
      <c r="E63" s="125">
        <v>156</v>
      </c>
      <c r="F63" s="124">
        <v>5.32</v>
      </c>
      <c r="G63" s="124">
        <f t="shared" si="0"/>
        <v>829.92</v>
      </c>
      <c r="H63" s="86" t="s">
        <v>298</v>
      </c>
      <c r="I63" s="86" t="s">
        <v>92</v>
      </c>
      <c r="J63" s="124" t="s">
        <v>304</v>
      </c>
      <c r="K63" s="193">
        <v>46048</v>
      </c>
      <c r="L63" s="251">
        <v>46048</v>
      </c>
      <c r="M63" s="127">
        <v>2.33</v>
      </c>
      <c r="N63" s="124">
        <v>363.48</v>
      </c>
      <c r="O63" s="124" cm="1">
        <f t="array" ref="O63">E63/_xlfn.XLOOKUP(1,('Case Pack'!$A$4:$A$962=C63)*('Case Pack'!$L$4:$L$962&gt;0)*('Case Pack'!$L$4:$L$962&lt;=A63),'Case Pack'!$D$4:$D$962,"未找到箱规")</f>
        <v>7.8</v>
      </c>
      <c r="P63" s="124" t="str">
        <f>IF(COUNTIF('PO Check'!A:A,D63)&gt;0,"Yes","No")</f>
        <v>Yes</v>
      </c>
      <c r="Q63" s="124" t="str" cm="1">
        <f t="array" ref="Q63">_xlfn.XLOOKUP(1,('Case Pack'!$A$4:$A$962=C63)*('Case Pack'!$L$4:$L$962&gt;0)*('Case Pack'!$L$4:$L$962&lt;=A63),'Case Pack'!$G$4:$G$962,"未找到箱型")</f>
        <v>C</v>
      </c>
      <c r="R63" s="124">
        <f>ROUND(IFERROR(VLOOKUP(Q63,'Case Type'!A:H,8,0),0)*O63,2)</f>
        <v>1.23</v>
      </c>
    </row>
    <row r="64" customFormat="1" spans="1:18">
      <c r="A64" s="113">
        <v>45965</v>
      </c>
      <c r="B64" s="91" t="str">
        <f>_xlfn.XLOOKUP(C64,'Product List'!B:B,'Product List'!I:I)</f>
        <v>MMO-WAVE BRIDGE</v>
      </c>
      <c r="C64" s="94" t="s">
        <v>61</v>
      </c>
      <c r="D64" s="250">
        <v>29709592</v>
      </c>
      <c r="E64" s="125">
        <v>160</v>
      </c>
      <c r="F64" s="124">
        <v>4.84</v>
      </c>
      <c r="G64" s="124">
        <f t="shared" si="0"/>
        <v>774.4</v>
      </c>
      <c r="H64" s="86" t="s">
        <v>298</v>
      </c>
      <c r="I64" s="86" t="s">
        <v>92</v>
      </c>
      <c r="J64" s="124" t="s">
        <v>304</v>
      </c>
      <c r="K64" s="193">
        <v>46048</v>
      </c>
      <c r="L64" s="251">
        <v>46048</v>
      </c>
      <c r="M64" s="127">
        <v>2.35</v>
      </c>
      <c r="N64" s="124">
        <v>376</v>
      </c>
      <c r="O64" s="124" cm="1">
        <f t="array" ref="O64">E64/_xlfn.XLOOKUP(1,('Case Pack'!$A$4:$A$962=C64)*('Case Pack'!$L$4:$L$962&gt;0)*('Case Pack'!$L$4:$L$962&lt;=A64),'Case Pack'!$D$4:$D$962,"未找到箱规")</f>
        <v>4.84848484848485</v>
      </c>
      <c r="P64" s="124" t="str">
        <f>IF(COUNTIF('PO Check'!A:A,D64)&gt;0,"Yes","No")</f>
        <v>Yes</v>
      </c>
      <c r="Q64" s="124" t="str" cm="1">
        <f t="array" ref="Q64">_xlfn.XLOOKUP(1,('Case Pack'!$A$4:$A$962=C64)*('Case Pack'!$L$4:$L$962&gt;0)*('Case Pack'!$L$4:$L$962&lt;=A64),'Case Pack'!$G$4:$G$962,"未找到箱型")</f>
        <v>C</v>
      </c>
      <c r="R64" s="124">
        <f>ROUND(IFERROR(VLOOKUP(Q64,'Case Type'!A:H,8,0),0)*O64,2)</f>
        <v>0.76</v>
      </c>
    </row>
    <row r="65" customFormat="1" spans="1:18">
      <c r="A65" s="113">
        <v>45965</v>
      </c>
      <c r="B65" s="91" t="str">
        <f>_xlfn.XLOOKUP(C65,'Product List'!B:B,'Product List'!I:I)</f>
        <v>MINI/MOE BENDABLE BIRCHWOOD FENCE</v>
      </c>
      <c r="C65" s="94" t="s">
        <v>62</v>
      </c>
      <c r="D65" s="250">
        <v>29709588</v>
      </c>
      <c r="E65" s="125">
        <v>240</v>
      </c>
      <c r="F65" s="124">
        <v>5.01</v>
      </c>
      <c r="G65" s="124">
        <f t="shared" si="0"/>
        <v>1202.4</v>
      </c>
      <c r="H65" s="86" t="s">
        <v>298</v>
      </c>
      <c r="I65" s="86" t="s">
        <v>92</v>
      </c>
      <c r="J65" s="124" t="s">
        <v>299</v>
      </c>
      <c r="K65" s="193">
        <v>46048</v>
      </c>
      <c r="L65" s="251">
        <v>46048</v>
      </c>
      <c r="M65" s="127">
        <v>2.63</v>
      </c>
      <c r="N65" s="124">
        <v>631.2</v>
      </c>
      <c r="O65" s="124" cm="1">
        <f t="array" ref="O65">E65/_xlfn.XLOOKUP(1,('Case Pack'!$A$4:$A$962=C65)*('Case Pack'!$L$4:$L$962&gt;0)*('Case Pack'!$L$4:$L$962&lt;=A65),'Case Pack'!$D$4:$D$962,"未找到箱规")</f>
        <v>7.5</v>
      </c>
      <c r="P65" s="124" t="str">
        <f>IF(COUNTIF('PO Check'!A:A,D65)&gt;0,"Yes","No")</f>
        <v>Yes</v>
      </c>
      <c r="Q65" s="124" t="str" cm="1">
        <f t="array" ref="Q65">_xlfn.XLOOKUP(1,('Case Pack'!$A$4:$A$962=C65)*('Case Pack'!$L$4:$L$962&gt;0)*('Case Pack'!$L$4:$L$962&lt;=A65),'Case Pack'!$G$4:$G$962,"未找到箱型")</f>
        <v>F</v>
      </c>
      <c r="R65" s="124">
        <f>ROUND(IFERROR(VLOOKUP(Q65,'Case Type'!A:H,8,0),0)*O65,2)</f>
        <v>0.28</v>
      </c>
    </row>
    <row r="66" customFormat="1" spans="1:18">
      <c r="A66" s="113">
        <v>45965</v>
      </c>
      <c r="B66" s="91" t="str">
        <f>_xlfn.XLOOKUP(C66,'Product List'!B:B,'Product List'!I:I)</f>
        <v>MINI/MOE RUFFLE BOWL</v>
      </c>
      <c r="C66" s="94" t="s">
        <v>78</v>
      </c>
      <c r="D66" s="250">
        <v>29709588</v>
      </c>
      <c r="E66" s="125">
        <v>288</v>
      </c>
      <c r="F66" s="124">
        <v>2.35</v>
      </c>
      <c r="G66" s="124">
        <f>E66*F66</f>
        <v>676.8</v>
      </c>
      <c r="H66" s="86" t="s">
        <v>298</v>
      </c>
      <c r="I66" s="86" t="s">
        <v>92</v>
      </c>
      <c r="J66" s="124" t="s">
        <v>299</v>
      </c>
      <c r="K66" s="193">
        <v>46048</v>
      </c>
      <c r="L66" s="251">
        <v>46048</v>
      </c>
      <c r="M66" s="127">
        <v>1.34</v>
      </c>
      <c r="N66" s="124">
        <v>385.92</v>
      </c>
      <c r="O66" s="124" cm="1">
        <f t="array" ref="O66">E66/_xlfn.XLOOKUP(1,('Case Pack'!$A$4:$A$962=C66)*('Case Pack'!$L$4:$L$962&gt;0)*('Case Pack'!$L$4:$L$962&lt;=A66),'Case Pack'!$D$4:$D$962,"未找到箱规")</f>
        <v>6</v>
      </c>
      <c r="P66" s="124" t="str">
        <f>IF(COUNTIF('PO Check'!A:A,D66)&gt;0,"Yes","No")</f>
        <v>Yes</v>
      </c>
      <c r="Q66" s="124" t="str" cm="1">
        <f t="array" ref="Q66">_xlfn.XLOOKUP(1,('Case Pack'!$A$4:$A$962=C66)*('Case Pack'!$L$4:$L$962&gt;0)*('Case Pack'!$L$4:$L$962&lt;=A66),'Case Pack'!$G$4:$G$962,"未找到箱型")</f>
        <v>B</v>
      </c>
      <c r="R66" s="124">
        <f>ROUND(IFERROR(VLOOKUP(Q66,'Case Type'!A:H,8,0),0)*O66,2)</f>
        <v>0.44</v>
      </c>
    </row>
    <row r="67" customFormat="1" spans="1:18">
      <c r="A67" s="113">
        <v>45965</v>
      </c>
      <c r="B67" s="91" t="str">
        <f>_xlfn.XLOOKUP(C67,'Product List'!B:B,'Product List'!I:I)</f>
        <v>MMO-STARFISH CASTLE</v>
      </c>
      <c r="C67" s="94" t="s">
        <v>60</v>
      </c>
      <c r="D67" s="250">
        <v>29709588</v>
      </c>
      <c r="E67" s="125">
        <v>204</v>
      </c>
      <c r="F67" s="124">
        <v>5.32</v>
      </c>
      <c r="G67" s="124">
        <f>E67*F67</f>
        <v>1085.28</v>
      </c>
      <c r="H67" s="86" t="s">
        <v>298</v>
      </c>
      <c r="I67" s="86" t="s">
        <v>92</v>
      </c>
      <c r="J67" s="124" t="s">
        <v>299</v>
      </c>
      <c r="K67" s="193">
        <v>46048</v>
      </c>
      <c r="L67" s="251">
        <v>46048</v>
      </c>
      <c r="M67" s="127">
        <v>2.33</v>
      </c>
      <c r="N67" s="124">
        <v>475.32</v>
      </c>
      <c r="O67" s="124" cm="1">
        <f t="array" ref="O67">E67/_xlfn.XLOOKUP(1,('Case Pack'!$A$4:$A$962=C67)*('Case Pack'!$L$4:$L$962&gt;0)*('Case Pack'!$L$4:$L$962&lt;=A67),'Case Pack'!$D$4:$D$962,"未找到箱规")</f>
        <v>10.2</v>
      </c>
      <c r="P67" s="124" t="str">
        <f>IF(COUNTIF('PO Check'!A:A,D67)&gt;0,"Yes","No")</f>
        <v>Yes</v>
      </c>
      <c r="Q67" s="124" t="str" cm="1">
        <f t="array" ref="Q67">_xlfn.XLOOKUP(1,('Case Pack'!$A$4:$A$962=C67)*('Case Pack'!$L$4:$L$962&gt;0)*('Case Pack'!$L$4:$L$962&lt;=A67),'Case Pack'!$G$4:$G$962,"未找到箱型")</f>
        <v>C</v>
      </c>
      <c r="R67" s="124">
        <f>ROUND(IFERROR(VLOOKUP(Q67,'Case Type'!A:H,8,0),0)*O67,2)</f>
        <v>1.6</v>
      </c>
    </row>
    <row r="68" customFormat="1" spans="1:18">
      <c r="A68" s="113">
        <v>45965</v>
      </c>
      <c r="B68" s="91" t="str">
        <f>_xlfn.XLOOKUP(C68,'Product List'!B:B,'Product List'!I:I)</f>
        <v>MMO-WAVE BRIDGE</v>
      </c>
      <c r="C68" s="94" t="s">
        <v>61</v>
      </c>
      <c r="D68" s="250">
        <v>29709588</v>
      </c>
      <c r="E68" s="125">
        <v>224</v>
      </c>
      <c r="F68" s="124">
        <v>4.84</v>
      </c>
      <c r="G68" s="124">
        <f>E68*F68</f>
        <v>1084.16</v>
      </c>
      <c r="H68" s="86" t="s">
        <v>298</v>
      </c>
      <c r="I68" s="86" t="s">
        <v>92</v>
      </c>
      <c r="J68" s="124" t="s">
        <v>299</v>
      </c>
      <c r="K68" s="193">
        <v>46048</v>
      </c>
      <c r="L68" s="251">
        <v>46048</v>
      </c>
      <c r="M68" s="127">
        <v>2.35</v>
      </c>
      <c r="N68" s="124">
        <v>526.4</v>
      </c>
      <c r="O68" s="124" cm="1">
        <f t="array" ref="O68">E68/_xlfn.XLOOKUP(1,('Case Pack'!$A$4:$A$962=C68)*('Case Pack'!$L$4:$L$962&gt;0)*('Case Pack'!$L$4:$L$962&lt;=A68),'Case Pack'!$D$4:$D$962,"未找到箱规")</f>
        <v>6.78787878787879</v>
      </c>
      <c r="P68" s="124" t="str">
        <f>IF(COUNTIF('PO Check'!A:A,D68)&gt;0,"Yes","No")</f>
        <v>Yes</v>
      </c>
      <c r="Q68" s="124" t="str" cm="1">
        <f t="array" ref="Q68">_xlfn.XLOOKUP(1,('Case Pack'!$A$4:$A$962=C68)*('Case Pack'!$L$4:$L$962&gt;0)*('Case Pack'!$L$4:$L$962&lt;=A68),'Case Pack'!$G$4:$G$962,"未找到箱型")</f>
        <v>C</v>
      </c>
      <c r="R68" s="124">
        <f>ROUND(IFERROR(VLOOKUP(Q68,'Case Type'!A:H,8,0),0)*O68,2)</f>
        <v>1.07</v>
      </c>
    </row>
    <row r="69" customFormat="1" spans="1:18">
      <c r="A69" s="113">
        <v>46072</v>
      </c>
      <c r="B69" s="91" t="str">
        <f>_xlfn.XLOOKUP(C69,'Product List'!B:B,'Product List'!I:I)</f>
        <v>MINI/MOE TV VIEWING CAGE</v>
      </c>
      <c r="C69" s="94" t="s">
        <v>50</v>
      </c>
      <c r="D69" s="252" t="s">
        <v>305</v>
      </c>
      <c r="E69" s="125">
        <v>540</v>
      </c>
      <c r="F69" s="125">
        <v>51.71</v>
      </c>
      <c r="G69" s="125">
        <v>27923.4</v>
      </c>
      <c r="H69" s="86" t="s">
        <v>306</v>
      </c>
      <c r="I69" s="86" t="s">
        <v>92</v>
      </c>
      <c r="J69" s="124" t="s">
        <v>307</v>
      </c>
      <c r="K69" s="193">
        <v>46078</v>
      </c>
      <c r="L69" s="251">
        <v>46101</v>
      </c>
      <c r="M69" s="127">
        <v>21.9</v>
      </c>
      <c r="N69" s="124">
        <v>11826</v>
      </c>
      <c r="O69" s="124" cm="1">
        <f t="array" ref="O69">E69/_xlfn.XLOOKUP(1,('Case Pack'!$A$4:$A$962=C69)*('Case Pack'!$L$4:$L$962&gt;0)*('Case Pack'!$L$4:$L$962&lt;=A69),'Case Pack'!$D$4:$D$962,"未找到箱规")</f>
        <v>540</v>
      </c>
      <c r="P69" s="124" t="str">
        <f>IF(COUNTIF('PO Check'!A:A,D69)&gt;0,"Yes","No")</f>
        <v>Yes</v>
      </c>
      <c r="Q69" s="124" t="str" cm="1">
        <f t="array" ref="Q69">_xlfn.XLOOKUP(1,('Case Pack'!$A$4:$A$962=C69)*('Case Pack'!$L$4:$L$962&gt;0)*('Case Pack'!$L$4:$L$962&lt;=A69),'Case Pack'!$G$4:$G$962,"未找到箱型")</f>
        <v>S1</v>
      </c>
      <c r="R69" s="124">
        <f>ROUND(IFERROR(VLOOKUP(Q69,'Case Type'!A:H,8,0),0)*O69,2)</f>
        <v>39.96</v>
      </c>
    </row>
    <row r="70" customFormat="1" spans="1:18">
      <c r="A70" s="113">
        <v>46072</v>
      </c>
      <c r="B70" s="91" t="str">
        <f>_xlfn.XLOOKUP(C70,'Product List'!B:B,'Product List'!I:I)</f>
        <v>D. MMO-COTTAGE VIEW CAGE</v>
      </c>
      <c r="C70" s="94" t="s">
        <v>64</v>
      </c>
      <c r="D70" s="252" t="s">
        <v>308</v>
      </c>
      <c r="E70" s="125">
        <v>360</v>
      </c>
      <c r="F70" s="125">
        <v>70.28</v>
      </c>
      <c r="G70" s="125">
        <v>25300.8</v>
      </c>
      <c r="H70" s="86" t="s">
        <v>306</v>
      </c>
      <c r="I70" s="86" t="s">
        <v>92</v>
      </c>
      <c r="J70" s="124" t="s">
        <v>307</v>
      </c>
      <c r="K70" s="193">
        <v>46078</v>
      </c>
      <c r="L70" s="251">
        <v>46101</v>
      </c>
      <c r="M70" s="127">
        <v>28.56</v>
      </c>
      <c r="N70" s="124">
        <f>M70*E70</f>
        <v>10281.6</v>
      </c>
      <c r="O70" s="124" cm="1">
        <f t="array" ref="O70">E70/_xlfn.XLOOKUP(1,('Case Pack'!$A$4:$A$962=C70)*('Case Pack'!$L$4:$L$962&gt;0)*('Case Pack'!$L$4:$L$962&lt;=A70),'Case Pack'!$D$4:$D$962,"未找到箱规")</f>
        <v>360</v>
      </c>
      <c r="P70" s="124" t="str">
        <f>IF(COUNTIF('PO Check'!A:A,D70)&gt;0,"Yes","No")</f>
        <v>Yes</v>
      </c>
      <c r="Q70" s="124" t="str" cm="1">
        <f t="array" ref="Q70">_xlfn.XLOOKUP(1,('Case Pack'!$A$4:$A$962=C70)*('Case Pack'!$L$4:$L$962&gt;0)*('Case Pack'!$L$4:$L$962&lt;=A70),'Case Pack'!$G$4:$G$962,"未找到箱型")</f>
        <v>S3</v>
      </c>
      <c r="R70" s="124">
        <f>ROUND(IFERROR(VLOOKUP(Q70,'Case Type'!A:H,8,0),0)*O70,2)</f>
        <v>51.22</v>
      </c>
    </row>
    <row r="71" customFormat="1" spans="1:18">
      <c r="A71" s="113">
        <v>46072</v>
      </c>
      <c r="B71" s="91" t="str">
        <f>_xlfn.XLOOKUP(C71,'Product List'!B:B,'Product List'!I:I)</f>
        <v>D. MMO-COTTAGE VIEW CAGE</v>
      </c>
      <c r="C71" s="94" t="s">
        <v>64</v>
      </c>
      <c r="D71" s="252" t="s">
        <v>309</v>
      </c>
      <c r="E71" s="125">
        <v>197</v>
      </c>
      <c r="F71" s="125">
        <v>70.28</v>
      </c>
      <c r="G71" s="125">
        <v>13845.16</v>
      </c>
      <c r="H71" s="86" t="s">
        <v>306</v>
      </c>
      <c r="I71" s="86" t="s">
        <v>92</v>
      </c>
      <c r="J71" s="124" t="s">
        <v>307</v>
      </c>
      <c r="K71" s="193">
        <v>46096</v>
      </c>
      <c r="L71" s="251">
        <v>46101</v>
      </c>
      <c r="M71" s="127">
        <v>28.56</v>
      </c>
      <c r="N71" s="124">
        <f>M71*E71</f>
        <v>5626.32</v>
      </c>
      <c r="O71" s="124" cm="1">
        <f t="array" ref="O71">E71/_xlfn.XLOOKUP(1,('Case Pack'!$A$4:$A$962=C71)*('Case Pack'!$L$4:$L$962&gt;0)*('Case Pack'!$L$4:$L$962&lt;=A71),'Case Pack'!$D$4:$D$962,"未找到箱规")</f>
        <v>197</v>
      </c>
      <c r="P71" s="124" t="str">
        <f>IF(COUNTIF('PO Check'!A:A,D71)&gt;0,"Yes","No")</f>
        <v>Yes</v>
      </c>
      <c r="Q71" s="124" t="str" cm="1">
        <f t="array" ref="Q71">_xlfn.XLOOKUP(1,('Case Pack'!$A$4:$A$962=C71)*('Case Pack'!$L$4:$L$962&gt;0)*('Case Pack'!$L$4:$L$962&lt;=A71),'Case Pack'!$G$4:$G$962,"未找到箱型")</f>
        <v>S3</v>
      </c>
      <c r="R71" s="124">
        <f>ROUND(IFERROR(VLOOKUP(Q71,'Case Type'!A:H,8,0),0)*O71,2)</f>
        <v>28.03</v>
      </c>
    </row>
    <row r="72" customFormat="1" spans="1:18">
      <c r="A72" s="113">
        <v>46072</v>
      </c>
      <c r="B72" s="91" t="str">
        <f>_xlfn.XLOOKUP(C72,'Product List'!B:B,'Product List'!I:I)</f>
        <v>MINI/MOE TV VIEWING CAGE</v>
      </c>
      <c r="C72" s="94" t="s">
        <v>50</v>
      </c>
      <c r="D72" s="252" t="s">
        <v>309</v>
      </c>
      <c r="E72" s="125">
        <v>243</v>
      </c>
      <c r="F72" s="125">
        <v>51.71</v>
      </c>
      <c r="G72" s="125">
        <v>12565.53</v>
      </c>
      <c r="H72" s="86" t="s">
        <v>306</v>
      </c>
      <c r="I72" s="86" t="s">
        <v>92</v>
      </c>
      <c r="J72" s="124" t="s">
        <v>307</v>
      </c>
      <c r="K72" s="193">
        <v>46096</v>
      </c>
      <c r="L72" s="251">
        <v>46101</v>
      </c>
      <c r="M72" s="127">
        <v>24.09</v>
      </c>
      <c r="N72" s="124">
        <f>M72*E72</f>
        <v>5853.87</v>
      </c>
      <c r="O72" s="124" cm="1">
        <f t="array" ref="O72">E72/_xlfn.XLOOKUP(1,('Case Pack'!$A$4:$A$962=C72)*('Case Pack'!$L$4:$L$962&gt;0)*('Case Pack'!$L$4:$L$962&lt;=A72),'Case Pack'!$D$4:$D$962,"未找到箱规")</f>
        <v>243</v>
      </c>
      <c r="P72" s="124" t="str">
        <f>IF(COUNTIF('PO Check'!A:A,D72)&gt;0,"Yes","No")</f>
        <v>Yes</v>
      </c>
      <c r="Q72" s="124" t="str" cm="1">
        <f t="array" ref="Q72">_xlfn.XLOOKUP(1,('Case Pack'!$A$4:$A$962=C72)*('Case Pack'!$L$4:$L$962&gt;0)*('Case Pack'!$L$4:$L$962&lt;=A72),'Case Pack'!$G$4:$G$962,"未找到箱型")</f>
        <v>S1</v>
      </c>
      <c r="R72" s="124">
        <f>ROUND(IFERROR(VLOOKUP(Q72,'Case Type'!A:H,8,0),0)*O72,2)</f>
        <v>17.98</v>
      </c>
    </row>
    <row r="73" customFormat="1" spans="1:18">
      <c r="A73" s="113">
        <v>46072</v>
      </c>
      <c r="B73" s="91" t="str">
        <f>_xlfn.XLOOKUP(C73,'Product List'!B:B,'Product List'!I:I)</f>
        <v>MINI/MOE TV VIEWING CAGE</v>
      </c>
      <c r="C73" s="94" t="s">
        <v>50</v>
      </c>
      <c r="D73" s="252" t="s">
        <v>310</v>
      </c>
      <c r="E73" s="125">
        <v>123</v>
      </c>
      <c r="F73" s="125">
        <v>51.71</v>
      </c>
      <c r="G73" s="125">
        <v>6360.33</v>
      </c>
      <c r="H73" s="86" t="s">
        <v>306</v>
      </c>
      <c r="I73" s="86" t="s">
        <v>92</v>
      </c>
      <c r="J73" s="124" t="s">
        <v>307</v>
      </c>
      <c r="K73" s="193">
        <v>46098</v>
      </c>
      <c r="L73" s="251">
        <v>46101</v>
      </c>
      <c r="M73" s="127">
        <v>24.09</v>
      </c>
      <c r="N73" s="124">
        <f>M73*E73</f>
        <v>2963.07</v>
      </c>
      <c r="O73" s="124" cm="1">
        <f t="array" ref="O73">E73/_xlfn.XLOOKUP(1,('Case Pack'!$A$4:$A$962=C73)*('Case Pack'!$L$4:$L$962&gt;0)*('Case Pack'!$L$4:$L$962&lt;=A73),'Case Pack'!$D$4:$D$962,"未找到箱规")</f>
        <v>123</v>
      </c>
      <c r="P73" s="124" t="str">
        <f>IF(COUNTIF('PO Check'!A:A,D73)&gt;0,"Yes","No")</f>
        <v>Yes</v>
      </c>
      <c r="Q73" s="124" t="str" cm="1">
        <f t="array" ref="Q73">_xlfn.XLOOKUP(1,('Case Pack'!$A$4:$A$962=C73)*('Case Pack'!$L$4:$L$962&gt;0)*('Case Pack'!$L$4:$L$962&lt;=A73),'Case Pack'!$G$4:$G$962,"未找到箱型")</f>
        <v>S1</v>
      </c>
      <c r="R73" s="124">
        <f>ROUND(IFERROR(VLOOKUP(Q73,'Case Type'!A:H,8,0),0)*O73,2)</f>
        <v>9.1</v>
      </c>
    </row>
    <row r="74" customFormat="1" spans="1:18">
      <c r="A74" s="113">
        <v>46072</v>
      </c>
      <c r="B74" s="91" t="str">
        <f>_xlfn.XLOOKUP(C74,'Product List'!B:B,'Product List'!I:I)</f>
        <v>MINI/MOE RUFFLE BOWL</v>
      </c>
      <c r="C74" s="94" t="s">
        <v>78</v>
      </c>
      <c r="D74" s="252" t="s">
        <v>311</v>
      </c>
      <c r="E74" s="125">
        <v>168</v>
      </c>
      <c r="F74" s="125">
        <v>2.25</v>
      </c>
      <c r="G74" s="125">
        <v>378</v>
      </c>
      <c r="H74" s="86" t="s">
        <v>306</v>
      </c>
      <c r="I74" s="86" t="s">
        <v>92</v>
      </c>
      <c r="J74" s="124" t="s">
        <v>307</v>
      </c>
      <c r="K74" s="193">
        <v>46099</v>
      </c>
      <c r="L74" s="251">
        <v>46101</v>
      </c>
      <c r="M74" s="127">
        <v>1.34</v>
      </c>
      <c r="N74" s="124">
        <v>225.12</v>
      </c>
      <c r="O74" s="124" cm="1">
        <f t="array" ref="O74">E74/_xlfn.XLOOKUP(1,('Case Pack'!$A$4:$A$962=C74)*('Case Pack'!$L$4:$L$962&gt;0)*('Case Pack'!$L$4:$L$962&lt;=A74),'Case Pack'!$D$4:$D$962,"未找到箱规")</f>
        <v>3.5</v>
      </c>
      <c r="P74" s="124" t="str">
        <f>IF(COUNTIF('PO Check'!A:A,D74)&gt;0,"Yes","No")</f>
        <v>Yes</v>
      </c>
      <c r="Q74" s="124" t="str" cm="1">
        <f t="array" ref="Q74">_xlfn.XLOOKUP(1,('Case Pack'!$A$4:$A$962=C74)*('Case Pack'!$L$4:$L$962&gt;0)*('Case Pack'!$L$4:$L$962&lt;=A74),'Case Pack'!$G$4:$G$962,"未找到箱型")</f>
        <v>B</v>
      </c>
      <c r="R74" s="124">
        <f>ROUND(IFERROR(VLOOKUP(Q74,'Case Type'!A:H,8,0),0)*O74,2)</f>
        <v>0.26</v>
      </c>
    </row>
    <row r="75" customFormat="1" spans="1:18">
      <c r="A75" s="113">
        <v>46072</v>
      </c>
      <c r="B75" s="91" t="str">
        <f>_xlfn.XLOOKUP(C75,'Product List'!B:B,'Product List'!I:I)</f>
        <v>MINI/MOE WOODLAND POTTY</v>
      </c>
      <c r="C75" s="94" t="s">
        <v>79</v>
      </c>
      <c r="D75" s="252" t="s">
        <v>311</v>
      </c>
      <c r="E75" s="125">
        <v>540</v>
      </c>
      <c r="F75" s="125">
        <v>2.61</v>
      </c>
      <c r="G75" s="125">
        <v>1409.4</v>
      </c>
      <c r="H75" s="86" t="s">
        <v>306</v>
      </c>
      <c r="I75" s="86" t="s">
        <v>92</v>
      </c>
      <c r="J75" s="124" t="s">
        <v>307</v>
      </c>
      <c r="K75" s="193">
        <v>46099</v>
      </c>
      <c r="L75" s="251">
        <v>46101</v>
      </c>
      <c r="M75" s="127">
        <v>1.17</v>
      </c>
      <c r="N75" s="124">
        <v>631.8</v>
      </c>
      <c r="O75" s="124" cm="1">
        <f t="array" ref="O75">E75/_xlfn.XLOOKUP(1,('Case Pack'!$A$4:$A$962=C75)*('Case Pack'!$L$4:$L$962&gt;0)*('Case Pack'!$L$4:$L$962&lt;=A75),'Case Pack'!$D$4:$D$962,"未找到箱规")</f>
        <v>15</v>
      </c>
      <c r="P75" s="124" t="str">
        <f>IF(COUNTIF('PO Check'!A:A,D75)&gt;0,"Yes","No")</f>
        <v>Yes</v>
      </c>
      <c r="Q75" s="124" t="str" cm="1">
        <f t="array" ref="Q75">_xlfn.XLOOKUP(1,('Case Pack'!$A$4:$A$962=C75)*('Case Pack'!$L$4:$L$962&gt;0)*('Case Pack'!$L$4:$L$962&lt;=A75),'Case Pack'!$G$4:$G$962,"未找到箱型")</f>
        <v>C</v>
      </c>
      <c r="R75" s="124">
        <f>ROUND(IFERROR(VLOOKUP(Q75,'Case Type'!A:H,8,0),0)*O75,2)</f>
        <v>2.36</v>
      </c>
    </row>
    <row r="76" customFormat="1" spans="1:18">
      <c r="A76" s="113">
        <v>46072</v>
      </c>
      <c r="B76" s="91" t="str">
        <f>_xlfn.XLOOKUP(C76,'Product List'!B:B,'Product List'!I:I)</f>
        <v>MINI/MOE BENDABLE BIRCHWOOD FENCE</v>
      </c>
      <c r="C76" s="94" t="s">
        <v>62</v>
      </c>
      <c r="D76" s="252" t="s">
        <v>311</v>
      </c>
      <c r="E76" s="125">
        <v>888</v>
      </c>
      <c r="F76" s="125">
        <v>4.65</v>
      </c>
      <c r="G76" s="125">
        <v>4129.2</v>
      </c>
      <c r="H76" s="86" t="s">
        <v>306</v>
      </c>
      <c r="I76" s="86" t="s">
        <v>92</v>
      </c>
      <c r="J76" s="124" t="s">
        <v>307</v>
      </c>
      <c r="K76" s="193">
        <v>46099</v>
      </c>
      <c r="L76" s="251">
        <v>46101</v>
      </c>
      <c r="M76" s="127">
        <v>2.63</v>
      </c>
      <c r="N76" s="124">
        <v>2335.44</v>
      </c>
      <c r="O76" s="124" cm="1">
        <f t="array" ref="O76">E76/_xlfn.XLOOKUP(1,('Case Pack'!$A$4:$A$962=C76)*('Case Pack'!$L$4:$L$962&gt;0)*('Case Pack'!$L$4:$L$962&lt;=A76),'Case Pack'!$D$4:$D$962,"未找到箱规")</f>
        <v>27.75</v>
      </c>
      <c r="P76" s="124" t="str">
        <f>IF(COUNTIF('PO Check'!A:A,D76)&gt;0,"Yes","No")</f>
        <v>Yes</v>
      </c>
      <c r="Q76" s="124" t="str" cm="1">
        <f t="array" ref="Q76">_xlfn.XLOOKUP(1,('Case Pack'!$A$4:$A$962=C76)*('Case Pack'!$L$4:$L$962&gt;0)*('Case Pack'!$L$4:$L$962&lt;=A76),'Case Pack'!$G$4:$G$962,"未找到箱型")</f>
        <v>F</v>
      </c>
      <c r="R76" s="124">
        <f>ROUND(IFERROR(VLOOKUP(Q76,'Case Type'!A:H,8,0),0)*O76,2)</f>
        <v>1.02</v>
      </c>
    </row>
    <row r="77" customFormat="1" spans="1:18">
      <c r="A77" s="113">
        <v>46072</v>
      </c>
      <c r="B77" s="91" t="str">
        <f>_xlfn.XLOOKUP(C77,'Product List'!B:B,'Product List'!I:I)</f>
        <v>MINI/MOE SILENT CRSTL RUN WHEEL XL 11.5 1EA</v>
      </c>
      <c r="C77" s="94" t="s">
        <v>76</v>
      </c>
      <c r="D77" s="252" t="s">
        <v>311</v>
      </c>
      <c r="E77" s="125">
        <v>992</v>
      </c>
      <c r="F77" s="125">
        <v>19.75</v>
      </c>
      <c r="G77" s="125">
        <v>19592</v>
      </c>
      <c r="H77" s="86" t="s">
        <v>306</v>
      </c>
      <c r="I77" s="86" t="s">
        <v>92</v>
      </c>
      <c r="J77" s="124" t="s">
        <v>307</v>
      </c>
      <c r="K77" s="193">
        <v>46099</v>
      </c>
      <c r="L77" s="251">
        <v>46101</v>
      </c>
      <c r="M77" s="127">
        <v>9.63</v>
      </c>
      <c r="N77" s="124">
        <v>9552.96</v>
      </c>
      <c r="O77" s="124" cm="1">
        <f t="array" ref="O77">E77/_xlfn.XLOOKUP(1,('Case Pack'!$A$4:$A$962=C77)*('Case Pack'!$L$4:$L$962&gt;0)*('Case Pack'!$L$4:$L$962&lt;=A77),'Case Pack'!$D$4:$D$962,"未找到箱规")</f>
        <v>330.666666666667</v>
      </c>
      <c r="P77" s="124" t="str">
        <f>IF(COUNTIF('PO Check'!A:A,D77)&gt;0,"Yes","No")</f>
        <v>Yes</v>
      </c>
      <c r="Q77" s="124" t="str" cm="1">
        <f t="array" ref="Q77">_xlfn.XLOOKUP(1,('Case Pack'!$A$4:$A$962=C77)*('Case Pack'!$L$4:$L$962&gt;0)*('Case Pack'!$L$4:$L$962&lt;=A77),'Case Pack'!$G$4:$G$962,"未找到箱型")</f>
        <v>C</v>
      </c>
      <c r="R77" s="124">
        <f>ROUND(IFERROR(VLOOKUP(Q77,'Case Type'!A:H,8,0),0)*O77,2)</f>
        <v>52.02</v>
      </c>
    </row>
    <row r="78" customFormat="1" spans="1:18">
      <c r="A78" s="113">
        <v>46072</v>
      </c>
      <c r="B78" s="91" t="str">
        <f>_xlfn.XLOOKUP(C78,'Product List'!B:B,'Product List'!I:I)</f>
        <v>MINI/MOE TULIP WATER BOTTLE</v>
      </c>
      <c r="C78" s="94" t="s">
        <v>52</v>
      </c>
      <c r="D78" s="252" t="s">
        <v>311</v>
      </c>
      <c r="E78" s="125">
        <v>900</v>
      </c>
      <c r="F78" s="125">
        <v>1.7</v>
      </c>
      <c r="G78" s="125">
        <v>1530</v>
      </c>
      <c r="H78" s="86" t="s">
        <v>306</v>
      </c>
      <c r="I78" s="86" t="s">
        <v>92</v>
      </c>
      <c r="J78" s="124" t="s">
        <v>307</v>
      </c>
      <c r="K78" s="193">
        <v>46099</v>
      </c>
      <c r="L78" s="251">
        <v>46101</v>
      </c>
      <c r="M78" s="127">
        <v>0.73</v>
      </c>
      <c r="N78" s="124">
        <v>657</v>
      </c>
      <c r="O78" s="124" cm="1">
        <f t="array" ref="O78">E78/_xlfn.XLOOKUP(1,('Case Pack'!$A$4:$A$962=C78)*('Case Pack'!$L$4:$L$962&gt;0)*('Case Pack'!$L$4:$L$962&lt;=A78),'Case Pack'!$D$4:$D$962,"未找到箱规")</f>
        <v>15</v>
      </c>
      <c r="P78" s="124" t="str">
        <f>IF(COUNTIF('PO Check'!A:A,D78)&gt;0,"Yes","No")</f>
        <v>Yes</v>
      </c>
      <c r="Q78" s="124" t="str" cm="1">
        <f t="array" ref="Q78">_xlfn.XLOOKUP(1,('Case Pack'!$A$4:$A$962=C78)*('Case Pack'!$L$4:$L$962&gt;0)*('Case Pack'!$L$4:$L$962&lt;=A78),'Case Pack'!$G$4:$G$962,"未找到箱型")</f>
        <v>C</v>
      </c>
      <c r="R78" s="124">
        <f>ROUND(IFERROR(VLOOKUP(Q78,'Case Type'!A:H,8,0),0)*O78,2)</f>
        <v>2.36</v>
      </c>
    </row>
    <row r="79" customFormat="1" spans="1:18">
      <c r="A79" s="113">
        <v>46072</v>
      </c>
      <c r="B79" s="91" t="str">
        <f>_xlfn.XLOOKUP(C79,'Product List'!B:B,'Product List'!I:I)</f>
        <v>MINI/MOE SILENT CRSTL RUN WHEEL LG 8.5-Green</v>
      </c>
      <c r="C79" s="94" t="s">
        <v>28</v>
      </c>
      <c r="D79" s="252" t="s">
        <v>311</v>
      </c>
      <c r="E79" s="125">
        <v>540</v>
      </c>
      <c r="F79" s="125">
        <v>12.63</v>
      </c>
      <c r="G79" s="125">
        <v>6820.2</v>
      </c>
      <c r="H79" s="86" t="s">
        <v>306</v>
      </c>
      <c r="I79" s="86" t="s">
        <v>92</v>
      </c>
      <c r="J79" s="124" t="s">
        <v>307</v>
      </c>
      <c r="K79" s="193">
        <v>46099</v>
      </c>
      <c r="L79" s="251">
        <v>46101</v>
      </c>
      <c r="M79" s="124">
        <v>6.12</v>
      </c>
      <c r="N79" s="124">
        <v>3304.8</v>
      </c>
      <c r="O79" s="124" cm="1">
        <f t="array" ref="O79">E79/_xlfn.XLOOKUP(1,('Case Pack'!$A$4:$A$962=C79)*('Case Pack'!$L$4:$L$962&gt;0)*('Case Pack'!$L$4:$L$962&lt;=A79),'Case Pack'!$D$4:$D$962,"未找到箱规")</f>
        <v>67.5</v>
      </c>
      <c r="P79" s="124" t="str">
        <f>IF(COUNTIF('PO Check'!A:A,D79)&gt;0,"Yes","No")</f>
        <v>Yes</v>
      </c>
      <c r="Q79" s="124" t="str" cm="1">
        <f t="array" ref="Q79">_xlfn.XLOOKUP(1,('Case Pack'!$A$4:$A$962=C79)*('Case Pack'!$L$4:$L$962&gt;0)*('Case Pack'!$L$4:$L$962&lt;=A79),'Case Pack'!$G$4:$G$962,"未找到箱型")</f>
        <v>C</v>
      </c>
      <c r="R79" s="124">
        <f>ROUND(IFERROR(VLOOKUP(Q79,'Case Type'!A:H,8,0),0)*O79,2)</f>
        <v>10.62</v>
      </c>
    </row>
    <row r="80" customFormat="1" spans="1:18">
      <c r="A80" s="113">
        <v>46072</v>
      </c>
      <c r="B80" s="91" t="str">
        <f>_xlfn.XLOOKUP(C80,'Product List'!B:B,'Product List'!I:I)</f>
        <v>MINI/MOE MUSHROOM CABIN</v>
      </c>
      <c r="C80" s="94" t="s">
        <v>39</v>
      </c>
      <c r="D80" s="252" t="s">
        <v>310</v>
      </c>
      <c r="E80" s="125">
        <v>996</v>
      </c>
      <c r="F80" s="125">
        <v>6.98</v>
      </c>
      <c r="G80" s="125">
        <v>6952.08</v>
      </c>
      <c r="H80" s="86" t="s">
        <v>306</v>
      </c>
      <c r="I80" s="86" t="s">
        <v>92</v>
      </c>
      <c r="J80" s="124" t="s">
        <v>307</v>
      </c>
      <c r="K80" s="193">
        <v>46098</v>
      </c>
      <c r="L80" s="251">
        <v>46101</v>
      </c>
      <c r="M80" s="127">
        <v>3.2</v>
      </c>
      <c r="N80" s="124">
        <v>3187.2</v>
      </c>
      <c r="O80" s="124" cm="1">
        <f t="array" ref="O80">E80/_xlfn.XLOOKUP(1,('Case Pack'!$A$4:$A$962=C80)*('Case Pack'!$L$4:$L$962&gt;0)*('Case Pack'!$L$4:$L$962&lt;=A80),'Case Pack'!$D$4:$D$962,"未找到箱规")</f>
        <v>62.25</v>
      </c>
      <c r="P80" s="124" t="str">
        <f>IF(COUNTIF('PO Check'!A:A,D80)&gt;0,"Yes","No")</f>
        <v>Yes</v>
      </c>
      <c r="Q80" s="124" t="str" cm="1">
        <f t="array" ref="Q80">_xlfn.XLOOKUP(1,('Case Pack'!$A$4:$A$962=C80)*('Case Pack'!$L$4:$L$962&gt;0)*('Case Pack'!$L$4:$L$962&lt;=A80),'Case Pack'!$G$4:$G$962,"未找到箱型")</f>
        <v>C</v>
      </c>
      <c r="R80" s="124">
        <f>ROUND(IFERROR(VLOOKUP(Q80,'Case Type'!A:H,8,0),0)*O80,2)</f>
        <v>9.79</v>
      </c>
    </row>
    <row r="81" customFormat="1" spans="1:18">
      <c r="A81" s="113">
        <v>46072</v>
      </c>
      <c r="B81" s="91" t="str">
        <f>_xlfn.XLOOKUP(C81,'Product List'!B:B,'Product List'!I:I)</f>
        <v>MINI/MOE GARDEN TEAPOT</v>
      </c>
      <c r="C81" s="94" t="s">
        <v>43</v>
      </c>
      <c r="D81" s="252" t="s">
        <v>311</v>
      </c>
      <c r="E81" s="125">
        <v>1068</v>
      </c>
      <c r="F81" s="125">
        <v>4.61</v>
      </c>
      <c r="G81" s="125">
        <v>4923.48</v>
      </c>
      <c r="H81" s="86" t="s">
        <v>306</v>
      </c>
      <c r="I81" s="86" t="s">
        <v>92</v>
      </c>
      <c r="J81" s="124" t="s">
        <v>307</v>
      </c>
      <c r="K81" s="193">
        <v>46098</v>
      </c>
      <c r="L81" s="251">
        <v>46101</v>
      </c>
      <c r="M81" s="127">
        <v>2.25</v>
      </c>
      <c r="N81" s="124">
        <v>2403</v>
      </c>
      <c r="O81" s="124" cm="1">
        <f t="array" ref="O81">E81/_xlfn.XLOOKUP(1,('Case Pack'!$A$4:$A$962=C81)*('Case Pack'!$L$4:$L$962&gt;0)*('Case Pack'!$L$4:$L$962&lt;=A81),'Case Pack'!$D$4:$D$962,"未找到箱规")</f>
        <v>35.6</v>
      </c>
      <c r="P81" s="124" t="str">
        <f>IF(COUNTIF('PO Check'!A:A,D81)&gt;0,"Yes","No")</f>
        <v>Yes</v>
      </c>
      <c r="Q81" s="124" t="str" cm="1">
        <f t="array" ref="Q81">_xlfn.XLOOKUP(1,('Case Pack'!$A$4:$A$962=C81)*('Case Pack'!$L$4:$L$962&gt;0)*('Case Pack'!$L$4:$L$962&lt;=A81),'Case Pack'!$G$4:$G$962,"未找到箱型")</f>
        <v>C</v>
      </c>
      <c r="R81" s="124">
        <f>ROUND(IFERROR(VLOOKUP(Q81,'Case Type'!A:H,8,0),0)*O81,2)</f>
        <v>5.6</v>
      </c>
    </row>
    <row r="82" customFormat="1" spans="1:18">
      <c r="A82" s="113">
        <v>46072</v>
      </c>
      <c r="B82" s="91" t="str">
        <f>_xlfn.XLOOKUP(C82,'Product List'!B:B,'Product List'!I:I)</f>
        <v>MINI/MOE TREEHOUSE CABIN</v>
      </c>
      <c r="C82" s="94" t="s">
        <v>41</v>
      </c>
      <c r="D82" s="252" t="s">
        <v>310</v>
      </c>
      <c r="E82" s="125">
        <v>990</v>
      </c>
      <c r="F82" s="125">
        <v>4.28</v>
      </c>
      <c r="G82" s="125">
        <v>4237.2</v>
      </c>
      <c r="H82" s="86" t="s">
        <v>306</v>
      </c>
      <c r="I82" s="86" t="s">
        <v>92</v>
      </c>
      <c r="J82" s="124" t="s">
        <v>307</v>
      </c>
      <c r="K82" s="193">
        <v>46098</v>
      </c>
      <c r="L82" s="251">
        <v>46101</v>
      </c>
      <c r="M82" s="127">
        <v>2.07</v>
      </c>
      <c r="N82" s="124">
        <v>2049.3</v>
      </c>
      <c r="O82" s="124" cm="1">
        <f t="array" ref="O82">E82/_xlfn.XLOOKUP(1,('Case Pack'!$A$4:$A$962=C82)*('Case Pack'!$L$4:$L$962&gt;0)*('Case Pack'!$L$4:$L$962&lt;=A82),'Case Pack'!$D$4:$D$962,"未找到箱规")</f>
        <v>33</v>
      </c>
      <c r="P82" s="124" t="str">
        <f>IF(COUNTIF('PO Check'!A:A,D82)&gt;0,"Yes","No")</f>
        <v>Yes</v>
      </c>
      <c r="Q82" s="124" t="str" cm="1">
        <f t="array" ref="Q82">_xlfn.XLOOKUP(1,('Case Pack'!$A$4:$A$962=C82)*('Case Pack'!$L$4:$L$962&gt;0)*('Case Pack'!$L$4:$L$962&lt;=A82),'Case Pack'!$G$4:$G$962,"未找到箱型")</f>
        <v>C</v>
      </c>
      <c r="R82" s="124">
        <f>ROUND(IFERROR(VLOOKUP(Q82,'Case Type'!A:H,8,0),0)*O82,2)</f>
        <v>5.19</v>
      </c>
    </row>
    <row r="83" customFormat="1" spans="1:18">
      <c r="A83" s="113">
        <v>46072</v>
      </c>
      <c r="B83" s="91" t="str">
        <f>_xlfn.XLOOKUP(C83,'Product List'!B:B,'Product List'!I:I)</f>
        <v>MINI/MOE IVY BURROWING BOX</v>
      </c>
      <c r="C83" s="94" t="s">
        <v>49</v>
      </c>
      <c r="D83" s="252" t="s">
        <v>310</v>
      </c>
      <c r="E83" s="125">
        <v>928</v>
      </c>
      <c r="F83" s="125">
        <v>14.89</v>
      </c>
      <c r="G83" s="125">
        <v>13817.92</v>
      </c>
      <c r="H83" s="86" t="s">
        <v>306</v>
      </c>
      <c r="I83" s="86" t="s">
        <v>92</v>
      </c>
      <c r="J83" s="124" t="s">
        <v>307</v>
      </c>
      <c r="K83" s="193">
        <v>46098</v>
      </c>
      <c r="L83" s="251">
        <v>46101</v>
      </c>
      <c r="M83" s="127">
        <v>7.11</v>
      </c>
      <c r="N83" s="124">
        <v>6598.08</v>
      </c>
      <c r="O83" s="124" cm="1">
        <f t="array" ref="O83">E83/_xlfn.XLOOKUP(1,('Case Pack'!$A$4:$A$962=C83)*('Case Pack'!$L$4:$L$962&gt;0)*('Case Pack'!$L$4:$L$962&lt;=A83),'Case Pack'!$D$4:$D$962,"未找到箱规")</f>
        <v>232</v>
      </c>
      <c r="P83" s="124" t="str">
        <f>IF(COUNTIF('PO Check'!A:A,D83)&gt;0,"Yes","No")</f>
        <v>Yes</v>
      </c>
      <c r="Q83" s="124" t="str" cm="1">
        <f t="array" ref="Q83">_xlfn.XLOOKUP(1,('Case Pack'!$A$4:$A$962=C83)*('Case Pack'!$L$4:$L$962&gt;0)*('Case Pack'!$L$4:$L$962&lt;=A83),'Case Pack'!$G$4:$G$962,"未找到箱型")</f>
        <v>D</v>
      </c>
      <c r="R83" s="124">
        <f>ROUND(IFERROR(VLOOKUP(Q83,'Case Type'!A:H,8,0),0)*O83,2)</f>
        <v>20.44</v>
      </c>
    </row>
    <row r="84" customFormat="1" spans="1:18">
      <c r="A84" s="113">
        <v>46072</v>
      </c>
      <c r="B84" s="91" t="str">
        <f>_xlfn.XLOOKUP(C84,'Product List'!B:B,'Product List'!I:I)</f>
        <v>MINI/MOE CAMPING TENT HIDE</v>
      </c>
      <c r="C84" s="94" t="s">
        <v>73</v>
      </c>
      <c r="D84" s="252" t="s">
        <v>310</v>
      </c>
      <c r="E84" s="125">
        <v>999</v>
      </c>
      <c r="F84" s="125">
        <v>3.36</v>
      </c>
      <c r="G84" s="125">
        <v>3356.64</v>
      </c>
      <c r="H84" s="86" t="s">
        <v>306</v>
      </c>
      <c r="I84" s="86" t="s">
        <v>92</v>
      </c>
      <c r="J84" s="124" t="s">
        <v>307</v>
      </c>
      <c r="K84" s="193">
        <v>46098</v>
      </c>
      <c r="L84" s="251">
        <v>46101</v>
      </c>
      <c r="M84" s="127">
        <v>1.71</v>
      </c>
      <c r="N84" s="124">
        <v>1708.29</v>
      </c>
      <c r="O84" s="124" cm="1">
        <f t="array" ref="O84">E84/_xlfn.XLOOKUP(1,('Case Pack'!$A$4:$A$962=C84)*('Case Pack'!$L$4:$L$962&gt;0)*('Case Pack'!$L$4:$L$962&lt;=A84),'Case Pack'!$D$4:$D$962,"未找到箱规")</f>
        <v>83.25</v>
      </c>
      <c r="P84" s="124" t="str">
        <f>IF(COUNTIF('PO Check'!A:A,D84)&gt;0,"Yes","No")</f>
        <v>Yes</v>
      </c>
      <c r="Q84" s="124" t="str" cm="1">
        <f t="array" ref="Q84">_xlfn.XLOOKUP(1,('Case Pack'!$A$4:$A$962=C84)*('Case Pack'!$L$4:$L$962&gt;0)*('Case Pack'!$L$4:$L$962&lt;=A84),'Case Pack'!$G$4:$G$962,"未找到箱型")</f>
        <v>B</v>
      </c>
      <c r="R84" s="124">
        <f>ROUND(IFERROR(VLOOKUP(Q84,'Case Type'!A:H,8,0),0)*O84,2)</f>
        <v>6.11</v>
      </c>
    </row>
    <row r="85" customFormat="1" spans="1:18">
      <c r="A85" s="113">
        <v>46072</v>
      </c>
      <c r="B85" s="91" t="str">
        <f>_xlfn.XLOOKUP(C85,'Product List'!B:B,'Product List'!I:I)</f>
        <v>MINI/MOE SILENT CRSTL RUN WHEEL XL 11.5 1EA</v>
      </c>
      <c r="C85" s="94" t="s">
        <v>76</v>
      </c>
      <c r="D85" s="252" t="s">
        <v>312</v>
      </c>
      <c r="E85" s="125">
        <v>332</v>
      </c>
      <c r="F85" s="125">
        <v>19.75</v>
      </c>
      <c r="G85" s="125">
        <v>6557</v>
      </c>
      <c r="H85" s="86" t="s">
        <v>306</v>
      </c>
      <c r="I85" s="86" t="s">
        <v>92</v>
      </c>
      <c r="J85" s="124" t="s">
        <v>313</v>
      </c>
      <c r="K85" s="193">
        <v>46078</v>
      </c>
      <c r="L85" s="251">
        <v>46091</v>
      </c>
      <c r="M85" s="127">
        <v>9.63</v>
      </c>
      <c r="N85" s="124">
        <v>3197.16</v>
      </c>
      <c r="O85" s="124" cm="1">
        <f t="array" ref="O85">E85/_xlfn.XLOOKUP(1,('Case Pack'!$A$4:$A$962=C85)*('Case Pack'!$L$4:$L$962&gt;0)*('Case Pack'!$L$4:$L$962&lt;=A85),'Case Pack'!$D$4:$D$962,"未找到箱规")</f>
        <v>110.666666666667</v>
      </c>
      <c r="P85" s="124" t="str">
        <f>IF(COUNTIF('PO Check'!A:A,D85)&gt;0,"Yes","No")</f>
        <v>Yes</v>
      </c>
      <c r="Q85" s="124" t="str" cm="1">
        <f t="array" ref="Q85">_xlfn.XLOOKUP(1,('Case Pack'!$A$4:$A$962=C85)*('Case Pack'!$L$4:$L$962&gt;0)*('Case Pack'!$L$4:$L$962&lt;=A85),'Case Pack'!$G$4:$G$962,"未找到箱型")</f>
        <v>C</v>
      </c>
      <c r="R85" s="124">
        <f>ROUND(IFERROR(VLOOKUP(Q85,'Case Type'!A:H,8,0),0)*O85,2)</f>
        <v>17.41</v>
      </c>
    </row>
    <row r="86" customFormat="1" spans="1:18">
      <c r="A86" s="113">
        <v>46072</v>
      </c>
      <c r="B86" s="91" t="str">
        <f>_xlfn.XLOOKUP(C86,'Product List'!B:B,'Product List'!I:I)</f>
        <v>D. MMO-COTTAGE VIEW CAGE</v>
      </c>
      <c r="C86" s="94" t="s">
        <v>64</v>
      </c>
      <c r="D86" s="252" t="s">
        <v>312</v>
      </c>
      <c r="E86" s="125">
        <v>184</v>
      </c>
      <c r="F86" s="125">
        <v>70.28</v>
      </c>
      <c r="G86" s="125">
        <v>12931.52</v>
      </c>
      <c r="H86" s="86" t="s">
        <v>306</v>
      </c>
      <c r="I86" s="86" t="s">
        <v>92</v>
      </c>
      <c r="J86" s="124" t="s">
        <v>313</v>
      </c>
      <c r="K86" s="193">
        <v>46078</v>
      </c>
      <c r="L86" s="251">
        <v>46091</v>
      </c>
      <c r="M86" s="127">
        <v>26.07</v>
      </c>
      <c r="N86" s="124">
        <v>4796.88</v>
      </c>
      <c r="O86" s="124" cm="1">
        <f t="array" ref="O86">E86/_xlfn.XLOOKUP(1,('Case Pack'!$A$4:$A$962=C86)*('Case Pack'!$L$4:$L$962&gt;0)*('Case Pack'!$L$4:$L$962&lt;=A86),'Case Pack'!$D$4:$D$962,"未找到箱规")</f>
        <v>184</v>
      </c>
      <c r="P86" s="124" t="str">
        <f>IF(COUNTIF('PO Check'!A:A,D86)&gt;0,"Yes","No")</f>
        <v>Yes</v>
      </c>
      <c r="Q86" s="124" t="str" cm="1">
        <f t="array" ref="Q86">_xlfn.XLOOKUP(1,('Case Pack'!$A$4:$A$962=C86)*('Case Pack'!$L$4:$L$962&gt;0)*('Case Pack'!$L$4:$L$962&lt;=A86),'Case Pack'!$G$4:$G$962,"未找到箱型")</f>
        <v>S3</v>
      </c>
      <c r="R86" s="124">
        <f>ROUND(IFERROR(VLOOKUP(Q86,'Case Type'!A:H,8,0),0)*O86,2)</f>
        <v>26.18</v>
      </c>
    </row>
    <row r="87" customFormat="1" spans="1:18">
      <c r="A87" s="113">
        <v>46072</v>
      </c>
      <c r="B87" s="91" t="str">
        <f>_xlfn.XLOOKUP(C87,'Product List'!B:B,'Product List'!I:I)</f>
        <v>MINI/MOE RUFFLE BOWL</v>
      </c>
      <c r="C87" s="94" t="s">
        <v>78</v>
      </c>
      <c r="D87" s="252" t="s">
        <v>314</v>
      </c>
      <c r="E87" s="125">
        <v>72</v>
      </c>
      <c r="F87" s="125">
        <v>2.25</v>
      </c>
      <c r="G87" s="125">
        <v>162</v>
      </c>
      <c r="H87" s="86" t="s">
        <v>306</v>
      </c>
      <c r="I87" s="86" t="s">
        <v>92</v>
      </c>
      <c r="J87" s="124" t="s">
        <v>313</v>
      </c>
      <c r="K87" s="193">
        <v>46078</v>
      </c>
      <c r="L87" s="251">
        <v>46091</v>
      </c>
      <c r="M87" s="127">
        <v>1.34</v>
      </c>
      <c r="N87" s="124">
        <v>96.48</v>
      </c>
      <c r="O87" s="124" cm="1">
        <f t="array" ref="O87">E87/_xlfn.XLOOKUP(1,('Case Pack'!$A$4:$A$962=C87)*('Case Pack'!$L$4:$L$962&gt;0)*('Case Pack'!$L$4:$L$962&lt;=A87),'Case Pack'!$D$4:$D$962,"未找到箱规")</f>
        <v>1.5</v>
      </c>
      <c r="P87" s="124" t="str">
        <f>IF(COUNTIF('PO Check'!A:A,D87)&gt;0,"Yes","No")</f>
        <v>Yes</v>
      </c>
      <c r="Q87" s="124" t="str" cm="1">
        <f t="array" ref="Q87">_xlfn.XLOOKUP(1,('Case Pack'!$A$4:$A$962=C87)*('Case Pack'!$L$4:$L$962&gt;0)*('Case Pack'!$L$4:$L$962&lt;=A87),'Case Pack'!$G$4:$G$962,"未找到箱型")</f>
        <v>B</v>
      </c>
      <c r="R87" s="124">
        <f>ROUND(IFERROR(VLOOKUP(Q87,'Case Type'!A:H,8,0),0)*O87,2)</f>
        <v>0.11</v>
      </c>
    </row>
    <row r="88" customFormat="1" spans="1:18">
      <c r="A88" s="113">
        <v>46072</v>
      </c>
      <c r="B88" s="91" t="str">
        <f>_xlfn.XLOOKUP(C88,'Product List'!B:B,'Product List'!I:I)</f>
        <v>MINI/MOE WOODLAND POTTY</v>
      </c>
      <c r="C88" s="94" t="s">
        <v>79</v>
      </c>
      <c r="D88" s="252" t="s">
        <v>314</v>
      </c>
      <c r="E88" s="125">
        <v>216</v>
      </c>
      <c r="F88" s="125">
        <v>2.61</v>
      </c>
      <c r="G88" s="125">
        <v>563.76</v>
      </c>
      <c r="H88" s="86" t="s">
        <v>306</v>
      </c>
      <c r="I88" s="86" t="s">
        <v>92</v>
      </c>
      <c r="J88" s="124" t="s">
        <v>313</v>
      </c>
      <c r="K88" s="193">
        <v>46078</v>
      </c>
      <c r="L88" s="251">
        <v>46091</v>
      </c>
      <c r="M88" s="127">
        <v>1.17</v>
      </c>
      <c r="N88" s="124">
        <v>252.72</v>
      </c>
      <c r="O88" s="124" cm="1">
        <f t="array" ref="O88">E88/_xlfn.XLOOKUP(1,('Case Pack'!$A$4:$A$962=C88)*('Case Pack'!$L$4:$L$962&gt;0)*('Case Pack'!$L$4:$L$962&lt;=A88),'Case Pack'!$D$4:$D$962,"未找到箱规")</f>
        <v>6</v>
      </c>
      <c r="P88" s="124" t="str">
        <f>IF(COUNTIF('PO Check'!A:A,D88)&gt;0,"Yes","No")</f>
        <v>Yes</v>
      </c>
      <c r="Q88" s="124" t="str" cm="1">
        <f t="array" ref="Q88">_xlfn.XLOOKUP(1,('Case Pack'!$A$4:$A$962=C88)*('Case Pack'!$L$4:$L$962&gt;0)*('Case Pack'!$L$4:$L$962&lt;=A88),'Case Pack'!$G$4:$G$962,"未找到箱型")</f>
        <v>C</v>
      </c>
      <c r="R88" s="124">
        <f>ROUND(IFERROR(VLOOKUP(Q88,'Case Type'!A:H,8,0),0)*O88,2)</f>
        <v>0.94</v>
      </c>
    </row>
    <row r="89" customFormat="1" spans="1:18">
      <c r="A89" s="113">
        <v>46072</v>
      </c>
      <c r="B89" s="91" t="str">
        <f>_xlfn.XLOOKUP(C89,'Product List'!B:B,'Product List'!I:I)</f>
        <v>MINI/MOE BENDABLE BIRCHWOOD FENCE</v>
      </c>
      <c r="C89" s="94" t="s">
        <v>62</v>
      </c>
      <c r="D89" s="252" t="s">
        <v>314</v>
      </c>
      <c r="E89" s="125">
        <v>312</v>
      </c>
      <c r="F89" s="125">
        <v>4.65</v>
      </c>
      <c r="G89" s="125">
        <v>1450.8</v>
      </c>
      <c r="H89" s="86" t="s">
        <v>306</v>
      </c>
      <c r="I89" s="86" t="s">
        <v>92</v>
      </c>
      <c r="J89" s="124" t="s">
        <v>313</v>
      </c>
      <c r="K89" s="193">
        <v>46078</v>
      </c>
      <c r="L89" s="251">
        <v>46091</v>
      </c>
      <c r="M89" s="127">
        <v>2.63</v>
      </c>
      <c r="N89" s="124">
        <v>820.56</v>
      </c>
      <c r="O89" s="124" cm="1">
        <f t="array" ref="O89">E89/_xlfn.XLOOKUP(1,('Case Pack'!$A$4:$A$962=C89)*('Case Pack'!$L$4:$L$962&gt;0)*('Case Pack'!$L$4:$L$962&lt;=A89),'Case Pack'!$D$4:$D$962,"未找到箱规")</f>
        <v>9.75</v>
      </c>
      <c r="P89" s="124" t="str">
        <f>IF(COUNTIF('PO Check'!A:A,D89)&gt;0,"Yes","No")</f>
        <v>Yes</v>
      </c>
      <c r="Q89" s="124" t="str" cm="1">
        <f t="array" ref="Q89">_xlfn.XLOOKUP(1,('Case Pack'!$A$4:$A$962=C89)*('Case Pack'!$L$4:$L$962&gt;0)*('Case Pack'!$L$4:$L$962&lt;=A89),'Case Pack'!$G$4:$G$962,"未找到箱型")</f>
        <v>F</v>
      </c>
      <c r="R89" s="124">
        <f>ROUND(IFERROR(VLOOKUP(Q89,'Case Type'!A:H,8,0),0)*O89,2)</f>
        <v>0.36</v>
      </c>
    </row>
    <row r="90" customFormat="1" spans="1:18">
      <c r="A90" s="113">
        <v>46072</v>
      </c>
      <c r="B90" s="91" t="str">
        <f>_xlfn.XLOOKUP(C90,'Product List'!B:B,'Product List'!I:I)</f>
        <v>MINI/MOE TV VIEWING CAGE</v>
      </c>
      <c r="C90" s="94" t="s">
        <v>50</v>
      </c>
      <c r="D90" s="252" t="s">
        <v>314</v>
      </c>
      <c r="E90" s="125">
        <v>302</v>
      </c>
      <c r="F90" s="125">
        <v>51.71</v>
      </c>
      <c r="G90" s="125">
        <v>15616.42</v>
      </c>
      <c r="H90" s="86" t="s">
        <v>306</v>
      </c>
      <c r="I90" s="86" t="s">
        <v>92</v>
      </c>
      <c r="J90" s="124" t="s">
        <v>313</v>
      </c>
      <c r="K90" s="193">
        <v>46078</v>
      </c>
      <c r="L90" s="251">
        <v>46091</v>
      </c>
      <c r="M90" s="127">
        <v>21.9</v>
      </c>
      <c r="N90" s="124">
        <v>6613.8</v>
      </c>
      <c r="O90" s="124" cm="1">
        <f t="array" ref="O90">E90/_xlfn.XLOOKUP(1,('Case Pack'!$A$4:$A$962=C90)*('Case Pack'!$L$4:$L$962&gt;0)*('Case Pack'!$L$4:$L$962&lt;=A90),'Case Pack'!$D$4:$D$962,"未找到箱规")</f>
        <v>302</v>
      </c>
      <c r="P90" s="124" t="str">
        <f>IF(COUNTIF('PO Check'!A:A,D90)&gt;0,"Yes","No")</f>
        <v>Yes</v>
      </c>
      <c r="Q90" s="124" t="str" cm="1">
        <f t="array" ref="Q90">_xlfn.XLOOKUP(1,('Case Pack'!$A$4:$A$962=C90)*('Case Pack'!$L$4:$L$962&gt;0)*('Case Pack'!$L$4:$L$962&lt;=A90),'Case Pack'!$G$4:$G$962,"未找到箱型")</f>
        <v>S1</v>
      </c>
      <c r="R90" s="124">
        <f>ROUND(IFERROR(VLOOKUP(Q90,'Case Type'!A:H,8,0),0)*O90,2)</f>
        <v>22.35</v>
      </c>
    </row>
    <row r="91" customFormat="1" spans="1:18">
      <c r="A91" s="113">
        <v>46072</v>
      </c>
      <c r="B91" s="91" t="str">
        <f>_xlfn.XLOOKUP(C91,'Product List'!B:B,'Product List'!I:I)</f>
        <v>MINI/MOE TULIP WATER BOTTLE</v>
      </c>
      <c r="C91" s="94" t="s">
        <v>52</v>
      </c>
      <c r="D91" s="252" t="s">
        <v>314</v>
      </c>
      <c r="E91" s="125">
        <v>360</v>
      </c>
      <c r="F91" s="125">
        <v>1.7</v>
      </c>
      <c r="G91" s="125">
        <v>612</v>
      </c>
      <c r="H91" s="86" t="s">
        <v>306</v>
      </c>
      <c r="I91" s="86" t="s">
        <v>92</v>
      </c>
      <c r="J91" s="124" t="s">
        <v>313</v>
      </c>
      <c r="K91" s="193">
        <v>46078</v>
      </c>
      <c r="L91" s="251">
        <v>46091</v>
      </c>
      <c r="M91" s="127">
        <v>0.73</v>
      </c>
      <c r="N91" s="124">
        <v>262.8</v>
      </c>
      <c r="O91" s="124" cm="1">
        <f t="array" ref="O91">E91/_xlfn.XLOOKUP(1,('Case Pack'!$A$4:$A$962=C91)*('Case Pack'!$L$4:$L$962&gt;0)*('Case Pack'!$L$4:$L$962&lt;=A91),'Case Pack'!$D$4:$D$962,"未找到箱规")</f>
        <v>6</v>
      </c>
      <c r="P91" s="124" t="str">
        <f>IF(COUNTIF('PO Check'!A:A,D91)&gt;0,"Yes","No")</f>
        <v>Yes</v>
      </c>
      <c r="Q91" s="124" t="str" cm="1">
        <f t="array" ref="Q91">_xlfn.XLOOKUP(1,('Case Pack'!$A$4:$A$962=C91)*('Case Pack'!$L$4:$L$962&gt;0)*('Case Pack'!$L$4:$L$962&lt;=A91),'Case Pack'!$G$4:$G$962,"未找到箱型")</f>
        <v>C</v>
      </c>
      <c r="R91" s="124">
        <f>ROUND(IFERROR(VLOOKUP(Q91,'Case Type'!A:H,8,0),0)*O91,2)</f>
        <v>0.94</v>
      </c>
    </row>
    <row r="92" customFormat="1" spans="1:18">
      <c r="A92" s="113">
        <v>46072</v>
      </c>
      <c r="B92" s="91" t="str">
        <f>_xlfn.XLOOKUP(C92,'Product List'!B:B,'Product List'!I:I)</f>
        <v>MINI/MOE SILENT CRSTL RUN WHEEL LG 8.5-Green</v>
      </c>
      <c r="C92" s="94" t="s">
        <v>28</v>
      </c>
      <c r="D92" s="252" t="s">
        <v>314</v>
      </c>
      <c r="E92" s="125">
        <v>192</v>
      </c>
      <c r="F92" s="125">
        <v>12.63</v>
      </c>
      <c r="G92" s="125">
        <v>2424.96</v>
      </c>
      <c r="H92" s="86" t="s">
        <v>306</v>
      </c>
      <c r="I92" s="86" t="s">
        <v>92</v>
      </c>
      <c r="J92" s="124" t="s">
        <v>313</v>
      </c>
      <c r="K92" s="193">
        <v>46078</v>
      </c>
      <c r="L92" s="251">
        <v>46091</v>
      </c>
      <c r="M92" s="124">
        <v>6.12</v>
      </c>
      <c r="N92" s="124">
        <v>1175.04</v>
      </c>
      <c r="O92" s="124" cm="1">
        <f t="array" ref="O92">E92/_xlfn.XLOOKUP(1,('Case Pack'!$A$4:$A$962=C92)*('Case Pack'!$L$4:$L$962&gt;0)*('Case Pack'!$L$4:$L$962&lt;=A92),'Case Pack'!$D$4:$D$962,"未找到箱规")</f>
        <v>24</v>
      </c>
      <c r="P92" s="124" t="str">
        <f>IF(COUNTIF('PO Check'!A:A,D92)&gt;0,"Yes","No")</f>
        <v>Yes</v>
      </c>
      <c r="Q92" s="124" t="str" cm="1">
        <f t="array" ref="Q92">_xlfn.XLOOKUP(1,('Case Pack'!$A$4:$A$962=C92)*('Case Pack'!$L$4:$L$962&gt;0)*('Case Pack'!$L$4:$L$962&lt;=A92),'Case Pack'!$G$4:$G$962,"未找到箱型")</f>
        <v>C</v>
      </c>
      <c r="R92" s="124">
        <f>ROUND(IFERROR(VLOOKUP(Q92,'Case Type'!A:H,8,0),0)*O92,2)</f>
        <v>3.78</v>
      </c>
    </row>
    <row r="93" customFormat="1" spans="1:18">
      <c r="A93" s="113">
        <v>46072</v>
      </c>
      <c r="B93" s="91" t="str">
        <f>_xlfn.XLOOKUP(C93,'Product List'!B:B,'Product List'!I:I)</f>
        <v>MINI/MOE MUSHROOM CABIN</v>
      </c>
      <c r="C93" s="94" t="s">
        <v>39</v>
      </c>
      <c r="D93" s="252" t="s">
        <v>315</v>
      </c>
      <c r="E93" s="125">
        <v>336</v>
      </c>
      <c r="F93" s="125">
        <v>6.98</v>
      </c>
      <c r="G93" s="125">
        <v>2345.28</v>
      </c>
      <c r="H93" s="86" t="s">
        <v>306</v>
      </c>
      <c r="I93" s="86" t="s">
        <v>92</v>
      </c>
      <c r="J93" s="124" t="s">
        <v>313</v>
      </c>
      <c r="K93" s="193">
        <v>46078</v>
      </c>
      <c r="L93" s="251">
        <v>46091</v>
      </c>
      <c r="M93" s="127">
        <v>3.2</v>
      </c>
      <c r="N93" s="124">
        <v>1075.2</v>
      </c>
      <c r="O93" s="124" cm="1">
        <f t="array" ref="O93">E93/_xlfn.XLOOKUP(1,('Case Pack'!$A$4:$A$962=C93)*('Case Pack'!$L$4:$L$962&gt;0)*('Case Pack'!$L$4:$L$962&lt;=A93),'Case Pack'!$D$4:$D$962,"未找到箱规")</f>
        <v>21</v>
      </c>
      <c r="P93" s="124" t="str">
        <f>IF(COUNTIF('PO Check'!A:A,D93)&gt;0,"Yes","No")</f>
        <v>Yes</v>
      </c>
      <c r="Q93" s="124" t="str" cm="1">
        <f t="array" ref="Q93">_xlfn.XLOOKUP(1,('Case Pack'!$A$4:$A$962=C93)*('Case Pack'!$L$4:$L$962&gt;0)*('Case Pack'!$L$4:$L$962&lt;=A93),'Case Pack'!$G$4:$G$962,"未找到箱型")</f>
        <v>C</v>
      </c>
      <c r="R93" s="124">
        <f>ROUND(IFERROR(VLOOKUP(Q93,'Case Type'!A:H,8,0),0)*O93,2)</f>
        <v>3.3</v>
      </c>
    </row>
    <row r="94" customFormat="1" spans="1:18">
      <c r="A94" s="113">
        <v>46072</v>
      </c>
      <c r="B94" s="91" t="str">
        <f>_xlfn.XLOOKUP(C94,'Product List'!B:B,'Product List'!I:I)</f>
        <v>MINI/MOE GARDEN TEAPOT</v>
      </c>
      <c r="C94" s="94" t="s">
        <v>43</v>
      </c>
      <c r="D94" s="252" t="s">
        <v>315</v>
      </c>
      <c r="E94" s="125">
        <v>360</v>
      </c>
      <c r="F94" s="125">
        <v>4.61</v>
      </c>
      <c r="G94" s="125">
        <v>1659.6</v>
      </c>
      <c r="H94" s="86" t="s">
        <v>306</v>
      </c>
      <c r="I94" s="86" t="s">
        <v>92</v>
      </c>
      <c r="J94" s="124" t="s">
        <v>313</v>
      </c>
      <c r="K94" s="193">
        <v>46078</v>
      </c>
      <c r="L94" s="251">
        <v>46091</v>
      </c>
      <c r="M94" s="127">
        <v>2.25</v>
      </c>
      <c r="N94" s="124">
        <v>810</v>
      </c>
      <c r="O94" s="124" cm="1">
        <f t="array" ref="O94">E94/_xlfn.XLOOKUP(1,('Case Pack'!$A$4:$A$962=C94)*('Case Pack'!$L$4:$L$962&gt;0)*('Case Pack'!$L$4:$L$962&lt;=A94),'Case Pack'!$D$4:$D$962,"未找到箱规")</f>
        <v>12</v>
      </c>
      <c r="P94" s="124" t="str">
        <f>IF(COUNTIF('PO Check'!A:A,D94)&gt;0,"Yes","No")</f>
        <v>Yes</v>
      </c>
      <c r="Q94" s="124" t="str" cm="1">
        <f t="array" ref="Q94">_xlfn.XLOOKUP(1,('Case Pack'!$A$4:$A$962=C94)*('Case Pack'!$L$4:$L$962&gt;0)*('Case Pack'!$L$4:$L$962&lt;=A94),'Case Pack'!$G$4:$G$962,"未找到箱型")</f>
        <v>C</v>
      </c>
      <c r="R94" s="124">
        <f>ROUND(IFERROR(VLOOKUP(Q94,'Case Type'!A:H,8,0),0)*O94,2)</f>
        <v>1.89</v>
      </c>
    </row>
    <row r="95" customFormat="1" spans="1:18">
      <c r="A95" s="113">
        <v>46072</v>
      </c>
      <c r="B95" s="91" t="str">
        <f>_xlfn.XLOOKUP(C95,'Product List'!B:B,'Product List'!I:I)</f>
        <v>MINI/MOE TREEHOUSE CABIN</v>
      </c>
      <c r="C95" s="94" t="s">
        <v>41</v>
      </c>
      <c r="D95" s="252" t="s">
        <v>315</v>
      </c>
      <c r="E95" s="125">
        <v>342</v>
      </c>
      <c r="F95" s="125">
        <v>4.28</v>
      </c>
      <c r="G95" s="125">
        <v>1463.76</v>
      </c>
      <c r="H95" s="86" t="s">
        <v>306</v>
      </c>
      <c r="I95" s="86" t="s">
        <v>92</v>
      </c>
      <c r="J95" s="124" t="s">
        <v>313</v>
      </c>
      <c r="K95" s="193">
        <v>46078</v>
      </c>
      <c r="L95" s="251">
        <v>46091</v>
      </c>
      <c r="M95" s="127">
        <v>2.07</v>
      </c>
      <c r="N95" s="124">
        <v>707.94</v>
      </c>
      <c r="O95" s="124" cm="1">
        <f t="array" ref="O95">E95/_xlfn.XLOOKUP(1,('Case Pack'!$A$4:$A$962=C95)*('Case Pack'!$L$4:$L$962&gt;0)*('Case Pack'!$L$4:$L$962&lt;=A95),'Case Pack'!$D$4:$D$962,"未找到箱规")</f>
        <v>11.4</v>
      </c>
      <c r="P95" s="124" t="str">
        <f>IF(COUNTIF('PO Check'!A:A,D95)&gt;0,"Yes","No")</f>
        <v>Yes</v>
      </c>
      <c r="Q95" s="124" t="str" cm="1">
        <f t="array" ref="Q95">_xlfn.XLOOKUP(1,('Case Pack'!$A$4:$A$962=C95)*('Case Pack'!$L$4:$L$962&gt;0)*('Case Pack'!$L$4:$L$962&lt;=A95),'Case Pack'!$G$4:$G$962,"未找到箱型")</f>
        <v>C</v>
      </c>
      <c r="R95" s="124">
        <f>ROUND(IFERROR(VLOOKUP(Q95,'Case Type'!A:H,8,0),0)*O95,2)</f>
        <v>1.79</v>
      </c>
    </row>
    <row r="96" customFormat="1" spans="1:18">
      <c r="A96" s="113">
        <v>46072</v>
      </c>
      <c r="B96" s="91" t="str">
        <f>_xlfn.XLOOKUP(C96,'Product List'!B:B,'Product List'!I:I)</f>
        <v>MINI/MOE IVY BURROWING BOX</v>
      </c>
      <c r="C96" s="94" t="s">
        <v>49</v>
      </c>
      <c r="D96" s="252" t="s">
        <v>315</v>
      </c>
      <c r="E96" s="125">
        <v>400</v>
      </c>
      <c r="F96" s="125">
        <v>14.89</v>
      </c>
      <c r="G96" s="125">
        <v>5956</v>
      </c>
      <c r="H96" s="86" t="s">
        <v>306</v>
      </c>
      <c r="I96" s="86" t="s">
        <v>92</v>
      </c>
      <c r="J96" s="124" t="s">
        <v>313</v>
      </c>
      <c r="K96" s="193">
        <v>46078</v>
      </c>
      <c r="L96" s="251">
        <v>46091</v>
      </c>
      <c r="M96" s="127">
        <v>7.11</v>
      </c>
      <c r="N96" s="124">
        <v>2844</v>
      </c>
      <c r="O96" s="124" cm="1">
        <f t="array" ref="O96">E96/_xlfn.XLOOKUP(1,('Case Pack'!$A$4:$A$962=C96)*('Case Pack'!$L$4:$L$962&gt;0)*('Case Pack'!$L$4:$L$962&lt;=A96),'Case Pack'!$D$4:$D$962,"未找到箱规")</f>
        <v>100</v>
      </c>
      <c r="P96" s="124" t="str">
        <f>IF(COUNTIF('PO Check'!A:A,D96)&gt;0,"Yes","No")</f>
        <v>Yes</v>
      </c>
      <c r="Q96" s="124" t="str" cm="1">
        <f t="array" ref="Q96">_xlfn.XLOOKUP(1,('Case Pack'!$A$4:$A$962=C96)*('Case Pack'!$L$4:$L$962&gt;0)*('Case Pack'!$L$4:$L$962&lt;=A96),'Case Pack'!$G$4:$G$962,"未找到箱型")</f>
        <v>D</v>
      </c>
      <c r="R96" s="124">
        <f>ROUND(IFERROR(VLOOKUP(Q96,'Case Type'!A:H,8,0),0)*O96,2)</f>
        <v>8.81</v>
      </c>
    </row>
    <row r="97" customFormat="1" spans="1:18">
      <c r="A97" s="113">
        <v>46072</v>
      </c>
      <c r="B97" s="91" t="str">
        <f>_xlfn.XLOOKUP(C97,'Product List'!B:B,'Product List'!I:I)</f>
        <v>MINI/MOE CAMPING TENT HIDE</v>
      </c>
      <c r="C97" s="94" t="s">
        <v>73</v>
      </c>
      <c r="D97" s="252" t="s">
        <v>315</v>
      </c>
      <c r="E97" s="125">
        <v>351</v>
      </c>
      <c r="F97" s="125">
        <v>3.36</v>
      </c>
      <c r="G97" s="125">
        <v>1179.36</v>
      </c>
      <c r="H97" s="86" t="s">
        <v>306</v>
      </c>
      <c r="I97" s="86" t="s">
        <v>92</v>
      </c>
      <c r="J97" s="124" t="s">
        <v>313</v>
      </c>
      <c r="K97" s="193">
        <v>46078</v>
      </c>
      <c r="L97" s="251">
        <v>46091</v>
      </c>
      <c r="M97" s="127">
        <v>1.71</v>
      </c>
      <c r="N97" s="124">
        <v>600.21</v>
      </c>
      <c r="O97" s="124" cm="1">
        <f t="array" ref="O97">E97/_xlfn.XLOOKUP(1,('Case Pack'!$A$4:$A$962=C97)*('Case Pack'!$L$4:$L$962&gt;0)*('Case Pack'!$L$4:$L$962&lt;=A97),'Case Pack'!$D$4:$D$962,"未找到箱规")</f>
        <v>29.25</v>
      </c>
      <c r="P97" s="124" t="str">
        <f>IF(COUNTIF('PO Check'!A:A,D97)&gt;0,"Yes","No")</f>
        <v>Yes</v>
      </c>
      <c r="Q97" s="124" t="str" cm="1">
        <f t="array" ref="Q97">_xlfn.XLOOKUP(1,('Case Pack'!$A$4:$A$962=C97)*('Case Pack'!$L$4:$L$962&gt;0)*('Case Pack'!$L$4:$L$962&lt;=A97),'Case Pack'!$G$4:$G$962,"未找到箱型")</f>
        <v>B</v>
      </c>
      <c r="R97" s="124">
        <f>ROUND(IFERROR(VLOOKUP(Q97,'Case Type'!A:H,8,0),0)*O97,2)</f>
        <v>2.15</v>
      </c>
    </row>
    <row r="98" customFormat="1" spans="1:18">
      <c r="A98" s="113">
        <v>46071</v>
      </c>
      <c r="B98" s="91" t="str">
        <f>_xlfn.XLOOKUP(C98,'Product List'!B:B,'Product List'!I:I)</f>
        <v>MINI/MOE BENDABLE BIRCHWOOD FENCE</v>
      </c>
      <c r="C98" s="94" t="s">
        <v>62</v>
      </c>
      <c r="D98" s="253">
        <v>30493123</v>
      </c>
      <c r="E98" s="125">
        <v>144</v>
      </c>
      <c r="F98" s="124">
        <v>5.01</v>
      </c>
      <c r="G98" s="124">
        <f t="shared" ref="G98:G161" si="2">E98*F98</f>
        <v>721.44</v>
      </c>
      <c r="H98" s="86" t="s">
        <v>298</v>
      </c>
      <c r="I98" s="86" t="s">
        <v>92</v>
      </c>
      <c r="J98" s="124" t="s">
        <v>316</v>
      </c>
      <c r="K98" s="193">
        <v>46115</v>
      </c>
      <c r="L98" s="251">
        <v>46120</v>
      </c>
      <c r="M98" s="127">
        <v>2.63</v>
      </c>
      <c r="N98" s="124">
        <f t="shared" ref="N98:N161" si="3">M98*E98</f>
        <v>378.72</v>
      </c>
      <c r="O98" s="124" cm="1">
        <f t="array" ref="O98">E98/_xlfn.XLOOKUP(1,('Case Pack'!$A$4:$A$962=C98)*('Case Pack'!$L$4:$L$962&gt;0)*('Case Pack'!$L$4:$L$962&lt;=A98),'Case Pack'!$D$4:$D$962,"未找到箱规")</f>
        <v>4.5</v>
      </c>
      <c r="P98" s="124" t="str">
        <f>IF(COUNTIF('PO Check'!A:A,D98)&gt;0,"Yes","No")</f>
        <v>Yes</v>
      </c>
      <c r="Q98" s="124" t="str" cm="1">
        <f t="array" ref="Q98">_xlfn.XLOOKUP(1,('Case Pack'!$A$4:$A$962=C98)*('Case Pack'!$L$4:$L$962&gt;0)*('Case Pack'!$L$4:$L$962&lt;=A98),'Case Pack'!$G$4:$G$962,"未找到箱型")</f>
        <v>F</v>
      </c>
      <c r="R98" s="124">
        <f>ROUND(IFERROR(VLOOKUP(Q98,'Case Type'!A:H,8,0),0)*O98,2)</f>
        <v>0.17</v>
      </c>
    </row>
    <row r="99" customFormat="1" spans="1:18">
      <c r="A99" s="113">
        <v>46071</v>
      </c>
      <c r="B99" s="91" t="str">
        <f>_xlfn.XLOOKUP(C99,'Product List'!B:B,'Product List'!I:I)</f>
        <v>MINI/MOE SILENT CRSTL RUN WHEEL LG 8.5-White</v>
      </c>
      <c r="C99" s="94" t="s">
        <v>29</v>
      </c>
      <c r="D99" s="253">
        <v>30493123</v>
      </c>
      <c r="E99" s="125">
        <v>152</v>
      </c>
      <c r="F99" s="124">
        <v>13.22</v>
      </c>
      <c r="G99" s="124">
        <f t="shared" si="2"/>
        <v>2009.44</v>
      </c>
      <c r="H99" s="86" t="s">
        <v>298</v>
      </c>
      <c r="I99" s="86" t="s">
        <v>92</v>
      </c>
      <c r="J99" s="124" t="s">
        <v>316</v>
      </c>
      <c r="K99" s="193">
        <v>46115</v>
      </c>
      <c r="L99" s="251">
        <v>46120</v>
      </c>
      <c r="M99" s="127">
        <v>6.27</v>
      </c>
      <c r="N99" s="124">
        <f t="shared" si="3"/>
        <v>953.04</v>
      </c>
      <c r="O99" s="124" cm="1">
        <f t="array" ref="O99">E99/_xlfn.XLOOKUP(1,('Case Pack'!$A$4:$A$962=C99)*('Case Pack'!$L$4:$L$962&gt;0)*('Case Pack'!$L$4:$L$962&lt;=A99),'Case Pack'!$D$4:$D$962,"未找到箱规")</f>
        <v>19</v>
      </c>
      <c r="P99" s="124" t="str">
        <f>IF(COUNTIF('PO Check'!A:A,D99)&gt;0,"Yes","No")</f>
        <v>Yes</v>
      </c>
      <c r="Q99" s="124" t="str" cm="1">
        <f t="array" ref="Q99">_xlfn.XLOOKUP(1,('Case Pack'!$A$4:$A$962=C99)*('Case Pack'!$L$4:$L$962&gt;0)*('Case Pack'!$L$4:$L$962&lt;=A99),'Case Pack'!$G$4:$G$962,"未找到箱型")</f>
        <v>C</v>
      </c>
      <c r="R99" s="124">
        <f>ROUND(IFERROR(VLOOKUP(Q99,'Case Type'!A:H,8,0),0)*O99,2)</f>
        <v>2.99</v>
      </c>
    </row>
    <row r="100" customFormat="1" spans="1:18">
      <c r="A100" s="113">
        <v>46071</v>
      </c>
      <c r="B100" s="91" t="str">
        <f>_xlfn.XLOOKUP(C100,'Product List'!B:B,'Product List'!I:I)</f>
        <v>MINI/MOE RUFFLE BOWL</v>
      </c>
      <c r="C100" s="94" t="s">
        <v>78</v>
      </c>
      <c r="D100" s="253">
        <v>30493123</v>
      </c>
      <c r="E100" s="125">
        <v>224</v>
      </c>
      <c r="F100" s="124">
        <v>2.35</v>
      </c>
      <c r="G100" s="124">
        <f t="shared" si="2"/>
        <v>526.4</v>
      </c>
      <c r="H100" s="86" t="s">
        <v>298</v>
      </c>
      <c r="I100" s="86" t="s">
        <v>92</v>
      </c>
      <c r="J100" s="124" t="s">
        <v>316</v>
      </c>
      <c r="K100" s="193">
        <v>46115</v>
      </c>
      <c r="L100" s="251">
        <v>46120</v>
      </c>
      <c r="M100" s="127">
        <v>1.34</v>
      </c>
      <c r="N100" s="124">
        <f t="shared" si="3"/>
        <v>300.16</v>
      </c>
      <c r="O100" s="124" cm="1">
        <f t="array" ref="O100">E100/_xlfn.XLOOKUP(1,('Case Pack'!$A$4:$A$962=C100)*('Case Pack'!$L$4:$L$962&gt;0)*('Case Pack'!$L$4:$L$962&lt;=A100),'Case Pack'!$D$4:$D$962,"未找到箱规")</f>
        <v>4.66666666666667</v>
      </c>
      <c r="P100" s="124" t="str">
        <f>IF(COUNTIF('PO Check'!A:A,D100)&gt;0,"Yes","No")</f>
        <v>Yes</v>
      </c>
      <c r="Q100" s="124" t="str" cm="1">
        <f t="array" ref="Q100">_xlfn.XLOOKUP(1,('Case Pack'!$A$4:$A$962=C100)*('Case Pack'!$L$4:$L$962&gt;0)*('Case Pack'!$L$4:$L$962&lt;=A100),'Case Pack'!$G$4:$G$962,"未找到箱型")</f>
        <v>B</v>
      </c>
      <c r="R100" s="124">
        <f>ROUND(IFERROR(VLOOKUP(Q100,'Case Type'!A:H,8,0),0)*O100,2)</f>
        <v>0.34</v>
      </c>
    </row>
    <row r="101" customFormat="1" spans="1:18">
      <c r="A101" s="113">
        <v>46071</v>
      </c>
      <c r="B101" s="91" t="str">
        <f>_xlfn.XLOOKUP(C101,'Product List'!B:B,'Product List'!I:I)</f>
        <v>MMO-CLOUD WATER BOTTLE</v>
      </c>
      <c r="C101" s="94" t="s">
        <v>77</v>
      </c>
      <c r="D101" s="253">
        <v>30493123</v>
      </c>
      <c r="E101" s="125">
        <v>180</v>
      </c>
      <c r="F101" s="124">
        <v>1.32</v>
      </c>
      <c r="G101" s="124">
        <f t="shared" si="2"/>
        <v>237.6</v>
      </c>
      <c r="H101" s="86" t="s">
        <v>298</v>
      </c>
      <c r="I101" s="86" t="s">
        <v>92</v>
      </c>
      <c r="J101" s="124" t="s">
        <v>316</v>
      </c>
      <c r="K101" s="193">
        <v>46115</v>
      </c>
      <c r="L101" s="251">
        <v>46120</v>
      </c>
      <c r="M101" s="127">
        <v>0.62</v>
      </c>
      <c r="N101" s="124">
        <f t="shared" si="3"/>
        <v>111.6</v>
      </c>
      <c r="O101" s="124" cm="1">
        <f t="array" ref="O101">E101/_xlfn.XLOOKUP(1,('Case Pack'!$A$4:$A$962=C101)*('Case Pack'!$L$4:$L$962&gt;0)*('Case Pack'!$L$4:$L$962&lt;=A101),'Case Pack'!$D$4:$D$962,"未找到箱规")</f>
        <v>3.6</v>
      </c>
      <c r="P101" s="124" t="str">
        <f>IF(COUNTIF('PO Check'!A:A,D101)&gt;0,"Yes","No")</f>
        <v>Yes</v>
      </c>
      <c r="Q101" s="124" t="str" cm="1">
        <f t="array" ref="Q101">_xlfn.XLOOKUP(1,('Case Pack'!$A$4:$A$962=C101)*('Case Pack'!$L$4:$L$962&gt;0)*('Case Pack'!$L$4:$L$962&lt;=A101),'Case Pack'!$G$4:$G$962,"未找到箱型")</f>
        <v>A</v>
      </c>
      <c r="R101" s="124">
        <f>ROUND(IFERROR(VLOOKUP(Q101,'Case Type'!A:H,8,0),0)*O101,2)</f>
        <v>0.4</v>
      </c>
    </row>
    <row r="102" customFormat="1" spans="1:18">
      <c r="A102" s="113">
        <v>46071</v>
      </c>
      <c r="B102" s="91" t="str">
        <f>_xlfn.XLOOKUP(C102,'Product List'!B:B,'Product List'!I:I)</f>
        <v>MMO-STARFISH CASTLE</v>
      </c>
      <c r="C102" s="94" t="s">
        <v>60</v>
      </c>
      <c r="D102" s="253">
        <v>30493123</v>
      </c>
      <c r="E102" s="125">
        <v>84</v>
      </c>
      <c r="F102" s="124">
        <v>5.32</v>
      </c>
      <c r="G102" s="124">
        <f t="shared" si="2"/>
        <v>446.88</v>
      </c>
      <c r="H102" s="86" t="s">
        <v>298</v>
      </c>
      <c r="I102" s="86" t="s">
        <v>92</v>
      </c>
      <c r="J102" s="124" t="s">
        <v>316</v>
      </c>
      <c r="K102" s="193">
        <v>46115</v>
      </c>
      <c r="L102" s="251">
        <v>46120</v>
      </c>
      <c r="M102" s="127">
        <v>2.81</v>
      </c>
      <c r="N102" s="124">
        <f t="shared" si="3"/>
        <v>236.04</v>
      </c>
      <c r="O102" s="124" cm="1">
        <f t="array" ref="O102">E102/_xlfn.XLOOKUP(1,('Case Pack'!$A$4:$A$962=C102)*('Case Pack'!$L$4:$L$962&gt;0)*('Case Pack'!$L$4:$L$962&lt;=A102),'Case Pack'!$D$4:$D$962,"未找到箱规")</f>
        <v>4.2</v>
      </c>
      <c r="P102" s="124" t="str">
        <f>IF(COUNTIF('PO Check'!A:A,D102)&gt;0,"Yes","No")</f>
        <v>Yes</v>
      </c>
      <c r="Q102" s="124" t="str" cm="1">
        <f t="array" ref="Q102">_xlfn.XLOOKUP(1,('Case Pack'!$A$4:$A$962=C102)*('Case Pack'!$L$4:$L$962&gt;0)*('Case Pack'!$L$4:$L$962&lt;=A102),'Case Pack'!$G$4:$G$962,"未找到箱型")</f>
        <v>C</v>
      </c>
      <c r="R102" s="124">
        <f>ROUND(IFERROR(VLOOKUP(Q102,'Case Type'!A:H,8,0),0)*O102,2)</f>
        <v>0.66</v>
      </c>
    </row>
    <row r="103" customFormat="1" spans="1:18">
      <c r="A103" s="113">
        <v>46071</v>
      </c>
      <c r="B103" s="91" t="str">
        <f>_xlfn.XLOOKUP(C103,'Product List'!B:B,'Product List'!I:I)</f>
        <v>MMO-WAVE BRIDGE</v>
      </c>
      <c r="C103" s="94" t="s">
        <v>61</v>
      </c>
      <c r="D103" s="253">
        <v>30493123</v>
      </c>
      <c r="E103" s="125">
        <v>160</v>
      </c>
      <c r="F103" s="124">
        <v>4.84</v>
      </c>
      <c r="G103" s="124">
        <f t="shared" si="2"/>
        <v>774.4</v>
      </c>
      <c r="H103" s="86" t="s">
        <v>298</v>
      </c>
      <c r="I103" s="86" t="s">
        <v>92</v>
      </c>
      <c r="J103" s="124" t="s">
        <v>316</v>
      </c>
      <c r="K103" s="193">
        <v>46115</v>
      </c>
      <c r="L103" s="251">
        <v>46120</v>
      </c>
      <c r="M103" s="127">
        <v>2.79</v>
      </c>
      <c r="N103" s="124">
        <f t="shared" si="3"/>
        <v>446.4</v>
      </c>
      <c r="O103" s="124" cm="1">
        <f t="array" ref="O103">E103/_xlfn.XLOOKUP(1,('Case Pack'!$A$4:$A$962=C103)*('Case Pack'!$L$4:$L$962&gt;0)*('Case Pack'!$L$4:$L$962&lt;=A103),'Case Pack'!$D$4:$D$962,"未找到箱规")</f>
        <v>4.84848484848485</v>
      </c>
      <c r="P103" s="124" t="str">
        <f>IF(COUNTIF('PO Check'!A:A,D103)&gt;0,"Yes","No")</f>
        <v>Yes</v>
      </c>
      <c r="Q103" s="124" t="str" cm="1">
        <f t="array" ref="Q103">_xlfn.XLOOKUP(1,('Case Pack'!$A$4:$A$962=C103)*('Case Pack'!$L$4:$L$962&gt;0)*('Case Pack'!$L$4:$L$962&lt;=A103),'Case Pack'!$G$4:$G$962,"未找到箱型")</f>
        <v>C</v>
      </c>
      <c r="R103" s="124">
        <f>ROUND(IFERROR(VLOOKUP(Q103,'Case Type'!A:H,8,0),0)*O103,2)</f>
        <v>0.76</v>
      </c>
    </row>
    <row r="104" customFormat="1" spans="1:18">
      <c r="A104" s="113">
        <v>46071</v>
      </c>
      <c r="B104" s="91" t="str">
        <f>_xlfn.XLOOKUP(C104,'Product List'!B:B,'Product List'!I:I)</f>
        <v>MMO-PAPER PEBBLES</v>
      </c>
      <c r="C104" s="249" t="s">
        <v>81</v>
      </c>
      <c r="D104" s="253">
        <v>30493123</v>
      </c>
      <c r="E104" s="125">
        <v>80</v>
      </c>
      <c r="F104" s="124">
        <v>5.81</v>
      </c>
      <c r="G104" s="124">
        <f t="shared" si="2"/>
        <v>464.8</v>
      </c>
      <c r="H104" s="86" t="s">
        <v>298</v>
      </c>
      <c r="I104" s="86" t="s">
        <v>92</v>
      </c>
      <c r="J104" s="124" t="s">
        <v>316</v>
      </c>
      <c r="K104" s="193">
        <v>46115</v>
      </c>
      <c r="L104" s="251">
        <v>46120</v>
      </c>
      <c r="M104" s="127">
        <v>2.84</v>
      </c>
      <c r="N104" s="124">
        <f t="shared" si="3"/>
        <v>227.2</v>
      </c>
      <c r="O104" s="124" cm="1">
        <f t="array" ref="O104">E104/_xlfn.XLOOKUP(1,('Case Pack'!$A$4:$A$962=C104)*('Case Pack'!$L$4:$L$962&gt;0)*('Case Pack'!$L$4:$L$962&lt;=A104),'Case Pack'!$D$4:$D$962,"未找到箱规")</f>
        <v>6.66666666666667</v>
      </c>
      <c r="P104" s="124" t="str">
        <f>IF(COUNTIF('PO Check'!A:A,D104)&gt;0,"Yes","No")</f>
        <v>Yes</v>
      </c>
      <c r="Q104" s="124" t="str" cm="1">
        <f t="array" ref="Q104">_xlfn.XLOOKUP(1,('Case Pack'!$A$4:$A$962=C104)*('Case Pack'!$L$4:$L$962&gt;0)*('Case Pack'!$L$4:$L$962&lt;=A104),'Case Pack'!$G$4:$G$962,"未找到箱型")</f>
        <v>B</v>
      </c>
      <c r="R104" s="124">
        <f>ROUND(IFERROR(VLOOKUP(Q104,'Case Type'!A:H,8,0),0)*O104,2)</f>
        <v>0.49</v>
      </c>
    </row>
    <row r="105" customFormat="1" spans="1:18">
      <c r="A105" s="113">
        <v>46071</v>
      </c>
      <c r="B105" s="91" t="str">
        <f>_xlfn.XLOOKUP(C105,'Product List'!B:B,'Product List'!I:I)</f>
        <v>MMO-PAPER TWIST BLU/WHT</v>
      </c>
      <c r="C105" s="249" t="s">
        <v>68</v>
      </c>
      <c r="D105" s="253">
        <v>30493123</v>
      </c>
      <c r="E105" s="125">
        <v>90</v>
      </c>
      <c r="F105" s="124">
        <v>3.89</v>
      </c>
      <c r="G105" s="124">
        <f t="shared" si="2"/>
        <v>350.1</v>
      </c>
      <c r="H105" s="86" t="s">
        <v>298</v>
      </c>
      <c r="I105" s="86" t="s">
        <v>92</v>
      </c>
      <c r="J105" s="124" t="s">
        <v>316</v>
      </c>
      <c r="K105" s="193">
        <v>46115</v>
      </c>
      <c r="L105" s="251">
        <v>46120</v>
      </c>
      <c r="M105" s="127">
        <v>1.98</v>
      </c>
      <c r="N105" s="124">
        <f t="shared" si="3"/>
        <v>178.2</v>
      </c>
      <c r="O105" s="124" cm="1">
        <f t="array" ref="O105">E105/_xlfn.XLOOKUP(1,('Case Pack'!$A$4:$A$962=C105)*('Case Pack'!$L$4:$L$962&gt;0)*('Case Pack'!$L$4:$L$962&lt;=A105),'Case Pack'!$D$4:$D$962,"未找到箱规")</f>
        <v>3</v>
      </c>
      <c r="P105" s="124" t="str">
        <f>IF(COUNTIF('PO Check'!A:A,D105)&gt;0,"Yes","No")</f>
        <v>Yes</v>
      </c>
      <c r="Q105" s="124" t="str" cm="1">
        <f t="array" ref="Q105">_xlfn.XLOOKUP(1,('Case Pack'!$A$4:$A$962=C105)*('Case Pack'!$L$4:$L$962&gt;0)*('Case Pack'!$L$4:$L$962&lt;=A105),'Case Pack'!$G$4:$G$962,"未找到箱型")</f>
        <v>A</v>
      </c>
      <c r="R105" s="124">
        <f>ROUND(IFERROR(VLOOKUP(Q105,'Case Type'!A:H,8,0),0)*O105,2)</f>
        <v>0.33</v>
      </c>
    </row>
    <row r="106" customFormat="1" spans="1:18">
      <c r="A106" s="113">
        <v>46071</v>
      </c>
      <c r="B106" s="91" t="str">
        <f>_xlfn.XLOOKUP(C106,'Product List'!B:B,'Product List'!I:I)</f>
        <v>MMO-COTTON NESTING BALLS</v>
      </c>
      <c r="C106" s="249" t="s">
        <v>84</v>
      </c>
      <c r="D106" s="253">
        <v>30493123</v>
      </c>
      <c r="E106" s="125">
        <v>124</v>
      </c>
      <c r="F106" s="124">
        <v>3.37</v>
      </c>
      <c r="G106" s="124">
        <f t="shared" si="2"/>
        <v>417.88</v>
      </c>
      <c r="H106" s="86" t="s">
        <v>298</v>
      </c>
      <c r="I106" s="86" t="s">
        <v>92</v>
      </c>
      <c r="J106" s="124" t="s">
        <v>316</v>
      </c>
      <c r="K106" s="193">
        <v>46115</v>
      </c>
      <c r="L106" s="251">
        <v>46120</v>
      </c>
      <c r="M106" s="127">
        <v>1.64</v>
      </c>
      <c r="N106" s="124">
        <f t="shared" si="3"/>
        <v>203.36</v>
      </c>
      <c r="O106" s="124" cm="1">
        <f t="array" ref="O106">E106/_xlfn.XLOOKUP(1,('Case Pack'!$A$4:$A$962=C106)*('Case Pack'!$L$4:$L$962&gt;0)*('Case Pack'!$L$4:$L$962&lt;=A106),'Case Pack'!$D$4:$D$962,"未找到箱规")</f>
        <v>3.875</v>
      </c>
      <c r="P106" s="124" t="str">
        <f>IF(COUNTIF('PO Check'!A:A,D106)&gt;0,"Yes","No")</f>
        <v>Yes</v>
      </c>
      <c r="Q106" s="124" t="str" cm="1">
        <f t="array" ref="Q106">_xlfn.XLOOKUP(1,('Case Pack'!$A$4:$A$962=C106)*('Case Pack'!$L$4:$L$962&gt;0)*('Case Pack'!$L$4:$L$962&lt;=A106),'Case Pack'!$G$4:$G$962,"未找到箱型")</f>
        <v>A</v>
      </c>
      <c r="R106" s="124">
        <f>ROUND(IFERROR(VLOOKUP(Q106,'Case Type'!A:H,8,0),0)*O106,2)</f>
        <v>0.43</v>
      </c>
    </row>
    <row r="107" customFormat="1" spans="1:18">
      <c r="A107" s="113">
        <v>46071</v>
      </c>
      <c r="B107" s="91" t="str">
        <f>_xlfn.XLOOKUP(C107,'Product List'!B:B,'Product List'!I:I)</f>
        <v>MINI/MOE TV VIEWING CAGE</v>
      </c>
      <c r="C107" s="94" t="s">
        <v>50</v>
      </c>
      <c r="D107" s="253">
        <v>30493123</v>
      </c>
      <c r="E107" s="125">
        <v>84</v>
      </c>
      <c r="F107" s="124">
        <v>48.49</v>
      </c>
      <c r="G107" s="124">
        <f t="shared" si="2"/>
        <v>4073.16</v>
      </c>
      <c r="H107" s="86" t="s">
        <v>298</v>
      </c>
      <c r="I107" s="86" t="s">
        <v>92</v>
      </c>
      <c r="J107" s="124" t="s">
        <v>316</v>
      </c>
      <c r="K107" s="193">
        <v>46115</v>
      </c>
      <c r="L107" s="251">
        <v>46120</v>
      </c>
      <c r="M107" s="127">
        <v>24.09</v>
      </c>
      <c r="N107" s="124">
        <f t="shared" si="3"/>
        <v>2023.56</v>
      </c>
      <c r="O107" s="124" cm="1">
        <f t="array" ref="O107">E107/_xlfn.XLOOKUP(1,('Case Pack'!$A$4:$A$962=C107)*('Case Pack'!$L$4:$L$962&gt;0)*('Case Pack'!$L$4:$L$962&lt;=A107),'Case Pack'!$D$4:$D$962,"未找到箱规")</f>
        <v>84</v>
      </c>
      <c r="P107" s="124" t="str">
        <f>IF(COUNTIF('PO Check'!A:A,D107)&gt;0,"Yes","No")</f>
        <v>Yes</v>
      </c>
      <c r="Q107" s="124" t="str" cm="1">
        <f t="array" ref="Q107">_xlfn.XLOOKUP(1,('Case Pack'!$A$4:$A$962=C107)*('Case Pack'!$L$4:$L$962&gt;0)*('Case Pack'!$L$4:$L$962&lt;=A107),'Case Pack'!$G$4:$G$962,"未找到箱型")</f>
        <v>S1</v>
      </c>
      <c r="R107" s="124">
        <f>ROUND(IFERROR(VLOOKUP(Q107,'Case Type'!A:H,8,0),0)*O107,2)</f>
        <v>6.22</v>
      </c>
    </row>
    <row r="108" customFormat="1" spans="1:18">
      <c r="A108" s="113">
        <v>46071</v>
      </c>
      <c r="B108" s="91" t="str">
        <f>_xlfn.XLOOKUP(C108,'Product List'!B:B,'Product List'!I:I)</f>
        <v>MMO-BUBBLE WATER BOTTLE</v>
      </c>
      <c r="C108" s="94" t="s">
        <v>67</v>
      </c>
      <c r="D108" s="253">
        <v>30493123</v>
      </c>
      <c r="E108" s="125">
        <v>144</v>
      </c>
      <c r="F108" s="124">
        <v>4.35</v>
      </c>
      <c r="G108" s="124">
        <f t="shared" si="2"/>
        <v>626.4</v>
      </c>
      <c r="H108" s="86" t="s">
        <v>298</v>
      </c>
      <c r="I108" s="86" t="s">
        <v>92</v>
      </c>
      <c r="J108" s="124" t="s">
        <v>316</v>
      </c>
      <c r="K108" s="193">
        <v>46115</v>
      </c>
      <c r="L108" s="251">
        <v>46120</v>
      </c>
      <c r="M108" s="127">
        <v>3.1</v>
      </c>
      <c r="N108" s="124">
        <f t="shared" si="3"/>
        <v>446.4</v>
      </c>
      <c r="O108" s="124" cm="1">
        <f t="array" ref="O108">E108/_xlfn.XLOOKUP(1,('Case Pack'!$A$4:$A$962=C108)*('Case Pack'!$L$4:$L$962&gt;0)*('Case Pack'!$L$4:$L$962&lt;=A108),'Case Pack'!$D$4:$D$962,"未找到箱规")</f>
        <v>3.42857142857143</v>
      </c>
      <c r="P108" s="124" t="str">
        <f>IF(COUNTIF('PO Check'!A:A,D108)&gt;0,"Yes","No")</f>
        <v>Yes</v>
      </c>
      <c r="Q108" s="124" t="str" cm="1">
        <f t="array" ref="Q108">_xlfn.XLOOKUP(1,('Case Pack'!$A$4:$A$962=C108)*('Case Pack'!$L$4:$L$962&gt;0)*('Case Pack'!$L$4:$L$962&lt;=A108),'Case Pack'!$G$4:$G$962,"未找到箱型")</f>
        <v>C</v>
      </c>
      <c r="R108" s="124">
        <f>ROUND(IFERROR(VLOOKUP(Q108,'Case Type'!A:H,8,0),0)*O108,2)</f>
        <v>0.54</v>
      </c>
    </row>
    <row r="109" customFormat="1" spans="1:18">
      <c r="A109" s="113">
        <v>46071</v>
      </c>
      <c r="B109" s="91" t="str">
        <f>_xlfn.XLOOKUP(C109,'Product List'!B:B,'Product List'!I:I)</f>
        <v>MINI/MOE BENDABLE BIRCHWOOD FENCE</v>
      </c>
      <c r="C109" s="94" t="s">
        <v>62</v>
      </c>
      <c r="D109" s="253">
        <v>30493126</v>
      </c>
      <c r="E109" s="125">
        <v>192</v>
      </c>
      <c r="F109" s="124">
        <v>5.01</v>
      </c>
      <c r="G109" s="124">
        <f t="shared" si="2"/>
        <v>961.92</v>
      </c>
      <c r="H109" s="86" t="s">
        <v>298</v>
      </c>
      <c r="I109" s="86" t="s">
        <v>92</v>
      </c>
      <c r="J109" s="124" t="s">
        <v>317</v>
      </c>
      <c r="K109" s="193">
        <v>46115</v>
      </c>
      <c r="L109" s="251">
        <v>46120</v>
      </c>
      <c r="M109" s="127">
        <v>2.63</v>
      </c>
      <c r="N109" s="124">
        <f t="shared" si="3"/>
        <v>504.96</v>
      </c>
      <c r="O109" s="124" cm="1">
        <f t="array" ref="O109">E109/_xlfn.XLOOKUP(1,('Case Pack'!$A$4:$A$962=C109)*('Case Pack'!$L$4:$L$962&gt;0)*('Case Pack'!$L$4:$L$962&lt;=A109),'Case Pack'!$D$4:$D$962,"未找到箱规")</f>
        <v>6</v>
      </c>
      <c r="P109" s="124" t="str">
        <f>IF(COUNTIF('PO Check'!A:A,D109)&gt;0,"Yes","No")</f>
        <v>Yes</v>
      </c>
      <c r="Q109" s="124" t="str" cm="1">
        <f t="array" ref="Q109">_xlfn.XLOOKUP(1,('Case Pack'!$A$4:$A$962=C109)*('Case Pack'!$L$4:$L$962&gt;0)*('Case Pack'!$L$4:$L$962&lt;=A109),'Case Pack'!$G$4:$G$962,"未找到箱型")</f>
        <v>F</v>
      </c>
      <c r="R109" s="124">
        <f>ROUND(IFERROR(VLOOKUP(Q109,'Case Type'!A:H,8,0),0)*O109,2)</f>
        <v>0.22</v>
      </c>
    </row>
    <row r="110" customFormat="1" spans="1:18">
      <c r="A110" s="113">
        <v>46071</v>
      </c>
      <c r="B110" s="91" t="str">
        <f>_xlfn.XLOOKUP(C110,'Product List'!B:B,'Product List'!I:I)</f>
        <v>MINI/MOE SILENT CRSTL RUN WHEEL LG 8.5-White</v>
      </c>
      <c r="C110" s="94" t="s">
        <v>29</v>
      </c>
      <c r="D110" s="253">
        <v>30493126</v>
      </c>
      <c r="E110" s="125">
        <v>168</v>
      </c>
      <c r="F110" s="124">
        <v>13.22</v>
      </c>
      <c r="G110" s="124">
        <f t="shared" si="2"/>
        <v>2220.96</v>
      </c>
      <c r="H110" s="86" t="s">
        <v>298</v>
      </c>
      <c r="I110" s="86" t="s">
        <v>92</v>
      </c>
      <c r="J110" s="124" t="s">
        <v>317</v>
      </c>
      <c r="K110" s="193">
        <v>46115</v>
      </c>
      <c r="L110" s="251">
        <v>46120</v>
      </c>
      <c r="M110" s="127">
        <v>6.27</v>
      </c>
      <c r="N110" s="124">
        <f t="shared" si="3"/>
        <v>1053.36</v>
      </c>
      <c r="O110" s="124" cm="1">
        <f t="array" ref="O110">E110/_xlfn.XLOOKUP(1,('Case Pack'!$A$4:$A$962=C110)*('Case Pack'!$L$4:$L$962&gt;0)*('Case Pack'!$L$4:$L$962&lt;=A110),'Case Pack'!$D$4:$D$962,"未找到箱规")</f>
        <v>21</v>
      </c>
      <c r="P110" s="124" t="str">
        <f>IF(COUNTIF('PO Check'!A:A,D110)&gt;0,"Yes","No")</f>
        <v>Yes</v>
      </c>
      <c r="Q110" s="124" t="str" cm="1">
        <f t="array" ref="Q110">_xlfn.XLOOKUP(1,('Case Pack'!$A$4:$A$962=C110)*('Case Pack'!$L$4:$L$962&gt;0)*('Case Pack'!$L$4:$L$962&lt;=A110),'Case Pack'!$G$4:$G$962,"未找到箱型")</f>
        <v>C</v>
      </c>
      <c r="R110" s="124">
        <f>ROUND(IFERROR(VLOOKUP(Q110,'Case Type'!A:H,8,0),0)*O110,2)</f>
        <v>3.3</v>
      </c>
    </row>
    <row r="111" customFormat="1" spans="1:18">
      <c r="A111" s="113">
        <v>46071</v>
      </c>
      <c r="B111" s="91" t="str">
        <f>_xlfn.XLOOKUP(C111,'Product List'!B:B,'Product List'!I:I)</f>
        <v>MINI/MOE RUFFLE BOWL</v>
      </c>
      <c r="C111" s="94" t="s">
        <v>78</v>
      </c>
      <c r="D111" s="253">
        <v>30493126</v>
      </c>
      <c r="E111" s="125">
        <v>224</v>
      </c>
      <c r="F111" s="124">
        <v>2.35</v>
      </c>
      <c r="G111" s="124">
        <f t="shared" si="2"/>
        <v>526.4</v>
      </c>
      <c r="H111" s="86" t="s">
        <v>298</v>
      </c>
      <c r="I111" s="86" t="s">
        <v>92</v>
      </c>
      <c r="J111" s="124" t="s">
        <v>317</v>
      </c>
      <c r="K111" s="193">
        <v>46115</v>
      </c>
      <c r="L111" s="251">
        <v>46120</v>
      </c>
      <c r="M111" s="127">
        <v>1.34</v>
      </c>
      <c r="N111" s="124">
        <f t="shared" si="3"/>
        <v>300.16</v>
      </c>
      <c r="O111" s="124" cm="1">
        <f t="array" ref="O111">E111/_xlfn.XLOOKUP(1,('Case Pack'!$A$4:$A$962=C111)*('Case Pack'!$L$4:$L$962&gt;0)*('Case Pack'!$L$4:$L$962&lt;=A111),'Case Pack'!$D$4:$D$962,"未找到箱规")</f>
        <v>4.66666666666667</v>
      </c>
      <c r="P111" s="124" t="str">
        <f>IF(COUNTIF('PO Check'!A:A,D111)&gt;0,"Yes","No")</f>
        <v>Yes</v>
      </c>
      <c r="Q111" s="124" t="str" cm="1">
        <f t="array" ref="Q111">_xlfn.XLOOKUP(1,('Case Pack'!$A$4:$A$962=C111)*('Case Pack'!$L$4:$L$962&gt;0)*('Case Pack'!$L$4:$L$962&lt;=A111),'Case Pack'!$G$4:$G$962,"未找到箱型")</f>
        <v>B</v>
      </c>
      <c r="R111" s="124">
        <f>ROUND(IFERROR(VLOOKUP(Q111,'Case Type'!A:H,8,0),0)*O111,2)</f>
        <v>0.34</v>
      </c>
    </row>
    <row r="112" customFormat="1" spans="1:18">
      <c r="A112" s="113">
        <v>46071</v>
      </c>
      <c r="B112" s="91" t="str">
        <f>_xlfn.XLOOKUP(C112,'Product List'!B:B,'Product List'!I:I)</f>
        <v>MMO-CLOUD WATER BOTTLE</v>
      </c>
      <c r="C112" s="94" t="s">
        <v>77</v>
      </c>
      <c r="D112" s="253">
        <v>30493126</v>
      </c>
      <c r="E112" s="125">
        <v>240</v>
      </c>
      <c r="F112" s="124">
        <v>1.32</v>
      </c>
      <c r="G112" s="124">
        <f t="shared" si="2"/>
        <v>316.8</v>
      </c>
      <c r="H112" s="86" t="s">
        <v>298</v>
      </c>
      <c r="I112" s="86" t="s">
        <v>92</v>
      </c>
      <c r="J112" s="124" t="s">
        <v>317</v>
      </c>
      <c r="K112" s="193">
        <v>46115</v>
      </c>
      <c r="L112" s="251">
        <v>46120</v>
      </c>
      <c r="M112" s="127">
        <v>0.62</v>
      </c>
      <c r="N112" s="124">
        <f t="shared" si="3"/>
        <v>148.8</v>
      </c>
      <c r="O112" s="124" cm="1">
        <f t="array" ref="O112">E112/_xlfn.XLOOKUP(1,('Case Pack'!$A$4:$A$962=C112)*('Case Pack'!$L$4:$L$962&gt;0)*('Case Pack'!$L$4:$L$962&lt;=A112),'Case Pack'!$D$4:$D$962,"未找到箱规")</f>
        <v>4.8</v>
      </c>
      <c r="P112" s="124" t="str">
        <f>IF(COUNTIF('PO Check'!A:A,D112)&gt;0,"Yes","No")</f>
        <v>Yes</v>
      </c>
      <c r="Q112" s="124" t="str" cm="1">
        <f t="array" ref="Q112">_xlfn.XLOOKUP(1,('Case Pack'!$A$4:$A$962=C112)*('Case Pack'!$L$4:$L$962&gt;0)*('Case Pack'!$L$4:$L$962&lt;=A112),'Case Pack'!$G$4:$G$962,"未找到箱型")</f>
        <v>A</v>
      </c>
      <c r="R112" s="124">
        <f>ROUND(IFERROR(VLOOKUP(Q112,'Case Type'!A:H,8,0),0)*O112,2)</f>
        <v>0.53</v>
      </c>
    </row>
    <row r="113" customFormat="1" spans="1:18">
      <c r="A113" s="113">
        <v>46071</v>
      </c>
      <c r="B113" s="91" t="str">
        <f>_xlfn.XLOOKUP(C113,'Product List'!B:B,'Product List'!I:I)</f>
        <v>MMO-STARFISH CASTLE</v>
      </c>
      <c r="C113" s="94" t="s">
        <v>60</v>
      </c>
      <c r="D113" s="253">
        <v>30493126</v>
      </c>
      <c r="E113" s="125">
        <v>144</v>
      </c>
      <c r="F113" s="124">
        <v>5.32</v>
      </c>
      <c r="G113" s="124">
        <f t="shared" si="2"/>
        <v>766.08</v>
      </c>
      <c r="H113" s="86" t="s">
        <v>298</v>
      </c>
      <c r="I113" s="86" t="s">
        <v>92</v>
      </c>
      <c r="J113" s="124" t="s">
        <v>317</v>
      </c>
      <c r="K113" s="193">
        <v>46115</v>
      </c>
      <c r="L113" s="251">
        <v>46120</v>
      </c>
      <c r="M113" s="127">
        <v>2.81</v>
      </c>
      <c r="N113" s="124">
        <f t="shared" si="3"/>
        <v>404.64</v>
      </c>
      <c r="O113" s="124" cm="1">
        <f t="array" ref="O113">E113/_xlfn.XLOOKUP(1,('Case Pack'!$A$4:$A$962=C113)*('Case Pack'!$L$4:$L$962&gt;0)*('Case Pack'!$L$4:$L$962&lt;=A113),'Case Pack'!$D$4:$D$962,"未找到箱规")</f>
        <v>7.2</v>
      </c>
      <c r="P113" s="124" t="str">
        <f>IF(COUNTIF('PO Check'!A:A,D113)&gt;0,"Yes","No")</f>
        <v>Yes</v>
      </c>
      <c r="Q113" s="124" t="str" cm="1">
        <f t="array" ref="Q113">_xlfn.XLOOKUP(1,('Case Pack'!$A$4:$A$962=C113)*('Case Pack'!$L$4:$L$962&gt;0)*('Case Pack'!$L$4:$L$962&lt;=A113),'Case Pack'!$G$4:$G$962,"未找到箱型")</f>
        <v>C</v>
      </c>
      <c r="R113" s="124">
        <f>ROUND(IFERROR(VLOOKUP(Q113,'Case Type'!A:H,8,0),0)*O113,2)</f>
        <v>1.13</v>
      </c>
    </row>
    <row r="114" customFormat="1" spans="1:18">
      <c r="A114" s="113">
        <v>46071</v>
      </c>
      <c r="B114" s="91" t="str">
        <f>_xlfn.XLOOKUP(C114,'Product List'!B:B,'Product List'!I:I)</f>
        <v>MMO-WAVE BRIDGE</v>
      </c>
      <c r="C114" s="94" t="s">
        <v>61</v>
      </c>
      <c r="D114" s="253">
        <v>30493126</v>
      </c>
      <c r="E114" s="125">
        <v>192</v>
      </c>
      <c r="F114" s="124">
        <v>4.84</v>
      </c>
      <c r="G114" s="124">
        <f t="shared" si="2"/>
        <v>929.28</v>
      </c>
      <c r="H114" s="86" t="s">
        <v>298</v>
      </c>
      <c r="I114" s="86" t="s">
        <v>92</v>
      </c>
      <c r="J114" s="124" t="s">
        <v>317</v>
      </c>
      <c r="K114" s="193">
        <v>46115</v>
      </c>
      <c r="L114" s="251">
        <v>46120</v>
      </c>
      <c r="M114" s="127">
        <v>2.79</v>
      </c>
      <c r="N114" s="124">
        <f t="shared" si="3"/>
        <v>535.68</v>
      </c>
      <c r="O114" s="124" cm="1">
        <f t="array" ref="O114">E114/_xlfn.XLOOKUP(1,('Case Pack'!$A$4:$A$962=C114)*('Case Pack'!$L$4:$L$962&gt;0)*('Case Pack'!$L$4:$L$962&lt;=A114),'Case Pack'!$D$4:$D$962,"未找到箱规")</f>
        <v>5.81818181818182</v>
      </c>
      <c r="P114" s="124" t="str">
        <f>IF(COUNTIF('PO Check'!A:A,D114)&gt;0,"Yes","No")</f>
        <v>Yes</v>
      </c>
      <c r="Q114" s="124" t="str" cm="1">
        <f t="array" ref="Q114">_xlfn.XLOOKUP(1,('Case Pack'!$A$4:$A$962=C114)*('Case Pack'!$L$4:$L$962&gt;0)*('Case Pack'!$L$4:$L$962&lt;=A114),'Case Pack'!$G$4:$G$962,"未找到箱型")</f>
        <v>C</v>
      </c>
      <c r="R114" s="124">
        <f>ROUND(IFERROR(VLOOKUP(Q114,'Case Type'!A:H,8,0),0)*O114,2)</f>
        <v>0.92</v>
      </c>
    </row>
    <row r="115" customFormat="1" spans="1:18">
      <c r="A115" s="113">
        <v>46071</v>
      </c>
      <c r="B115" s="91" t="str">
        <f>_xlfn.XLOOKUP(C115,'Product List'!B:B,'Product List'!I:I)</f>
        <v>MMO-PAPER PEBBLES</v>
      </c>
      <c r="C115" s="249" t="s">
        <v>81</v>
      </c>
      <c r="D115" s="253">
        <v>30493126</v>
      </c>
      <c r="E115" s="125">
        <v>160</v>
      </c>
      <c r="F115" s="124">
        <v>5.81</v>
      </c>
      <c r="G115" s="124">
        <f t="shared" si="2"/>
        <v>929.6</v>
      </c>
      <c r="H115" s="86" t="s">
        <v>298</v>
      </c>
      <c r="I115" s="86" t="s">
        <v>92</v>
      </c>
      <c r="J115" s="124" t="s">
        <v>317</v>
      </c>
      <c r="K115" s="193">
        <v>46115</v>
      </c>
      <c r="L115" s="251">
        <v>46120</v>
      </c>
      <c r="M115" s="127">
        <v>2.84</v>
      </c>
      <c r="N115" s="124">
        <f t="shared" si="3"/>
        <v>454.4</v>
      </c>
      <c r="O115" s="124" cm="1">
        <f t="array" ref="O115">E115/_xlfn.XLOOKUP(1,('Case Pack'!$A$4:$A$962=C115)*('Case Pack'!$L$4:$L$962&gt;0)*('Case Pack'!$L$4:$L$962&lt;=A115),'Case Pack'!$D$4:$D$962,"未找到箱规")</f>
        <v>13.3333333333333</v>
      </c>
      <c r="P115" s="124" t="str">
        <f>IF(COUNTIF('PO Check'!A:A,D115)&gt;0,"Yes","No")</f>
        <v>Yes</v>
      </c>
      <c r="Q115" s="124" t="str" cm="1">
        <f t="array" ref="Q115">_xlfn.XLOOKUP(1,('Case Pack'!$A$4:$A$962=C115)*('Case Pack'!$L$4:$L$962&gt;0)*('Case Pack'!$L$4:$L$962&lt;=A115),'Case Pack'!$G$4:$G$962,"未找到箱型")</f>
        <v>B</v>
      </c>
      <c r="R115" s="124">
        <f>ROUND(IFERROR(VLOOKUP(Q115,'Case Type'!A:H,8,0),0)*O115,2)</f>
        <v>0.98</v>
      </c>
    </row>
    <row r="116" customFormat="1" spans="1:18">
      <c r="A116" s="113">
        <v>46071</v>
      </c>
      <c r="B116" s="91" t="str">
        <f>_xlfn.XLOOKUP(C116,'Product List'!B:B,'Product List'!I:I)</f>
        <v>MMO-PAPER TWIST BLU/WHT</v>
      </c>
      <c r="C116" s="249" t="s">
        <v>68</v>
      </c>
      <c r="D116" s="253">
        <v>30493126</v>
      </c>
      <c r="E116" s="125">
        <v>144</v>
      </c>
      <c r="F116" s="124">
        <v>3.89</v>
      </c>
      <c r="G116" s="124">
        <f t="shared" si="2"/>
        <v>560.16</v>
      </c>
      <c r="H116" s="86" t="s">
        <v>298</v>
      </c>
      <c r="I116" s="86" t="s">
        <v>92</v>
      </c>
      <c r="J116" s="124" t="s">
        <v>317</v>
      </c>
      <c r="K116" s="193">
        <v>46115</v>
      </c>
      <c r="L116" s="251">
        <v>46120</v>
      </c>
      <c r="M116" s="127">
        <v>1.98</v>
      </c>
      <c r="N116" s="124">
        <f t="shared" si="3"/>
        <v>285.12</v>
      </c>
      <c r="O116" s="124" cm="1">
        <f t="array" ref="O116">E116/_xlfn.XLOOKUP(1,('Case Pack'!$A$4:$A$962=C116)*('Case Pack'!$L$4:$L$962&gt;0)*('Case Pack'!$L$4:$L$962&lt;=A116),'Case Pack'!$D$4:$D$962,"未找到箱规")</f>
        <v>4.8</v>
      </c>
      <c r="P116" s="124" t="str">
        <f>IF(COUNTIF('PO Check'!A:A,D116)&gt;0,"Yes","No")</f>
        <v>Yes</v>
      </c>
      <c r="Q116" s="124" t="str" cm="1">
        <f t="array" ref="Q116">_xlfn.XLOOKUP(1,('Case Pack'!$A$4:$A$962=C116)*('Case Pack'!$L$4:$L$962&gt;0)*('Case Pack'!$L$4:$L$962&lt;=A116),'Case Pack'!$G$4:$G$962,"未找到箱型")</f>
        <v>A</v>
      </c>
      <c r="R116" s="124">
        <f>ROUND(IFERROR(VLOOKUP(Q116,'Case Type'!A:H,8,0),0)*O116,2)</f>
        <v>0.53</v>
      </c>
    </row>
    <row r="117" customFormat="1" spans="1:18">
      <c r="A117" s="113">
        <v>46071</v>
      </c>
      <c r="B117" s="91" t="str">
        <f>_xlfn.XLOOKUP(C117,'Product List'!B:B,'Product List'!I:I)</f>
        <v>MMO-COTTON NESTING BALLS</v>
      </c>
      <c r="C117" s="249" t="s">
        <v>84</v>
      </c>
      <c r="D117" s="253">
        <v>30493126</v>
      </c>
      <c r="E117" s="125">
        <v>186</v>
      </c>
      <c r="F117" s="124">
        <v>3.37</v>
      </c>
      <c r="G117" s="124">
        <f t="shared" si="2"/>
        <v>626.82</v>
      </c>
      <c r="H117" s="86" t="s">
        <v>298</v>
      </c>
      <c r="I117" s="86" t="s">
        <v>92</v>
      </c>
      <c r="J117" s="124" t="s">
        <v>317</v>
      </c>
      <c r="K117" s="193">
        <v>46115</v>
      </c>
      <c r="L117" s="251">
        <v>46120</v>
      </c>
      <c r="M117" s="127">
        <v>1.64</v>
      </c>
      <c r="N117" s="124">
        <f t="shared" si="3"/>
        <v>305.04</v>
      </c>
      <c r="O117" s="124" cm="1">
        <f t="array" ref="O117">E117/_xlfn.XLOOKUP(1,('Case Pack'!$A$4:$A$962=C117)*('Case Pack'!$L$4:$L$962&gt;0)*('Case Pack'!$L$4:$L$962&lt;=A117),'Case Pack'!$D$4:$D$962,"未找到箱规")</f>
        <v>5.8125</v>
      </c>
      <c r="P117" s="124" t="str">
        <f>IF(COUNTIF('PO Check'!A:A,D117)&gt;0,"Yes","No")</f>
        <v>Yes</v>
      </c>
      <c r="Q117" s="124" t="str" cm="1">
        <f t="array" ref="Q117">_xlfn.XLOOKUP(1,('Case Pack'!$A$4:$A$962=C117)*('Case Pack'!$L$4:$L$962&gt;0)*('Case Pack'!$L$4:$L$962&lt;=A117),'Case Pack'!$G$4:$G$962,"未找到箱型")</f>
        <v>A</v>
      </c>
      <c r="R117" s="124">
        <f>ROUND(IFERROR(VLOOKUP(Q117,'Case Type'!A:H,8,0),0)*O117,2)</f>
        <v>0.64</v>
      </c>
    </row>
    <row r="118" customFormat="1" spans="1:18">
      <c r="A118" s="113">
        <v>46071</v>
      </c>
      <c r="B118" s="91" t="str">
        <f>_xlfn.XLOOKUP(C118,'Product List'!B:B,'Product List'!I:I)</f>
        <v>MINI/MOE TV VIEWING CAGE</v>
      </c>
      <c r="C118" s="94" t="s">
        <v>50</v>
      </c>
      <c r="D118" s="253">
        <v>30493126</v>
      </c>
      <c r="E118" s="125">
        <v>134</v>
      </c>
      <c r="F118" s="124">
        <v>48.49</v>
      </c>
      <c r="G118" s="124">
        <f t="shared" si="2"/>
        <v>6497.66</v>
      </c>
      <c r="H118" s="86" t="s">
        <v>298</v>
      </c>
      <c r="I118" s="86" t="s">
        <v>92</v>
      </c>
      <c r="J118" s="124" t="s">
        <v>317</v>
      </c>
      <c r="K118" s="193">
        <v>46115</v>
      </c>
      <c r="L118" s="251">
        <v>46120</v>
      </c>
      <c r="M118" s="127">
        <v>24.09</v>
      </c>
      <c r="N118" s="124">
        <f t="shared" si="3"/>
        <v>3228.06</v>
      </c>
      <c r="O118" s="124" cm="1">
        <f t="array" ref="O118">E118/_xlfn.XLOOKUP(1,('Case Pack'!$A$4:$A$962=C118)*('Case Pack'!$L$4:$L$962&gt;0)*('Case Pack'!$L$4:$L$962&lt;=A118),'Case Pack'!$D$4:$D$962,"未找到箱规")</f>
        <v>134</v>
      </c>
      <c r="P118" s="124" t="str">
        <f>IF(COUNTIF('PO Check'!A:A,D118)&gt;0,"Yes","No")</f>
        <v>Yes</v>
      </c>
      <c r="Q118" s="124" t="str" cm="1">
        <f t="array" ref="Q118">_xlfn.XLOOKUP(1,('Case Pack'!$A$4:$A$962=C118)*('Case Pack'!$L$4:$L$962&gt;0)*('Case Pack'!$L$4:$L$962&lt;=A118),'Case Pack'!$G$4:$G$962,"未找到箱型")</f>
        <v>S1</v>
      </c>
      <c r="R118" s="124">
        <f>ROUND(IFERROR(VLOOKUP(Q118,'Case Type'!A:H,8,0),0)*O118,2)</f>
        <v>9.92</v>
      </c>
    </row>
    <row r="119" customFormat="1" spans="1:18">
      <c r="A119" s="113">
        <v>46071</v>
      </c>
      <c r="B119" s="91" t="str">
        <f>_xlfn.XLOOKUP(C119,'Product List'!B:B,'Product List'!I:I)</f>
        <v>MMO-BUBBLE WATER BOTTLE</v>
      </c>
      <c r="C119" s="94" t="s">
        <v>67</v>
      </c>
      <c r="D119" s="253">
        <v>30493126</v>
      </c>
      <c r="E119" s="125">
        <v>180</v>
      </c>
      <c r="F119" s="124">
        <v>4.35</v>
      </c>
      <c r="G119" s="124">
        <f t="shared" si="2"/>
        <v>783</v>
      </c>
      <c r="H119" s="86" t="s">
        <v>298</v>
      </c>
      <c r="I119" s="86" t="s">
        <v>92</v>
      </c>
      <c r="J119" s="124" t="s">
        <v>317</v>
      </c>
      <c r="K119" s="193">
        <v>46115</v>
      </c>
      <c r="L119" s="251">
        <v>46120</v>
      </c>
      <c r="M119" s="127">
        <v>3.1</v>
      </c>
      <c r="N119" s="124">
        <f t="shared" si="3"/>
        <v>558</v>
      </c>
      <c r="O119" s="124" cm="1">
        <f t="array" ref="O119">E119/_xlfn.XLOOKUP(1,('Case Pack'!$A$4:$A$962=C119)*('Case Pack'!$L$4:$L$962&gt;0)*('Case Pack'!$L$4:$L$962&lt;=A119),'Case Pack'!$D$4:$D$962,"未找到箱规")</f>
        <v>4.28571428571429</v>
      </c>
      <c r="P119" s="124" t="str">
        <f>IF(COUNTIF('PO Check'!A:A,D119)&gt;0,"Yes","No")</f>
        <v>Yes</v>
      </c>
      <c r="Q119" s="124" t="str" cm="1">
        <f t="array" ref="Q119">_xlfn.XLOOKUP(1,('Case Pack'!$A$4:$A$962=C119)*('Case Pack'!$L$4:$L$962&gt;0)*('Case Pack'!$L$4:$L$962&lt;=A119),'Case Pack'!$G$4:$G$962,"未找到箱型")</f>
        <v>C</v>
      </c>
      <c r="R119" s="124">
        <f>ROUND(IFERROR(VLOOKUP(Q119,'Case Type'!A:H,8,0),0)*O119,2)</f>
        <v>0.67</v>
      </c>
    </row>
    <row r="120" customFormat="1" spans="1:18">
      <c r="A120" s="113">
        <v>46071</v>
      </c>
      <c r="B120" s="91" t="str">
        <f>_xlfn.XLOOKUP(C120,'Product List'!B:B,'Product List'!I:I)</f>
        <v>MINI/MOE BENDABLE BIRCHWOOD FENCE</v>
      </c>
      <c r="C120" s="94" t="s">
        <v>62</v>
      </c>
      <c r="D120" s="253">
        <v>30493128</v>
      </c>
      <c r="E120" s="125">
        <v>264</v>
      </c>
      <c r="F120" s="124">
        <v>5.01</v>
      </c>
      <c r="G120" s="124">
        <f t="shared" si="2"/>
        <v>1322.64</v>
      </c>
      <c r="H120" s="86" t="s">
        <v>298</v>
      </c>
      <c r="I120" s="86" t="s">
        <v>92</v>
      </c>
      <c r="J120" s="124" t="s">
        <v>318</v>
      </c>
      <c r="K120" s="193">
        <v>46115</v>
      </c>
      <c r="L120" s="251">
        <v>46120</v>
      </c>
      <c r="M120" s="127">
        <v>2.63</v>
      </c>
      <c r="N120" s="124">
        <f t="shared" si="3"/>
        <v>694.32</v>
      </c>
      <c r="O120" s="124" cm="1">
        <f t="array" ref="O120">E120/_xlfn.XLOOKUP(1,('Case Pack'!$A$4:$A$962=C120)*('Case Pack'!$L$4:$L$962&gt;0)*('Case Pack'!$L$4:$L$962&lt;=A120),'Case Pack'!$D$4:$D$962,"未找到箱规")</f>
        <v>8.25</v>
      </c>
      <c r="P120" s="124" t="str">
        <f>IF(COUNTIF('PO Check'!A:A,D120)&gt;0,"Yes","No")</f>
        <v>Yes</v>
      </c>
      <c r="Q120" s="124" t="str" cm="1">
        <f t="array" ref="Q120">_xlfn.XLOOKUP(1,('Case Pack'!$A$4:$A$962=C120)*('Case Pack'!$L$4:$L$962&gt;0)*('Case Pack'!$L$4:$L$962&lt;=A120),'Case Pack'!$G$4:$G$962,"未找到箱型")</f>
        <v>F</v>
      </c>
      <c r="R120" s="124">
        <f>ROUND(IFERROR(VLOOKUP(Q120,'Case Type'!A:H,8,0),0)*O120,2)</f>
        <v>0.3</v>
      </c>
    </row>
    <row r="121" customFormat="1" spans="1:18">
      <c r="A121" s="113">
        <v>46071</v>
      </c>
      <c r="B121" s="91" t="str">
        <f>_xlfn.XLOOKUP(C121,'Product List'!B:B,'Product List'!I:I)</f>
        <v>MINI/MOE SILENT CRSTL RUN WHEEL LG 8.5-White</v>
      </c>
      <c r="C121" s="94" t="s">
        <v>29</v>
      </c>
      <c r="D121" s="253">
        <v>30493128</v>
      </c>
      <c r="E121" s="125">
        <v>312</v>
      </c>
      <c r="F121" s="124">
        <v>13.22</v>
      </c>
      <c r="G121" s="124">
        <f t="shared" si="2"/>
        <v>4124.64</v>
      </c>
      <c r="H121" s="86" t="s">
        <v>298</v>
      </c>
      <c r="I121" s="86" t="s">
        <v>92</v>
      </c>
      <c r="J121" s="124" t="s">
        <v>318</v>
      </c>
      <c r="K121" s="193">
        <v>46115</v>
      </c>
      <c r="L121" s="251">
        <v>46120</v>
      </c>
      <c r="M121" s="127">
        <v>6.27</v>
      </c>
      <c r="N121" s="124">
        <f t="shared" si="3"/>
        <v>1956.24</v>
      </c>
      <c r="O121" s="124" cm="1">
        <f t="array" ref="O121">E121/_xlfn.XLOOKUP(1,('Case Pack'!$A$4:$A$962=C121)*('Case Pack'!$L$4:$L$962&gt;0)*('Case Pack'!$L$4:$L$962&lt;=A121),'Case Pack'!$D$4:$D$962,"未找到箱规")</f>
        <v>39</v>
      </c>
      <c r="P121" s="124" t="str">
        <f>IF(COUNTIF('PO Check'!A:A,D121)&gt;0,"Yes","No")</f>
        <v>Yes</v>
      </c>
      <c r="Q121" s="124" t="str" cm="1">
        <f t="array" ref="Q121">_xlfn.XLOOKUP(1,('Case Pack'!$A$4:$A$962=C121)*('Case Pack'!$L$4:$L$962&gt;0)*('Case Pack'!$L$4:$L$962&lt;=A121),'Case Pack'!$G$4:$G$962,"未找到箱型")</f>
        <v>C</v>
      </c>
      <c r="R121" s="124">
        <f>ROUND(IFERROR(VLOOKUP(Q121,'Case Type'!A:H,8,0),0)*O121,2)</f>
        <v>6.14</v>
      </c>
    </row>
    <row r="122" customFormat="1" spans="1:18">
      <c r="A122" s="113">
        <v>46071</v>
      </c>
      <c r="B122" s="91" t="str">
        <f>_xlfn.XLOOKUP(C122,'Product List'!B:B,'Product List'!I:I)</f>
        <v>MINI/MOE RUFFLE BOWL</v>
      </c>
      <c r="C122" s="94" t="s">
        <v>78</v>
      </c>
      <c r="D122" s="253">
        <v>30493128</v>
      </c>
      <c r="E122" s="125">
        <v>384</v>
      </c>
      <c r="F122" s="124">
        <v>2.35</v>
      </c>
      <c r="G122" s="124">
        <f t="shared" si="2"/>
        <v>902.4</v>
      </c>
      <c r="H122" s="86" t="s">
        <v>298</v>
      </c>
      <c r="I122" s="86" t="s">
        <v>92</v>
      </c>
      <c r="J122" s="124" t="s">
        <v>318</v>
      </c>
      <c r="K122" s="193">
        <v>46115</v>
      </c>
      <c r="L122" s="251">
        <v>46120</v>
      </c>
      <c r="M122" s="127">
        <v>1.34</v>
      </c>
      <c r="N122" s="124">
        <f t="shared" si="3"/>
        <v>514.56</v>
      </c>
      <c r="O122" s="124" cm="1">
        <f t="array" ref="O122">E122/_xlfn.XLOOKUP(1,('Case Pack'!$A$4:$A$962=C122)*('Case Pack'!$L$4:$L$962&gt;0)*('Case Pack'!$L$4:$L$962&lt;=A122),'Case Pack'!$D$4:$D$962,"未找到箱规")</f>
        <v>8</v>
      </c>
      <c r="P122" s="124" t="str">
        <f>IF(COUNTIF('PO Check'!A:A,D122)&gt;0,"Yes","No")</f>
        <v>Yes</v>
      </c>
      <c r="Q122" s="124" t="str" cm="1">
        <f t="array" ref="Q122">_xlfn.XLOOKUP(1,('Case Pack'!$A$4:$A$962=C122)*('Case Pack'!$L$4:$L$962&gt;0)*('Case Pack'!$L$4:$L$962&lt;=A122),'Case Pack'!$G$4:$G$962,"未找到箱型")</f>
        <v>B</v>
      </c>
      <c r="R122" s="124">
        <f>ROUND(IFERROR(VLOOKUP(Q122,'Case Type'!A:H,8,0),0)*O122,2)</f>
        <v>0.59</v>
      </c>
    </row>
    <row r="123" customFormat="1" spans="1:18">
      <c r="A123" s="113">
        <v>46071</v>
      </c>
      <c r="B123" s="91" t="str">
        <f>_xlfn.XLOOKUP(C123,'Product List'!B:B,'Product List'!I:I)</f>
        <v>MMO-CLOUD WATER BOTTLE</v>
      </c>
      <c r="C123" s="94" t="s">
        <v>77</v>
      </c>
      <c r="D123" s="253">
        <v>30493128</v>
      </c>
      <c r="E123" s="125">
        <v>300</v>
      </c>
      <c r="F123" s="124">
        <v>1.32</v>
      </c>
      <c r="G123" s="124">
        <f t="shared" si="2"/>
        <v>396</v>
      </c>
      <c r="H123" s="86" t="s">
        <v>298</v>
      </c>
      <c r="I123" s="86" t="s">
        <v>92</v>
      </c>
      <c r="J123" s="124" t="s">
        <v>318</v>
      </c>
      <c r="K123" s="193">
        <v>46115</v>
      </c>
      <c r="L123" s="251">
        <v>46120</v>
      </c>
      <c r="M123" s="127">
        <v>0.62</v>
      </c>
      <c r="N123" s="124">
        <f t="shared" si="3"/>
        <v>186</v>
      </c>
      <c r="O123" s="124" cm="1">
        <f t="array" ref="O123">E123/_xlfn.XLOOKUP(1,('Case Pack'!$A$4:$A$962=C123)*('Case Pack'!$L$4:$L$962&gt;0)*('Case Pack'!$L$4:$L$962&lt;=A123),'Case Pack'!$D$4:$D$962,"未找到箱规")</f>
        <v>6</v>
      </c>
      <c r="P123" s="124" t="str">
        <f>IF(COUNTIF('PO Check'!A:A,D123)&gt;0,"Yes","No")</f>
        <v>Yes</v>
      </c>
      <c r="Q123" s="124" t="str" cm="1">
        <f t="array" ref="Q123">_xlfn.XLOOKUP(1,('Case Pack'!$A$4:$A$962=C123)*('Case Pack'!$L$4:$L$962&gt;0)*('Case Pack'!$L$4:$L$962&lt;=A123),'Case Pack'!$G$4:$G$962,"未找到箱型")</f>
        <v>A</v>
      </c>
      <c r="R123" s="124">
        <f>ROUND(IFERROR(VLOOKUP(Q123,'Case Type'!A:H,8,0),0)*O123,2)</f>
        <v>0.66</v>
      </c>
    </row>
    <row r="124" customFormat="1" spans="1:18">
      <c r="A124" s="113">
        <v>46071</v>
      </c>
      <c r="B124" s="91" t="str">
        <f>_xlfn.XLOOKUP(C124,'Product List'!B:B,'Product List'!I:I)</f>
        <v>MMO-STARFISH CASTLE</v>
      </c>
      <c r="C124" s="94" t="s">
        <v>60</v>
      </c>
      <c r="D124" s="253">
        <v>30493128</v>
      </c>
      <c r="E124" s="125">
        <v>240</v>
      </c>
      <c r="F124" s="124">
        <v>5.32</v>
      </c>
      <c r="G124" s="124">
        <f t="shared" si="2"/>
        <v>1276.8</v>
      </c>
      <c r="H124" s="86" t="s">
        <v>298</v>
      </c>
      <c r="I124" s="86" t="s">
        <v>92</v>
      </c>
      <c r="J124" s="124" t="s">
        <v>318</v>
      </c>
      <c r="K124" s="193">
        <v>46115</v>
      </c>
      <c r="L124" s="251">
        <v>46120</v>
      </c>
      <c r="M124" s="127">
        <v>2.81</v>
      </c>
      <c r="N124" s="124">
        <f t="shared" si="3"/>
        <v>674.4</v>
      </c>
      <c r="O124" s="124" cm="1">
        <f t="array" ref="O124">E124/_xlfn.XLOOKUP(1,('Case Pack'!$A$4:$A$962=C124)*('Case Pack'!$L$4:$L$962&gt;0)*('Case Pack'!$L$4:$L$962&lt;=A124),'Case Pack'!$D$4:$D$962,"未找到箱规")</f>
        <v>12</v>
      </c>
      <c r="P124" s="124" t="str">
        <f>IF(COUNTIF('PO Check'!A:A,D124)&gt;0,"Yes","No")</f>
        <v>Yes</v>
      </c>
      <c r="Q124" s="124" t="str" cm="1">
        <f t="array" ref="Q124">_xlfn.XLOOKUP(1,('Case Pack'!$A$4:$A$962=C124)*('Case Pack'!$L$4:$L$962&gt;0)*('Case Pack'!$L$4:$L$962&lt;=A124),'Case Pack'!$G$4:$G$962,"未找到箱型")</f>
        <v>C</v>
      </c>
      <c r="R124" s="124">
        <f>ROUND(IFERROR(VLOOKUP(Q124,'Case Type'!A:H,8,0),0)*O124,2)</f>
        <v>1.89</v>
      </c>
    </row>
    <row r="125" customFormat="1" spans="1:18">
      <c r="A125" s="113">
        <v>46071</v>
      </c>
      <c r="B125" s="91" t="str">
        <f>_xlfn.XLOOKUP(C125,'Product List'!B:B,'Product List'!I:I)</f>
        <v>MMO-WAVE BRIDGE</v>
      </c>
      <c r="C125" s="94" t="s">
        <v>61</v>
      </c>
      <c r="D125" s="253">
        <v>30493128</v>
      </c>
      <c r="E125" s="125">
        <v>288</v>
      </c>
      <c r="F125" s="124">
        <v>4.84</v>
      </c>
      <c r="G125" s="124">
        <f t="shared" si="2"/>
        <v>1393.92</v>
      </c>
      <c r="H125" s="86" t="s">
        <v>298</v>
      </c>
      <c r="I125" s="86" t="s">
        <v>92</v>
      </c>
      <c r="J125" s="124" t="s">
        <v>318</v>
      </c>
      <c r="K125" s="193">
        <v>46115</v>
      </c>
      <c r="L125" s="251">
        <v>46120</v>
      </c>
      <c r="M125" s="127">
        <v>2.79</v>
      </c>
      <c r="N125" s="124">
        <f t="shared" si="3"/>
        <v>803.52</v>
      </c>
      <c r="O125" s="124" cm="1">
        <f t="array" ref="O125">E125/_xlfn.XLOOKUP(1,('Case Pack'!$A$4:$A$962=C125)*('Case Pack'!$L$4:$L$962&gt;0)*('Case Pack'!$L$4:$L$962&lt;=A125),'Case Pack'!$D$4:$D$962,"未找到箱规")</f>
        <v>8.72727272727273</v>
      </c>
      <c r="P125" s="124" t="str">
        <f>IF(COUNTIF('PO Check'!A:A,D125)&gt;0,"Yes","No")</f>
        <v>Yes</v>
      </c>
      <c r="Q125" s="124" t="str" cm="1">
        <f t="array" ref="Q125">_xlfn.XLOOKUP(1,('Case Pack'!$A$4:$A$962=C125)*('Case Pack'!$L$4:$L$962&gt;0)*('Case Pack'!$L$4:$L$962&lt;=A125),'Case Pack'!$G$4:$G$962,"未找到箱型")</f>
        <v>C</v>
      </c>
      <c r="R125" s="124">
        <f>ROUND(IFERROR(VLOOKUP(Q125,'Case Type'!A:H,8,0),0)*O125,2)</f>
        <v>1.37</v>
      </c>
    </row>
    <row r="126" customFormat="1" spans="1:18">
      <c r="A126" s="113">
        <v>46071</v>
      </c>
      <c r="B126" s="91" t="str">
        <f>_xlfn.XLOOKUP(C126,'Product List'!B:B,'Product List'!I:I)</f>
        <v>MMO-PAPER PEBBLES</v>
      </c>
      <c r="C126" s="249" t="s">
        <v>81</v>
      </c>
      <c r="D126" s="253">
        <v>30493128</v>
      </c>
      <c r="E126" s="125">
        <v>220</v>
      </c>
      <c r="F126" s="124">
        <v>5.81</v>
      </c>
      <c r="G126" s="124">
        <f t="shared" si="2"/>
        <v>1278.2</v>
      </c>
      <c r="H126" s="86" t="s">
        <v>298</v>
      </c>
      <c r="I126" s="86" t="s">
        <v>92</v>
      </c>
      <c r="J126" s="124" t="s">
        <v>318</v>
      </c>
      <c r="K126" s="193">
        <v>46115</v>
      </c>
      <c r="L126" s="251">
        <v>46120</v>
      </c>
      <c r="M126" s="127">
        <v>2.84</v>
      </c>
      <c r="N126" s="124">
        <f t="shared" si="3"/>
        <v>624.8</v>
      </c>
      <c r="O126" s="124" cm="1">
        <f t="array" ref="O126">E126/_xlfn.XLOOKUP(1,('Case Pack'!$A$4:$A$962=C126)*('Case Pack'!$L$4:$L$962&gt;0)*('Case Pack'!$L$4:$L$962&lt;=A126),'Case Pack'!$D$4:$D$962,"未找到箱规")</f>
        <v>18.3333333333333</v>
      </c>
      <c r="P126" s="124" t="str">
        <f>IF(COUNTIF('PO Check'!A:A,D126)&gt;0,"Yes","No")</f>
        <v>Yes</v>
      </c>
      <c r="Q126" s="124" t="str" cm="1">
        <f t="array" ref="Q126">_xlfn.XLOOKUP(1,('Case Pack'!$A$4:$A$962=C126)*('Case Pack'!$L$4:$L$962&gt;0)*('Case Pack'!$L$4:$L$962&lt;=A126),'Case Pack'!$G$4:$G$962,"未找到箱型")</f>
        <v>B</v>
      </c>
      <c r="R126" s="124">
        <f>ROUND(IFERROR(VLOOKUP(Q126,'Case Type'!A:H,8,0),0)*O126,2)</f>
        <v>1.35</v>
      </c>
    </row>
    <row r="127" customFormat="1" spans="1:18">
      <c r="A127" s="113">
        <v>46071</v>
      </c>
      <c r="B127" s="91" t="str">
        <f>_xlfn.XLOOKUP(C127,'Product List'!B:B,'Product List'!I:I)</f>
        <v>MMO-PAPER TWIST BLU/WHT</v>
      </c>
      <c r="C127" s="249" t="s">
        <v>68</v>
      </c>
      <c r="D127" s="253">
        <v>30493128</v>
      </c>
      <c r="E127" s="125">
        <v>252</v>
      </c>
      <c r="F127" s="124">
        <v>3.89</v>
      </c>
      <c r="G127" s="124">
        <f t="shared" si="2"/>
        <v>980.28</v>
      </c>
      <c r="H127" s="86" t="s">
        <v>298</v>
      </c>
      <c r="I127" s="86" t="s">
        <v>92</v>
      </c>
      <c r="J127" s="124" t="s">
        <v>318</v>
      </c>
      <c r="K127" s="193">
        <v>46115</v>
      </c>
      <c r="L127" s="251">
        <v>46120</v>
      </c>
      <c r="M127" s="127">
        <v>1.98</v>
      </c>
      <c r="N127" s="124">
        <f t="shared" si="3"/>
        <v>498.96</v>
      </c>
      <c r="O127" s="124" cm="1">
        <f t="array" ref="O127">E127/_xlfn.XLOOKUP(1,('Case Pack'!$A$4:$A$962=C127)*('Case Pack'!$L$4:$L$962&gt;0)*('Case Pack'!$L$4:$L$962&lt;=A127),'Case Pack'!$D$4:$D$962,"未找到箱规")</f>
        <v>8.4</v>
      </c>
      <c r="P127" s="124" t="str">
        <f>IF(COUNTIF('PO Check'!A:A,D127)&gt;0,"Yes","No")</f>
        <v>Yes</v>
      </c>
      <c r="Q127" s="124" t="str" cm="1">
        <f t="array" ref="Q127">_xlfn.XLOOKUP(1,('Case Pack'!$A$4:$A$962=C127)*('Case Pack'!$L$4:$L$962&gt;0)*('Case Pack'!$L$4:$L$962&lt;=A127),'Case Pack'!$G$4:$G$962,"未找到箱型")</f>
        <v>A</v>
      </c>
      <c r="R127" s="124">
        <f>ROUND(IFERROR(VLOOKUP(Q127,'Case Type'!A:H,8,0),0)*O127,2)</f>
        <v>0.93</v>
      </c>
    </row>
    <row r="128" customFormat="1" spans="1:18">
      <c r="A128" s="113">
        <v>46071</v>
      </c>
      <c r="B128" s="91" t="str">
        <f>_xlfn.XLOOKUP(C128,'Product List'!B:B,'Product List'!I:I)</f>
        <v>MMO-COTTON NESTING BALLS</v>
      </c>
      <c r="C128" s="249" t="s">
        <v>84</v>
      </c>
      <c r="D128" s="253">
        <v>30493128</v>
      </c>
      <c r="E128" s="125">
        <v>310</v>
      </c>
      <c r="F128" s="124">
        <v>3.37</v>
      </c>
      <c r="G128" s="124">
        <f t="shared" si="2"/>
        <v>1044.7</v>
      </c>
      <c r="H128" s="86" t="s">
        <v>298</v>
      </c>
      <c r="I128" s="86" t="s">
        <v>92</v>
      </c>
      <c r="J128" s="124" t="s">
        <v>318</v>
      </c>
      <c r="K128" s="193">
        <v>46115</v>
      </c>
      <c r="L128" s="251">
        <v>46120</v>
      </c>
      <c r="M128" s="127">
        <v>1.64</v>
      </c>
      <c r="N128" s="124">
        <f t="shared" si="3"/>
        <v>508.4</v>
      </c>
      <c r="O128" s="124" cm="1">
        <f t="array" ref="O128">E128/_xlfn.XLOOKUP(1,('Case Pack'!$A$4:$A$962=C128)*('Case Pack'!$L$4:$L$962&gt;0)*('Case Pack'!$L$4:$L$962&lt;=A128),'Case Pack'!$D$4:$D$962,"未找到箱规")</f>
        <v>9.6875</v>
      </c>
      <c r="P128" s="124" t="str">
        <f>IF(COUNTIF('PO Check'!A:A,D128)&gt;0,"Yes","No")</f>
        <v>Yes</v>
      </c>
      <c r="Q128" s="124" t="str" cm="1">
        <f t="array" ref="Q128">_xlfn.XLOOKUP(1,('Case Pack'!$A$4:$A$962=C128)*('Case Pack'!$L$4:$L$962&gt;0)*('Case Pack'!$L$4:$L$962&lt;=A128),'Case Pack'!$G$4:$G$962,"未找到箱型")</f>
        <v>A</v>
      </c>
      <c r="R128" s="124">
        <f>ROUND(IFERROR(VLOOKUP(Q128,'Case Type'!A:H,8,0),0)*O128,2)</f>
        <v>1.07</v>
      </c>
    </row>
    <row r="129" customFormat="1" spans="1:18">
      <c r="A129" s="113">
        <v>46071</v>
      </c>
      <c r="B129" s="91" t="str">
        <f>_xlfn.XLOOKUP(C129,'Product List'!B:B,'Product List'!I:I)</f>
        <v>MINI/MOE TV VIEWING CAGE</v>
      </c>
      <c r="C129" s="94" t="s">
        <v>50</v>
      </c>
      <c r="D129" s="253">
        <v>30493128</v>
      </c>
      <c r="E129" s="125">
        <v>220</v>
      </c>
      <c r="F129" s="124">
        <v>48.49</v>
      </c>
      <c r="G129" s="124">
        <f t="shared" si="2"/>
        <v>10667.8</v>
      </c>
      <c r="H129" s="86" t="s">
        <v>298</v>
      </c>
      <c r="I129" s="86" t="s">
        <v>92</v>
      </c>
      <c r="J129" s="124" t="s">
        <v>318</v>
      </c>
      <c r="K129" s="193">
        <v>46115</v>
      </c>
      <c r="L129" s="251">
        <v>46120</v>
      </c>
      <c r="M129" s="127">
        <v>24.09</v>
      </c>
      <c r="N129" s="124">
        <f t="shared" si="3"/>
        <v>5299.8</v>
      </c>
      <c r="O129" s="124" cm="1">
        <f t="array" ref="O129">E129/_xlfn.XLOOKUP(1,('Case Pack'!$A$4:$A$962=C129)*('Case Pack'!$L$4:$L$962&gt;0)*('Case Pack'!$L$4:$L$962&lt;=A129),'Case Pack'!$D$4:$D$962,"未找到箱规")</f>
        <v>220</v>
      </c>
      <c r="P129" s="124" t="str">
        <f>IF(COUNTIF('PO Check'!A:A,D129)&gt;0,"Yes","No")</f>
        <v>Yes</v>
      </c>
      <c r="Q129" s="124" t="str" cm="1">
        <f t="array" ref="Q129">_xlfn.XLOOKUP(1,('Case Pack'!$A$4:$A$962=C129)*('Case Pack'!$L$4:$L$962&gt;0)*('Case Pack'!$L$4:$L$962&lt;=A129),'Case Pack'!$G$4:$G$962,"未找到箱型")</f>
        <v>S1</v>
      </c>
      <c r="R129" s="124">
        <f>ROUND(IFERROR(VLOOKUP(Q129,'Case Type'!A:H,8,0),0)*O129,2)</f>
        <v>16.28</v>
      </c>
    </row>
    <row r="130" customFormat="1" spans="1:18">
      <c r="A130" s="113">
        <v>46071</v>
      </c>
      <c r="B130" s="91" t="str">
        <f>_xlfn.XLOOKUP(C130,'Product List'!B:B,'Product List'!I:I)</f>
        <v>MMO-BUBBLE WATER BOTTLE</v>
      </c>
      <c r="C130" s="94" t="s">
        <v>67</v>
      </c>
      <c r="D130" s="253">
        <v>30493128</v>
      </c>
      <c r="E130" s="125">
        <v>324</v>
      </c>
      <c r="F130" s="124">
        <v>4.35</v>
      </c>
      <c r="G130" s="124">
        <f t="shared" si="2"/>
        <v>1409.4</v>
      </c>
      <c r="H130" s="86" t="s">
        <v>298</v>
      </c>
      <c r="I130" s="86" t="s">
        <v>92</v>
      </c>
      <c r="J130" s="124" t="s">
        <v>318</v>
      </c>
      <c r="K130" s="193">
        <v>46115</v>
      </c>
      <c r="L130" s="251">
        <v>46120</v>
      </c>
      <c r="M130" s="127">
        <v>3.1</v>
      </c>
      <c r="N130" s="124">
        <f t="shared" si="3"/>
        <v>1004.4</v>
      </c>
      <c r="O130" s="124" cm="1">
        <f t="array" ref="O130">E130/_xlfn.XLOOKUP(1,('Case Pack'!$A$4:$A$962=C130)*('Case Pack'!$L$4:$L$962&gt;0)*('Case Pack'!$L$4:$L$962&lt;=A130),'Case Pack'!$D$4:$D$962,"未找到箱规")</f>
        <v>7.71428571428571</v>
      </c>
      <c r="P130" s="124" t="str">
        <f>IF(COUNTIF('PO Check'!A:A,D130)&gt;0,"Yes","No")</f>
        <v>Yes</v>
      </c>
      <c r="Q130" s="124" t="str" cm="1">
        <f t="array" ref="Q130">_xlfn.XLOOKUP(1,('Case Pack'!$A$4:$A$962=C130)*('Case Pack'!$L$4:$L$962&gt;0)*('Case Pack'!$L$4:$L$962&lt;=A130),'Case Pack'!$G$4:$G$962,"未找到箱型")</f>
        <v>C</v>
      </c>
      <c r="R130" s="124">
        <f>ROUND(IFERROR(VLOOKUP(Q130,'Case Type'!A:H,8,0),0)*O130,2)</f>
        <v>1.21</v>
      </c>
    </row>
    <row r="131" customFormat="1" spans="1:18">
      <c r="A131" s="113">
        <v>46071</v>
      </c>
      <c r="B131" s="91" t="str">
        <f>_xlfn.XLOOKUP(C131,'Product List'!B:B,'Product List'!I:I)</f>
        <v>MINI/MOE BENDABLE BIRCHWOOD FENCE</v>
      </c>
      <c r="C131" s="94" t="s">
        <v>62</v>
      </c>
      <c r="D131" s="253">
        <v>30493127</v>
      </c>
      <c r="E131" s="125">
        <v>168</v>
      </c>
      <c r="F131" s="124">
        <v>5.01</v>
      </c>
      <c r="G131" s="124">
        <f t="shared" si="2"/>
        <v>841.68</v>
      </c>
      <c r="H131" s="86" t="s">
        <v>298</v>
      </c>
      <c r="I131" s="86" t="s">
        <v>92</v>
      </c>
      <c r="J131" s="124" t="s">
        <v>319</v>
      </c>
      <c r="K131" s="193">
        <v>46115</v>
      </c>
      <c r="L131" s="251">
        <v>46120</v>
      </c>
      <c r="M131" s="127">
        <v>2.63</v>
      </c>
      <c r="N131" s="124">
        <f t="shared" si="3"/>
        <v>441.84</v>
      </c>
      <c r="O131" s="124" cm="1">
        <f t="array" ref="O131">E131/_xlfn.XLOOKUP(1,('Case Pack'!$A$4:$A$962=C131)*('Case Pack'!$L$4:$L$962&gt;0)*('Case Pack'!$L$4:$L$962&lt;=A131),'Case Pack'!$D$4:$D$962,"未找到箱规")</f>
        <v>5.25</v>
      </c>
      <c r="P131" s="124" t="str">
        <f>IF(COUNTIF('PO Check'!A:A,D131)&gt;0,"Yes","No")</f>
        <v>Yes</v>
      </c>
      <c r="Q131" s="124" t="str" cm="1">
        <f t="array" ref="Q131">_xlfn.XLOOKUP(1,('Case Pack'!$A$4:$A$962=C131)*('Case Pack'!$L$4:$L$962&gt;0)*('Case Pack'!$L$4:$L$962&lt;=A131),'Case Pack'!$G$4:$G$962,"未找到箱型")</f>
        <v>F</v>
      </c>
      <c r="R131" s="124">
        <f>ROUND(IFERROR(VLOOKUP(Q131,'Case Type'!A:H,8,0),0)*O131,2)</f>
        <v>0.19</v>
      </c>
    </row>
    <row r="132" customFormat="1" spans="1:18">
      <c r="A132" s="113">
        <v>46071</v>
      </c>
      <c r="B132" s="91" t="str">
        <f>_xlfn.XLOOKUP(C132,'Product List'!B:B,'Product List'!I:I)</f>
        <v>MINI/MOE SILENT CRSTL RUN WHEEL LG 8.5-White</v>
      </c>
      <c r="C132" s="94" t="s">
        <v>29</v>
      </c>
      <c r="D132" s="253">
        <v>30493127</v>
      </c>
      <c r="E132" s="125">
        <v>176</v>
      </c>
      <c r="F132" s="124">
        <v>13.22</v>
      </c>
      <c r="G132" s="124">
        <f t="shared" si="2"/>
        <v>2326.72</v>
      </c>
      <c r="H132" s="86" t="s">
        <v>298</v>
      </c>
      <c r="I132" s="86" t="s">
        <v>92</v>
      </c>
      <c r="J132" s="124" t="s">
        <v>319</v>
      </c>
      <c r="K132" s="193">
        <v>46115</v>
      </c>
      <c r="L132" s="251">
        <v>46120</v>
      </c>
      <c r="M132" s="127">
        <v>6.27</v>
      </c>
      <c r="N132" s="124">
        <f t="shared" si="3"/>
        <v>1103.52</v>
      </c>
      <c r="O132" s="124" cm="1">
        <f t="array" ref="O132">E132/_xlfn.XLOOKUP(1,('Case Pack'!$A$4:$A$962=C132)*('Case Pack'!$L$4:$L$962&gt;0)*('Case Pack'!$L$4:$L$962&lt;=A132),'Case Pack'!$D$4:$D$962,"未找到箱规")</f>
        <v>22</v>
      </c>
      <c r="P132" s="124" t="str">
        <f>IF(COUNTIF('PO Check'!A:A,D132)&gt;0,"Yes","No")</f>
        <v>Yes</v>
      </c>
      <c r="Q132" s="124" t="str" cm="1">
        <f t="array" ref="Q132">_xlfn.XLOOKUP(1,('Case Pack'!$A$4:$A$962=C132)*('Case Pack'!$L$4:$L$962&gt;0)*('Case Pack'!$L$4:$L$962&lt;=A132),'Case Pack'!$G$4:$G$962,"未找到箱型")</f>
        <v>C</v>
      </c>
      <c r="R132" s="124">
        <f>ROUND(IFERROR(VLOOKUP(Q132,'Case Type'!A:H,8,0),0)*O132,2)</f>
        <v>3.46</v>
      </c>
    </row>
    <row r="133" customFormat="1" spans="1:18">
      <c r="A133" s="113">
        <v>46071</v>
      </c>
      <c r="B133" s="91" t="str">
        <f>_xlfn.XLOOKUP(C133,'Product List'!B:B,'Product List'!I:I)</f>
        <v>MINI/MOE RUFFLE BOWL</v>
      </c>
      <c r="C133" s="94" t="s">
        <v>78</v>
      </c>
      <c r="D133" s="253">
        <v>30493127</v>
      </c>
      <c r="E133" s="125">
        <v>224</v>
      </c>
      <c r="F133" s="124">
        <v>2.35</v>
      </c>
      <c r="G133" s="124">
        <f t="shared" si="2"/>
        <v>526.4</v>
      </c>
      <c r="H133" s="86" t="s">
        <v>298</v>
      </c>
      <c r="I133" s="86" t="s">
        <v>92</v>
      </c>
      <c r="J133" s="124" t="s">
        <v>319</v>
      </c>
      <c r="K133" s="193">
        <v>46115</v>
      </c>
      <c r="L133" s="251">
        <v>46120</v>
      </c>
      <c r="M133" s="127">
        <v>1.34</v>
      </c>
      <c r="N133" s="124">
        <f t="shared" si="3"/>
        <v>300.16</v>
      </c>
      <c r="O133" s="124" cm="1">
        <f t="array" ref="O133">E133/_xlfn.XLOOKUP(1,('Case Pack'!$A$4:$A$962=C133)*('Case Pack'!$L$4:$L$962&gt;0)*('Case Pack'!$L$4:$L$962&lt;=A133),'Case Pack'!$D$4:$D$962,"未找到箱规")</f>
        <v>4.66666666666667</v>
      </c>
      <c r="P133" s="124" t="str">
        <f>IF(COUNTIF('PO Check'!A:A,D133)&gt;0,"Yes","No")</f>
        <v>Yes</v>
      </c>
      <c r="Q133" s="124" t="str" cm="1">
        <f t="array" ref="Q133">_xlfn.XLOOKUP(1,('Case Pack'!$A$4:$A$962=C133)*('Case Pack'!$L$4:$L$962&gt;0)*('Case Pack'!$L$4:$L$962&lt;=A133),'Case Pack'!$G$4:$G$962,"未找到箱型")</f>
        <v>B</v>
      </c>
      <c r="R133" s="124">
        <f>ROUND(IFERROR(VLOOKUP(Q133,'Case Type'!A:H,8,0),0)*O133,2)</f>
        <v>0.34</v>
      </c>
    </row>
    <row r="134" customFormat="1" spans="1:18">
      <c r="A134" s="113">
        <v>46071</v>
      </c>
      <c r="B134" s="91" t="str">
        <f>_xlfn.XLOOKUP(C134,'Product List'!B:B,'Product List'!I:I)</f>
        <v>MMO-CLOUD WATER BOTTLE</v>
      </c>
      <c r="C134" s="94" t="s">
        <v>77</v>
      </c>
      <c r="D134" s="253">
        <v>30493127</v>
      </c>
      <c r="E134" s="125">
        <v>240</v>
      </c>
      <c r="F134" s="124">
        <v>1.32</v>
      </c>
      <c r="G134" s="124">
        <f t="shared" si="2"/>
        <v>316.8</v>
      </c>
      <c r="H134" s="86" t="s">
        <v>298</v>
      </c>
      <c r="I134" s="86" t="s">
        <v>92</v>
      </c>
      <c r="J134" s="124" t="s">
        <v>319</v>
      </c>
      <c r="K134" s="193">
        <v>46115</v>
      </c>
      <c r="L134" s="251">
        <v>46120</v>
      </c>
      <c r="M134" s="127">
        <v>0.62</v>
      </c>
      <c r="N134" s="124">
        <f t="shared" si="3"/>
        <v>148.8</v>
      </c>
      <c r="O134" s="124" cm="1">
        <f t="array" ref="O134">E134/_xlfn.XLOOKUP(1,('Case Pack'!$A$4:$A$962=C134)*('Case Pack'!$L$4:$L$962&gt;0)*('Case Pack'!$L$4:$L$962&lt;=A134),'Case Pack'!$D$4:$D$962,"未找到箱规")</f>
        <v>4.8</v>
      </c>
      <c r="P134" s="124" t="str">
        <f>IF(COUNTIF('PO Check'!A:A,D134)&gt;0,"Yes","No")</f>
        <v>Yes</v>
      </c>
      <c r="Q134" s="124" t="str" cm="1">
        <f t="array" ref="Q134">_xlfn.XLOOKUP(1,('Case Pack'!$A$4:$A$962=C134)*('Case Pack'!$L$4:$L$962&gt;0)*('Case Pack'!$L$4:$L$962&lt;=A134),'Case Pack'!$G$4:$G$962,"未找到箱型")</f>
        <v>A</v>
      </c>
      <c r="R134" s="124">
        <f>ROUND(IFERROR(VLOOKUP(Q134,'Case Type'!A:H,8,0),0)*O134,2)</f>
        <v>0.53</v>
      </c>
    </row>
    <row r="135" customFormat="1" spans="1:18">
      <c r="A135" s="113">
        <v>46071</v>
      </c>
      <c r="B135" s="91" t="str">
        <f>_xlfn.XLOOKUP(C135,'Product List'!B:B,'Product List'!I:I)</f>
        <v>MMO-STARFISH CASTLE</v>
      </c>
      <c r="C135" s="94" t="s">
        <v>60</v>
      </c>
      <c r="D135" s="253">
        <v>30493127</v>
      </c>
      <c r="E135" s="125">
        <v>156</v>
      </c>
      <c r="F135" s="124">
        <v>5.32</v>
      </c>
      <c r="G135" s="124">
        <f t="shared" si="2"/>
        <v>829.92</v>
      </c>
      <c r="H135" s="86" t="s">
        <v>298</v>
      </c>
      <c r="I135" s="86" t="s">
        <v>92</v>
      </c>
      <c r="J135" s="124" t="s">
        <v>319</v>
      </c>
      <c r="K135" s="193">
        <v>46115</v>
      </c>
      <c r="L135" s="251">
        <v>46120</v>
      </c>
      <c r="M135" s="127">
        <v>2.81</v>
      </c>
      <c r="N135" s="124">
        <f t="shared" si="3"/>
        <v>438.36</v>
      </c>
      <c r="O135" s="124" cm="1">
        <f t="array" ref="O135">E135/_xlfn.XLOOKUP(1,('Case Pack'!$A$4:$A$962=C135)*('Case Pack'!$L$4:$L$962&gt;0)*('Case Pack'!$L$4:$L$962&lt;=A135),'Case Pack'!$D$4:$D$962,"未找到箱规")</f>
        <v>7.8</v>
      </c>
      <c r="P135" s="124" t="str">
        <f>IF(COUNTIF('PO Check'!A:A,D135)&gt;0,"Yes","No")</f>
        <v>Yes</v>
      </c>
      <c r="Q135" s="124" t="str" cm="1">
        <f t="array" ref="Q135">_xlfn.XLOOKUP(1,('Case Pack'!$A$4:$A$962=C135)*('Case Pack'!$L$4:$L$962&gt;0)*('Case Pack'!$L$4:$L$962&lt;=A135),'Case Pack'!$G$4:$G$962,"未找到箱型")</f>
        <v>C</v>
      </c>
      <c r="R135" s="124">
        <f>ROUND(IFERROR(VLOOKUP(Q135,'Case Type'!A:H,8,0),0)*O135,2)</f>
        <v>1.23</v>
      </c>
    </row>
    <row r="136" customFormat="1" spans="1:18">
      <c r="A136" s="113">
        <v>46071</v>
      </c>
      <c r="B136" s="91" t="str">
        <f>_xlfn.XLOOKUP(C136,'Product List'!B:B,'Product List'!I:I)</f>
        <v>MMO-WAVE BRIDGE</v>
      </c>
      <c r="C136" s="94" t="s">
        <v>61</v>
      </c>
      <c r="D136" s="253">
        <v>30493127</v>
      </c>
      <c r="E136" s="125">
        <v>192</v>
      </c>
      <c r="F136" s="124">
        <v>4.84</v>
      </c>
      <c r="G136" s="124">
        <f t="shared" si="2"/>
        <v>929.28</v>
      </c>
      <c r="H136" s="86" t="s">
        <v>298</v>
      </c>
      <c r="I136" s="86" t="s">
        <v>92</v>
      </c>
      <c r="J136" s="124" t="s">
        <v>319</v>
      </c>
      <c r="K136" s="193">
        <v>46115</v>
      </c>
      <c r="L136" s="251">
        <v>46120</v>
      </c>
      <c r="M136" s="127">
        <v>2.79</v>
      </c>
      <c r="N136" s="124">
        <f t="shared" si="3"/>
        <v>535.68</v>
      </c>
      <c r="O136" s="124" cm="1">
        <f t="array" ref="O136">E136/_xlfn.XLOOKUP(1,('Case Pack'!$A$4:$A$962=C136)*('Case Pack'!$L$4:$L$962&gt;0)*('Case Pack'!$L$4:$L$962&lt;=A136),'Case Pack'!$D$4:$D$962,"未找到箱规")</f>
        <v>5.81818181818182</v>
      </c>
      <c r="P136" s="124" t="str">
        <f>IF(COUNTIF('PO Check'!A:A,D136)&gt;0,"Yes","No")</f>
        <v>Yes</v>
      </c>
      <c r="Q136" s="124" t="str" cm="1">
        <f t="array" ref="Q136">_xlfn.XLOOKUP(1,('Case Pack'!$A$4:$A$962=C136)*('Case Pack'!$L$4:$L$962&gt;0)*('Case Pack'!$L$4:$L$962&lt;=A136),'Case Pack'!$G$4:$G$962,"未找到箱型")</f>
        <v>C</v>
      </c>
      <c r="R136" s="124">
        <f>ROUND(IFERROR(VLOOKUP(Q136,'Case Type'!A:H,8,0),0)*O136,2)</f>
        <v>0.92</v>
      </c>
    </row>
    <row r="137" customFormat="1" spans="1:18">
      <c r="A137" s="113">
        <v>46071</v>
      </c>
      <c r="B137" s="91" t="str">
        <f>_xlfn.XLOOKUP(C137,'Product List'!B:B,'Product List'!I:I)</f>
        <v>MMO-PAPER PEBBLES</v>
      </c>
      <c r="C137" s="249" t="s">
        <v>81</v>
      </c>
      <c r="D137" s="253">
        <v>30493127</v>
      </c>
      <c r="E137" s="125">
        <v>130</v>
      </c>
      <c r="F137" s="124">
        <v>5.81</v>
      </c>
      <c r="G137" s="124">
        <f t="shared" si="2"/>
        <v>755.3</v>
      </c>
      <c r="H137" s="86" t="s">
        <v>298</v>
      </c>
      <c r="I137" s="86" t="s">
        <v>92</v>
      </c>
      <c r="J137" s="124" t="s">
        <v>319</v>
      </c>
      <c r="K137" s="193">
        <v>46115</v>
      </c>
      <c r="L137" s="251">
        <v>46120</v>
      </c>
      <c r="M137" s="127">
        <v>2.84</v>
      </c>
      <c r="N137" s="124">
        <f t="shared" si="3"/>
        <v>369.2</v>
      </c>
      <c r="O137" s="124" cm="1">
        <f t="array" ref="O137">E137/_xlfn.XLOOKUP(1,('Case Pack'!$A$4:$A$962=C137)*('Case Pack'!$L$4:$L$962&gt;0)*('Case Pack'!$L$4:$L$962&lt;=A137),'Case Pack'!$D$4:$D$962,"未找到箱规")</f>
        <v>10.8333333333333</v>
      </c>
      <c r="P137" s="124" t="str">
        <f>IF(COUNTIF('PO Check'!A:A,D137)&gt;0,"Yes","No")</f>
        <v>Yes</v>
      </c>
      <c r="Q137" s="124" t="str" cm="1">
        <f t="array" ref="Q137">_xlfn.XLOOKUP(1,('Case Pack'!$A$4:$A$962=C137)*('Case Pack'!$L$4:$L$962&gt;0)*('Case Pack'!$L$4:$L$962&lt;=A137),'Case Pack'!$G$4:$G$962,"未找到箱型")</f>
        <v>B</v>
      </c>
      <c r="R137" s="124">
        <f>ROUND(IFERROR(VLOOKUP(Q137,'Case Type'!A:H,8,0),0)*O137,2)</f>
        <v>0.8</v>
      </c>
    </row>
    <row r="138" customFormat="1" spans="1:18">
      <c r="A138" s="113">
        <v>46071</v>
      </c>
      <c r="B138" s="91" t="str">
        <f>_xlfn.XLOOKUP(C138,'Product List'!B:B,'Product List'!I:I)</f>
        <v>MMO-PAPER TWIST BLU/WHT</v>
      </c>
      <c r="C138" s="249" t="s">
        <v>68</v>
      </c>
      <c r="D138" s="253">
        <v>30493127</v>
      </c>
      <c r="E138" s="125">
        <v>126</v>
      </c>
      <c r="F138" s="124">
        <v>3.89</v>
      </c>
      <c r="G138" s="124">
        <f t="shared" si="2"/>
        <v>490.14</v>
      </c>
      <c r="H138" s="86" t="s">
        <v>298</v>
      </c>
      <c r="I138" s="86" t="s">
        <v>92</v>
      </c>
      <c r="J138" s="124" t="s">
        <v>319</v>
      </c>
      <c r="K138" s="193">
        <v>46115</v>
      </c>
      <c r="L138" s="251">
        <v>46120</v>
      </c>
      <c r="M138" s="127">
        <v>1.98</v>
      </c>
      <c r="N138" s="124">
        <f t="shared" si="3"/>
        <v>249.48</v>
      </c>
      <c r="O138" s="124" cm="1">
        <f t="array" ref="O138">E138/_xlfn.XLOOKUP(1,('Case Pack'!$A$4:$A$962=C138)*('Case Pack'!$L$4:$L$962&gt;0)*('Case Pack'!$L$4:$L$962&lt;=A138),'Case Pack'!$D$4:$D$962,"未找到箱规")</f>
        <v>4.2</v>
      </c>
      <c r="P138" s="124" t="str">
        <f>IF(COUNTIF('PO Check'!A:A,D138)&gt;0,"Yes","No")</f>
        <v>Yes</v>
      </c>
      <c r="Q138" s="124" t="str" cm="1">
        <f t="array" ref="Q138">_xlfn.XLOOKUP(1,('Case Pack'!$A$4:$A$962=C138)*('Case Pack'!$L$4:$L$962&gt;0)*('Case Pack'!$L$4:$L$962&lt;=A138),'Case Pack'!$G$4:$G$962,"未找到箱型")</f>
        <v>A</v>
      </c>
      <c r="R138" s="124">
        <f>ROUND(IFERROR(VLOOKUP(Q138,'Case Type'!A:H,8,0),0)*O138,2)</f>
        <v>0.46</v>
      </c>
    </row>
    <row r="139" customFormat="1" spans="1:18">
      <c r="A139" s="113">
        <v>46071</v>
      </c>
      <c r="B139" s="91" t="str">
        <f>_xlfn.XLOOKUP(C139,'Product List'!B:B,'Product List'!I:I)</f>
        <v>MMO-COTTON NESTING BALLS</v>
      </c>
      <c r="C139" s="249" t="s">
        <v>84</v>
      </c>
      <c r="D139" s="253">
        <v>30493127</v>
      </c>
      <c r="E139" s="125">
        <v>186</v>
      </c>
      <c r="F139" s="124">
        <v>3.37</v>
      </c>
      <c r="G139" s="124">
        <f t="shared" si="2"/>
        <v>626.82</v>
      </c>
      <c r="H139" s="86" t="s">
        <v>298</v>
      </c>
      <c r="I139" s="86" t="s">
        <v>92</v>
      </c>
      <c r="J139" s="124" t="s">
        <v>319</v>
      </c>
      <c r="K139" s="193">
        <v>46115</v>
      </c>
      <c r="L139" s="251">
        <v>46120</v>
      </c>
      <c r="M139" s="127">
        <v>1.64</v>
      </c>
      <c r="N139" s="124">
        <f t="shared" si="3"/>
        <v>305.04</v>
      </c>
      <c r="O139" s="124" cm="1">
        <f t="array" ref="O139">E139/_xlfn.XLOOKUP(1,('Case Pack'!$A$4:$A$962=C139)*('Case Pack'!$L$4:$L$962&gt;0)*('Case Pack'!$L$4:$L$962&lt;=A139),'Case Pack'!$D$4:$D$962,"未找到箱规")</f>
        <v>5.8125</v>
      </c>
      <c r="P139" s="124" t="str">
        <f>IF(COUNTIF('PO Check'!A:A,D139)&gt;0,"Yes","No")</f>
        <v>Yes</v>
      </c>
      <c r="Q139" s="124" t="str" cm="1">
        <f t="array" ref="Q139">_xlfn.XLOOKUP(1,('Case Pack'!$A$4:$A$962=C139)*('Case Pack'!$L$4:$L$962&gt;0)*('Case Pack'!$L$4:$L$962&lt;=A139),'Case Pack'!$G$4:$G$962,"未找到箱型")</f>
        <v>A</v>
      </c>
      <c r="R139" s="124">
        <f>ROUND(IFERROR(VLOOKUP(Q139,'Case Type'!A:H,8,0),0)*O139,2)</f>
        <v>0.64</v>
      </c>
    </row>
    <row r="140" customFormat="1" spans="1:18">
      <c r="A140" s="113">
        <v>46071</v>
      </c>
      <c r="B140" s="91" t="str">
        <f>_xlfn.XLOOKUP(C140,'Product List'!B:B,'Product List'!I:I)</f>
        <v>MINI/MOE TV VIEWING CAGE</v>
      </c>
      <c r="C140" s="94" t="s">
        <v>50</v>
      </c>
      <c r="D140" s="253">
        <v>30493127</v>
      </c>
      <c r="E140" s="125">
        <v>133</v>
      </c>
      <c r="F140" s="124">
        <v>48.49</v>
      </c>
      <c r="G140" s="124">
        <f t="shared" si="2"/>
        <v>6449.17</v>
      </c>
      <c r="H140" s="86" t="s">
        <v>298</v>
      </c>
      <c r="I140" s="86" t="s">
        <v>92</v>
      </c>
      <c r="J140" s="124" t="s">
        <v>319</v>
      </c>
      <c r="K140" s="193">
        <v>46115</v>
      </c>
      <c r="L140" s="251">
        <v>46120</v>
      </c>
      <c r="M140" s="127">
        <v>24.09</v>
      </c>
      <c r="N140" s="124">
        <f t="shared" si="3"/>
        <v>3203.97</v>
      </c>
      <c r="O140" s="124" cm="1">
        <f t="array" ref="O140">E140/_xlfn.XLOOKUP(1,('Case Pack'!$A$4:$A$962=C140)*('Case Pack'!$L$4:$L$962&gt;0)*('Case Pack'!$L$4:$L$962&lt;=A140),'Case Pack'!$D$4:$D$962,"未找到箱规")</f>
        <v>133</v>
      </c>
      <c r="P140" s="124" t="str">
        <f>IF(COUNTIF('PO Check'!A:A,D140)&gt;0,"Yes","No")</f>
        <v>Yes</v>
      </c>
      <c r="Q140" s="124" t="str" cm="1">
        <f t="array" ref="Q140">_xlfn.XLOOKUP(1,('Case Pack'!$A$4:$A$962=C140)*('Case Pack'!$L$4:$L$962&gt;0)*('Case Pack'!$L$4:$L$962&lt;=A140),'Case Pack'!$G$4:$G$962,"未找到箱型")</f>
        <v>S1</v>
      </c>
      <c r="R140" s="124">
        <f>ROUND(IFERROR(VLOOKUP(Q140,'Case Type'!A:H,8,0),0)*O140,2)</f>
        <v>9.84</v>
      </c>
    </row>
    <row r="141" customFormat="1" spans="1:18">
      <c r="A141" s="113">
        <v>46071</v>
      </c>
      <c r="B141" s="91" t="str">
        <f>_xlfn.XLOOKUP(C141,'Product List'!B:B,'Product List'!I:I)</f>
        <v>MMO-BUBBLE WATER BOTTLE</v>
      </c>
      <c r="C141" s="94" t="s">
        <v>67</v>
      </c>
      <c r="D141" s="214">
        <v>30493127</v>
      </c>
      <c r="E141" s="125">
        <v>180</v>
      </c>
      <c r="F141" s="124">
        <v>4.35</v>
      </c>
      <c r="G141" s="124">
        <f t="shared" si="2"/>
        <v>783</v>
      </c>
      <c r="H141" s="86" t="s">
        <v>298</v>
      </c>
      <c r="I141" s="86" t="s">
        <v>92</v>
      </c>
      <c r="J141" s="124" t="s">
        <v>319</v>
      </c>
      <c r="K141" s="193">
        <v>46115</v>
      </c>
      <c r="L141" s="251">
        <v>46120</v>
      </c>
      <c r="M141" s="127">
        <v>3.1</v>
      </c>
      <c r="N141" s="124">
        <f t="shared" si="3"/>
        <v>558</v>
      </c>
      <c r="O141" s="124" cm="1">
        <f t="array" ref="O141">E141/_xlfn.XLOOKUP(1,('Case Pack'!$A$4:$A$962=C141)*('Case Pack'!$L$4:$L$962&gt;0)*('Case Pack'!$L$4:$L$962&lt;=A141),'Case Pack'!$D$4:$D$962,"未找到箱规")</f>
        <v>4.28571428571429</v>
      </c>
      <c r="P141" s="124" t="str">
        <f>IF(COUNTIF('PO Check'!A:A,D141)&gt;0,"Yes","No")</f>
        <v>Yes</v>
      </c>
      <c r="Q141" s="124" t="str" cm="1">
        <f t="array" ref="Q141">_xlfn.XLOOKUP(1,('Case Pack'!$A$4:$A$962=C141)*('Case Pack'!$L$4:$L$962&gt;0)*('Case Pack'!$L$4:$L$962&lt;=A141),'Case Pack'!$G$4:$G$962,"未找到箱型")</f>
        <v>C</v>
      </c>
      <c r="R141" s="124">
        <f>ROUND(IFERROR(VLOOKUP(Q141,'Case Type'!A:H,8,0),0)*O141,2)</f>
        <v>0.67</v>
      </c>
    </row>
    <row r="142" customFormat="1" spans="1:18">
      <c r="A142" s="113">
        <v>46071</v>
      </c>
      <c r="B142" s="91" t="str">
        <f>_xlfn.XLOOKUP(C142,'Product List'!B:B,'Product List'!I:I)</f>
        <v>MINI/MOE BENDABLE BIRCHWOOD FENCE</v>
      </c>
      <c r="C142" s="94" t="s">
        <v>62</v>
      </c>
      <c r="D142" s="253">
        <v>30493122</v>
      </c>
      <c r="E142" s="125">
        <v>240</v>
      </c>
      <c r="F142" s="124">
        <v>5.01</v>
      </c>
      <c r="G142" s="124">
        <f t="shared" si="2"/>
        <v>1202.4</v>
      </c>
      <c r="H142" s="86" t="s">
        <v>298</v>
      </c>
      <c r="I142" s="86" t="s">
        <v>92</v>
      </c>
      <c r="J142" s="124" t="s">
        <v>320</v>
      </c>
      <c r="K142" s="193">
        <v>46115</v>
      </c>
      <c r="L142" s="251">
        <v>46120</v>
      </c>
      <c r="M142" s="127">
        <v>2.63</v>
      </c>
      <c r="N142" s="124">
        <f t="shared" si="3"/>
        <v>631.2</v>
      </c>
      <c r="O142" s="124" cm="1">
        <f t="array" ref="O142">E142/_xlfn.XLOOKUP(1,('Case Pack'!$A$4:$A$962=C142)*('Case Pack'!$L$4:$L$962&gt;0)*('Case Pack'!$L$4:$L$962&lt;=A142),'Case Pack'!$D$4:$D$962,"未找到箱规")</f>
        <v>7.5</v>
      </c>
      <c r="P142" s="124" t="str">
        <f>IF(COUNTIF('PO Check'!A:A,D142)&gt;0,"Yes","No")</f>
        <v>Yes</v>
      </c>
      <c r="Q142" s="124" t="str" cm="1">
        <f t="array" ref="Q142">_xlfn.XLOOKUP(1,('Case Pack'!$A$4:$A$962=C142)*('Case Pack'!$L$4:$L$962&gt;0)*('Case Pack'!$L$4:$L$962&lt;=A142),'Case Pack'!$G$4:$G$962,"未找到箱型")</f>
        <v>F</v>
      </c>
      <c r="R142" s="124">
        <f>ROUND(IFERROR(VLOOKUP(Q142,'Case Type'!A:H,8,0),0)*O142,2)</f>
        <v>0.28</v>
      </c>
    </row>
    <row r="143" customFormat="1" spans="1:18">
      <c r="A143" s="113">
        <v>46071</v>
      </c>
      <c r="B143" s="91" t="str">
        <f>_xlfn.XLOOKUP(C143,'Product List'!B:B,'Product List'!I:I)</f>
        <v>MINI/MOE SILENT CRSTL RUN WHEEL LG 8.5-White</v>
      </c>
      <c r="C143" s="94" t="s">
        <v>29</v>
      </c>
      <c r="D143" s="253">
        <v>30493122</v>
      </c>
      <c r="E143" s="125">
        <v>240</v>
      </c>
      <c r="F143" s="124">
        <v>13.22</v>
      </c>
      <c r="G143" s="124">
        <f t="shared" si="2"/>
        <v>3172.8</v>
      </c>
      <c r="H143" s="86" t="s">
        <v>298</v>
      </c>
      <c r="I143" s="86" t="s">
        <v>92</v>
      </c>
      <c r="J143" s="124" t="s">
        <v>320</v>
      </c>
      <c r="K143" s="193">
        <v>46115</v>
      </c>
      <c r="L143" s="251">
        <v>46120</v>
      </c>
      <c r="M143" s="127">
        <v>6.27</v>
      </c>
      <c r="N143" s="124">
        <f t="shared" si="3"/>
        <v>1504.8</v>
      </c>
      <c r="O143" s="124" cm="1">
        <f t="array" ref="O143">E143/_xlfn.XLOOKUP(1,('Case Pack'!$A$4:$A$962=C143)*('Case Pack'!$L$4:$L$962&gt;0)*('Case Pack'!$L$4:$L$962&lt;=A143),'Case Pack'!$D$4:$D$962,"未找到箱规")</f>
        <v>30</v>
      </c>
      <c r="P143" s="124" t="str">
        <f>IF(COUNTIF('PO Check'!A:A,D143)&gt;0,"Yes","No")</f>
        <v>Yes</v>
      </c>
      <c r="Q143" s="124" t="str" cm="1">
        <f t="array" ref="Q143">_xlfn.XLOOKUP(1,('Case Pack'!$A$4:$A$962=C143)*('Case Pack'!$L$4:$L$962&gt;0)*('Case Pack'!$L$4:$L$962&lt;=A143),'Case Pack'!$G$4:$G$962,"未找到箱型")</f>
        <v>C</v>
      </c>
      <c r="R143" s="124">
        <f>ROUND(IFERROR(VLOOKUP(Q143,'Case Type'!A:H,8,0),0)*O143,2)</f>
        <v>4.72</v>
      </c>
    </row>
    <row r="144" customFormat="1" spans="1:18">
      <c r="A144" s="113">
        <v>46071</v>
      </c>
      <c r="B144" s="91" t="str">
        <f>_xlfn.XLOOKUP(C144,'Product List'!B:B,'Product List'!I:I)</f>
        <v>MINI/MOE RUFFLE BOWL</v>
      </c>
      <c r="C144" s="94" t="s">
        <v>78</v>
      </c>
      <c r="D144" s="253">
        <v>30493122</v>
      </c>
      <c r="E144" s="125">
        <v>320</v>
      </c>
      <c r="F144" s="124">
        <v>2.35</v>
      </c>
      <c r="G144" s="124">
        <f t="shared" si="2"/>
        <v>752</v>
      </c>
      <c r="H144" s="86" t="s">
        <v>298</v>
      </c>
      <c r="I144" s="86" t="s">
        <v>92</v>
      </c>
      <c r="J144" s="124" t="s">
        <v>320</v>
      </c>
      <c r="K144" s="193">
        <v>46115</v>
      </c>
      <c r="L144" s="251">
        <v>46120</v>
      </c>
      <c r="M144" s="127">
        <v>1.34</v>
      </c>
      <c r="N144" s="124">
        <f t="shared" si="3"/>
        <v>428.8</v>
      </c>
      <c r="O144" s="124" cm="1">
        <f t="array" ref="O144">E144/_xlfn.XLOOKUP(1,('Case Pack'!$A$4:$A$962=C144)*('Case Pack'!$L$4:$L$962&gt;0)*('Case Pack'!$L$4:$L$962&lt;=A144),'Case Pack'!$D$4:$D$962,"未找到箱规")</f>
        <v>6.66666666666667</v>
      </c>
      <c r="P144" s="124" t="str">
        <f>IF(COUNTIF('PO Check'!A:A,D144)&gt;0,"Yes","No")</f>
        <v>Yes</v>
      </c>
      <c r="Q144" s="124" t="str" cm="1">
        <f t="array" ref="Q144">_xlfn.XLOOKUP(1,('Case Pack'!$A$4:$A$962=C144)*('Case Pack'!$L$4:$L$962&gt;0)*('Case Pack'!$L$4:$L$962&lt;=A144),'Case Pack'!$G$4:$G$962,"未找到箱型")</f>
        <v>B</v>
      </c>
      <c r="R144" s="124">
        <f>ROUND(IFERROR(VLOOKUP(Q144,'Case Type'!A:H,8,0),0)*O144,2)</f>
        <v>0.49</v>
      </c>
    </row>
    <row r="145" customFormat="1" spans="1:18">
      <c r="A145" s="113">
        <v>46071</v>
      </c>
      <c r="B145" s="91" t="str">
        <f>_xlfn.XLOOKUP(C145,'Product List'!B:B,'Product List'!I:I)</f>
        <v>MMO-CLOUD WATER BOTTLE</v>
      </c>
      <c r="C145" s="94" t="s">
        <v>77</v>
      </c>
      <c r="D145" s="253">
        <v>30493122</v>
      </c>
      <c r="E145" s="125">
        <v>300</v>
      </c>
      <c r="F145" s="124">
        <v>1.32</v>
      </c>
      <c r="G145" s="124">
        <f t="shared" si="2"/>
        <v>396</v>
      </c>
      <c r="H145" s="86" t="s">
        <v>298</v>
      </c>
      <c r="I145" s="86" t="s">
        <v>92</v>
      </c>
      <c r="J145" s="124" t="s">
        <v>320</v>
      </c>
      <c r="K145" s="193">
        <v>46115</v>
      </c>
      <c r="L145" s="251">
        <v>46120</v>
      </c>
      <c r="M145" s="127">
        <v>0.62</v>
      </c>
      <c r="N145" s="124">
        <f t="shared" si="3"/>
        <v>186</v>
      </c>
      <c r="O145" s="124" cm="1">
        <f t="array" ref="O145">E145/_xlfn.XLOOKUP(1,('Case Pack'!$A$4:$A$962=C145)*('Case Pack'!$L$4:$L$962&gt;0)*('Case Pack'!$L$4:$L$962&lt;=A145),'Case Pack'!$D$4:$D$962,"未找到箱规")</f>
        <v>6</v>
      </c>
      <c r="P145" s="124" t="str">
        <f>IF(COUNTIF('PO Check'!A:A,D145)&gt;0,"Yes","No")</f>
        <v>Yes</v>
      </c>
      <c r="Q145" s="124" t="str" cm="1">
        <f t="array" ref="Q145">_xlfn.XLOOKUP(1,('Case Pack'!$A$4:$A$962=C145)*('Case Pack'!$L$4:$L$962&gt;0)*('Case Pack'!$L$4:$L$962&lt;=A145),'Case Pack'!$G$4:$G$962,"未找到箱型")</f>
        <v>A</v>
      </c>
      <c r="R145" s="124">
        <f>ROUND(IFERROR(VLOOKUP(Q145,'Case Type'!A:H,8,0),0)*O145,2)</f>
        <v>0.66</v>
      </c>
    </row>
    <row r="146" customFormat="1" spans="1:18">
      <c r="A146" s="113">
        <v>46071</v>
      </c>
      <c r="B146" s="91" t="str">
        <f>_xlfn.XLOOKUP(C146,'Product List'!B:B,'Product List'!I:I)</f>
        <v>MMO-STARFISH CASTLE</v>
      </c>
      <c r="C146" s="94" t="s">
        <v>60</v>
      </c>
      <c r="D146" s="253">
        <v>30493122</v>
      </c>
      <c r="E146" s="125">
        <v>192</v>
      </c>
      <c r="F146" s="124">
        <v>5.32</v>
      </c>
      <c r="G146" s="124">
        <f t="shared" si="2"/>
        <v>1021.44</v>
      </c>
      <c r="H146" s="86" t="s">
        <v>298</v>
      </c>
      <c r="I146" s="86" t="s">
        <v>92</v>
      </c>
      <c r="J146" s="124" t="s">
        <v>320</v>
      </c>
      <c r="K146" s="193">
        <v>46115</v>
      </c>
      <c r="L146" s="251">
        <v>46120</v>
      </c>
      <c r="M146" s="127">
        <v>2.81</v>
      </c>
      <c r="N146" s="124">
        <f t="shared" si="3"/>
        <v>539.52</v>
      </c>
      <c r="O146" s="124" cm="1">
        <f t="array" ref="O146">E146/_xlfn.XLOOKUP(1,('Case Pack'!$A$4:$A$962=C146)*('Case Pack'!$L$4:$L$962&gt;0)*('Case Pack'!$L$4:$L$962&lt;=A146),'Case Pack'!$D$4:$D$962,"未找到箱规")</f>
        <v>9.6</v>
      </c>
      <c r="P146" s="124" t="str">
        <f>IF(COUNTIF('PO Check'!A:A,D146)&gt;0,"Yes","No")</f>
        <v>Yes</v>
      </c>
      <c r="Q146" s="124" t="str" cm="1">
        <f t="array" ref="Q146">_xlfn.XLOOKUP(1,('Case Pack'!$A$4:$A$962=C146)*('Case Pack'!$L$4:$L$962&gt;0)*('Case Pack'!$L$4:$L$962&lt;=A146),'Case Pack'!$G$4:$G$962,"未找到箱型")</f>
        <v>C</v>
      </c>
      <c r="R146" s="124">
        <f>ROUND(IFERROR(VLOOKUP(Q146,'Case Type'!A:H,8,0),0)*O146,2)</f>
        <v>1.51</v>
      </c>
    </row>
    <row r="147" customFormat="1" spans="1:18">
      <c r="A147" s="113">
        <v>46071</v>
      </c>
      <c r="B147" s="91" t="str">
        <f>_xlfn.XLOOKUP(C147,'Product List'!B:B,'Product List'!I:I)</f>
        <v>MMO-WAVE BRIDGE</v>
      </c>
      <c r="C147" s="94" t="s">
        <v>61</v>
      </c>
      <c r="D147" s="253">
        <v>30493122</v>
      </c>
      <c r="E147" s="125">
        <v>288</v>
      </c>
      <c r="F147" s="124">
        <v>4.84</v>
      </c>
      <c r="G147" s="124">
        <f t="shared" si="2"/>
        <v>1393.92</v>
      </c>
      <c r="H147" s="86" t="s">
        <v>298</v>
      </c>
      <c r="I147" s="86" t="s">
        <v>92</v>
      </c>
      <c r="J147" s="124" t="s">
        <v>320</v>
      </c>
      <c r="K147" s="193">
        <v>46115</v>
      </c>
      <c r="L147" s="251">
        <v>46120</v>
      </c>
      <c r="M147" s="127">
        <v>2.79</v>
      </c>
      <c r="N147" s="124">
        <f t="shared" si="3"/>
        <v>803.52</v>
      </c>
      <c r="O147" s="124" cm="1">
        <f t="array" ref="O147">E147/_xlfn.XLOOKUP(1,('Case Pack'!$A$4:$A$962=C147)*('Case Pack'!$L$4:$L$962&gt;0)*('Case Pack'!$L$4:$L$962&lt;=A147),'Case Pack'!$D$4:$D$962,"未找到箱规")</f>
        <v>8.72727272727273</v>
      </c>
      <c r="P147" s="124" t="str">
        <f>IF(COUNTIF('PO Check'!A:A,D147)&gt;0,"Yes","No")</f>
        <v>Yes</v>
      </c>
      <c r="Q147" s="124" t="str" cm="1">
        <f t="array" ref="Q147">_xlfn.XLOOKUP(1,('Case Pack'!$A$4:$A$962=C147)*('Case Pack'!$L$4:$L$962&gt;0)*('Case Pack'!$L$4:$L$962&lt;=A147),'Case Pack'!$G$4:$G$962,"未找到箱型")</f>
        <v>C</v>
      </c>
      <c r="R147" s="124">
        <f>ROUND(IFERROR(VLOOKUP(Q147,'Case Type'!A:H,8,0),0)*O147,2)</f>
        <v>1.37</v>
      </c>
    </row>
    <row r="148" customFormat="1" spans="1:18">
      <c r="A148" s="113">
        <v>46071</v>
      </c>
      <c r="B148" s="91" t="str">
        <f>_xlfn.XLOOKUP(C148,'Product List'!B:B,'Product List'!I:I)</f>
        <v>MMO-PAPER PEBBLES</v>
      </c>
      <c r="C148" s="249" t="s">
        <v>81</v>
      </c>
      <c r="D148" s="253">
        <v>30493122</v>
      </c>
      <c r="E148" s="125">
        <v>180</v>
      </c>
      <c r="F148" s="124">
        <v>5.81</v>
      </c>
      <c r="G148" s="124">
        <f t="shared" si="2"/>
        <v>1045.8</v>
      </c>
      <c r="H148" s="86" t="s">
        <v>298</v>
      </c>
      <c r="I148" s="86" t="s">
        <v>92</v>
      </c>
      <c r="J148" s="124" t="s">
        <v>320</v>
      </c>
      <c r="K148" s="193">
        <v>46115</v>
      </c>
      <c r="L148" s="251">
        <v>46120</v>
      </c>
      <c r="M148" s="127">
        <v>2.84</v>
      </c>
      <c r="N148" s="124">
        <f t="shared" si="3"/>
        <v>511.2</v>
      </c>
      <c r="O148" s="124" cm="1">
        <f t="array" ref="O148">E148/_xlfn.XLOOKUP(1,('Case Pack'!$A$4:$A$962=C148)*('Case Pack'!$L$4:$L$962&gt;0)*('Case Pack'!$L$4:$L$962&lt;=A148),'Case Pack'!$D$4:$D$962,"未找到箱规")</f>
        <v>15</v>
      </c>
      <c r="P148" s="124" t="str">
        <f>IF(COUNTIF('PO Check'!A:A,D148)&gt;0,"Yes","No")</f>
        <v>Yes</v>
      </c>
      <c r="Q148" s="124" t="str" cm="1">
        <f t="array" ref="Q148">_xlfn.XLOOKUP(1,('Case Pack'!$A$4:$A$962=C148)*('Case Pack'!$L$4:$L$962&gt;0)*('Case Pack'!$L$4:$L$962&lt;=A148),'Case Pack'!$G$4:$G$962,"未找到箱型")</f>
        <v>B</v>
      </c>
      <c r="R148" s="124">
        <f>ROUND(IFERROR(VLOOKUP(Q148,'Case Type'!A:H,8,0),0)*O148,2)</f>
        <v>1.1</v>
      </c>
    </row>
    <row r="149" customFormat="1" spans="1:18">
      <c r="A149" s="113">
        <v>46071</v>
      </c>
      <c r="B149" s="91" t="str">
        <f>_xlfn.XLOOKUP(C149,'Product List'!B:B,'Product List'!I:I)</f>
        <v>MMO-PAPER TWIST BLU/WHT</v>
      </c>
      <c r="C149" s="249" t="s">
        <v>68</v>
      </c>
      <c r="D149" s="253">
        <v>30493122</v>
      </c>
      <c r="E149" s="125">
        <v>216</v>
      </c>
      <c r="F149" s="124">
        <v>3.89</v>
      </c>
      <c r="G149" s="124">
        <f t="shared" si="2"/>
        <v>840.24</v>
      </c>
      <c r="H149" s="86" t="s">
        <v>298</v>
      </c>
      <c r="I149" s="86" t="s">
        <v>92</v>
      </c>
      <c r="J149" s="124" t="s">
        <v>320</v>
      </c>
      <c r="K149" s="193">
        <v>46115</v>
      </c>
      <c r="L149" s="251">
        <v>46120</v>
      </c>
      <c r="M149" s="127">
        <v>1.98</v>
      </c>
      <c r="N149" s="124">
        <f t="shared" si="3"/>
        <v>427.68</v>
      </c>
      <c r="O149" s="124" cm="1">
        <f t="array" ref="O149">E149/_xlfn.XLOOKUP(1,('Case Pack'!$A$4:$A$962=C149)*('Case Pack'!$L$4:$L$962&gt;0)*('Case Pack'!$L$4:$L$962&lt;=A149),'Case Pack'!$D$4:$D$962,"未找到箱规")</f>
        <v>7.2</v>
      </c>
      <c r="P149" s="124" t="str">
        <f>IF(COUNTIF('PO Check'!A:A,D149)&gt;0,"Yes","No")</f>
        <v>Yes</v>
      </c>
      <c r="Q149" s="124" t="str" cm="1">
        <f t="array" ref="Q149">_xlfn.XLOOKUP(1,('Case Pack'!$A$4:$A$962=C149)*('Case Pack'!$L$4:$L$962&gt;0)*('Case Pack'!$L$4:$L$962&lt;=A149),'Case Pack'!$G$4:$G$962,"未找到箱型")</f>
        <v>A</v>
      </c>
      <c r="R149" s="124">
        <f>ROUND(IFERROR(VLOOKUP(Q149,'Case Type'!A:H,8,0),0)*O149,2)</f>
        <v>0.79</v>
      </c>
    </row>
    <row r="150" customFormat="1" spans="1:18">
      <c r="A150" s="113">
        <v>46071</v>
      </c>
      <c r="B150" s="91" t="str">
        <f>_xlfn.XLOOKUP(C150,'Product List'!B:B,'Product List'!I:I)</f>
        <v>MMO-COTTON NESTING BALLS</v>
      </c>
      <c r="C150" s="249" t="s">
        <v>84</v>
      </c>
      <c r="D150" s="253">
        <v>30493122</v>
      </c>
      <c r="E150" s="125">
        <v>248</v>
      </c>
      <c r="F150" s="124">
        <v>3.37</v>
      </c>
      <c r="G150" s="124">
        <f t="shared" si="2"/>
        <v>835.76</v>
      </c>
      <c r="H150" s="86" t="s">
        <v>298</v>
      </c>
      <c r="I150" s="86" t="s">
        <v>92</v>
      </c>
      <c r="J150" s="124" t="s">
        <v>320</v>
      </c>
      <c r="K150" s="193">
        <v>46115</v>
      </c>
      <c r="L150" s="251">
        <v>46120</v>
      </c>
      <c r="M150" s="127">
        <v>1.64</v>
      </c>
      <c r="N150" s="124">
        <f t="shared" si="3"/>
        <v>406.72</v>
      </c>
      <c r="O150" s="124" cm="1">
        <f t="array" ref="O150">E150/_xlfn.XLOOKUP(1,('Case Pack'!$A$4:$A$962=C150)*('Case Pack'!$L$4:$L$962&gt;0)*('Case Pack'!$L$4:$L$962&lt;=A150),'Case Pack'!$D$4:$D$962,"未找到箱规")</f>
        <v>7.75</v>
      </c>
      <c r="P150" s="124" t="str">
        <f>IF(COUNTIF('PO Check'!A:A,D150)&gt;0,"Yes","No")</f>
        <v>Yes</v>
      </c>
      <c r="Q150" s="124" t="str" cm="1">
        <f t="array" ref="Q150">_xlfn.XLOOKUP(1,('Case Pack'!$A$4:$A$962=C150)*('Case Pack'!$L$4:$L$962&gt;0)*('Case Pack'!$L$4:$L$962&lt;=A150),'Case Pack'!$G$4:$G$962,"未找到箱型")</f>
        <v>A</v>
      </c>
      <c r="R150" s="124">
        <f>ROUND(IFERROR(VLOOKUP(Q150,'Case Type'!A:H,8,0),0)*O150,2)</f>
        <v>0.85</v>
      </c>
    </row>
    <row r="151" customFormat="1" spans="1:18">
      <c r="A151" s="113">
        <v>46071</v>
      </c>
      <c r="B151" s="91" t="str">
        <f>_xlfn.XLOOKUP(C151,'Product List'!B:B,'Product List'!I:I)</f>
        <v>MINI/MOE TV VIEWING CAGE</v>
      </c>
      <c r="C151" s="94" t="s">
        <v>50</v>
      </c>
      <c r="D151" s="253">
        <v>30493122</v>
      </c>
      <c r="E151" s="125">
        <v>189</v>
      </c>
      <c r="F151" s="124">
        <v>48.49</v>
      </c>
      <c r="G151" s="124">
        <f t="shared" si="2"/>
        <v>9164.61</v>
      </c>
      <c r="H151" s="86" t="s">
        <v>298</v>
      </c>
      <c r="I151" s="86" t="s">
        <v>92</v>
      </c>
      <c r="J151" s="124" t="s">
        <v>320</v>
      </c>
      <c r="K151" s="193">
        <v>46115</v>
      </c>
      <c r="L151" s="251">
        <v>46120</v>
      </c>
      <c r="M151" s="127">
        <v>24.09</v>
      </c>
      <c r="N151" s="124">
        <f t="shared" si="3"/>
        <v>4553.01</v>
      </c>
      <c r="O151" s="124" cm="1">
        <f t="array" ref="O151">E151/_xlfn.XLOOKUP(1,('Case Pack'!$A$4:$A$962=C151)*('Case Pack'!$L$4:$L$962&gt;0)*('Case Pack'!$L$4:$L$962&lt;=A151),'Case Pack'!$D$4:$D$962,"未找到箱规")</f>
        <v>189</v>
      </c>
      <c r="P151" s="124" t="str">
        <f>IF(COUNTIF('PO Check'!A:A,D151)&gt;0,"Yes","No")</f>
        <v>Yes</v>
      </c>
      <c r="Q151" s="124" t="str" cm="1">
        <f t="array" ref="Q151">_xlfn.XLOOKUP(1,('Case Pack'!$A$4:$A$962=C151)*('Case Pack'!$L$4:$L$962&gt;0)*('Case Pack'!$L$4:$L$962&lt;=A151),'Case Pack'!$G$4:$G$962,"未找到箱型")</f>
        <v>S1</v>
      </c>
      <c r="R151" s="124">
        <f>ROUND(IFERROR(VLOOKUP(Q151,'Case Type'!A:H,8,0),0)*O151,2)</f>
        <v>13.99</v>
      </c>
    </row>
    <row r="152" customFormat="1" spans="1:18">
      <c r="A152" s="113">
        <v>46071</v>
      </c>
      <c r="B152" s="91" t="str">
        <f>_xlfn.XLOOKUP(C152,'Product List'!B:B,'Product List'!I:I)</f>
        <v>MMO-BUBBLE WATER BOTTLE</v>
      </c>
      <c r="C152" s="94" t="s">
        <v>67</v>
      </c>
      <c r="D152" s="214">
        <v>30493122</v>
      </c>
      <c r="E152" s="125">
        <v>252</v>
      </c>
      <c r="F152" s="124">
        <v>4.35</v>
      </c>
      <c r="G152" s="124">
        <f t="shared" si="2"/>
        <v>1096.2</v>
      </c>
      <c r="H152" s="86" t="s">
        <v>298</v>
      </c>
      <c r="I152" s="86" t="s">
        <v>92</v>
      </c>
      <c r="J152" s="124" t="s">
        <v>320</v>
      </c>
      <c r="K152" s="193">
        <v>46115</v>
      </c>
      <c r="L152" s="251">
        <v>46120</v>
      </c>
      <c r="M152" s="127">
        <v>3.1</v>
      </c>
      <c r="N152" s="124">
        <f t="shared" si="3"/>
        <v>781.2</v>
      </c>
      <c r="O152" s="124" cm="1">
        <f t="array" ref="O152">E152/_xlfn.XLOOKUP(1,('Case Pack'!$A$4:$A$962=C152)*('Case Pack'!$L$4:$L$962&gt;0)*('Case Pack'!$L$4:$L$962&lt;=A152),'Case Pack'!$D$4:$D$962,"未找到箱规")</f>
        <v>6</v>
      </c>
      <c r="P152" s="124" t="str">
        <f>IF(COUNTIF('PO Check'!A:A,D152)&gt;0,"Yes","No")</f>
        <v>Yes</v>
      </c>
      <c r="Q152" s="124" t="str" cm="1">
        <f t="array" ref="Q152">_xlfn.XLOOKUP(1,('Case Pack'!$A$4:$A$962=C152)*('Case Pack'!$L$4:$L$962&gt;0)*('Case Pack'!$L$4:$L$962&lt;=A152),'Case Pack'!$G$4:$G$962,"未找到箱型")</f>
        <v>C</v>
      </c>
      <c r="R152" s="124">
        <f>ROUND(IFERROR(VLOOKUP(Q152,'Case Type'!A:H,8,0),0)*O152,2)</f>
        <v>0.94</v>
      </c>
    </row>
    <row r="153" customFormat="1" spans="1:18">
      <c r="A153" s="113">
        <v>46071</v>
      </c>
      <c r="B153" s="91" t="str">
        <f>_xlfn.XLOOKUP(C153,'Product List'!B:B,'Product List'!I:I)</f>
        <v>MINI/MOE BENDABLE BIRCHWOOD FENCE</v>
      </c>
      <c r="C153" s="94" t="s">
        <v>62</v>
      </c>
      <c r="D153" s="253">
        <v>30493124</v>
      </c>
      <c r="E153" s="125">
        <v>144</v>
      </c>
      <c r="F153" s="124">
        <v>5.01</v>
      </c>
      <c r="G153" s="124">
        <f t="shared" si="2"/>
        <v>721.44</v>
      </c>
      <c r="H153" s="86" t="s">
        <v>298</v>
      </c>
      <c r="I153" s="86" t="s">
        <v>92</v>
      </c>
      <c r="J153" s="124" t="s">
        <v>321</v>
      </c>
      <c r="K153" s="193">
        <v>46115</v>
      </c>
      <c r="L153" s="251">
        <v>46120</v>
      </c>
      <c r="M153" s="127">
        <v>2.63</v>
      </c>
      <c r="N153" s="124">
        <f t="shared" si="3"/>
        <v>378.72</v>
      </c>
      <c r="O153" s="124" cm="1">
        <f t="array" ref="O153">E153/_xlfn.XLOOKUP(1,('Case Pack'!$A$4:$A$962=C153)*('Case Pack'!$L$4:$L$962&gt;0)*('Case Pack'!$L$4:$L$962&lt;=A153),'Case Pack'!$D$4:$D$962,"未找到箱规")</f>
        <v>4.5</v>
      </c>
      <c r="P153" s="124" t="str">
        <f>IF(COUNTIF('PO Check'!A:A,D153)&gt;0,"Yes","No")</f>
        <v>Yes</v>
      </c>
      <c r="Q153" s="124" t="str" cm="1">
        <f t="array" ref="Q153">_xlfn.XLOOKUP(1,('Case Pack'!$A$4:$A$962=C153)*('Case Pack'!$L$4:$L$962&gt;0)*('Case Pack'!$L$4:$L$962&lt;=A153),'Case Pack'!$G$4:$G$962,"未找到箱型")</f>
        <v>F</v>
      </c>
      <c r="R153" s="124">
        <f>ROUND(IFERROR(VLOOKUP(Q153,'Case Type'!A:H,8,0),0)*O153,2)</f>
        <v>0.17</v>
      </c>
    </row>
    <row r="154" customFormat="1" spans="1:18">
      <c r="A154" s="113">
        <v>46071</v>
      </c>
      <c r="B154" s="91" t="str">
        <f>_xlfn.XLOOKUP(C154,'Product List'!B:B,'Product List'!I:I)</f>
        <v>MINI/MOE SILENT CRSTL RUN WHEEL LG 8.5-White</v>
      </c>
      <c r="C154" s="94" t="s">
        <v>29</v>
      </c>
      <c r="D154" s="253">
        <v>30493124</v>
      </c>
      <c r="E154" s="125">
        <v>128</v>
      </c>
      <c r="F154" s="124">
        <v>13.22</v>
      </c>
      <c r="G154" s="124">
        <f t="shared" si="2"/>
        <v>1692.16</v>
      </c>
      <c r="H154" s="86" t="s">
        <v>298</v>
      </c>
      <c r="I154" s="86" t="s">
        <v>92</v>
      </c>
      <c r="J154" s="124" t="s">
        <v>321</v>
      </c>
      <c r="K154" s="193">
        <v>46115</v>
      </c>
      <c r="L154" s="251">
        <v>46120</v>
      </c>
      <c r="M154" s="127">
        <v>6.27</v>
      </c>
      <c r="N154" s="124">
        <f t="shared" si="3"/>
        <v>802.56</v>
      </c>
      <c r="O154" s="124" cm="1">
        <f t="array" ref="O154">E154/_xlfn.XLOOKUP(1,('Case Pack'!$A$4:$A$962=C154)*('Case Pack'!$L$4:$L$962&gt;0)*('Case Pack'!$L$4:$L$962&lt;=A154),'Case Pack'!$D$4:$D$962,"未找到箱规")</f>
        <v>16</v>
      </c>
      <c r="P154" s="124" t="str">
        <f>IF(COUNTIF('PO Check'!A:A,D154)&gt;0,"Yes","No")</f>
        <v>Yes</v>
      </c>
      <c r="Q154" s="124" t="str" cm="1">
        <f t="array" ref="Q154">_xlfn.XLOOKUP(1,('Case Pack'!$A$4:$A$962=C154)*('Case Pack'!$L$4:$L$962&gt;0)*('Case Pack'!$L$4:$L$962&lt;=A154),'Case Pack'!$G$4:$G$962,"未找到箱型")</f>
        <v>C</v>
      </c>
      <c r="R154" s="124">
        <f>ROUND(IFERROR(VLOOKUP(Q154,'Case Type'!A:H,8,0),0)*O154,2)</f>
        <v>2.52</v>
      </c>
    </row>
    <row r="155" customFormat="1" spans="1:18">
      <c r="A155" s="113">
        <v>46071</v>
      </c>
      <c r="B155" s="91" t="str">
        <f>_xlfn.XLOOKUP(C155,'Product List'!B:B,'Product List'!I:I)</f>
        <v>MINI/MOE RUFFLE BOWL</v>
      </c>
      <c r="C155" s="94" t="s">
        <v>78</v>
      </c>
      <c r="D155" s="253">
        <v>30493124</v>
      </c>
      <c r="E155" s="125">
        <v>160</v>
      </c>
      <c r="F155" s="124">
        <v>2.35</v>
      </c>
      <c r="G155" s="124">
        <f t="shared" si="2"/>
        <v>376</v>
      </c>
      <c r="H155" s="86" t="s">
        <v>298</v>
      </c>
      <c r="I155" s="86" t="s">
        <v>92</v>
      </c>
      <c r="J155" s="124" t="s">
        <v>321</v>
      </c>
      <c r="K155" s="193">
        <v>46115</v>
      </c>
      <c r="L155" s="251">
        <v>46120</v>
      </c>
      <c r="M155" s="127">
        <v>1.34</v>
      </c>
      <c r="N155" s="124">
        <f t="shared" si="3"/>
        <v>214.4</v>
      </c>
      <c r="O155" s="124" cm="1">
        <f t="array" ref="O155">E155/_xlfn.XLOOKUP(1,('Case Pack'!$A$4:$A$962=C155)*('Case Pack'!$L$4:$L$962&gt;0)*('Case Pack'!$L$4:$L$962&lt;=A155),'Case Pack'!$D$4:$D$962,"未找到箱规")</f>
        <v>3.33333333333333</v>
      </c>
      <c r="P155" s="124" t="str">
        <f>IF(COUNTIF('PO Check'!A:A,D155)&gt;0,"Yes","No")</f>
        <v>Yes</v>
      </c>
      <c r="Q155" s="124" t="str" cm="1">
        <f t="array" ref="Q155">_xlfn.XLOOKUP(1,('Case Pack'!$A$4:$A$962=C155)*('Case Pack'!$L$4:$L$962&gt;0)*('Case Pack'!$L$4:$L$962&lt;=A155),'Case Pack'!$G$4:$G$962,"未找到箱型")</f>
        <v>B</v>
      </c>
      <c r="R155" s="124">
        <f>ROUND(IFERROR(VLOOKUP(Q155,'Case Type'!A:H,8,0),0)*O155,2)</f>
        <v>0.24</v>
      </c>
    </row>
    <row r="156" customFormat="1" spans="1:18">
      <c r="A156" s="113">
        <v>46071</v>
      </c>
      <c r="B156" s="91" t="str">
        <f>_xlfn.XLOOKUP(C156,'Product List'!B:B,'Product List'!I:I)</f>
        <v>MMO-CLOUD WATER BOTTLE</v>
      </c>
      <c r="C156" s="94" t="s">
        <v>77</v>
      </c>
      <c r="D156" s="253">
        <v>30493124</v>
      </c>
      <c r="E156" s="125">
        <v>180</v>
      </c>
      <c r="F156" s="124">
        <v>1.32</v>
      </c>
      <c r="G156" s="124">
        <f t="shared" si="2"/>
        <v>237.6</v>
      </c>
      <c r="H156" s="86" t="s">
        <v>298</v>
      </c>
      <c r="I156" s="86" t="s">
        <v>92</v>
      </c>
      <c r="J156" s="124" t="s">
        <v>321</v>
      </c>
      <c r="K156" s="193">
        <v>46115</v>
      </c>
      <c r="L156" s="251">
        <v>46120</v>
      </c>
      <c r="M156" s="127">
        <v>0.62</v>
      </c>
      <c r="N156" s="124">
        <f t="shared" si="3"/>
        <v>111.6</v>
      </c>
      <c r="O156" s="124" cm="1">
        <f t="array" ref="O156">E156/_xlfn.XLOOKUP(1,('Case Pack'!$A$4:$A$962=C156)*('Case Pack'!$L$4:$L$962&gt;0)*('Case Pack'!$L$4:$L$962&lt;=A156),'Case Pack'!$D$4:$D$962,"未找到箱规")</f>
        <v>3.6</v>
      </c>
      <c r="P156" s="124" t="str">
        <f>IF(COUNTIF('PO Check'!A:A,D156)&gt;0,"Yes","No")</f>
        <v>Yes</v>
      </c>
      <c r="Q156" s="124" t="str" cm="1">
        <f t="array" ref="Q156">_xlfn.XLOOKUP(1,('Case Pack'!$A$4:$A$962=C156)*('Case Pack'!$L$4:$L$962&gt;0)*('Case Pack'!$L$4:$L$962&lt;=A156),'Case Pack'!$G$4:$G$962,"未找到箱型")</f>
        <v>A</v>
      </c>
      <c r="R156" s="124">
        <f>ROUND(IFERROR(VLOOKUP(Q156,'Case Type'!A:H,8,0),0)*O156,2)</f>
        <v>0.4</v>
      </c>
    </row>
    <row r="157" customFormat="1" spans="1:18">
      <c r="A157" s="113">
        <v>46071</v>
      </c>
      <c r="B157" s="91" t="str">
        <f>_xlfn.XLOOKUP(C157,'Product List'!B:B,'Product List'!I:I)</f>
        <v>MMO-STARFISH CASTLE</v>
      </c>
      <c r="C157" s="94" t="s">
        <v>60</v>
      </c>
      <c r="D157" s="253">
        <v>30493124</v>
      </c>
      <c r="E157" s="125">
        <v>96</v>
      </c>
      <c r="F157" s="124">
        <v>5.32</v>
      </c>
      <c r="G157" s="124">
        <f t="shared" si="2"/>
        <v>510.72</v>
      </c>
      <c r="H157" s="86" t="s">
        <v>298</v>
      </c>
      <c r="I157" s="86" t="s">
        <v>92</v>
      </c>
      <c r="J157" s="124" t="s">
        <v>321</v>
      </c>
      <c r="K157" s="193">
        <v>46115</v>
      </c>
      <c r="L157" s="251">
        <v>46120</v>
      </c>
      <c r="M157" s="127">
        <v>2.81</v>
      </c>
      <c r="N157" s="124">
        <f t="shared" si="3"/>
        <v>269.76</v>
      </c>
      <c r="O157" s="124" cm="1">
        <f t="array" ref="O157">E157/_xlfn.XLOOKUP(1,('Case Pack'!$A$4:$A$962=C157)*('Case Pack'!$L$4:$L$962&gt;0)*('Case Pack'!$L$4:$L$962&lt;=A157),'Case Pack'!$D$4:$D$962,"未找到箱规")</f>
        <v>4.8</v>
      </c>
      <c r="P157" s="124" t="str">
        <f>IF(COUNTIF('PO Check'!A:A,D157)&gt;0,"Yes","No")</f>
        <v>Yes</v>
      </c>
      <c r="Q157" s="124" t="str" cm="1">
        <f t="array" ref="Q157">_xlfn.XLOOKUP(1,('Case Pack'!$A$4:$A$962=C157)*('Case Pack'!$L$4:$L$962&gt;0)*('Case Pack'!$L$4:$L$962&lt;=A157),'Case Pack'!$G$4:$G$962,"未找到箱型")</f>
        <v>C</v>
      </c>
      <c r="R157" s="124">
        <f>ROUND(IFERROR(VLOOKUP(Q157,'Case Type'!A:H,8,0),0)*O157,2)</f>
        <v>0.76</v>
      </c>
    </row>
    <row r="158" customFormat="1" spans="1:18">
      <c r="A158" s="113">
        <v>46071</v>
      </c>
      <c r="B158" s="91" t="str">
        <f>_xlfn.XLOOKUP(C158,'Product List'!B:B,'Product List'!I:I)</f>
        <v>MMO-WAVE BRIDGE</v>
      </c>
      <c r="C158" s="94" t="s">
        <v>61</v>
      </c>
      <c r="D158" s="253">
        <v>30493124</v>
      </c>
      <c r="E158" s="125">
        <v>128</v>
      </c>
      <c r="F158" s="124">
        <v>4.84</v>
      </c>
      <c r="G158" s="124">
        <f t="shared" si="2"/>
        <v>619.52</v>
      </c>
      <c r="H158" s="86" t="s">
        <v>298</v>
      </c>
      <c r="I158" s="86" t="s">
        <v>92</v>
      </c>
      <c r="J158" s="124" t="s">
        <v>321</v>
      </c>
      <c r="K158" s="193">
        <v>46115</v>
      </c>
      <c r="L158" s="251">
        <v>46120</v>
      </c>
      <c r="M158" s="127">
        <v>2.79</v>
      </c>
      <c r="N158" s="124">
        <f t="shared" si="3"/>
        <v>357.12</v>
      </c>
      <c r="O158" s="124" cm="1">
        <f t="array" ref="O158">E158/_xlfn.XLOOKUP(1,('Case Pack'!$A$4:$A$962=C158)*('Case Pack'!$L$4:$L$962&gt;0)*('Case Pack'!$L$4:$L$962&lt;=A158),'Case Pack'!$D$4:$D$962,"未找到箱规")</f>
        <v>3.87878787878788</v>
      </c>
      <c r="P158" s="124" t="str">
        <f>IF(COUNTIF('PO Check'!A:A,D158)&gt;0,"Yes","No")</f>
        <v>Yes</v>
      </c>
      <c r="Q158" s="124" t="str" cm="1">
        <f t="array" ref="Q158">_xlfn.XLOOKUP(1,('Case Pack'!$A$4:$A$962=C158)*('Case Pack'!$L$4:$L$962&gt;0)*('Case Pack'!$L$4:$L$962&lt;=A158),'Case Pack'!$G$4:$G$962,"未找到箱型")</f>
        <v>C</v>
      </c>
      <c r="R158" s="124">
        <f>ROUND(IFERROR(VLOOKUP(Q158,'Case Type'!A:H,8,0),0)*O158,2)</f>
        <v>0.61</v>
      </c>
    </row>
    <row r="159" customFormat="1" spans="1:18">
      <c r="A159" s="113">
        <v>46071</v>
      </c>
      <c r="B159" s="91" t="str">
        <f>_xlfn.XLOOKUP(C159,'Product List'!B:B,'Product List'!I:I)</f>
        <v>MMO-PAPER PEBBLES</v>
      </c>
      <c r="C159" s="249" t="s">
        <v>81</v>
      </c>
      <c r="D159" s="253">
        <v>30493124</v>
      </c>
      <c r="E159" s="125">
        <v>100</v>
      </c>
      <c r="F159" s="124">
        <v>5.81</v>
      </c>
      <c r="G159" s="124">
        <f t="shared" si="2"/>
        <v>581</v>
      </c>
      <c r="H159" s="86" t="s">
        <v>298</v>
      </c>
      <c r="I159" s="86" t="s">
        <v>92</v>
      </c>
      <c r="J159" s="124" t="s">
        <v>321</v>
      </c>
      <c r="K159" s="193">
        <v>46115</v>
      </c>
      <c r="L159" s="251">
        <v>46120</v>
      </c>
      <c r="M159" s="127">
        <v>2.84</v>
      </c>
      <c r="N159" s="124">
        <f t="shared" si="3"/>
        <v>284</v>
      </c>
      <c r="O159" s="124" cm="1">
        <f t="array" ref="O159">E159/_xlfn.XLOOKUP(1,('Case Pack'!$A$4:$A$962=C159)*('Case Pack'!$L$4:$L$962&gt;0)*('Case Pack'!$L$4:$L$962&lt;=A159),'Case Pack'!$D$4:$D$962,"未找到箱规")</f>
        <v>8.33333333333333</v>
      </c>
      <c r="P159" s="124" t="str">
        <f>IF(COUNTIF('PO Check'!A:A,D159)&gt;0,"Yes","No")</f>
        <v>Yes</v>
      </c>
      <c r="Q159" s="124" t="str" cm="1">
        <f t="array" ref="Q159">_xlfn.XLOOKUP(1,('Case Pack'!$A$4:$A$962=C159)*('Case Pack'!$L$4:$L$962&gt;0)*('Case Pack'!$L$4:$L$962&lt;=A159),'Case Pack'!$G$4:$G$962,"未找到箱型")</f>
        <v>B</v>
      </c>
      <c r="R159" s="124">
        <f>ROUND(IFERROR(VLOOKUP(Q159,'Case Type'!A:H,8,0),0)*O159,2)</f>
        <v>0.61</v>
      </c>
    </row>
    <row r="160" customFormat="1" spans="1:18">
      <c r="A160" s="113">
        <v>46071</v>
      </c>
      <c r="B160" s="91" t="str">
        <f>_xlfn.XLOOKUP(C160,'Product List'!B:B,'Product List'!I:I)</f>
        <v>MMO-PAPER TWIST BLU/WHT</v>
      </c>
      <c r="C160" s="249" t="s">
        <v>68</v>
      </c>
      <c r="D160" s="253">
        <v>30493124</v>
      </c>
      <c r="E160" s="125">
        <v>126</v>
      </c>
      <c r="F160" s="124">
        <v>3.89</v>
      </c>
      <c r="G160" s="124">
        <f t="shared" si="2"/>
        <v>490.14</v>
      </c>
      <c r="H160" s="86" t="s">
        <v>298</v>
      </c>
      <c r="I160" s="86" t="s">
        <v>92</v>
      </c>
      <c r="J160" s="124" t="s">
        <v>321</v>
      </c>
      <c r="K160" s="193">
        <v>46115</v>
      </c>
      <c r="L160" s="251">
        <v>46120</v>
      </c>
      <c r="M160" s="127">
        <v>1.98</v>
      </c>
      <c r="N160" s="124">
        <f t="shared" si="3"/>
        <v>249.48</v>
      </c>
      <c r="O160" s="124" cm="1">
        <f t="array" ref="O160">E160/_xlfn.XLOOKUP(1,('Case Pack'!$A$4:$A$962=C160)*('Case Pack'!$L$4:$L$962&gt;0)*('Case Pack'!$L$4:$L$962&lt;=A160),'Case Pack'!$D$4:$D$962,"未找到箱规")</f>
        <v>4.2</v>
      </c>
      <c r="P160" s="124" t="str">
        <f>IF(COUNTIF('PO Check'!A:A,D160)&gt;0,"Yes","No")</f>
        <v>Yes</v>
      </c>
      <c r="Q160" s="124" t="str" cm="1">
        <f t="array" ref="Q160">_xlfn.XLOOKUP(1,('Case Pack'!$A$4:$A$962=C160)*('Case Pack'!$L$4:$L$962&gt;0)*('Case Pack'!$L$4:$L$962&lt;=A160),'Case Pack'!$G$4:$G$962,"未找到箱型")</f>
        <v>A</v>
      </c>
      <c r="R160" s="124">
        <f>ROUND(IFERROR(VLOOKUP(Q160,'Case Type'!A:H,8,0),0)*O160,2)</f>
        <v>0.46</v>
      </c>
    </row>
    <row r="161" customFormat="1" spans="1:18">
      <c r="A161" s="113">
        <v>46071</v>
      </c>
      <c r="B161" s="91" t="str">
        <f>_xlfn.XLOOKUP(C161,'Product List'!B:B,'Product List'!I:I)</f>
        <v>MMO-COTTON NESTING BALLS</v>
      </c>
      <c r="C161" s="249" t="s">
        <v>84</v>
      </c>
      <c r="D161" s="253">
        <v>30493124</v>
      </c>
      <c r="E161" s="125">
        <v>124</v>
      </c>
      <c r="F161" s="124">
        <v>3.37</v>
      </c>
      <c r="G161" s="124">
        <f t="shared" si="2"/>
        <v>417.88</v>
      </c>
      <c r="H161" s="86" t="s">
        <v>298</v>
      </c>
      <c r="I161" s="86" t="s">
        <v>92</v>
      </c>
      <c r="J161" s="124" t="s">
        <v>321</v>
      </c>
      <c r="K161" s="193">
        <v>46115</v>
      </c>
      <c r="L161" s="251">
        <v>46120</v>
      </c>
      <c r="M161" s="127">
        <v>1.64</v>
      </c>
      <c r="N161" s="124">
        <f t="shared" si="3"/>
        <v>203.36</v>
      </c>
      <c r="O161" s="124" cm="1">
        <f t="array" ref="O161">E161/_xlfn.XLOOKUP(1,('Case Pack'!$A$4:$A$962=C161)*('Case Pack'!$L$4:$L$962&gt;0)*('Case Pack'!$L$4:$L$962&lt;=A161),'Case Pack'!$D$4:$D$962,"未找到箱规")</f>
        <v>3.875</v>
      </c>
      <c r="P161" s="124" t="str">
        <f>IF(COUNTIF('PO Check'!A:A,D161)&gt;0,"Yes","No")</f>
        <v>Yes</v>
      </c>
      <c r="Q161" s="124" t="str" cm="1">
        <f t="array" ref="Q161">_xlfn.XLOOKUP(1,('Case Pack'!$A$4:$A$962=C161)*('Case Pack'!$L$4:$L$962&gt;0)*('Case Pack'!$L$4:$L$962&lt;=A161),'Case Pack'!$G$4:$G$962,"未找到箱型")</f>
        <v>A</v>
      </c>
      <c r="R161" s="124">
        <f>ROUND(IFERROR(VLOOKUP(Q161,'Case Type'!A:H,8,0),0)*O161,2)</f>
        <v>0.43</v>
      </c>
    </row>
    <row r="162" customFormat="1" spans="1:18">
      <c r="A162" s="113">
        <v>46071</v>
      </c>
      <c r="B162" s="91" t="str">
        <f>_xlfn.XLOOKUP(C162,'Product List'!B:B,'Product List'!I:I)</f>
        <v>MINI/MOE TV VIEWING CAGE</v>
      </c>
      <c r="C162" s="94" t="s">
        <v>50</v>
      </c>
      <c r="D162" s="253">
        <v>30493124</v>
      </c>
      <c r="E162" s="125">
        <v>86</v>
      </c>
      <c r="F162" s="124">
        <v>48.49</v>
      </c>
      <c r="G162" s="124">
        <f t="shared" ref="G162:G225" si="4">E162*F162</f>
        <v>4170.14</v>
      </c>
      <c r="H162" s="86" t="s">
        <v>298</v>
      </c>
      <c r="I162" s="86" t="s">
        <v>92</v>
      </c>
      <c r="J162" s="124" t="s">
        <v>321</v>
      </c>
      <c r="K162" s="193">
        <v>46115</v>
      </c>
      <c r="L162" s="251">
        <v>46120</v>
      </c>
      <c r="M162" s="127">
        <v>24.09</v>
      </c>
      <c r="N162" s="124">
        <f t="shared" ref="N162:N225" si="5">M162*E162</f>
        <v>2071.74</v>
      </c>
      <c r="O162" s="124" cm="1">
        <f t="array" ref="O162">E162/_xlfn.XLOOKUP(1,('Case Pack'!$A$4:$A$962=C162)*('Case Pack'!$L$4:$L$962&gt;0)*('Case Pack'!$L$4:$L$962&lt;=A162),'Case Pack'!$D$4:$D$962,"未找到箱规")</f>
        <v>86</v>
      </c>
      <c r="P162" s="124" t="str">
        <f>IF(COUNTIF('PO Check'!A:A,D162)&gt;0,"Yes","No")</f>
        <v>Yes</v>
      </c>
      <c r="Q162" s="124" t="str" cm="1">
        <f t="array" ref="Q162">_xlfn.XLOOKUP(1,('Case Pack'!$A$4:$A$962=C162)*('Case Pack'!$L$4:$L$962&gt;0)*('Case Pack'!$L$4:$L$962&lt;=A162),'Case Pack'!$G$4:$G$962,"未找到箱型")</f>
        <v>S1</v>
      </c>
      <c r="R162" s="124">
        <f>ROUND(IFERROR(VLOOKUP(Q162,'Case Type'!A:H,8,0),0)*O162,2)</f>
        <v>6.36</v>
      </c>
    </row>
    <row r="163" customFormat="1" spans="1:18">
      <c r="A163" s="113">
        <v>46071</v>
      </c>
      <c r="B163" s="91" t="str">
        <f>_xlfn.XLOOKUP(C163,'Product List'!B:B,'Product List'!I:I)</f>
        <v>MMO-BUBBLE WATER BOTTLE</v>
      </c>
      <c r="C163" s="94" t="s">
        <v>67</v>
      </c>
      <c r="D163" s="214">
        <v>30493124</v>
      </c>
      <c r="E163" s="125">
        <v>144</v>
      </c>
      <c r="F163" s="124">
        <v>4.35</v>
      </c>
      <c r="G163" s="124">
        <f t="shared" si="4"/>
        <v>626.4</v>
      </c>
      <c r="H163" s="86" t="s">
        <v>298</v>
      </c>
      <c r="I163" s="86" t="s">
        <v>92</v>
      </c>
      <c r="J163" s="124" t="s">
        <v>321</v>
      </c>
      <c r="K163" s="193">
        <v>46115</v>
      </c>
      <c r="L163" s="251">
        <v>46120</v>
      </c>
      <c r="M163" s="127">
        <v>3.1</v>
      </c>
      <c r="N163" s="124">
        <f t="shared" si="5"/>
        <v>446.4</v>
      </c>
      <c r="O163" s="124" cm="1">
        <f t="array" ref="O163">E163/_xlfn.XLOOKUP(1,('Case Pack'!$A$4:$A$962=C163)*('Case Pack'!$L$4:$L$962&gt;0)*('Case Pack'!$L$4:$L$962&lt;=A163),'Case Pack'!$D$4:$D$962,"未找到箱规")</f>
        <v>3.42857142857143</v>
      </c>
      <c r="P163" s="124" t="str">
        <f>IF(COUNTIF('PO Check'!A:A,D163)&gt;0,"Yes","No")</f>
        <v>Yes</v>
      </c>
      <c r="Q163" s="124" t="str" cm="1">
        <f t="array" ref="Q163">_xlfn.XLOOKUP(1,('Case Pack'!$A$4:$A$962=C163)*('Case Pack'!$L$4:$L$962&gt;0)*('Case Pack'!$L$4:$L$962&lt;=A163),'Case Pack'!$G$4:$G$962,"未找到箱型")</f>
        <v>C</v>
      </c>
      <c r="R163" s="124">
        <f>ROUND(IFERROR(VLOOKUP(Q163,'Case Type'!A:H,8,0),0)*O163,2)</f>
        <v>0.54</v>
      </c>
    </row>
    <row r="164" customFormat="1" spans="1:18">
      <c r="A164" s="113">
        <v>46065</v>
      </c>
      <c r="B164" s="91" t="str">
        <f>_xlfn.XLOOKUP(C164,'Product List'!B:B,'Product List'!I:I)</f>
        <v>MMO-SHELL PEARL HAMSTER CHEW</v>
      </c>
      <c r="C164" s="94" t="s">
        <v>35</v>
      </c>
      <c r="D164" s="125">
        <v>30440517</v>
      </c>
      <c r="E164" s="125">
        <v>256</v>
      </c>
      <c r="F164" s="125">
        <v>1.61</v>
      </c>
      <c r="G164" s="125">
        <f t="shared" si="4"/>
        <v>412.16</v>
      </c>
      <c r="H164" s="86" t="s">
        <v>298</v>
      </c>
      <c r="I164" s="86" t="s">
        <v>92</v>
      </c>
      <c r="J164" s="124" t="s">
        <v>322</v>
      </c>
      <c r="K164" s="193">
        <v>46122</v>
      </c>
      <c r="L164" s="251">
        <v>46127</v>
      </c>
      <c r="M164" s="127">
        <v>0.92</v>
      </c>
      <c r="N164" s="124">
        <f t="shared" si="5"/>
        <v>235.52</v>
      </c>
      <c r="O164" s="124" cm="1">
        <f t="array" ref="O164">E164/_xlfn.XLOOKUP(1,('Case Pack'!$A$4:$A$962=C164)*('Case Pack'!$L$4:$L$962&gt;0)*('Case Pack'!$L$4:$L$962&lt;=A164),'Case Pack'!$D$4:$D$962,"未找到箱规")</f>
        <v>4</v>
      </c>
      <c r="P164" s="124" t="str">
        <f>IF(COUNTIF('PO Check'!A:A,D164)&gt;0,"Yes","No")</f>
        <v>Yes</v>
      </c>
      <c r="Q164" s="124" t="str" cm="1">
        <f t="array" ref="Q164">_xlfn.XLOOKUP(1,('Case Pack'!$A$4:$A$962=C164)*('Case Pack'!$L$4:$L$962&gt;0)*('Case Pack'!$L$4:$L$962&lt;=A164),'Case Pack'!$G$4:$G$962,"未找到箱型")</f>
        <v>B</v>
      </c>
      <c r="R164" s="124">
        <f>ROUND(IFERROR(VLOOKUP(Q164,'Case Type'!A:H,8,0),0)*O164,2)</f>
        <v>0.29</v>
      </c>
    </row>
    <row r="165" customFormat="1" spans="1:18">
      <c r="A165" s="113">
        <v>46065</v>
      </c>
      <c r="B165" s="91" t="str">
        <f>_xlfn.XLOOKUP(C165,'Product List'!B:B,'Product List'!I:I)</f>
        <v>MMO-GREEN APPLE CHEW</v>
      </c>
      <c r="C165" s="94" t="s">
        <v>33</v>
      </c>
      <c r="D165" s="125">
        <v>30440517</v>
      </c>
      <c r="E165" s="125">
        <v>288</v>
      </c>
      <c r="F165" s="125">
        <v>1.53</v>
      </c>
      <c r="G165" s="125">
        <f t="shared" si="4"/>
        <v>440.64</v>
      </c>
      <c r="H165" s="86" t="s">
        <v>298</v>
      </c>
      <c r="I165" s="86" t="s">
        <v>92</v>
      </c>
      <c r="J165" s="124" t="s">
        <v>322</v>
      </c>
      <c r="K165" s="193">
        <v>46122</v>
      </c>
      <c r="L165" s="251">
        <v>46127</v>
      </c>
      <c r="M165" s="127">
        <v>0.87</v>
      </c>
      <c r="N165" s="124">
        <f t="shared" si="5"/>
        <v>250.56</v>
      </c>
      <c r="O165" s="124" cm="1">
        <f t="array" ref="O165">E165/_xlfn.XLOOKUP(1,('Case Pack'!$A$4:$A$962=C165)*('Case Pack'!$L$4:$L$962&gt;0)*('Case Pack'!$L$4:$L$962&lt;=A165),'Case Pack'!$D$4:$D$962,"未找到箱规")</f>
        <v>6</v>
      </c>
      <c r="P165" s="124" t="str">
        <f>IF(COUNTIF('PO Check'!A:A,D165)&gt;0,"Yes","No")</f>
        <v>Yes</v>
      </c>
      <c r="Q165" s="124" t="str" cm="1">
        <f t="array" ref="Q165">_xlfn.XLOOKUP(1,('Case Pack'!$A$4:$A$962=C165)*('Case Pack'!$L$4:$L$962&gt;0)*('Case Pack'!$L$4:$L$962&lt;=A165),'Case Pack'!$G$4:$G$962,"未找到箱型")</f>
        <v>B</v>
      </c>
      <c r="R165" s="124">
        <f>ROUND(IFERROR(VLOOKUP(Q165,'Case Type'!A:H,8,0),0)*O165,2)</f>
        <v>0.44</v>
      </c>
    </row>
    <row r="166" customFormat="1" spans="1:18">
      <c r="A166" s="113">
        <v>46065</v>
      </c>
      <c r="B166" s="91" t="str">
        <f>_xlfn.XLOOKUP(C166,'Product List'!B:B,'Product List'!I:I)</f>
        <v>MMO-CAMP LUNCH BOX CHEW</v>
      </c>
      <c r="C166" s="94" t="s">
        <v>34</v>
      </c>
      <c r="D166" s="125">
        <v>30440517</v>
      </c>
      <c r="E166" s="125">
        <v>288</v>
      </c>
      <c r="F166" s="125">
        <v>2.48</v>
      </c>
      <c r="G166" s="125">
        <f t="shared" si="4"/>
        <v>714.24</v>
      </c>
      <c r="H166" s="86" t="s">
        <v>298</v>
      </c>
      <c r="I166" s="86" t="s">
        <v>92</v>
      </c>
      <c r="J166" s="124" t="s">
        <v>322</v>
      </c>
      <c r="K166" s="193">
        <v>46122</v>
      </c>
      <c r="L166" s="251">
        <v>46127</v>
      </c>
      <c r="M166" s="127">
        <v>1.52</v>
      </c>
      <c r="N166" s="124">
        <f t="shared" si="5"/>
        <v>437.76</v>
      </c>
      <c r="O166" s="124" cm="1">
        <f t="array" ref="O166">E166/_xlfn.XLOOKUP(1,('Case Pack'!$A$4:$A$962=C166)*('Case Pack'!$L$4:$L$962&gt;0)*('Case Pack'!$L$4:$L$962&lt;=A166),'Case Pack'!$D$4:$D$962,"未找到箱规")</f>
        <v>4</v>
      </c>
      <c r="P166" s="124" t="str">
        <f>IF(COUNTIF('PO Check'!A:A,D166)&gt;0,"Yes","No")</f>
        <v>Yes</v>
      </c>
      <c r="Q166" s="124" t="str" cm="1">
        <f t="array" ref="Q166">_xlfn.XLOOKUP(1,('Case Pack'!$A$4:$A$962=C166)*('Case Pack'!$L$4:$L$962&gt;0)*('Case Pack'!$L$4:$L$962&lt;=A166),'Case Pack'!$G$4:$G$962,"未找到箱型")</f>
        <v>B</v>
      </c>
      <c r="R166" s="124">
        <f>ROUND(IFERROR(VLOOKUP(Q166,'Case Type'!A:H,8,0),0)*O166,2)</f>
        <v>0.29</v>
      </c>
    </row>
    <row r="167" customFormat="1" spans="1:18">
      <c r="A167" s="113">
        <v>46065</v>
      </c>
      <c r="B167" s="91" t="str">
        <f>_xlfn.XLOOKUP(C167,'Product List'!B:B,'Product List'!I:I)</f>
        <v>MMO-SHELL PEARL HAMSTER CHEW</v>
      </c>
      <c r="C167" s="94" t="s">
        <v>35</v>
      </c>
      <c r="D167" s="125">
        <v>30440521</v>
      </c>
      <c r="E167" s="125">
        <v>192</v>
      </c>
      <c r="F167" s="125">
        <v>1.61</v>
      </c>
      <c r="G167" s="125">
        <f t="shared" si="4"/>
        <v>309.12</v>
      </c>
      <c r="H167" s="86" t="s">
        <v>298</v>
      </c>
      <c r="I167" s="86" t="s">
        <v>92</v>
      </c>
      <c r="J167" s="124" t="s">
        <v>319</v>
      </c>
      <c r="K167" s="193">
        <v>46122</v>
      </c>
      <c r="L167" s="251">
        <v>46127</v>
      </c>
      <c r="M167" s="127">
        <v>0.92</v>
      </c>
      <c r="N167" s="124">
        <f t="shared" si="5"/>
        <v>176.64</v>
      </c>
      <c r="O167" s="124" cm="1">
        <f t="array" ref="O167">E167/_xlfn.XLOOKUP(1,('Case Pack'!$A$4:$A$962=C167)*('Case Pack'!$L$4:$L$962&gt;0)*('Case Pack'!$L$4:$L$962&lt;=A167),'Case Pack'!$D$4:$D$962,"未找到箱规")</f>
        <v>3</v>
      </c>
      <c r="P167" s="124" t="str">
        <f>IF(COUNTIF('PO Check'!A:A,D167)&gt;0,"Yes","No")</f>
        <v>Yes</v>
      </c>
      <c r="Q167" s="124" t="str" cm="1">
        <f t="array" ref="Q167">_xlfn.XLOOKUP(1,('Case Pack'!$A$4:$A$962=C167)*('Case Pack'!$L$4:$L$962&gt;0)*('Case Pack'!$L$4:$L$962&lt;=A167),'Case Pack'!$G$4:$G$962,"未找到箱型")</f>
        <v>B</v>
      </c>
      <c r="R167" s="124">
        <f>ROUND(IFERROR(VLOOKUP(Q167,'Case Type'!A:H,8,0),0)*O167,2)</f>
        <v>0.22</v>
      </c>
    </row>
    <row r="168" customFormat="1" spans="1:18">
      <c r="A168" s="113">
        <v>46065</v>
      </c>
      <c r="B168" s="91" t="str">
        <f>_xlfn.XLOOKUP(C168,'Product List'!B:B,'Product List'!I:I)</f>
        <v>MMO-GREEN APPLE CHEW</v>
      </c>
      <c r="C168" s="94" t="s">
        <v>33</v>
      </c>
      <c r="D168" s="125">
        <v>30440521</v>
      </c>
      <c r="E168" s="125">
        <v>192</v>
      </c>
      <c r="F168" s="125">
        <v>1.53</v>
      </c>
      <c r="G168" s="125">
        <f t="shared" si="4"/>
        <v>293.76</v>
      </c>
      <c r="H168" s="86" t="s">
        <v>298</v>
      </c>
      <c r="I168" s="86" t="s">
        <v>92</v>
      </c>
      <c r="J168" s="124" t="s">
        <v>319</v>
      </c>
      <c r="K168" s="193">
        <v>46122</v>
      </c>
      <c r="L168" s="251">
        <v>46127</v>
      </c>
      <c r="M168" s="127">
        <v>0.87</v>
      </c>
      <c r="N168" s="124">
        <f t="shared" si="5"/>
        <v>167.04</v>
      </c>
      <c r="O168" s="124" cm="1">
        <f t="array" ref="O168">E168/_xlfn.XLOOKUP(1,('Case Pack'!$A$4:$A$962=C168)*('Case Pack'!$L$4:$L$962&gt;0)*('Case Pack'!$L$4:$L$962&lt;=A168),'Case Pack'!$D$4:$D$962,"未找到箱规")</f>
        <v>4</v>
      </c>
      <c r="P168" s="124" t="str">
        <f>IF(COUNTIF('PO Check'!A:A,D168)&gt;0,"Yes","No")</f>
        <v>Yes</v>
      </c>
      <c r="Q168" s="124" t="str" cm="1">
        <f t="array" ref="Q168">_xlfn.XLOOKUP(1,('Case Pack'!$A$4:$A$962=C168)*('Case Pack'!$L$4:$L$962&gt;0)*('Case Pack'!$L$4:$L$962&lt;=A168),'Case Pack'!$G$4:$G$962,"未找到箱型")</f>
        <v>B</v>
      </c>
      <c r="R168" s="124">
        <f>ROUND(IFERROR(VLOOKUP(Q168,'Case Type'!A:H,8,0),0)*O168,2)</f>
        <v>0.29</v>
      </c>
    </row>
    <row r="169" customFormat="1" spans="1:18">
      <c r="A169" s="113">
        <v>46065</v>
      </c>
      <c r="B169" s="91" t="str">
        <f>_xlfn.XLOOKUP(C169,'Product List'!B:B,'Product List'!I:I)</f>
        <v>MMO-CAMP LUNCH BOX CHEW</v>
      </c>
      <c r="C169" s="94" t="s">
        <v>34</v>
      </c>
      <c r="D169" s="125">
        <v>30440521</v>
      </c>
      <c r="E169" s="125">
        <v>216</v>
      </c>
      <c r="F169" s="125">
        <v>2.48</v>
      </c>
      <c r="G169" s="125">
        <f t="shared" si="4"/>
        <v>535.68</v>
      </c>
      <c r="H169" s="86" t="s">
        <v>298</v>
      </c>
      <c r="I169" s="86" t="s">
        <v>92</v>
      </c>
      <c r="J169" s="124" t="s">
        <v>319</v>
      </c>
      <c r="K169" s="193">
        <v>46122</v>
      </c>
      <c r="L169" s="251">
        <v>46127</v>
      </c>
      <c r="M169" s="127">
        <v>1.52</v>
      </c>
      <c r="N169" s="124">
        <f t="shared" si="5"/>
        <v>328.32</v>
      </c>
      <c r="O169" s="124" cm="1">
        <f t="array" ref="O169">E169/_xlfn.XLOOKUP(1,('Case Pack'!$A$4:$A$962=C169)*('Case Pack'!$L$4:$L$962&gt;0)*('Case Pack'!$L$4:$L$962&lt;=A169),'Case Pack'!$D$4:$D$962,"未找到箱规")</f>
        <v>3</v>
      </c>
      <c r="P169" s="124" t="str">
        <f>IF(COUNTIF('PO Check'!A:A,D169)&gt;0,"Yes","No")</f>
        <v>Yes</v>
      </c>
      <c r="Q169" s="124" t="str" cm="1">
        <f t="array" ref="Q169">_xlfn.XLOOKUP(1,('Case Pack'!$A$4:$A$962=C169)*('Case Pack'!$L$4:$L$962&gt;0)*('Case Pack'!$L$4:$L$962&lt;=A169),'Case Pack'!$G$4:$G$962,"未找到箱型")</f>
        <v>B</v>
      </c>
      <c r="R169" s="124">
        <f>ROUND(IFERROR(VLOOKUP(Q169,'Case Type'!A:H,8,0),0)*O169,2)</f>
        <v>0.22</v>
      </c>
    </row>
    <row r="170" customFormat="1" spans="1:18">
      <c r="A170" s="113">
        <v>46065</v>
      </c>
      <c r="B170" s="91" t="str">
        <f>_xlfn.XLOOKUP(C170,'Product List'!B:B,'Product List'!I:I)</f>
        <v>MMO-SHELL PEARL HAMSTER CHEW</v>
      </c>
      <c r="C170" s="94" t="s">
        <v>35</v>
      </c>
      <c r="D170" s="125">
        <v>30440518</v>
      </c>
      <c r="E170" s="125">
        <v>192</v>
      </c>
      <c r="F170" s="125">
        <v>1.61</v>
      </c>
      <c r="G170" s="125">
        <f t="shared" si="4"/>
        <v>309.12</v>
      </c>
      <c r="H170" s="86" t="s">
        <v>298</v>
      </c>
      <c r="I170" s="86" t="s">
        <v>92</v>
      </c>
      <c r="J170" s="124" t="s">
        <v>316</v>
      </c>
      <c r="K170" s="193">
        <v>46122</v>
      </c>
      <c r="L170" s="251">
        <v>46127</v>
      </c>
      <c r="M170" s="127">
        <v>0.92</v>
      </c>
      <c r="N170" s="124">
        <f t="shared" si="5"/>
        <v>176.64</v>
      </c>
      <c r="O170" s="124" cm="1">
        <f t="array" ref="O170">E170/_xlfn.XLOOKUP(1,('Case Pack'!$A$4:$A$962=C170)*('Case Pack'!$L$4:$L$962&gt;0)*('Case Pack'!$L$4:$L$962&lt;=A170),'Case Pack'!$D$4:$D$962,"未找到箱规")</f>
        <v>3</v>
      </c>
      <c r="P170" s="124" t="str">
        <f>IF(COUNTIF('PO Check'!A:A,D170)&gt;0,"Yes","No")</f>
        <v>Yes</v>
      </c>
      <c r="Q170" s="124" t="str" cm="1">
        <f t="array" ref="Q170">_xlfn.XLOOKUP(1,('Case Pack'!$A$4:$A$962=C170)*('Case Pack'!$L$4:$L$962&gt;0)*('Case Pack'!$L$4:$L$962&lt;=A170),'Case Pack'!$G$4:$G$962,"未找到箱型")</f>
        <v>B</v>
      </c>
      <c r="R170" s="124">
        <f>ROUND(IFERROR(VLOOKUP(Q170,'Case Type'!A:H,8,0),0)*O170,2)</f>
        <v>0.22</v>
      </c>
    </row>
    <row r="171" customFormat="1" spans="1:18">
      <c r="A171" s="113">
        <v>46065</v>
      </c>
      <c r="B171" s="91" t="str">
        <f>_xlfn.XLOOKUP(C171,'Product List'!B:B,'Product List'!I:I)</f>
        <v>MMO-GREEN APPLE CHEW</v>
      </c>
      <c r="C171" s="94" t="s">
        <v>33</v>
      </c>
      <c r="D171" s="125">
        <v>30440518</v>
      </c>
      <c r="E171" s="125">
        <v>240</v>
      </c>
      <c r="F171" s="125">
        <v>1.53</v>
      </c>
      <c r="G171" s="125">
        <f t="shared" si="4"/>
        <v>367.2</v>
      </c>
      <c r="H171" s="86" t="s">
        <v>298</v>
      </c>
      <c r="I171" s="86" t="s">
        <v>92</v>
      </c>
      <c r="J171" s="124" t="s">
        <v>316</v>
      </c>
      <c r="K171" s="193">
        <v>46122</v>
      </c>
      <c r="L171" s="251">
        <v>46127</v>
      </c>
      <c r="M171" s="127">
        <v>0.87</v>
      </c>
      <c r="N171" s="124">
        <f t="shared" si="5"/>
        <v>208.8</v>
      </c>
      <c r="O171" s="124" cm="1">
        <f t="array" ref="O171">E171/_xlfn.XLOOKUP(1,('Case Pack'!$A$4:$A$962=C171)*('Case Pack'!$L$4:$L$962&gt;0)*('Case Pack'!$L$4:$L$962&lt;=A171),'Case Pack'!$D$4:$D$962,"未找到箱规")</f>
        <v>5</v>
      </c>
      <c r="P171" s="124" t="str">
        <f>IF(COUNTIF('PO Check'!A:A,D171)&gt;0,"Yes","No")</f>
        <v>Yes</v>
      </c>
      <c r="Q171" s="124" t="str" cm="1">
        <f t="array" ref="Q171">_xlfn.XLOOKUP(1,('Case Pack'!$A$4:$A$962=C171)*('Case Pack'!$L$4:$L$962&gt;0)*('Case Pack'!$L$4:$L$962&lt;=A171),'Case Pack'!$G$4:$G$962,"未找到箱型")</f>
        <v>B</v>
      </c>
      <c r="R171" s="124">
        <f>ROUND(IFERROR(VLOOKUP(Q171,'Case Type'!A:H,8,0),0)*O171,2)</f>
        <v>0.37</v>
      </c>
    </row>
    <row r="172" customFormat="1" spans="1:18">
      <c r="A172" s="113">
        <v>46065</v>
      </c>
      <c r="B172" s="91" t="str">
        <f>_xlfn.XLOOKUP(C172,'Product List'!B:B,'Product List'!I:I)</f>
        <v>MMO-CAMP LUNCH BOX CHEW</v>
      </c>
      <c r="C172" s="94" t="s">
        <v>34</v>
      </c>
      <c r="D172" s="125">
        <v>30440518</v>
      </c>
      <c r="E172" s="125">
        <v>216</v>
      </c>
      <c r="F172" s="125">
        <v>2.48</v>
      </c>
      <c r="G172" s="125">
        <f t="shared" si="4"/>
        <v>535.68</v>
      </c>
      <c r="H172" s="86" t="s">
        <v>298</v>
      </c>
      <c r="I172" s="86" t="s">
        <v>92</v>
      </c>
      <c r="J172" s="124" t="s">
        <v>316</v>
      </c>
      <c r="K172" s="193">
        <v>46122</v>
      </c>
      <c r="L172" s="251">
        <v>46127</v>
      </c>
      <c r="M172" s="127">
        <v>1.52</v>
      </c>
      <c r="N172" s="124">
        <f t="shared" si="5"/>
        <v>328.32</v>
      </c>
      <c r="O172" s="124" cm="1">
        <f t="array" ref="O172">E172/_xlfn.XLOOKUP(1,('Case Pack'!$A$4:$A$962=C172)*('Case Pack'!$L$4:$L$962&gt;0)*('Case Pack'!$L$4:$L$962&lt;=A172),'Case Pack'!$D$4:$D$962,"未找到箱规")</f>
        <v>3</v>
      </c>
      <c r="P172" s="124" t="str">
        <f>IF(COUNTIF('PO Check'!A:A,D172)&gt;0,"Yes","No")</f>
        <v>Yes</v>
      </c>
      <c r="Q172" s="124" t="str" cm="1">
        <f t="array" ref="Q172">_xlfn.XLOOKUP(1,('Case Pack'!$A$4:$A$962=C172)*('Case Pack'!$L$4:$L$962&gt;0)*('Case Pack'!$L$4:$L$962&lt;=A172),'Case Pack'!$G$4:$G$962,"未找到箱型")</f>
        <v>B</v>
      </c>
      <c r="R172" s="124">
        <f>ROUND(IFERROR(VLOOKUP(Q172,'Case Type'!A:H,8,0),0)*O172,2)</f>
        <v>0.22</v>
      </c>
    </row>
    <row r="173" customFormat="1" spans="1:18">
      <c r="A173" s="113">
        <v>46065</v>
      </c>
      <c r="B173" s="91" t="str">
        <f>_xlfn.XLOOKUP(C173,'Product List'!B:B,'Product List'!I:I)</f>
        <v>MMO-SHELL PEARL HAMSTER CHEW</v>
      </c>
      <c r="C173" s="94" t="s">
        <v>35</v>
      </c>
      <c r="D173" s="125">
        <v>30440519</v>
      </c>
      <c r="E173" s="125">
        <v>320</v>
      </c>
      <c r="F173" s="125">
        <v>1.61</v>
      </c>
      <c r="G173" s="125">
        <f t="shared" si="4"/>
        <v>515.2</v>
      </c>
      <c r="H173" s="86" t="s">
        <v>298</v>
      </c>
      <c r="I173" s="86" t="s">
        <v>92</v>
      </c>
      <c r="J173" s="124" t="s">
        <v>323</v>
      </c>
      <c r="K173" s="193">
        <v>46122</v>
      </c>
      <c r="L173" s="251">
        <v>46127</v>
      </c>
      <c r="M173" s="127">
        <v>0.92</v>
      </c>
      <c r="N173" s="124">
        <f t="shared" si="5"/>
        <v>294.4</v>
      </c>
      <c r="O173" s="124" cm="1">
        <f t="array" ref="O173">E173/_xlfn.XLOOKUP(1,('Case Pack'!$A$4:$A$962=C173)*('Case Pack'!$L$4:$L$962&gt;0)*('Case Pack'!$L$4:$L$962&lt;=A173),'Case Pack'!$D$4:$D$962,"未找到箱规")</f>
        <v>5</v>
      </c>
      <c r="P173" s="124" t="str">
        <f>IF(COUNTIF('PO Check'!A:A,D173)&gt;0,"Yes","No")</f>
        <v>Yes</v>
      </c>
      <c r="Q173" s="124" t="str" cm="1">
        <f t="array" ref="Q173">_xlfn.XLOOKUP(1,('Case Pack'!$A$4:$A$962=C173)*('Case Pack'!$L$4:$L$962&gt;0)*('Case Pack'!$L$4:$L$962&lt;=A173),'Case Pack'!$G$4:$G$962,"未找到箱型")</f>
        <v>B</v>
      </c>
      <c r="R173" s="124">
        <f>ROUND(IFERROR(VLOOKUP(Q173,'Case Type'!A:H,8,0),0)*O173,2)</f>
        <v>0.37</v>
      </c>
    </row>
    <row r="174" customFormat="1" spans="1:18">
      <c r="A174" s="113">
        <v>46065</v>
      </c>
      <c r="B174" s="91" t="str">
        <f>_xlfn.XLOOKUP(C174,'Product List'!B:B,'Product List'!I:I)</f>
        <v>MMO-GREEN APPLE CHEW</v>
      </c>
      <c r="C174" s="94" t="s">
        <v>33</v>
      </c>
      <c r="D174" s="125">
        <v>30440519</v>
      </c>
      <c r="E174" s="125">
        <v>384</v>
      </c>
      <c r="F174" s="125">
        <v>1.53</v>
      </c>
      <c r="G174" s="125">
        <f t="shared" si="4"/>
        <v>587.52</v>
      </c>
      <c r="H174" s="86" t="s">
        <v>298</v>
      </c>
      <c r="I174" s="86" t="s">
        <v>92</v>
      </c>
      <c r="J174" s="124" t="s">
        <v>323</v>
      </c>
      <c r="K174" s="193">
        <v>46122</v>
      </c>
      <c r="L174" s="251">
        <v>46127</v>
      </c>
      <c r="M174" s="127">
        <v>0.87</v>
      </c>
      <c r="N174" s="124">
        <f t="shared" si="5"/>
        <v>334.08</v>
      </c>
      <c r="O174" s="124" cm="1">
        <f t="array" ref="O174">E174/_xlfn.XLOOKUP(1,('Case Pack'!$A$4:$A$962=C174)*('Case Pack'!$L$4:$L$962&gt;0)*('Case Pack'!$L$4:$L$962&lt;=A174),'Case Pack'!$D$4:$D$962,"未找到箱规")</f>
        <v>8</v>
      </c>
      <c r="P174" s="124" t="str">
        <f>IF(COUNTIF('PO Check'!A:A,D174)&gt;0,"Yes","No")</f>
        <v>Yes</v>
      </c>
      <c r="Q174" s="124" t="str" cm="1">
        <f t="array" ref="Q174">_xlfn.XLOOKUP(1,('Case Pack'!$A$4:$A$962=C174)*('Case Pack'!$L$4:$L$962&gt;0)*('Case Pack'!$L$4:$L$962&lt;=A174),'Case Pack'!$G$4:$G$962,"未找到箱型")</f>
        <v>B</v>
      </c>
      <c r="R174" s="124">
        <f>ROUND(IFERROR(VLOOKUP(Q174,'Case Type'!A:H,8,0),0)*O174,2)</f>
        <v>0.59</v>
      </c>
    </row>
    <row r="175" customFormat="1" spans="1:18">
      <c r="A175" s="113">
        <v>46065</v>
      </c>
      <c r="B175" s="91" t="str">
        <f>_xlfn.XLOOKUP(C175,'Product List'!B:B,'Product List'!I:I)</f>
        <v>MMO-CAMP LUNCH BOX CHEW</v>
      </c>
      <c r="C175" s="94" t="s">
        <v>34</v>
      </c>
      <c r="D175" s="125">
        <v>30440519</v>
      </c>
      <c r="E175" s="125">
        <v>360</v>
      </c>
      <c r="F175" s="125">
        <v>2.48</v>
      </c>
      <c r="G175" s="125">
        <f t="shared" si="4"/>
        <v>892.8</v>
      </c>
      <c r="H175" s="86" t="s">
        <v>298</v>
      </c>
      <c r="I175" s="86" t="s">
        <v>92</v>
      </c>
      <c r="J175" s="124" t="s">
        <v>323</v>
      </c>
      <c r="K175" s="193">
        <v>46122</v>
      </c>
      <c r="L175" s="251">
        <v>46127</v>
      </c>
      <c r="M175" s="127">
        <v>1.52</v>
      </c>
      <c r="N175" s="124">
        <f t="shared" si="5"/>
        <v>547.2</v>
      </c>
      <c r="O175" s="124" cm="1">
        <f t="array" ref="O175">E175/_xlfn.XLOOKUP(1,('Case Pack'!$A$4:$A$962=C175)*('Case Pack'!$L$4:$L$962&gt;0)*('Case Pack'!$L$4:$L$962&lt;=A175),'Case Pack'!$D$4:$D$962,"未找到箱规")</f>
        <v>5</v>
      </c>
      <c r="P175" s="124" t="str">
        <f>IF(COUNTIF('PO Check'!A:A,D175)&gt;0,"Yes","No")</f>
        <v>Yes</v>
      </c>
      <c r="Q175" s="124" t="str" cm="1">
        <f t="array" ref="Q175">_xlfn.XLOOKUP(1,('Case Pack'!$A$4:$A$962=C175)*('Case Pack'!$L$4:$L$962&gt;0)*('Case Pack'!$L$4:$L$962&lt;=A175),'Case Pack'!$G$4:$G$962,"未找到箱型")</f>
        <v>B</v>
      </c>
      <c r="R175" s="124">
        <f>ROUND(IFERROR(VLOOKUP(Q175,'Case Type'!A:H,8,0),0)*O175,2)</f>
        <v>0.37</v>
      </c>
    </row>
    <row r="176" customFormat="1" spans="1:18">
      <c r="A176" s="113">
        <v>46065</v>
      </c>
      <c r="B176" s="91" t="str">
        <f>_xlfn.XLOOKUP(C176,'Product List'!B:B,'Product List'!I:I)</f>
        <v>MMO-SHELL PEARL HAMSTER CHEW</v>
      </c>
      <c r="C176" s="94" t="s">
        <v>35</v>
      </c>
      <c r="D176" s="125">
        <v>30440520</v>
      </c>
      <c r="E176" s="125">
        <v>192</v>
      </c>
      <c r="F176" s="125">
        <v>1.61</v>
      </c>
      <c r="G176" s="125">
        <f t="shared" si="4"/>
        <v>309.12</v>
      </c>
      <c r="H176" s="86" t="s">
        <v>298</v>
      </c>
      <c r="I176" s="86" t="s">
        <v>92</v>
      </c>
      <c r="J176" s="124" t="s">
        <v>317</v>
      </c>
      <c r="K176" s="193">
        <v>46122</v>
      </c>
      <c r="L176" s="251">
        <v>46127</v>
      </c>
      <c r="M176" s="127">
        <v>0.92</v>
      </c>
      <c r="N176" s="124">
        <f t="shared" si="5"/>
        <v>176.64</v>
      </c>
      <c r="O176" s="124" cm="1">
        <f t="array" ref="O176">E176/_xlfn.XLOOKUP(1,('Case Pack'!$A$4:$A$962=C176)*('Case Pack'!$L$4:$L$962&gt;0)*('Case Pack'!$L$4:$L$962&lt;=A176),'Case Pack'!$D$4:$D$962,"未找到箱规")</f>
        <v>3</v>
      </c>
      <c r="P176" s="124" t="str">
        <f>IF(COUNTIF('PO Check'!A:A,D176)&gt;0,"Yes","No")</f>
        <v>Yes</v>
      </c>
      <c r="Q176" s="124" t="str" cm="1">
        <f t="array" ref="Q176">_xlfn.XLOOKUP(1,('Case Pack'!$A$4:$A$962=C176)*('Case Pack'!$L$4:$L$962&gt;0)*('Case Pack'!$L$4:$L$962&lt;=A176),'Case Pack'!$G$4:$G$962,"未找到箱型")</f>
        <v>B</v>
      </c>
      <c r="R176" s="124">
        <f>ROUND(IFERROR(VLOOKUP(Q176,'Case Type'!A:H,8,0),0)*O176,2)</f>
        <v>0.22</v>
      </c>
    </row>
    <row r="177" customFormat="1" spans="1:18">
      <c r="A177" s="113">
        <v>46065</v>
      </c>
      <c r="B177" s="91" t="str">
        <f>_xlfn.XLOOKUP(C177,'Product List'!B:B,'Product List'!I:I)</f>
        <v>MMO-GREEN APPLE CHEW</v>
      </c>
      <c r="C177" s="94" t="s">
        <v>33</v>
      </c>
      <c r="D177" s="125">
        <v>30440520</v>
      </c>
      <c r="E177" s="125">
        <v>192</v>
      </c>
      <c r="F177" s="125">
        <v>1.53</v>
      </c>
      <c r="G177" s="125">
        <f t="shared" si="4"/>
        <v>293.76</v>
      </c>
      <c r="H177" s="86" t="s">
        <v>298</v>
      </c>
      <c r="I177" s="86" t="s">
        <v>92</v>
      </c>
      <c r="J177" s="124" t="s">
        <v>317</v>
      </c>
      <c r="K177" s="193">
        <v>46122</v>
      </c>
      <c r="L177" s="251">
        <v>46127</v>
      </c>
      <c r="M177" s="127">
        <v>0.87</v>
      </c>
      <c r="N177" s="124">
        <f t="shared" si="5"/>
        <v>167.04</v>
      </c>
      <c r="O177" s="124" cm="1">
        <f t="array" ref="O177">E177/_xlfn.XLOOKUP(1,('Case Pack'!$A$4:$A$962=C177)*('Case Pack'!$L$4:$L$962&gt;0)*('Case Pack'!$L$4:$L$962&lt;=A177),'Case Pack'!$D$4:$D$962,"未找到箱规")</f>
        <v>4</v>
      </c>
      <c r="P177" s="124" t="str">
        <f>IF(COUNTIF('PO Check'!A:A,D177)&gt;0,"Yes","No")</f>
        <v>Yes</v>
      </c>
      <c r="Q177" s="124" t="str" cm="1">
        <f t="array" ref="Q177">_xlfn.XLOOKUP(1,('Case Pack'!$A$4:$A$962=C177)*('Case Pack'!$L$4:$L$962&gt;0)*('Case Pack'!$L$4:$L$962&lt;=A177),'Case Pack'!$G$4:$G$962,"未找到箱型")</f>
        <v>B</v>
      </c>
      <c r="R177" s="124">
        <f>ROUND(IFERROR(VLOOKUP(Q177,'Case Type'!A:H,8,0),0)*O177,2)</f>
        <v>0.29</v>
      </c>
    </row>
    <row r="178" customFormat="1" spans="1:18">
      <c r="A178" s="113">
        <v>46065</v>
      </c>
      <c r="B178" s="91" t="str">
        <f>_xlfn.XLOOKUP(C178,'Product List'!B:B,'Product List'!I:I)</f>
        <v>MMO-CAMP LUNCH BOX CHEW</v>
      </c>
      <c r="C178" s="94" t="s">
        <v>34</v>
      </c>
      <c r="D178" s="125">
        <v>30440520</v>
      </c>
      <c r="E178" s="125">
        <v>216</v>
      </c>
      <c r="F178" s="125">
        <v>2.48</v>
      </c>
      <c r="G178" s="125">
        <f t="shared" si="4"/>
        <v>535.68</v>
      </c>
      <c r="H178" s="86" t="s">
        <v>298</v>
      </c>
      <c r="I178" s="86" t="s">
        <v>92</v>
      </c>
      <c r="J178" s="124" t="s">
        <v>317</v>
      </c>
      <c r="K178" s="193">
        <v>46122</v>
      </c>
      <c r="L178" s="251">
        <v>46127</v>
      </c>
      <c r="M178" s="127">
        <v>1.52</v>
      </c>
      <c r="N178" s="124">
        <f t="shared" si="5"/>
        <v>328.32</v>
      </c>
      <c r="O178" s="124" cm="1">
        <f t="array" ref="O178">E178/_xlfn.XLOOKUP(1,('Case Pack'!$A$4:$A$962=C178)*('Case Pack'!$L$4:$L$962&gt;0)*('Case Pack'!$L$4:$L$962&lt;=A178),'Case Pack'!$D$4:$D$962,"未找到箱规")</f>
        <v>3</v>
      </c>
      <c r="P178" s="124" t="str">
        <f>IF(COUNTIF('PO Check'!A:A,D178)&gt;0,"Yes","No")</f>
        <v>Yes</v>
      </c>
      <c r="Q178" s="124" t="str" cm="1">
        <f t="array" ref="Q178">_xlfn.XLOOKUP(1,('Case Pack'!$A$4:$A$962=C178)*('Case Pack'!$L$4:$L$962&gt;0)*('Case Pack'!$L$4:$L$962&lt;=A178),'Case Pack'!$G$4:$G$962,"未找到箱型")</f>
        <v>B</v>
      </c>
      <c r="R178" s="124">
        <f>ROUND(IFERROR(VLOOKUP(Q178,'Case Type'!A:H,8,0),0)*O178,2)</f>
        <v>0.22</v>
      </c>
    </row>
    <row r="179" customFormat="1" spans="1:18">
      <c r="A179" s="113">
        <v>46065</v>
      </c>
      <c r="B179" s="91" t="str">
        <f>_xlfn.XLOOKUP(C179,'Product List'!B:B,'Product List'!I:I)</f>
        <v>MMO-SHELL PEARL HAMSTER CHEW</v>
      </c>
      <c r="C179" s="94" t="s">
        <v>35</v>
      </c>
      <c r="D179" s="125">
        <v>30440522</v>
      </c>
      <c r="E179" s="125">
        <v>128</v>
      </c>
      <c r="F179" s="125">
        <v>1.61</v>
      </c>
      <c r="G179" s="125">
        <f t="shared" si="4"/>
        <v>206.08</v>
      </c>
      <c r="H179" s="86" t="s">
        <v>298</v>
      </c>
      <c r="I179" s="86" t="s">
        <v>92</v>
      </c>
      <c r="J179" s="124" t="s">
        <v>324</v>
      </c>
      <c r="K179" s="193">
        <v>46122</v>
      </c>
      <c r="L179" s="251">
        <v>46127</v>
      </c>
      <c r="M179" s="127">
        <v>0.92</v>
      </c>
      <c r="N179" s="124">
        <f t="shared" si="5"/>
        <v>117.76</v>
      </c>
      <c r="O179" s="124" cm="1">
        <f t="array" ref="O179">E179/_xlfn.XLOOKUP(1,('Case Pack'!$A$4:$A$962=C179)*('Case Pack'!$L$4:$L$962&gt;0)*('Case Pack'!$L$4:$L$962&lt;=A179),'Case Pack'!$D$4:$D$962,"未找到箱规")</f>
        <v>2</v>
      </c>
      <c r="P179" s="124" t="str">
        <f>IF(COUNTIF('PO Check'!A:A,D179)&gt;0,"Yes","No")</f>
        <v>Yes</v>
      </c>
      <c r="Q179" s="124" t="str" cm="1">
        <f t="array" ref="Q179">_xlfn.XLOOKUP(1,('Case Pack'!$A$4:$A$962=C179)*('Case Pack'!$L$4:$L$962&gt;0)*('Case Pack'!$L$4:$L$962&lt;=A179),'Case Pack'!$G$4:$G$962,"未找到箱型")</f>
        <v>B</v>
      </c>
      <c r="R179" s="124">
        <f>ROUND(IFERROR(VLOOKUP(Q179,'Case Type'!A:H,8,0),0)*O179,2)</f>
        <v>0.15</v>
      </c>
    </row>
    <row r="180" customFormat="1" spans="1:18">
      <c r="A180" s="113">
        <v>46065</v>
      </c>
      <c r="B180" s="91" t="str">
        <f>_xlfn.XLOOKUP(C180,'Product List'!B:B,'Product List'!I:I)</f>
        <v>MMO-GREEN APPLE CHEW</v>
      </c>
      <c r="C180" s="94" t="s">
        <v>33</v>
      </c>
      <c r="D180" s="125">
        <v>30440522</v>
      </c>
      <c r="E180" s="125">
        <v>144</v>
      </c>
      <c r="F180" s="125">
        <v>1.53</v>
      </c>
      <c r="G180" s="125">
        <f t="shared" si="4"/>
        <v>220.32</v>
      </c>
      <c r="H180" s="86" t="s">
        <v>298</v>
      </c>
      <c r="I180" s="86" t="s">
        <v>92</v>
      </c>
      <c r="J180" s="124" t="s">
        <v>324</v>
      </c>
      <c r="K180" s="193">
        <v>46122</v>
      </c>
      <c r="L180" s="251">
        <v>46127</v>
      </c>
      <c r="M180" s="127">
        <v>0.87</v>
      </c>
      <c r="N180" s="124">
        <f t="shared" si="5"/>
        <v>125.28</v>
      </c>
      <c r="O180" s="124" cm="1">
        <f t="array" ref="O180">E180/_xlfn.XLOOKUP(1,('Case Pack'!$A$4:$A$962=C180)*('Case Pack'!$L$4:$L$962&gt;0)*('Case Pack'!$L$4:$L$962&lt;=A180),'Case Pack'!$D$4:$D$962,"未找到箱规")</f>
        <v>3</v>
      </c>
      <c r="P180" s="124" t="str">
        <f>IF(COUNTIF('PO Check'!A:A,D180)&gt;0,"Yes","No")</f>
        <v>Yes</v>
      </c>
      <c r="Q180" s="124" t="str" cm="1">
        <f t="array" ref="Q180">_xlfn.XLOOKUP(1,('Case Pack'!$A$4:$A$962=C180)*('Case Pack'!$L$4:$L$962&gt;0)*('Case Pack'!$L$4:$L$962&lt;=A180),'Case Pack'!$G$4:$G$962,"未找到箱型")</f>
        <v>B</v>
      </c>
      <c r="R180" s="124">
        <f>ROUND(IFERROR(VLOOKUP(Q180,'Case Type'!A:H,8,0),0)*O180,2)</f>
        <v>0.22</v>
      </c>
    </row>
    <row r="181" customFormat="1" spans="1:18">
      <c r="A181" s="113">
        <v>46065</v>
      </c>
      <c r="B181" s="91" t="str">
        <f>_xlfn.XLOOKUP(C181,'Product List'!B:B,'Product List'!I:I)</f>
        <v>MMO-CAMP LUNCH BOX CHEW</v>
      </c>
      <c r="C181" s="94" t="s">
        <v>34</v>
      </c>
      <c r="D181" s="125">
        <v>30440522</v>
      </c>
      <c r="E181" s="125">
        <v>144</v>
      </c>
      <c r="F181" s="125">
        <v>2.48</v>
      </c>
      <c r="G181" s="125">
        <f t="shared" si="4"/>
        <v>357.12</v>
      </c>
      <c r="H181" s="86" t="s">
        <v>298</v>
      </c>
      <c r="I181" s="86" t="s">
        <v>92</v>
      </c>
      <c r="J181" s="124" t="s">
        <v>324</v>
      </c>
      <c r="K181" s="193">
        <v>46122</v>
      </c>
      <c r="L181" s="251">
        <v>46127</v>
      </c>
      <c r="M181" s="127">
        <v>1.52</v>
      </c>
      <c r="N181" s="124">
        <f t="shared" si="5"/>
        <v>218.88</v>
      </c>
      <c r="O181" s="124" cm="1">
        <f t="array" ref="O181">E181/_xlfn.XLOOKUP(1,('Case Pack'!$A$4:$A$962=C181)*('Case Pack'!$L$4:$L$962&gt;0)*('Case Pack'!$L$4:$L$962&lt;=A181),'Case Pack'!$D$4:$D$962,"未找到箱规")</f>
        <v>2</v>
      </c>
      <c r="P181" s="124" t="str">
        <f>IF(COUNTIF('PO Check'!A:A,D181)&gt;0,"Yes","No")</f>
        <v>Yes</v>
      </c>
      <c r="Q181" s="124" t="str" cm="1">
        <f t="array" ref="Q181">_xlfn.XLOOKUP(1,('Case Pack'!$A$4:$A$962=C181)*('Case Pack'!$L$4:$L$962&gt;0)*('Case Pack'!$L$4:$L$962&lt;=A181),'Case Pack'!$G$4:$G$962,"未找到箱型")</f>
        <v>B</v>
      </c>
      <c r="R181" s="124">
        <f>ROUND(IFERROR(VLOOKUP(Q181,'Case Type'!A:H,8,0),0)*O181,2)</f>
        <v>0.15</v>
      </c>
    </row>
    <row r="182" customFormat="1" spans="1:18">
      <c r="A182" s="113">
        <v>46084</v>
      </c>
      <c r="B182" s="91" t="str">
        <f>_xlfn.XLOOKUP(C182,'Product List'!B:B,'Product List'!I:I)</f>
        <v>Forest Series Hamster Chew Toy &amp; Treat</v>
      </c>
      <c r="C182" s="94" t="s">
        <v>72</v>
      </c>
      <c r="D182" s="125">
        <v>733349</v>
      </c>
      <c r="E182" s="125">
        <v>300</v>
      </c>
      <c r="F182" s="125">
        <v>3.47</v>
      </c>
      <c r="G182" s="125">
        <f t="shared" si="4"/>
        <v>1041</v>
      </c>
      <c r="H182" s="86" t="s">
        <v>325</v>
      </c>
      <c r="I182" s="86" t="s">
        <v>92</v>
      </c>
      <c r="J182" s="124" t="s">
        <v>326</v>
      </c>
      <c r="K182" s="193">
        <v>46159</v>
      </c>
      <c r="L182" s="251">
        <v>46164</v>
      </c>
      <c r="M182" s="127">
        <v>2.06</v>
      </c>
      <c r="N182" s="124">
        <f t="shared" si="5"/>
        <v>618</v>
      </c>
      <c r="O182" s="124" cm="1">
        <f t="array" ref="O182">E182/_xlfn.XLOOKUP(1,('Case Pack'!$A$4:$A$962=C182)*('Case Pack'!$L$4:$L$962&gt;0)*('Case Pack'!$L$4:$L$962&lt;=A182),'Case Pack'!$D$4:$D$962,"未找到箱规")</f>
        <v>5</v>
      </c>
      <c r="P182" s="124" t="str">
        <f>IF(COUNTIF('PO Check'!A:A,D182)&gt;0,"Yes","No")</f>
        <v>Yes</v>
      </c>
      <c r="Q182" s="124" t="str" cm="1">
        <f t="array" ref="Q182">_xlfn.XLOOKUP(1,('Case Pack'!$A$4:$A$962=C182)*('Case Pack'!$L$4:$L$962&gt;0)*('Case Pack'!$L$4:$L$962&lt;=A182),'Case Pack'!$G$4:$G$962,"未找到箱型")</f>
        <v>B</v>
      </c>
      <c r="R182" s="124">
        <f>ROUND(IFERROR(VLOOKUP(Q182,'Case Type'!A:H,8,0),0)*O182,2)</f>
        <v>0.37</v>
      </c>
    </row>
    <row r="183" customFormat="1" spans="1:18">
      <c r="A183" s="113">
        <v>46084</v>
      </c>
      <c r="B183" s="91" t="str">
        <f>_xlfn.XLOOKUP(C183,'Product List'!B:B,'Product List'!I:I)</f>
        <v>MMO-CAMP LUNCH BOX CHEW</v>
      </c>
      <c r="C183" s="94" t="s">
        <v>34</v>
      </c>
      <c r="D183" s="125">
        <v>733349</v>
      </c>
      <c r="E183" s="125">
        <v>360</v>
      </c>
      <c r="F183" s="125">
        <v>2.48</v>
      </c>
      <c r="G183" s="125">
        <f t="shared" si="4"/>
        <v>892.8</v>
      </c>
      <c r="H183" s="86" t="s">
        <v>325</v>
      </c>
      <c r="I183" s="86" t="s">
        <v>92</v>
      </c>
      <c r="J183" s="124" t="s">
        <v>326</v>
      </c>
      <c r="K183" s="193">
        <v>46159</v>
      </c>
      <c r="L183" s="251">
        <v>46164</v>
      </c>
      <c r="M183" s="127">
        <v>1.52</v>
      </c>
      <c r="N183" s="124">
        <f t="shared" si="5"/>
        <v>547.2</v>
      </c>
      <c r="O183" s="124" cm="1">
        <f t="array" ref="O183">E183/_xlfn.XLOOKUP(1,('Case Pack'!$A$4:$A$962=C183)*('Case Pack'!$L$4:$L$962&gt;0)*('Case Pack'!$L$4:$L$962&lt;=A183),'Case Pack'!$D$4:$D$962,"未找到箱规")</f>
        <v>5</v>
      </c>
      <c r="P183" s="124" t="str">
        <f>IF(COUNTIF('PO Check'!A:A,D183)&gt;0,"Yes","No")</f>
        <v>Yes</v>
      </c>
      <c r="Q183" s="124" t="str" cm="1">
        <f t="array" ref="Q183">_xlfn.XLOOKUP(1,('Case Pack'!$A$4:$A$962=C183)*('Case Pack'!$L$4:$L$962&gt;0)*('Case Pack'!$L$4:$L$962&lt;=A183),'Case Pack'!$G$4:$G$962,"未找到箱型")</f>
        <v>B</v>
      </c>
      <c r="R183" s="124">
        <f>ROUND(IFERROR(VLOOKUP(Q183,'Case Type'!A:H,8,0),0)*O183,2)</f>
        <v>0.37</v>
      </c>
    </row>
    <row r="184" customFormat="1" spans="1:18">
      <c r="A184" s="113">
        <v>46084</v>
      </c>
      <c r="B184" s="91" t="str">
        <f>_xlfn.XLOOKUP(C184,'Product List'!B:B,'Product List'!I:I)</f>
        <v>Mushroom Spiral Staircase</v>
      </c>
      <c r="C184" s="94" t="s">
        <v>46</v>
      </c>
      <c r="D184" s="125">
        <v>733349</v>
      </c>
      <c r="E184" s="125">
        <v>288</v>
      </c>
      <c r="F184" s="125">
        <v>2.62</v>
      </c>
      <c r="G184" s="125">
        <f t="shared" si="4"/>
        <v>754.56</v>
      </c>
      <c r="H184" s="86" t="s">
        <v>325</v>
      </c>
      <c r="I184" s="86" t="s">
        <v>92</v>
      </c>
      <c r="J184" s="124" t="s">
        <v>326</v>
      </c>
      <c r="K184" s="193">
        <v>46159</v>
      </c>
      <c r="L184" s="251">
        <v>46164</v>
      </c>
      <c r="M184" s="127">
        <v>1.53</v>
      </c>
      <c r="N184" s="124">
        <f t="shared" si="5"/>
        <v>440.64</v>
      </c>
      <c r="O184" s="124" cm="1">
        <f t="array" ref="O184">E184/_xlfn.XLOOKUP(1,('Case Pack'!$A$4:$A$962=C184)*('Case Pack'!$L$4:$L$962&gt;0)*('Case Pack'!$L$4:$L$962&lt;=A184),'Case Pack'!$D$4:$D$962,"未找到箱规")</f>
        <v>4</v>
      </c>
      <c r="P184" s="124" t="str">
        <f>IF(COUNTIF('PO Check'!A:A,D184)&gt;0,"Yes","No")</f>
        <v>Yes</v>
      </c>
      <c r="Q184" s="124" t="str" cm="1">
        <f t="array" ref="Q184">_xlfn.XLOOKUP(1,('Case Pack'!$A$4:$A$962=C184)*('Case Pack'!$L$4:$L$962&gt;0)*('Case Pack'!$L$4:$L$962&lt;=A184),'Case Pack'!$G$4:$G$962,"未找到箱型")</f>
        <v>B</v>
      </c>
      <c r="R184" s="124">
        <f>ROUND(IFERROR(VLOOKUP(Q184,'Case Type'!A:H,8,0),0)*O184,2)</f>
        <v>0.29</v>
      </c>
    </row>
    <row r="185" customFormat="1" spans="1:18">
      <c r="A185" s="113">
        <v>46084</v>
      </c>
      <c r="B185" s="91" t="str">
        <f>_xlfn.XLOOKUP(C185,'Product List'!B:B,'Product List'!I:I)</f>
        <v>Swinging Swing Hamster Toy</v>
      </c>
      <c r="C185" s="94" t="s">
        <v>48</v>
      </c>
      <c r="D185" s="125">
        <v>733349</v>
      </c>
      <c r="E185" s="125">
        <v>192</v>
      </c>
      <c r="F185" s="125">
        <v>3.25</v>
      </c>
      <c r="G185" s="125">
        <f t="shared" si="4"/>
        <v>624</v>
      </c>
      <c r="H185" s="86" t="s">
        <v>325</v>
      </c>
      <c r="I185" s="86" t="s">
        <v>92</v>
      </c>
      <c r="J185" s="124" t="s">
        <v>326</v>
      </c>
      <c r="K185" s="193">
        <v>46159</v>
      </c>
      <c r="L185" s="251">
        <v>46164</v>
      </c>
      <c r="M185" s="127">
        <v>1.71</v>
      </c>
      <c r="N185" s="124">
        <f t="shared" si="5"/>
        <v>328.32</v>
      </c>
      <c r="O185" s="124" cm="1">
        <f t="array" ref="O185">E185/_xlfn.XLOOKUP(1,('Case Pack'!$A$4:$A$962=C185)*('Case Pack'!$L$4:$L$962&gt;0)*('Case Pack'!$L$4:$L$962&lt;=A185),'Case Pack'!$D$4:$D$962,"未找到箱规")</f>
        <v>4</v>
      </c>
      <c r="P185" s="124" t="str">
        <f>IF(COUNTIF('PO Check'!A:A,D185)&gt;0,"Yes","No")</f>
        <v>Yes</v>
      </c>
      <c r="Q185" s="124" t="str" cm="1">
        <f t="array" ref="Q185">_xlfn.XLOOKUP(1,('Case Pack'!$A$4:$A$962=C185)*('Case Pack'!$L$4:$L$962&gt;0)*('Case Pack'!$L$4:$L$962&lt;=A185),'Case Pack'!$G$4:$G$962,"未找到箱型")</f>
        <v>B</v>
      </c>
      <c r="R185" s="124">
        <f>ROUND(IFERROR(VLOOKUP(Q185,'Case Type'!A:H,8,0),0)*O185,2)</f>
        <v>0.29</v>
      </c>
    </row>
    <row r="186" customFormat="1" spans="1:18">
      <c r="A186" s="113">
        <v>46084</v>
      </c>
      <c r="B186" s="91" t="str">
        <f>_xlfn.XLOOKUP(C186,'Product List'!B:B,'Product List'!I:I)</f>
        <v>Tree Stump Hide</v>
      </c>
      <c r="C186" s="94" t="s">
        <v>54</v>
      </c>
      <c r="D186" s="125">
        <v>733349</v>
      </c>
      <c r="E186" s="125">
        <v>192</v>
      </c>
      <c r="F186" s="125">
        <v>5.54</v>
      </c>
      <c r="G186" s="125">
        <f t="shared" si="4"/>
        <v>1063.68</v>
      </c>
      <c r="H186" s="86" t="s">
        <v>325</v>
      </c>
      <c r="I186" s="86" t="s">
        <v>92</v>
      </c>
      <c r="J186" s="124" t="s">
        <v>326</v>
      </c>
      <c r="K186" s="193">
        <v>46159</v>
      </c>
      <c r="L186" s="251">
        <v>46164</v>
      </c>
      <c r="M186" s="127">
        <v>2.67</v>
      </c>
      <c r="N186" s="124">
        <f t="shared" si="5"/>
        <v>512.64</v>
      </c>
      <c r="O186" s="124" cm="1">
        <f t="array" ref="O186">E186/_xlfn.XLOOKUP(1,('Case Pack'!$A$4:$A$962=C186)*('Case Pack'!$L$4:$L$962&gt;0)*('Case Pack'!$L$4:$L$962&lt;=A186),'Case Pack'!$D$4:$D$962,"未找到箱规")</f>
        <v>8</v>
      </c>
      <c r="P186" s="124" t="str">
        <f>IF(COUNTIF('PO Check'!A:A,D186)&gt;0,"Yes","No")</f>
        <v>Yes</v>
      </c>
      <c r="Q186" s="124" t="str" cm="1">
        <f t="array" ref="Q186">_xlfn.XLOOKUP(1,('Case Pack'!$A$4:$A$962=C186)*('Case Pack'!$L$4:$L$962&gt;0)*('Case Pack'!$L$4:$L$962&lt;=A186),'Case Pack'!$G$4:$G$962,"未找到箱型")</f>
        <v>B</v>
      </c>
      <c r="R186" s="124">
        <f>ROUND(IFERROR(VLOOKUP(Q186,'Case Type'!A:H,8,0),0)*O186,2)</f>
        <v>0.59</v>
      </c>
    </row>
    <row r="187" customFormat="1" spans="1:18">
      <c r="A187" s="113">
        <v>46084</v>
      </c>
      <c r="B187" s="91" t="str">
        <f>_xlfn.XLOOKUP(C187,'Product List'!B:B,'Product List'!I:I)</f>
        <v>MINI/MOE CAMPING TENT HIDE</v>
      </c>
      <c r="C187" s="94" t="s">
        <v>73</v>
      </c>
      <c r="D187" s="125">
        <v>733349</v>
      </c>
      <c r="E187" s="125">
        <v>204</v>
      </c>
      <c r="F187" s="125">
        <v>3.69</v>
      </c>
      <c r="G187" s="125">
        <f t="shared" si="4"/>
        <v>752.76</v>
      </c>
      <c r="H187" s="86" t="s">
        <v>325</v>
      </c>
      <c r="I187" s="86" t="s">
        <v>92</v>
      </c>
      <c r="J187" s="124" t="s">
        <v>326</v>
      </c>
      <c r="K187" s="193">
        <v>46159</v>
      </c>
      <c r="L187" s="251">
        <v>46164</v>
      </c>
      <c r="M187" s="127">
        <v>1.87</v>
      </c>
      <c r="N187" s="124">
        <f t="shared" si="5"/>
        <v>381.48</v>
      </c>
      <c r="O187" s="124" cm="1">
        <f t="array" ref="O187">E187/_xlfn.XLOOKUP(1,('Case Pack'!$A$4:$A$962=C187)*('Case Pack'!$L$4:$L$962&gt;0)*('Case Pack'!$L$4:$L$962&lt;=A187),'Case Pack'!$D$4:$D$962,"未找到箱规")</f>
        <v>17</v>
      </c>
      <c r="P187" s="124" t="str">
        <f>IF(COUNTIF('PO Check'!A:A,D187)&gt;0,"Yes","No")</f>
        <v>Yes</v>
      </c>
      <c r="Q187" s="124" t="str" cm="1">
        <f t="array" ref="Q187">_xlfn.XLOOKUP(1,('Case Pack'!$A$4:$A$962=C187)*('Case Pack'!$L$4:$L$962&gt;0)*('Case Pack'!$L$4:$L$962&lt;=A187),'Case Pack'!$G$4:$G$962,"未找到箱型")</f>
        <v>B</v>
      </c>
      <c r="R187" s="124">
        <f>ROUND(IFERROR(VLOOKUP(Q187,'Case Type'!A:H,8,0),0)*O187,2)</f>
        <v>1.25</v>
      </c>
    </row>
    <row r="188" customFormat="1" spans="1:18">
      <c r="A188" s="113">
        <v>46084</v>
      </c>
      <c r="B188" s="91" t="str">
        <f>_xlfn.XLOOKUP(C188,'Product List'!B:B,'Product List'!I:I)</f>
        <v>Bubble water bottle (color:green)</v>
      </c>
      <c r="C188" s="94" t="s">
        <v>66</v>
      </c>
      <c r="D188" s="125">
        <v>733349</v>
      </c>
      <c r="E188" s="125">
        <v>198</v>
      </c>
      <c r="F188" s="125">
        <v>5.43</v>
      </c>
      <c r="G188" s="125">
        <f t="shared" si="4"/>
        <v>1075.14</v>
      </c>
      <c r="H188" s="86" t="s">
        <v>325</v>
      </c>
      <c r="I188" s="86" t="s">
        <v>92</v>
      </c>
      <c r="J188" s="124" t="s">
        <v>326</v>
      </c>
      <c r="K188" s="193">
        <v>46159</v>
      </c>
      <c r="L188" s="251">
        <v>46164</v>
      </c>
      <c r="M188" s="127">
        <v>3.1</v>
      </c>
      <c r="N188" s="124">
        <f t="shared" si="5"/>
        <v>613.8</v>
      </c>
      <c r="O188" s="124" cm="1">
        <f t="array" ref="O188">E188/_xlfn.XLOOKUP(1,('Case Pack'!$A$4:$A$962=C188)*('Case Pack'!$L$4:$L$962&gt;0)*('Case Pack'!$L$4:$L$962&lt;=A188),'Case Pack'!$D$4:$D$962,"未找到箱规")</f>
        <v>11</v>
      </c>
      <c r="P188" s="124" t="str">
        <f>IF(COUNTIF('PO Check'!A:A,D188)&gt;0,"Yes","No")</f>
        <v>Yes</v>
      </c>
      <c r="Q188" s="124" t="str" cm="1">
        <f t="array" ref="Q188">_xlfn.XLOOKUP(1,('Case Pack'!$A$4:$A$962=C188)*('Case Pack'!$L$4:$L$962&gt;0)*('Case Pack'!$L$4:$L$962&lt;=A188),'Case Pack'!$G$4:$G$962,"未找到箱型")</f>
        <v>B</v>
      </c>
      <c r="R188" s="124">
        <f>ROUND(IFERROR(VLOOKUP(Q188,'Case Type'!A:H,8,0),0)*O188,2)</f>
        <v>0.81</v>
      </c>
    </row>
    <row r="189" customFormat="1" spans="1:18">
      <c r="A189" s="113">
        <v>46084</v>
      </c>
      <c r="B189" s="91" t="str">
        <f>_xlfn.XLOOKUP(C189,'Product List'!B:B,'Product List'!I:I)</f>
        <v>Cotton multi color bedding</v>
      </c>
      <c r="C189" s="94" t="s">
        <v>85</v>
      </c>
      <c r="D189" s="125">
        <v>733349</v>
      </c>
      <c r="E189" s="125">
        <v>320</v>
      </c>
      <c r="F189" s="125">
        <v>3.3</v>
      </c>
      <c r="G189" s="125">
        <f t="shared" si="4"/>
        <v>1056</v>
      </c>
      <c r="H189" s="86" t="s">
        <v>325</v>
      </c>
      <c r="I189" s="86" t="s">
        <v>92</v>
      </c>
      <c r="J189" s="124" t="s">
        <v>326</v>
      </c>
      <c r="K189" s="193">
        <v>46159</v>
      </c>
      <c r="L189" s="251">
        <v>46164</v>
      </c>
      <c r="M189" s="127">
        <v>1.64</v>
      </c>
      <c r="N189" s="124">
        <f t="shared" si="5"/>
        <v>524.8</v>
      </c>
      <c r="O189" s="124" cm="1">
        <f t="array" ref="O189">E189/_xlfn.XLOOKUP(1,('Case Pack'!$A$4:$A$962=C189)*('Case Pack'!$L$4:$L$962&gt;0)*('Case Pack'!$L$4:$L$962&lt;=A189),'Case Pack'!$D$4:$D$962,"未找到箱规")</f>
        <v>10</v>
      </c>
      <c r="P189" s="124" t="str">
        <f>IF(COUNTIF('PO Check'!A:A,D189)&gt;0,"Yes","No")</f>
        <v>Yes</v>
      </c>
      <c r="Q189" s="124" t="str" cm="1">
        <f t="array" ref="Q189">_xlfn.XLOOKUP(1,('Case Pack'!$A$4:$A$962=C189)*('Case Pack'!$L$4:$L$962&gt;0)*('Case Pack'!$L$4:$L$962&lt;=A189),'Case Pack'!$G$4:$G$962,"未找到箱型")</f>
        <v>A</v>
      </c>
      <c r="R189" s="124">
        <f>ROUND(IFERROR(VLOOKUP(Q189,'Case Type'!A:H,8,0),0)*O189,2)</f>
        <v>1.1</v>
      </c>
    </row>
    <row r="190" customFormat="1" spans="1:18">
      <c r="A190" s="113">
        <v>46084</v>
      </c>
      <c r="B190" s="91" t="str">
        <f>_xlfn.XLOOKUP(C190,'Product List'!B:B,'Product List'!I:I)</f>
        <v>MMO-PAPER PEBBLES</v>
      </c>
      <c r="C190" s="94" t="s">
        <v>81</v>
      </c>
      <c r="D190" s="125">
        <v>733349</v>
      </c>
      <c r="E190" s="125">
        <v>300</v>
      </c>
      <c r="F190" s="125">
        <v>5.71</v>
      </c>
      <c r="G190" s="125">
        <f t="shared" si="4"/>
        <v>1713</v>
      </c>
      <c r="H190" s="86" t="s">
        <v>325</v>
      </c>
      <c r="I190" s="86" t="s">
        <v>92</v>
      </c>
      <c r="J190" s="124" t="s">
        <v>326</v>
      </c>
      <c r="K190" s="193">
        <v>46159</v>
      </c>
      <c r="L190" s="251">
        <v>46164</v>
      </c>
      <c r="M190" s="127">
        <v>2.84</v>
      </c>
      <c r="N190" s="124">
        <f t="shared" si="5"/>
        <v>852</v>
      </c>
      <c r="O190" s="124" cm="1">
        <f t="array" ref="O190">E190/_xlfn.XLOOKUP(1,('Case Pack'!$A$4:$A$962=C190)*('Case Pack'!$L$4:$L$962&gt;0)*('Case Pack'!$L$4:$L$962&lt;=A190),'Case Pack'!$D$4:$D$962,"未找到箱规")</f>
        <v>25</v>
      </c>
      <c r="P190" s="124" t="str">
        <f>IF(COUNTIF('PO Check'!A:A,D190)&gt;0,"Yes","No")</f>
        <v>Yes</v>
      </c>
      <c r="Q190" s="124" t="str" cm="1">
        <f t="array" ref="Q190">_xlfn.XLOOKUP(1,('Case Pack'!$A$4:$A$962=C190)*('Case Pack'!$L$4:$L$962&gt;0)*('Case Pack'!$L$4:$L$962&lt;=A190),'Case Pack'!$G$4:$G$962,"未找到箱型")</f>
        <v>B</v>
      </c>
      <c r="R190" s="124">
        <f>ROUND(IFERROR(VLOOKUP(Q190,'Case Type'!A:H,8,0),0)*O190,2)</f>
        <v>1.84</v>
      </c>
    </row>
    <row r="191" customFormat="1" spans="1:18">
      <c r="A191" s="113">
        <v>46084</v>
      </c>
      <c r="B191" s="91" t="str">
        <f>_xlfn.XLOOKUP(C191,'Product List'!B:B,'Product List'!I:I)</f>
        <v>Paper straw green bedding</v>
      </c>
      <c r="C191" s="94" t="s">
        <v>83</v>
      </c>
      <c r="D191" s="125">
        <v>733349</v>
      </c>
      <c r="E191" s="125">
        <v>300</v>
      </c>
      <c r="F191" s="125">
        <v>3.45</v>
      </c>
      <c r="G191" s="125">
        <f t="shared" si="4"/>
        <v>1035</v>
      </c>
      <c r="H191" s="86" t="s">
        <v>325</v>
      </c>
      <c r="I191" s="86" t="s">
        <v>92</v>
      </c>
      <c r="J191" s="124" t="s">
        <v>326</v>
      </c>
      <c r="K191" s="193">
        <v>46159</v>
      </c>
      <c r="L191" s="251">
        <v>46164</v>
      </c>
      <c r="M191" s="127">
        <v>1.74</v>
      </c>
      <c r="N191" s="124">
        <f t="shared" si="5"/>
        <v>522</v>
      </c>
      <c r="O191" s="124" cm="1">
        <f t="array" ref="O191">E191/_xlfn.XLOOKUP(1,('Case Pack'!$A$4:$A$962=C191)*('Case Pack'!$L$4:$L$962&gt;0)*('Case Pack'!$L$4:$L$962&lt;=A191),'Case Pack'!$D$4:$D$962,"未找到箱规")</f>
        <v>10</v>
      </c>
      <c r="P191" s="124" t="str">
        <f>IF(COUNTIF('PO Check'!A:A,D191)&gt;0,"Yes","No")</f>
        <v>Yes</v>
      </c>
      <c r="Q191" s="124" t="str" cm="1">
        <f t="array" ref="Q191">_xlfn.XLOOKUP(1,('Case Pack'!$A$4:$A$962=C191)*('Case Pack'!$L$4:$L$962&gt;0)*('Case Pack'!$L$4:$L$962&lt;=A191),'Case Pack'!$G$4:$G$962,"未找到箱型")</f>
        <v>C</v>
      </c>
      <c r="R191" s="124">
        <f>ROUND(IFERROR(VLOOKUP(Q191,'Case Type'!A:H,8,0),0)*O191,2)</f>
        <v>1.57</v>
      </c>
    </row>
    <row r="192" customFormat="1" spans="1:18">
      <c r="A192" s="113">
        <v>46084</v>
      </c>
      <c r="B192" s="91" t="str">
        <f>_xlfn.XLOOKUP(C192,'Product List'!B:B,'Product List'!I:I)</f>
        <v>Paper twist brown / white bedding</v>
      </c>
      <c r="C192" s="94" t="s">
        <v>70</v>
      </c>
      <c r="D192" s="125">
        <v>733349</v>
      </c>
      <c r="E192" s="125">
        <v>300</v>
      </c>
      <c r="F192" s="125">
        <v>3.81</v>
      </c>
      <c r="G192" s="125">
        <f t="shared" si="4"/>
        <v>1143</v>
      </c>
      <c r="H192" s="86" t="s">
        <v>325</v>
      </c>
      <c r="I192" s="86" t="s">
        <v>92</v>
      </c>
      <c r="J192" s="124" t="s">
        <v>326</v>
      </c>
      <c r="K192" s="193">
        <v>46159</v>
      </c>
      <c r="L192" s="251">
        <v>46164</v>
      </c>
      <c r="M192" s="127">
        <v>1.98</v>
      </c>
      <c r="N192" s="124">
        <f t="shared" si="5"/>
        <v>594</v>
      </c>
      <c r="O192" s="124" cm="1">
        <f t="array" ref="O192">E192/_xlfn.XLOOKUP(1,('Case Pack'!$A$4:$A$962=C192)*('Case Pack'!$L$4:$L$962&gt;0)*('Case Pack'!$L$4:$L$962&lt;=A192),'Case Pack'!$D$4:$D$962,"未找到箱规")</f>
        <v>10</v>
      </c>
      <c r="P192" s="124" t="str">
        <f>IF(COUNTIF('PO Check'!A:A,D192)&gt;0,"Yes","No")</f>
        <v>Yes</v>
      </c>
      <c r="Q192" s="124" t="str" cm="1">
        <f t="array" ref="Q192">_xlfn.XLOOKUP(1,('Case Pack'!$A$4:$A$962=C192)*('Case Pack'!$L$4:$L$962&gt;0)*('Case Pack'!$L$4:$L$962&lt;=A192),'Case Pack'!$G$4:$G$962,"未找到箱型")</f>
        <v>A</v>
      </c>
      <c r="R192" s="124">
        <f>ROUND(IFERROR(VLOOKUP(Q192,'Case Type'!A:H,8,0),0)*O192,2)</f>
        <v>1.1</v>
      </c>
    </row>
    <row r="193" customFormat="1" spans="1:18">
      <c r="A193" s="113">
        <v>46084</v>
      </c>
      <c r="B193" s="91" t="str">
        <f>_xlfn.XLOOKUP(C193,'Product List'!B:B,'Product List'!I:I)</f>
        <v>MINI/MOE TV VIEWING CAGE</v>
      </c>
      <c r="C193" s="94" t="s">
        <v>50</v>
      </c>
      <c r="D193" s="125">
        <v>733349</v>
      </c>
      <c r="E193" s="125">
        <v>200</v>
      </c>
      <c r="F193" s="125">
        <v>47.97</v>
      </c>
      <c r="G193" s="125">
        <f t="shared" si="4"/>
        <v>9594</v>
      </c>
      <c r="H193" s="86" t="s">
        <v>325</v>
      </c>
      <c r="I193" s="86" t="s">
        <v>92</v>
      </c>
      <c r="J193" s="124" t="s">
        <v>326</v>
      </c>
      <c r="K193" s="193">
        <v>46159</v>
      </c>
      <c r="L193" s="251">
        <v>46164</v>
      </c>
      <c r="M193" s="127">
        <v>24.09</v>
      </c>
      <c r="N193" s="124">
        <f t="shared" si="5"/>
        <v>4818</v>
      </c>
      <c r="O193" s="124" cm="1">
        <f t="array" ref="O193">E193/_xlfn.XLOOKUP(1,('Case Pack'!$A$4:$A$962=C193)*('Case Pack'!$L$4:$L$962&gt;0)*('Case Pack'!$L$4:$L$962&lt;=A193),'Case Pack'!$D$4:$D$962,"未找到箱规")</f>
        <v>200</v>
      </c>
      <c r="P193" s="124" t="str">
        <f>IF(COUNTIF('PO Check'!A:A,D193)&gt;0,"Yes","No")</f>
        <v>Yes</v>
      </c>
      <c r="Q193" s="124" t="str" cm="1">
        <f t="array" ref="Q193">_xlfn.XLOOKUP(1,('Case Pack'!$A$4:$A$962=C193)*('Case Pack'!$L$4:$L$962&gt;0)*('Case Pack'!$L$4:$L$962&lt;=A193),'Case Pack'!$G$4:$G$962,"未找到箱型")</f>
        <v>S1</v>
      </c>
      <c r="R193" s="124">
        <f>ROUND(IFERROR(VLOOKUP(Q193,'Case Type'!A:H,8,0),0)*O193,2)</f>
        <v>14.8</v>
      </c>
    </row>
    <row r="194" customFormat="1" spans="1:18">
      <c r="A194" s="113">
        <v>46084</v>
      </c>
      <c r="B194" s="91" t="str">
        <f>_xlfn.XLOOKUP(C194,'Product List'!B:B,'Product List'!I:I)</f>
        <v>Silent Crystal Running Wheel XL</v>
      </c>
      <c r="C194" s="94" t="s">
        <v>75</v>
      </c>
      <c r="D194" s="125">
        <v>733349</v>
      </c>
      <c r="E194" s="125">
        <v>99</v>
      </c>
      <c r="F194" s="125">
        <v>20.94</v>
      </c>
      <c r="G194" s="125">
        <f t="shared" si="4"/>
        <v>2073.06</v>
      </c>
      <c r="H194" s="86" t="s">
        <v>325</v>
      </c>
      <c r="I194" s="86" t="s">
        <v>92</v>
      </c>
      <c r="J194" s="124" t="s">
        <v>326</v>
      </c>
      <c r="K194" s="193">
        <v>46159</v>
      </c>
      <c r="L194" s="251">
        <v>46164</v>
      </c>
      <c r="M194" s="127">
        <v>10.42</v>
      </c>
      <c r="N194" s="124">
        <f t="shared" si="5"/>
        <v>1031.58</v>
      </c>
      <c r="O194" s="124" cm="1">
        <f t="array" ref="O194">E194/_xlfn.XLOOKUP(1,('Case Pack'!$A$4:$A$962=C194)*('Case Pack'!$L$4:$L$962&gt;0)*('Case Pack'!$L$4:$L$962&lt;=A194),'Case Pack'!$D$4:$D$962,"未找到箱规")</f>
        <v>33</v>
      </c>
      <c r="P194" s="124" t="str">
        <f>IF(COUNTIF('PO Check'!A:A,D194)&gt;0,"Yes","No")</f>
        <v>Yes</v>
      </c>
      <c r="Q194" s="124" t="str" cm="1">
        <f t="array" ref="Q194">_xlfn.XLOOKUP(1,('Case Pack'!$A$4:$A$962=C194)*('Case Pack'!$L$4:$L$962&gt;0)*('Case Pack'!$L$4:$L$962&lt;=A194),'Case Pack'!$G$4:$G$962,"未找到箱型")</f>
        <v>C</v>
      </c>
      <c r="R194" s="124">
        <f>ROUND(IFERROR(VLOOKUP(Q194,'Case Type'!A:H,8,0),0)*O194,2)</f>
        <v>5.19</v>
      </c>
    </row>
    <row r="195" customFormat="1" spans="1:18">
      <c r="A195" s="113">
        <v>46084</v>
      </c>
      <c r="B195" s="91" t="str">
        <f>_xlfn.XLOOKUP(C195,'Product List'!B:B,'Product List'!I:I)</f>
        <v>MINI/MOE SILENT CRSTL RUN WHEEL LG 8.5-White</v>
      </c>
      <c r="C195" s="94" t="s">
        <v>29</v>
      </c>
      <c r="D195" s="125">
        <v>733349</v>
      </c>
      <c r="E195" s="125">
        <v>208</v>
      </c>
      <c r="F195" s="125">
        <v>12.74</v>
      </c>
      <c r="G195" s="125">
        <f t="shared" si="4"/>
        <v>2649.92</v>
      </c>
      <c r="H195" s="86" t="s">
        <v>325</v>
      </c>
      <c r="I195" s="86" t="s">
        <v>92</v>
      </c>
      <c r="J195" s="124" t="s">
        <v>326</v>
      </c>
      <c r="K195" s="193">
        <v>46159</v>
      </c>
      <c r="L195" s="251">
        <v>46164</v>
      </c>
      <c r="M195" s="127">
        <v>6.27</v>
      </c>
      <c r="N195" s="124">
        <f t="shared" si="5"/>
        <v>1304.16</v>
      </c>
      <c r="O195" s="124" cm="1">
        <f t="array" ref="O195">E195/_xlfn.XLOOKUP(1,('Case Pack'!$A$4:$A$962=C195)*('Case Pack'!$L$4:$L$962&gt;0)*('Case Pack'!$L$4:$L$962&lt;=A195),'Case Pack'!$D$4:$D$962,"未找到箱规")</f>
        <v>26</v>
      </c>
      <c r="P195" s="124" t="str">
        <f>IF(COUNTIF('PO Check'!A:A,D195)&gt;0,"Yes","No")</f>
        <v>Yes</v>
      </c>
      <c r="Q195" s="124" t="str" cm="1">
        <f t="array" ref="Q195">_xlfn.XLOOKUP(1,('Case Pack'!$A$4:$A$962=C195)*('Case Pack'!$L$4:$L$962&gt;0)*('Case Pack'!$L$4:$L$962&lt;=A195),'Case Pack'!$G$4:$G$962,"未找到箱型")</f>
        <v>C</v>
      </c>
      <c r="R195" s="124">
        <f>ROUND(IFERROR(VLOOKUP(Q195,'Case Type'!A:H,8,0),0)*O195,2)</f>
        <v>4.09</v>
      </c>
    </row>
    <row r="196" customFormat="1" spans="1:18">
      <c r="A196" s="113">
        <v>46127</v>
      </c>
      <c r="B196" s="91" t="str">
        <f>_xlfn.XLOOKUP(C196,'Product List'!B:B,'Product List'!I:I)</f>
        <v>MINI/MOE BENDABLE BIRCHWOOD FENCE</v>
      </c>
      <c r="C196" s="94" t="s">
        <v>62</v>
      </c>
      <c r="D196" s="125">
        <v>30935526</v>
      </c>
      <c r="E196" s="125">
        <v>168</v>
      </c>
      <c r="F196" s="125">
        <v>5.01</v>
      </c>
      <c r="G196" s="125">
        <f t="shared" si="4"/>
        <v>841.68</v>
      </c>
      <c r="H196" s="86" t="s">
        <v>298</v>
      </c>
      <c r="I196" s="86" t="s">
        <v>92</v>
      </c>
      <c r="J196" s="124" t="s">
        <v>322</v>
      </c>
      <c r="K196" s="193">
        <v>46146</v>
      </c>
      <c r="L196" s="251">
        <v>46146</v>
      </c>
      <c r="M196" s="127">
        <v>2.63</v>
      </c>
      <c r="N196" s="124">
        <f t="shared" si="5"/>
        <v>441.84</v>
      </c>
      <c r="O196" s="124" cm="1">
        <f t="array" ref="O196">E196/_xlfn.XLOOKUP(1,('Case Pack'!$A$4:$A$962=C196)*('Case Pack'!$L$4:$L$962&gt;0)*('Case Pack'!$L$4:$L$962&lt;=A196),'Case Pack'!$D$4:$D$962,"未找到箱规")</f>
        <v>5.25</v>
      </c>
      <c r="P196" s="124" t="str">
        <f>IF(COUNTIF('PO Check'!A:A,D196)&gt;0,"Yes","No")</f>
        <v>Yes</v>
      </c>
      <c r="Q196" s="124" t="str" cm="1">
        <f t="array" ref="Q196">_xlfn.XLOOKUP(1,('Case Pack'!$A$4:$A$962=C196)*('Case Pack'!$L$4:$L$962&gt;0)*('Case Pack'!$L$4:$L$962&lt;=A196),'Case Pack'!$G$4:$G$962,"未找到箱型")</f>
        <v>F</v>
      </c>
      <c r="R196" s="124">
        <f>ROUND(IFERROR(VLOOKUP(Q196,'Case Type'!A:H,8,0),0)*O196,2)</f>
        <v>0.19</v>
      </c>
    </row>
    <row r="197" customFormat="1" spans="1:18">
      <c r="A197" s="113">
        <v>46127</v>
      </c>
      <c r="B197" s="91" t="str">
        <f>_xlfn.XLOOKUP(C197,'Product List'!B:B,'Product List'!I:I)</f>
        <v>MINI/MOE SILENT CRSTL RUN WHEEL LG 8.5-White</v>
      </c>
      <c r="C197" s="94" t="s">
        <v>29</v>
      </c>
      <c r="D197" s="125">
        <v>30935526</v>
      </c>
      <c r="E197" s="125">
        <v>120</v>
      </c>
      <c r="F197" s="125">
        <v>13.22</v>
      </c>
      <c r="G197" s="125">
        <f t="shared" si="4"/>
        <v>1586.4</v>
      </c>
      <c r="H197" s="86" t="s">
        <v>298</v>
      </c>
      <c r="I197" s="86" t="s">
        <v>92</v>
      </c>
      <c r="J197" s="124" t="s">
        <v>322</v>
      </c>
      <c r="K197" s="193">
        <v>46146</v>
      </c>
      <c r="L197" s="251">
        <v>46146</v>
      </c>
      <c r="M197" s="127">
        <v>6.27</v>
      </c>
      <c r="N197" s="124">
        <f t="shared" si="5"/>
        <v>752.4</v>
      </c>
      <c r="O197" s="124" cm="1">
        <f t="array" ref="O197">E197/_xlfn.XLOOKUP(1,('Case Pack'!$A$4:$A$962=C197)*('Case Pack'!$L$4:$L$962&gt;0)*('Case Pack'!$L$4:$L$962&lt;=A197),'Case Pack'!$D$4:$D$962,"未找到箱规")</f>
        <v>15</v>
      </c>
      <c r="P197" s="124" t="str">
        <f>IF(COUNTIF('PO Check'!A:A,D197)&gt;0,"Yes","No")</f>
        <v>Yes</v>
      </c>
      <c r="Q197" s="124" t="str" cm="1">
        <f t="array" ref="Q197">_xlfn.XLOOKUP(1,('Case Pack'!$A$4:$A$962=C197)*('Case Pack'!$L$4:$L$962&gt;0)*('Case Pack'!$L$4:$L$962&lt;=A197),'Case Pack'!$G$4:$G$962,"未找到箱型")</f>
        <v>C</v>
      </c>
      <c r="R197" s="124">
        <f>ROUND(IFERROR(VLOOKUP(Q197,'Case Type'!A:H,8,0),0)*O197,2)</f>
        <v>2.36</v>
      </c>
    </row>
    <row r="198" customFormat="1" spans="1:18">
      <c r="A198" s="113">
        <v>46127</v>
      </c>
      <c r="B198" s="91" t="str">
        <f>_xlfn.XLOOKUP(C198,'Product List'!B:B,'Product List'!I:I)</f>
        <v>MINI/MOE RUFFLE BOWL</v>
      </c>
      <c r="C198" s="94" t="s">
        <v>78</v>
      </c>
      <c r="D198" s="125">
        <v>30935526</v>
      </c>
      <c r="E198" s="125">
        <v>224</v>
      </c>
      <c r="F198" s="125">
        <v>2.35</v>
      </c>
      <c r="G198" s="125">
        <f t="shared" si="4"/>
        <v>526.4</v>
      </c>
      <c r="H198" s="86" t="s">
        <v>298</v>
      </c>
      <c r="I198" s="86" t="s">
        <v>92</v>
      </c>
      <c r="J198" s="124" t="s">
        <v>322</v>
      </c>
      <c r="K198" s="193">
        <v>46146</v>
      </c>
      <c r="L198" s="251">
        <v>46146</v>
      </c>
      <c r="M198" s="127">
        <v>1.34</v>
      </c>
      <c r="N198" s="124">
        <f t="shared" si="5"/>
        <v>300.16</v>
      </c>
      <c r="O198" s="124" cm="1">
        <f t="array" ref="O198">E198/_xlfn.XLOOKUP(1,('Case Pack'!$A$4:$A$962=C198)*('Case Pack'!$L$4:$L$962&gt;0)*('Case Pack'!$L$4:$L$962&lt;=A198),'Case Pack'!$D$4:$D$962,"未找到箱规")</f>
        <v>4.66666666666667</v>
      </c>
      <c r="P198" s="124" t="str">
        <f>IF(COUNTIF('PO Check'!A:A,D198)&gt;0,"Yes","No")</f>
        <v>Yes</v>
      </c>
      <c r="Q198" s="124" t="str" cm="1">
        <f t="array" ref="Q198">_xlfn.XLOOKUP(1,('Case Pack'!$A$4:$A$962=C198)*('Case Pack'!$L$4:$L$962&gt;0)*('Case Pack'!$L$4:$L$962&lt;=A198),'Case Pack'!$G$4:$G$962,"未找到箱型")</f>
        <v>B</v>
      </c>
      <c r="R198" s="124">
        <f>ROUND(IFERROR(VLOOKUP(Q198,'Case Type'!A:H,8,0),0)*O198,2)</f>
        <v>0.34</v>
      </c>
    </row>
    <row r="199" customFormat="1" spans="1:18">
      <c r="A199" s="113">
        <v>46127</v>
      </c>
      <c r="B199" s="91" t="str">
        <f>_xlfn.XLOOKUP(C199,'Product List'!B:B,'Product List'!I:I)</f>
        <v>MMO-CLOUD WATER BOTTLE</v>
      </c>
      <c r="C199" s="94" t="s">
        <v>77</v>
      </c>
      <c r="D199" s="125">
        <v>30935526</v>
      </c>
      <c r="E199" s="125">
        <v>180</v>
      </c>
      <c r="F199" s="125">
        <v>1.32</v>
      </c>
      <c r="G199" s="125">
        <f t="shared" si="4"/>
        <v>237.6</v>
      </c>
      <c r="H199" s="86" t="s">
        <v>298</v>
      </c>
      <c r="I199" s="86" t="s">
        <v>92</v>
      </c>
      <c r="J199" s="124" t="s">
        <v>322</v>
      </c>
      <c r="K199" s="193">
        <v>46146</v>
      </c>
      <c r="L199" s="251">
        <v>46146</v>
      </c>
      <c r="M199" s="127">
        <v>0.62</v>
      </c>
      <c r="N199" s="124">
        <f t="shared" si="5"/>
        <v>111.6</v>
      </c>
      <c r="O199" s="124" cm="1">
        <f t="array" ref="O199">E199/_xlfn.XLOOKUP(1,('Case Pack'!$A$4:$A$962=C199)*('Case Pack'!$L$4:$L$962&gt;0)*('Case Pack'!$L$4:$L$962&lt;=A199),'Case Pack'!$D$4:$D$962,"未找到箱规")</f>
        <v>3.6</v>
      </c>
      <c r="P199" s="124" t="str">
        <f>IF(COUNTIF('PO Check'!A:A,D199)&gt;0,"Yes","No")</f>
        <v>Yes</v>
      </c>
      <c r="Q199" s="124" t="str" cm="1">
        <f t="array" ref="Q199">_xlfn.XLOOKUP(1,('Case Pack'!$A$4:$A$962=C199)*('Case Pack'!$L$4:$L$962&gt;0)*('Case Pack'!$L$4:$L$962&lt;=A199),'Case Pack'!$G$4:$G$962,"未找到箱型")</f>
        <v>A</v>
      </c>
      <c r="R199" s="124">
        <f>ROUND(IFERROR(VLOOKUP(Q199,'Case Type'!A:H,8,0),0)*O199,2)</f>
        <v>0.4</v>
      </c>
    </row>
    <row r="200" customFormat="1" spans="1:18">
      <c r="A200" s="113">
        <v>46127</v>
      </c>
      <c r="B200" s="91" t="str">
        <f>_xlfn.XLOOKUP(C200,'Product List'!B:B,'Product List'!I:I)</f>
        <v>MMO-STARFISH CASTLE</v>
      </c>
      <c r="C200" s="94" t="s">
        <v>60</v>
      </c>
      <c r="D200" s="125">
        <v>30935526</v>
      </c>
      <c r="E200" s="125">
        <v>72</v>
      </c>
      <c r="F200" s="125">
        <v>5.32</v>
      </c>
      <c r="G200" s="125">
        <f t="shared" si="4"/>
        <v>383.04</v>
      </c>
      <c r="H200" s="86" t="s">
        <v>298</v>
      </c>
      <c r="I200" s="86" t="s">
        <v>92</v>
      </c>
      <c r="J200" s="124" t="s">
        <v>322</v>
      </c>
      <c r="K200" s="193">
        <v>46146</v>
      </c>
      <c r="L200" s="251">
        <v>46146</v>
      </c>
      <c r="M200" s="127">
        <v>2.81</v>
      </c>
      <c r="N200" s="124">
        <f t="shared" si="5"/>
        <v>202.32</v>
      </c>
      <c r="O200" s="124" cm="1">
        <f t="array" ref="O200">E200/_xlfn.XLOOKUP(1,('Case Pack'!$A$4:$A$962=C200)*('Case Pack'!$L$4:$L$962&gt;0)*('Case Pack'!$L$4:$L$962&lt;=A200),'Case Pack'!$D$4:$D$962,"未找到箱规")</f>
        <v>3.6</v>
      </c>
      <c r="P200" s="124" t="str">
        <f>IF(COUNTIF('PO Check'!A:A,D200)&gt;0,"Yes","No")</f>
        <v>Yes</v>
      </c>
      <c r="Q200" s="124" t="str" cm="1">
        <f t="array" ref="Q200">_xlfn.XLOOKUP(1,('Case Pack'!$A$4:$A$962=C200)*('Case Pack'!$L$4:$L$962&gt;0)*('Case Pack'!$L$4:$L$962&lt;=A200),'Case Pack'!$G$4:$G$962,"未找到箱型")</f>
        <v>C</v>
      </c>
      <c r="R200" s="124">
        <f>ROUND(IFERROR(VLOOKUP(Q200,'Case Type'!A:H,8,0),0)*O200,2)</f>
        <v>0.57</v>
      </c>
    </row>
    <row r="201" customFormat="1" spans="1:18">
      <c r="A201" s="113">
        <v>46127</v>
      </c>
      <c r="B201" s="91" t="str">
        <f>_xlfn.XLOOKUP(C201,'Product List'!B:B,'Product List'!I:I)</f>
        <v>MMO-WAVE BRIDGE</v>
      </c>
      <c r="C201" s="94" t="s">
        <v>61</v>
      </c>
      <c r="D201" s="125">
        <v>30935526</v>
      </c>
      <c r="E201" s="125">
        <v>64</v>
      </c>
      <c r="F201" s="125">
        <v>4.84</v>
      </c>
      <c r="G201" s="125">
        <f t="shared" si="4"/>
        <v>309.76</v>
      </c>
      <c r="H201" s="86" t="s">
        <v>298</v>
      </c>
      <c r="I201" s="86" t="s">
        <v>92</v>
      </c>
      <c r="J201" s="124" t="s">
        <v>322</v>
      </c>
      <c r="K201" s="193">
        <v>46146</v>
      </c>
      <c r="L201" s="251">
        <v>46146</v>
      </c>
      <c r="M201" s="127">
        <v>2.79</v>
      </c>
      <c r="N201" s="124">
        <f t="shared" si="5"/>
        <v>178.56</v>
      </c>
      <c r="O201" s="124" cm="1">
        <f t="array" ref="O201">E201/_xlfn.XLOOKUP(1,('Case Pack'!$A$4:$A$962=C201)*('Case Pack'!$L$4:$L$962&gt;0)*('Case Pack'!$L$4:$L$962&lt;=A201),'Case Pack'!$D$4:$D$962,"未找到箱规")</f>
        <v>1.93939393939394</v>
      </c>
      <c r="P201" s="124" t="str">
        <f>IF(COUNTIF('PO Check'!A:A,D201)&gt;0,"Yes","No")</f>
        <v>Yes</v>
      </c>
      <c r="Q201" s="124" t="str" cm="1">
        <f t="array" ref="Q201">_xlfn.XLOOKUP(1,('Case Pack'!$A$4:$A$962=C201)*('Case Pack'!$L$4:$L$962&gt;0)*('Case Pack'!$L$4:$L$962&lt;=A201),'Case Pack'!$G$4:$G$962,"未找到箱型")</f>
        <v>C</v>
      </c>
      <c r="R201" s="124">
        <f>ROUND(IFERROR(VLOOKUP(Q201,'Case Type'!A:H,8,0),0)*O201,2)</f>
        <v>0.31</v>
      </c>
    </row>
    <row r="202" customFormat="1" spans="1:18">
      <c r="A202" s="113">
        <v>46127</v>
      </c>
      <c r="B202" s="91" t="str">
        <f>_xlfn.XLOOKUP(C202,'Product List'!B:B,'Product List'!I:I)</f>
        <v>MMO-PAPER PEBBLES</v>
      </c>
      <c r="C202" s="249" t="s">
        <v>81</v>
      </c>
      <c r="D202" s="125">
        <v>30935526</v>
      </c>
      <c r="E202" s="125">
        <v>80</v>
      </c>
      <c r="F202" s="125">
        <v>5.81</v>
      </c>
      <c r="G202" s="125">
        <f t="shared" si="4"/>
        <v>464.8</v>
      </c>
      <c r="H202" s="86" t="s">
        <v>298</v>
      </c>
      <c r="I202" s="86" t="s">
        <v>92</v>
      </c>
      <c r="J202" s="124" t="s">
        <v>322</v>
      </c>
      <c r="K202" s="193">
        <v>46146</v>
      </c>
      <c r="L202" s="251">
        <v>46146</v>
      </c>
      <c r="M202" s="127">
        <v>2.84</v>
      </c>
      <c r="N202" s="124">
        <f t="shared" si="5"/>
        <v>227.2</v>
      </c>
      <c r="O202" s="124" cm="1">
        <f t="array" ref="O202">E202/_xlfn.XLOOKUP(1,('Case Pack'!$A$4:$A$962=C202)*('Case Pack'!$L$4:$L$962&gt;0)*('Case Pack'!$L$4:$L$962&lt;=A202),'Case Pack'!$D$4:$D$962,"未找到箱规")</f>
        <v>6.66666666666667</v>
      </c>
      <c r="P202" s="124" t="str">
        <f>IF(COUNTIF('PO Check'!A:A,D202)&gt;0,"Yes","No")</f>
        <v>Yes</v>
      </c>
      <c r="Q202" s="124" t="str" cm="1">
        <f t="array" ref="Q202">_xlfn.XLOOKUP(1,('Case Pack'!$A$4:$A$962=C202)*('Case Pack'!$L$4:$L$962&gt;0)*('Case Pack'!$L$4:$L$962&lt;=A202),'Case Pack'!$G$4:$G$962,"未找到箱型")</f>
        <v>B</v>
      </c>
      <c r="R202" s="124">
        <f>ROUND(IFERROR(VLOOKUP(Q202,'Case Type'!A:H,8,0),0)*O202,2)</f>
        <v>0.49</v>
      </c>
    </row>
    <row r="203" customFormat="1" spans="1:18">
      <c r="A203" s="113">
        <v>46127</v>
      </c>
      <c r="B203" s="91" t="str">
        <f>_xlfn.XLOOKUP(C203,'Product List'!B:B,'Product List'!I:I)</f>
        <v>MMO-COTTON NESTING BALLS</v>
      </c>
      <c r="C203" s="249" t="s">
        <v>84</v>
      </c>
      <c r="D203" s="125">
        <v>30935526</v>
      </c>
      <c r="E203" s="125">
        <v>62</v>
      </c>
      <c r="F203" s="125">
        <v>3.37</v>
      </c>
      <c r="G203" s="125">
        <f t="shared" si="4"/>
        <v>208.94</v>
      </c>
      <c r="H203" s="86" t="s">
        <v>298</v>
      </c>
      <c r="I203" s="86" t="s">
        <v>92</v>
      </c>
      <c r="J203" s="124" t="s">
        <v>322</v>
      </c>
      <c r="K203" s="193">
        <v>46146</v>
      </c>
      <c r="L203" s="251">
        <v>46146</v>
      </c>
      <c r="M203" s="127">
        <v>1.64</v>
      </c>
      <c r="N203" s="124">
        <f t="shared" si="5"/>
        <v>101.68</v>
      </c>
      <c r="O203" s="124" cm="1">
        <f t="array" ref="O203">E203/_xlfn.XLOOKUP(1,('Case Pack'!$A$4:$A$962=C203)*('Case Pack'!$L$4:$L$962&gt;0)*('Case Pack'!$L$4:$L$962&lt;=A203),'Case Pack'!$D$4:$D$962,"未找到箱规")</f>
        <v>1.9375</v>
      </c>
      <c r="P203" s="124" t="str">
        <f>IF(COUNTIF('PO Check'!A:A,D203)&gt;0,"Yes","No")</f>
        <v>Yes</v>
      </c>
      <c r="Q203" s="124" t="str" cm="1">
        <f t="array" ref="Q203">_xlfn.XLOOKUP(1,('Case Pack'!$A$4:$A$962=C203)*('Case Pack'!$L$4:$L$962&gt;0)*('Case Pack'!$L$4:$L$962&lt;=A203),'Case Pack'!$G$4:$G$962,"未找到箱型")</f>
        <v>A</v>
      </c>
      <c r="R203" s="124">
        <f>ROUND(IFERROR(VLOOKUP(Q203,'Case Type'!A:H,8,0),0)*O203,2)</f>
        <v>0.21</v>
      </c>
    </row>
    <row r="204" customFormat="1" spans="1:18">
      <c r="A204" s="113">
        <v>46127</v>
      </c>
      <c r="B204" s="91" t="str">
        <f>_xlfn.XLOOKUP(C204,'Product List'!B:B,'Product List'!I:I)</f>
        <v>MINI/MOE TV VIEWING CAGE</v>
      </c>
      <c r="C204" s="94" t="s">
        <v>50</v>
      </c>
      <c r="D204" s="125">
        <v>30935526</v>
      </c>
      <c r="E204" s="125">
        <v>50</v>
      </c>
      <c r="F204" s="125">
        <v>48.49</v>
      </c>
      <c r="G204" s="125">
        <f t="shared" si="4"/>
        <v>2424.5</v>
      </c>
      <c r="H204" s="86" t="s">
        <v>298</v>
      </c>
      <c r="I204" s="86" t="s">
        <v>92</v>
      </c>
      <c r="J204" s="124" t="s">
        <v>322</v>
      </c>
      <c r="K204" s="193">
        <v>46146</v>
      </c>
      <c r="L204" s="251">
        <v>46146</v>
      </c>
      <c r="M204" s="127">
        <v>24.09</v>
      </c>
      <c r="N204" s="124">
        <f t="shared" si="5"/>
        <v>1204.5</v>
      </c>
      <c r="O204" s="124" cm="1">
        <f t="array" ref="O204">E204/_xlfn.XLOOKUP(1,('Case Pack'!$A$4:$A$962=C204)*('Case Pack'!$L$4:$L$962&gt;0)*('Case Pack'!$L$4:$L$962&lt;=A204),'Case Pack'!$D$4:$D$962,"未找到箱规")</f>
        <v>50</v>
      </c>
      <c r="P204" s="124" t="str">
        <f>IF(COUNTIF('PO Check'!A:A,D204)&gt;0,"Yes","No")</f>
        <v>Yes</v>
      </c>
      <c r="Q204" s="124" t="str" cm="1">
        <f t="array" ref="Q204">_xlfn.XLOOKUP(1,('Case Pack'!$A$4:$A$962=C204)*('Case Pack'!$L$4:$L$962&gt;0)*('Case Pack'!$L$4:$L$962&lt;=A204),'Case Pack'!$G$4:$G$962,"未找到箱型")</f>
        <v>S1</v>
      </c>
      <c r="R204" s="124">
        <f>ROUND(IFERROR(VLOOKUP(Q204,'Case Type'!A:H,8,0),0)*O204,2)</f>
        <v>3.7</v>
      </c>
    </row>
    <row r="205" customFormat="1" spans="1:18">
      <c r="A205" s="113">
        <v>46127</v>
      </c>
      <c r="B205" s="91" t="str">
        <f>_xlfn.XLOOKUP(C205,'Product List'!B:B,'Product List'!I:I)</f>
        <v>MMO-BUBBLE WATER BOTTLE</v>
      </c>
      <c r="C205" s="94" t="s">
        <v>67</v>
      </c>
      <c r="D205" s="214">
        <v>30935526</v>
      </c>
      <c r="E205" s="125">
        <v>108</v>
      </c>
      <c r="F205" s="125">
        <v>4.35</v>
      </c>
      <c r="G205" s="125">
        <f t="shared" si="4"/>
        <v>469.8</v>
      </c>
      <c r="H205" s="86" t="s">
        <v>298</v>
      </c>
      <c r="I205" s="86" t="s">
        <v>92</v>
      </c>
      <c r="J205" s="124" t="s">
        <v>322</v>
      </c>
      <c r="K205" s="193">
        <v>46146</v>
      </c>
      <c r="L205" s="251">
        <v>46146</v>
      </c>
      <c r="M205" s="127">
        <v>3.1</v>
      </c>
      <c r="N205" s="124">
        <f t="shared" si="5"/>
        <v>334.8</v>
      </c>
      <c r="O205" s="124" cm="1">
        <f t="array" ref="O205">E205/_xlfn.XLOOKUP(1,('Case Pack'!$A$4:$A$962=C205)*('Case Pack'!$L$4:$L$962&gt;0)*('Case Pack'!$L$4:$L$962&lt;=A205),'Case Pack'!$D$4:$D$962,"未找到箱规")</f>
        <v>2.57142857142857</v>
      </c>
      <c r="P205" s="124" t="str">
        <f>IF(COUNTIF('PO Check'!A:A,D205)&gt;0,"Yes","No")</f>
        <v>Yes</v>
      </c>
      <c r="Q205" s="124" t="str" cm="1">
        <f t="array" ref="Q205">_xlfn.XLOOKUP(1,('Case Pack'!$A$4:$A$962=C205)*('Case Pack'!$L$4:$L$962&gt;0)*('Case Pack'!$L$4:$L$962&lt;=A205),'Case Pack'!$G$4:$G$962,"未找到箱型")</f>
        <v>C</v>
      </c>
      <c r="R205" s="124">
        <f>ROUND(IFERROR(VLOOKUP(Q205,'Case Type'!A:H,8,0),0)*O205,2)</f>
        <v>0.4</v>
      </c>
    </row>
    <row r="206" customFormat="1" spans="1:18">
      <c r="A206" s="113">
        <v>46127</v>
      </c>
      <c r="B206" s="91" t="str">
        <f>_xlfn.XLOOKUP(C206,'Product List'!B:B,'Product List'!I:I)</f>
        <v>MINI/MOE SILENT CRSTL RUN WHEEL LG 8.5-White</v>
      </c>
      <c r="C206" s="94" t="s">
        <v>29</v>
      </c>
      <c r="D206" s="125">
        <v>30935527</v>
      </c>
      <c r="E206" s="125">
        <v>112</v>
      </c>
      <c r="F206" s="125">
        <v>13.22</v>
      </c>
      <c r="G206" s="125">
        <f t="shared" si="4"/>
        <v>1480.64</v>
      </c>
      <c r="H206" s="86" t="s">
        <v>298</v>
      </c>
      <c r="I206" s="86" t="s">
        <v>92</v>
      </c>
      <c r="J206" s="124" t="s">
        <v>322</v>
      </c>
      <c r="K206" s="193">
        <v>46164</v>
      </c>
      <c r="L206" s="251">
        <v>46160</v>
      </c>
      <c r="M206" s="127">
        <v>6.27</v>
      </c>
      <c r="N206" s="124">
        <f t="shared" si="5"/>
        <v>702.24</v>
      </c>
      <c r="O206" s="124" cm="1">
        <f t="array" ref="O206">E206/_xlfn.XLOOKUP(1,('Case Pack'!$A$4:$A$962=C206)*('Case Pack'!$L$4:$L$962&gt;0)*('Case Pack'!$L$4:$L$962&lt;=A206),'Case Pack'!$D$4:$D$962,"未找到箱规")</f>
        <v>14</v>
      </c>
      <c r="P206" s="124" t="str">
        <f>IF(COUNTIF('PO Check'!A:A,D206)&gt;0,"Yes","No")</f>
        <v>Yes</v>
      </c>
      <c r="Q206" s="124" t="str" cm="1">
        <f t="array" ref="Q206">_xlfn.XLOOKUP(1,('Case Pack'!$A$4:$A$962=C206)*('Case Pack'!$L$4:$L$962&gt;0)*('Case Pack'!$L$4:$L$962&lt;=A206),'Case Pack'!$G$4:$G$962,"未找到箱型")</f>
        <v>C</v>
      </c>
      <c r="R206" s="124">
        <f>ROUND(IFERROR(VLOOKUP(Q206,'Case Type'!A:H,8,0),0)*O206,2)</f>
        <v>2.2</v>
      </c>
    </row>
    <row r="207" customFormat="1" spans="1:18">
      <c r="A207" s="113">
        <v>46127</v>
      </c>
      <c r="B207" s="91" t="str">
        <f>_xlfn.XLOOKUP(C207,'Product List'!B:B,'Product List'!I:I)</f>
        <v>MINI/MOE RUFFLE BOWL</v>
      </c>
      <c r="C207" s="94" t="s">
        <v>78</v>
      </c>
      <c r="D207" s="125">
        <v>30935527</v>
      </c>
      <c r="E207" s="125">
        <v>48</v>
      </c>
      <c r="F207" s="125">
        <v>2.35</v>
      </c>
      <c r="G207" s="125">
        <f t="shared" si="4"/>
        <v>112.8</v>
      </c>
      <c r="H207" s="86" t="s">
        <v>298</v>
      </c>
      <c r="I207" s="86" t="s">
        <v>92</v>
      </c>
      <c r="J207" s="124" t="s">
        <v>322</v>
      </c>
      <c r="K207" s="193">
        <v>46164</v>
      </c>
      <c r="L207" s="251">
        <v>46160</v>
      </c>
      <c r="M207" s="127">
        <v>1.34</v>
      </c>
      <c r="N207" s="124">
        <f t="shared" si="5"/>
        <v>64.32</v>
      </c>
      <c r="O207" s="124" cm="1">
        <f t="array" ref="O207">E207/_xlfn.XLOOKUP(1,('Case Pack'!$A$4:$A$962=C207)*('Case Pack'!$L$4:$L$962&gt;0)*('Case Pack'!$L$4:$L$962&lt;=A207),'Case Pack'!$D$4:$D$962,"未找到箱规")</f>
        <v>1</v>
      </c>
      <c r="P207" s="124" t="str">
        <f>IF(COUNTIF('PO Check'!A:A,D207)&gt;0,"Yes","No")</f>
        <v>Yes</v>
      </c>
      <c r="Q207" s="124" t="str" cm="1">
        <f t="array" ref="Q207">_xlfn.XLOOKUP(1,('Case Pack'!$A$4:$A$962=C207)*('Case Pack'!$L$4:$L$962&gt;0)*('Case Pack'!$L$4:$L$962&lt;=A207),'Case Pack'!$G$4:$G$962,"未找到箱型")</f>
        <v>B</v>
      </c>
      <c r="R207" s="124">
        <f>ROUND(IFERROR(VLOOKUP(Q207,'Case Type'!A:H,8,0),0)*O207,2)</f>
        <v>0.07</v>
      </c>
    </row>
    <row r="208" customFormat="1" spans="1:18">
      <c r="A208" s="113">
        <v>46127</v>
      </c>
      <c r="B208" s="91" t="str">
        <f>_xlfn.XLOOKUP(C208,'Product List'!B:B,'Product List'!I:I)</f>
        <v>MMO-CLOUD WATER BOTTLE</v>
      </c>
      <c r="C208" s="94" t="s">
        <v>77</v>
      </c>
      <c r="D208" s="125">
        <v>30935527</v>
      </c>
      <c r="E208" s="125">
        <v>350</v>
      </c>
      <c r="F208" s="125">
        <v>1.32</v>
      </c>
      <c r="G208" s="125">
        <f t="shared" si="4"/>
        <v>462</v>
      </c>
      <c r="H208" s="86" t="s">
        <v>298</v>
      </c>
      <c r="I208" s="86" t="s">
        <v>92</v>
      </c>
      <c r="J208" s="124" t="s">
        <v>322</v>
      </c>
      <c r="K208" s="193">
        <v>46164</v>
      </c>
      <c r="L208" s="251">
        <v>46160</v>
      </c>
      <c r="M208" s="127">
        <v>0.62</v>
      </c>
      <c r="N208" s="124">
        <f t="shared" si="5"/>
        <v>217</v>
      </c>
      <c r="O208" s="124" cm="1">
        <f t="array" ref="O208">E208/_xlfn.XLOOKUP(1,('Case Pack'!$A$4:$A$962=C208)*('Case Pack'!$L$4:$L$962&gt;0)*('Case Pack'!$L$4:$L$962&lt;=A208),'Case Pack'!$D$4:$D$962,"未找到箱规")</f>
        <v>7</v>
      </c>
      <c r="P208" s="124" t="str">
        <f>IF(COUNTIF('PO Check'!A:A,D208)&gt;0,"Yes","No")</f>
        <v>Yes</v>
      </c>
      <c r="Q208" s="124" t="str" cm="1">
        <f t="array" ref="Q208">_xlfn.XLOOKUP(1,('Case Pack'!$A$4:$A$962=C208)*('Case Pack'!$L$4:$L$962&gt;0)*('Case Pack'!$L$4:$L$962&lt;=A208),'Case Pack'!$G$4:$G$962,"未找到箱型")</f>
        <v>A</v>
      </c>
      <c r="R208" s="124">
        <f>ROUND(IFERROR(VLOOKUP(Q208,'Case Type'!A:H,8,0),0)*O208,2)</f>
        <v>0.77</v>
      </c>
    </row>
    <row r="209" customFormat="1" spans="1:18">
      <c r="A209" s="113">
        <v>46127</v>
      </c>
      <c r="B209" s="91" t="str">
        <f>_xlfn.XLOOKUP(C209,'Product List'!B:B,'Product List'!I:I)</f>
        <v>MMO-WAVE BRIDGE</v>
      </c>
      <c r="C209" s="94" t="s">
        <v>61</v>
      </c>
      <c r="D209" s="125">
        <v>30935527</v>
      </c>
      <c r="E209" s="125">
        <v>99</v>
      </c>
      <c r="F209" s="125">
        <v>4.84</v>
      </c>
      <c r="G209" s="125">
        <f t="shared" si="4"/>
        <v>479.16</v>
      </c>
      <c r="H209" s="86" t="s">
        <v>298</v>
      </c>
      <c r="I209" s="86" t="s">
        <v>92</v>
      </c>
      <c r="J209" s="124" t="s">
        <v>322</v>
      </c>
      <c r="K209" s="193">
        <v>46164</v>
      </c>
      <c r="L209" s="251">
        <v>46160</v>
      </c>
      <c r="M209" s="127">
        <v>2.79</v>
      </c>
      <c r="N209" s="124">
        <f t="shared" si="5"/>
        <v>276.21</v>
      </c>
      <c r="O209" s="124" cm="1">
        <f t="array" ref="O209">E209/_xlfn.XLOOKUP(1,('Case Pack'!$A$4:$A$962=C209)*('Case Pack'!$L$4:$L$962&gt;0)*('Case Pack'!$L$4:$L$962&lt;=A209),'Case Pack'!$D$4:$D$962,"未找到箱规")</f>
        <v>3</v>
      </c>
      <c r="P209" s="124" t="str">
        <f>IF(COUNTIF('PO Check'!A:A,D209)&gt;0,"Yes","No")</f>
        <v>Yes</v>
      </c>
      <c r="Q209" s="124" t="str" cm="1">
        <f t="array" ref="Q209">_xlfn.XLOOKUP(1,('Case Pack'!$A$4:$A$962=C209)*('Case Pack'!$L$4:$L$962&gt;0)*('Case Pack'!$L$4:$L$962&lt;=A209),'Case Pack'!$G$4:$G$962,"未找到箱型")</f>
        <v>C</v>
      </c>
      <c r="R209" s="124">
        <f>ROUND(IFERROR(VLOOKUP(Q209,'Case Type'!A:H,8,0),0)*O209,2)</f>
        <v>0.47</v>
      </c>
    </row>
    <row r="210" customFormat="1" spans="1:18">
      <c r="A210" s="113">
        <v>46127</v>
      </c>
      <c r="B210" s="91" t="str">
        <f>_xlfn.XLOOKUP(C210,'Product List'!B:B,'Product List'!I:I)</f>
        <v>MINI/MOE TV VIEWING CAGE</v>
      </c>
      <c r="C210" s="94" t="s">
        <v>50</v>
      </c>
      <c r="D210" s="125">
        <v>30935527</v>
      </c>
      <c r="E210" s="125">
        <v>122</v>
      </c>
      <c r="F210" s="125">
        <v>48.49</v>
      </c>
      <c r="G210" s="125">
        <f t="shared" si="4"/>
        <v>5915.78</v>
      </c>
      <c r="H210" s="86" t="s">
        <v>298</v>
      </c>
      <c r="I210" s="86" t="s">
        <v>92</v>
      </c>
      <c r="J210" s="124" t="s">
        <v>322</v>
      </c>
      <c r="K210" s="193">
        <v>46164</v>
      </c>
      <c r="L210" s="251">
        <v>46160</v>
      </c>
      <c r="M210" s="127">
        <v>24.09</v>
      </c>
      <c r="N210" s="124">
        <f t="shared" si="5"/>
        <v>2938.98</v>
      </c>
      <c r="O210" s="124" cm="1">
        <f t="array" ref="O210">E210/_xlfn.XLOOKUP(1,('Case Pack'!$A$4:$A$962=C210)*('Case Pack'!$L$4:$L$962&gt;0)*('Case Pack'!$L$4:$L$962&lt;=A210),'Case Pack'!$D$4:$D$962,"未找到箱规")</f>
        <v>122</v>
      </c>
      <c r="P210" s="124" t="str">
        <f>IF(COUNTIF('PO Check'!A:A,D210)&gt;0,"Yes","No")</f>
        <v>Yes</v>
      </c>
      <c r="Q210" s="124" t="str" cm="1">
        <f t="array" ref="Q210">_xlfn.XLOOKUP(1,('Case Pack'!$A$4:$A$962=C210)*('Case Pack'!$L$4:$L$962&gt;0)*('Case Pack'!$L$4:$L$962&lt;=A210),'Case Pack'!$G$4:$G$962,"未找到箱型")</f>
        <v>S1</v>
      </c>
      <c r="R210" s="124">
        <f>ROUND(IFERROR(VLOOKUP(Q210,'Case Type'!A:H,8,0),0)*O210,2)</f>
        <v>9.03</v>
      </c>
    </row>
    <row r="211" customFormat="1" spans="1:18">
      <c r="A211" s="113">
        <v>46127</v>
      </c>
      <c r="B211" s="91" t="str">
        <f>_xlfn.XLOOKUP(C211,'Product List'!B:B,'Product List'!I:I)</f>
        <v>MMO-BUBBLE WATER BOTTLE</v>
      </c>
      <c r="C211" s="94" t="s">
        <v>67</v>
      </c>
      <c r="D211" s="214">
        <v>30935527</v>
      </c>
      <c r="E211" s="125">
        <v>420</v>
      </c>
      <c r="F211" s="125">
        <v>4.35</v>
      </c>
      <c r="G211" s="125">
        <f t="shared" si="4"/>
        <v>1827</v>
      </c>
      <c r="H211" s="86" t="s">
        <v>298</v>
      </c>
      <c r="I211" s="86" t="s">
        <v>92</v>
      </c>
      <c r="J211" s="124" t="s">
        <v>322</v>
      </c>
      <c r="K211" s="193">
        <v>46164</v>
      </c>
      <c r="L211" s="251">
        <v>46160</v>
      </c>
      <c r="M211" s="127">
        <v>3.1</v>
      </c>
      <c r="N211" s="124">
        <f t="shared" si="5"/>
        <v>1302</v>
      </c>
      <c r="O211" s="124" cm="1">
        <f t="array" ref="O211">E211/_xlfn.XLOOKUP(1,('Case Pack'!$A$4:$A$962=C211)*('Case Pack'!$L$4:$L$962&gt;0)*('Case Pack'!$L$4:$L$962&lt;=A211),'Case Pack'!$D$4:$D$962,"未找到箱规")</f>
        <v>10</v>
      </c>
      <c r="P211" s="124" t="str">
        <f>IF(COUNTIF('PO Check'!A:A,D211)&gt;0,"Yes","No")</f>
        <v>Yes</v>
      </c>
      <c r="Q211" s="124" t="str" cm="1">
        <f t="array" ref="Q211">_xlfn.XLOOKUP(1,('Case Pack'!$A$4:$A$962=C211)*('Case Pack'!$L$4:$L$962&gt;0)*('Case Pack'!$L$4:$L$962&lt;=A211),'Case Pack'!$G$4:$G$962,"未找到箱型")</f>
        <v>C</v>
      </c>
      <c r="R211" s="124">
        <f>ROUND(IFERROR(VLOOKUP(Q211,'Case Type'!A:H,8,0),0)*O211,2)</f>
        <v>1.57</v>
      </c>
    </row>
    <row r="212" customFormat="1" spans="1:18">
      <c r="A212" s="113">
        <v>46127</v>
      </c>
      <c r="B212" s="91" t="str">
        <f>_xlfn.XLOOKUP(C212,'Product List'!B:B,'Product List'!I:I)</f>
        <v>MMO-SHELL PEARL HAMSTER CHEW</v>
      </c>
      <c r="C212" s="94" t="s">
        <v>35</v>
      </c>
      <c r="D212" s="125">
        <v>30935527</v>
      </c>
      <c r="E212" s="125">
        <v>128</v>
      </c>
      <c r="F212" s="125">
        <v>1.61</v>
      </c>
      <c r="G212" s="125">
        <f t="shared" si="4"/>
        <v>206.08</v>
      </c>
      <c r="H212" s="86" t="s">
        <v>298</v>
      </c>
      <c r="I212" s="86" t="s">
        <v>92</v>
      </c>
      <c r="J212" s="124" t="s">
        <v>322</v>
      </c>
      <c r="K212" s="193">
        <v>46164</v>
      </c>
      <c r="L212" s="251">
        <v>46160</v>
      </c>
      <c r="M212" s="127">
        <v>0.92</v>
      </c>
      <c r="N212" s="124">
        <f t="shared" si="5"/>
        <v>117.76</v>
      </c>
      <c r="O212" s="124" cm="1">
        <f t="array" ref="O212">E212/_xlfn.XLOOKUP(1,('Case Pack'!$A$4:$A$962=C212)*('Case Pack'!$L$4:$L$962&gt;0)*('Case Pack'!$L$4:$L$962&lt;=A212),'Case Pack'!$D$4:$D$962,"未找到箱规")</f>
        <v>2</v>
      </c>
      <c r="P212" s="124" t="str">
        <f>IF(COUNTIF('PO Check'!A:A,D212)&gt;0,"Yes","No")</f>
        <v>Yes</v>
      </c>
      <c r="Q212" s="124" t="str" cm="1">
        <f t="array" ref="Q212">_xlfn.XLOOKUP(1,('Case Pack'!$A$4:$A$962=C212)*('Case Pack'!$L$4:$L$962&gt;0)*('Case Pack'!$L$4:$L$962&lt;=A212),'Case Pack'!$G$4:$G$962,"未找到箱型")</f>
        <v>B</v>
      </c>
      <c r="R212" s="124">
        <f>ROUND(IFERROR(VLOOKUP(Q212,'Case Type'!A:H,8,0),0)*O212,2)</f>
        <v>0.15</v>
      </c>
    </row>
    <row r="213" customFormat="1" spans="1:18">
      <c r="A213" s="113">
        <v>46127</v>
      </c>
      <c r="B213" s="91" t="str">
        <f>_xlfn.XLOOKUP(C213,'Product List'!B:B,'Product List'!I:I)</f>
        <v>MMO-GREEN APPLE CHEW</v>
      </c>
      <c r="C213" s="94" t="s">
        <v>33</v>
      </c>
      <c r="D213" s="125">
        <v>30935527</v>
      </c>
      <c r="E213" s="125">
        <v>96</v>
      </c>
      <c r="F213" s="125">
        <v>1.53</v>
      </c>
      <c r="G213" s="125">
        <f t="shared" si="4"/>
        <v>146.88</v>
      </c>
      <c r="H213" s="86" t="s">
        <v>298</v>
      </c>
      <c r="I213" s="86" t="s">
        <v>92</v>
      </c>
      <c r="J213" s="124" t="s">
        <v>322</v>
      </c>
      <c r="K213" s="193">
        <v>46164</v>
      </c>
      <c r="L213" s="251">
        <v>46160</v>
      </c>
      <c r="M213" s="127">
        <v>0.87</v>
      </c>
      <c r="N213" s="124">
        <f t="shared" si="5"/>
        <v>83.52</v>
      </c>
      <c r="O213" s="124" cm="1">
        <f t="array" ref="O213">E213/_xlfn.XLOOKUP(1,('Case Pack'!$A$4:$A$962=C213)*('Case Pack'!$L$4:$L$962&gt;0)*('Case Pack'!$L$4:$L$962&lt;=A213),'Case Pack'!$D$4:$D$962,"未找到箱规")</f>
        <v>2</v>
      </c>
      <c r="P213" s="124" t="str">
        <f>IF(COUNTIF('PO Check'!A:A,D213)&gt;0,"Yes","No")</f>
        <v>Yes</v>
      </c>
      <c r="Q213" s="124" t="str" cm="1">
        <f t="array" ref="Q213">_xlfn.XLOOKUP(1,('Case Pack'!$A$4:$A$962=C213)*('Case Pack'!$L$4:$L$962&gt;0)*('Case Pack'!$L$4:$L$962&lt;=A213),'Case Pack'!$G$4:$G$962,"未找到箱型")</f>
        <v>B</v>
      </c>
      <c r="R213" s="124">
        <f>ROUND(IFERROR(VLOOKUP(Q213,'Case Type'!A:H,8,0),0)*O213,2)</f>
        <v>0.15</v>
      </c>
    </row>
    <row r="214" customFormat="1" spans="1:18">
      <c r="A214" s="113">
        <v>46127</v>
      </c>
      <c r="B214" s="91" t="str">
        <f>_xlfn.XLOOKUP(C214,'Product List'!B:B,'Product List'!I:I)</f>
        <v>MMO-CAMP LUNCH BOX CHEW</v>
      </c>
      <c r="C214" s="94" t="s">
        <v>34</v>
      </c>
      <c r="D214" s="125">
        <v>30935527</v>
      </c>
      <c r="E214" s="125">
        <v>144</v>
      </c>
      <c r="F214" s="125">
        <v>2.48</v>
      </c>
      <c r="G214" s="125">
        <f t="shared" si="4"/>
        <v>357.12</v>
      </c>
      <c r="H214" s="86" t="s">
        <v>298</v>
      </c>
      <c r="I214" s="86" t="s">
        <v>92</v>
      </c>
      <c r="J214" s="124" t="s">
        <v>322</v>
      </c>
      <c r="K214" s="193">
        <v>46164</v>
      </c>
      <c r="L214" s="251">
        <v>46160</v>
      </c>
      <c r="M214" s="127">
        <v>1.52</v>
      </c>
      <c r="N214" s="124">
        <f t="shared" si="5"/>
        <v>218.88</v>
      </c>
      <c r="O214" s="124" cm="1">
        <f t="array" ref="O214">E214/_xlfn.XLOOKUP(1,('Case Pack'!$A$4:$A$962=C214)*('Case Pack'!$L$4:$L$962&gt;0)*('Case Pack'!$L$4:$L$962&lt;=A214),'Case Pack'!$D$4:$D$962,"未找到箱规")</f>
        <v>2</v>
      </c>
      <c r="P214" s="124" t="str">
        <f>IF(COUNTIF('PO Check'!A:A,D214)&gt;0,"Yes","No")</f>
        <v>Yes</v>
      </c>
      <c r="Q214" s="124" t="str" cm="1">
        <f t="array" ref="Q214">_xlfn.XLOOKUP(1,('Case Pack'!$A$4:$A$962=C214)*('Case Pack'!$L$4:$L$962&gt;0)*('Case Pack'!$L$4:$L$962&lt;=A214),'Case Pack'!$G$4:$G$962,"未找到箱型")</f>
        <v>B</v>
      </c>
      <c r="R214" s="124">
        <f>ROUND(IFERROR(VLOOKUP(Q214,'Case Type'!A:H,8,0),0)*O214,2)</f>
        <v>0.15</v>
      </c>
    </row>
    <row r="215" customFormat="1" spans="1:18">
      <c r="A215" s="113">
        <v>46127</v>
      </c>
      <c r="B215" s="91" t="str">
        <f>_xlfn.XLOOKUP(C215,'Product List'!B:B,'Product List'!I:I)</f>
        <v>MINI/MOE BENDABLE BIRCHWOOD FENCE</v>
      </c>
      <c r="C215" s="94" t="s">
        <v>62</v>
      </c>
      <c r="D215" s="125">
        <v>30935528</v>
      </c>
      <c r="E215" s="125">
        <v>48</v>
      </c>
      <c r="F215" s="125">
        <v>5.01</v>
      </c>
      <c r="G215" s="125">
        <f t="shared" si="4"/>
        <v>240.48</v>
      </c>
      <c r="H215" s="86" t="s">
        <v>298</v>
      </c>
      <c r="I215" s="86" t="s">
        <v>92</v>
      </c>
      <c r="J215" s="124" t="s">
        <v>316</v>
      </c>
      <c r="K215" s="193">
        <v>46146</v>
      </c>
      <c r="L215" s="251">
        <v>46146</v>
      </c>
      <c r="M215" s="127">
        <v>2.63</v>
      </c>
      <c r="N215" s="124">
        <f t="shared" si="5"/>
        <v>126.24</v>
      </c>
      <c r="O215" s="124" cm="1">
        <f t="array" ref="O215">E215/_xlfn.XLOOKUP(1,('Case Pack'!$A$4:$A$962=C215)*('Case Pack'!$L$4:$L$962&gt;0)*('Case Pack'!$L$4:$L$962&lt;=A215),'Case Pack'!$D$4:$D$962,"未找到箱规")</f>
        <v>1.5</v>
      </c>
      <c r="P215" s="124" t="str">
        <f>IF(COUNTIF('PO Check'!A:A,D215)&gt;0,"Yes","No")</f>
        <v>Yes</v>
      </c>
      <c r="Q215" s="124" t="str" cm="1">
        <f t="array" ref="Q215">_xlfn.XLOOKUP(1,('Case Pack'!$A$4:$A$962=C215)*('Case Pack'!$L$4:$L$962&gt;0)*('Case Pack'!$L$4:$L$962&lt;=A215),'Case Pack'!$G$4:$G$962,"未找到箱型")</f>
        <v>F</v>
      </c>
      <c r="R215" s="124">
        <f>ROUND(IFERROR(VLOOKUP(Q215,'Case Type'!A:H,8,0),0)*O215,2)</f>
        <v>0.06</v>
      </c>
    </row>
    <row r="216" customFormat="1" spans="1:18">
      <c r="A216" s="113">
        <v>46127</v>
      </c>
      <c r="B216" s="91" t="str">
        <f>_xlfn.XLOOKUP(C216,'Product List'!B:B,'Product List'!I:I)</f>
        <v>MINI/MOE SILENT CRSTL RUN WHEEL LG 8.5-White</v>
      </c>
      <c r="C216" s="94" t="s">
        <v>29</v>
      </c>
      <c r="D216" s="125">
        <v>30935528</v>
      </c>
      <c r="E216" s="125">
        <v>24</v>
      </c>
      <c r="F216" s="125">
        <v>13.22</v>
      </c>
      <c r="G216" s="125">
        <f t="shared" si="4"/>
        <v>317.28</v>
      </c>
      <c r="H216" s="86" t="s">
        <v>298</v>
      </c>
      <c r="I216" s="86" t="s">
        <v>92</v>
      </c>
      <c r="J216" s="124" t="s">
        <v>316</v>
      </c>
      <c r="K216" s="193">
        <v>46146</v>
      </c>
      <c r="L216" s="251">
        <v>46146</v>
      </c>
      <c r="M216" s="127">
        <v>6.27</v>
      </c>
      <c r="N216" s="124">
        <f t="shared" si="5"/>
        <v>150.48</v>
      </c>
      <c r="O216" s="124" cm="1">
        <f t="array" ref="O216">E216/_xlfn.XLOOKUP(1,('Case Pack'!$A$4:$A$962=C216)*('Case Pack'!$L$4:$L$962&gt;0)*('Case Pack'!$L$4:$L$962&lt;=A216),'Case Pack'!$D$4:$D$962,"未找到箱规")</f>
        <v>3</v>
      </c>
      <c r="P216" s="124" t="str">
        <f>IF(COUNTIF('PO Check'!A:A,D216)&gt;0,"Yes","No")</f>
        <v>Yes</v>
      </c>
      <c r="Q216" s="124" t="str" cm="1">
        <f t="array" ref="Q216">_xlfn.XLOOKUP(1,('Case Pack'!$A$4:$A$962=C216)*('Case Pack'!$L$4:$L$962&gt;0)*('Case Pack'!$L$4:$L$962&lt;=A216),'Case Pack'!$G$4:$G$962,"未找到箱型")</f>
        <v>C</v>
      </c>
      <c r="R216" s="124">
        <f>ROUND(IFERROR(VLOOKUP(Q216,'Case Type'!A:H,8,0),0)*O216,2)</f>
        <v>0.47</v>
      </c>
    </row>
    <row r="217" customFormat="1" spans="1:18">
      <c r="A217" s="113">
        <v>46127</v>
      </c>
      <c r="B217" s="91" t="str">
        <f>_xlfn.XLOOKUP(C217,'Product List'!B:B,'Product List'!I:I)</f>
        <v>MINI/MOE RUFFLE BOWL</v>
      </c>
      <c r="C217" s="94" t="s">
        <v>78</v>
      </c>
      <c r="D217" s="125">
        <v>30935528</v>
      </c>
      <c r="E217" s="125">
        <v>96</v>
      </c>
      <c r="F217" s="125">
        <v>2.35</v>
      </c>
      <c r="G217" s="125">
        <f t="shared" si="4"/>
        <v>225.6</v>
      </c>
      <c r="H217" s="86" t="s">
        <v>298</v>
      </c>
      <c r="I217" s="86" t="s">
        <v>92</v>
      </c>
      <c r="J217" s="124" t="s">
        <v>316</v>
      </c>
      <c r="K217" s="193">
        <v>46146</v>
      </c>
      <c r="L217" s="251">
        <v>46146</v>
      </c>
      <c r="M217" s="127">
        <v>1.34</v>
      </c>
      <c r="N217" s="124">
        <f t="shared" si="5"/>
        <v>128.64</v>
      </c>
      <c r="O217" s="124" cm="1">
        <f t="array" ref="O217">E217/_xlfn.XLOOKUP(1,('Case Pack'!$A$4:$A$962=C217)*('Case Pack'!$L$4:$L$962&gt;0)*('Case Pack'!$L$4:$L$962&lt;=A217),'Case Pack'!$D$4:$D$962,"未找到箱规")</f>
        <v>2</v>
      </c>
      <c r="P217" s="124" t="str">
        <f>IF(COUNTIF('PO Check'!A:A,D217)&gt;0,"Yes","No")</f>
        <v>Yes</v>
      </c>
      <c r="Q217" s="124" t="str" cm="1">
        <f t="array" ref="Q217">_xlfn.XLOOKUP(1,('Case Pack'!$A$4:$A$962=C217)*('Case Pack'!$L$4:$L$962&gt;0)*('Case Pack'!$L$4:$L$962&lt;=A217),'Case Pack'!$G$4:$G$962,"未找到箱型")</f>
        <v>B</v>
      </c>
      <c r="R217" s="124">
        <f>ROUND(IFERROR(VLOOKUP(Q217,'Case Type'!A:H,8,0),0)*O217,2)</f>
        <v>0.15</v>
      </c>
    </row>
    <row r="218" customFormat="1" spans="1:18">
      <c r="A218" s="113">
        <v>46127</v>
      </c>
      <c r="B218" s="91" t="str">
        <f>_xlfn.XLOOKUP(C218,'Product List'!B:B,'Product List'!I:I)</f>
        <v>MMO-CLOUD WATER BOTTLE</v>
      </c>
      <c r="C218" s="94" t="s">
        <v>77</v>
      </c>
      <c r="D218" s="125">
        <v>30935528</v>
      </c>
      <c r="E218" s="125">
        <v>120</v>
      </c>
      <c r="F218" s="125">
        <v>1.32</v>
      </c>
      <c r="G218" s="125">
        <f t="shared" si="4"/>
        <v>158.4</v>
      </c>
      <c r="H218" s="86" t="s">
        <v>298</v>
      </c>
      <c r="I218" s="86" t="s">
        <v>92</v>
      </c>
      <c r="J218" s="124" t="s">
        <v>316</v>
      </c>
      <c r="K218" s="193">
        <v>46146</v>
      </c>
      <c r="L218" s="251">
        <v>46146</v>
      </c>
      <c r="M218" s="127">
        <v>0.62</v>
      </c>
      <c r="N218" s="124">
        <f t="shared" si="5"/>
        <v>74.4</v>
      </c>
      <c r="O218" s="124" cm="1">
        <f t="array" ref="O218">E218/_xlfn.XLOOKUP(1,('Case Pack'!$A$4:$A$962=C218)*('Case Pack'!$L$4:$L$962&gt;0)*('Case Pack'!$L$4:$L$962&lt;=A218),'Case Pack'!$D$4:$D$962,"未找到箱规")</f>
        <v>2.4</v>
      </c>
      <c r="P218" s="124" t="str">
        <f>IF(COUNTIF('PO Check'!A:A,D218)&gt;0,"Yes","No")</f>
        <v>Yes</v>
      </c>
      <c r="Q218" s="124" t="str" cm="1">
        <f t="array" ref="Q218">_xlfn.XLOOKUP(1,('Case Pack'!$A$4:$A$962=C218)*('Case Pack'!$L$4:$L$962&gt;0)*('Case Pack'!$L$4:$L$962&lt;=A218),'Case Pack'!$G$4:$G$962,"未找到箱型")</f>
        <v>A</v>
      </c>
      <c r="R218" s="124">
        <f>ROUND(IFERROR(VLOOKUP(Q218,'Case Type'!A:H,8,0),0)*O218,2)</f>
        <v>0.26</v>
      </c>
    </row>
    <row r="219" customFormat="1" spans="1:18">
      <c r="A219" s="113">
        <v>46127</v>
      </c>
      <c r="B219" s="91" t="str">
        <f>_xlfn.XLOOKUP(C219,'Product List'!B:B,'Product List'!I:I)</f>
        <v>MMO-STARFISH CASTLE</v>
      </c>
      <c r="C219" s="94" t="s">
        <v>60</v>
      </c>
      <c r="D219" s="125">
        <v>30935528</v>
      </c>
      <c r="E219" s="125">
        <v>48</v>
      </c>
      <c r="F219" s="125">
        <v>5.32</v>
      </c>
      <c r="G219" s="125">
        <f t="shared" si="4"/>
        <v>255.36</v>
      </c>
      <c r="H219" s="86" t="s">
        <v>298</v>
      </c>
      <c r="I219" s="86" t="s">
        <v>92</v>
      </c>
      <c r="J219" s="124" t="s">
        <v>316</v>
      </c>
      <c r="K219" s="193">
        <v>46146</v>
      </c>
      <c r="L219" s="251">
        <v>46146</v>
      </c>
      <c r="M219" s="127">
        <v>2.81</v>
      </c>
      <c r="N219" s="124">
        <f t="shared" si="5"/>
        <v>134.88</v>
      </c>
      <c r="O219" s="124" cm="1">
        <f t="array" ref="O219">E219/_xlfn.XLOOKUP(1,('Case Pack'!$A$4:$A$962=C219)*('Case Pack'!$L$4:$L$962&gt;0)*('Case Pack'!$L$4:$L$962&lt;=A219),'Case Pack'!$D$4:$D$962,"未找到箱规")</f>
        <v>2.4</v>
      </c>
      <c r="P219" s="124" t="str">
        <f>IF(COUNTIF('PO Check'!A:A,D219)&gt;0,"Yes","No")</f>
        <v>Yes</v>
      </c>
      <c r="Q219" s="124" t="str" cm="1">
        <f t="array" ref="Q219">_xlfn.XLOOKUP(1,('Case Pack'!$A$4:$A$962=C219)*('Case Pack'!$L$4:$L$962&gt;0)*('Case Pack'!$L$4:$L$962&lt;=A219),'Case Pack'!$G$4:$G$962,"未找到箱型")</f>
        <v>C</v>
      </c>
      <c r="R219" s="124">
        <f>ROUND(IFERROR(VLOOKUP(Q219,'Case Type'!A:H,8,0),0)*O219,2)</f>
        <v>0.38</v>
      </c>
    </row>
    <row r="220" customFormat="1" spans="1:18">
      <c r="A220" s="113">
        <v>46127</v>
      </c>
      <c r="B220" s="91" t="str">
        <f>_xlfn.XLOOKUP(C220,'Product List'!B:B,'Product List'!I:I)</f>
        <v>MMO-WAVE BRIDGE</v>
      </c>
      <c r="C220" s="94" t="s">
        <v>61</v>
      </c>
      <c r="D220" s="125">
        <v>30935528</v>
      </c>
      <c r="E220" s="125">
        <v>32</v>
      </c>
      <c r="F220" s="125">
        <v>4.84</v>
      </c>
      <c r="G220" s="125">
        <f t="shared" si="4"/>
        <v>154.88</v>
      </c>
      <c r="H220" s="86" t="s">
        <v>298</v>
      </c>
      <c r="I220" s="86" t="s">
        <v>92</v>
      </c>
      <c r="J220" s="124" t="s">
        <v>316</v>
      </c>
      <c r="K220" s="193">
        <v>46146</v>
      </c>
      <c r="L220" s="251">
        <v>46146</v>
      </c>
      <c r="M220" s="127">
        <v>2.79</v>
      </c>
      <c r="N220" s="124">
        <f t="shared" si="5"/>
        <v>89.28</v>
      </c>
      <c r="O220" s="124" cm="1">
        <f t="array" ref="O220">E220/_xlfn.XLOOKUP(1,('Case Pack'!$A$4:$A$962=C220)*('Case Pack'!$L$4:$L$962&gt;0)*('Case Pack'!$L$4:$L$962&lt;=A220),'Case Pack'!$D$4:$D$962,"未找到箱规")</f>
        <v>0.96969696969697</v>
      </c>
      <c r="P220" s="124" t="str">
        <f>IF(COUNTIF('PO Check'!A:A,D220)&gt;0,"Yes","No")</f>
        <v>Yes</v>
      </c>
      <c r="Q220" s="124" t="str" cm="1">
        <f t="array" ref="Q220">_xlfn.XLOOKUP(1,('Case Pack'!$A$4:$A$962=C220)*('Case Pack'!$L$4:$L$962&gt;0)*('Case Pack'!$L$4:$L$962&lt;=A220),'Case Pack'!$G$4:$G$962,"未找到箱型")</f>
        <v>C</v>
      </c>
      <c r="R220" s="124">
        <f>ROUND(IFERROR(VLOOKUP(Q220,'Case Type'!A:H,8,0),0)*O220,2)</f>
        <v>0.15</v>
      </c>
    </row>
    <row r="221" customFormat="1" spans="1:18">
      <c r="A221" s="113">
        <v>46127</v>
      </c>
      <c r="B221" s="91" t="str">
        <f>_xlfn.XLOOKUP(C221,'Product List'!B:B,'Product List'!I:I)</f>
        <v>MMO-PAPER PEBBLES</v>
      </c>
      <c r="C221" s="249" t="s">
        <v>81</v>
      </c>
      <c r="D221" s="125">
        <v>30935528</v>
      </c>
      <c r="E221" s="125">
        <v>30</v>
      </c>
      <c r="F221" s="125">
        <v>5.81</v>
      </c>
      <c r="G221" s="125">
        <f t="shared" si="4"/>
        <v>174.3</v>
      </c>
      <c r="H221" s="86" t="s">
        <v>298</v>
      </c>
      <c r="I221" s="86" t="s">
        <v>92</v>
      </c>
      <c r="J221" s="124" t="s">
        <v>316</v>
      </c>
      <c r="K221" s="193">
        <v>46146</v>
      </c>
      <c r="L221" s="251">
        <v>46146</v>
      </c>
      <c r="M221" s="127">
        <v>2.84</v>
      </c>
      <c r="N221" s="124">
        <f t="shared" si="5"/>
        <v>85.2</v>
      </c>
      <c r="O221" s="124" cm="1">
        <f t="array" ref="O221">E221/_xlfn.XLOOKUP(1,('Case Pack'!$A$4:$A$962=C221)*('Case Pack'!$L$4:$L$962&gt;0)*('Case Pack'!$L$4:$L$962&lt;=A221),'Case Pack'!$D$4:$D$962,"未找到箱规")</f>
        <v>2.5</v>
      </c>
      <c r="P221" s="124" t="str">
        <f>IF(COUNTIF('PO Check'!A:A,D221)&gt;0,"Yes","No")</f>
        <v>Yes</v>
      </c>
      <c r="Q221" s="124" t="str" cm="1">
        <f t="array" ref="Q221">_xlfn.XLOOKUP(1,('Case Pack'!$A$4:$A$962=C221)*('Case Pack'!$L$4:$L$962&gt;0)*('Case Pack'!$L$4:$L$962&lt;=A221),'Case Pack'!$G$4:$G$962,"未找到箱型")</f>
        <v>B</v>
      </c>
      <c r="R221" s="124">
        <f>ROUND(IFERROR(VLOOKUP(Q221,'Case Type'!A:H,8,0),0)*O221,2)</f>
        <v>0.18</v>
      </c>
    </row>
    <row r="222" customFormat="1" spans="1:18">
      <c r="A222" s="113">
        <v>46127</v>
      </c>
      <c r="B222" s="91" t="str">
        <f>_xlfn.XLOOKUP(C222,'Product List'!B:B,'Product List'!I:I)</f>
        <v>MMO-COTTON NESTING BALLS</v>
      </c>
      <c r="C222" s="249" t="s">
        <v>84</v>
      </c>
      <c r="D222" s="125">
        <v>30935528</v>
      </c>
      <c r="E222" s="125">
        <v>62</v>
      </c>
      <c r="F222" s="125">
        <v>3.37</v>
      </c>
      <c r="G222" s="125">
        <f t="shared" si="4"/>
        <v>208.94</v>
      </c>
      <c r="H222" s="86" t="s">
        <v>298</v>
      </c>
      <c r="I222" s="86" t="s">
        <v>92</v>
      </c>
      <c r="J222" s="124" t="s">
        <v>316</v>
      </c>
      <c r="K222" s="193">
        <v>46146</v>
      </c>
      <c r="L222" s="251">
        <v>46146</v>
      </c>
      <c r="M222" s="127">
        <v>1.64</v>
      </c>
      <c r="N222" s="124">
        <f t="shared" si="5"/>
        <v>101.68</v>
      </c>
      <c r="O222" s="124" cm="1">
        <f t="array" ref="O222">E222/_xlfn.XLOOKUP(1,('Case Pack'!$A$4:$A$962=C222)*('Case Pack'!$L$4:$L$962&gt;0)*('Case Pack'!$L$4:$L$962&lt;=A222),'Case Pack'!$D$4:$D$962,"未找到箱规")</f>
        <v>1.9375</v>
      </c>
      <c r="P222" s="124" t="str">
        <f>IF(COUNTIF('PO Check'!A:A,D222)&gt;0,"Yes","No")</f>
        <v>Yes</v>
      </c>
      <c r="Q222" s="124" t="str" cm="1">
        <f t="array" ref="Q222">_xlfn.XLOOKUP(1,('Case Pack'!$A$4:$A$962=C222)*('Case Pack'!$L$4:$L$962&gt;0)*('Case Pack'!$L$4:$L$962&lt;=A222),'Case Pack'!$G$4:$G$962,"未找到箱型")</f>
        <v>A</v>
      </c>
      <c r="R222" s="124">
        <f>ROUND(IFERROR(VLOOKUP(Q222,'Case Type'!A:H,8,0),0)*O222,2)</f>
        <v>0.21</v>
      </c>
    </row>
    <row r="223" customFormat="1" spans="1:18">
      <c r="A223" s="113">
        <v>46127</v>
      </c>
      <c r="B223" s="91" t="str">
        <f>_xlfn.XLOOKUP(C223,'Product List'!B:B,'Product List'!I:I)</f>
        <v>MINI/MOE TV VIEWING CAGE</v>
      </c>
      <c r="C223" s="94" t="s">
        <v>50</v>
      </c>
      <c r="D223" s="125">
        <v>30935528</v>
      </c>
      <c r="E223" s="125">
        <v>42</v>
      </c>
      <c r="F223" s="125">
        <v>48.49</v>
      </c>
      <c r="G223" s="125">
        <f t="shared" si="4"/>
        <v>2036.58</v>
      </c>
      <c r="H223" s="86" t="s">
        <v>298</v>
      </c>
      <c r="I223" s="86" t="s">
        <v>92</v>
      </c>
      <c r="J223" s="124" t="s">
        <v>316</v>
      </c>
      <c r="K223" s="193">
        <v>46146</v>
      </c>
      <c r="L223" s="251">
        <v>46146</v>
      </c>
      <c r="M223" s="127">
        <v>24.09</v>
      </c>
      <c r="N223" s="124">
        <f t="shared" si="5"/>
        <v>1011.78</v>
      </c>
      <c r="O223" s="124" cm="1">
        <f t="array" ref="O223">E223/_xlfn.XLOOKUP(1,('Case Pack'!$A$4:$A$962=C223)*('Case Pack'!$L$4:$L$962&gt;0)*('Case Pack'!$L$4:$L$962&lt;=A223),'Case Pack'!$D$4:$D$962,"未找到箱规")</f>
        <v>42</v>
      </c>
      <c r="P223" s="124" t="str">
        <f>IF(COUNTIF('PO Check'!A:A,D223)&gt;0,"Yes","No")</f>
        <v>Yes</v>
      </c>
      <c r="Q223" s="124" t="str" cm="1">
        <f t="array" ref="Q223">_xlfn.XLOOKUP(1,('Case Pack'!$A$4:$A$962=C223)*('Case Pack'!$L$4:$L$962&gt;0)*('Case Pack'!$L$4:$L$962&lt;=A223),'Case Pack'!$G$4:$G$962,"未找到箱型")</f>
        <v>S1</v>
      </c>
      <c r="R223" s="124">
        <f>ROUND(IFERROR(VLOOKUP(Q223,'Case Type'!A:H,8,0),0)*O223,2)</f>
        <v>3.11</v>
      </c>
    </row>
    <row r="224" customFormat="1" spans="1:18">
      <c r="A224" s="113">
        <v>46127</v>
      </c>
      <c r="B224" s="91" t="str">
        <f>_xlfn.XLOOKUP(C224,'Product List'!B:B,'Product List'!I:I)</f>
        <v>MMO-BUBBLE WATER BOTTLE</v>
      </c>
      <c r="C224" s="94" t="s">
        <v>67</v>
      </c>
      <c r="D224" s="214">
        <v>30935528</v>
      </c>
      <c r="E224" s="125">
        <v>36</v>
      </c>
      <c r="F224" s="125">
        <v>4.35</v>
      </c>
      <c r="G224" s="125">
        <f t="shared" si="4"/>
        <v>156.6</v>
      </c>
      <c r="H224" s="86" t="s">
        <v>298</v>
      </c>
      <c r="I224" s="86" t="s">
        <v>92</v>
      </c>
      <c r="J224" s="124" t="s">
        <v>316</v>
      </c>
      <c r="K224" s="193">
        <v>46146</v>
      </c>
      <c r="L224" s="251">
        <v>46146</v>
      </c>
      <c r="M224" s="127">
        <v>3.1</v>
      </c>
      <c r="N224" s="124">
        <f t="shared" si="5"/>
        <v>111.6</v>
      </c>
      <c r="O224" s="124" cm="1">
        <f t="array" ref="O224">E224/_xlfn.XLOOKUP(1,('Case Pack'!$A$4:$A$962=C224)*('Case Pack'!$L$4:$L$962&gt;0)*('Case Pack'!$L$4:$L$962&lt;=A224),'Case Pack'!$D$4:$D$962,"未找到箱规")</f>
        <v>0.857142857142857</v>
      </c>
      <c r="P224" s="124" t="str">
        <f>IF(COUNTIF('PO Check'!A:A,D224)&gt;0,"Yes","No")</f>
        <v>Yes</v>
      </c>
      <c r="Q224" s="124" t="str" cm="1">
        <f t="array" ref="Q224">_xlfn.XLOOKUP(1,('Case Pack'!$A$4:$A$962=C224)*('Case Pack'!$L$4:$L$962&gt;0)*('Case Pack'!$L$4:$L$962&lt;=A224),'Case Pack'!$G$4:$G$962,"未找到箱型")</f>
        <v>C</v>
      </c>
      <c r="R224" s="124">
        <f>ROUND(IFERROR(VLOOKUP(Q224,'Case Type'!A:H,8,0),0)*O224,2)</f>
        <v>0.13</v>
      </c>
    </row>
    <row r="225" customFormat="1" spans="1:18">
      <c r="A225" s="113">
        <v>46127</v>
      </c>
      <c r="B225" s="91" t="str">
        <f>_xlfn.XLOOKUP(C225,'Product List'!B:B,'Product List'!I:I)</f>
        <v>MINI/MOE SILENT CRSTL RUN WHEEL LG 8.5-White</v>
      </c>
      <c r="C225" s="94" t="s">
        <v>29</v>
      </c>
      <c r="D225" s="125">
        <v>30935529</v>
      </c>
      <c r="E225" s="125">
        <v>24</v>
      </c>
      <c r="F225" s="125">
        <v>13.22</v>
      </c>
      <c r="G225" s="125">
        <f t="shared" si="4"/>
        <v>317.28</v>
      </c>
      <c r="H225" s="86" t="s">
        <v>298</v>
      </c>
      <c r="I225" s="86" t="s">
        <v>92</v>
      </c>
      <c r="J225" s="124" t="s">
        <v>316</v>
      </c>
      <c r="K225" s="193">
        <v>46164</v>
      </c>
      <c r="L225" s="251">
        <v>46160</v>
      </c>
      <c r="M225" s="127">
        <v>6.27</v>
      </c>
      <c r="N225" s="124">
        <f t="shared" si="5"/>
        <v>150.48</v>
      </c>
      <c r="O225" s="124" cm="1">
        <f t="array" ref="O225">E225/_xlfn.XLOOKUP(1,('Case Pack'!$A$4:$A$962=C225)*('Case Pack'!$L$4:$L$962&gt;0)*('Case Pack'!$L$4:$L$962&lt;=A225),'Case Pack'!$D$4:$D$962,"未找到箱规")</f>
        <v>3</v>
      </c>
      <c r="P225" s="124" t="str">
        <f>IF(COUNTIF('PO Check'!A:A,D225)&gt;0,"Yes","No")</f>
        <v>Yes</v>
      </c>
      <c r="Q225" s="124" t="str" cm="1">
        <f t="array" ref="Q225">_xlfn.XLOOKUP(1,('Case Pack'!$A$4:$A$962=C225)*('Case Pack'!$L$4:$L$962&gt;0)*('Case Pack'!$L$4:$L$962&lt;=A225),'Case Pack'!$G$4:$G$962,"未找到箱型")</f>
        <v>C</v>
      </c>
      <c r="R225" s="124">
        <f>ROUND(IFERROR(VLOOKUP(Q225,'Case Type'!A:H,8,0),0)*O225,2)</f>
        <v>0.47</v>
      </c>
    </row>
    <row r="226" customFormat="1" spans="1:18">
      <c r="A226" s="113">
        <v>46127</v>
      </c>
      <c r="B226" s="91" t="str">
        <f>_xlfn.XLOOKUP(C226,'Product List'!B:B,'Product List'!I:I)</f>
        <v>MMO-CLOUD WATER BOTTLE</v>
      </c>
      <c r="C226" s="94" t="s">
        <v>77</v>
      </c>
      <c r="D226" s="125">
        <v>30935529</v>
      </c>
      <c r="E226" s="125">
        <v>250</v>
      </c>
      <c r="F226" s="125">
        <v>1.32</v>
      </c>
      <c r="G226" s="125">
        <f t="shared" ref="G226:G289" si="6">E226*F226</f>
        <v>330</v>
      </c>
      <c r="H226" s="86" t="s">
        <v>298</v>
      </c>
      <c r="I226" s="86" t="s">
        <v>92</v>
      </c>
      <c r="J226" s="124" t="s">
        <v>316</v>
      </c>
      <c r="K226" s="193">
        <v>46164</v>
      </c>
      <c r="L226" s="251">
        <v>46160</v>
      </c>
      <c r="M226" s="127">
        <v>0.62</v>
      </c>
      <c r="N226" s="124">
        <f t="shared" ref="N226:N289" si="7">M226*E226</f>
        <v>155</v>
      </c>
      <c r="O226" s="124" cm="1">
        <f t="array" ref="O226">E226/_xlfn.XLOOKUP(1,('Case Pack'!$A$4:$A$962=C226)*('Case Pack'!$L$4:$L$962&gt;0)*('Case Pack'!$L$4:$L$962&lt;=A226),'Case Pack'!$D$4:$D$962,"未找到箱规")</f>
        <v>5</v>
      </c>
      <c r="P226" s="124" t="str">
        <f>IF(COUNTIF('PO Check'!A:A,D226)&gt;0,"Yes","No")</f>
        <v>Yes</v>
      </c>
      <c r="Q226" s="124" t="str" cm="1">
        <f t="array" ref="Q226">_xlfn.XLOOKUP(1,('Case Pack'!$A$4:$A$962=C226)*('Case Pack'!$L$4:$L$962&gt;0)*('Case Pack'!$L$4:$L$962&lt;=A226),'Case Pack'!$G$4:$G$962,"未找到箱型")</f>
        <v>A</v>
      </c>
      <c r="R226" s="124">
        <f>ROUND(IFERROR(VLOOKUP(Q226,'Case Type'!A:H,8,0),0)*O226,2)</f>
        <v>0.55</v>
      </c>
    </row>
    <row r="227" customFormat="1" spans="1:18">
      <c r="A227" s="113">
        <v>46127</v>
      </c>
      <c r="B227" s="91" t="str">
        <f>_xlfn.XLOOKUP(C227,'Product List'!B:B,'Product List'!I:I)</f>
        <v>MMO-WAVE BRIDGE</v>
      </c>
      <c r="C227" s="94" t="s">
        <v>61</v>
      </c>
      <c r="D227" s="125">
        <v>30935529</v>
      </c>
      <c r="E227" s="125">
        <v>32</v>
      </c>
      <c r="F227" s="125">
        <v>4.84</v>
      </c>
      <c r="G227" s="125">
        <f t="shared" si="6"/>
        <v>154.88</v>
      </c>
      <c r="H227" s="86" t="s">
        <v>298</v>
      </c>
      <c r="I227" s="86" t="s">
        <v>92</v>
      </c>
      <c r="J227" s="124" t="s">
        <v>316</v>
      </c>
      <c r="K227" s="193">
        <v>46164</v>
      </c>
      <c r="L227" s="251">
        <v>46160</v>
      </c>
      <c r="M227" s="127">
        <v>2.79</v>
      </c>
      <c r="N227" s="124">
        <f t="shared" si="7"/>
        <v>89.28</v>
      </c>
      <c r="O227" s="124" cm="1">
        <f t="array" ref="O227">E227/_xlfn.XLOOKUP(1,('Case Pack'!$A$4:$A$962=C227)*('Case Pack'!$L$4:$L$962&gt;0)*('Case Pack'!$L$4:$L$962&lt;=A227),'Case Pack'!$D$4:$D$962,"未找到箱规")</f>
        <v>0.96969696969697</v>
      </c>
      <c r="P227" s="124" t="str">
        <f>IF(COUNTIF('PO Check'!A:A,D227)&gt;0,"Yes","No")</f>
        <v>Yes</v>
      </c>
      <c r="Q227" s="124" t="str" cm="1">
        <f t="array" ref="Q227">_xlfn.XLOOKUP(1,('Case Pack'!$A$4:$A$962=C227)*('Case Pack'!$L$4:$L$962&gt;0)*('Case Pack'!$L$4:$L$962&lt;=A227),'Case Pack'!$G$4:$G$962,"未找到箱型")</f>
        <v>C</v>
      </c>
      <c r="R227" s="124">
        <f>ROUND(IFERROR(VLOOKUP(Q227,'Case Type'!A:H,8,0),0)*O227,2)</f>
        <v>0.15</v>
      </c>
    </row>
    <row r="228" customFormat="1" spans="1:18">
      <c r="A228" s="113">
        <v>46127</v>
      </c>
      <c r="B228" s="91" t="str">
        <f>_xlfn.XLOOKUP(C228,'Product List'!B:B,'Product List'!I:I)</f>
        <v>MINI/MOE TV VIEWING CAGE</v>
      </c>
      <c r="C228" s="94" t="s">
        <v>50</v>
      </c>
      <c r="D228" s="125">
        <v>30935529</v>
      </c>
      <c r="E228" s="125">
        <v>109</v>
      </c>
      <c r="F228" s="125">
        <v>48.49</v>
      </c>
      <c r="G228" s="125">
        <f t="shared" si="6"/>
        <v>5285.41</v>
      </c>
      <c r="H228" s="86" t="s">
        <v>298</v>
      </c>
      <c r="I228" s="86" t="s">
        <v>92</v>
      </c>
      <c r="J228" s="124" t="s">
        <v>316</v>
      </c>
      <c r="K228" s="193">
        <v>46164</v>
      </c>
      <c r="L228" s="251">
        <v>46160</v>
      </c>
      <c r="M228" s="127">
        <v>24.09</v>
      </c>
      <c r="N228" s="124">
        <f t="shared" si="7"/>
        <v>2625.81</v>
      </c>
      <c r="O228" s="124" cm="1">
        <f t="array" ref="O228">E228/_xlfn.XLOOKUP(1,('Case Pack'!$A$4:$A$962=C228)*('Case Pack'!$L$4:$L$962&gt;0)*('Case Pack'!$L$4:$L$962&lt;=A228),'Case Pack'!$D$4:$D$962,"未找到箱规")</f>
        <v>109</v>
      </c>
      <c r="P228" s="124" t="str">
        <f>IF(COUNTIF('PO Check'!A:A,D228)&gt;0,"Yes","No")</f>
        <v>Yes</v>
      </c>
      <c r="Q228" s="124" t="str" cm="1">
        <f t="array" ref="Q228">_xlfn.XLOOKUP(1,('Case Pack'!$A$4:$A$962=C228)*('Case Pack'!$L$4:$L$962&gt;0)*('Case Pack'!$L$4:$L$962&lt;=A228),'Case Pack'!$G$4:$G$962,"未找到箱型")</f>
        <v>S1</v>
      </c>
      <c r="R228" s="124">
        <f>ROUND(IFERROR(VLOOKUP(Q228,'Case Type'!A:H,8,0),0)*O228,2)</f>
        <v>8.07</v>
      </c>
    </row>
    <row r="229" customFormat="1" spans="1:18">
      <c r="A229" s="113">
        <v>46127</v>
      </c>
      <c r="B229" s="91" t="str">
        <f>_xlfn.XLOOKUP(C229,'Product List'!B:B,'Product List'!I:I)</f>
        <v>MMO-BUBBLE WATER BOTTLE</v>
      </c>
      <c r="C229" s="94" t="s">
        <v>67</v>
      </c>
      <c r="D229" s="214">
        <v>30935529</v>
      </c>
      <c r="E229" s="125">
        <v>252</v>
      </c>
      <c r="F229" s="125">
        <v>4.35</v>
      </c>
      <c r="G229" s="125">
        <f t="shared" si="6"/>
        <v>1096.2</v>
      </c>
      <c r="H229" s="86" t="s">
        <v>298</v>
      </c>
      <c r="I229" s="86" t="s">
        <v>92</v>
      </c>
      <c r="J229" s="124" t="s">
        <v>316</v>
      </c>
      <c r="K229" s="193">
        <v>46164</v>
      </c>
      <c r="L229" s="251">
        <v>46160</v>
      </c>
      <c r="M229" s="127">
        <v>3.1</v>
      </c>
      <c r="N229" s="124">
        <f t="shared" si="7"/>
        <v>781.2</v>
      </c>
      <c r="O229" s="124" cm="1">
        <f t="array" ref="O229">E229/_xlfn.XLOOKUP(1,('Case Pack'!$A$4:$A$962=C229)*('Case Pack'!$L$4:$L$962&gt;0)*('Case Pack'!$L$4:$L$962&lt;=A229),'Case Pack'!$D$4:$D$962,"未找到箱规")</f>
        <v>6</v>
      </c>
      <c r="P229" s="124" t="str">
        <f>IF(COUNTIF('PO Check'!A:A,D229)&gt;0,"Yes","No")</f>
        <v>Yes</v>
      </c>
      <c r="Q229" s="124" t="str" cm="1">
        <f t="array" ref="Q229">_xlfn.XLOOKUP(1,('Case Pack'!$A$4:$A$962=C229)*('Case Pack'!$L$4:$L$962&gt;0)*('Case Pack'!$L$4:$L$962&lt;=A229),'Case Pack'!$G$4:$G$962,"未找到箱型")</f>
        <v>C</v>
      </c>
      <c r="R229" s="124">
        <f>ROUND(IFERROR(VLOOKUP(Q229,'Case Type'!A:H,8,0),0)*O229,2)</f>
        <v>0.94</v>
      </c>
    </row>
    <row r="230" customFormat="1" spans="1:18">
      <c r="A230" s="113">
        <v>46127</v>
      </c>
      <c r="B230" s="91" t="str">
        <f>_xlfn.XLOOKUP(C230,'Product List'!B:B,'Product List'!I:I)</f>
        <v>MINI/MOE BENDABLE BIRCHWOOD FENCE</v>
      </c>
      <c r="C230" s="254" t="s">
        <v>62</v>
      </c>
      <c r="D230" s="255">
        <v>30935530</v>
      </c>
      <c r="E230" s="255">
        <v>144</v>
      </c>
      <c r="F230" s="255">
        <v>5.01</v>
      </c>
      <c r="G230" s="255">
        <f t="shared" si="6"/>
        <v>721.44</v>
      </c>
      <c r="H230" s="86" t="s">
        <v>298</v>
      </c>
      <c r="I230" s="86" t="s">
        <v>92</v>
      </c>
      <c r="J230" s="124" t="s">
        <v>323</v>
      </c>
      <c r="K230" s="193">
        <v>46146</v>
      </c>
      <c r="L230" s="251">
        <v>46146</v>
      </c>
      <c r="M230" s="127">
        <v>2.63</v>
      </c>
      <c r="N230" s="124">
        <f t="shared" si="7"/>
        <v>378.72</v>
      </c>
      <c r="O230" s="124" cm="1">
        <f t="array" ref="O230">E230/_xlfn.XLOOKUP(1,('Case Pack'!$A$4:$A$962=C230)*('Case Pack'!$L$4:$L$962&gt;0)*('Case Pack'!$L$4:$L$962&lt;=A230),'Case Pack'!$D$4:$D$962,"未找到箱规")</f>
        <v>4.5</v>
      </c>
      <c r="P230" s="124" t="str">
        <f>IF(COUNTIF('PO Check'!A:A,D230)&gt;0,"Yes","No")</f>
        <v>Yes</v>
      </c>
      <c r="Q230" s="124" t="str" cm="1">
        <f t="array" ref="Q230">_xlfn.XLOOKUP(1,('Case Pack'!$A$4:$A$962=C230)*('Case Pack'!$L$4:$L$962&gt;0)*('Case Pack'!$L$4:$L$962&lt;=A230),'Case Pack'!$G$4:$G$962,"未找到箱型")</f>
        <v>F</v>
      </c>
      <c r="R230" s="124">
        <f>ROUND(IFERROR(VLOOKUP(Q230,'Case Type'!A:H,8,0),0)*O230,2)</f>
        <v>0.17</v>
      </c>
    </row>
    <row r="231" customFormat="1" spans="1:18">
      <c r="A231" s="113">
        <v>46127</v>
      </c>
      <c r="B231" s="91" t="str">
        <f>_xlfn.XLOOKUP(C231,'Product List'!B:B,'Product List'!I:I)</f>
        <v>MINI/MOE SILENT CRSTL RUN WHEEL LG 8.5-White</v>
      </c>
      <c r="C231" s="254" t="s">
        <v>29</v>
      </c>
      <c r="D231" s="255">
        <v>30935530</v>
      </c>
      <c r="E231" s="255">
        <v>16</v>
      </c>
      <c r="F231" s="255">
        <v>13.22</v>
      </c>
      <c r="G231" s="255">
        <f t="shared" si="6"/>
        <v>211.52</v>
      </c>
      <c r="H231" s="86" t="s">
        <v>298</v>
      </c>
      <c r="I231" s="86" t="s">
        <v>92</v>
      </c>
      <c r="J231" s="124" t="s">
        <v>323</v>
      </c>
      <c r="K231" s="193">
        <v>46146</v>
      </c>
      <c r="L231" s="251">
        <v>46146</v>
      </c>
      <c r="M231" s="127">
        <v>6.27</v>
      </c>
      <c r="N231" s="124">
        <f t="shared" si="7"/>
        <v>100.32</v>
      </c>
      <c r="O231" s="124" cm="1">
        <f t="array" ref="O231">E231/_xlfn.XLOOKUP(1,('Case Pack'!$A$4:$A$962=C231)*('Case Pack'!$L$4:$L$962&gt;0)*('Case Pack'!$L$4:$L$962&lt;=A231),'Case Pack'!$D$4:$D$962,"未找到箱规")</f>
        <v>2</v>
      </c>
      <c r="P231" s="124" t="str">
        <f>IF(COUNTIF('PO Check'!A:A,D231)&gt;0,"Yes","No")</f>
        <v>Yes</v>
      </c>
      <c r="Q231" s="124" t="str" cm="1">
        <f t="array" ref="Q231">_xlfn.XLOOKUP(1,('Case Pack'!$A$4:$A$962=C231)*('Case Pack'!$L$4:$L$962&gt;0)*('Case Pack'!$L$4:$L$962&lt;=A231),'Case Pack'!$G$4:$G$962,"未找到箱型")</f>
        <v>C</v>
      </c>
      <c r="R231" s="124">
        <f>ROUND(IFERROR(VLOOKUP(Q231,'Case Type'!A:H,8,0),0)*O231,2)</f>
        <v>0.31</v>
      </c>
    </row>
    <row r="232" customFormat="1" spans="1:18">
      <c r="A232" s="113">
        <v>46127</v>
      </c>
      <c r="B232" s="91" t="str">
        <f>_xlfn.XLOOKUP(C232,'Product List'!B:B,'Product List'!I:I)</f>
        <v>MINI/MOE RUFFLE BOWL</v>
      </c>
      <c r="C232" s="254" t="s">
        <v>78</v>
      </c>
      <c r="D232" s="255">
        <v>30935530</v>
      </c>
      <c r="E232" s="255">
        <v>256</v>
      </c>
      <c r="F232" s="255">
        <v>2.35</v>
      </c>
      <c r="G232" s="255">
        <f t="shared" si="6"/>
        <v>601.6</v>
      </c>
      <c r="H232" s="86" t="s">
        <v>298</v>
      </c>
      <c r="I232" s="86" t="s">
        <v>92</v>
      </c>
      <c r="J232" s="124" t="s">
        <v>323</v>
      </c>
      <c r="K232" s="193">
        <v>46146</v>
      </c>
      <c r="L232" s="251">
        <v>46146</v>
      </c>
      <c r="M232" s="127">
        <v>1.34</v>
      </c>
      <c r="N232" s="124">
        <f t="shared" si="7"/>
        <v>343.04</v>
      </c>
      <c r="O232" s="124" cm="1">
        <f t="array" ref="O232">E232/_xlfn.XLOOKUP(1,('Case Pack'!$A$4:$A$962=C232)*('Case Pack'!$L$4:$L$962&gt;0)*('Case Pack'!$L$4:$L$962&lt;=A232),'Case Pack'!$D$4:$D$962,"未找到箱规")</f>
        <v>5.33333333333333</v>
      </c>
      <c r="P232" s="124" t="str">
        <f>IF(COUNTIF('PO Check'!A:A,D232)&gt;0,"Yes","No")</f>
        <v>Yes</v>
      </c>
      <c r="Q232" s="124" t="str" cm="1">
        <f t="array" ref="Q232">_xlfn.XLOOKUP(1,('Case Pack'!$A$4:$A$962=C232)*('Case Pack'!$L$4:$L$962&gt;0)*('Case Pack'!$L$4:$L$962&lt;=A232),'Case Pack'!$G$4:$G$962,"未找到箱型")</f>
        <v>B</v>
      </c>
      <c r="R232" s="124">
        <f>ROUND(IFERROR(VLOOKUP(Q232,'Case Type'!A:H,8,0),0)*O232,2)</f>
        <v>0.39</v>
      </c>
    </row>
    <row r="233" customFormat="1" spans="1:18">
      <c r="A233" s="113">
        <v>46127</v>
      </c>
      <c r="B233" s="91" t="str">
        <f>_xlfn.XLOOKUP(C233,'Product List'!B:B,'Product List'!I:I)</f>
        <v>MMO-CLOUD WATER BOTTLE</v>
      </c>
      <c r="C233" s="254" t="s">
        <v>77</v>
      </c>
      <c r="D233" s="255">
        <v>30935530</v>
      </c>
      <c r="E233" s="255">
        <v>60</v>
      </c>
      <c r="F233" s="255">
        <v>1.32</v>
      </c>
      <c r="G233" s="255">
        <f t="shared" si="6"/>
        <v>79.2</v>
      </c>
      <c r="H233" s="86" t="s">
        <v>298</v>
      </c>
      <c r="I233" s="86" t="s">
        <v>92</v>
      </c>
      <c r="J233" s="124" t="s">
        <v>323</v>
      </c>
      <c r="K233" s="193">
        <v>46146</v>
      </c>
      <c r="L233" s="251">
        <v>46146</v>
      </c>
      <c r="M233" s="127">
        <v>0.62</v>
      </c>
      <c r="N233" s="124">
        <f t="shared" si="7"/>
        <v>37.2</v>
      </c>
      <c r="O233" s="124" cm="1">
        <f t="array" ref="O233">E233/_xlfn.XLOOKUP(1,('Case Pack'!$A$4:$A$962=C233)*('Case Pack'!$L$4:$L$962&gt;0)*('Case Pack'!$L$4:$L$962&lt;=A233),'Case Pack'!$D$4:$D$962,"未找到箱规")</f>
        <v>1.2</v>
      </c>
      <c r="P233" s="124" t="str">
        <f>IF(COUNTIF('PO Check'!A:A,D233)&gt;0,"Yes","No")</f>
        <v>Yes</v>
      </c>
      <c r="Q233" s="124" t="str" cm="1">
        <f t="array" ref="Q233">_xlfn.XLOOKUP(1,('Case Pack'!$A$4:$A$962=C233)*('Case Pack'!$L$4:$L$962&gt;0)*('Case Pack'!$L$4:$L$962&lt;=A233),'Case Pack'!$G$4:$G$962,"未找到箱型")</f>
        <v>A</v>
      </c>
      <c r="R233" s="124">
        <f>ROUND(IFERROR(VLOOKUP(Q233,'Case Type'!A:H,8,0),0)*O233,2)</f>
        <v>0.13</v>
      </c>
    </row>
    <row r="234" customFormat="1" spans="1:18">
      <c r="A234" s="113">
        <v>46127</v>
      </c>
      <c r="B234" s="91" t="str">
        <f>_xlfn.XLOOKUP(C234,'Product List'!B:B,'Product List'!I:I)</f>
        <v>MMO-STARFISH CASTLE</v>
      </c>
      <c r="C234" s="254" t="s">
        <v>60</v>
      </c>
      <c r="D234" s="255">
        <v>30935530</v>
      </c>
      <c r="E234" s="255">
        <v>108</v>
      </c>
      <c r="F234" s="255">
        <v>5.32</v>
      </c>
      <c r="G234" s="255">
        <f t="shared" si="6"/>
        <v>574.56</v>
      </c>
      <c r="H234" s="86" t="s">
        <v>298</v>
      </c>
      <c r="I234" s="86" t="s">
        <v>92</v>
      </c>
      <c r="J234" s="124" t="s">
        <v>323</v>
      </c>
      <c r="K234" s="193">
        <v>46146</v>
      </c>
      <c r="L234" s="251">
        <v>46146</v>
      </c>
      <c r="M234" s="127">
        <v>2.81</v>
      </c>
      <c r="N234" s="124">
        <f t="shared" si="7"/>
        <v>303.48</v>
      </c>
      <c r="O234" s="124" cm="1">
        <f t="array" ref="O234">E234/_xlfn.XLOOKUP(1,('Case Pack'!$A$4:$A$962=C234)*('Case Pack'!$L$4:$L$962&gt;0)*('Case Pack'!$L$4:$L$962&lt;=A234),'Case Pack'!$D$4:$D$962,"未找到箱规")</f>
        <v>5.4</v>
      </c>
      <c r="P234" s="124" t="str">
        <f>IF(COUNTIF('PO Check'!A:A,D234)&gt;0,"Yes","No")</f>
        <v>Yes</v>
      </c>
      <c r="Q234" s="124" t="str" cm="1">
        <f t="array" ref="Q234">_xlfn.XLOOKUP(1,('Case Pack'!$A$4:$A$962=C234)*('Case Pack'!$L$4:$L$962&gt;0)*('Case Pack'!$L$4:$L$962&lt;=A234),'Case Pack'!$G$4:$G$962,"未找到箱型")</f>
        <v>C</v>
      </c>
      <c r="R234" s="124">
        <f>ROUND(IFERROR(VLOOKUP(Q234,'Case Type'!A:H,8,0),0)*O234,2)</f>
        <v>0.85</v>
      </c>
    </row>
    <row r="235" customFormat="1" spans="1:18">
      <c r="A235" s="113">
        <v>46127</v>
      </c>
      <c r="B235" s="91" t="str">
        <f>_xlfn.XLOOKUP(C235,'Product List'!B:B,'Product List'!I:I)</f>
        <v>MMO-WAVE BRIDGE</v>
      </c>
      <c r="C235" s="254" t="s">
        <v>61</v>
      </c>
      <c r="D235" s="255">
        <v>30935530</v>
      </c>
      <c r="E235" s="255">
        <v>96</v>
      </c>
      <c r="F235" s="255">
        <v>4.84</v>
      </c>
      <c r="G235" s="255">
        <f t="shared" si="6"/>
        <v>464.64</v>
      </c>
      <c r="H235" s="86" t="s">
        <v>298</v>
      </c>
      <c r="I235" s="86" t="s">
        <v>92</v>
      </c>
      <c r="J235" s="124" t="s">
        <v>323</v>
      </c>
      <c r="K235" s="193">
        <v>46146</v>
      </c>
      <c r="L235" s="251">
        <v>46146</v>
      </c>
      <c r="M235" s="127">
        <v>2.79</v>
      </c>
      <c r="N235" s="124">
        <f t="shared" si="7"/>
        <v>267.84</v>
      </c>
      <c r="O235" s="124" cm="1">
        <f t="array" ref="O235">E235/_xlfn.XLOOKUP(1,('Case Pack'!$A$4:$A$962=C235)*('Case Pack'!$L$4:$L$962&gt;0)*('Case Pack'!$L$4:$L$962&lt;=A235),'Case Pack'!$D$4:$D$962,"未找到箱规")</f>
        <v>2.90909090909091</v>
      </c>
      <c r="P235" s="124" t="str">
        <f>IF(COUNTIF('PO Check'!A:A,D235)&gt;0,"Yes","No")</f>
        <v>Yes</v>
      </c>
      <c r="Q235" s="124" t="str" cm="1">
        <f t="array" ref="Q235">_xlfn.XLOOKUP(1,('Case Pack'!$A$4:$A$962=C235)*('Case Pack'!$L$4:$L$962&gt;0)*('Case Pack'!$L$4:$L$962&lt;=A235),'Case Pack'!$G$4:$G$962,"未找到箱型")</f>
        <v>C</v>
      </c>
      <c r="R235" s="124">
        <f>ROUND(IFERROR(VLOOKUP(Q235,'Case Type'!A:H,8,0),0)*O235,2)</f>
        <v>0.46</v>
      </c>
    </row>
    <row r="236" customFormat="1" spans="1:18">
      <c r="A236" s="113">
        <v>46127</v>
      </c>
      <c r="B236" s="91" t="str">
        <f>_xlfn.XLOOKUP(C236,'Product List'!B:B,'Product List'!I:I)</f>
        <v>MINI/MOE TV VIEWING CAGE</v>
      </c>
      <c r="C236" s="254" t="s">
        <v>50</v>
      </c>
      <c r="D236" s="255">
        <v>30935530</v>
      </c>
      <c r="E236" s="255">
        <v>17</v>
      </c>
      <c r="F236" s="255">
        <v>48.49</v>
      </c>
      <c r="G236" s="255">
        <f t="shared" si="6"/>
        <v>824.33</v>
      </c>
      <c r="H236" s="86" t="s">
        <v>298</v>
      </c>
      <c r="I236" s="86" t="s">
        <v>92</v>
      </c>
      <c r="J236" s="124" t="s">
        <v>323</v>
      </c>
      <c r="K236" s="193">
        <v>46146</v>
      </c>
      <c r="L236" s="251">
        <v>46146</v>
      </c>
      <c r="M236" s="127">
        <v>24.09</v>
      </c>
      <c r="N236" s="124">
        <f t="shared" si="7"/>
        <v>409.53</v>
      </c>
      <c r="O236" s="124" cm="1">
        <f t="array" ref="O236">E236/_xlfn.XLOOKUP(1,('Case Pack'!$A$4:$A$962=C236)*('Case Pack'!$L$4:$L$962&gt;0)*('Case Pack'!$L$4:$L$962&lt;=A236),'Case Pack'!$D$4:$D$962,"未找到箱规")</f>
        <v>17</v>
      </c>
      <c r="P236" s="124" t="str">
        <f>IF(COUNTIF('PO Check'!A:A,D236)&gt;0,"Yes","No")</f>
        <v>Yes</v>
      </c>
      <c r="Q236" s="124" t="str" cm="1">
        <f t="array" ref="Q236">_xlfn.XLOOKUP(1,('Case Pack'!$A$4:$A$962=C236)*('Case Pack'!$L$4:$L$962&gt;0)*('Case Pack'!$L$4:$L$962&lt;=A236),'Case Pack'!$G$4:$G$962,"未找到箱型")</f>
        <v>S1</v>
      </c>
      <c r="R236" s="124">
        <f>ROUND(IFERROR(VLOOKUP(Q236,'Case Type'!A:H,8,0),0)*O236,2)</f>
        <v>1.26</v>
      </c>
    </row>
    <row r="237" customFormat="1" spans="1:18">
      <c r="A237" s="113">
        <v>46127</v>
      </c>
      <c r="B237" s="91" t="str">
        <f>_xlfn.XLOOKUP(C237,'Product List'!B:B,'Product List'!I:I)</f>
        <v>MMO-BUBBLE WATER BOTTLE</v>
      </c>
      <c r="C237" s="254" t="s">
        <v>67</v>
      </c>
      <c r="D237" s="256">
        <v>30935530</v>
      </c>
      <c r="E237" s="255">
        <v>36</v>
      </c>
      <c r="F237" s="255">
        <v>4.35</v>
      </c>
      <c r="G237" s="255">
        <f t="shared" si="6"/>
        <v>156.6</v>
      </c>
      <c r="H237" s="86" t="s">
        <v>298</v>
      </c>
      <c r="I237" s="86" t="s">
        <v>92</v>
      </c>
      <c r="J237" s="124" t="s">
        <v>323</v>
      </c>
      <c r="K237" s="193">
        <v>46146</v>
      </c>
      <c r="L237" s="251">
        <v>46146</v>
      </c>
      <c r="M237" s="127">
        <v>3.1</v>
      </c>
      <c r="N237" s="124">
        <f t="shared" si="7"/>
        <v>111.6</v>
      </c>
      <c r="O237" s="124" cm="1">
        <f t="array" ref="O237">E237/_xlfn.XLOOKUP(1,('Case Pack'!$A$4:$A$962=C237)*('Case Pack'!$L$4:$L$962&gt;0)*('Case Pack'!$L$4:$L$962&lt;=A237),'Case Pack'!$D$4:$D$962,"未找到箱规")</f>
        <v>0.857142857142857</v>
      </c>
      <c r="P237" s="124" t="str">
        <f>IF(COUNTIF('PO Check'!A:A,D237)&gt;0,"Yes","No")</f>
        <v>Yes</v>
      </c>
      <c r="Q237" s="124" t="str" cm="1">
        <f t="array" ref="Q237">_xlfn.XLOOKUP(1,('Case Pack'!$A$4:$A$962=C237)*('Case Pack'!$L$4:$L$962&gt;0)*('Case Pack'!$L$4:$L$962&lt;=A237),'Case Pack'!$G$4:$G$962,"未找到箱型")</f>
        <v>C</v>
      </c>
      <c r="R237" s="124">
        <f>ROUND(IFERROR(VLOOKUP(Q237,'Case Type'!A:H,8,0),0)*O237,2)</f>
        <v>0.13</v>
      </c>
    </row>
    <row r="238" customFormat="1" spans="1:18">
      <c r="A238" s="113">
        <v>46127</v>
      </c>
      <c r="B238" s="91" t="str">
        <f>_xlfn.XLOOKUP(C238,'Product List'!B:B,'Product List'!I:I)</f>
        <v>MMO-CLOUD WATER BOTTLE</v>
      </c>
      <c r="C238" s="94" t="s">
        <v>77</v>
      </c>
      <c r="D238" s="125">
        <v>30935531</v>
      </c>
      <c r="E238" s="125">
        <v>150</v>
      </c>
      <c r="F238" s="125">
        <v>1.32</v>
      </c>
      <c r="G238" s="125">
        <f t="shared" si="6"/>
        <v>198</v>
      </c>
      <c r="H238" s="86" t="s">
        <v>298</v>
      </c>
      <c r="I238" s="86" t="s">
        <v>92</v>
      </c>
      <c r="J238" s="124" t="s">
        <v>323</v>
      </c>
      <c r="K238" s="193">
        <v>46164</v>
      </c>
      <c r="L238" s="251">
        <v>46160</v>
      </c>
      <c r="M238" s="127">
        <v>0.62</v>
      </c>
      <c r="N238" s="124">
        <f t="shared" si="7"/>
        <v>93</v>
      </c>
      <c r="O238" s="124" cm="1">
        <f t="array" ref="O238">E238/_xlfn.XLOOKUP(1,('Case Pack'!$A$4:$A$962=C238)*('Case Pack'!$L$4:$L$962&gt;0)*('Case Pack'!$L$4:$L$962&lt;=A238),'Case Pack'!$D$4:$D$962,"未找到箱规")</f>
        <v>3</v>
      </c>
      <c r="P238" s="124" t="str">
        <f>IF(COUNTIF('PO Check'!A:A,D238)&gt;0,"Yes","No")</f>
        <v>Yes</v>
      </c>
      <c r="Q238" s="124" t="str" cm="1">
        <f t="array" ref="Q238">_xlfn.XLOOKUP(1,('Case Pack'!$A$4:$A$962=C238)*('Case Pack'!$L$4:$L$962&gt;0)*('Case Pack'!$L$4:$L$962&lt;=A238),'Case Pack'!$G$4:$G$962,"未找到箱型")</f>
        <v>A</v>
      </c>
      <c r="R238" s="124">
        <f>ROUND(IFERROR(VLOOKUP(Q238,'Case Type'!A:H,8,0),0)*O238,2)</f>
        <v>0.33</v>
      </c>
    </row>
    <row r="239" customFormat="1" spans="1:18">
      <c r="A239" s="113">
        <v>46127</v>
      </c>
      <c r="B239" s="91" t="str">
        <f>_xlfn.XLOOKUP(C239,'Product List'!B:B,'Product List'!I:I)</f>
        <v>MMO-WAVE BRIDGE</v>
      </c>
      <c r="C239" s="94" t="s">
        <v>61</v>
      </c>
      <c r="D239" s="125">
        <v>30935531</v>
      </c>
      <c r="E239" s="125">
        <v>96</v>
      </c>
      <c r="F239" s="125">
        <v>4.84</v>
      </c>
      <c r="G239" s="125">
        <f t="shared" si="6"/>
        <v>464.64</v>
      </c>
      <c r="H239" s="86" t="s">
        <v>298</v>
      </c>
      <c r="I239" s="86" t="s">
        <v>92</v>
      </c>
      <c r="J239" s="124" t="s">
        <v>323</v>
      </c>
      <c r="K239" s="193">
        <v>46164</v>
      </c>
      <c r="L239" s="251">
        <v>46160</v>
      </c>
      <c r="M239" s="127">
        <v>2.79</v>
      </c>
      <c r="N239" s="124">
        <f t="shared" si="7"/>
        <v>267.84</v>
      </c>
      <c r="O239" s="124" cm="1">
        <f t="array" ref="O239">E239/_xlfn.XLOOKUP(1,('Case Pack'!$A$4:$A$962=C239)*('Case Pack'!$L$4:$L$962&gt;0)*('Case Pack'!$L$4:$L$962&lt;=A239),'Case Pack'!$D$4:$D$962,"未找到箱规")</f>
        <v>2.90909090909091</v>
      </c>
      <c r="P239" s="124" t="str">
        <f>IF(COUNTIF('PO Check'!A:A,D239)&gt;0,"Yes","No")</f>
        <v>Yes</v>
      </c>
      <c r="Q239" s="124" t="str" cm="1">
        <f t="array" ref="Q239">_xlfn.XLOOKUP(1,('Case Pack'!$A$4:$A$962=C239)*('Case Pack'!$L$4:$L$962&gt;0)*('Case Pack'!$L$4:$L$962&lt;=A239),'Case Pack'!$G$4:$G$962,"未找到箱型")</f>
        <v>C</v>
      </c>
      <c r="R239" s="124">
        <f>ROUND(IFERROR(VLOOKUP(Q239,'Case Type'!A:H,8,0),0)*O239,2)</f>
        <v>0.46</v>
      </c>
    </row>
    <row r="240" customFormat="1" spans="1:18">
      <c r="A240" s="113">
        <v>46127</v>
      </c>
      <c r="B240" s="91" t="str">
        <f>_xlfn.XLOOKUP(C240,'Product List'!B:B,'Product List'!I:I)</f>
        <v>MINI/MOE TV VIEWING CAGE</v>
      </c>
      <c r="C240" s="94" t="s">
        <v>50</v>
      </c>
      <c r="D240" s="125">
        <v>30935531</v>
      </c>
      <c r="E240" s="125">
        <v>42</v>
      </c>
      <c r="F240" s="125">
        <v>48.49</v>
      </c>
      <c r="G240" s="125">
        <f t="shared" si="6"/>
        <v>2036.58</v>
      </c>
      <c r="H240" s="86" t="s">
        <v>298</v>
      </c>
      <c r="I240" s="86" t="s">
        <v>92</v>
      </c>
      <c r="J240" s="124" t="s">
        <v>323</v>
      </c>
      <c r="K240" s="193">
        <v>46164</v>
      </c>
      <c r="L240" s="251">
        <v>46160</v>
      </c>
      <c r="M240" s="127">
        <v>24.09</v>
      </c>
      <c r="N240" s="124">
        <f t="shared" si="7"/>
        <v>1011.78</v>
      </c>
      <c r="O240" s="124" cm="1">
        <f t="array" ref="O240">E240/_xlfn.XLOOKUP(1,('Case Pack'!$A$4:$A$962=C240)*('Case Pack'!$L$4:$L$962&gt;0)*('Case Pack'!$L$4:$L$962&lt;=A240),'Case Pack'!$D$4:$D$962,"未找到箱规")</f>
        <v>42</v>
      </c>
      <c r="P240" s="124" t="str">
        <f>IF(COUNTIF('PO Check'!A:A,D240)&gt;0,"Yes","No")</f>
        <v>Yes</v>
      </c>
      <c r="Q240" s="124" t="str" cm="1">
        <f t="array" ref="Q240">_xlfn.XLOOKUP(1,('Case Pack'!$A$4:$A$962=C240)*('Case Pack'!$L$4:$L$962&gt;0)*('Case Pack'!$L$4:$L$962&lt;=A240),'Case Pack'!$G$4:$G$962,"未找到箱型")</f>
        <v>S1</v>
      </c>
      <c r="R240" s="124">
        <f>ROUND(IFERROR(VLOOKUP(Q240,'Case Type'!A:H,8,0),0)*O240,2)</f>
        <v>3.11</v>
      </c>
    </row>
    <row r="241" customFormat="1" spans="1:18">
      <c r="A241" s="113">
        <v>46127</v>
      </c>
      <c r="B241" s="91" t="str">
        <f>_xlfn.XLOOKUP(C241,'Product List'!B:B,'Product List'!I:I)</f>
        <v>MMO-BUBBLE WATER BOTTLE</v>
      </c>
      <c r="C241" s="94" t="s">
        <v>67</v>
      </c>
      <c r="D241" s="214">
        <v>30935531</v>
      </c>
      <c r="E241" s="125">
        <v>42</v>
      </c>
      <c r="F241" s="125">
        <v>4.35</v>
      </c>
      <c r="G241" s="125">
        <f t="shared" si="6"/>
        <v>182.7</v>
      </c>
      <c r="H241" s="86" t="s">
        <v>298</v>
      </c>
      <c r="I241" s="86" t="s">
        <v>92</v>
      </c>
      <c r="J241" s="124" t="s">
        <v>323</v>
      </c>
      <c r="K241" s="193">
        <v>46164</v>
      </c>
      <c r="L241" s="251">
        <v>46160</v>
      </c>
      <c r="M241" s="127">
        <v>3.1</v>
      </c>
      <c r="N241" s="124">
        <f t="shared" si="7"/>
        <v>130.2</v>
      </c>
      <c r="O241" s="124" cm="1">
        <f t="array" ref="O241">E241/_xlfn.XLOOKUP(1,('Case Pack'!$A$4:$A$962=C241)*('Case Pack'!$L$4:$L$962&gt;0)*('Case Pack'!$L$4:$L$962&lt;=A241),'Case Pack'!$D$4:$D$962,"未找到箱规")</f>
        <v>1</v>
      </c>
      <c r="P241" s="124" t="str">
        <f>IF(COUNTIF('PO Check'!A:A,D241)&gt;0,"Yes","No")</f>
        <v>Yes</v>
      </c>
      <c r="Q241" s="124" t="str" cm="1">
        <f t="array" ref="Q241">_xlfn.XLOOKUP(1,('Case Pack'!$A$4:$A$962=C241)*('Case Pack'!$L$4:$L$962&gt;0)*('Case Pack'!$L$4:$L$962&lt;=A241),'Case Pack'!$G$4:$G$962,"未找到箱型")</f>
        <v>C</v>
      </c>
      <c r="R241" s="124">
        <f>ROUND(IFERROR(VLOOKUP(Q241,'Case Type'!A:H,8,0),0)*O241,2)</f>
        <v>0.16</v>
      </c>
    </row>
    <row r="242" customFormat="1" spans="1:18">
      <c r="A242" s="113">
        <v>46127</v>
      </c>
      <c r="B242" s="91" t="str">
        <f>_xlfn.XLOOKUP(C242,'Product List'!B:B,'Product List'!I:I)</f>
        <v>MINI/MOE BENDABLE BIRCHWOOD FENCE</v>
      </c>
      <c r="C242" s="94" t="s">
        <v>62</v>
      </c>
      <c r="D242" s="125">
        <v>30935532</v>
      </c>
      <c r="E242" s="125">
        <v>72</v>
      </c>
      <c r="F242" s="125">
        <v>5.01</v>
      </c>
      <c r="G242" s="125">
        <f t="shared" si="6"/>
        <v>360.72</v>
      </c>
      <c r="H242" s="86" t="s">
        <v>298</v>
      </c>
      <c r="I242" s="86" t="s">
        <v>92</v>
      </c>
      <c r="J242" s="124" t="s">
        <v>317</v>
      </c>
      <c r="K242" s="193">
        <v>46146</v>
      </c>
      <c r="L242" s="251">
        <v>46146</v>
      </c>
      <c r="M242" s="127">
        <v>2.63</v>
      </c>
      <c r="N242" s="124">
        <f t="shared" si="7"/>
        <v>189.36</v>
      </c>
      <c r="O242" s="124" cm="1">
        <f t="array" ref="O242">E242/_xlfn.XLOOKUP(1,('Case Pack'!$A$4:$A$962=C242)*('Case Pack'!$L$4:$L$962&gt;0)*('Case Pack'!$L$4:$L$962&lt;=A242),'Case Pack'!$D$4:$D$962,"未找到箱规")</f>
        <v>2.25</v>
      </c>
      <c r="P242" s="124" t="str">
        <f>IF(COUNTIF('PO Check'!A:A,D242)&gt;0,"Yes","No")</f>
        <v>Yes</v>
      </c>
      <c r="Q242" s="124" t="str" cm="1">
        <f t="array" ref="Q242">_xlfn.XLOOKUP(1,('Case Pack'!$A$4:$A$962=C242)*('Case Pack'!$L$4:$L$962&gt;0)*('Case Pack'!$L$4:$L$962&lt;=A242),'Case Pack'!$G$4:$G$962,"未找到箱型")</f>
        <v>F</v>
      </c>
      <c r="R242" s="124">
        <f>ROUND(IFERROR(VLOOKUP(Q242,'Case Type'!A:H,8,0),0)*O242,2)</f>
        <v>0.08</v>
      </c>
    </row>
    <row r="243" customFormat="1" spans="1:18">
      <c r="A243" s="113">
        <v>46127</v>
      </c>
      <c r="B243" s="91" t="str">
        <f>_xlfn.XLOOKUP(C243,'Product List'!B:B,'Product List'!I:I)</f>
        <v>MINI/MOE SILENT CRSTL RUN WHEEL LG 8.5-White</v>
      </c>
      <c r="C243" s="94" t="s">
        <v>29</v>
      </c>
      <c r="D243" s="125">
        <v>30935532</v>
      </c>
      <c r="E243" s="125">
        <v>40</v>
      </c>
      <c r="F243" s="125">
        <v>13.22</v>
      </c>
      <c r="G243" s="125">
        <f t="shared" si="6"/>
        <v>528.8</v>
      </c>
      <c r="H243" s="86" t="s">
        <v>298</v>
      </c>
      <c r="I243" s="86" t="s">
        <v>92</v>
      </c>
      <c r="J243" s="124" t="s">
        <v>317</v>
      </c>
      <c r="K243" s="193">
        <v>46146</v>
      </c>
      <c r="L243" s="251">
        <v>46146</v>
      </c>
      <c r="M243" s="127">
        <v>6.27</v>
      </c>
      <c r="N243" s="124">
        <f t="shared" si="7"/>
        <v>250.8</v>
      </c>
      <c r="O243" s="124" cm="1">
        <f t="array" ref="O243">E243/_xlfn.XLOOKUP(1,('Case Pack'!$A$4:$A$962=C243)*('Case Pack'!$L$4:$L$962&gt;0)*('Case Pack'!$L$4:$L$962&lt;=A243),'Case Pack'!$D$4:$D$962,"未找到箱规")</f>
        <v>5</v>
      </c>
      <c r="P243" s="124" t="str">
        <f>IF(COUNTIF('PO Check'!A:A,D243)&gt;0,"Yes","No")</f>
        <v>Yes</v>
      </c>
      <c r="Q243" s="124" t="str" cm="1">
        <f t="array" ref="Q243">_xlfn.XLOOKUP(1,('Case Pack'!$A$4:$A$962=C243)*('Case Pack'!$L$4:$L$962&gt;0)*('Case Pack'!$L$4:$L$962&lt;=A243),'Case Pack'!$G$4:$G$962,"未找到箱型")</f>
        <v>C</v>
      </c>
      <c r="R243" s="124">
        <f>ROUND(IFERROR(VLOOKUP(Q243,'Case Type'!A:H,8,0),0)*O243,2)</f>
        <v>0.79</v>
      </c>
    </row>
    <row r="244" customFormat="1" spans="1:18">
      <c r="A244" s="113">
        <v>46127</v>
      </c>
      <c r="B244" s="91" t="str">
        <f>_xlfn.XLOOKUP(C244,'Product List'!B:B,'Product List'!I:I)</f>
        <v>MINI/MOE RUFFLE BOWL</v>
      </c>
      <c r="C244" s="94" t="s">
        <v>78</v>
      </c>
      <c r="D244" s="125">
        <v>30935532</v>
      </c>
      <c r="E244" s="125">
        <v>160</v>
      </c>
      <c r="F244" s="125">
        <v>2.35</v>
      </c>
      <c r="G244" s="125">
        <f t="shared" si="6"/>
        <v>376</v>
      </c>
      <c r="H244" s="86" t="s">
        <v>298</v>
      </c>
      <c r="I244" s="86" t="s">
        <v>92</v>
      </c>
      <c r="J244" s="124" t="s">
        <v>317</v>
      </c>
      <c r="K244" s="193">
        <v>46146</v>
      </c>
      <c r="L244" s="251">
        <v>46146</v>
      </c>
      <c r="M244" s="127">
        <v>1.34</v>
      </c>
      <c r="N244" s="124">
        <f t="shared" si="7"/>
        <v>214.4</v>
      </c>
      <c r="O244" s="124" cm="1">
        <f t="array" ref="O244">E244/_xlfn.XLOOKUP(1,('Case Pack'!$A$4:$A$962=C244)*('Case Pack'!$L$4:$L$962&gt;0)*('Case Pack'!$L$4:$L$962&lt;=A244),'Case Pack'!$D$4:$D$962,"未找到箱规")</f>
        <v>3.33333333333333</v>
      </c>
      <c r="P244" s="124" t="str">
        <f>IF(COUNTIF('PO Check'!A:A,D244)&gt;0,"Yes","No")</f>
        <v>Yes</v>
      </c>
      <c r="Q244" s="124" t="str" cm="1">
        <f t="array" ref="Q244">_xlfn.XLOOKUP(1,('Case Pack'!$A$4:$A$962=C244)*('Case Pack'!$L$4:$L$962&gt;0)*('Case Pack'!$L$4:$L$962&lt;=A244),'Case Pack'!$G$4:$G$962,"未找到箱型")</f>
        <v>B</v>
      </c>
      <c r="R244" s="124">
        <f>ROUND(IFERROR(VLOOKUP(Q244,'Case Type'!A:H,8,0),0)*O244,2)</f>
        <v>0.24</v>
      </c>
    </row>
    <row r="245" customFormat="1" spans="1:18">
      <c r="A245" s="113">
        <v>46127</v>
      </c>
      <c r="B245" s="91" t="str">
        <f>_xlfn.XLOOKUP(C245,'Product List'!B:B,'Product List'!I:I)</f>
        <v>MMO-CLOUD WATER BOTTLE</v>
      </c>
      <c r="C245" s="94" t="s">
        <v>77</v>
      </c>
      <c r="D245" s="125">
        <v>30935532</v>
      </c>
      <c r="E245" s="125">
        <v>120</v>
      </c>
      <c r="F245" s="125">
        <v>1.32</v>
      </c>
      <c r="G245" s="125">
        <f t="shared" si="6"/>
        <v>158.4</v>
      </c>
      <c r="H245" s="86" t="s">
        <v>298</v>
      </c>
      <c r="I245" s="86" t="s">
        <v>92</v>
      </c>
      <c r="J245" s="124" t="s">
        <v>317</v>
      </c>
      <c r="K245" s="193">
        <v>46146</v>
      </c>
      <c r="L245" s="251">
        <v>46146</v>
      </c>
      <c r="M245" s="127">
        <v>0.62</v>
      </c>
      <c r="N245" s="124">
        <f t="shared" si="7"/>
        <v>74.4</v>
      </c>
      <c r="O245" s="124" cm="1">
        <f t="array" ref="O245">E245/_xlfn.XLOOKUP(1,('Case Pack'!$A$4:$A$962=C245)*('Case Pack'!$L$4:$L$962&gt;0)*('Case Pack'!$L$4:$L$962&lt;=A245),'Case Pack'!$D$4:$D$962,"未找到箱规")</f>
        <v>2.4</v>
      </c>
      <c r="P245" s="124" t="str">
        <f>IF(COUNTIF('PO Check'!A:A,D245)&gt;0,"Yes","No")</f>
        <v>Yes</v>
      </c>
      <c r="Q245" s="124" t="str" cm="1">
        <f t="array" ref="Q245">_xlfn.XLOOKUP(1,('Case Pack'!$A$4:$A$962=C245)*('Case Pack'!$L$4:$L$962&gt;0)*('Case Pack'!$L$4:$L$962&lt;=A245),'Case Pack'!$G$4:$G$962,"未找到箱型")</f>
        <v>A</v>
      </c>
      <c r="R245" s="124">
        <f>ROUND(IFERROR(VLOOKUP(Q245,'Case Type'!A:H,8,0),0)*O245,2)</f>
        <v>0.26</v>
      </c>
    </row>
    <row r="246" customFormat="1" spans="1:18">
      <c r="A246" s="113">
        <v>46127</v>
      </c>
      <c r="B246" s="91" t="str">
        <f>_xlfn.XLOOKUP(C246,'Product List'!B:B,'Product List'!I:I)</f>
        <v>MMO-STARFISH CASTLE</v>
      </c>
      <c r="C246" s="94" t="s">
        <v>60</v>
      </c>
      <c r="D246" s="125">
        <v>30935532</v>
      </c>
      <c r="E246" s="125">
        <v>36</v>
      </c>
      <c r="F246" s="125">
        <v>5.32</v>
      </c>
      <c r="G246" s="125">
        <f t="shared" si="6"/>
        <v>191.52</v>
      </c>
      <c r="H246" s="86" t="s">
        <v>298</v>
      </c>
      <c r="I246" s="86" t="s">
        <v>92</v>
      </c>
      <c r="J246" s="124" t="s">
        <v>317</v>
      </c>
      <c r="K246" s="193">
        <v>46146</v>
      </c>
      <c r="L246" s="251">
        <v>46146</v>
      </c>
      <c r="M246" s="127">
        <v>2.81</v>
      </c>
      <c r="N246" s="124">
        <f t="shared" si="7"/>
        <v>101.16</v>
      </c>
      <c r="O246" s="124" cm="1">
        <f t="array" ref="O246">E246/_xlfn.XLOOKUP(1,('Case Pack'!$A$4:$A$962=C246)*('Case Pack'!$L$4:$L$962&gt;0)*('Case Pack'!$L$4:$L$962&lt;=A246),'Case Pack'!$D$4:$D$962,"未找到箱规")</f>
        <v>1.8</v>
      </c>
      <c r="P246" s="124" t="str">
        <f>IF(COUNTIF('PO Check'!A:A,D246)&gt;0,"Yes","No")</f>
        <v>Yes</v>
      </c>
      <c r="Q246" s="124" t="str" cm="1">
        <f t="array" ref="Q246">_xlfn.XLOOKUP(1,('Case Pack'!$A$4:$A$962=C246)*('Case Pack'!$L$4:$L$962&gt;0)*('Case Pack'!$L$4:$L$962&lt;=A246),'Case Pack'!$G$4:$G$962,"未找到箱型")</f>
        <v>C</v>
      </c>
      <c r="R246" s="124">
        <f>ROUND(IFERROR(VLOOKUP(Q246,'Case Type'!A:H,8,0),0)*O246,2)</f>
        <v>0.28</v>
      </c>
    </row>
    <row r="247" customFormat="1" spans="1:18">
      <c r="A247" s="113">
        <v>46127</v>
      </c>
      <c r="B247" s="91" t="str">
        <f>_xlfn.XLOOKUP(C247,'Product List'!B:B,'Product List'!I:I)</f>
        <v>MMO-WAVE BRIDGE</v>
      </c>
      <c r="C247" s="94" t="s">
        <v>61</v>
      </c>
      <c r="D247" s="125">
        <v>30935532</v>
      </c>
      <c r="E247" s="125">
        <v>32</v>
      </c>
      <c r="F247" s="125">
        <v>4.84</v>
      </c>
      <c r="G247" s="125">
        <f t="shared" si="6"/>
        <v>154.88</v>
      </c>
      <c r="H247" s="86" t="s">
        <v>298</v>
      </c>
      <c r="I247" s="86" t="s">
        <v>92</v>
      </c>
      <c r="J247" s="124" t="s">
        <v>317</v>
      </c>
      <c r="K247" s="193">
        <v>46146</v>
      </c>
      <c r="L247" s="251">
        <v>46146</v>
      </c>
      <c r="M247" s="127">
        <v>2.79</v>
      </c>
      <c r="N247" s="124">
        <f t="shared" si="7"/>
        <v>89.28</v>
      </c>
      <c r="O247" s="124" cm="1">
        <f t="array" ref="O247">E247/_xlfn.XLOOKUP(1,('Case Pack'!$A$4:$A$962=C247)*('Case Pack'!$L$4:$L$962&gt;0)*('Case Pack'!$L$4:$L$962&lt;=A247),'Case Pack'!$D$4:$D$962,"未找到箱规")</f>
        <v>0.96969696969697</v>
      </c>
      <c r="P247" s="124" t="str">
        <f>IF(COUNTIF('PO Check'!A:A,D247)&gt;0,"Yes","No")</f>
        <v>Yes</v>
      </c>
      <c r="Q247" s="124" t="str" cm="1">
        <f t="array" ref="Q247">_xlfn.XLOOKUP(1,('Case Pack'!$A$4:$A$962=C247)*('Case Pack'!$L$4:$L$962&gt;0)*('Case Pack'!$L$4:$L$962&lt;=A247),'Case Pack'!$G$4:$G$962,"未找到箱型")</f>
        <v>C</v>
      </c>
      <c r="R247" s="124">
        <f>ROUND(IFERROR(VLOOKUP(Q247,'Case Type'!A:H,8,0),0)*O247,2)</f>
        <v>0.15</v>
      </c>
    </row>
    <row r="248" customFormat="1" spans="1:18">
      <c r="A248" s="113">
        <v>46127</v>
      </c>
      <c r="B248" s="91" t="str">
        <f>_xlfn.XLOOKUP(C248,'Product List'!B:B,'Product List'!I:I)</f>
        <v>MMO-PAPER PEBBLES</v>
      </c>
      <c r="C248" s="249" t="s">
        <v>81</v>
      </c>
      <c r="D248" s="125">
        <v>30935532</v>
      </c>
      <c r="E248" s="125">
        <v>20</v>
      </c>
      <c r="F248" s="125">
        <v>5.81</v>
      </c>
      <c r="G248" s="125">
        <f t="shared" si="6"/>
        <v>116.2</v>
      </c>
      <c r="H248" s="86" t="s">
        <v>298</v>
      </c>
      <c r="I248" s="86" t="s">
        <v>92</v>
      </c>
      <c r="J248" s="124" t="s">
        <v>317</v>
      </c>
      <c r="K248" s="193">
        <v>46146</v>
      </c>
      <c r="L248" s="251">
        <v>46146</v>
      </c>
      <c r="M248" s="127">
        <v>2.84</v>
      </c>
      <c r="N248" s="124">
        <f t="shared" si="7"/>
        <v>56.8</v>
      </c>
      <c r="O248" s="124" cm="1">
        <f t="array" ref="O248">E248/_xlfn.XLOOKUP(1,('Case Pack'!$A$4:$A$962=C248)*('Case Pack'!$L$4:$L$962&gt;0)*('Case Pack'!$L$4:$L$962&lt;=A248),'Case Pack'!$D$4:$D$962,"未找到箱规")</f>
        <v>1.66666666666667</v>
      </c>
      <c r="P248" s="124" t="str">
        <f>IF(COUNTIF('PO Check'!A:A,D248)&gt;0,"Yes","No")</f>
        <v>Yes</v>
      </c>
      <c r="Q248" s="124" t="str" cm="1">
        <f t="array" ref="Q248">_xlfn.XLOOKUP(1,('Case Pack'!$A$4:$A$962=C248)*('Case Pack'!$L$4:$L$962&gt;0)*('Case Pack'!$L$4:$L$962&lt;=A248),'Case Pack'!$G$4:$G$962,"未找到箱型")</f>
        <v>B</v>
      </c>
      <c r="R248" s="124">
        <f>ROUND(IFERROR(VLOOKUP(Q248,'Case Type'!A:H,8,0),0)*O248,2)</f>
        <v>0.12</v>
      </c>
    </row>
    <row r="249" customFormat="1" spans="1:18">
      <c r="A249" s="113">
        <v>46127</v>
      </c>
      <c r="B249" s="91" t="str">
        <f>_xlfn.XLOOKUP(C249,'Product List'!B:B,'Product List'!I:I)</f>
        <v>MINI/MOE TV VIEWING CAGE</v>
      </c>
      <c r="C249" s="94" t="s">
        <v>50</v>
      </c>
      <c r="D249" s="125">
        <v>30935532</v>
      </c>
      <c r="E249" s="125">
        <v>27</v>
      </c>
      <c r="F249" s="125">
        <v>48.49</v>
      </c>
      <c r="G249" s="125">
        <f t="shared" si="6"/>
        <v>1309.23</v>
      </c>
      <c r="H249" s="86" t="s">
        <v>298</v>
      </c>
      <c r="I249" s="86" t="s">
        <v>92</v>
      </c>
      <c r="J249" s="124" t="s">
        <v>317</v>
      </c>
      <c r="K249" s="193">
        <v>46146</v>
      </c>
      <c r="L249" s="251">
        <v>46146</v>
      </c>
      <c r="M249" s="127">
        <v>24.09</v>
      </c>
      <c r="N249" s="124">
        <f t="shared" si="7"/>
        <v>650.43</v>
      </c>
      <c r="O249" s="124" cm="1">
        <f t="array" ref="O249">E249/_xlfn.XLOOKUP(1,('Case Pack'!$A$4:$A$962=C249)*('Case Pack'!$L$4:$L$962&gt;0)*('Case Pack'!$L$4:$L$962&lt;=A249),'Case Pack'!$D$4:$D$962,"未找到箱规")</f>
        <v>27</v>
      </c>
      <c r="P249" s="124" t="str">
        <f>IF(COUNTIF('PO Check'!A:A,D249)&gt;0,"Yes","No")</f>
        <v>Yes</v>
      </c>
      <c r="Q249" s="124" t="str" cm="1">
        <f t="array" ref="Q249">_xlfn.XLOOKUP(1,('Case Pack'!$A$4:$A$962=C249)*('Case Pack'!$L$4:$L$962&gt;0)*('Case Pack'!$L$4:$L$962&lt;=A249),'Case Pack'!$G$4:$G$962,"未找到箱型")</f>
        <v>S1</v>
      </c>
      <c r="R249" s="124">
        <f>ROUND(IFERROR(VLOOKUP(Q249,'Case Type'!A:H,8,0),0)*O249,2)</f>
        <v>2</v>
      </c>
    </row>
    <row r="250" customFormat="1" spans="1:18">
      <c r="A250" s="113">
        <v>46127</v>
      </c>
      <c r="B250" s="91" t="str">
        <f>_xlfn.XLOOKUP(C250,'Product List'!B:B,'Product List'!I:I)</f>
        <v>MMO-BUBBLE WATER BOTTLE</v>
      </c>
      <c r="C250" s="94" t="s">
        <v>67</v>
      </c>
      <c r="D250" s="214">
        <v>30935532</v>
      </c>
      <c r="E250" s="125">
        <v>36</v>
      </c>
      <c r="F250" s="125">
        <v>4.35</v>
      </c>
      <c r="G250" s="125">
        <f t="shared" si="6"/>
        <v>156.6</v>
      </c>
      <c r="H250" s="86" t="s">
        <v>298</v>
      </c>
      <c r="I250" s="86" t="s">
        <v>92</v>
      </c>
      <c r="J250" s="124" t="s">
        <v>317</v>
      </c>
      <c r="K250" s="193">
        <v>46146</v>
      </c>
      <c r="L250" s="251">
        <v>46146</v>
      </c>
      <c r="M250" s="127">
        <v>3.1</v>
      </c>
      <c r="N250" s="124">
        <f t="shared" si="7"/>
        <v>111.6</v>
      </c>
      <c r="O250" s="124" cm="1">
        <f t="array" ref="O250">E250/_xlfn.XLOOKUP(1,('Case Pack'!$A$4:$A$962=C250)*('Case Pack'!$L$4:$L$962&gt;0)*('Case Pack'!$L$4:$L$962&lt;=A250),'Case Pack'!$D$4:$D$962,"未找到箱规")</f>
        <v>0.857142857142857</v>
      </c>
      <c r="P250" s="124" t="str">
        <f>IF(COUNTIF('PO Check'!A:A,D250)&gt;0,"Yes","No")</f>
        <v>Yes</v>
      </c>
      <c r="Q250" s="124" t="str" cm="1">
        <f t="array" ref="Q250">_xlfn.XLOOKUP(1,('Case Pack'!$A$4:$A$962=C250)*('Case Pack'!$L$4:$L$962&gt;0)*('Case Pack'!$L$4:$L$962&lt;=A250),'Case Pack'!$G$4:$G$962,"未找到箱型")</f>
        <v>C</v>
      </c>
      <c r="R250" s="124">
        <f>ROUND(IFERROR(VLOOKUP(Q250,'Case Type'!A:H,8,0),0)*O250,2)</f>
        <v>0.13</v>
      </c>
    </row>
    <row r="251" customFormat="1" spans="1:18">
      <c r="A251" s="113">
        <v>46127</v>
      </c>
      <c r="B251" s="91" t="str">
        <f>_xlfn.XLOOKUP(C251,'Product List'!B:B,'Product List'!I:I)</f>
        <v>MINI/MOE SILENT CRSTL RUN WHEEL LG 8.5-White</v>
      </c>
      <c r="C251" s="94" t="s">
        <v>29</v>
      </c>
      <c r="D251" s="125">
        <v>30935533</v>
      </c>
      <c r="E251" s="125">
        <v>32</v>
      </c>
      <c r="F251" s="125">
        <v>13.22</v>
      </c>
      <c r="G251" s="125">
        <f t="shared" si="6"/>
        <v>423.04</v>
      </c>
      <c r="H251" s="86" t="s">
        <v>298</v>
      </c>
      <c r="I251" s="86" t="s">
        <v>92</v>
      </c>
      <c r="J251" s="124" t="s">
        <v>317</v>
      </c>
      <c r="K251" s="193">
        <v>46164</v>
      </c>
      <c r="L251" s="251">
        <v>46160</v>
      </c>
      <c r="M251" s="127">
        <v>6.27</v>
      </c>
      <c r="N251" s="124">
        <f t="shared" si="7"/>
        <v>200.64</v>
      </c>
      <c r="O251" s="124" cm="1">
        <f t="array" ref="O251">E251/_xlfn.XLOOKUP(1,('Case Pack'!$A$4:$A$962=C251)*('Case Pack'!$L$4:$L$962&gt;0)*('Case Pack'!$L$4:$L$962&lt;=A251),'Case Pack'!$D$4:$D$962,"未找到箱规")</f>
        <v>4</v>
      </c>
      <c r="P251" s="124" t="str">
        <f>IF(COUNTIF('PO Check'!A:A,D251)&gt;0,"Yes","No")</f>
        <v>Yes</v>
      </c>
      <c r="Q251" s="124" t="str" cm="1">
        <f t="array" ref="Q251">_xlfn.XLOOKUP(1,('Case Pack'!$A$4:$A$962=C251)*('Case Pack'!$L$4:$L$962&gt;0)*('Case Pack'!$L$4:$L$962&lt;=A251),'Case Pack'!$G$4:$G$962,"未找到箱型")</f>
        <v>C</v>
      </c>
      <c r="R251" s="124">
        <f>ROUND(IFERROR(VLOOKUP(Q251,'Case Type'!A:H,8,0),0)*O251,2)</f>
        <v>0.63</v>
      </c>
    </row>
    <row r="252" customFormat="1" spans="1:18">
      <c r="A252" s="113">
        <v>46127</v>
      </c>
      <c r="B252" s="91" t="str">
        <f>_xlfn.XLOOKUP(C252,'Product List'!B:B,'Product List'!I:I)</f>
        <v>MINI/MOE RUFFLE BOWL</v>
      </c>
      <c r="C252" s="94" t="s">
        <v>78</v>
      </c>
      <c r="D252" s="125">
        <v>30935533</v>
      </c>
      <c r="E252" s="125">
        <v>48</v>
      </c>
      <c r="F252" s="125">
        <v>2.35</v>
      </c>
      <c r="G252" s="125">
        <f t="shared" si="6"/>
        <v>112.8</v>
      </c>
      <c r="H252" s="86" t="s">
        <v>298</v>
      </c>
      <c r="I252" s="86" t="s">
        <v>92</v>
      </c>
      <c r="J252" s="124" t="s">
        <v>317</v>
      </c>
      <c r="K252" s="193">
        <v>46164</v>
      </c>
      <c r="L252" s="251">
        <v>46160</v>
      </c>
      <c r="M252" s="127">
        <v>1.34</v>
      </c>
      <c r="N252" s="124">
        <f t="shared" si="7"/>
        <v>64.32</v>
      </c>
      <c r="O252" s="124" cm="1">
        <f t="array" ref="O252">E252/_xlfn.XLOOKUP(1,('Case Pack'!$A$4:$A$962=C252)*('Case Pack'!$L$4:$L$962&gt;0)*('Case Pack'!$L$4:$L$962&lt;=A252),'Case Pack'!$D$4:$D$962,"未找到箱规")</f>
        <v>1</v>
      </c>
      <c r="P252" s="124" t="str">
        <f>IF(COUNTIF('PO Check'!A:A,D252)&gt;0,"Yes","No")</f>
        <v>Yes</v>
      </c>
      <c r="Q252" s="124" t="str" cm="1">
        <f t="array" ref="Q252">_xlfn.XLOOKUP(1,('Case Pack'!$A$4:$A$962=C252)*('Case Pack'!$L$4:$L$962&gt;0)*('Case Pack'!$L$4:$L$962&lt;=A252),'Case Pack'!$G$4:$G$962,"未找到箱型")</f>
        <v>B</v>
      </c>
      <c r="R252" s="124">
        <f>ROUND(IFERROR(VLOOKUP(Q252,'Case Type'!A:H,8,0),0)*O252,2)</f>
        <v>0.07</v>
      </c>
    </row>
    <row r="253" customFormat="1" spans="1:18">
      <c r="A253" s="113">
        <v>46127</v>
      </c>
      <c r="B253" s="91" t="str">
        <f>_xlfn.XLOOKUP(C253,'Product List'!B:B,'Product List'!I:I)</f>
        <v>MMO-CLOUD WATER BOTTLE</v>
      </c>
      <c r="C253" s="94" t="s">
        <v>77</v>
      </c>
      <c r="D253" s="125">
        <v>30935533</v>
      </c>
      <c r="E253" s="125">
        <v>250</v>
      </c>
      <c r="F253" s="125">
        <v>1.32</v>
      </c>
      <c r="G253" s="125">
        <f t="shared" si="6"/>
        <v>330</v>
      </c>
      <c r="H253" s="86" t="s">
        <v>298</v>
      </c>
      <c r="I253" s="86" t="s">
        <v>92</v>
      </c>
      <c r="J253" s="124" t="s">
        <v>317</v>
      </c>
      <c r="K253" s="193">
        <v>46164</v>
      </c>
      <c r="L253" s="251">
        <v>46160</v>
      </c>
      <c r="M253" s="127">
        <v>0.62</v>
      </c>
      <c r="N253" s="124">
        <f t="shared" si="7"/>
        <v>155</v>
      </c>
      <c r="O253" s="124" cm="1">
        <f t="array" ref="O253">E253/_xlfn.XLOOKUP(1,('Case Pack'!$A$4:$A$962=C253)*('Case Pack'!$L$4:$L$962&gt;0)*('Case Pack'!$L$4:$L$962&lt;=A253),'Case Pack'!$D$4:$D$962,"未找到箱规")</f>
        <v>5</v>
      </c>
      <c r="P253" s="124" t="str">
        <f>IF(COUNTIF('PO Check'!A:A,D253)&gt;0,"Yes","No")</f>
        <v>Yes</v>
      </c>
      <c r="Q253" s="124" t="str" cm="1">
        <f t="array" ref="Q253">_xlfn.XLOOKUP(1,('Case Pack'!$A$4:$A$962=C253)*('Case Pack'!$L$4:$L$962&gt;0)*('Case Pack'!$L$4:$L$962&lt;=A253),'Case Pack'!$G$4:$G$962,"未找到箱型")</f>
        <v>A</v>
      </c>
      <c r="R253" s="124">
        <f>ROUND(IFERROR(VLOOKUP(Q253,'Case Type'!A:H,8,0),0)*O253,2)</f>
        <v>0.55</v>
      </c>
    </row>
    <row r="254" customFormat="1" spans="1:18">
      <c r="A254" s="113">
        <v>46127</v>
      </c>
      <c r="B254" s="91" t="str">
        <f>_xlfn.XLOOKUP(C254,'Product List'!B:B,'Product List'!I:I)</f>
        <v>MMO-WAVE BRIDGE</v>
      </c>
      <c r="C254" s="94" t="s">
        <v>61</v>
      </c>
      <c r="D254" s="125">
        <v>30935533</v>
      </c>
      <c r="E254" s="125">
        <v>66</v>
      </c>
      <c r="F254" s="125">
        <v>4.84</v>
      </c>
      <c r="G254" s="125">
        <f t="shared" si="6"/>
        <v>319.44</v>
      </c>
      <c r="H254" s="86" t="s">
        <v>298</v>
      </c>
      <c r="I254" s="86" t="s">
        <v>92</v>
      </c>
      <c r="J254" s="124" t="s">
        <v>317</v>
      </c>
      <c r="K254" s="193">
        <v>46164</v>
      </c>
      <c r="L254" s="251">
        <v>46160</v>
      </c>
      <c r="M254" s="127">
        <v>2.79</v>
      </c>
      <c r="N254" s="124">
        <f t="shared" si="7"/>
        <v>184.14</v>
      </c>
      <c r="O254" s="124" cm="1">
        <f t="array" ref="O254">E254/_xlfn.XLOOKUP(1,('Case Pack'!$A$4:$A$962=C254)*('Case Pack'!$L$4:$L$962&gt;0)*('Case Pack'!$L$4:$L$962&lt;=A254),'Case Pack'!$D$4:$D$962,"未找到箱规")</f>
        <v>2</v>
      </c>
      <c r="P254" s="124" t="str">
        <f>IF(COUNTIF('PO Check'!A:A,D254)&gt;0,"Yes","No")</f>
        <v>Yes</v>
      </c>
      <c r="Q254" s="124" t="str" cm="1">
        <f t="array" ref="Q254">_xlfn.XLOOKUP(1,('Case Pack'!$A$4:$A$962=C254)*('Case Pack'!$L$4:$L$962&gt;0)*('Case Pack'!$L$4:$L$962&lt;=A254),'Case Pack'!$G$4:$G$962,"未找到箱型")</f>
        <v>C</v>
      </c>
      <c r="R254" s="124">
        <f>ROUND(IFERROR(VLOOKUP(Q254,'Case Type'!A:H,8,0),0)*O254,2)</f>
        <v>0.31</v>
      </c>
    </row>
    <row r="255" customFormat="1" spans="1:18">
      <c r="A255" s="113">
        <v>46127</v>
      </c>
      <c r="B255" s="91" t="str">
        <f>_xlfn.XLOOKUP(C255,'Product List'!B:B,'Product List'!I:I)</f>
        <v>MINI/MOE TV VIEWING CAGE</v>
      </c>
      <c r="C255" s="94" t="s">
        <v>50</v>
      </c>
      <c r="D255" s="125">
        <v>30935533</v>
      </c>
      <c r="E255" s="125">
        <v>70</v>
      </c>
      <c r="F255" s="125">
        <v>48.49</v>
      </c>
      <c r="G255" s="125">
        <f t="shared" si="6"/>
        <v>3394.3</v>
      </c>
      <c r="H255" s="86" t="s">
        <v>298</v>
      </c>
      <c r="I255" s="86" t="s">
        <v>92</v>
      </c>
      <c r="J255" s="124" t="s">
        <v>317</v>
      </c>
      <c r="K255" s="193">
        <v>46164</v>
      </c>
      <c r="L255" s="251">
        <v>46160</v>
      </c>
      <c r="M255" s="127">
        <v>24.09</v>
      </c>
      <c r="N255" s="124">
        <f t="shared" si="7"/>
        <v>1686.3</v>
      </c>
      <c r="O255" s="124" cm="1">
        <f t="array" ref="O255">E255/_xlfn.XLOOKUP(1,('Case Pack'!$A$4:$A$962=C255)*('Case Pack'!$L$4:$L$962&gt;0)*('Case Pack'!$L$4:$L$962&lt;=A255),'Case Pack'!$D$4:$D$962,"未找到箱规")</f>
        <v>70</v>
      </c>
      <c r="P255" s="124" t="str">
        <f>IF(COUNTIF('PO Check'!A:A,D255)&gt;0,"Yes","No")</f>
        <v>Yes</v>
      </c>
      <c r="Q255" s="124" t="str" cm="1">
        <f t="array" ref="Q255">_xlfn.XLOOKUP(1,('Case Pack'!$A$4:$A$962=C255)*('Case Pack'!$L$4:$L$962&gt;0)*('Case Pack'!$L$4:$L$962&lt;=A255),'Case Pack'!$G$4:$G$962,"未找到箱型")</f>
        <v>S1</v>
      </c>
      <c r="R255" s="124">
        <f>ROUND(IFERROR(VLOOKUP(Q255,'Case Type'!A:H,8,0),0)*O255,2)</f>
        <v>5.18</v>
      </c>
    </row>
    <row r="256" customFormat="1" spans="1:18">
      <c r="A256" s="113">
        <v>46127</v>
      </c>
      <c r="B256" s="91" t="str">
        <f>_xlfn.XLOOKUP(C256,'Product List'!B:B,'Product List'!I:I)</f>
        <v>MMO-BUBBLE WATER BOTTLE</v>
      </c>
      <c r="C256" s="94" t="s">
        <v>67</v>
      </c>
      <c r="D256" s="214">
        <v>30935533</v>
      </c>
      <c r="E256" s="125">
        <v>252</v>
      </c>
      <c r="F256" s="125">
        <v>4.35</v>
      </c>
      <c r="G256" s="125">
        <f t="shared" si="6"/>
        <v>1096.2</v>
      </c>
      <c r="H256" s="86" t="s">
        <v>298</v>
      </c>
      <c r="I256" s="86" t="s">
        <v>92</v>
      </c>
      <c r="J256" s="124" t="s">
        <v>317</v>
      </c>
      <c r="K256" s="193">
        <v>46164</v>
      </c>
      <c r="L256" s="251">
        <v>46160</v>
      </c>
      <c r="M256" s="127">
        <v>3.1</v>
      </c>
      <c r="N256" s="124">
        <f t="shared" si="7"/>
        <v>781.2</v>
      </c>
      <c r="O256" s="124" cm="1">
        <f t="array" ref="O256">E256/_xlfn.XLOOKUP(1,('Case Pack'!$A$4:$A$962=C256)*('Case Pack'!$L$4:$L$962&gt;0)*('Case Pack'!$L$4:$L$962&lt;=A256),'Case Pack'!$D$4:$D$962,"未找到箱规")</f>
        <v>6</v>
      </c>
      <c r="P256" s="124" t="str">
        <f>IF(COUNTIF('PO Check'!A:A,D256)&gt;0,"Yes","No")</f>
        <v>Yes</v>
      </c>
      <c r="Q256" s="124" t="str" cm="1">
        <f t="array" ref="Q256">_xlfn.XLOOKUP(1,('Case Pack'!$A$4:$A$962=C256)*('Case Pack'!$L$4:$L$962&gt;0)*('Case Pack'!$L$4:$L$962&lt;=A256),'Case Pack'!$G$4:$G$962,"未找到箱型")</f>
        <v>C</v>
      </c>
      <c r="R256" s="124">
        <f>ROUND(IFERROR(VLOOKUP(Q256,'Case Type'!A:H,8,0),0)*O256,2)</f>
        <v>0.94</v>
      </c>
    </row>
    <row r="257" customFormat="1" spans="1:18">
      <c r="A257" s="113">
        <v>46127</v>
      </c>
      <c r="B257" s="91" t="str">
        <f>_xlfn.XLOOKUP(C257,'Product List'!B:B,'Product List'!I:I)</f>
        <v>MMO-SHELL PEARL HAMSTER CHEW</v>
      </c>
      <c r="C257" s="94" t="s">
        <v>35</v>
      </c>
      <c r="D257" s="125">
        <v>30935533</v>
      </c>
      <c r="E257" s="125">
        <v>64</v>
      </c>
      <c r="F257" s="125">
        <v>1.61</v>
      </c>
      <c r="G257" s="125">
        <f t="shared" si="6"/>
        <v>103.04</v>
      </c>
      <c r="H257" s="86" t="s">
        <v>298</v>
      </c>
      <c r="I257" s="86" t="s">
        <v>92</v>
      </c>
      <c r="J257" s="124" t="s">
        <v>317</v>
      </c>
      <c r="K257" s="193">
        <v>46164</v>
      </c>
      <c r="L257" s="251">
        <v>46160</v>
      </c>
      <c r="M257" s="127">
        <v>0.92</v>
      </c>
      <c r="N257" s="124">
        <f t="shared" si="7"/>
        <v>58.88</v>
      </c>
      <c r="O257" s="124" cm="1">
        <f t="array" ref="O257">E257/_xlfn.XLOOKUP(1,('Case Pack'!$A$4:$A$962=C257)*('Case Pack'!$L$4:$L$962&gt;0)*('Case Pack'!$L$4:$L$962&lt;=A257),'Case Pack'!$D$4:$D$962,"未找到箱规")</f>
        <v>1</v>
      </c>
      <c r="P257" s="124" t="str">
        <f>IF(COUNTIF('PO Check'!A:A,D257)&gt;0,"Yes","No")</f>
        <v>Yes</v>
      </c>
      <c r="Q257" s="124" t="str" cm="1">
        <f t="array" ref="Q257">_xlfn.XLOOKUP(1,('Case Pack'!$A$4:$A$962=C257)*('Case Pack'!$L$4:$L$962&gt;0)*('Case Pack'!$L$4:$L$962&lt;=A257),'Case Pack'!$G$4:$G$962,"未找到箱型")</f>
        <v>B</v>
      </c>
      <c r="R257" s="124">
        <f>ROUND(IFERROR(VLOOKUP(Q257,'Case Type'!A:H,8,0),0)*O257,2)</f>
        <v>0.07</v>
      </c>
    </row>
    <row r="258" customFormat="1" spans="1:18">
      <c r="A258" s="113">
        <v>46127</v>
      </c>
      <c r="B258" s="91" t="str">
        <f>_xlfn.XLOOKUP(C258,'Product List'!B:B,'Product List'!I:I)</f>
        <v>MMO-GREEN APPLE CHEW</v>
      </c>
      <c r="C258" s="94" t="s">
        <v>33</v>
      </c>
      <c r="D258" s="125">
        <v>30935533</v>
      </c>
      <c r="E258" s="125">
        <v>48</v>
      </c>
      <c r="F258" s="125">
        <v>1.53</v>
      </c>
      <c r="G258" s="125">
        <f t="shared" si="6"/>
        <v>73.44</v>
      </c>
      <c r="H258" s="86" t="s">
        <v>298</v>
      </c>
      <c r="I258" s="86" t="s">
        <v>92</v>
      </c>
      <c r="J258" s="124" t="s">
        <v>317</v>
      </c>
      <c r="K258" s="193">
        <v>46164</v>
      </c>
      <c r="L258" s="251">
        <v>46160</v>
      </c>
      <c r="M258" s="127">
        <v>0.87</v>
      </c>
      <c r="N258" s="124">
        <f t="shared" si="7"/>
        <v>41.76</v>
      </c>
      <c r="O258" s="124" cm="1">
        <f t="array" ref="O258">E258/_xlfn.XLOOKUP(1,('Case Pack'!$A$4:$A$962=C258)*('Case Pack'!$L$4:$L$962&gt;0)*('Case Pack'!$L$4:$L$962&lt;=A258),'Case Pack'!$D$4:$D$962,"未找到箱规")</f>
        <v>1</v>
      </c>
      <c r="P258" s="124" t="str">
        <f>IF(COUNTIF('PO Check'!A:A,D258)&gt;0,"Yes","No")</f>
        <v>Yes</v>
      </c>
      <c r="Q258" s="124" t="str" cm="1">
        <f t="array" ref="Q258">_xlfn.XLOOKUP(1,('Case Pack'!$A$4:$A$962=C258)*('Case Pack'!$L$4:$L$962&gt;0)*('Case Pack'!$L$4:$L$962&lt;=A258),'Case Pack'!$G$4:$G$962,"未找到箱型")</f>
        <v>B</v>
      </c>
      <c r="R258" s="124">
        <f>ROUND(IFERROR(VLOOKUP(Q258,'Case Type'!A:H,8,0),0)*O258,2)</f>
        <v>0.07</v>
      </c>
    </row>
    <row r="259" customFormat="1" spans="1:18">
      <c r="A259" s="113">
        <v>46127</v>
      </c>
      <c r="B259" s="91" t="str">
        <f>_xlfn.XLOOKUP(C259,'Product List'!B:B,'Product List'!I:I)</f>
        <v>MMO-CAMP LUNCH BOX CHEW</v>
      </c>
      <c r="C259" s="94" t="s">
        <v>34</v>
      </c>
      <c r="D259" s="125">
        <v>30935533</v>
      </c>
      <c r="E259" s="125">
        <v>72</v>
      </c>
      <c r="F259" s="125">
        <v>2.48</v>
      </c>
      <c r="G259" s="125">
        <f t="shared" si="6"/>
        <v>178.56</v>
      </c>
      <c r="H259" s="86" t="s">
        <v>298</v>
      </c>
      <c r="I259" s="86" t="s">
        <v>92</v>
      </c>
      <c r="J259" s="124" t="s">
        <v>317</v>
      </c>
      <c r="K259" s="193">
        <v>46164</v>
      </c>
      <c r="L259" s="251">
        <v>46160</v>
      </c>
      <c r="M259" s="127">
        <v>1.52</v>
      </c>
      <c r="N259" s="124">
        <f t="shared" si="7"/>
        <v>109.44</v>
      </c>
      <c r="O259" s="124" cm="1">
        <f t="array" ref="O259">E259/_xlfn.XLOOKUP(1,('Case Pack'!$A$4:$A$962=C259)*('Case Pack'!$L$4:$L$962&gt;0)*('Case Pack'!$L$4:$L$962&lt;=A259),'Case Pack'!$D$4:$D$962,"未找到箱规")</f>
        <v>1</v>
      </c>
      <c r="P259" s="124" t="str">
        <f>IF(COUNTIF('PO Check'!A:A,D259)&gt;0,"Yes","No")</f>
        <v>Yes</v>
      </c>
      <c r="Q259" s="124" t="str" cm="1">
        <f t="array" ref="Q259">_xlfn.XLOOKUP(1,('Case Pack'!$A$4:$A$962=C259)*('Case Pack'!$L$4:$L$962&gt;0)*('Case Pack'!$L$4:$L$962&lt;=A259),'Case Pack'!$G$4:$G$962,"未找到箱型")</f>
        <v>B</v>
      </c>
      <c r="R259" s="124">
        <f>ROUND(IFERROR(VLOOKUP(Q259,'Case Type'!A:H,8,0),0)*O259,2)</f>
        <v>0.07</v>
      </c>
    </row>
    <row r="260" customFormat="1" spans="1:18">
      <c r="A260" s="113">
        <v>46127</v>
      </c>
      <c r="B260" s="91" t="str">
        <f>_xlfn.XLOOKUP(C260,'Product List'!B:B,'Product List'!I:I)</f>
        <v>MINI/MOE BENDABLE BIRCHWOOD FENCE</v>
      </c>
      <c r="C260" s="94" t="s">
        <v>62</v>
      </c>
      <c r="D260" s="125">
        <v>30935534</v>
      </c>
      <c r="E260" s="125">
        <v>72</v>
      </c>
      <c r="F260" s="125">
        <v>5.01</v>
      </c>
      <c r="G260" s="125">
        <f t="shared" si="6"/>
        <v>360.72</v>
      </c>
      <c r="H260" s="86" t="s">
        <v>298</v>
      </c>
      <c r="I260" s="86" t="s">
        <v>92</v>
      </c>
      <c r="J260" s="124" t="s">
        <v>319</v>
      </c>
      <c r="K260" s="193">
        <v>46146</v>
      </c>
      <c r="L260" s="251">
        <v>46146</v>
      </c>
      <c r="M260" s="127">
        <v>2.63</v>
      </c>
      <c r="N260" s="124">
        <f t="shared" si="7"/>
        <v>189.36</v>
      </c>
      <c r="O260" s="124" cm="1">
        <f t="array" ref="O260">E260/_xlfn.XLOOKUP(1,('Case Pack'!$A$4:$A$962=C260)*('Case Pack'!$L$4:$L$962&gt;0)*('Case Pack'!$L$4:$L$962&lt;=A260),'Case Pack'!$D$4:$D$962,"未找到箱规")</f>
        <v>2.25</v>
      </c>
      <c r="P260" s="124" t="str">
        <f>IF(COUNTIF('PO Check'!A:A,D260)&gt;0,"Yes","No")</f>
        <v>Yes</v>
      </c>
      <c r="Q260" s="124" t="str" cm="1">
        <f t="array" ref="Q260">_xlfn.XLOOKUP(1,('Case Pack'!$A$4:$A$962=C260)*('Case Pack'!$L$4:$L$962&gt;0)*('Case Pack'!$L$4:$L$962&lt;=A260),'Case Pack'!$G$4:$G$962,"未找到箱型")</f>
        <v>F</v>
      </c>
      <c r="R260" s="124">
        <f>ROUND(IFERROR(VLOOKUP(Q260,'Case Type'!A:H,8,0),0)*O260,2)</f>
        <v>0.08</v>
      </c>
    </row>
    <row r="261" customFormat="1" spans="1:18">
      <c r="A261" s="113">
        <v>46127</v>
      </c>
      <c r="B261" s="91" t="str">
        <f>_xlfn.XLOOKUP(C261,'Product List'!B:B,'Product List'!I:I)</f>
        <v>MINI/MOE SILENT CRSTL RUN WHEEL LG 8.5-White</v>
      </c>
      <c r="C261" s="94" t="s">
        <v>29</v>
      </c>
      <c r="D261" s="125">
        <v>30935534</v>
      </c>
      <c r="E261" s="125">
        <v>96</v>
      </c>
      <c r="F261" s="125">
        <v>13.22</v>
      </c>
      <c r="G261" s="125">
        <f t="shared" si="6"/>
        <v>1269.12</v>
      </c>
      <c r="H261" s="86" t="s">
        <v>298</v>
      </c>
      <c r="I261" s="86" t="s">
        <v>92</v>
      </c>
      <c r="J261" s="124" t="s">
        <v>319</v>
      </c>
      <c r="K261" s="193">
        <v>46146</v>
      </c>
      <c r="L261" s="251">
        <v>46146</v>
      </c>
      <c r="M261" s="127">
        <v>6.27</v>
      </c>
      <c r="N261" s="124">
        <f t="shared" si="7"/>
        <v>601.92</v>
      </c>
      <c r="O261" s="124" cm="1">
        <f t="array" ref="O261">E261/_xlfn.XLOOKUP(1,('Case Pack'!$A$4:$A$962=C261)*('Case Pack'!$L$4:$L$962&gt;0)*('Case Pack'!$L$4:$L$962&lt;=A261),'Case Pack'!$D$4:$D$962,"未找到箱规")</f>
        <v>12</v>
      </c>
      <c r="P261" s="124" t="str">
        <f>IF(COUNTIF('PO Check'!A:A,D261)&gt;0,"Yes","No")</f>
        <v>Yes</v>
      </c>
      <c r="Q261" s="124" t="str" cm="1">
        <f t="array" ref="Q261">_xlfn.XLOOKUP(1,('Case Pack'!$A$4:$A$962=C261)*('Case Pack'!$L$4:$L$962&gt;0)*('Case Pack'!$L$4:$L$962&lt;=A261),'Case Pack'!$G$4:$G$962,"未找到箱型")</f>
        <v>C</v>
      </c>
      <c r="R261" s="124">
        <f>ROUND(IFERROR(VLOOKUP(Q261,'Case Type'!A:H,8,0),0)*O261,2)</f>
        <v>1.89</v>
      </c>
    </row>
    <row r="262" customFormat="1" spans="1:18">
      <c r="A262" s="113">
        <v>46127</v>
      </c>
      <c r="B262" s="91" t="str">
        <f>_xlfn.XLOOKUP(C262,'Product List'!B:B,'Product List'!I:I)</f>
        <v>MINI/MOE RUFFLE BOWL</v>
      </c>
      <c r="C262" s="94" t="s">
        <v>78</v>
      </c>
      <c r="D262" s="125">
        <v>30935534</v>
      </c>
      <c r="E262" s="125">
        <v>128</v>
      </c>
      <c r="F262" s="125">
        <v>2.35</v>
      </c>
      <c r="G262" s="125">
        <f t="shared" si="6"/>
        <v>300.8</v>
      </c>
      <c r="H262" s="86" t="s">
        <v>298</v>
      </c>
      <c r="I262" s="86" t="s">
        <v>92</v>
      </c>
      <c r="J262" s="124" t="s">
        <v>319</v>
      </c>
      <c r="K262" s="193">
        <v>46146</v>
      </c>
      <c r="L262" s="251">
        <v>46146</v>
      </c>
      <c r="M262" s="127">
        <v>1.34</v>
      </c>
      <c r="N262" s="124">
        <f t="shared" si="7"/>
        <v>171.52</v>
      </c>
      <c r="O262" s="124" cm="1">
        <f t="array" ref="O262">E262/_xlfn.XLOOKUP(1,('Case Pack'!$A$4:$A$962=C262)*('Case Pack'!$L$4:$L$962&gt;0)*('Case Pack'!$L$4:$L$962&lt;=A262),'Case Pack'!$D$4:$D$962,"未找到箱规")</f>
        <v>2.66666666666667</v>
      </c>
      <c r="P262" s="124" t="str">
        <f>IF(COUNTIF('PO Check'!A:A,D262)&gt;0,"Yes","No")</f>
        <v>Yes</v>
      </c>
      <c r="Q262" s="124" t="str" cm="1">
        <f t="array" ref="Q262">_xlfn.XLOOKUP(1,('Case Pack'!$A$4:$A$962=C262)*('Case Pack'!$L$4:$L$962&gt;0)*('Case Pack'!$L$4:$L$962&lt;=A262),'Case Pack'!$G$4:$G$962,"未找到箱型")</f>
        <v>B</v>
      </c>
      <c r="R262" s="124">
        <f>ROUND(IFERROR(VLOOKUP(Q262,'Case Type'!A:H,8,0),0)*O262,2)</f>
        <v>0.2</v>
      </c>
    </row>
    <row r="263" customFormat="1" spans="1:18">
      <c r="A263" s="113">
        <v>46127</v>
      </c>
      <c r="B263" s="91" t="str">
        <f>_xlfn.XLOOKUP(C263,'Product List'!B:B,'Product List'!I:I)</f>
        <v>MMO-CLOUD WATER BOTTLE</v>
      </c>
      <c r="C263" s="94" t="s">
        <v>77</v>
      </c>
      <c r="D263" s="125">
        <v>30935534</v>
      </c>
      <c r="E263" s="125">
        <v>120</v>
      </c>
      <c r="F263" s="125">
        <v>1.32</v>
      </c>
      <c r="G263" s="125">
        <f t="shared" si="6"/>
        <v>158.4</v>
      </c>
      <c r="H263" s="86" t="s">
        <v>298</v>
      </c>
      <c r="I263" s="86" t="s">
        <v>92</v>
      </c>
      <c r="J263" s="124" t="s">
        <v>319</v>
      </c>
      <c r="K263" s="193">
        <v>46146</v>
      </c>
      <c r="L263" s="251">
        <v>46146</v>
      </c>
      <c r="M263" s="127">
        <v>0.62</v>
      </c>
      <c r="N263" s="124">
        <f t="shared" si="7"/>
        <v>74.4</v>
      </c>
      <c r="O263" s="124" cm="1">
        <f t="array" ref="O263">E263/_xlfn.XLOOKUP(1,('Case Pack'!$A$4:$A$962=C263)*('Case Pack'!$L$4:$L$962&gt;0)*('Case Pack'!$L$4:$L$962&lt;=A263),'Case Pack'!$D$4:$D$962,"未找到箱规")</f>
        <v>2.4</v>
      </c>
      <c r="P263" s="124" t="str">
        <f>IF(COUNTIF('PO Check'!A:A,D263)&gt;0,"Yes","No")</f>
        <v>Yes</v>
      </c>
      <c r="Q263" s="124" t="str" cm="1">
        <f t="array" ref="Q263">_xlfn.XLOOKUP(1,('Case Pack'!$A$4:$A$962=C263)*('Case Pack'!$L$4:$L$962&gt;0)*('Case Pack'!$L$4:$L$962&lt;=A263),'Case Pack'!$G$4:$G$962,"未找到箱型")</f>
        <v>A</v>
      </c>
      <c r="R263" s="124">
        <f>ROUND(IFERROR(VLOOKUP(Q263,'Case Type'!A:H,8,0),0)*O263,2)</f>
        <v>0.26</v>
      </c>
    </row>
    <row r="264" customFormat="1" spans="1:18">
      <c r="A264" s="113">
        <v>46127</v>
      </c>
      <c r="B264" s="91" t="str">
        <f>_xlfn.XLOOKUP(C264,'Product List'!B:B,'Product List'!I:I)</f>
        <v>MMO-STARFISH CASTLE</v>
      </c>
      <c r="C264" s="94" t="s">
        <v>60</v>
      </c>
      <c r="D264" s="125">
        <v>30935534</v>
      </c>
      <c r="E264" s="125">
        <v>12</v>
      </c>
      <c r="F264" s="125">
        <v>5.32</v>
      </c>
      <c r="G264" s="125">
        <f t="shared" si="6"/>
        <v>63.84</v>
      </c>
      <c r="H264" s="86" t="s">
        <v>298</v>
      </c>
      <c r="I264" s="86" t="s">
        <v>92</v>
      </c>
      <c r="J264" s="124" t="s">
        <v>319</v>
      </c>
      <c r="K264" s="193">
        <v>46146</v>
      </c>
      <c r="L264" s="251">
        <v>46146</v>
      </c>
      <c r="M264" s="127">
        <v>2.81</v>
      </c>
      <c r="N264" s="124">
        <f t="shared" si="7"/>
        <v>33.72</v>
      </c>
      <c r="O264" s="124" cm="1">
        <f t="array" ref="O264">E264/_xlfn.XLOOKUP(1,('Case Pack'!$A$4:$A$962=C264)*('Case Pack'!$L$4:$L$962&gt;0)*('Case Pack'!$L$4:$L$962&lt;=A264),'Case Pack'!$D$4:$D$962,"未找到箱规")</f>
        <v>0.6</v>
      </c>
      <c r="P264" s="124" t="str">
        <f>IF(COUNTIF('PO Check'!A:A,D264)&gt;0,"Yes","No")</f>
        <v>Yes</v>
      </c>
      <c r="Q264" s="124" t="str" cm="1">
        <f t="array" ref="Q264">_xlfn.XLOOKUP(1,('Case Pack'!$A$4:$A$962=C264)*('Case Pack'!$L$4:$L$962&gt;0)*('Case Pack'!$L$4:$L$962&lt;=A264),'Case Pack'!$G$4:$G$962,"未找到箱型")</f>
        <v>C</v>
      </c>
      <c r="R264" s="124">
        <f>ROUND(IFERROR(VLOOKUP(Q264,'Case Type'!A:H,8,0),0)*O264,2)</f>
        <v>0.09</v>
      </c>
    </row>
    <row r="265" customFormat="1" spans="1:18">
      <c r="A265" s="113">
        <v>46127</v>
      </c>
      <c r="B265" s="91" t="str">
        <f>_xlfn.XLOOKUP(C265,'Product List'!B:B,'Product List'!I:I)</f>
        <v>MMO-WAVE BRIDGE</v>
      </c>
      <c r="C265" s="94" t="s">
        <v>61</v>
      </c>
      <c r="D265" s="125">
        <v>30935534</v>
      </c>
      <c r="E265" s="125">
        <v>32</v>
      </c>
      <c r="F265" s="125">
        <v>4.84</v>
      </c>
      <c r="G265" s="125">
        <f t="shared" si="6"/>
        <v>154.88</v>
      </c>
      <c r="H265" s="86" t="s">
        <v>298</v>
      </c>
      <c r="I265" s="86" t="s">
        <v>92</v>
      </c>
      <c r="J265" s="124" t="s">
        <v>319</v>
      </c>
      <c r="K265" s="193">
        <v>46146</v>
      </c>
      <c r="L265" s="251">
        <v>46146</v>
      </c>
      <c r="M265" s="127">
        <v>2.79</v>
      </c>
      <c r="N265" s="124">
        <f t="shared" si="7"/>
        <v>89.28</v>
      </c>
      <c r="O265" s="124" cm="1">
        <f t="array" ref="O265">E265/_xlfn.XLOOKUP(1,('Case Pack'!$A$4:$A$962=C265)*('Case Pack'!$L$4:$L$962&gt;0)*('Case Pack'!$L$4:$L$962&lt;=A265),'Case Pack'!$D$4:$D$962,"未找到箱规")</f>
        <v>0.96969696969697</v>
      </c>
      <c r="P265" s="124" t="str">
        <f>IF(COUNTIF('PO Check'!A:A,D265)&gt;0,"Yes","No")</f>
        <v>Yes</v>
      </c>
      <c r="Q265" s="124" t="str" cm="1">
        <f t="array" ref="Q265">_xlfn.XLOOKUP(1,('Case Pack'!$A$4:$A$962=C265)*('Case Pack'!$L$4:$L$962&gt;0)*('Case Pack'!$L$4:$L$962&lt;=A265),'Case Pack'!$G$4:$G$962,"未找到箱型")</f>
        <v>C</v>
      </c>
      <c r="R265" s="124">
        <f>ROUND(IFERROR(VLOOKUP(Q265,'Case Type'!A:H,8,0),0)*O265,2)</f>
        <v>0.15</v>
      </c>
    </row>
    <row r="266" customFormat="1" spans="1:18">
      <c r="A266" s="113">
        <v>46127</v>
      </c>
      <c r="B266" s="91" t="str">
        <f>_xlfn.XLOOKUP(C266,'Product List'!B:B,'Product List'!I:I)</f>
        <v>MMO-PAPER PEBBLES</v>
      </c>
      <c r="C266" s="249" t="s">
        <v>81</v>
      </c>
      <c r="D266" s="125">
        <v>30935534</v>
      </c>
      <c r="E266" s="125">
        <v>20</v>
      </c>
      <c r="F266" s="125">
        <v>5.81</v>
      </c>
      <c r="G266" s="125">
        <f t="shared" si="6"/>
        <v>116.2</v>
      </c>
      <c r="H266" s="86" t="s">
        <v>298</v>
      </c>
      <c r="I266" s="86" t="s">
        <v>92</v>
      </c>
      <c r="J266" s="124" t="s">
        <v>319</v>
      </c>
      <c r="K266" s="193">
        <v>46146</v>
      </c>
      <c r="L266" s="251">
        <v>46146</v>
      </c>
      <c r="M266" s="127">
        <v>2.84</v>
      </c>
      <c r="N266" s="124">
        <f t="shared" si="7"/>
        <v>56.8</v>
      </c>
      <c r="O266" s="124" cm="1">
        <f t="array" ref="O266">E266/_xlfn.XLOOKUP(1,('Case Pack'!$A$4:$A$962=C266)*('Case Pack'!$L$4:$L$962&gt;0)*('Case Pack'!$L$4:$L$962&lt;=A266),'Case Pack'!$D$4:$D$962,"未找到箱规")</f>
        <v>1.66666666666667</v>
      </c>
      <c r="P266" s="124" t="str">
        <f>IF(COUNTIF('PO Check'!A:A,D266)&gt;0,"Yes","No")</f>
        <v>Yes</v>
      </c>
      <c r="Q266" s="124" t="str" cm="1">
        <f t="array" ref="Q266">_xlfn.XLOOKUP(1,('Case Pack'!$A$4:$A$962=C266)*('Case Pack'!$L$4:$L$962&gt;0)*('Case Pack'!$L$4:$L$962&lt;=A266),'Case Pack'!$G$4:$G$962,"未找到箱型")</f>
        <v>B</v>
      </c>
      <c r="R266" s="124">
        <f>ROUND(IFERROR(VLOOKUP(Q266,'Case Type'!A:H,8,0),0)*O266,2)</f>
        <v>0.12</v>
      </c>
    </row>
    <row r="267" customFormat="1" spans="1:18">
      <c r="A267" s="113">
        <v>46127</v>
      </c>
      <c r="B267" s="91" t="str">
        <f>_xlfn.XLOOKUP(C267,'Product List'!B:B,'Product List'!I:I)</f>
        <v>MINI/MOE TV VIEWING CAGE</v>
      </c>
      <c r="C267" s="94" t="s">
        <v>50</v>
      </c>
      <c r="D267" s="125">
        <v>30935534</v>
      </c>
      <c r="E267" s="125">
        <v>24</v>
      </c>
      <c r="F267" s="125">
        <v>48.49</v>
      </c>
      <c r="G267" s="125">
        <f t="shared" si="6"/>
        <v>1163.76</v>
      </c>
      <c r="H267" s="86" t="s">
        <v>298</v>
      </c>
      <c r="I267" s="86" t="s">
        <v>92</v>
      </c>
      <c r="J267" s="124" t="s">
        <v>319</v>
      </c>
      <c r="K267" s="193">
        <v>46146</v>
      </c>
      <c r="L267" s="251">
        <v>46146</v>
      </c>
      <c r="M267" s="127">
        <v>24.09</v>
      </c>
      <c r="N267" s="124">
        <f t="shared" si="7"/>
        <v>578.16</v>
      </c>
      <c r="O267" s="124" cm="1">
        <f t="array" ref="O267">E267/_xlfn.XLOOKUP(1,('Case Pack'!$A$4:$A$962=C267)*('Case Pack'!$L$4:$L$962&gt;0)*('Case Pack'!$L$4:$L$962&lt;=A267),'Case Pack'!$D$4:$D$962,"未找到箱规")</f>
        <v>24</v>
      </c>
      <c r="P267" s="124" t="str">
        <f>IF(COUNTIF('PO Check'!A:A,D267)&gt;0,"Yes","No")</f>
        <v>Yes</v>
      </c>
      <c r="Q267" s="124" t="str" cm="1">
        <f t="array" ref="Q267">_xlfn.XLOOKUP(1,('Case Pack'!$A$4:$A$962=C267)*('Case Pack'!$L$4:$L$962&gt;0)*('Case Pack'!$L$4:$L$962&lt;=A267),'Case Pack'!$G$4:$G$962,"未找到箱型")</f>
        <v>S1</v>
      </c>
      <c r="R267" s="124">
        <f>ROUND(IFERROR(VLOOKUP(Q267,'Case Type'!A:H,8,0),0)*O267,2)</f>
        <v>1.78</v>
      </c>
    </row>
    <row r="268" customFormat="1" spans="1:18">
      <c r="A268" s="113">
        <v>46127</v>
      </c>
      <c r="B268" s="91" t="str">
        <f>_xlfn.XLOOKUP(C268,'Product List'!B:B,'Product List'!I:I)</f>
        <v>MMO-BUBBLE WATER BOTTLE</v>
      </c>
      <c r="C268" s="94" t="s">
        <v>67</v>
      </c>
      <c r="D268" s="214">
        <v>30935534</v>
      </c>
      <c r="E268" s="125">
        <v>72</v>
      </c>
      <c r="F268" s="125">
        <v>4.35</v>
      </c>
      <c r="G268" s="125">
        <f t="shared" si="6"/>
        <v>313.2</v>
      </c>
      <c r="H268" s="86" t="s">
        <v>298</v>
      </c>
      <c r="I268" s="86" t="s">
        <v>92</v>
      </c>
      <c r="J268" s="124" t="s">
        <v>319</v>
      </c>
      <c r="K268" s="193">
        <v>46146</v>
      </c>
      <c r="L268" s="251">
        <v>46146</v>
      </c>
      <c r="M268" s="127">
        <v>3.1</v>
      </c>
      <c r="N268" s="124">
        <f t="shared" si="7"/>
        <v>223.2</v>
      </c>
      <c r="O268" s="124" cm="1">
        <f t="array" ref="O268">E268/_xlfn.XLOOKUP(1,('Case Pack'!$A$4:$A$962=C268)*('Case Pack'!$L$4:$L$962&gt;0)*('Case Pack'!$L$4:$L$962&lt;=A268),'Case Pack'!$D$4:$D$962,"未找到箱规")</f>
        <v>1.71428571428571</v>
      </c>
      <c r="P268" s="124" t="str">
        <f>IF(COUNTIF('PO Check'!A:A,D268)&gt;0,"Yes","No")</f>
        <v>Yes</v>
      </c>
      <c r="Q268" s="124" t="str" cm="1">
        <f t="array" ref="Q268">_xlfn.XLOOKUP(1,('Case Pack'!$A$4:$A$962=C268)*('Case Pack'!$L$4:$L$962&gt;0)*('Case Pack'!$L$4:$L$962&lt;=A268),'Case Pack'!$G$4:$G$962,"未找到箱型")</f>
        <v>C</v>
      </c>
      <c r="R268" s="124">
        <f>ROUND(IFERROR(VLOOKUP(Q268,'Case Type'!A:H,8,0),0)*O268,2)</f>
        <v>0.27</v>
      </c>
    </row>
    <row r="269" customFormat="1" spans="1:18">
      <c r="A269" s="113">
        <v>46127</v>
      </c>
      <c r="B269" s="91" t="str">
        <f>_xlfn.XLOOKUP(C269,'Product List'!B:B,'Product List'!I:I)</f>
        <v>MINI/MOE SILENT CRSTL RUN WHEEL LG 8.5-White</v>
      </c>
      <c r="C269" s="94" t="s">
        <v>29</v>
      </c>
      <c r="D269" s="125">
        <v>30935535</v>
      </c>
      <c r="E269" s="125">
        <v>88</v>
      </c>
      <c r="F269" s="125">
        <v>13.22</v>
      </c>
      <c r="G269" s="125">
        <f t="shared" si="6"/>
        <v>1163.36</v>
      </c>
      <c r="H269" s="86" t="s">
        <v>298</v>
      </c>
      <c r="I269" s="86" t="s">
        <v>92</v>
      </c>
      <c r="J269" s="124" t="s">
        <v>319</v>
      </c>
      <c r="K269" s="193">
        <v>46164</v>
      </c>
      <c r="L269" s="251">
        <v>46160</v>
      </c>
      <c r="M269" s="127">
        <v>6.27</v>
      </c>
      <c r="N269" s="124">
        <f t="shared" si="7"/>
        <v>551.76</v>
      </c>
      <c r="O269" s="124" cm="1">
        <f t="array" ref="O269">E269/_xlfn.XLOOKUP(1,('Case Pack'!$A$4:$A$962=C269)*('Case Pack'!$L$4:$L$962&gt;0)*('Case Pack'!$L$4:$L$962&lt;=A269),'Case Pack'!$D$4:$D$962,"未找到箱规")</f>
        <v>11</v>
      </c>
      <c r="P269" s="124" t="str">
        <f>IF(COUNTIF('PO Check'!A:A,D269)&gt;0,"Yes","No")</f>
        <v>Yes</v>
      </c>
      <c r="Q269" s="124" t="str" cm="1">
        <f t="array" ref="Q269">_xlfn.XLOOKUP(1,('Case Pack'!$A$4:$A$962=C269)*('Case Pack'!$L$4:$L$962&gt;0)*('Case Pack'!$L$4:$L$962&lt;=A269),'Case Pack'!$G$4:$G$962,"未找到箱型")</f>
        <v>C</v>
      </c>
      <c r="R269" s="124">
        <f>ROUND(IFERROR(VLOOKUP(Q269,'Case Type'!A:H,8,0),0)*O269,2)</f>
        <v>1.73</v>
      </c>
    </row>
    <row r="270" customFormat="1" spans="1:18">
      <c r="A270" s="113">
        <v>46127</v>
      </c>
      <c r="B270" s="91" t="str">
        <f>_xlfn.XLOOKUP(C270,'Product List'!B:B,'Product List'!I:I)</f>
        <v>MMO-CLOUD WATER BOTTLE</v>
      </c>
      <c r="C270" s="94" t="s">
        <v>77</v>
      </c>
      <c r="D270" s="125">
        <v>30935535</v>
      </c>
      <c r="E270" s="125">
        <v>300</v>
      </c>
      <c r="F270" s="125">
        <v>1.32</v>
      </c>
      <c r="G270" s="125">
        <f t="shared" si="6"/>
        <v>396</v>
      </c>
      <c r="H270" s="86" t="s">
        <v>298</v>
      </c>
      <c r="I270" s="86" t="s">
        <v>92</v>
      </c>
      <c r="J270" s="124" t="s">
        <v>319</v>
      </c>
      <c r="K270" s="193">
        <v>46164</v>
      </c>
      <c r="L270" s="251">
        <v>46160</v>
      </c>
      <c r="M270" s="127">
        <v>0.62</v>
      </c>
      <c r="N270" s="124">
        <f t="shared" si="7"/>
        <v>186</v>
      </c>
      <c r="O270" s="124" cm="1">
        <f t="array" ref="O270">E270/_xlfn.XLOOKUP(1,('Case Pack'!$A$4:$A$962=C270)*('Case Pack'!$L$4:$L$962&gt;0)*('Case Pack'!$L$4:$L$962&lt;=A270),'Case Pack'!$D$4:$D$962,"未找到箱规")</f>
        <v>6</v>
      </c>
      <c r="P270" s="124" t="str">
        <f>IF(COUNTIF('PO Check'!A:A,D270)&gt;0,"Yes","No")</f>
        <v>Yes</v>
      </c>
      <c r="Q270" s="124" t="str" cm="1">
        <f t="array" ref="Q270">_xlfn.XLOOKUP(1,('Case Pack'!$A$4:$A$962=C270)*('Case Pack'!$L$4:$L$962&gt;0)*('Case Pack'!$L$4:$L$962&lt;=A270),'Case Pack'!$G$4:$G$962,"未找到箱型")</f>
        <v>A</v>
      </c>
      <c r="R270" s="124">
        <f>ROUND(IFERROR(VLOOKUP(Q270,'Case Type'!A:H,8,0),0)*O270,2)</f>
        <v>0.66</v>
      </c>
    </row>
    <row r="271" customFormat="1" spans="1:18">
      <c r="A271" s="113">
        <v>46127</v>
      </c>
      <c r="B271" s="91" t="str">
        <f>_xlfn.XLOOKUP(C271,'Product List'!B:B,'Product List'!I:I)</f>
        <v>MMO-WAVE BRIDGE</v>
      </c>
      <c r="C271" s="94" t="s">
        <v>61</v>
      </c>
      <c r="D271" s="125">
        <v>30935535</v>
      </c>
      <c r="E271" s="125">
        <v>33</v>
      </c>
      <c r="F271" s="125">
        <v>4.84</v>
      </c>
      <c r="G271" s="125">
        <f t="shared" si="6"/>
        <v>159.72</v>
      </c>
      <c r="H271" s="86" t="s">
        <v>298</v>
      </c>
      <c r="I271" s="86" t="s">
        <v>92</v>
      </c>
      <c r="J271" s="124" t="s">
        <v>319</v>
      </c>
      <c r="K271" s="193">
        <v>46164</v>
      </c>
      <c r="L271" s="251">
        <v>46160</v>
      </c>
      <c r="M271" s="127">
        <v>2.79</v>
      </c>
      <c r="N271" s="124">
        <f t="shared" si="7"/>
        <v>92.07</v>
      </c>
      <c r="O271" s="124" cm="1">
        <f t="array" ref="O271">E271/_xlfn.XLOOKUP(1,('Case Pack'!$A$4:$A$962=C271)*('Case Pack'!$L$4:$L$962&gt;0)*('Case Pack'!$L$4:$L$962&lt;=A271),'Case Pack'!$D$4:$D$962,"未找到箱规")</f>
        <v>1</v>
      </c>
      <c r="P271" s="124" t="str">
        <f>IF(COUNTIF('PO Check'!A:A,D271)&gt;0,"Yes","No")</f>
        <v>Yes</v>
      </c>
      <c r="Q271" s="124" t="str" cm="1">
        <f t="array" ref="Q271">_xlfn.XLOOKUP(1,('Case Pack'!$A$4:$A$962=C271)*('Case Pack'!$L$4:$L$962&gt;0)*('Case Pack'!$L$4:$L$962&lt;=A271),'Case Pack'!$G$4:$G$962,"未找到箱型")</f>
        <v>C</v>
      </c>
      <c r="R271" s="124">
        <f>ROUND(IFERROR(VLOOKUP(Q271,'Case Type'!A:H,8,0),0)*O271,2)</f>
        <v>0.16</v>
      </c>
    </row>
    <row r="272" customFormat="1" spans="1:18">
      <c r="A272" s="113">
        <v>46127</v>
      </c>
      <c r="B272" s="91" t="str">
        <f>_xlfn.XLOOKUP(C272,'Product List'!B:B,'Product List'!I:I)</f>
        <v>MINI/MOE TV VIEWING CAGE</v>
      </c>
      <c r="C272" s="94" t="s">
        <v>50</v>
      </c>
      <c r="D272" s="125">
        <v>30935535</v>
      </c>
      <c r="E272" s="125">
        <v>63</v>
      </c>
      <c r="F272" s="125">
        <v>48.49</v>
      </c>
      <c r="G272" s="125">
        <f t="shared" si="6"/>
        <v>3054.87</v>
      </c>
      <c r="H272" s="86" t="s">
        <v>298</v>
      </c>
      <c r="I272" s="86" t="s">
        <v>92</v>
      </c>
      <c r="J272" s="124" t="s">
        <v>319</v>
      </c>
      <c r="K272" s="193">
        <v>46164</v>
      </c>
      <c r="L272" s="251">
        <v>46160</v>
      </c>
      <c r="M272" s="127">
        <v>24.09</v>
      </c>
      <c r="N272" s="124">
        <f t="shared" si="7"/>
        <v>1517.67</v>
      </c>
      <c r="O272" s="124" cm="1">
        <f t="array" ref="O272">E272/_xlfn.XLOOKUP(1,('Case Pack'!$A$4:$A$962=C272)*('Case Pack'!$L$4:$L$962&gt;0)*('Case Pack'!$L$4:$L$962&lt;=A272),'Case Pack'!$D$4:$D$962,"未找到箱规")</f>
        <v>63</v>
      </c>
      <c r="P272" s="124" t="str">
        <f>IF(COUNTIF('PO Check'!A:A,D272)&gt;0,"Yes","No")</f>
        <v>Yes</v>
      </c>
      <c r="Q272" s="124" t="str" cm="1">
        <f t="array" ref="Q272">_xlfn.XLOOKUP(1,('Case Pack'!$A$4:$A$962=C272)*('Case Pack'!$L$4:$L$962&gt;0)*('Case Pack'!$L$4:$L$962&lt;=A272),'Case Pack'!$G$4:$G$962,"未找到箱型")</f>
        <v>S1</v>
      </c>
      <c r="R272" s="124">
        <f>ROUND(IFERROR(VLOOKUP(Q272,'Case Type'!A:H,8,0),0)*O272,2)</f>
        <v>4.66</v>
      </c>
    </row>
    <row r="273" customFormat="1" spans="1:18">
      <c r="A273" s="113">
        <v>46127</v>
      </c>
      <c r="B273" s="91" t="str">
        <f>_xlfn.XLOOKUP(C273,'Product List'!B:B,'Product List'!I:I)</f>
        <v>MMO-BUBBLE WATER BOTTLE</v>
      </c>
      <c r="C273" s="94" t="s">
        <v>67</v>
      </c>
      <c r="D273" s="214">
        <v>30935535</v>
      </c>
      <c r="E273" s="125">
        <v>294</v>
      </c>
      <c r="F273" s="125">
        <v>4.35</v>
      </c>
      <c r="G273" s="125">
        <f t="shared" si="6"/>
        <v>1278.9</v>
      </c>
      <c r="H273" s="86" t="s">
        <v>298</v>
      </c>
      <c r="I273" s="86" t="s">
        <v>92</v>
      </c>
      <c r="J273" s="124" t="s">
        <v>319</v>
      </c>
      <c r="K273" s="193">
        <v>46164</v>
      </c>
      <c r="L273" s="251">
        <v>46160</v>
      </c>
      <c r="M273" s="127">
        <v>3.1</v>
      </c>
      <c r="N273" s="124">
        <f t="shared" si="7"/>
        <v>911.4</v>
      </c>
      <c r="O273" s="124" cm="1">
        <f t="array" ref="O273">E273/_xlfn.XLOOKUP(1,('Case Pack'!$A$4:$A$962=C273)*('Case Pack'!$L$4:$L$962&gt;0)*('Case Pack'!$L$4:$L$962&lt;=A273),'Case Pack'!$D$4:$D$962,"未找到箱规")</f>
        <v>7</v>
      </c>
      <c r="P273" s="124" t="str">
        <f>IF(COUNTIF('PO Check'!A:A,D273)&gt;0,"Yes","No")</f>
        <v>Yes</v>
      </c>
      <c r="Q273" s="124" t="str" cm="1">
        <f t="array" ref="Q273">_xlfn.XLOOKUP(1,('Case Pack'!$A$4:$A$962=C273)*('Case Pack'!$L$4:$L$962&gt;0)*('Case Pack'!$L$4:$L$962&lt;=A273),'Case Pack'!$G$4:$G$962,"未找到箱型")</f>
        <v>C</v>
      </c>
      <c r="R273" s="124">
        <f>ROUND(IFERROR(VLOOKUP(Q273,'Case Type'!A:H,8,0),0)*O273,2)</f>
        <v>1.1</v>
      </c>
    </row>
    <row r="274" customFormat="1" spans="1:18">
      <c r="A274" s="113">
        <v>46127</v>
      </c>
      <c r="B274" s="91" t="str">
        <f>_xlfn.XLOOKUP(C274,'Product List'!B:B,'Product List'!I:I)</f>
        <v>MMO-SHELL PEARL HAMSTER CHEW</v>
      </c>
      <c r="C274" s="94" t="s">
        <v>35</v>
      </c>
      <c r="D274" s="125">
        <v>30935535</v>
      </c>
      <c r="E274" s="125">
        <v>64</v>
      </c>
      <c r="F274" s="125">
        <v>1.61</v>
      </c>
      <c r="G274" s="125">
        <f t="shared" si="6"/>
        <v>103.04</v>
      </c>
      <c r="H274" s="86" t="s">
        <v>298</v>
      </c>
      <c r="I274" s="86" t="s">
        <v>92</v>
      </c>
      <c r="J274" s="124" t="s">
        <v>319</v>
      </c>
      <c r="K274" s="193">
        <v>46164</v>
      </c>
      <c r="L274" s="251">
        <v>46160</v>
      </c>
      <c r="M274" s="127">
        <v>0.92</v>
      </c>
      <c r="N274" s="124">
        <f t="shared" si="7"/>
        <v>58.88</v>
      </c>
      <c r="O274" s="124" cm="1">
        <f t="array" ref="O274">E274/_xlfn.XLOOKUP(1,('Case Pack'!$A$4:$A$962=C274)*('Case Pack'!$L$4:$L$962&gt;0)*('Case Pack'!$L$4:$L$962&lt;=A274),'Case Pack'!$D$4:$D$962,"未找到箱规")</f>
        <v>1</v>
      </c>
      <c r="P274" s="124" t="str">
        <f>IF(COUNTIF('PO Check'!A:A,D274)&gt;0,"Yes","No")</f>
        <v>Yes</v>
      </c>
      <c r="Q274" s="124" t="str" cm="1">
        <f t="array" ref="Q274">_xlfn.XLOOKUP(1,('Case Pack'!$A$4:$A$962=C274)*('Case Pack'!$L$4:$L$962&gt;0)*('Case Pack'!$L$4:$L$962&lt;=A274),'Case Pack'!$G$4:$G$962,"未找到箱型")</f>
        <v>B</v>
      </c>
      <c r="R274" s="124">
        <f>ROUND(IFERROR(VLOOKUP(Q274,'Case Type'!A:H,8,0),0)*O274,2)</f>
        <v>0.07</v>
      </c>
    </row>
    <row r="275" customFormat="1" spans="1:18">
      <c r="A275" s="113">
        <v>46127</v>
      </c>
      <c r="B275" s="91" t="str">
        <f>_xlfn.XLOOKUP(C275,'Product List'!B:B,'Product List'!I:I)</f>
        <v>MMO-GREEN APPLE CHEW</v>
      </c>
      <c r="C275" s="94" t="s">
        <v>33</v>
      </c>
      <c r="D275" s="125">
        <v>30935535</v>
      </c>
      <c r="E275" s="125">
        <v>48</v>
      </c>
      <c r="F275" s="125">
        <v>1.53</v>
      </c>
      <c r="G275" s="125">
        <f t="shared" si="6"/>
        <v>73.44</v>
      </c>
      <c r="H275" s="86" t="s">
        <v>298</v>
      </c>
      <c r="I275" s="86" t="s">
        <v>92</v>
      </c>
      <c r="J275" s="124" t="s">
        <v>319</v>
      </c>
      <c r="K275" s="193">
        <v>46164</v>
      </c>
      <c r="L275" s="251">
        <v>46160</v>
      </c>
      <c r="M275" s="127">
        <v>0.87</v>
      </c>
      <c r="N275" s="124">
        <f t="shared" si="7"/>
        <v>41.76</v>
      </c>
      <c r="O275" s="124" cm="1">
        <f t="array" ref="O275">E275/_xlfn.XLOOKUP(1,('Case Pack'!$A$4:$A$962=C275)*('Case Pack'!$L$4:$L$962&gt;0)*('Case Pack'!$L$4:$L$962&lt;=A275),'Case Pack'!$D$4:$D$962,"未找到箱规")</f>
        <v>1</v>
      </c>
      <c r="P275" s="124" t="str">
        <f>IF(COUNTIF('PO Check'!A:A,D275)&gt;0,"Yes","No")</f>
        <v>Yes</v>
      </c>
      <c r="Q275" s="124" t="str" cm="1">
        <f t="array" ref="Q275">_xlfn.XLOOKUP(1,('Case Pack'!$A$4:$A$962=C275)*('Case Pack'!$L$4:$L$962&gt;0)*('Case Pack'!$L$4:$L$962&lt;=A275),'Case Pack'!$G$4:$G$962,"未找到箱型")</f>
        <v>B</v>
      </c>
      <c r="R275" s="124">
        <f>ROUND(IFERROR(VLOOKUP(Q275,'Case Type'!A:H,8,0),0)*O275,2)</f>
        <v>0.07</v>
      </c>
    </row>
    <row r="276" customFormat="1" spans="1:18">
      <c r="A276" s="113">
        <v>46127</v>
      </c>
      <c r="B276" s="91" t="str">
        <f>_xlfn.XLOOKUP(C276,'Product List'!B:B,'Product List'!I:I)</f>
        <v>MMO-CAMP LUNCH BOX CHEW</v>
      </c>
      <c r="C276" s="94" t="s">
        <v>34</v>
      </c>
      <c r="D276" s="125">
        <v>30935535</v>
      </c>
      <c r="E276" s="125">
        <v>72</v>
      </c>
      <c r="F276" s="125">
        <v>2.48</v>
      </c>
      <c r="G276" s="125">
        <f t="shared" si="6"/>
        <v>178.56</v>
      </c>
      <c r="H276" s="86" t="s">
        <v>298</v>
      </c>
      <c r="I276" s="86" t="s">
        <v>92</v>
      </c>
      <c r="J276" s="124" t="s">
        <v>319</v>
      </c>
      <c r="K276" s="193">
        <v>46164</v>
      </c>
      <c r="L276" s="251">
        <v>46160</v>
      </c>
      <c r="M276" s="127">
        <v>1.52</v>
      </c>
      <c r="N276" s="124">
        <f t="shared" si="7"/>
        <v>109.44</v>
      </c>
      <c r="O276" s="124" cm="1">
        <f t="array" ref="O276">E276/_xlfn.XLOOKUP(1,('Case Pack'!$A$4:$A$962=C276)*('Case Pack'!$L$4:$L$962&gt;0)*('Case Pack'!$L$4:$L$962&lt;=A276),'Case Pack'!$D$4:$D$962,"未找到箱规")</f>
        <v>1</v>
      </c>
      <c r="P276" s="124" t="str">
        <f>IF(COUNTIF('PO Check'!A:A,D276)&gt;0,"Yes","No")</f>
        <v>Yes</v>
      </c>
      <c r="Q276" s="124" t="str" cm="1">
        <f t="array" ref="Q276">_xlfn.XLOOKUP(1,('Case Pack'!$A$4:$A$962=C276)*('Case Pack'!$L$4:$L$962&gt;0)*('Case Pack'!$L$4:$L$962&lt;=A276),'Case Pack'!$G$4:$G$962,"未找到箱型")</f>
        <v>B</v>
      </c>
      <c r="R276" s="124">
        <f>ROUND(IFERROR(VLOOKUP(Q276,'Case Type'!A:H,8,0),0)*O276,2)</f>
        <v>0.07</v>
      </c>
    </row>
    <row r="277" customFormat="1" spans="1:18">
      <c r="A277" s="113">
        <v>46127</v>
      </c>
      <c r="B277" s="91" t="str">
        <f>_xlfn.XLOOKUP(C277,'Product List'!B:B,'Product List'!I:I)</f>
        <v>MINI/MOE BENDABLE BIRCHWOOD FENCE</v>
      </c>
      <c r="C277" s="94" t="s">
        <v>62</v>
      </c>
      <c r="D277" s="125">
        <v>30935536</v>
      </c>
      <c r="E277" s="125">
        <v>192</v>
      </c>
      <c r="F277" s="125">
        <v>5.01</v>
      </c>
      <c r="G277" s="125">
        <f t="shared" si="6"/>
        <v>961.92</v>
      </c>
      <c r="H277" s="86" t="s">
        <v>298</v>
      </c>
      <c r="I277" s="86" t="s">
        <v>92</v>
      </c>
      <c r="J277" s="124" t="s">
        <v>327</v>
      </c>
      <c r="K277" s="193">
        <v>46146</v>
      </c>
      <c r="L277" s="251">
        <v>46146</v>
      </c>
      <c r="M277" s="127">
        <v>2.63</v>
      </c>
      <c r="N277" s="124">
        <f t="shared" si="7"/>
        <v>504.96</v>
      </c>
      <c r="O277" s="124" cm="1">
        <f t="array" ref="O277">E277/_xlfn.XLOOKUP(1,('Case Pack'!$A$4:$A$962=C277)*('Case Pack'!$L$4:$L$962&gt;0)*('Case Pack'!$L$4:$L$962&lt;=A277),'Case Pack'!$D$4:$D$962,"未找到箱规")</f>
        <v>6</v>
      </c>
      <c r="P277" s="124" t="str">
        <f>IF(COUNTIF('PO Check'!A:A,D277)&gt;0,"Yes","No")</f>
        <v>Yes</v>
      </c>
      <c r="Q277" s="124" t="str" cm="1">
        <f t="array" ref="Q277">_xlfn.XLOOKUP(1,('Case Pack'!$A$4:$A$962=C277)*('Case Pack'!$L$4:$L$962&gt;0)*('Case Pack'!$L$4:$L$962&lt;=A277),'Case Pack'!$G$4:$G$962,"未找到箱型")</f>
        <v>F</v>
      </c>
      <c r="R277" s="124">
        <f>ROUND(IFERROR(VLOOKUP(Q277,'Case Type'!A:H,8,0),0)*O277,2)</f>
        <v>0.22</v>
      </c>
    </row>
    <row r="278" customFormat="1" spans="1:18">
      <c r="A278" s="113">
        <v>46127</v>
      </c>
      <c r="B278" s="91" t="str">
        <f>_xlfn.XLOOKUP(C278,'Product List'!B:B,'Product List'!I:I)</f>
        <v>MINI/MOE SILENT CRSTL RUN WHEEL LG 8.5-White</v>
      </c>
      <c r="C278" s="94" t="s">
        <v>29</v>
      </c>
      <c r="D278" s="125">
        <v>30935536</v>
      </c>
      <c r="E278" s="125">
        <v>112</v>
      </c>
      <c r="F278" s="125">
        <v>13.22</v>
      </c>
      <c r="G278" s="125">
        <f t="shared" si="6"/>
        <v>1480.64</v>
      </c>
      <c r="H278" s="86" t="s">
        <v>298</v>
      </c>
      <c r="I278" s="86" t="s">
        <v>92</v>
      </c>
      <c r="J278" s="124" t="s">
        <v>327</v>
      </c>
      <c r="K278" s="193">
        <v>46146</v>
      </c>
      <c r="L278" s="251">
        <v>46146</v>
      </c>
      <c r="M278" s="127">
        <v>6.27</v>
      </c>
      <c r="N278" s="124">
        <f t="shared" si="7"/>
        <v>702.24</v>
      </c>
      <c r="O278" s="124" cm="1">
        <f t="array" ref="O278">E278/_xlfn.XLOOKUP(1,('Case Pack'!$A$4:$A$962=C278)*('Case Pack'!$L$4:$L$962&gt;0)*('Case Pack'!$L$4:$L$962&lt;=A278),'Case Pack'!$D$4:$D$962,"未找到箱规")</f>
        <v>14</v>
      </c>
      <c r="P278" s="124" t="str">
        <f>IF(COUNTIF('PO Check'!A:A,D278)&gt;0,"Yes","No")</f>
        <v>Yes</v>
      </c>
      <c r="Q278" s="124" t="str" cm="1">
        <f t="array" ref="Q278">_xlfn.XLOOKUP(1,('Case Pack'!$A$4:$A$962=C278)*('Case Pack'!$L$4:$L$962&gt;0)*('Case Pack'!$L$4:$L$962&lt;=A278),'Case Pack'!$G$4:$G$962,"未找到箱型")</f>
        <v>C</v>
      </c>
      <c r="R278" s="124">
        <f>ROUND(IFERROR(VLOOKUP(Q278,'Case Type'!A:H,8,0),0)*O278,2)</f>
        <v>2.2</v>
      </c>
    </row>
    <row r="279" customFormat="1" spans="1:18">
      <c r="A279" s="113">
        <v>46127</v>
      </c>
      <c r="B279" s="91" t="str">
        <f>_xlfn.XLOOKUP(C279,'Product List'!B:B,'Product List'!I:I)</f>
        <v>MINI/MOE RUFFLE BOWL</v>
      </c>
      <c r="C279" s="94" t="s">
        <v>78</v>
      </c>
      <c r="D279" s="125">
        <v>30935536</v>
      </c>
      <c r="E279" s="125">
        <v>128</v>
      </c>
      <c r="F279" s="125">
        <v>2.35</v>
      </c>
      <c r="G279" s="125">
        <f t="shared" si="6"/>
        <v>300.8</v>
      </c>
      <c r="H279" s="86" t="s">
        <v>298</v>
      </c>
      <c r="I279" s="86" t="s">
        <v>92</v>
      </c>
      <c r="J279" s="124" t="s">
        <v>327</v>
      </c>
      <c r="K279" s="193">
        <v>46146</v>
      </c>
      <c r="L279" s="251">
        <v>46146</v>
      </c>
      <c r="M279" s="127">
        <v>1.34</v>
      </c>
      <c r="N279" s="124">
        <f t="shared" si="7"/>
        <v>171.52</v>
      </c>
      <c r="O279" s="124" cm="1">
        <f t="array" ref="O279">E279/_xlfn.XLOOKUP(1,('Case Pack'!$A$4:$A$962=C279)*('Case Pack'!$L$4:$L$962&gt;0)*('Case Pack'!$L$4:$L$962&lt;=A279),'Case Pack'!$D$4:$D$962,"未找到箱规")</f>
        <v>2.66666666666667</v>
      </c>
      <c r="P279" s="124" t="str">
        <f>IF(COUNTIF('PO Check'!A:A,D279)&gt;0,"Yes","No")</f>
        <v>Yes</v>
      </c>
      <c r="Q279" s="124" t="str" cm="1">
        <f t="array" ref="Q279">_xlfn.XLOOKUP(1,('Case Pack'!$A$4:$A$962=C279)*('Case Pack'!$L$4:$L$962&gt;0)*('Case Pack'!$L$4:$L$962&lt;=A279),'Case Pack'!$G$4:$G$962,"未找到箱型")</f>
        <v>B</v>
      </c>
      <c r="R279" s="124">
        <f>ROUND(IFERROR(VLOOKUP(Q279,'Case Type'!A:H,8,0),0)*O279,2)</f>
        <v>0.2</v>
      </c>
    </row>
    <row r="280" customFormat="1" spans="1:18">
      <c r="A280" s="113">
        <v>46127</v>
      </c>
      <c r="B280" s="91" t="str">
        <f>_xlfn.XLOOKUP(C280,'Product List'!B:B,'Product List'!I:I)</f>
        <v>MMO-CLOUD WATER BOTTLE</v>
      </c>
      <c r="C280" s="94" t="s">
        <v>77</v>
      </c>
      <c r="D280" s="125">
        <v>30935536</v>
      </c>
      <c r="E280" s="125">
        <v>120</v>
      </c>
      <c r="F280" s="125">
        <v>1.32</v>
      </c>
      <c r="G280" s="125">
        <f t="shared" si="6"/>
        <v>158.4</v>
      </c>
      <c r="H280" s="86" t="s">
        <v>298</v>
      </c>
      <c r="I280" s="86" t="s">
        <v>92</v>
      </c>
      <c r="J280" s="124" t="s">
        <v>327</v>
      </c>
      <c r="K280" s="193">
        <v>46146</v>
      </c>
      <c r="L280" s="251">
        <v>46146</v>
      </c>
      <c r="M280" s="127">
        <v>0.62</v>
      </c>
      <c r="N280" s="124">
        <f t="shared" si="7"/>
        <v>74.4</v>
      </c>
      <c r="O280" s="124" cm="1">
        <f t="array" ref="O280">E280/_xlfn.XLOOKUP(1,('Case Pack'!$A$4:$A$962=C280)*('Case Pack'!$L$4:$L$962&gt;0)*('Case Pack'!$L$4:$L$962&lt;=A280),'Case Pack'!$D$4:$D$962,"未找到箱规")</f>
        <v>2.4</v>
      </c>
      <c r="P280" s="124" t="str">
        <f>IF(COUNTIF('PO Check'!A:A,D280)&gt;0,"Yes","No")</f>
        <v>Yes</v>
      </c>
      <c r="Q280" s="124" t="str" cm="1">
        <f t="array" ref="Q280">_xlfn.XLOOKUP(1,('Case Pack'!$A$4:$A$962=C280)*('Case Pack'!$L$4:$L$962&gt;0)*('Case Pack'!$L$4:$L$962&lt;=A280),'Case Pack'!$G$4:$G$962,"未找到箱型")</f>
        <v>A</v>
      </c>
      <c r="R280" s="124">
        <f>ROUND(IFERROR(VLOOKUP(Q280,'Case Type'!A:H,8,0),0)*O280,2)</f>
        <v>0.26</v>
      </c>
    </row>
    <row r="281" customFormat="1" spans="1:18">
      <c r="A281" s="113">
        <v>46127</v>
      </c>
      <c r="B281" s="91" t="str">
        <f>_xlfn.XLOOKUP(C281,'Product List'!B:B,'Product List'!I:I)</f>
        <v>MMO-STARFISH CASTLE</v>
      </c>
      <c r="C281" s="94" t="s">
        <v>60</v>
      </c>
      <c r="D281" s="125">
        <v>30935536</v>
      </c>
      <c r="E281" s="125">
        <v>96</v>
      </c>
      <c r="F281" s="125">
        <v>5.32</v>
      </c>
      <c r="G281" s="125">
        <f t="shared" si="6"/>
        <v>510.72</v>
      </c>
      <c r="H281" s="86" t="s">
        <v>298</v>
      </c>
      <c r="I281" s="86" t="s">
        <v>92</v>
      </c>
      <c r="J281" s="124" t="s">
        <v>327</v>
      </c>
      <c r="K281" s="193">
        <v>46146</v>
      </c>
      <c r="L281" s="251">
        <v>46146</v>
      </c>
      <c r="M281" s="127">
        <v>2.81</v>
      </c>
      <c r="N281" s="124">
        <f t="shared" si="7"/>
        <v>269.76</v>
      </c>
      <c r="O281" s="124" cm="1">
        <f t="array" ref="O281">E281/_xlfn.XLOOKUP(1,('Case Pack'!$A$4:$A$962=C281)*('Case Pack'!$L$4:$L$962&gt;0)*('Case Pack'!$L$4:$L$962&lt;=A281),'Case Pack'!$D$4:$D$962,"未找到箱规")</f>
        <v>4.8</v>
      </c>
      <c r="P281" s="124" t="str">
        <f>IF(COUNTIF('PO Check'!A:A,D281)&gt;0,"Yes","No")</f>
        <v>Yes</v>
      </c>
      <c r="Q281" s="124" t="str" cm="1">
        <f t="array" ref="Q281">_xlfn.XLOOKUP(1,('Case Pack'!$A$4:$A$962=C281)*('Case Pack'!$L$4:$L$962&gt;0)*('Case Pack'!$L$4:$L$962&lt;=A281),'Case Pack'!$G$4:$G$962,"未找到箱型")</f>
        <v>C</v>
      </c>
      <c r="R281" s="124">
        <f>ROUND(IFERROR(VLOOKUP(Q281,'Case Type'!A:H,8,0),0)*O281,2)</f>
        <v>0.76</v>
      </c>
    </row>
    <row r="282" customFormat="1" spans="1:18">
      <c r="A282" s="113">
        <v>46127</v>
      </c>
      <c r="B282" s="91" t="str">
        <f>_xlfn.XLOOKUP(C282,'Product List'!B:B,'Product List'!I:I)</f>
        <v>MMO-WAVE BRIDGE</v>
      </c>
      <c r="C282" s="94" t="s">
        <v>61</v>
      </c>
      <c r="D282" s="125">
        <v>30935536</v>
      </c>
      <c r="E282" s="125">
        <v>96</v>
      </c>
      <c r="F282" s="125">
        <v>4.84</v>
      </c>
      <c r="G282" s="125">
        <f t="shared" si="6"/>
        <v>464.64</v>
      </c>
      <c r="H282" s="86" t="s">
        <v>298</v>
      </c>
      <c r="I282" s="86" t="s">
        <v>92</v>
      </c>
      <c r="J282" s="124" t="s">
        <v>327</v>
      </c>
      <c r="K282" s="193">
        <v>46146</v>
      </c>
      <c r="L282" s="251">
        <v>46146</v>
      </c>
      <c r="M282" s="127">
        <v>2.79</v>
      </c>
      <c r="N282" s="124">
        <f t="shared" si="7"/>
        <v>267.84</v>
      </c>
      <c r="O282" s="124" cm="1">
        <f t="array" ref="O282">E282/_xlfn.XLOOKUP(1,('Case Pack'!$A$4:$A$962=C282)*('Case Pack'!$L$4:$L$962&gt;0)*('Case Pack'!$L$4:$L$962&lt;=A282),'Case Pack'!$D$4:$D$962,"未找到箱规")</f>
        <v>2.90909090909091</v>
      </c>
      <c r="P282" s="124" t="str">
        <f>IF(COUNTIF('PO Check'!A:A,D282)&gt;0,"Yes","No")</f>
        <v>Yes</v>
      </c>
      <c r="Q282" s="124" t="str" cm="1">
        <f t="array" ref="Q282">_xlfn.XLOOKUP(1,('Case Pack'!$A$4:$A$962=C282)*('Case Pack'!$L$4:$L$962&gt;0)*('Case Pack'!$L$4:$L$962&lt;=A282),'Case Pack'!$G$4:$G$962,"未找到箱型")</f>
        <v>C</v>
      </c>
      <c r="R282" s="124">
        <f>ROUND(IFERROR(VLOOKUP(Q282,'Case Type'!A:H,8,0),0)*O282,2)</f>
        <v>0.46</v>
      </c>
    </row>
    <row r="283" customFormat="1" spans="1:18">
      <c r="A283" s="113">
        <v>46127</v>
      </c>
      <c r="B283" s="91" t="str">
        <f>_xlfn.XLOOKUP(C283,'Product List'!B:B,'Product List'!I:I)</f>
        <v>MMO-PAPER PEBBLES</v>
      </c>
      <c r="C283" s="249" t="s">
        <v>81</v>
      </c>
      <c r="D283" s="125">
        <v>30935536</v>
      </c>
      <c r="E283" s="125">
        <v>90</v>
      </c>
      <c r="F283" s="125">
        <v>5.81</v>
      </c>
      <c r="G283" s="125">
        <f t="shared" si="6"/>
        <v>522.9</v>
      </c>
      <c r="H283" s="86" t="s">
        <v>298</v>
      </c>
      <c r="I283" s="86" t="s">
        <v>92</v>
      </c>
      <c r="J283" s="124" t="s">
        <v>327</v>
      </c>
      <c r="K283" s="193">
        <v>46146</v>
      </c>
      <c r="L283" s="251">
        <v>46146</v>
      </c>
      <c r="M283" s="127">
        <v>2.84</v>
      </c>
      <c r="N283" s="124">
        <f t="shared" si="7"/>
        <v>255.6</v>
      </c>
      <c r="O283" s="124" cm="1">
        <f t="array" ref="O283">E283/_xlfn.XLOOKUP(1,('Case Pack'!$A$4:$A$962=C283)*('Case Pack'!$L$4:$L$962&gt;0)*('Case Pack'!$L$4:$L$962&lt;=A283),'Case Pack'!$D$4:$D$962,"未找到箱规")</f>
        <v>7.5</v>
      </c>
      <c r="P283" s="124" t="str">
        <f>IF(COUNTIF('PO Check'!A:A,D283)&gt;0,"Yes","No")</f>
        <v>Yes</v>
      </c>
      <c r="Q283" s="124" t="str" cm="1">
        <f t="array" ref="Q283">_xlfn.XLOOKUP(1,('Case Pack'!$A$4:$A$962=C283)*('Case Pack'!$L$4:$L$962&gt;0)*('Case Pack'!$L$4:$L$962&lt;=A283),'Case Pack'!$G$4:$G$962,"未找到箱型")</f>
        <v>B</v>
      </c>
      <c r="R283" s="124">
        <f>ROUND(IFERROR(VLOOKUP(Q283,'Case Type'!A:H,8,0),0)*O283,2)</f>
        <v>0.55</v>
      </c>
    </row>
    <row r="284" customFormat="1" spans="1:18">
      <c r="A284" s="113">
        <v>46127</v>
      </c>
      <c r="B284" s="91" t="str">
        <f>_xlfn.XLOOKUP(C284,'Product List'!B:B,'Product List'!I:I)</f>
        <v>MMO-COTTON NESTING BALLS</v>
      </c>
      <c r="C284" s="249" t="s">
        <v>84</v>
      </c>
      <c r="D284" s="125">
        <v>30935536</v>
      </c>
      <c r="E284" s="125">
        <v>62</v>
      </c>
      <c r="F284" s="125">
        <v>3.37</v>
      </c>
      <c r="G284" s="125">
        <f t="shared" si="6"/>
        <v>208.94</v>
      </c>
      <c r="H284" s="86" t="s">
        <v>298</v>
      </c>
      <c r="I284" s="86" t="s">
        <v>92</v>
      </c>
      <c r="J284" s="124" t="s">
        <v>327</v>
      </c>
      <c r="K284" s="193">
        <v>46146</v>
      </c>
      <c r="L284" s="251">
        <v>46146</v>
      </c>
      <c r="M284" s="127">
        <v>1.64</v>
      </c>
      <c r="N284" s="124">
        <f t="shared" si="7"/>
        <v>101.68</v>
      </c>
      <c r="O284" s="124" cm="1">
        <f t="array" ref="O284">E284/_xlfn.XLOOKUP(1,('Case Pack'!$A$4:$A$962=C284)*('Case Pack'!$L$4:$L$962&gt;0)*('Case Pack'!$L$4:$L$962&lt;=A284),'Case Pack'!$D$4:$D$962,"未找到箱规")</f>
        <v>1.9375</v>
      </c>
      <c r="P284" s="124" t="str">
        <f>IF(COUNTIF('PO Check'!A:A,D284)&gt;0,"Yes","No")</f>
        <v>Yes</v>
      </c>
      <c r="Q284" s="124" t="str" cm="1">
        <f t="array" ref="Q284">_xlfn.XLOOKUP(1,('Case Pack'!$A$4:$A$962=C284)*('Case Pack'!$L$4:$L$962&gt;0)*('Case Pack'!$L$4:$L$962&lt;=A284),'Case Pack'!$G$4:$G$962,"未找到箱型")</f>
        <v>A</v>
      </c>
      <c r="R284" s="124">
        <f>ROUND(IFERROR(VLOOKUP(Q284,'Case Type'!A:H,8,0),0)*O284,2)</f>
        <v>0.21</v>
      </c>
    </row>
    <row r="285" customFormat="1" spans="1:18">
      <c r="A285" s="113">
        <v>46127</v>
      </c>
      <c r="B285" s="91" t="str">
        <f>_xlfn.XLOOKUP(C285,'Product List'!B:B,'Product List'!I:I)</f>
        <v>MINI/MOE TV VIEWING CAGE</v>
      </c>
      <c r="C285" s="94" t="s">
        <v>50</v>
      </c>
      <c r="D285" s="125">
        <v>30935536</v>
      </c>
      <c r="E285" s="125">
        <v>51</v>
      </c>
      <c r="F285" s="125">
        <v>48.49</v>
      </c>
      <c r="G285" s="125">
        <f t="shared" si="6"/>
        <v>2472.99</v>
      </c>
      <c r="H285" s="86" t="s">
        <v>298</v>
      </c>
      <c r="I285" s="86" t="s">
        <v>92</v>
      </c>
      <c r="J285" s="124" t="s">
        <v>327</v>
      </c>
      <c r="K285" s="193">
        <v>46146</v>
      </c>
      <c r="L285" s="251">
        <v>46146</v>
      </c>
      <c r="M285" s="127">
        <v>24.09</v>
      </c>
      <c r="N285" s="124">
        <f t="shared" si="7"/>
        <v>1228.59</v>
      </c>
      <c r="O285" s="124" cm="1">
        <f t="array" ref="O285">E285/_xlfn.XLOOKUP(1,('Case Pack'!$A$4:$A$962=C285)*('Case Pack'!$L$4:$L$962&gt;0)*('Case Pack'!$L$4:$L$962&lt;=A285),'Case Pack'!$D$4:$D$962,"未找到箱规")</f>
        <v>51</v>
      </c>
      <c r="P285" s="124" t="str">
        <f>IF(COUNTIF('PO Check'!A:A,D285)&gt;0,"Yes","No")</f>
        <v>Yes</v>
      </c>
      <c r="Q285" s="124" t="str" cm="1">
        <f t="array" ref="Q285">_xlfn.XLOOKUP(1,('Case Pack'!$A$4:$A$962=C285)*('Case Pack'!$L$4:$L$962&gt;0)*('Case Pack'!$L$4:$L$962&lt;=A285),'Case Pack'!$G$4:$G$962,"未找到箱型")</f>
        <v>S1</v>
      </c>
      <c r="R285" s="124">
        <f>ROUND(IFERROR(VLOOKUP(Q285,'Case Type'!A:H,8,0),0)*O285,2)</f>
        <v>3.77</v>
      </c>
    </row>
    <row r="286" customFormat="1" spans="1:18">
      <c r="A286" s="113">
        <v>46127</v>
      </c>
      <c r="B286" s="91" t="str">
        <f>_xlfn.XLOOKUP(C286,'Product List'!B:B,'Product List'!I:I)</f>
        <v>MMO-BUBBLE WATER BOTTLE</v>
      </c>
      <c r="C286" s="94" t="s">
        <v>67</v>
      </c>
      <c r="D286" s="214">
        <v>30935536</v>
      </c>
      <c r="E286" s="125">
        <v>72</v>
      </c>
      <c r="F286" s="125">
        <v>4.35</v>
      </c>
      <c r="G286" s="125">
        <f t="shared" si="6"/>
        <v>313.2</v>
      </c>
      <c r="H286" s="86" t="s">
        <v>298</v>
      </c>
      <c r="I286" s="86" t="s">
        <v>92</v>
      </c>
      <c r="J286" s="124" t="s">
        <v>327</v>
      </c>
      <c r="K286" s="193">
        <v>46146</v>
      </c>
      <c r="L286" s="251">
        <v>46146</v>
      </c>
      <c r="M286" s="127">
        <v>3.1</v>
      </c>
      <c r="N286" s="124">
        <f t="shared" si="7"/>
        <v>223.2</v>
      </c>
      <c r="O286" s="124" cm="1">
        <f t="array" ref="O286">E286/_xlfn.XLOOKUP(1,('Case Pack'!$A$4:$A$962=C286)*('Case Pack'!$L$4:$L$962&gt;0)*('Case Pack'!$L$4:$L$962&lt;=A286),'Case Pack'!$D$4:$D$962,"未找到箱规")</f>
        <v>1.71428571428571</v>
      </c>
      <c r="P286" s="124" t="str">
        <f>IF(COUNTIF('PO Check'!A:A,D286)&gt;0,"Yes","No")</f>
        <v>Yes</v>
      </c>
      <c r="Q286" s="124" t="str" cm="1">
        <f t="array" ref="Q286">_xlfn.XLOOKUP(1,('Case Pack'!$A$4:$A$962=C286)*('Case Pack'!$L$4:$L$962&gt;0)*('Case Pack'!$L$4:$L$962&lt;=A286),'Case Pack'!$G$4:$G$962,"未找到箱型")</f>
        <v>C</v>
      </c>
      <c r="R286" s="124">
        <f>ROUND(IFERROR(VLOOKUP(Q286,'Case Type'!A:H,8,0),0)*O286,2)</f>
        <v>0.27</v>
      </c>
    </row>
    <row r="287" customFormat="1" spans="1:18">
      <c r="A287" s="113">
        <v>46127</v>
      </c>
      <c r="B287" s="91" t="str">
        <f>_xlfn.XLOOKUP(C287,'Product List'!B:B,'Product List'!I:I)</f>
        <v>MINI/MOE SILENT CRSTL RUN WHEEL LG 8.5-White</v>
      </c>
      <c r="C287" s="94" t="s">
        <v>29</v>
      </c>
      <c r="D287" s="125">
        <v>30935537</v>
      </c>
      <c r="E287" s="125">
        <v>104</v>
      </c>
      <c r="F287" s="125">
        <v>13.22</v>
      </c>
      <c r="G287" s="125">
        <f t="shared" si="6"/>
        <v>1374.88</v>
      </c>
      <c r="H287" s="86" t="s">
        <v>298</v>
      </c>
      <c r="I287" s="86" t="s">
        <v>92</v>
      </c>
      <c r="J287" s="124" t="s">
        <v>327</v>
      </c>
      <c r="K287" s="193">
        <v>46164</v>
      </c>
      <c r="L287" s="251">
        <v>46160</v>
      </c>
      <c r="M287" s="127">
        <v>6.27</v>
      </c>
      <c r="N287" s="124">
        <f t="shared" si="7"/>
        <v>652.08</v>
      </c>
      <c r="O287" s="124" cm="1">
        <f t="array" ref="O287">E287/_xlfn.XLOOKUP(1,('Case Pack'!$A$4:$A$962=C287)*('Case Pack'!$L$4:$L$962&gt;0)*('Case Pack'!$L$4:$L$962&lt;=A287),'Case Pack'!$D$4:$D$962,"未找到箱规")</f>
        <v>13</v>
      </c>
      <c r="P287" s="124" t="str">
        <f>IF(COUNTIF('PO Check'!A:A,D287)&gt;0,"Yes","No")</f>
        <v>Yes</v>
      </c>
      <c r="Q287" s="124" t="str" cm="1">
        <f t="array" ref="Q287">_xlfn.XLOOKUP(1,('Case Pack'!$A$4:$A$962=C287)*('Case Pack'!$L$4:$L$962&gt;0)*('Case Pack'!$L$4:$L$962&lt;=A287),'Case Pack'!$G$4:$G$962,"未找到箱型")</f>
        <v>C</v>
      </c>
      <c r="R287" s="124">
        <f>ROUND(IFERROR(VLOOKUP(Q287,'Case Type'!A:H,8,0),0)*O287,2)</f>
        <v>2.05</v>
      </c>
    </row>
    <row r="288" customFormat="1" spans="1:18">
      <c r="A288" s="113">
        <v>46127</v>
      </c>
      <c r="B288" s="91" t="str">
        <f>_xlfn.XLOOKUP(C288,'Product List'!B:B,'Product List'!I:I)</f>
        <v>MMO-CLOUD WATER BOTTLE</v>
      </c>
      <c r="C288" s="94" t="s">
        <v>77</v>
      </c>
      <c r="D288" s="125">
        <v>30935537</v>
      </c>
      <c r="E288" s="125">
        <v>350</v>
      </c>
      <c r="F288" s="125">
        <v>1.32</v>
      </c>
      <c r="G288" s="125">
        <f t="shared" si="6"/>
        <v>462</v>
      </c>
      <c r="H288" s="86" t="s">
        <v>298</v>
      </c>
      <c r="I288" s="86" t="s">
        <v>92</v>
      </c>
      <c r="J288" s="124" t="s">
        <v>327</v>
      </c>
      <c r="K288" s="193">
        <v>46164</v>
      </c>
      <c r="L288" s="251">
        <v>46160</v>
      </c>
      <c r="M288" s="127">
        <v>0.62</v>
      </c>
      <c r="N288" s="124">
        <f t="shared" si="7"/>
        <v>217</v>
      </c>
      <c r="O288" s="124" cm="1">
        <f t="array" ref="O288">E288/_xlfn.XLOOKUP(1,('Case Pack'!$A$4:$A$962=C288)*('Case Pack'!$L$4:$L$962&gt;0)*('Case Pack'!$L$4:$L$962&lt;=A288),'Case Pack'!$D$4:$D$962,"未找到箱规")</f>
        <v>7</v>
      </c>
      <c r="P288" s="124" t="str">
        <f>IF(COUNTIF('PO Check'!A:A,D288)&gt;0,"Yes","No")</f>
        <v>Yes</v>
      </c>
      <c r="Q288" s="124" t="str" cm="1">
        <f t="array" ref="Q288">_xlfn.XLOOKUP(1,('Case Pack'!$A$4:$A$962=C288)*('Case Pack'!$L$4:$L$962&gt;0)*('Case Pack'!$L$4:$L$962&lt;=A288),'Case Pack'!$G$4:$G$962,"未找到箱型")</f>
        <v>A</v>
      </c>
      <c r="R288" s="124">
        <f>ROUND(IFERROR(VLOOKUP(Q288,'Case Type'!A:H,8,0),0)*O288,2)</f>
        <v>0.77</v>
      </c>
    </row>
    <row r="289" customFormat="1" spans="1:18">
      <c r="A289" s="113">
        <v>46127</v>
      </c>
      <c r="B289" s="91" t="str">
        <f>_xlfn.XLOOKUP(C289,'Product List'!B:B,'Product List'!I:I)</f>
        <v>MMO-WAVE BRIDGE</v>
      </c>
      <c r="C289" s="94" t="s">
        <v>61</v>
      </c>
      <c r="D289" s="125">
        <v>30935537</v>
      </c>
      <c r="E289" s="125">
        <v>96</v>
      </c>
      <c r="F289" s="125">
        <v>4.84</v>
      </c>
      <c r="G289" s="125">
        <f t="shared" si="6"/>
        <v>464.64</v>
      </c>
      <c r="H289" s="86" t="s">
        <v>298</v>
      </c>
      <c r="I289" s="86" t="s">
        <v>92</v>
      </c>
      <c r="J289" s="124" t="s">
        <v>327</v>
      </c>
      <c r="K289" s="193">
        <v>46164</v>
      </c>
      <c r="L289" s="251">
        <v>46160</v>
      </c>
      <c r="M289" s="127">
        <v>2.79</v>
      </c>
      <c r="N289" s="124">
        <f t="shared" si="7"/>
        <v>267.84</v>
      </c>
      <c r="O289" s="124" cm="1">
        <f t="array" ref="O289">E289/_xlfn.XLOOKUP(1,('Case Pack'!$A$4:$A$962=C289)*('Case Pack'!$L$4:$L$962&gt;0)*('Case Pack'!$L$4:$L$962&lt;=A289),'Case Pack'!$D$4:$D$962,"未找到箱规")</f>
        <v>2.90909090909091</v>
      </c>
      <c r="P289" s="124" t="str">
        <f>IF(COUNTIF('PO Check'!A:A,D289)&gt;0,"Yes","No")</f>
        <v>Yes</v>
      </c>
      <c r="Q289" s="124" t="str" cm="1">
        <f t="array" ref="Q289">_xlfn.XLOOKUP(1,('Case Pack'!$A$4:$A$962=C289)*('Case Pack'!$L$4:$L$962&gt;0)*('Case Pack'!$L$4:$L$962&lt;=A289),'Case Pack'!$G$4:$G$962,"未找到箱型")</f>
        <v>C</v>
      </c>
      <c r="R289" s="124">
        <f>ROUND(IFERROR(VLOOKUP(Q289,'Case Type'!A:H,8,0),0)*O289,2)</f>
        <v>0.46</v>
      </c>
    </row>
    <row r="290" customFormat="1" spans="1:18">
      <c r="A290" s="113">
        <v>46127</v>
      </c>
      <c r="B290" s="91" t="str">
        <f>_xlfn.XLOOKUP(C290,'Product List'!B:B,'Product List'!I:I)</f>
        <v>MINI/MOE TV VIEWING CAGE</v>
      </c>
      <c r="C290" s="94" t="s">
        <v>50</v>
      </c>
      <c r="D290" s="125">
        <v>30935537</v>
      </c>
      <c r="E290" s="125">
        <v>131</v>
      </c>
      <c r="F290" s="125">
        <v>48.49</v>
      </c>
      <c r="G290" s="125">
        <f t="shared" ref="G290:G353" si="8">E290*F290</f>
        <v>6352.19</v>
      </c>
      <c r="H290" s="86" t="s">
        <v>298</v>
      </c>
      <c r="I290" s="86" t="s">
        <v>92</v>
      </c>
      <c r="J290" s="124" t="s">
        <v>327</v>
      </c>
      <c r="K290" s="193">
        <v>46164</v>
      </c>
      <c r="L290" s="251">
        <v>46160</v>
      </c>
      <c r="M290" s="127">
        <v>24.09</v>
      </c>
      <c r="N290" s="124">
        <f t="shared" ref="N290:N353" si="9">M290*E290</f>
        <v>3155.79</v>
      </c>
      <c r="O290" s="124" cm="1">
        <f t="array" ref="O290">E290/_xlfn.XLOOKUP(1,('Case Pack'!$A$4:$A$962=C290)*('Case Pack'!$L$4:$L$962&gt;0)*('Case Pack'!$L$4:$L$962&lt;=A290),'Case Pack'!$D$4:$D$962,"未找到箱规")</f>
        <v>131</v>
      </c>
      <c r="P290" s="124" t="str">
        <f>IF(COUNTIF('PO Check'!A:A,D290)&gt;0,"Yes","No")</f>
        <v>Yes</v>
      </c>
      <c r="Q290" s="124" t="str" cm="1">
        <f t="array" ref="Q290">_xlfn.XLOOKUP(1,('Case Pack'!$A$4:$A$962=C290)*('Case Pack'!$L$4:$L$962&gt;0)*('Case Pack'!$L$4:$L$962&lt;=A290),'Case Pack'!$G$4:$G$962,"未找到箱型")</f>
        <v>S1</v>
      </c>
      <c r="R290" s="124">
        <f>ROUND(IFERROR(VLOOKUP(Q290,'Case Type'!A:H,8,0),0)*O290,2)</f>
        <v>9.69</v>
      </c>
    </row>
    <row r="291" customFormat="1" spans="1:18">
      <c r="A291" s="113">
        <v>46127</v>
      </c>
      <c r="B291" s="91" t="str">
        <f>_xlfn.XLOOKUP(C291,'Product List'!B:B,'Product List'!I:I)</f>
        <v>MMO-BUBBLE WATER BOTTLE</v>
      </c>
      <c r="C291" s="94" t="s">
        <v>67</v>
      </c>
      <c r="D291" s="214">
        <v>30935537</v>
      </c>
      <c r="E291" s="125">
        <v>420</v>
      </c>
      <c r="F291" s="125">
        <v>4.35</v>
      </c>
      <c r="G291" s="125">
        <f t="shared" si="8"/>
        <v>1827</v>
      </c>
      <c r="H291" s="86" t="s">
        <v>298</v>
      </c>
      <c r="I291" s="86" t="s">
        <v>92</v>
      </c>
      <c r="J291" s="124" t="s">
        <v>327</v>
      </c>
      <c r="K291" s="193">
        <v>46164</v>
      </c>
      <c r="L291" s="251">
        <v>46160</v>
      </c>
      <c r="M291" s="127">
        <v>3.1</v>
      </c>
      <c r="N291" s="124">
        <f t="shared" si="9"/>
        <v>1302</v>
      </c>
      <c r="O291" s="124" cm="1">
        <f t="array" ref="O291">E291/_xlfn.XLOOKUP(1,('Case Pack'!$A$4:$A$962=C291)*('Case Pack'!$L$4:$L$962&gt;0)*('Case Pack'!$L$4:$L$962&lt;=A291),'Case Pack'!$D$4:$D$962,"未找到箱规")</f>
        <v>10</v>
      </c>
      <c r="P291" s="124" t="str">
        <f>IF(COUNTIF('PO Check'!A:A,D291)&gt;0,"Yes","No")</f>
        <v>Yes</v>
      </c>
      <c r="Q291" s="124" t="str" cm="1">
        <f t="array" ref="Q291">_xlfn.XLOOKUP(1,('Case Pack'!$A$4:$A$962=C291)*('Case Pack'!$L$4:$L$962&gt;0)*('Case Pack'!$L$4:$L$962&lt;=A291),'Case Pack'!$G$4:$G$962,"未找到箱型")</f>
        <v>C</v>
      </c>
      <c r="R291" s="124">
        <f>ROUND(IFERROR(VLOOKUP(Q291,'Case Type'!A:H,8,0),0)*O291,2)</f>
        <v>1.57</v>
      </c>
    </row>
    <row r="292" customFormat="1" spans="1:18">
      <c r="A292" s="113">
        <v>46127</v>
      </c>
      <c r="B292" s="91" t="str">
        <f>_xlfn.XLOOKUP(C292,'Product List'!B:B,'Product List'!I:I)</f>
        <v>MMO-CAMP LUNCH BOX CHEW</v>
      </c>
      <c r="C292" s="94" t="s">
        <v>34</v>
      </c>
      <c r="D292" s="125">
        <v>30935537</v>
      </c>
      <c r="E292" s="125">
        <v>72</v>
      </c>
      <c r="F292" s="125">
        <v>2.48</v>
      </c>
      <c r="G292" s="125">
        <f t="shared" si="8"/>
        <v>178.56</v>
      </c>
      <c r="H292" s="86" t="s">
        <v>298</v>
      </c>
      <c r="I292" s="86" t="s">
        <v>92</v>
      </c>
      <c r="J292" s="124" t="s">
        <v>327</v>
      </c>
      <c r="K292" s="193">
        <v>46164</v>
      </c>
      <c r="L292" s="251">
        <v>46160</v>
      </c>
      <c r="M292" s="127">
        <v>1.52</v>
      </c>
      <c r="N292" s="124">
        <f t="shared" si="9"/>
        <v>109.44</v>
      </c>
      <c r="O292" s="124" cm="1">
        <f t="array" ref="O292">E292/_xlfn.XLOOKUP(1,('Case Pack'!$A$4:$A$962=C292)*('Case Pack'!$L$4:$L$962&gt;0)*('Case Pack'!$L$4:$L$962&lt;=A292),'Case Pack'!$D$4:$D$962,"未找到箱规")</f>
        <v>1</v>
      </c>
      <c r="P292" s="124" t="str">
        <f>IF(COUNTIF('PO Check'!A:A,D292)&gt;0,"Yes","No")</f>
        <v>Yes</v>
      </c>
      <c r="Q292" s="124" t="str" cm="1">
        <f t="array" ref="Q292">_xlfn.XLOOKUP(1,('Case Pack'!$A$4:$A$962=C292)*('Case Pack'!$L$4:$L$962&gt;0)*('Case Pack'!$L$4:$L$962&lt;=A292),'Case Pack'!$G$4:$G$962,"未找到箱型")</f>
        <v>B</v>
      </c>
      <c r="R292" s="124">
        <f>ROUND(IFERROR(VLOOKUP(Q292,'Case Type'!A:H,8,0),0)*O292,2)</f>
        <v>0.07</v>
      </c>
    </row>
    <row r="293" customFormat="1" spans="1:18">
      <c r="A293" s="113">
        <v>46134</v>
      </c>
      <c r="B293" s="91" t="str">
        <f>_xlfn.XLOOKUP(C293,'Product List'!B:B,'Product List'!I:I)</f>
        <v>MINI/MOE TV VIEWING CAGE</v>
      </c>
      <c r="C293" s="257" t="s">
        <v>50</v>
      </c>
      <c r="D293" s="125">
        <v>454343202</v>
      </c>
      <c r="E293" s="125">
        <v>561</v>
      </c>
      <c r="F293" s="125">
        <v>46.4508</v>
      </c>
      <c r="G293" s="125">
        <f t="shared" si="8"/>
        <v>26058.8988</v>
      </c>
      <c r="H293" s="86" t="s">
        <v>328</v>
      </c>
      <c r="I293" s="86" t="s">
        <v>92</v>
      </c>
      <c r="J293" s="124" t="s">
        <v>329</v>
      </c>
      <c r="K293" s="126">
        <v>46230</v>
      </c>
      <c r="L293" s="251">
        <v>46233</v>
      </c>
      <c r="M293" s="127">
        <f>_xlfn.XLOOKUP(C293,'Product List'!B:B,'Product List'!R:R)</f>
        <v>24.09</v>
      </c>
      <c r="N293" s="124">
        <f t="shared" si="9"/>
        <v>13514.49</v>
      </c>
      <c r="O293" s="124" cm="1">
        <f t="array" ref="O293">E293/_xlfn.XLOOKUP(1,('Case Pack'!$A$4:$A$962=C293)*('Case Pack'!$L$4:$L$962&gt;0)*('Case Pack'!$L$4:$L$962&lt;=A293),'Case Pack'!$D$4:$D$962,"未找到箱规")</f>
        <v>561</v>
      </c>
      <c r="P293" s="124" t="str">
        <f>IF(COUNTIF('PO Check'!A:A,D293)&gt;0,"Yes","No")</f>
        <v>Yes</v>
      </c>
      <c r="Q293" s="124" t="str" cm="1">
        <f t="array" ref="Q293">_xlfn.XLOOKUP(1,('Case Pack'!$A$4:$A$962=C293)*('Case Pack'!$L$4:$L$962&gt;0)*('Case Pack'!$L$4:$L$962&lt;=A293),'Case Pack'!$G$4:$G$962,"未找到箱型")</f>
        <v>S1</v>
      </c>
      <c r="R293" s="124">
        <f>ROUND(IFERROR(VLOOKUP(Q293,'Case Type'!A:H,8,0),0)*O293,2)</f>
        <v>41.52</v>
      </c>
    </row>
    <row r="294" customFormat="1" spans="1:18">
      <c r="A294" s="113">
        <v>46134</v>
      </c>
      <c r="B294" s="91" t="str">
        <f>_xlfn.XLOOKUP(C294,'Product List'!B:B,'Product List'!I:I)</f>
        <v>MINI/MOE TV VIEWING CAGE</v>
      </c>
      <c r="C294" s="257" t="s">
        <v>50</v>
      </c>
      <c r="D294" s="125">
        <v>454343203</v>
      </c>
      <c r="E294" s="125">
        <v>720</v>
      </c>
      <c r="F294" s="125">
        <v>46.4508</v>
      </c>
      <c r="G294" s="125">
        <f t="shared" si="8"/>
        <v>33444.576</v>
      </c>
      <c r="H294" s="86" t="s">
        <v>328</v>
      </c>
      <c r="I294" s="86" t="s">
        <v>92</v>
      </c>
      <c r="J294" s="124" t="s">
        <v>330</v>
      </c>
      <c r="K294" s="126">
        <v>46226</v>
      </c>
      <c r="L294" s="251">
        <v>46232</v>
      </c>
      <c r="M294" s="127">
        <f>_xlfn.XLOOKUP(C294,'Product List'!B:B,'Product List'!R:R)</f>
        <v>24.09</v>
      </c>
      <c r="N294" s="124">
        <f t="shared" si="9"/>
        <v>17344.8</v>
      </c>
      <c r="O294" s="124" cm="1">
        <f t="array" ref="O294">E294/_xlfn.XLOOKUP(1,('Case Pack'!$A$4:$A$962=C294)*('Case Pack'!$L$4:$L$962&gt;0)*('Case Pack'!$L$4:$L$962&lt;=A294),'Case Pack'!$D$4:$D$962,"未找到箱规")</f>
        <v>720</v>
      </c>
      <c r="P294" s="124" t="str">
        <f>IF(COUNTIF('PO Check'!A:A,D294)&gt;0,"Yes","No")</f>
        <v>Yes</v>
      </c>
      <c r="Q294" s="124" t="str" cm="1">
        <f t="array" ref="Q294">_xlfn.XLOOKUP(1,('Case Pack'!$A$4:$A$962=C294)*('Case Pack'!$L$4:$L$962&gt;0)*('Case Pack'!$L$4:$L$962&lt;=A294),'Case Pack'!$G$4:$G$962,"未找到箱型")</f>
        <v>S1</v>
      </c>
      <c r="R294" s="124">
        <f>ROUND(IFERROR(VLOOKUP(Q294,'Case Type'!A:H,8,0),0)*O294,2)</f>
        <v>53.28</v>
      </c>
    </row>
    <row r="295" customFormat="1" spans="1:18">
      <c r="A295" s="113">
        <v>46134</v>
      </c>
      <c r="B295" s="91" t="str">
        <f>_xlfn.XLOOKUP(C295,'Product List'!B:B,'Product List'!I:I)</f>
        <v>MINI/MOE TV VIEWING CAGE</v>
      </c>
      <c r="C295" s="257" t="s">
        <v>50</v>
      </c>
      <c r="D295" s="125">
        <v>454343204</v>
      </c>
      <c r="E295" s="125">
        <v>720</v>
      </c>
      <c r="F295" s="125">
        <v>46.4508</v>
      </c>
      <c r="G295" s="125">
        <f t="shared" si="8"/>
        <v>33444.576</v>
      </c>
      <c r="H295" s="86" t="s">
        <v>328</v>
      </c>
      <c r="I295" s="86" t="s">
        <v>92</v>
      </c>
      <c r="J295" s="124" t="s">
        <v>331</v>
      </c>
      <c r="K295" s="126">
        <v>46226</v>
      </c>
      <c r="L295" s="251">
        <v>46232</v>
      </c>
      <c r="M295" s="127">
        <f>_xlfn.XLOOKUP(C295,'Product List'!B:B,'Product List'!R:R)</f>
        <v>24.09</v>
      </c>
      <c r="N295" s="124">
        <f t="shared" si="9"/>
        <v>17344.8</v>
      </c>
      <c r="O295" s="124" cm="1">
        <f t="array" ref="O295">E295/_xlfn.XLOOKUP(1,('Case Pack'!$A$4:$A$962=C295)*('Case Pack'!$L$4:$L$962&gt;0)*('Case Pack'!$L$4:$L$962&lt;=A295),'Case Pack'!$D$4:$D$962,"未找到箱规")</f>
        <v>720</v>
      </c>
      <c r="P295" s="124" t="str">
        <f>IF(COUNTIF('PO Check'!A:A,D295)&gt;0,"Yes","No")</f>
        <v>Yes</v>
      </c>
      <c r="Q295" s="124" t="str" cm="1">
        <f t="array" ref="Q295">_xlfn.XLOOKUP(1,('Case Pack'!$A$4:$A$962=C295)*('Case Pack'!$L$4:$L$962&gt;0)*('Case Pack'!$L$4:$L$962&lt;=A295),'Case Pack'!$G$4:$G$962,"未找到箱型")</f>
        <v>S1</v>
      </c>
      <c r="R295" s="124">
        <f>ROUND(IFERROR(VLOOKUP(Q295,'Case Type'!A:H,8,0),0)*O295,2)</f>
        <v>53.28</v>
      </c>
    </row>
    <row r="296" customFormat="1" spans="1:18">
      <c r="A296" s="113">
        <v>46134</v>
      </c>
      <c r="B296" s="91" t="str">
        <f>_xlfn.XLOOKUP(C296,'Product List'!B:B,'Product List'!I:I)</f>
        <v>MINI/MOE TV VIEWING CAGE</v>
      </c>
      <c r="C296" s="257" t="s">
        <v>50</v>
      </c>
      <c r="D296" s="125">
        <v>454343205</v>
      </c>
      <c r="E296" s="125">
        <v>720</v>
      </c>
      <c r="F296" s="125">
        <v>46.4508</v>
      </c>
      <c r="G296" s="125">
        <f t="shared" si="8"/>
        <v>33444.576</v>
      </c>
      <c r="H296" s="86" t="s">
        <v>328</v>
      </c>
      <c r="I296" s="86" t="s">
        <v>92</v>
      </c>
      <c r="J296" s="124" t="s">
        <v>332</v>
      </c>
      <c r="K296" s="126">
        <v>46226</v>
      </c>
      <c r="L296" s="251">
        <v>46239</v>
      </c>
      <c r="M296" s="127">
        <f>_xlfn.XLOOKUP(C296,'Product List'!B:B,'Product List'!R:R)</f>
        <v>24.09</v>
      </c>
      <c r="N296" s="124">
        <f t="shared" si="9"/>
        <v>17344.8</v>
      </c>
      <c r="O296" s="124" cm="1">
        <f t="array" ref="O296">E296/_xlfn.XLOOKUP(1,('Case Pack'!$A$4:$A$962=C296)*('Case Pack'!$L$4:$L$962&gt;0)*('Case Pack'!$L$4:$L$962&lt;=A296),'Case Pack'!$D$4:$D$962,"未找到箱规")</f>
        <v>720</v>
      </c>
      <c r="P296" s="124" t="str">
        <f>IF(COUNTIF('PO Check'!A:A,D296)&gt;0,"Yes","No")</f>
        <v>Yes</v>
      </c>
      <c r="Q296" s="124" t="str" cm="1">
        <f t="array" ref="Q296">_xlfn.XLOOKUP(1,('Case Pack'!$A$4:$A$962=C296)*('Case Pack'!$L$4:$L$962&gt;0)*('Case Pack'!$L$4:$L$962&lt;=A296),'Case Pack'!$G$4:$G$962,"未找到箱型")</f>
        <v>S1</v>
      </c>
      <c r="R296" s="124">
        <f>ROUND(IFERROR(VLOOKUP(Q296,'Case Type'!A:H,8,0),0)*O296,2)</f>
        <v>53.28</v>
      </c>
    </row>
    <row r="297" customFormat="1" spans="1:18">
      <c r="A297" s="113">
        <v>46134</v>
      </c>
      <c r="B297" s="91" t="str">
        <f>_xlfn.XLOOKUP(C297,'Product List'!B:B,'Product List'!I:I)</f>
        <v>MINI/MOE TV VIEWING CAGE</v>
      </c>
      <c r="C297" s="257" t="s">
        <v>50</v>
      </c>
      <c r="D297" s="238">
        <v>454343206</v>
      </c>
      <c r="E297" s="238">
        <v>649</v>
      </c>
      <c r="F297" s="238">
        <v>46.4508</v>
      </c>
      <c r="G297" s="238">
        <f t="shared" si="8"/>
        <v>30146.5692</v>
      </c>
      <c r="H297" s="258" t="s">
        <v>328</v>
      </c>
      <c r="I297" s="86" t="s">
        <v>92</v>
      </c>
      <c r="J297" s="259" t="s">
        <v>333</v>
      </c>
      <c r="K297" s="126">
        <v>46230</v>
      </c>
      <c r="L297" s="251">
        <v>46239</v>
      </c>
      <c r="M297" s="127">
        <f>_xlfn.XLOOKUP(C297,'Product List'!B:B,'Product List'!R:R)</f>
        <v>24.09</v>
      </c>
      <c r="N297" s="124">
        <f t="shared" si="9"/>
        <v>15634.41</v>
      </c>
      <c r="O297" s="124" cm="1">
        <f t="array" ref="O297">E297/_xlfn.XLOOKUP(1,('Case Pack'!$A$4:$A$962=C297)*('Case Pack'!$L$4:$L$962&gt;0)*('Case Pack'!$L$4:$L$962&lt;=A297),'Case Pack'!$D$4:$D$962,"未找到箱规")</f>
        <v>649</v>
      </c>
      <c r="P297" s="124" t="str">
        <f>IF(COUNTIF('PO Check'!A:A,D297)&gt;0,"Yes","No")</f>
        <v>Yes</v>
      </c>
      <c r="Q297" s="124" t="str" cm="1">
        <f t="array" ref="Q297">_xlfn.XLOOKUP(1,('Case Pack'!$A$4:$A$962=C297)*('Case Pack'!$L$4:$L$962&gt;0)*('Case Pack'!$L$4:$L$962&lt;=A297),'Case Pack'!$G$4:$G$962,"未找到箱型")</f>
        <v>S1</v>
      </c>
      <c r="R297" s="124">
        <f>ROUND(IFERROR(VLOOKUP(Q297,'Case Type'!A:H,8,0),0)*O297,2)</f>
        <v>48.03</v>
      </c>
    </row>
    <row r="298" customFormat="1" spans="1:18">
      <c r="A298" s="113">
        <v>46134</v>
      </c>
      <c r="B298" s="91" t="str">
        <f>_xlfn.XLOOKUP(C298,'Product List'!B:B,'Product List'!I:I)</f>
        <v>MINI/MOE TV VIEWING CAGE</v>
      </c>
      <c r="C298" s="257" t="s">
        <v>50</v>
      </c>
      <c r="D298" s="125">
        <v>454343207</v>
      </c>
      <c r="E298" s="125">
        <v>720</v>
      </c>
      <c r="F298" s="125">
        <v>46.4508</v>
      </c>
      <c r="G298" s="125">
        <f t="shared" si="8"/>
        <v>33444.576</v>
      </c>
      <c r="H298" s="86" t="s">
        <v>328</v>
      </c>
      <c r="I298" s="86" t="s">
        <v>92</v>
      </c>
      <c r="J298" s="124" t="s">
        <v>334</v>
      </c>
      <c r="K298" s="126">
        <v>46227</v>
      </c>
      <c r="L298" s="251">
        <v>46231</v>
      </c>
      <c r="M298" s="127">
        <f>_xlfn.XLOOKUP(C298,'Product List'!B:B,'Product List'!R:R)</f>
        <v>24.09</v>
      </c>
      <c r="N298" s="124">
        <f t="shared" si="9"/>
        <v>17344.8</v>
      </c>
      <c r="O298" s="124" cm="1">
        <f t="array" ref="O298">E298/_xlfn.XLOOKUP(1,('Case Pack'!$A$4:$A$962=C298)*('Case Pack'!$L$4:$L$962&gt;0)*('Case Pack'!$L$4:$L$962&lt;=A298),'Case Pack'!$D$4:$D$962,"未找到箱规")</f>
        <v>720</v>
      </c>
      <c r="P298" s="124" t="str">
        <f>IF(COUNTIF('PO Check'!A:A,D298)&gt;0,"Yes","No")</f>
        <v>Yes</v>
      </c>
      <c r="Q298" s="124" t="str" cm="1">
        <f t="array" ref="Q298">_xlfn.XLOOKUP(1,('Case Pack'!$A$4:$A$962=C298)*('Case Pack'!$L$4:$L$962&gt;0)*('Case Pack'!$L$4:$L$962&lt;=A298),'Case Pack'!$G$4:$G$962,"未找到箱型")</f>
        <v>S1</v>
      </c>
      <c r="R298" s="124">
        <f>ROUND(IFERROR(VLOOKUP(Q298,'Case Type'!A:H,8,0),0)*O298,2)</f>
        <v>53.28</v>
      </c>
    </row>
    <row r="299" customFormat="1" spans="1:18">
      <c r="A299" s="113">
        <v>46143</v>
      </c>
      <c r="B299" s="91" t="str">
        <f>_xlfn.XLOOKUP(C299,'Product List'!B:B,'Product List'!I:I)</f>
        <v>MINI/MOE SILENT CRSTL RUN WHEEL LG 8.5-White</v>
      </c>
      <c r="C299" s="124" t="s">
        <v>29</v>
      </c>
      <c r="D299" s="125">
        <v>31068083</v>
      </c>
      <c r="E299" s="125">
        <v>128</v>
      </c>
      <c r="F299" s="125">
        <v>13.22</v>
      </c>
      <c r="G299" s="125">
        <f t="shared" si="8"/>
        <v>1692.16</v>
      </c>
      <c r="H299" s="86" t="s">
        <v>298</v>
      </c>
      <c r="I299" s="86" t="s">
        <v>92</v>
      </c>
      <c r="J299" s="124" t="s">
        <v>323</v>
      </c>
      <c r="K299" s="193">
        <v>46181</v>
      </c>
      <c r="L299" s="251">
        <v>46178</v>
      </c>
      <c r="M299" s="127">
        <f>_xlfn.XLOOKUP(C299,'Product List'!B:B,'Product List'!R:R)</f>
        <v>6.27</v>
      </c>
      <c r="N299" s="124">
        <f t="shared" si="9"/>
        <v>802.56</v>
      </c>
      <c r="O299" s="124" cm="1">
        <f t="array" ref="O299">E299/_xlfn.XLOOKUP(1,('Case Pack'!$A$4:$A$962=C299)*('Case Pack'!$L$4:$L$962&gt;0)*('Case Pack'!$L$4:$L$962&lt;=A299),'Case Pack'!$D$4:$D$962,"未找到箱规")</f>
        <v>16</v>
      </c>
      <c r="P299" s="124" t="str">
        <f>IF(COUNTIF('PO Check'!A:A,D299)&gt;0,"Yes","No")</f>
        <v>Yes</v>
      </c>
      <c r="Q299" s="124" t="str" cm="1">
        <f t="array" ref="Q299">_xlfn.XLOOKUP(1,('Case Pack'!$A$4:$A$962=C299)*('Case Pack'!$L$4:$L$962&gt;0)*('Case Pack'!$L$4:$L$962&lt;=A299),'Case Pack'!$G$4:$G$962,"未找到箱型")</f>
        <v>C</v>
      </c>
      <c r="R299" s="124">
        <f>ROUND(IFERROR(VLOOKUP(Q299,'Case Type'!A:H,8,0),0)*O299,2)</f>
        <v>2.52</v>
      </c>
    </row>
    <row r="300" customFormat="1" spans="1:18">
      <c r="A300" s="113">
        <v>46143</v>
      </c>
      <c r="B300" s="91" t="str">
        <f>_xlfn.XLOOKUP(C300,'Product List'!B:B,'Product List'!I:I)</f>
        <v>MMO-CLOUD WATER BOTTLE</v>
      </c>
      <c r="C300" s="124" t="s">
        <v>77</v>
      </c>
      <c r="D300" s="125">
        <v>31068083</v>
      </c>
      <c r="E300" s="125">
        <v>300</v>
      </c>
      <c r="F300" s="125">
        <v>1.32</v>
      </c>
      <c r="G300" s="125">
        <f t="shared" si="8"/>
        <v>396</v>
      </c>
      <c r="H300" s="86" t="s">
        <v>298</v>
      </c>
      <c r="I300" s="86" t="s">
        <v>92</v>
      </c>
      <c r="J300" s="124" t="s">
        <v>323</v>
      </c>
      <c r="K300" s="193">
        <v>46181</v>
      </c>
      <c r="L300" s="251">
        <v>46178</v>
      </c>
      <c r="M300" s="127">
        <f>_xlfn.XLOOKUP(C300,'Product List'!B:B,'Product List'!R:R)</f>
        <v>0.62</v>
      </c>
      <c r="N300" s="124">
        <f t="shared" si="9"/>
        <v>186</v>
      </c>
      <c r="O300" s="124" cm="1">
        <f t="array" ref="O300">E300/_xlfn.XLOOKUP(1,('Case Pack'!$A$4:$A$962=C300)*('Case Pack'!$L$4:$L$962&gt;0)*('Case Pack'!$L$4:$L$962&lt;=A300),'Case Pack'!$D$4:$D$962,"未找到箱规")</f>
        <v>6</v>
      </c>
      <c r="P300" s="124" t="str">
        <f>IF(COUNTIF('PO Check'!A:A,D300)&gt;0,"Yes","No")</f>
        <v>Yes</v>
      </c>
      <c r="Q300" s="124" t="str" cm="1">
        <f t="array" ref="Q300">_xlfn.XLOOKUP(1,('Case Pack'!$A$4:$A$962=C300)*('Case Pack'!$L$4:$L$962&gt;0)*('Case Pack'!$L$4:$L$962&lt;=A300),'Case Pack'!$G$4:$G$962,"未找到箱型")</f>
        <v>A</v>
      </c>
      <c r="R300" s="124">
        <f>ROUND(IFERROR(VLOOKUP(Q300,'Case Type'!A:H,8,0),0)*O300,2)</f>
        <v>0.66</v>
      </c>
    </row>
    <row r="301" customFormat="1" spans="1:18">
      <c r="A301" s="113">
        <v>46143</v>
      </c>
      <c r="B301" s="91" t="str">
        <f>_xlfn.XLOOKUP(C301,'Product List'!B:B,'Product List'!I:I)</f>
        <v>MMO-BUBBLE WATER BOTTLE</v>
      </c>
      <c r="C301" s="124" t="s">
        <v>67</v>
      </c>
      <c r="D301" s="125">
        <v>31068083</v>
      </c>
      <c r="E301" s="125">
        <v>210</v>
      </c>
      <c r="F301" s="125">
        <v>4.35</v>
      </c>
      <c r="G301" s="125">
        <f t="shared" si="8"/>
        <v>913.5</v>
      </c>
      <c r="H301" s="86" t="s">
        <v>298</v>
      </c>
      <c r="I301" s="86" t="s">
        <v>92</v>
      </c>
      <c r="J301" s="124" t="s">
        <v>323</v>
      </c>
      <c r="K301" s="193">
        <v>46181</v>
      </c>
      <c r="L301" s="251">
        <v>46178</v>
      </c>
      <c r="M301" s="127">
        <f>_xlfn.XLOOKUP(C301,'Product List'!B:B,'Product List'!R:R)</f>
        <v>3.1</v>
      </c>
      <c r="N301" s="124">
        <f t="shared" si="9"/>
        <v>651</v>
      </c>
      <c r="O301" s="124" cm="1">
        <f t="array" ref="O301">E301/_xlfn.XLOOKUP(1,('Case Pack'!$A$4:$A$962=C301)*('Case Pack'!$L$4:$L$962&gt;0)*('Case Pack'!$L$4:$L$962&lt;=A301),'Case Pack'!$D$4:$D$962,"未找到箱规")</f>
        <v>5</v>
      </c>
      <c r="P301" s="124" t="str">
        <f>IF(COUNTIF('PO Check'!A:A,D301)&gt;0,"Yes","No")</f>
        <v>Yes</v>
      </c>
      <c r="Q301" s="124" t="str" cm="1">
        <f t="array" ref="Q301">_xlfn.XLOOKUP(1,('Case Pack'!$A$4:$A$962=C301)*('Case Pack'!$L$4:$L$962&gt;0)*('Case Pack'!$L$4:$L$962&lt;=A301),'Case Pack'!$G$4:$G$962,"未找到箱型")</f>
        <v>C</v>
      </c>
      <c r="R301" s="124">
        <f>ROUND(IFERROR(VLOOKUP(Q301,'Case Type'!A:H,8,0),0)*O301,2)</f>
        <v>0.79</v>
      </c>
    </row>
    <row r="302" customFormat="1" spans="1:18">
      <c r="A302" s="113">
        <v>46143</v>
      </c>
      <c r="B302" s="91" t="str">
        <f>_xlfn.XLOOKUP(C302,'Product List'!B:B,'Product List'!I:I)</f>
        <v>MINI/MOE SILENT CRSTL RUN WHEEL LG 8.5-White</v>
      </c>
      <c r="C302" s="124" t="s">
        <v>29</v>
      </c>
      <c r="D302" s="125">
        <v>31068084</v>
      </c>
      <c r="E302" s="125">
        <v>56</v>
      </c>
      <c r="F302" s="125">
        <v>13.22</v>
      </c>
      <c r="G302" s="125">
        <f t="shared" si="8"/>
        <v>740.32</v>
      </c>
      <c r="H302" s="86" t="s">
        <v>298</v>
      </c>
      <c r="I302" s="86" t="s">
        <v>92</v>
      </c>
      <c r="J302" s="124" t="s">
        <v>319</v>
      </c>
      <c r="K302" s="126">
        <v>46209</v>
      </c>
      <c r="L302" s="251">
        <v>46195</v>
      </c>
      <c r="M302" s="127">
        <f>_xlfn.XLOOKUP(C302,'Product List'!B:B,'Product List'!R:R)</f>
        <v>6.27</v>
      </c>
      <c r="N302" s="124">
        <f t="shared" si="9"/>
        <v>351.12</v>
      </c>
      <c r="O302" s="124" cm="1">
        <f t="array" ref="O302">E302/_xlfn.XLOOKUP(1,('Case Pack'!$A$4:$A$962=C302)*('Case Pack'!$L$4:$L$962&gt;0)*('Case Pack'!$L$4:$L$962&lt;=A302),'Case Pack'!$D$4:$D$962,"未找到箱规")</f>
        <v>7</v>
      </c>
      <c r="P302" s="124" t="str">
        <f>IF(COUNTIF('PO Check'!A:A,D302)&gt;0,"Yes","No")</f>
        <v>Yes</v>
      </c>
      <c r="Q302" s="124" t="str" cm="1">
        <f t="array" ref="Q302">_xlfn.XLOOKUP(1,('Case Pack'!$A$4:$A$962=C302)*('Case Pack'!$L$4:$L$962&gt;0)*('Case Pack'!$L$4:$L$962&lt;=A302),'Case Pack'!$G$4:$G$962,"未找到箱型")</f>
        <v>C</v>
      </c>
      <c r="R302" s="124">
        <f>ROUND(IFERROR(VLOOKUP(Q302,'Case Type'!A:H,8,0),0)*O302,2)</f>
        <v>1.1</v>
      </c>
    </row>
    <row r="303" customFormat="1" spans="1:18">
      <c r="A303" s="113">
        <v>46143</v>
      </c>
      <c r="B303" s="91" t="str">
        <f>_xlfn.XLOOKUP(C303,'Product List'!B:B,'Product List'!I:I)</f>
        <v>MMO-BUBBLE WATER BOTTLE</v>
      </c>
      <c r="C303" s="124" t="s">
        <v>67</v>
      </c>
      <c r="D303" s="125">
        <v>31068084</v>
      </c>
      <c r="E303" s="125">
        <v>126</v>
      </c>
      <c r="F303" s="125">
        <v>4.35</v>
      </c>
      <c r="G303" s="125">
        <f t="shared" si="8"/>
        <v>548.1</v>
      </c>
      <c r="H303" s="86" t="s">
        <v>298</v>
      </c>
      <c r="I303" s="86" t="s">
        <v>92</v>
      </c>
      <c r="J303" s="124" t="s">
        <v>319</v>
      </c>
      <c r="K303" s="126">
        <v>46209</v>
      </c>
      <c r="L303" s="251">
        <v>46195</v>
      </c>
      <c r="M303" s="127">
        <f>_xlfn.XLOOKUP(C303,'Product List'!B:B,'Product List'!R:R)</f>
        <v>3.1</v>
      </c>
      <c r="N303" s="124">
        <f t="shared" si="9"/>
        <v>390.6</v>
      </c>
      <c r="O303" s="124" cm="1">
        <f t="array" ref="O303">E303/_xlfn.XLOOKUP(1,('Case Pack'!$A$4:$A$962=C303)*('Case Pack'!$L$4:$L$962&gt;0)*('Case Pack'!$L$4:$L$962&lt;=A303),'Case Pack'!$D$4:$D$962,"未找到箱规")</f>
        <v>3</v>
      </c>
      <c r="P303" s="124" t="str">
        <f>IF(COUNTIF('PO Check'!A:A,D303)&gt;0,"Yes","No")</f>
        <v>Yes</v>
      </c>
      <c r="Q303" s="124" t="str" cm="1">
        <f t="array" ref="Q303">_xlfn.XLOOKUP(1,('Case Pack'!$A$4:$A$962=C303)*('Case Pack'!$L$4:$L$962&gt;0)*('Case Pack'!$L$4:$L$962&lt;=A303),'Case Pack'!$G$4:$G$962,"未找到箱型")</f>
        <v>C</v>
      </c>
      <c r="R303" s="124">
        <f>ROUND(IFERROR(VLOOKUP(Q303,'Case Type'!A:H,8,0),0)*O303,2)</f>
        <v>0.47</v>
      </c>
    </row>
    <row r="304" customFormat="1" spans="1:18">
      <c r="A304" s="113">
        <v>46143</v>
      </c>
      <c r="B304" s="91" t="str">
        <f>_xlfn.XLOOKUP(C304,'Product List'!B:B,'Product List'!I:I)</f>
        <v>MINI/MOE BENDABLE BIRCHWOOD FENCE</v>
      </c>
      <c r="C304" s="124" t="s">
        <v>62</v>
      </c>
      <c r="D304" s="125">
        <v>31068084</v>
      </c>
      <c r="E304" s="125">
        <v>32</v>
      </c>
      <c r="F304" s="125">
        <v>5.01</v>
      </c>
      <c r="G304" s="125">
        <f t="shared" si="8"/>
        <v>160.32</v>
      </c>
      <c r="H304" s="86" t="s">
        <v>298</v>
      </c>
      <c r="I304" s="86" t="s">
        <v>92</v>
      </c>
      <c r="J304" s="124" t="s">
        <v>319</v>
      </c>
      <c r="K304" s="126">
        <v>46209</v>
      </c>
      <c r="L304" s="251">
        <v>46195</v>
      </c>
      <c r="M304" s="127">
        <f>_xlfn.XLOOKUP(C304,'Product List'!B:B,'Product List'!R:R)</f>
        <v>3.4</v>
      </c>
      <c r="N304" s="124">
        <f t="shared" si="9"/>
        <v>108.8</v>
      </c>
      <c r="O304" s="124" cm="1">
        <f t="array" ref="O304">E304/_xlfn.XLOOKUP(1,('Case Pack'!$A$4:$A$962=C304)*('Case Pack'!$L$4:$L$962&gt;0)*('Case Pack'!$L$4:$L$962&lt;=A304),'Case Pack'!$D$4:$D$962,"未找到箱规")</f>
        <v>1</v>
      </c>
      <c r="P304" s="124" t="str">
        <f>IF(COUNTIF('PO Check'!A:A,D304)&gt;0,"Yes","No")</f>
        <v>Yes</v>
      </c>
      <c r="Q304" s="124" t="str" cm="1">
        <f t="array" ref="Q304">_xlfn.XLOOKUP(1,('Case Pack'!$A$4:$A$962=C304)*('Case Pack'!$L$4:$L$962&gt;0)*('Case Pack'!$L$4:$L$962&lt;=A304),'Case Pack'!$G$4:$G$962,"未找到箱型")</f>
        <v>F</v>
      </c>
      <c r="R304" s="124">
        <f>ROUND(IFERROR(VLOOKUP(Q304,'Case Type'!A:H,8,0),0)*O304,2)</f>
        <v>0.04</v>
      </c>
    </row>
    <row r="305" customFormat="1" spans="1:18">
      <c r="A305" s="113">
        <v>46143</v>
      </c>
      <c r="B305" s="91" t="str">
        <f>_xlfn.XLOOKUP(C305,'Product List'!B:B,'Product List'!I:I)</f>
        <v>MMO-STARFISH CASTLE</v>
      </c>
      <c r="C305" s="124" t="s">
        <v>60</v>
      </c>
      <c r="D305" s="125">
        <v>31068084</v>
      </c>
      <c r="E305" s="125">
        <v>60</v>
      </c>
      <c r="F305" s="125">
        <v>5.32</v>
      </c>
      <c r="G305" s="125">
        <f t="shared" si="8"/>
        <v>319.2</v>
      </c>
      <c r="H305" s="86" t="s">
        <v>298</v>
      </c>
      <c r="I305" s="86" t="s">
        <v>92</v>
      </c>
      <c r="J305" s="124" t="s">
        <v>319</v>
      </c>
      <c r="K305" s="126">
        <v>46209</v>
      </c>
      <c r="L305" s="251">
        <v>46195</v>
      </c>
      <c r="M305" s="127">
        <f>_xlfn.XLOOKUP(C305,'Product List'!B:B,'Product List'!R:R)</f>
        <v>2.81</v>
      </c>
      <c r="N305" s="124">
        <f t="shared" si="9"/>
        <v>168.6</v>
      </c>
      <c r="O305" s="124" cm="1">
        <f t="array" ref="O305">E305/_xlfn.XLOOKUP(1,('Case Pack'!$A$4:$A$962=C305)*('Case Pack'!$L$4:$L$962&gt;0)*('Case Pack'!$L$4:$L$962&lt;=A305),'Case Pack'!$D$4:$D$962,"未找到箱规")</f>
        <v>3</v>
      </c>
      <c r="P305" s="124" t="str">
        <f>IF(COUNTIF('PO Check'!A:A,D305)&gt;0,"Yes","No")</f>
        <v>Yes</v>
      </c>
      <c r="Q305" s="124" t="str" cm="1">
        <f t="array" ref="Q305">_xlfn.XLOOKUP(1,('Case Pack'!$A$4:$A$962=C305)*('Case Pack'!$L$4:$L$962&gt;0)*('Case Pack'!$L$4:$L$962&lt;=A305),'Case Pack'!$G$4:$G$962,"未找到箱型")</f>
        <v>C</v>
      </c>
      <c r="R305" s="124">
        <f>ROUND(IFERROR(VLOOKUP(Q305,'Case Type'!A:H,8,0),0)*O305,2)</f>
        <v>0.47</v>
      </c>
    </row>
    <row r="306" customFormat="1" spans="1:18">
      <c r="A306" s="113">
        <v>46143</v>
      </c>
      <c r="B306" s="91" t="str">
        <f>_xlfn.XLOOKUP(C306,'Product List'!B:B,'Product List'!I:I)</f>
        <v>MMO-WAVE BRIDGE</v>
      </c>
      <c r="C306" s="124" t="s">
        <v>61</v>
      </c>
      <c r="D306" s="125">
        <v>31068084</v>
      </c>
      <c r="E306" s="125">
        <v>99</v>
      </c>
      <c r="F306" s="125">
        <v>4.84</v>
      </c>
      <c r="G306" s="125">
        <f t="shared" si="8"/>
        <v>479.16</v>
      </c>
      <c r="H306" s="86" t="s">
        <v>298</v>
      </c>
      <c r="I306" s="86" t="s">
        <v>92</v>
      </c>
      <c r="J306" s="124" t="s">
        <v>319</v>
      </c>
      <c r="K306" s="126">
        <v>46209</v>
      </c>
      <c r="L306" s="251">
        <v>46195</v>
      </c>
      <c r="M306" s="127">
        <f>_xlfn.XLOOKUP(C306,'Product List'!B:B,'Product List'!R:R)</f>
        <v>2.79</v>
      </c>
      <c r="N306" s="124">
        <f t="shared" si="9"/>
        <v>276.21</v>
      </c>
      <c r="O306" s="124" cm="1">
        <f t="array" ref="O306">E306/_xlfn.XLOOKUP(1,('Case Pack'!$A$4:$A$962=C306)*('Case Pack'!$L$4:$L$962&gt;0)*('Case Pack'!$L$4:$L$962&lt;=A306),'Case Pack'!$D$4:$D$962,"未找到箱规")</f>
        <v>3</v>
      </c>
      <c r="P306" s="124" t="str">
        <f>IF(COUNTIF('PO Check'!A:A,D306)&gt;0,"Yes","No")</f>
        <v>Yes</v>
      </c>
      <c r="Q306" s="124" t="str" cm="1">
        <f t="array" ref="Q306">_xlfn.XLOOKUP(1,('Case Pack'!$A$4:$A$962=C306)*('Case Pack'!$L$4:$L$962&gt;0)*('Case Pack'!$L$4:$L$962&lt;=A306),'Case Pack'!$G$4:$G$962,"未找到箱型")</f>
        <v>C</v>
      </c>
      <c r="R306" s="124">
        <f>ROUND(IFERROR(VLOOKUP(Q306,'Case Type'!A:H,8,0),0)*O306,2)</f>
        <v>0.47</v>
      </c>
    </row>
    <row r="307" customFormat="1" spans="1:18">
      <c r="A307" s="113">
        <v>46143</v>
      </c>
      <c r="B307" s="91" t="str">
        <f>_xlfn.XLOOKUP(C307,'Product List'!B:B,'Product List'!I:I)</f>
        <v>MMO-PAPER PEBBLES</v>
      </c>
      <c r="C307" s="86" t="s">
        <v>81</v>
      </c>
      <c r="D307" s="125">
        <v>31068084</v>
      </c>
      <c r="E307" s="125">
        <v>12</v>
      </c>
      <c r="F307" s="125">
        <v>5.81</v>
      </c>
      <c r="G307" s="125">
        <f t="shared" si="8"/>
        <v>69.72</v>
      </c>
      <c r="H307" s="86" t="s">
        <v>298</v>
      </c>
      <c r="I307" s="86" t="s">
        <v>92</v>
      </c>
      <c r="J307" s="124" t="s">
        <v>319</v>
      </c>
      <c r="K307" s="126">
        <v>46209</v>
      </c>
      <c r="L307" s="251">
        <v>46195</v>
      </c>
      <c r="M307" s="127">
        <f>_xlfn.XLOOKUP(C307,'Product List'!B:B,'Product List'!R:R)</f>
        <v>2.84</v>
      </c>
      <c r="N307" s="124">
        <f t="shared" si="9"/>
        <v>34.08</v>
      </c>
      <c r="O307" s="124" cm="1">
        <f t="array" ref="O307">E307/_xlfn.XLOOKUP(1,('Case Pack'!$A$4:$A$962=C307)*('Case Pack'!$L$4:$L$962&gt;0)*('Case Pack'!$L$4:$L$962&lt;=A307),'Case Pack'!$D$4:$D$962,"未找到箱规")</f>
        <v>1</v>
      </c>
      <c r="P307" s="124" t="str">
        <f>IF(COUNTIF('PO Check'!A:A,D307)&gt;0,"Yes","No")</f>
        <v>Yes</v>
      </c>
      <c r="Q307" s="124" t="str" cm="1">
        <f t="array" ref="Q307">_xlfn.XLOOKUP(1,('Case Pack'!$A$4:$A$962=C307)*('Case Pack'!$L$4:$L$962&gt;0)*('Case Pack'!$L$4:$L$962&lt;=A307),'Case Pack'!$G$4:$G$962,"未找到箱型")</f>
        <v>B</v>
      </c>
      <c r="R307" s="124">
        <f>ROUND(IFERROR(VLOOKUP(Q307,'Case Type'!A:H,8,0),0)*O307,2)</f>
        <v>0.07</v>
      </c>
    </row>
    <row r="308" customFormat="1" spans="1:18">
      <c r="A308" s="113">
        <v>46143</v>
      </c>
      <c r="B308" s="91" t="str">
        <f>_xlfn.XLOOKUP(C308,'Product List'!B:B,'Product List'!I:I)</f>
        <v>MMO-PAPER TWIST BLU/WHT</v>
      </c>
      <c r="C308" s="86" t="s">
        <v>68</v>
      </c>
      <c r="D308" s="125">
        <v>31068084</v>
      </c>
      <c r="E308" s="125">
        <v>60</v>
      </c>
      <c r="F308" s="125">
        <v>3.89</v>
      </c>
      <c r="G308" s="125">
        <f t="shared" si="8"/>
        <v>233.4</v>
      </c>
      <c r="H308" s="86" t="s">
        <v>298</v>
      </c>
      <c r="I308" s="86" t="s">
        <v>92</v>
      </c>
      <c r="J308" s="124" t="s">
        <v>319</v>
      </c>
      <c r="K308" s="126">
        <v>46209</v>
      </c>
      <c r="L308" s="251">
        <v>46195</v>
      </c>
      <c r="M308" s="127">
        <f>_xlfn.XLOOKUP(C308,'Product List'!B:B,'Product List'!R:R)</f>
        <v>1.98</v>
      </c>
      <c r="N308" s="124">
        <f t="shared" si="9"/>
        <v>118.8</v>
      </c>
      <c r="O308" s="124" cm="1">
        <f t="array" ref="O308">E308/_xlfn.XLOOKUP(1,('Case Pack'!$A$4:$A$962=C308)*('Case Pack'!$L$4:$L$962&gt;0)*('Case Pack'!$L$4:$L$962&lt;=A308),'Case Pack'!$D$4:$D$962,"未找到箱规")</f>
        <v>2</v>
      </c>
      <c r="P308" s="124" t="str">
        <f>IF(COUNTIF('PO Check'!A:A,D308)&gt;0,"Yes","No")</f>
        <v>Yes</v>
      </c>
      <c r="Q308" s="124" t="str" cm="1">
        <f t="array" ref="Q308">_xlfn.XLOOKUP(1,('Case Pack'!$A$4:$A$962=C308)*('Case Pack'!$L$4:$L$962&gt;0)*('Case Pack'!$L$4:$L$962&lt;=A308),'Case Pack'!$G$4:$G$962,"未找到箱型")</f>
        <v>A</v>
      </c>
      <c r="R308" s="124">
        <f>ROUND(IFERROR(VLOOKUP(Q308,'Case Type'!A:H,8,0),0)*O308,2)</f>
        <v>0.22</v>
      </c>
    </row>
    <row r="309" customFormat="1" spans="1:18">
      <c r="A309" s="113">
        <v>46143</v>
      </c>
      <c r="B309" s="91" t="str">
        <f>_xlfn.XLOOKUP(C309,'Product List'!B:B,'Product List'!I:I)</f>
        <v>MMO-COTTON NESTING BALLS</v>
      </c>
      <c r="C309" s="86" t="s">
        <v>84</v>
      </c>
      <c r="D309" s="125">
        <v>31068084</v>
      </c>
      <c r="E309" s="125">
        <v>192</v>
      </c>
      <c r="F309" s="125">
        <v>3.37</v>
      </c>
      <c r="G309" s="125">
        <f t="shared" si="8"/>
        <v>647.04</v>
      </c>
      <c r="H309" s="86" t="s">
        <v>298</v>
      </c>
      <c r="I309" s="86" t="s">
        <v>92</v>
      </c>
      <c r="J309" s="124" t="s">
        <v>319</v>
      </c>
      <c r="K309" s="126">
        <v>46209</v>
      </c>
      <c r="L309" s="251">
        <v>46195</v>
      </c>
      <c r="M309" s="127">
        <f>_xlfn.XLOOKUP(C309,'Product List'!B:B,'Product List'!R:R)</f>
        <v>1.64</v>
      </c>
      <c r="N309" s="124">
        <f t="shared" si="9"/>
        <v>314.88</v>
      </c>
      <c r="O309" s="124" cm="1">
        <f t="array" ref="O309">E309/_xlfn.XLOOKUP(1,('Case Pack'!$A$4:$A$962=C309)*('Case Pack'!$L$4:$L$962&gt;0)*('Case Pack'!$L$4:$L$962&lt;=A309),'Case Pack'!$D$4:$D$962,"未找到箱规")</f>
        <v>6</v>
      </c>
      <c r="P309" s="124" t="str">
        <f>IF(COUNTIF('PO Check'!A:A,D309)&gt;0,"Yes","No")</f>
        <v>Yes</v>
      </c>
      <c r="Q309" s="124" t="str" cm="1">
        <f t="array" ref="Q309">_xlfn.XLOOKUP(1,('Case Pack'!$A$4:$A$962=C309)*('Case Pack'!$L$4:$L$962&gt;0)*('Case Pack'!$L$4:$L$962&lt;=A309),'Case Pack'!$G$4:$G$962,"未找到箱型")</f>
        <v>A</v>
      </c>
      <c r="R309" s="124">
        <f>ROUND(IFERROR(VLOOKUP(Q309,'Case Type'!A:H,8,0),0)*O309,2)</f>
        <v>0.66</v>
      </c>
    </row>
    <row r="310" customFormat="1" spans="1:18">
      <c r="A310" s="113">
        <v>46155</v>
      </c>
      <c r="B310" s="91" t="str">
        <f>_xlfn.XLOOKUP(C310,'Product List'!B:B,'Product List'!I:I)</f>
        <v>MINI/MOE RUFFLE BOWL</v>
      </c>
      <c r="C310" s="260" t="s">
        <v>78</v>
      </c>
      <c r="D310" s="260" t="s">
        <v>335</v>
      </c>
      <c r="E310" s="261">
        <v>8</v>
      </c>
      <c r="F310" s="261">
        <v>0</v>
      </c>
      <c r="G310" s="125">
        <f t="shared" si="8"/>
        <v>0</v>
      </c>
      <c r="H310" s="124" t="s">
        <v>336</v>
      </c>
      <c r="I310" s="86" t="s">
        <v>92</v>
      </c>
      <c r="J310" s="124" t="s">
        <v>337</v>
      </c>
      <c r="K310" s="193">
        <v>46155</v>
      </c>
      <c r="L310" s="251">
        <v>46155</v>
      </c>
      <c r="M310" s="127">
        <v>1.34</v>
      </c>
      <c r="N310" s="124">
        <f t="shared" si="9"/>
        <v>10.72</v>
      </c>
      <c r="O310" s="124" cm="1">
        <f t="array" ref="O310">E310/_xlfn.XLOOKUP(1,('Case Pack'!$A$4:$A$962=C310)*('Case Pack'!$L$4:$L$962&gt;0)*('Case Pack'!$L$4:$L$962&lt;=A310),'Case Pack'!$D$4:$D$962,"未找到箱规")</f>
        <v>0.166666666666667</v>
      </c>
      <c r="P310" s="124" t="str">
        <f>IF(COUNTIF('PO Check'!A:A,D310)&gt;0,"Yes","No")</f>
        <v>No</v>
      </c>
      <c r="Q310" s="124" t="str" cm="1">
        <f t="array" ref="Q310">_xlfn.XLOOKUP(1,('Case Pack'!$A$4:$A$962=C310)*('Case Pack'!$L$4:$L$962&gt;0)*('Case Pack'!$L$4:$L$962&lt;=A310),'Case Pack'!$G$4:$G$962,"未找到箱型")</f>
        <v>B</v>
      </c>
      <c r="R310" s="124">
        <f>ROUND(IFERROR(VLOOKUP(Q310,'Case Type'!A:H,8,0),0)*O310,2)</f>
        <v>0.01</v>
      </c>
    </row>
    <row r="311" customFormat="1" spans="1:18">
      <c r="A311" s="113">
        <v>46155</v>
      </c>
      <c r="B311" s="91" t="str">
        <f>_xlfn.XLOOKUP(C311,'Product List'!B:B,'Product List'!I:I)</f>
        <v>MINI/MOE BENDABLE BIRCHWOOD FENCE</v>
      </c>
      <c r="C311" s="260" t="s">
        <v>62</v>
      </c>
      <c r="D311" s="260" t="s">
        <v>335</v>
      </c>
      <c r="E311" s="261">
        <v>18</v>
      </c>
      <c r="F311" s="261">
        <v>0</v>
      </c>
      <c r="G311" s="125">
        <f t="shared" si="8"/>
        <v>0</v>
      </c>
      <c r="H311" s="124" t="s">
        <v>336</v>
      </c>
      <c r="I311" s="86" t="s">
        <v>92</v>
      </c>
      <c r="J311" s="124" t="s">
        <v>337</v>
      </c>
      <c r="K311" s="193">
        <v>46155</v>
      </c>
      <c r="L311" s="251">
        <v>46155</v>
      </c>
      <c r="M311" s="127">
        <v>2.63</v>
      </c>
      <c r="N311" s="124">
        <f t="shared" si="9"/>
        <v>47.34</v>
      </c>
      <c r="O311" s="124" cm="1">
        <f t="array" ref="O311">E311/_xlfn.XLOOKUP(1,('Case Pack'!$A$4:$A$962=C311)*('Case Pack'!$L$4:$L$962&gt;0)*('Case Pack'!$L$4:$L$962&lt;=A311),'Case Pack'!$D$4:$D$962,"未找到箱规")</f>
        <v>0.5625</v>
      </c>
      <c r="P311" s="124" t="str">
        <f>IF(COUNTIF('PO Check'!A:A,D311)&gt;0,"Yes","No")</f>
        <v>No</v>
      </c>
      <c r="Q311" s="124" t="str" cm="1">
        <f t="array" ref="Q311">_xlfn.XLOOKUP(1,('Case Pack'!$A$4:$A$962=C311)*('Case Pack'!$L$4:$L$962&gt;0)*('Case Pack'!$L$4:$L$962&lt;=A311),'Case Pack'!$G$4:$G$962,"未找到箱型")</f>
        <v>F</v>
      </c>
      <c r="R311" s="124">
        <f>ROUND(IFERROR(VLOOKUP(Q311,'Case Type'!A:H,8,0),0)*O311,2)</f>
        <v>0.02</v>
      </c>
    </row>
    <row r="312" customFormat="1" spans="1:18">
      <c r="A312" s="113">
        <v>46155</v>
      </c>
      <c r="B312" s="91" t="str">
        <f>_xlfn.XLOOKUP(C312,'Product List'!B:B,'Product List'!I:I)</f>
        <v>MINI/MOE SILENT CRSTL RUN WHEEL LG 8.5-White</v>
      </c>
      <c r="C312" s="260" t="s">
        <v>29</v>
      </c>
      <c r="D312" s="260" t="s">
        <v>335</v>
      </c>
      <c r="E312" s="261">
        <v>4</v>
      </c>
      <c r="F312" s="261">
        <v>0</v>
      </c>
      <c r="G312" s="125">
        <f t="shared" si="8"/>
        <v>0</v>
      </c>
      <c r="H312" s="124" t="s">
        <v>336</v>
      </c>
      <c r="I312" s="86" t="s">
        <v>92</v>
      </c>
      <c r="J312" s="124" t="s">
        <v>337</v>
      </c>
      <c r="K312" s="193">
        <v>46155</v>
      </c>
      <c r="L312" s="251">
        <v>46155</v>
      </c>
      <c r="M312" s="127">
        <v>6.27</v>
      </c>
      <c r="N312" s="124">
        <f t="shared" si="9"/>
        <v>25.08</v>
      </c>
      <c r="O312" s="124" cm="1">
        <f t="array" ref="O312">E312/_xlfn.XLOOKUP(1,('Case Pack'!$A$4:$A$962=C312)*('Case Pack'!$L$4:$L$962&gt;0)*('Case Pack'!$L$4:$L$962&lt;=A312),'Case Pack'!$D$4:$D$962,"未找到箱规")</f>
        <v>0.5</v>
      </c>
      <c r="P312" s="124" t="str">
        <f>IF(COUNTIF('PO Check'!A:A,D312)&gt;0,"Yes","No")</f>
        <v>No</v>
      </c>
      <c r="Q312" s="124" t="str" cm="1">
        <f t="array" ref="Q312">_xlfn.XLOOKUP(1,('Case Pack'!$A$4:$A$962=C312)*('Case Pack'!$L$4:$L$962&gt;0)*('Case Pack'!$L$4:$L$962&lt;=A312),'Case Pack'!$G$4:$G$962,"未找到箱型")</f>
        <v>C</v>
      </c>
      <c r="R312" s="124">
        <f>ROUND(IFERROR(VLOOKUP(Q312,'Case Type'!A:H,8,0),0)*O312,2)</f>
        <v>0.08</v>
      </c>
    </row>
    <row r="313" customFormat="1" spans="1:18">
      <c r="A313" s="113">
        <v>46155</v>
      </c>
      <c r="B313" s="91" t="str">
        <f>_xlfn.XLOOKUP(C313,'Product List'!B:B,'Product List'!I:I)</f>
        <v>MMO-COTTON NESTING BALLS</v>
      </c>
      <c r="C313" s="262" t="s">
        <v>84</v>
      </c>
      <c r="D313" s="260" t="s">
        <v>335</v>
      </c>
      <c r="E313" s="261">
        <v>8</v>
      </c>
      <c r="F313" s="261">
        <v>0</v>
      </c>
      <c r="G313" s="125">
        <f t="shared" si="8"/>
        <v>0</v>
      </c>
      <c r="H313" s="124" t="s">
        <v>336</v>
      </c>
      <c r="I313" s="86" t="s">
        <v>92</v>
      </c>
      <c r="J313" s="124" t="s">
        <v>337</v>
      </c>
      <c r="K313" s="193">
        <v>46155</v>
      </c>
      <c r="L313" s="251">
        <v>46155</v>
      </c>
      <c r="M313" s="127">
        <v>1.64</v>
      </c>
      <c r="N313" s="124">
        <f t="shared" si="9"/>
        <v>13.12</v>
      </c>
      <c r="O313" s="124" cm="1">
        <f t="array" ref="O313">E313/_xlfn.XLOOKUP(1,('Case Pack'!$A$4:$A$962=C313)*('Case Pack'!$L$4:$L$962&gt;0)*('Case Pack'!$L$4:$L$962&lt;=A313),'Case Pack'!$D$4:$D$962,"未找到箱规")</f>
        <v>0.25</v>
      </c>
      <c r="P313" s="124" t="str">
        <f>IF(COUNTIF('PO Check'!A:A,D313)&gt;0,"Yes","No")</f>
        <v>No</v>
      </c>
      <c r="Q313" s="124" t="str" cm="1">
        <f t="array" ref="Q313">_xlfn.XLOOKUP(1,('Case Pack'!$A$4:$A$962=C313)*('Case Pack'!$L$4:$L$962&gt;0)*('Case Pack'!$L$4:$L$962&lt;=A313),'Case Pack'!$G$4:$G$962,"未找到箱型")</f>
        <v>A</v>
      </c>
      <c r="R313" s="124">
        <f>ROUND(IFERROR(VLOOKUP(Q313,'Case Type'!A:H,8,0),0)*O313,2)</f>
        <v>0.03</v>
      </c>
    </row>
    <row r="314" customFormat="1" spans="1:18">
      <c r="A314" s="113">
        <v>46155</v>
      </c>
      <c r="B314" s="91" t="str">
        <f>_xlfn.XLOOKUP(C314,'Product List'!B:B,'Product List'!I:I)</f>
        <v>MMO-PAPER PEBBLES</v>
      </c>
      <c r="C314" s="262" t="s">
        <v>81</v>
      </c>
      <c r="D314" s="260" t="s">
        <v>335</v>
      </c>
      <c r="E314" s="261">
        <v>9</v>
      </c>
      <c r="F314" s="261">
        <v>0</v>
      </c>
      <c r="G314" s="125">
        <f t="shared" si="8"/>
        <v>0</v>
      </c>
      <c r="H314" s="124" t="s">
        <v>336</v>
      </c>
      <c r="I314" s="86" t="s">
        <v>92</v>
      </c>
      <c r="J314" s="124" t="s">
        <v>337</v>
      </c>
      <c r="K314" s="193">
        <v>46155</v>
      </c>
      <c r="L314" s="251">
        <v>46155</v>
      </c>
      <c r="M314" s="127">
        <v>2.84</v>
      </c>
      <c r="N314" s="124">
        <f t="shared" si="9"/>
        <v>25.56</v>
      </c>
      <c r="O314" s="124" cm="1">
        <f t="array" ref="O314">E314/_xlfn.XLOOKUP(1,('Case Pack'!$A$4:$A$962=C314)*('Case Pack'!$L$4:$L$962&gt;0)*('Case Pack'!$L$4:$L$962&lt;=A314),'Case Pack'!$D$4:$D$962,"未找到箱规")</f>
        <v>0.75</v>
      </c>
      <c r="P314" s="124" t="str">
        <f>IF(COUNTIF('PO Check'!A:A,D314)&gt;0,"Yes","No")</f>
        <v>No</v>
      </c>
      <c r="Q314" s="124" t="str" cm="1">
        <f t="array" ref="Q314">_xlfn.XLOOKUP(1,('Case Pack'!$A$4:$A$962=C314)*('Case Pack'!$L$4:$L$962&gt;0)*('Case Pack'!$L$4:$L$962&lt;=A314),'Case Pack'!$G$4:$G$962,"未找到箱型")</f>
        <v>B</v>
      </c>
      <c r="R314" s="124">
        <f>ROUND(IFERROR(VLOOKUP(Q314,'Case Type'!A:H,8,0),0)*O314,2)</f>
        <v>0.06</v>
      </c>
    </row>
    <row r="315" customFormat="1" spans="1:18">
      <c r="A315" s="113">
        <v>46155</v>
      </c>
      <c r="B315" s="91" t="str">
        <f>_xlfn.XLOOKUP(C315,'Product List'!B:B,'Product List'!I:I)</f>
        <v>MMO-PAPER TWIST BLU/WHT</v>
      </c>
      <c r="C315" s="262" t="s">
        <v>68</v>
      </c>
      <c r="D315" s="260" t="s">
        <v>335</v>
      </c>
      <c r="E315" s="261">
        <v>6</v>
      </c>
      <c r="F315" s="261">
        <v>0</v>
      </c>
      <c r="G315" s="125">
        <f t="shared" si="8"/>
        <v>0</v>
      </c>
      <c r="H315" s="124" t="s">
        <v>336</v>
      </c>
      <c r="I315" s="86" t="s">
        <v>92</v>
      </c>
      <c r="J315" s="124" t="s">
        <v>337</v>
      </c>
      <c r="K315" s="193">
        <v>46155</v>
      </c>
      <c r="L315" s="251">
        <v>46155</v>
      </c>
      <c r="M315" s="127">
        <v>1.98</v>
      </c>
      <c r="N315" s="124">
        <f t="shared" si="9"/>
        <v>11.88</v>
      </c>
      <c r="O315" s="124" cm="1">
        <f t="array" ref="O315">E315/_xlfn.XLOOKUP(1,('Case Pack'!$A$4:$A$962=C315)*('Case Pack'!$L$4:$L$962&gt;0)*('Case Pack'!$L$4:$L$962&lt;=A315),'Case Pack'!$D$4:$D$962,"未找到箱规")</f>
        <v>0.2</v>
      </c>
      <c r="P315" s="124" t="str">
        <f>IF(COUNTIF('PO Check'!A:A,D315)&gt;0,"Yes","No")</f>
        <v>No</v>
      </c>
      <c r="Q315" s="124" t="str" cm="1">
        <f t="array" ref="Q315">_xlfn.XLOOKUP(1,('Case Pack'!$A$4:$A$962=C315)*('Case Pack'!$L$4:$L$962&gt;0)*('Case Pack'!$L$4:$L$962&lt;=A315),'Case Pack'!$G$4:$G$962,"未找到箱型")</f>
        <v>A</v>
      </c>
      <c r="R315" s="124">
        <f>ROUND(IFERROR(VLOOKUP(Q315,'Case Type'!A:H,8,0),0)*O315,2)</f>
        <v>0.02</v>
      </c>
    </row>
    <row r="316" customFormat="1" spans="1:18">
      <c r="A316" s="113">
        <v>46155</v>
      </c>
      <c r="B316" s="91" t="str">
        <f>_xlfn.XLOOKUP(C316,'Product List'!B:B,'Product List'!I:I)</f>
        <v>MMO-STARFISH CASTLE</v>
      </c>
      <c r="C316" s="260" t="s">
        <v>60</v>
      </c>
      <c r="D316" s="260" t="s">
        <v>335</v>
      </c>
      <c r="E316" s="261">
        <v>12</v>
      </c>
      <c r="F316" s="261">
        <v>0</v>
      </c>
      <c r="G316" s="125">
        <f t="shared" si="8"/>
        <v>0</v>
      </c>
      <c r="H316" s="124" t="s">
        <v>336</v>
      </c>
      <c r="I316" s="86" t="s">
        <v>92</v>
      </c>
      <c r="J316" s="124" t="s">
        <v>337</v>
      </c>
      <c r="K316" s="193">
        <v>46155</v>
      </c>
      <c r="L316" s="251">
        <v>46155</v>
      </c>
      <c r="M316" s="127">
        <v>2.81</v>
      </c>
      <c r="N316" s="124">
        <f t="shared" si="9"/>
        <v>33.72</v>
      </c>
      <c r="O316" s="124" cm="1">
        <f t="array" ref="O316">E316/_xlfn.XLOOKUP(1,('Case Pack'!$A$4:$A$962=C316)*('Case Pack'!$L$4:$L$962&gt;0)*('Case Pack'!$L$4:$L$962&lt;=A316),'Case Pack'!$D$4:$D$962,"未找到箱规")</f>
        <v>0.6</v>
      </c>
      <c r="P316" s="124" t="str">
        <f>IF(COUNTIF('PO Check'!A:A,D316)&gt;0,"Yes","No")</f>
        <v>No</v>
      </c>
      <c r="Q316" s="124" t="str" cm="1">
        <f t="array" ref="Q316">_xlfn.XLOOKUP(1,('Case Pack'!$A$4:$A$962=C316)*('Case Pack'!$L$4:$L$962&gt;0)*('Case Pack'!$L$4:$L$962&lt;=A316),'Case Pack'!$G$4:$G$962,"未找到箱型")</f>
        <v>C</v>
      </c>
      <c r="R316" s="124">
        <f>ROUND(IFERROR(VLOOKUP(Q316,'Case Type'!A:H,8,0),0)*O316,2)</f>
        <v>0.09</v>
      </c>
    </row>
    <row r="317" customFormat="1" spans="1:18">
      <c r="A317" s="113">
        <v>46150</v>
      </c>
      <c r="B317" s="91" t="str">
        <f>_xlfn.XLOOKUP(C317,'Product List'!B:B,'Product List'!I:I)</f>
        <v>MINI/MOE GARDEN TEAPOT</v>
      </c>
      <c r="C317" s="124" t="s">
        <v>43</v>
      </c>
      <c r="D317" s="124" t="s">
        <v>338</v>
      </c>
      <c r="E317" s="125">
        <v>60</v>
      </c>
      <c r="F317" s="125">
        <v>4.61</v>
      </c>
      <c r="G317" s="125">
        <f t="shared" si="8"/>
        <v>276.6</v>
      </c>
      <c r="H317" s="86" t="s">
        <v>306</v>
      </c>
      <c r="I317" s="86" t="s">
        <v>92</v>
      </c>
      <c r="J317" s="124" t="s">
        <v>313</v>
      </c>
      <c r="K317" s="193">
        <v>46174</v>
      </c>
      <c r="L317" s="251">
        <v>46164</v>
      </c>
      <c r="M317" s="127">
        <v>2.25</v>
      </c>
      <c r="N317" s="124">
        <f t="shared" si="9"/>
        <v>135</v>
      </c>
      <c r="O317" s="124" cm="1">
        <f t="array" ref="O317">E317/_xlfn.XLOOKUP(1,('Case Pack'!$A$4:$A$962=C317)*('Case Pack'!$L$4:$L$962&gt;0)*('Case Pack'!$L$4:$L$962&lt;=A317),'Case Pack'!$D$4:$D$962,"未找到箱规")</f>
        <v>2</v>
      </c>
      <c r="P317" s="124" t="str">
        <f>IF(COUNTIF('PO Check'!A:A,D317)&gt;0,"Yes","No")</f>
        <v>Yes</v>
      </c>
      <c r="Q317" s="124" t="str" cm="1">
        <f t="array" ref="Q317">_xlfn.XLOOKUP(1,('Case Pack'!$A$4:$A$962=C317)*('Case Pack'!$L$4:$L$962&gt;0)*('Case Pack'!$L$4:$L$962&lt;=A317),'Case Pack'!$G$4:$G$962,"未找到箱型")</f>
        <v>C</v>
      </c>
      <c r="R317" s="124">
        <f>ROUND(IFERROR(VLOOKUP(Q317,'Case Type'!A:H,8,0),0)*O317,2)</f>
        <v>0.31</v>
      </c>
    </row>
    <row r="318" customFormat="1" spans="1:18">
      <c r="A318" s="113">
        <v>46150</v>
      </c>
      <c r="B318" s="91" t="str">
        <f>_xlfn.XLOOKUP(C318,'Product List'!B:B,'Product List'!I:I)</f>
        <v>MINI/MOE TULIP WATER BOTTLE</v>
      </c>
      <c r="C318" s="124" t="s">
        <v>52</v>
      </c>
      <c r="D318" s="124" t="s">
        <v>338</v>
      </c>
      <c r="E318" s="125">
        <v>60</v>
      </c>
      <c r="F318" s="125">
        <v>1.7</v>
      </c>
      <c r="G318" s="125">
        <f t="shared" si="8"/>
        <v>102</v>
      </c>
      <c r="H318" s="86" t="s">
        <v>306</v>
      </c>
      <c r="I318" s="86" t="s">
        <v>92</v>
      </c>
      <c r="J318" s="124" t="s">
        <v>313</v>
      </c>
      <c r="K318" s="193">
        <v>46174</v>
      </c>
      <c r="L318" s="251">
        <v>46164</v>
      </c>
      <c r="M318" s="127">
        <v>0.73</v>
      </c>
      <c r="N318" s="124">
        <f t="shared" si="9"/>
        <v>43.8</v>
      </c>
      <c r="O318" s="124" cm="1">
        <f t="array" ref="O318">E318/_xlfn.XLOOKUP(1,('Case Pack'!$A$4:$A$962=C318)*('Case Pack'!$L$4:$L$962&gt;0)*('Case Pack'!$L$4:$L$962&lt;=A318),'Case Pack'!$D$4:$D$962,"未找到箱规")</f>
        <v>1</v>
      </c>
      <c r="P318" s="124" t="str">
        <f>IF(COUNTIF('PO Check'!A:A,D318)&gt;0,"Yes","No")</f>
        <v>Yes</v>
      </c>
      <c r="Q318" s="124" t="str" cm="1">
        <f t="array" ref="Q318">_xlfn.XLOOKUP(1,('Case Pack'!$A$4:$A$962=C318)*('Case Pack'!$L$4:$L$962&gt;0)*('Case Pack'!$L$4:$L$962&lt;=A318),'Case Pack'!$G$4:$G$962,"未找到箱型")</f>
        <v>C</v>
      </c>
      <c r="R318" s="124">
        <f>ROUND(IFERROR(VLOOKUP(Q318,'Case Type'!A:H,8,0),0)*O318,2)</f>
        <v>0.16</v>
      </c>
    </row>
    <row r="319" customFormat="1" spans="1:18">
      <c r="A319" s="113">
        <v>46150</v>
      </c>
      <c r="B319" s="91" t="str">
        <f>_xlfn.XLOOKUP(C319,'Product List'!B:B,'Product List'!I:I)</f>
        <v>MINI/MOE TREEHOUSE CABIN</v>
      </c>
      <c r="C319" s="124" t="s">
        <v>41</v>
      </c>
      <c r="D319" s="124" t="s">
        <v>338</v>
      </c>
      <c r="E319" s="125">
        <v>120</v>
      </c>
      <c r="F319" s="125">
        <v>4.28</v>
      </c>
      <c r="G319" s="125">
        <f t="shared" si="8"/>
        <v>513.6</v>
      </c>
      <c r="H319" s="86" t="s">
        <v>306</v>
      </c>
      <c r="I319" s="86" t="s">
        <v>92</v>
      </c>
      <c r="J319" s="124" t="s">
        <v>313</v>
      </c>
      <c r="K319" s="193">
        <v>46174</v>
      </c>
      <c r="L319" s="251">
        <v>46164</v>
      </c>
      <c r="M319" s="127">
        <v>2.07</v>
      </c>
      <c r="N319" s="124">
        <f t="shared" si="9"/>
        <v>248.4</v>
      </c>
      <c r="O319" s="124" cm="1">
        <f t="array" ref="O319">E319/_xlfn.XLOOKUP(1,('Case Pack'!$A$4:$A$962=C319)*('Case Pack'!$L$4:$L$962&gt;0)*('Case Pack'!$L$4:$L$962&lt;=A319),'Case Pack'!$D$4:$D$962,"未找到箱规")</f>
        <v>4</v>
      </c>
      <c r="P319" s="124" t="str">
        <f>IF(COUNTIF('PO Check'!A:A,D319)&gt;0,"Yes","No")</f>
        <v>Yes</v>
      </c>
      <c r="Q319" s="124" t="str" cm="1">
        <f t="array" ref="Q319">_xlfn.XLOOKUP(1,('Case Pack'!$A$4:$A$962=C319)*('Case Pack'!$L$4:$L$962&gt;0)*('Case Pack'!$L$4:$L$962&lt;=A319),'Case Pack'!$G$4:$G$962,"未找到箱型")</f>
        <v>C</v>
      </c>
      <c r="R319" s="124">
        <f>ROUND(IFERROR(VLOOKUP(Q319,'Case Type'!A:H,8,0),0)*O319,2)</f>
        <v>0.63</v>
      </c>
    </row>
    <row r="320" customFormat="1" spans="1:18">
      <c r="A320" s="113">
        <v>46150</v>
      </c>
      <c r="B320" s="91" t="str">
        <f>_xlfn.XLOOKUP(C320,'Product List'!B:B,'Product List'!I:I)</f>
        <v>MINI/MOE MUSHROOM CABIN</v>
      </c>
      <c r="C320" s="124" t="s">
        <v>39</v>
      </c>
      <c r="D320" s="124" t="s">
        <v>338</v>
      </c>
      <c r="E320" s="125">
        <v>128</v>
      </c>
      <c r="F320" s="125">
        <v>6.98</v>
      </c>
      <c r="G320" s="125">
        <f t="shared" si="8"/>
        <v>893.44</v>
      </c>
      <c r="H320" s="86" t="s">
        <v>306</v>
      </c>
      <c r="I320" s="86" t="s">
        <v>92</v>
      </c>
      <c r="J320" s="124" t="s">
        <v>313</v>
      </c>
      <c r="K320" s="193">
        <v>46174</v>
      </c>
      <c r="L320" s="251">
        <v>46164</v>
      </c>
      <c r="M320" s="127">
        <v>3.2</v>
      </c>
      <c r="N320" s="124">
        <f t="shared" si="9"/>
        <v>409.6</v>
      </c>
      <c r="O320" s="124" cm="1">
        <f t="array" ref="O320">E320/_xlfn.XLOOKUP(1,('Case Pack'!$A$4:$A$962=C320)*('Case Pack'!$L$4:$L$962&gt;0)*('Case Pack'!$L$4:$L$962&lt;=A320),'Case Pack'!$D$4:$D$962,"未找到箱规")</f>
        <v>8</v>
      </c>
      <c r="P320" s="124" t="str">
        <f>IF(COUNTIF('PO Check'!A:A,D320)&gt;0,"Yes","No")</f>
        <v>Yes</v>
      </c>
      <c r="Q320" s="124" t="str" cm="1">
        <f t="array" ref="Q320">_xlfn.XLOOKUP(1,('Case Pack'!$A$4:$A$962=C320)*('Case Pack'!$L$4:$L$962&gt;0)*('Case Pack'!$L$4:$L$962&lt;=A320),'Case Pack'!$G$4:$G$962,"未找到箱型")</f>
        <v>C</v>
      </c>
      <c r="R320" s="124">
        <f>ROUND(IFERROR(VLOOKUP(Q320,'Case Type'!A:H,8,0),0)*O320,2)</f>
        <v>1.26</v>
      </c>
    </row>
    <row r="321" customFormat="1" spans="1:18">
      <c r="A321" s="113">
        <v>46150</v>
      </c>
      <c r="B321" s="91" t="str">
        <f>_xlfn.XLOOKUP(C321,'Product List'!B:B,'Product List'!I:I)</f>
        <v>MINI/MOE CAMPING TENT HIDE</v>
      </c>
      <c r="C321" s="124" t="s">
        <v>73</v>
      </c>
      <c r="D321" s="124" t="s">
        <v>338</v>
      </c>
      <c r="E321" s="125">
        <v>132</v>
      </c>
      <c r="F321" s="125">
        <v>3.36</v>
      </c>
      <c r="G321" s="125">
        <f t="shared" si="8"/>
        <v>443.52</v>
      </c>
      <c r="H321" s="86" t="s">
        <v>306</v>
      </c>
      <c r="I321" s="86" t="s">
        <v>92</v>
      </c>
      <c r="J321" s="124" t="s">
        <v>313</v>
      </c>
      <c r="K321" s="193">
        <v>46174</v>
      </c>
      <c r="L321" s="251">
        <v>46164</v>
      </c>
      <c r="M321" s="127">
        <v>1.87</v>
      </c>
      <c r="N321" s="124">
        <f t="shared" si="9"/>
        <v>246.84</v>
      </c>
      <c r="O321" s="124" cm="1">
        <f t="array" ref="O321">E321/_xlfn.XLOOKUP(1,('Case Pack'!$A$4:$A$962=C321)*('Case Pack'!$L$4:$L$962&gt;0)*('Case Pack'!$L$4:$L$962&lt;=A321),'Case Pack'!$D$4:$D$962,"未找到箱规")</f>
        <v>11</v>
      </c>
      <c r="P321" s="124" t="str">
        <f>IF(COUNTIF('PO Check'!A:A,D321)&gt;0,"Yes","No")</f>
        <v>Yes</v>
      </c>
      <c r="Q321" s="124" t="str" cm="1">
        <f t="array" ref="Q321">_xlfn.XLOOKUP(1,('Case Pack'!$A$4:$A$962=C321)*('Case Pack'!$L$4:$L$962&gt;0)*('Case Pack'!$L$4:$L$962&lt;=A321),'Case Pack'!$G$4:$G$962,"未找到箱型")</f>
        <v>B</v>
      </c>
      <c r="R321" s="124">
        <f>ROUND(IFERROR(VLOOKUP(Q321,'Case Type'!A:H,8,0),0)*O321,2)</f>
        <v>0.81</v>
      </c>
    </row>
    <row r="322" customFormat="1" spans="1:18">
      <c r="A322" s="113">
        <v>46150</v>
      </c>
      <c r="B322" s="91" t="str">
        <f>_xlfn.XLOOKUP(C322,'Product List'!B:B,'Product List'!I:I)</f>
        <v>MINI/MOE GARDEN TEAPOT</v>
      </c>
      <c r="C322" s="124" t="s">
        <v>43</v>
      </c>
      <c r="D322" s="124" t="s">
        <v>339</v>
      </c>
      <c r="E322" s="125">
        <v>150</v>
      </c>
      <c r="F322" s="125">
        <v>4.61</v>
      </c>
      <c r="G322" s="125">
        <f t="shared" si="8"/>
        <v>691.5</v>
      </c>
      <c r="H322" s="86" t="s">
        <v>306</v>
      </c>
      <c r="I322" s="86" t="s">
        <v>92</v>
      </c>
      <c r="J322" s="124" t="s">
        <v>307</v>
      </c>
      <c r="K322" s="193">
        <v>46174</v>
      </c>
      <c r="L322" s="251">
        <v>46168</v>
      </c>
      <c r="M322" s="127">
        <v>2.25</v>
      </c>
      <c r="N322" s="124">
        <f t="shared" si="9"/>
        <v>337.5</v>
      </c>
      <c r="O322" s="124" cm="1">
        <f t="array" ref="O322">E322/_xlfn.XLOOKUP(1,('Case Pack'!$A$4:$A$962=C322)*('Case Pack'!$L$4:$L$962&gt;0)*('Case Pack'!$L$4:$L$962&lt;=A322),'Case Pack'!$D$4:$D$962,"未找到箱规")</f>
        <v>5</v>
      </c>
      <c r="P322" s="124" t="str">
        <f>IF(COUNTIF('PO Check'!A:A,D322)&gt;0,"Yes","No")</f>
        <v>Yes</v>
      </c>
      <c r="Q322" s="124" t="str" cm="1">
        <f t="array" ref="Q322">_xlfn.XLOOKUP(1,('Case Pack'!$A$4:$A$962=C322)*('Case Pack'!$L$4:$L$962&gt;0)*('Case Pack'!$L$4:$L$962&lt;=A322),'Case Pack'!$G$4:$G$962,"未找到箱型")</f>
        <v>C</v>
      </c>
      <c r="R322" s="124">
        <f>ROUND(IFERROR(VLOOKUP(Q322,'Case Type'!A:H,8,0),0)*O322,2)</f>
        <v>0.79</v>
      </c>
    </row>
    <row r="323" customFormat="1" spans="1:18">
      <c r="A323" s="113">
        <v>46150</v>
      </c>
      <c r="B323" s="91" t="str">
        <f>_xlfn.XLOOKUP(C323,'Product List'!B:B,'Product List'!I:I)</f>
        <v>MINI/MOE TULIP WATER BOTTLE</v>
      </c>
      <c r="C323" s="124" t="s">
        <v>52</v>
      </c>
      <c r="D323" s="124" t="s">
        <v>339</v>
      </c>
      <c r="E323" s="125">
        <v>120</v>
      </c>
      <c r="F323" s="125">
        <v>1.7</v>
      </c>
      <c r="G323" s="125">
        <f t="shared" si="8"/>
        <v>204</v>
      </c>
      <c r="H323" s="86" t="s">
        <v>306</v>
      </c>
      <c r="I323" s="86" t="s">
        <v>92</v>
      </c>
      <c r="J323" s="124" t="s">
        <v>307</v>
      </c>
      <c r="K323" s="193">
        <v>46174</v>
      </c>
      <c r="L323" s="251">
        <v>46168</v>
      </c>
      <c r="M323" s="127">
        <v>0.73</v>
      </c>
      <c r="N323" s="124">
        <f t="shared" si="9"/>
        <v>87.6</v>
      </c>
      <c r="O323" s="124" cm="1">
        <f t="array" ref="O323">E323/_xlfn.XLOOKUP(1,('Case Pack'!$A$4:$A$962=C323)*('Case Pack'!$L$4:$L$962&gt;0)*('Case Pack'!$L$4:$L$962&lt;=A323),'Case Pack'!$D$4:$D$962,"未找到箱规")</f>
        <v>2</v>
      </c>
      <c r="P323" s="124" t="str">
        <f>IF(COUNTIF('PO Check'!A:A,D323)&gt;0,"Yes","No")</f>
        <v>Yes</v>
      </c>
      <c r="Q323" s="124" t="str" cm="1">
        <f t="array" ref="Q323">_xlfn.XLOOKUP(1,('Case Pack'!$A$4:$A$962=C323)*('Case Pack'!$L$4:$L$962&gt;0)*('Case Pack'!$L$4:$L$962&lt;=A323),'Case Pack'!$G$4:$G$962,"未找到箱型")</f>
        <v>C</v>
      </c>
      <c r="R323" s="124">
        <f>ROUND(IFERROR(VLOOKUP(Q323,'Case Type'!A:H,8,0),0)*O323,2)</f>
        <v>0.31</v>
      </c>
    </row>
    <row r="324" customFormat="1" spans="1:18">
      <c r="A324" s="113">
        <v>46150</v>
      </c>
      <c r="B324" s="91" t="str">
        <f>_xlfn.XLOOKUP(C324,'Product List'!B:B,'Product List'!I:I)</f>
        <v>MINI/MOE TREEHOUSE CABIN</v>
      </c>
      <c r="C324" s="124" t="s">
        <v>41</v>
      </c>
      <c r="D324" s="124" t="s">
        <v>339</v>
      </c>
      <c r="E324" s="125">
        <v>450</v>
      </c>
      <c r="F324" s="125">
        <v>4.28</v>
      </c>
      <c r="G324" s="125">
        <f t="shared" si="8"/>
        <v>1926</v>
      </c>
      <c r="H324" s="86" t="s">
        <v>306</v>
      </c>
      <c r="I324" s="86" t="s">
        <v>92</v>
      </c>
      <c r="J324" s="124" t="s">
        <v>307</v>
      </c>
      <c r="K324" s="193">
        <v>46174</v>
      </c>
      <c r="L324" s="251">
        <v>46168</v>
      </c>
      <c r="M324" s="127">
        <v>2.07</v>
      </c>
      <c r="N324" s="124">
        <f t="shared" si="9"/>
        <v>931.5</v>
      </c>
      <c r="O324" s="124" cm="1">
        <f t="array" ref="O324">E324/_xlfn.XLOOKUP(1,('Case Pack'!$A$4:$A$962=C324)*('Case Pack'!$L$4:$L$962&gt;0)*('Case Pack'!$L$4:$L$962&lt;=A324),'Case Pack'!$D$4:$D$962,"未找到箱规")</f>
        <v>15</v>
      </c>
      <c r="P324" s="124" t="str">
        <f>IF(COUNTIF('PO Check'!A:A,D324)&gt;0,"Yes","No")</f>
        <v>Yes</v>
      </c>
      <c r="Q324" s="124" t="str" cm="1">
        <f t="array" ref="Q324">_xlfn.XLOOKUP(1,('Case Pack'!$A$4:$A$962=C324)*('Case Pack'!$L$4:$L$962&gt;0)*('Case Pack'!$L$4:$L$962&lt;=A324),'Case Pack'!$G$4:$G$962,"未找到箱型")</f>
        <v>C</v>
      </c>
      <c r="R324" s="124">
        <f>ROUND(IFERROR(VLOOKUP(Q324,'Case Type'!A:H,8,0),0)*O324,2)</f>
        <v>2.36</v>
      </c>
    </row>
    <row r="325" customFormat="1" spans="1:18">
      <c r="A325" s="113">
        <v>46150</v>
      </c>
      <c r="B325" s="91" t="str">
        <f>_xlfn.XLOOKUP(C325,'Product List'!B:B,'Product List'!I:I)</f>
        <v>MINI/MOE MUSHROOM CABIN</v>
      </c>
      <c r="C325" s="124" t="s">
        <v>39</v>
      </c>
      <c r="D325" s="124" t="s">
        <v>339</v>
      </c>
      <c r="E325" s="125">
        <v>400</v>
      </c>
      <c r="F325" s="125">
        <v>6.98</v>
      </c>
      <c r="G325" s="125">
        <f t="shared" si="8"/>
        <v>2792</v>
      </c>
      <c r="H325" s="86" t="s">
        <v>306</v>
      </c>
      <c r="I325" s="86" t="s">
        <v>92</v>
      </c>
      <c r="J325" s="124" t="s">
        <v>307</v>
      </c>
      <c r="K325" s="193">
        <v>46174</v>
      </c>
      <c r="L325" s="251">
        <v>46168</v>
      </c>
      <c r="M325" s="127">
        <v>3.2</v>
      </c>
      <c r="N325" s="124">
        <f t="shared" si="9"/>
        <v>1280</v>
      </c>
      <c r="O325" s="124" cm="1">
        <f t="array" ref="O325">E325/_xlfn.XLOOKUP(1,('Case Pack'!$A$4:$A$962=C325)*('Case Pack'!$L$4:$L$962&gt;0)*('Case Pack'!$L$4:$L$962&lt;=A325),'Case Pack'!$D$4:$D$962,"未找到箱规")</f>
        <v>25</v>
      </c>
      <c r="P325" s="124" t="str">
        <f>IF(COUNTIF('PO Check'!A:A,D325)&gt;0,"Yes","No")</f>
        <v>Yes</v>
      </c>
      <c r="Q325" s="124" t="str" cm="1">
        <f t="array" ref="Q325">_xlfn.XLOOKUP(1,('Case Pack'!$A$4:$A$962=C325)*('Case Pack'!$L$4:$L$962&gt;0)*('Case Pack'!$L$4:$L$962&lt;=A325),'Case Pack'!$G$4:$G$962,"未找到箱型")</f>
        <v>C</v>
      </c>
      <c r="R325" s="124">
        <f>ROUND(IFERROR(VLOOKUP(Q325,'Case Type'!A:H,8,0),0)*O325,2)</f>
        <v>3.93</v>
      </c>
    </row>
    <row r="326" customFormat="1" spans="1:18">
      <c r="A326" s="113">
        <v>46150</v>
      </c>
      <c r="B326" s="91" t="str">
        <f>_xlfn.XLOOKUP(C326,'Product List'!B:B,'Product List'!I:I)</f>
        <v>MINI/MOE CAMPING TENT HIDE</v>
      </c>
      <c r="C326" s="124" t="s">
        <v>73</v>
      </c>
      <c r="D326" s="124" t="s">
        <v>339</v>
      </c>
      <c r="E326" s="125">
        <v>444</v>
      </c>
      <c r="F326" s="125">
        <v>3.36</v>
      </c>
      <c r="G326" s="125">
        <f t="shared" si="8"/>
        <v>1491.84</v>
      </c>
      <c r="H326" s="86" t="s">
        <v>306</v>
      </c>
      <c r="I326" s="86" t="s">
        <v>92</v>
      </c>
      <c r="J326" s="124" t="s">
        <v>307</v>
      </c>
      <c r="K326" s="193">
        <v>46174</v>
      </c>
      <c r="L326" s="251">
        <v>46168</v>
      </c>
      <c r="M326" s="127">
        <v>1.87</v>
      </c>
      <c r="N326" s="124">
        <f t="shared" si="9"/>
        <v>830.28</v>
      </c>
      <c r="O326" s="124" cm="1">
        <f t="array" ref="O326">E326/_xlfn.XLOOKUP(1,('Case Pack'!$A$4:$A$962=C326)*('Case Pack'!$L$4:$L$962&gt;0)*('Case Pack'!$L$4:$L$962&lt;=A326),'Case Pack'!$D$4:$D$962,"未找到箱规")</f>
        <v>37</v>
      </c>
      <c r="P326" s="124" t="str">
        <f>IF(COUNTIF('PO Check'!A:A,D326)&gt;0,"Yes","No")</f>
        <v>Yes</v>
      </c>
      <c r="Q326" s="124" t="str" cm="1">
        <f t="array" ref="Q326">_xlfn.XLOOKUP(1,('Case Pack'!$A$4:$A$962=C326)*('Case Pack'!$L$4:$L$962&gt;0)*('Case Pack'!$L$4:$L$962&lt;=A326),'Case Pack'!$G$4:$G$962,"未找到箱型")</f>
        <v>B</v>
      </c>
      <c r="R326" s="124">
        <f>ROUND(IFERROR(VLOOKUP(Q326,'Case Type'!A:H,8,0),0)*O326,2)</f>
        <v>2.72</v>
      </c>
    </row>
    <row r="327" customFormat="1" spans="1:18">
      <c r="A327" s="113">
        <v>46150</v>
      </c>
      <c r="B327" s="91" t="str">
        <f>_xlfn.XLOOKUP(C327,'Product List'!B:B,'Product List'!I:I)</f>
        <v>MINI/MOE SILENT CRSTL RUN WHEEL LG 8.5-White</v>
      </c>
      <c r="C327" s="124" t="s">
        <v>29</v>
      </c>
      <c r="D327" s="124" t="s">
        <v>339</v>
      </c>
      <c r="E327" s="125">
        <v>48</v>
      </c>
      <c r="F327" s="125">
        <v>12.63</v>
      </c>
      <c r="G327" s="125">
        <f t="shared" si="8"/>
        <v>606.24</v>
      </c>
      <c r="H327" s="86" t="s">
        <v>306</v>
      </c>
      <c r="I327" s="86" t="s">
        <v>92</v>
      </c>
      <c r="J327" s="124" t="s">
        <v>307</v>
      </c>
      <c r="K327" s="193">
        <v>46174</v>
      </c>
      <c r="L327" s="251">
        <v>46168</v>
      </c>
      <c r="M327" s="127">
        <v>6.27</v>
      </c>
      <c r="N327" s="124">
        <f t="shared" si="9"/>
        <v>300.96</v>
      </c>
      <c r="O327" s="124" cm="1">
        <f t="array" ref="O327">E327/_xlfn.XLOOKUP(1,('Case Pack'!$A$4:$A$962=C327)*('Case Pack'!$L$4:$L$962&gt;0)*('Case Pack'!$L$4:$L$962&lt;=A327),'Case Pack'!$D$4:$D$962,"未找到箱规")</f>
        <v>6</v>
      </c>
      <c r="P327" s="124" t="str">
        <f>IF(COUNTIF('PO Check'!A:A,D327)&gt;0,"Yes","No")</f>
        <v>Yes</v>
      </c>
      <c r="Q327" s="124" t="str" cm="1">
        <f t="array" ref="Q327">_xlfn.XLOOKUP(1,('Case Pack'!$A$4:$A$962=C327)*('Case Pack'!$L$4:$L$962&gt;0)*('Case Pack'!$L$4:$L$962&lt;=A327),'Case Pack'!$G$4:$G$962,"未找到箱型")</f>
        <v>C</v>
      </c>
      <c r="R327" s="124">
        <f>ROUND(IFERROR(VLOOKUP(Q327,'Case Type'!A:H,8,0),0)*O327,2)</f>
        <v>0.94</v>
      </c>
    </row>
    <row r="328" customFormat="1" spans="1:18">
      <c r="A328" s="113">
        <v>46150</v>
      </c>
      <c r="B328" s="91" t="str">
        <f>_xlfn.XLOOKUP(C328,'Product List'!B:B,'Product List'!I:I)</f>
        <v>MINI/MOE IVY BURROWING BOX</v>
      </c>
      <c r="C328" s="124" t="s">
        <v>49</v>
      </c>
      <c r="D328" s="108" t="s">
        <v>340</v>
      </c>
      <c r="E328" s="125">
        <v>48</v>
      </c>
      <c r="F328" s="125">
        <v>14.89</v>
      </c>
      <c r="G328" s="125">
        <f t="shared" si="8"/>
        <v>714.72</v>
      </c>
      <c r="H328" s="86" t="s">
        <v>306</v>
      </c>
      <c r="I328" s="86" t="s">
        <v>92</v>
      </c>
      <c r="J328" s="124" t="s">
        <v>313</v>
      </c>
      <c r="K328" s="126">
        <v>46208</v>
      </c>
      <c r="L328" s="251">
        <v>46197</v>
      </c>
      <c r="M328" s="127">
        <f>_xlfn.XLOOKUP(C328,'Product List'!B:B,'Product List'!R:R)</f>
        <v>7.16</v>
      </c>
      <c r="N328" s="124">
        <f t="shared" si="9"/>
        <v>343.68</v>
      </c>
      <c r="O328" s="124" cm="1">
        <f t="array" ref="O328">E328/_xlfn.XLOOKUP(1,('Case Pack'!$A$4:$A$962=C328)*('Case Pack'!$L$4:$L$962&gt;0)*('Case Pack'!$L$4:$L$962&lt;=A328),'Case Pack'!$D$4:$D$962,"未找到箱规")</f>
        <v>12</v>
      </c>
      <c r="P328" s="124" t="str">
        <f>IF(COUNTIF('PO Check'!A:A,D328)&gt;0,"Yes","No")</f>
        <v>Yes</v>
      </c>
      <c r="Q328" s="124" t="str" cm="1">
        <f t="array" ref="Q328">_xlfn.XLOOKUP(1,('Case Pack'!$A$4:$A$962=C328)*('Case Pack'!$L$4:$L$962&gt;0)*('Case Pack'!$L$4:$L$962&lt;=A328),'Case Pack'!$G$4:$G$962,"未找到箱型")</f>
        <v>D</v>
      </c>
      <c r="R328" s="124">
        <f>ROUND(IFERROR(VLOOKUP(Q328,'Case Type'!A:H,8,0),0)*O328,2)</f>
        <v>1.06</v>
      </c>
    </row>
    <row r="329" customFormat="1" spans="1:18">
      <c r="A329" s="113">
        <v>46150</v>
      </c>
      <c r="B329" s="91" t="str">
        <f>_xlfn.XLOOKUP(C329,'Product List'!B:B,'Product List'!I:I)</f>
        <v>MINI/MOE GARDEN TEAPOT</v>
      </c>
      <c r="C329" s="124" t="s">
        <v>43</v>
      </c>
      <c r="D329" s="108" t="s">
        <v>340</v>
      </c>
      <c r="E329" s="125">
        <v>120</v>
      </c>
      <c r="F329" s="125">
        <v>4.61</v>
      </c>
      <c r="G329" s="125">
        <f t="shared" si="8"/>
        <v>553.2</v>
      </c>
      <c r="H329" s="86" t="s">
        <v>306</v>
      </c>
      <c r="I329" s="86" t="s">
        <v>92</v>
      </c>
      <c r="J329" s="124" t="s">
        <v>313</v>
      </c>
      <c r="K329" s="126">
        <v>46208</v>
      </c>
      <c r="L329" s="251">
        <v>46197</v>
      </c>
      <c r="M329" s="127">
        <f>_xlfn.XLOOKUP(C329,'Product List'!B:B,'Product List'!R:R)</f>
        <v>2.25</v>
      </c>
      <c r="N329" s="124">
        <f t="shared" si="9"/>
        <v>270</v>
      </c>
      <c r="O329" s="124" cm="1">
        <f t="array" ref="O329">E329/_xlfn.XLOOKUP(1,('Case Pack'!$A$4:$A$962=C329)*('Case Pack'!$L$4:$L$962&gt;0)*('Case Pack'!$L$4:$L$962&lt;=A329),'Case Pack'!$D$4:$D$962,"未找到箱规")</f>
        <v>4</v>
      </c>
      <c r="P329" s="124" t="str">
        <f>IF(COUNTIF('PO Check'!A:A,D329)&gt;0,"Yes","No")</f>
        <v>Yes</v>
      </c>
      <c r="Q329" s="124" t="str" cm="1">
        <f t="array" ref="Q329">_xlfn.XLOOKUP(1,('Case Pack'!$A$4:$A$962=C329)*('Case Pack'!$L$4:$L$962&gt;0)*('Case Pack'!$L$4:$L$962&lt;=A329),'Case Pack'!$G$4:$G$962,"未找到箱型")</f>
        <v>C</v>
      </c>
      <c r="R329" s="124">
        <f>ROUND(IFERROR(VLOOKUP(Q329,'Case Type'!A:H,8,0),0)*O329,2)</f>
        <v>0.63</v>
      </c>
    </row>
    <row r="330" customFormat="1" spans="1:18">
      <c r="A330" s="113">
        <v>46155</v>
      </c>
      <c r="B330" s="91" t="str">
        <f>_xlfn.XLOOKUP(C330,'Product List'!B:B,'Product List'!I:I)</f>
        <v>MINI/MOE IVY BURROWING BOX</v>
      </c>
      <c r="C330" s="124" t="s">
        <v>49</v>
      </c>
      <c r="D330" s="108" t="s">
        <v>341</v>
      </c>
      <c r="E330" s="125">
        <v>432</v>
      </c>
      <c r="F330" s="125">
        <v>14.89</v>
      </c>
      <c r="G330" s="125">
        <f t="shared" si="8"/>
        <v>6432.48</v>
      </c>
      <c r="H330" s="86" t="s">
        <v>306</v>
      </c>
      <c r="I330" s="86" t="s">
        <v>92</v>
      </c>
      <c r="J330" s="124" t="s">
        <v>307</v>
      </c>
      <c r="K330" s="126">
        <v>46208</v>
      </c>
      <c r="L330" s="251">
        <v>46197</v>
      </c>
      <c r="M330" s="127">
        <f>_xlfn.XLOOKUP(C330,'Product List'!B:B,'Product List'!R:R)</f>
        <v>7.16</v>
      </c>
      <c r="N330" s="124">
        <f t="shared" si="9"/>
        <v>3093.12</v>
      </c>
      <c r="O330" s="124" cm="1">
        <f t="array" ref="O330">E330/_xlfn.XLOOKUP(1,('Case Pack'!$A$4:$A$962=C330)*('Case Pack'!$L$4:$L$962&gt;0)*('Case Pack'!$L$4:$L$962&lt;=A330),'Case Pack'!$D$4:$D$962,"未找到箱规")</f>
        <v>108</v>
      </c>
      <c r="P330" s="124" t="str">
        <f>IF(COUNTIF('PO Check'!A:A,D330)&gt;0,"Yes","No")</f>
        <v>Yes</v>
      </c>
      <c r="Q330" s="124" t="str" cm="1">
        <f t="array" ref="Q330">_xlfn.XLOOKUP(1,('Case Pack'!$A$4:$A$962=C330)*('Case Pack'!$L$4:$L$962&gt;0)*('Case Pack'!$L$4:$L$962&lt;=A330),'Case Pack'!$G$4:$G$962,"未找到箱型")</f>
        <v>D</v>
      </c>
      <c r="R330" s="124">
        <f>ROUND(IFERROR(VLOOKUP(Q330,'Case Type'!A:H,8,0),0)*O330,2)</f>
        <v>9.52</v>
      </c>
    </row>
    <row r="331" customFormat="1" spans="1:18">
      <c r="A331" s="113">
        <v>46155</v>
      </c>
      <c r="B331" s="91" t="str">
        <f>_xlfn.XLOOKUP(C331,'Product List'!B:B,'Product List'!I:I)</f>
        <v>MINI/MOE GARDEN TEAPOT</v>
      </c>
      <c r="C331" s="124" t="s">
        <v>43</v>
      </c>
      <c r="D331" s="108" t="s">
        <v>341</v>
      </c>
      <c r="E331" s="125">
        <v>510</v>
      </c>
      <c r="F331" s="125">
        <v>4.61</v>
      </c>
      <c r="G331" s="125">
        <f t="shared" si="8"/>
        <v>2351.1</v>
      </c>
      <c r="H331" s="86" t="s">
        <v>306</v>
      </c>
      <c r="I331" s="86" t="s">
        <v>92</v>
      </c>
      <c r="J331" s="124" t="s">
        <v>307</v>
      </c>
      <c r="K331" s="126">
        <v>46208</v>
      </c>
      <c r="L331" s="251">
        <v>46197</v>
      </c>
      <c r="M331" s="127">
        <f>_xlfn.XLOOKUP(C331,'Product List'!B:B,'Product List'!R:R)</f>
        <v>2.25</v>
      </c>
      <c r="N331" s="124">
        <f t="shared" si="9"/>
        <v>1147.5</v>
      </c>
      <c r="O331" s="124" cm="1">
        <f t="array" ref="O331">E331/_xlfn.XLOOKUP(1,('Case Pack'!$A$4:$A$962=C331)*('Case Pack'!$L$4:$L$962&gt;0)*('Case Pack'!$L$4:$L$962&lt;=A331),'Case Pack'!$D$4:$D$962,"未找到箱规")</f>
        <v>17</v>
      </c>
      <c r="P331" s="124" t="str">
        <f>IF(COUNTIF('PO Check'!A:A,D331)&gt;0,"Yes","No")</f>
        <v>Yes</v>
      </c>
      <c r="Q331" s="124" t="str" cm="1">
        <f t="array" ref="Q331">_xlfn.XLOOKUP(1,('Case Pack'!$A$4:$A$962=C331)*('Case Pack'!$L$4:$L$962&gt;0)*('Case Pack'!$L$4:$L$962&lt;=A331),'Case Pack'!$G$4:$G$962,"未找到箱型")</f>
        <v>C</v>
      </c>
      <c r="R331" s="124">
        <f>ROUND(IFERROR(VLOOKUP(Q331,'Case Type'!A:H,8,0),0)*O331,2)</f>
        <v>2.67</v>
      </c>
    </row>
    <row r="332" customFormat="1" spans="1:18">
      <c r="A332" s="113">
        <v>46155</v>
      </c>
      <c r="B332" s="91" t="str">
        <f>_xlfn.XLOOKUP(C332,'Product List'!B:B,'Product List'!I:I)</f>
        <v>MINI/MOE RUFFLE BOWL</v>
      </c>
      <c r="C332" s="124" t="s">
        <v>78</v>
      </c>
      <c r="D332" s="108" t="s">
        <v>341</v>
      </c>
      <c r="E332" s="125">
        <v>48</v>
      </c>
      <c r="F332" s="125">
        <v>2.25</v>
      </c>
      <c r="G332" s="125">
        <f t="shared" si="8"/>
        <v>108</v>
      </c>
      <c r="H332" s="86" t="s">
        <v>306</v>
      </c>
      <c r="I332" s="86" t="s">
        <v>92</v>
      </c>
      <c r="J332" s="124" t="s">
        <v>307</v>
      </c>
      <c r="K332" s="126">
        <v>46208</v>
      </c>
      <c r="L332" s="251">
        <v>46197</v>
      </c>
      <c r="M332" s="127">
        <f>_xlfn.XLOOKUP(C332,'Product List'!B:B,'Product List'!R:R)</f>
        <v>1.34</v>
      </c>
      <c r="N332" s="124">
        <f t="shared" si="9"/>
        <v>64.32</v>
      </c>
      <c r="O332" s="124" cm="1">
        <f t="array" ref="O332">E332/_xlfn.XLOOKUP(1,('Case Pack'!$A$4:$A$962=C332)*('Case Pack'!$L$4:$L$962&gt;0)*('Case Pack'!$L$4:$L$962&lt;=A332),'Case Pack'!$D$4:$D$962,"未找到箱规")</f>
        <v>1</v>
      </c>
      <c r="P332" s="124" t="str">
        <f>IF(COUNTIF('PO Check'!A:A,D332)&gt;0,"Yes","No")</f>
        <v>Yes</v>
      </c>
      <c r="Q332" s="124" t="str" cm="1">
        <f t="array" ref="Q332">_xlfn.XLOOKUP(1,('Case Pack'!$A$4:$A$962=C332)*('Case Pack'!$L$4:$L$962&gt;0)*('Case Pack'!$L$4:$L$962&lt;=A332),'Case Pack'!$G$4:$G$962,"未找到箱型")</f>
        <v>B</v>
      </c>
      <c r="R332" s="124">
        <f>ROUND(IFERROR(VLOOKUP(Q332,'Case Type'!A:H,8,0),0)*O332,2)</f>
        <v>0.07</v>
      </c>
    </row>
    <row r="333" customFormat="1" spans="1:18">
      <c r="A333" s="113">
        <v>46155</v>
      </c>
      <c r="B333" s="91" t="str">
        <f>_xlfn.XLOOKUP(C333,'Product List'!B:B,'Product List'!I:I)</f>
        <v>MINI/MOE SMALL ANIMAL BEDDING PAPER TWISTS</v>
      </c>
      <c r="C333" s="124" t="s">
        <v>69</v>
      </c>
      <c r="D333" s="108" t="s">
        <v>342</v>
      </c>
      <c r="E333" s="125">
        <v>1230</v>
      </c>
      <c r="F333" s="125">
        <v>3.8</v>
      </c>
      <c r="G333" s="125">
        <f t="shared" si="8"/>
        <v>4674</v>
      </c>
      <c r="H333" s="86" t="s">
        <v>306</v>
      </c>
      <c r="I333" s="86" t="s">
        <v>92</v>
      </c>
      <c r="J333" s="124" t="s">
        <v>307</v>
      </c>
      <c r="K333" s="126">
        <v>46231</v>
      </c>
      <c r="L333" s="251">
        <v>46227</v>
      </c>
      <c r="M333" s="127">
        <f>_xlfn.XLOOKUP(C333,'Product List'!B:B,'Product List'!R:R)</f>
        <v>1.98</v>
      </c>
      <c r="N333" s="124">
        <f t="shared" si="9"/>
        <v>2435.4</v>
      </c>
      <c r="O333" s="124" cm="1">
        <f t="array" ref="O333">E333/_xlfn.XLOOKUP(1,('Case Pack'!$A$4:$A$962=C333)*('Case Pack'!$L$4:$L$962&gt;0)*('Case Pack'!$L$4:$L$962&lt;=A333),'Case Pack'!$D$4:$D$962,"未找到箱规")</f>
        <v>41</v>
      </c>
      <c r="P333" s="124" t="str">
        <f>IF(COUNTIF('PO Check'!A:A,D333)&gt;0,"Yes","No")</f>
        <v>Yes</v>
      </c>
      <c r="Q333" s="124" t="str" cm="1">
        <f t="array" ref="Q333">_xlfn.XLOOKUP(1,('Case Pack'!$A$4:$A$962=C333)*('Case Pack'!$L$4:$L$962&gt;0)*('Case Pack'!$L$4:$L$962&lt;=A333),'Case Pack'!$G$4:$G$962,"未找到箱型")</f>
        <v>A</v>
      </c>
      <c r="R333" s="124">
        <f>ROUND(IFERROR(VLOOKUP(Q333,'Case Type'!A:H,8,0),0)*O333,2)</f>
        <v>4.51</v>
      </c>
    </row>
    <row r="334" customFormat="1" spans="1:18">
      <c r="A334" s="113">
        <v>46155</v>
      </c>
      <c r="B334" s="91" t="str">
        <f>_xlfn.XLOOKUP(C334,'Product List'!B:B,'Product List'!I:I)</f>
        <v>MINI/MOE SMALL ANIMAL BEDDING CRINKLE PAPER BROWN 1EA</v>
      </c>
      <c r="C334" s="124" t="s">
        <v>30</v>
      </c>
      <c r="D334" s="108" t="s">
        <v>342</v>
      </c>
      <c r="E334" s="125">
        <v>450</v>
      </c>
      <c r="F334" s="125">
        <v>3.89</v>
      </c>
      <c r="G334" s="125">
        <f t="shared" si="8"/>
        <v>1750.5</v>
      </c>
      <c r="H334" s="86" t="s">
        <v>306</v>
      </c>
      <c r="I334" s="86" t="s">
        <v>92</v>
      </c>
      <c r="J334" s="124" t="s">
        <v>307</v>
      </c>
      <c r="K334" s="126">
        <v>46231</v>
      </c>
      <c r="L334" s="251">
        <v>46227</v>
      </c>
      <c r="M334" s="127">
        <f>_xlfn.XLOOKUP(C334,'Product List'!B:B,'Product List'!R:R)</f>
        <v>1.99</v>
      </c>
      <c r="N334" s="124">
        <f t="shared" si="9"/>
        <v>895.5</v>
      </c>
      <c r="O334" s="124" cm="1">
        <f t="array" ref="O334">E334/_xlfn.XLOOKUP(1,('Case Pack'!$A$4:$A$962=C334)*('Case Pack'!$L$4:$L$962&gt;0)*('Case Pack'!$L$4:$L$962&lt;=A334),'Case Pack'!$D$4:$D$962,"未找到箱规")</f>
        <v>15</v>
      </c>
      <c r="P334" s="124" t="str">
        <f>IF(COUNTIF('PO Check'!A:A,D334)&gt;0,"Yes","No")</f>
        <v>Yes</v>
      </c>
      <c r="Q334" s="124" t="str" cm="1">
        <f t="array" ref="Q334">_xlfn.XLOOKUP(1,('Case Pack'!$A$4:$A$962=C334)*('Case Pack'!$L$4:$L$962&gt;0)*('Case Pack'!$L$4:$L$962&lt;=A334),'Case Pack'!$G$4:$G$962,"未找到箱型")</f>
        <v>A</v>
      </c>
      <c r="R334" s="124">
        <f>ROUND(IFERROR(VLOOKUP(Q334,'Case Type'!A:H,8,0),0)*O334,2)</f>
        <v>1.65</v>
      </c>
    </row>
    <row r="335" customFormat="1" spans="1:18">
      <c r="A335" s="113">
        <v>46155</v>
      </c>
      <c r="B335" s="91" t="str">
        <f>_xlfn.XLOOKUP(C335,'Product List'!B:B,'Product List'!I:I)</f>
        <v>MINI/MOE SMALL ANIMAL BEDDING ROLLED PAPER FOREST MIX 1EA</v>
      </c>
      <c r="C335" s="124" t="s">
        <v>32</v>
      </c>
      <c r="D335" s="108" t="s">
        <v>342</v>
      </c>
      <c r="E335" s="125">
        <v>1230</v>
      </c>
      <c r="F335" s="125">
        <v>4.75</v>
      </c>
      <c r="G335" s="125">
        <f t="shared" si="8"/>
        <v>5842.5</v>
      </c>
      <c r="H335" s="86" t="s">
        <v>306</v>
      </c>
      <c r="I335" s="86" t="s">
        <v>92</v>
      </c>
      <c r="J335" s="124" t="s">
        <v>307</v>
      </c>
      <c r="K335" s="126">
        <v>46231</v>
      </c>
      <c r="L335" s="251">
        <v>46227</v>
      </c>
      <c r="M335" s="127">
        <f>_xlfn.XLOOKUP(C335,'Product List'!B:B,'Product List'!R:R)</f>
        <v>2.47</v>
      </c>
      <c r="N335" s="124">
        <f t="shared" si="9"/>
        <v>3038.1</v>
      </c>
      <c r="O335" s="124" cm="1">
        <f t="array" ref="O335">E335/_xlfn.XLOOKUP(1,('Case Pack'!$A$4:$A$962=C335)*('Case Pack'!$L$4:$L$962&gt;0)*('Case Pack'!$L$4:$L$962&lt;=A335),'Case Pack'!$D$4:$D$962,"未找到箱规")</f>
        <v>41</v>
      </c>
      <c r="P335" s="124" t="str">
        <f>IF(COUNTIF('PO Check'!A:A,D335)&gt;0,"Yes","No")</f>
        <v>Yes</v>
      </c>
      <c r="Q335" s="124" t="str" cm="1">
        <f t="array" ref="Q335">_xlfn.XLOOKUP(1,('Case Pack'!$A$4:$A$962=C335)*('Case Pack'!$L$4:$L$962&gt;0)*('Case Pack'!$L$4:$L$962&lt;=A335),'Case Pack'!$G$4:$G$962,"未找到箱型")</f>
        <v>A</v>
      </c>
      <c r="R335" s="124">
        <f>ROUND(IFERROR(VLOOKUP(Q335,'Case Type'!A:H,8,0),0)*O335,2)</f>
        <v>4.51</v>
      </c>
    </row>
    <row r="336" customFormat="1" spans="1:18">
      <c r="A336" s="113">
        <v>46155</v>
      </c>
      <c r="B336" s="91" t="str">
        <f>_xlfn.XLOOKUP(C336,'Product List'!B:B,'Product List'!I:I)</f>
        <v>MINI/MOE SMALL ANIMAL BEDDING PAPER FLAKE LAV FIELD 50LT</v>
      </c>
      <c r="C336" s="124" t="s">
        <v>87</v>
      </c>
      <c r="D336" s="108" t="s">
        <v>342</v>
      </c>
      <c r="E336" s="125">
        <v>1232</v>
      </c>
      <c r="F336" s="125">
        <v>6.79</v>
      </c>
      <c r="G336" s="125">
        <f t="shared" si="8"/>
        <v>8365.28</v>
      </c>
      <c r="H336" s="86" t="s">
        <v>306</v>
      </c>
      <c r="I336" s="86" t="s">
        <v>92</v>
      </c>
      <c r="J336" s="124" t="s">
        <v>307</v>
      </c>
      <c r="K336" s="126">
        <v>46231</v>
      </c>
      <c r="L336" s="251">
        <v>46227</v>
      </c>
      <c r="M336" s="127">
        <f>_xlfn.XLOOKUP(C336,'Product List'!B:B,'Product List'!R:R)</f>
        <v>4.79</v>
      </c>
      <c r="N336" s="124">
        <f t="shared" si="9"/>
        <v>5901.28</v>
      </c>
      <c r="O336" s="124" cm="1">
        <f t="array" ref="O336">E336/_xlfn.XLOOKUP(1,('Case Pack'!$A$4:$A$962=C336)*('Case Pack'!$L$4:$L$962&gt;0)*('Case Pack'!$L$4:$L$962&lt;=A336),'Case Pack'!$D$4:$D$962,"未找到箱规")</f>
        <v>88</v>
      </c>
      <c r="P336" s="124" t="str">
        <f>IF(COUNTIF('PO Check'!A:A,D336)&gt;0,"Yes","No")</f>
        <v>Yes</v>
      </c>
      <c r="Q336" s="124" t="str" cm="1">
        <f t="array" ref="Q336">_xlfn.XLOOKUP(1,('Case Pack'!$A$4:$A$962=C336)*('Case Pack'!$L$4:$L$962&gt;0)*('Case Pack'!$L$4:$L$962&lt;=A336),'Case Pack'!$G$4:$G$962,"未找到箱型")</f>
        <v>C</v>
      </c>
      <c r="R336" s="124">
        <f>ROUND(IFERROR(VLOOKUP(Q336,'Case Type'!A:H,8,0),0)*O336,2)</f>
        <v>13.84</v>
      </c>
    </row>
    <row r="337" customFormat="1" spans="1:18">
      <c r="A337" s="113">
        <v>46155</v>
      </c>
      <c r="B337" s="91" t="str">
        <f>_xlfn.XLOOKUP(C337,'Product List'!B:B,'Product List'!I:I)</f>
        <v>MINI/MOE SMALL ANIMAL BEDDING NESTING COTTON BALLS LAV 23LT</v>
      </c>
      <c r="C337" s="124" t="s">
        <v>86</v>
      </c>
      <c r="D337" s="108" t="s">
        <v>342</v>
      </c>
      <c r="E337" s="125">
        <v>1248</v>
      </c>
      <c r="F337" s="125">
        <v>3.26</v>
      </c>
      <c r="G337" s="125">
        <f t="shared" si="8"/>
        <v>4068.48</v>
      </c>
      <c r="H337" s="86" t="s">
        <v>306</v>
      </c>
      <c r="I337" s="86" t="s">
        <v>92</v>
      </c>
      <c r="J337" s="124" t="s">
        <v>307</v>
      </c>
      <c r="K337" s="126">
        <v>46231</v>
      </c>
      <c r="L337" s="251">
        <v>46227</v>
      </c>
      <c r="M337" s="127">
        <f>_xlfn.XLOOKUP(C337,'Product List'!B:B,'Product List'!R:R)</f>
        <v>1.64</v>
      </c>
      <c r="N337" s="124">
        <f t="shared" si="9"/>
        <v>2046.72</v>
      </c>
      <c r="O337" s="124" cm="1">
        <f t="array" ref="O337">E337/_xlfn.XLOOKUP(1,('Case Pack'!$A$4:$A$962=C337)*('Case Pack'!$L$4:$L$962&gt;0)*('Case Pack'!$L$4:$L$962&lt;=A337),'Case Pack'!$D$4:$D$962,"未找到箱规")</f>
        <v>39</v>
      </c>
      <c r="P337" s="124" t="str">
        <f>IF(COUNTIF('PO Check'!A:A,D337)&gt;0,"Yes","No")</f>
        <v>Yes</v>
      </c>
      <c r="Q337" s="124" t="str" cm="1">
        <f t="array" ref="Q337">_xlfn.XLOOKUP(1,('Case Pack'!$A$4:$A$962=C337)*('Case Pack'!$L$4:$L$962&gt;0)*('Case Pack'!$L$4:$L$962&lt;=A337),'Case Pack'!$G$4:$G$962,"未找到箱型")</f>
        <v>A</v>
      </c>
      <c r="R337" s="124">
        <f>ROUND(IFERROR(VLOOKUP(Q337,'Case Type'!A:H,8,0),0)*O337,2)</f>
        <v>4.29</v>
      </c>
    </row>
    <row r="338" customFormat="1" spans="1:18">
      <c r="A338" s="113">
        <v>46155</v>
      </c>
      <c r="B338" s="91" t="str">
        <f>_xlfn.XLOOKUP(C338,'Product List'!B:B,'Product List'!I:I)</f>
        <v>MINI/MOE SMALL ANIMAL BEDDING PAPER PEBBLES OCEAN BLUE 23LT</v>
      </c>
      <c r="C338" s="124" t="s">
        <v>80</v>
      </c>
      <c r="D338" s="108" t="s">
        <v>342</v>
      </c>
      <c r="E338" s="125">
        <v>1224</v>
      </c>
      <c r="F338" s="125">
        <v>5.71</v>
      </c>
      <c r="G338" s="125">
        <f t="shared" si="8"/>
        <v>6989.04</v>
      </c>
      <c r="H338" s="86" t="s">
        <v>306</v>
      </c>
      <c r="I338" s="86" t="s">
        <v>92</v>
      </c>
      <c r="J338" s="124" t="s">
        <v>307</v>
      </c>
      <c r="K338" s="126">
        <v>46231</v>
      </c>
      <c r="L338" s="251">
        <v>46227</v>
      </c>
      <c r="M338" s="127">
        <f>_xlfn.XLOOKUP(C338,'Product List'!B:B,'Product List'!R:R)</f>
        <v>2.84</v>
      </c>
      <c r="N338" s="124">
        <f t="shared" si="9"/>
        <v>3476.16</v>
      </c>
      <c r="O338" s="124" cm="1">
        <f t="array" ref="O338">E338/_xlfn.XLOOKUP(1,('Case Pack'!$A$4:$A$962=C338)*('Case Pack'!$L$4:$L$962&gt;0)*('Case Pack'!$L$4:$L$962&lt;=A338),'Case Pack'!$D$4:$D$962,"未找到箱规")</f>
        <v>102</v>
      </c>
      <c r="P338" s="124" t="str">
        <f>IF(COUNTIF('PO Check'!A:A,D338)&gt;0,"Yes","No")</f>
        <v>Yes</v>
      </c>
      <c r="Q338" s="124" t="str" cm="1">
        <f t="array" ref="Q338">_xlfn.XLOOKUP(1,('Case Pack'!$A$4:$A$962=C338)*('Case Pack'!$L$4:$L$962&gt;0)*('Case Pack'!$L$4:$L$962&lt;=A338),'Case Pack'!$G$4:$G$962,"未找到箱型")</f>
        <v>B</v>
      </c>
      <c r="R338" s="124">
        <f>ROUND(IFERROR(VLOOKUP(Q338,'Case Type'!A:H,8,0),0)*O338,2)</f>
        <v>7.49</v>
      </c>
    </row>
    <row r="339" customFormat="1" spans="1:18">
      <c r="A339" s="113">
        <v>46155</v>
      </c>
      <c r="B339" s="91" t="str">
        <f>_xlfn.XLOOKUP(C339,'Product List'!B:B,'Product List'!I:I)</f>
        <v>MINI/MOE SMALL ANIMAL BEDDING PAPER TWISTS</v>
      </c>
      <c r="C339" s="124" t="s">
        <v>69</v>
      </c>
      <c r="D339" s="108" t="s">
        <v>343</v>
      </c>
      <c r="E339" s="125">
        <v>480</v>
      </c>
      <c r="F339" s="125">
        <v>3.8</v>
      </c>
      <c r="G339" s="125">
        <f t="shared" si="8"/>
        <v>1824</v>
      </c>
      <c r="H339" s="86" t="s">
        <v>306</v>
      </c>
      <c r="I339" s="86" t="s">
        <v>92</v>
      </c>
      <c r="J339" s="124" t="s">
        <v>313</v>
      </c>
      <c r="K339" s="126">
        <v>46233</v>
      </c>
      <c r="L339" s="251">
        <v>46227</v>
      </c>
      <c r="M339" s="127">
        <f>_xlfn.XLOOKUP(C339,'Product List'!B:B,'Product List'!R:R)</f>
        <v>1.98</v>
      </c>
      <c r="N339" s="124">
        <f t="shared" si="9"/>
        <v>950.4</v>
      </c>
      <c r="O339" s="124" cm="1">
        <f t="array" ref="O339">E339/_xlfn.XLOOKUP(1,('Case Pack'!$A$4:$A$962=C339)*('Case Pack'!$L$4:$L$962&gt;0)*('Case Pack'!$L$4:$L$962&lt;=A339),'Case Pack'!$D$4:$D$962,"未找到箱规")</f>
        <v>16</v>
      </c>
      <c r="P339" s="124" t="str">
        <f>IF(COUNTIF('PO Check'!A:A,D339)&gt;0,"Yes","No")</f>
        <v>Yes</v>
      </c>
      <c r="Q339" s="124" t="str" cm="1">
        <f t="array" ref="Q339">_xlfn.XLOOKUP(1,('Case Pack'!$A$4:$A$962=C339)*('Case Pack'!$L$4:$L$962&gt;0)*('Case Pack'!$L$4:$L$962&lt;=A339),'Case Pack'!$G$4:$G$962,"未找到箱型")</f>
        <v>A</v>
      </c>
      <c r="R339" s="124">
        <f>ROUND(IFERROR(VLOOKUP(Q339,'Case Type'!A:H,8,0),0)*O339,2)</f>
        <v>1.76</v>
      </c>
    </row>
    <row r="340" customFormat="1" spans="1:18">
      <c r="A340" s="113">
        <v>46155</v>
      </c>
      <c r="B340" s="91" t="str">
        <f>_xlfn.XLOOKUP(C340,'Product List'!B:B,'Product List'!I:I)</f>
        <v>MINI/MOE SMALL ANIMAL BEDDING CRINKLE PAPER BROWN 1EA</v>
      </c>
      <c r="C340" s="124" t="s">
        <v>30</v>
      </c>
      <c r="D340" s="108" t="s">
        <v>343</v>
      </c>
      <c r="E340" s="125">
        <v>180</v>
      </c>
      <c r="F340" s="125">
        <v>3.89</v>
      </c>
      <c r="G340" s="125">
        <f t="shared" si="8"/>
        <v>700.2</v>
      </c>
      <c r="H340" s="86" t="s">
        <v>306</v>
      </c>
      <c r="I340" s="86" t="s">
        <v>92</v>
      </c>
      <c r="J340" s="124" t="s">
        <v>313</v>
      </c>
      <c r="K340" s="126">
        <v>46233</v>
      </c>
      <c r="L340" s="251">
        <v>46227</v>
      </c>
      <c r="M340" s="127">
        <f>_xlfn.XLOOKUP(C340,'Product List'!B:B,'Product List'!R:R)</f>
        <v>1.99</v>
      </c>
      <c r="N340" s="124">
        <f t="shared" si="9"/>
        <v>358.2</v>
      </c>
      <c r="O340" s="124" cm="1">
        <f t="array" ref="O340">E340/_xlfn.XLOOKUP(1,('Case Pack'!$A$4:$A$962=C340)*('Case Pack'!$L$4:$L$962&gt;0)*('Case Pack'!$L$4:$L$962&lt;=A340),'Case Pack'!$D$4:$D$962,"未找到箱规")</f>
        <v>6</v>
      </c>
      <c r="P340" s="124" t="str">
        <f>IF(COUNTIF('PO Check'!A:A,D340)&gt;0,"Yes","No")</f>
        <v>Yes</v>
      </c>
      <c r="Q340" s="124" t="str" cm="1">
        <f t="array" ref="Q340">_xlfn.XLOOKUP(1,('Case Pack'!$A$4:$A$962=C340)*('Case Pack'!$L$4:$L$962&gt;0)*('Case Pack'!$L$4:$L$962&lt;=A340),'Case Pack'!$G$4:$G$962,"未找到箱型")</f>
        <v>A</v>
      </c>
      <c r="R340" s="124">
        <f>ROUND(IFERROR(VLOOKUP(Q340,'Case Type'!A:H,8,0),0)*O340,2)</f>
        <v>0.66</v>
      </c>
    </row>
    <row r="341" customFormat="1" spans="1:18">
      <c r="A341" s="113">
        <v>46155</v>
      </c>
      <c r="B341" s="91" t="str">
        <f>_xlfn.XLOOKUP(C341,'Product List'!B:B,'Product List'!I:I)</f>
        <v>MINI/MOE SMALL ANIMAL BEDDING ROLLED PAPER FOREST MIX 1EA</v>
      </c>
      <c r="C341" s="124" t="s">
        <v>32</v>
      </c>
      <c r="D341" s="108" t="s">
        <v>343</v>
      </c>
      <c r="E341" s="125">
        <v>480</v>
      </c>
      <c r="F341" s="125">
        <v>4.75</v>
      </c>
      <c r="G341" s="125">
        <f t="shared" si="8"/>
        <v>2280</v>
      </c>
      <c r="H341" s="86" t="s">
        <v>306</v>
      </c>
      <c r="I341" s="86" t="s">
        <v>92</v>
      </c>
      <c r="J341" s="124" t="s">
        <v>313</v>
      </c>
      <c r="K341" s="126">
        <v>46233</v>
      </c>
      <c r="L341" s="251">
        <v>46227</v>
      </c>
      <c r="M341" s="127">
        <f>_xlfn.XLOOKUP(C341,'Product List'!B:B,'Product List'!R:R)</f>
        <v>2.47</v>
      </c>
      <c r="N341" s="124">
        <f t="shared" si="9"/>
        <v>1185.6</v>
      </c>
      <c r="O341" s="124" cm="1">
        <f t="array" ref="O341">E341/_xlfn.XLOOKUP(1,('Case Pack'!$A$4:$A$962=C341)*('Case Pack'!$L$4:$L$962&gt;0)*('Case Pack'!$L$4:$L$962&lt;=A341),'Case Pack'!$D$4:$D$962,"未找到箱规")</f>
        <v>16</v>
      </c>
      <c r="P341" s="124" t="str">
        <f>IF(COUNTIF('PO Check'!A:A,D341)&gt;0,"Yes","No")</f>
        <v>Yes</v>
      </c>
      <c r="Q341" s="124" t="str" cm="1">
        <f t="array" ref="Q341">_xlfn.XLOOKUP(1,('Case Pack'!$A$4:$A$962=C341)*('Case Pack'!$L$4:$L$962&gt;0)*('Case Pack'!$L$4:$L$962&lt;=A341),'Case Pack'!$G$4:$G$962,"未找到箱型")</f>
        <v>A</v>
      </c>
      <c r="R341" s="124">
        <f>ROUND(IFERROR(VLOOKUP(Q341,'Case Type'!A:H,8,0),0)*O341,2)</f>
        <v>1.76</v>
      </c>
    </row>
    <row r="342" customFormat="1" spans="1:18">
      <c r="A342" s="113">
        <v>46155</v>
      </c>
      <c r="B342" s="91" t="str">
        <f>_xlfn.XLOOKUP(C342,'Product List'!B:B,'Product List'!I:I)</f>
        <v>MINI/MOE SMALL ANIMAL BEDDING PAPER FLAKE LAV FIELD 50LT</v>
      </c>
      <c r="C342" s="124" t="s">
        <v>87</v>
      </c>
      <c r="D342" s="108" t="s">
        <v>343</v>
      </c>
      <c r="E342" s="125">
        <v>462</v>
      </c>
      <c r="F342" s="125">
        <v>6.79</v>
      </c>
      <c r="G342" s="125">
        <f t="shared" si="8"/>
        <v>3136.98</v>
      </c>
      <c r="H342" s="86" t="s">
        <v>306</v>
      </c>
      <c r="I342" s="86" t="s">
        <v>92</v>
      </c>
      <c r="J342" s="124" t="s">
        <v>313</v>
      </c>
      <c r="K342" s="126">
        <v>46233</v>
      </c>
      <c r="L342" s="251">
        <v>46227</v>
      </c>
      <c r="M342" s="127">
        <f>_xlfn.XLOOKUP(C342,'Product List'!B:B,'Product List'!R:R)</f>
        <v>4.79</v>
      </c>
      <c r="N342" s="124">
        <f t="shared" si="9"/>
        <v>2212.98</v>
      </c>
      <c r="O342" s="124" cm="1">
        <f t="array" ref="O342">E342/_xlfn.XLOOKUP(1,('Case Pack'!$A$4:$A$962=C342)*('Case Pack'!$L$4:$L$962&gt;0)*('Case Pack'!$L$4:$L$962&lt;=A342),'Case Pack'!$D$4:$D$962,"未找到箱规")</f>
        <v>33</v>
      </c>
      <c r="P342" s="124" t="str">
        <f>IF(COUNTIF('PO Check'!A:A,D342)&gt;0,"Yes","No")</f>
        <v>Yes</v>
      </c>
      <c r="Q342" s="124" t="str" cm="1">
        <f t="array" ref="Q342">_xlfn.XLOOKUP(1,('Case Pack'!$A$4:$A$962=C342)*('Case Pack'!$L$4:$L$962&gt;0)*('Case Pack'!$L$4:$L$962&lt;=A342),'Case Pack'!$G$4:$G$962,"未找到箱型")</f>
        <v>C</v>
      </c>
      <c r="R342" s="124">
        <f>ROUND(IFERROR(VLOOKUP(Q342,'Case Type'!A:H,8,0),0)*O342,2)</f>
        <v>5.19</v>
      </c>
    </row>
    <row r="343" customFormat="1" spans="1:18">
      <c r="A343" s="113">
        <v>46155</v>
      </c>
      <c r="B343" s="91" t="str">
        <f>_xlfn.XLOOKUP(C343,'Product List'!B:B,'Product List'!I:I)</f>
        <v>MINI/MOE SMALL ANIMAL BEDDING PAPER PEBBLES OCEAN BLUE 23LT</v>
      </c>
      <c r="C343" s="124" t="s">
        <v>80</v>
      </c>
      <c r="D343" s="108" t="s">
        <v>343</v>
      </c>
      <c r="E343" s="125">
        <v>456</v>
      </c>
      <c r="F343" s="125">
        <v>5.71</v>
      </c>
      <c r="G343" s="125">
        <f t="shared" si="8"/>
        <v>2603.76</v>
      </c>
      <c r="H343" s="86" t="s">
        <v>306</v>
      </c>
      <c r="I343" s="86" t="s">
        <v>92</v>
      </c>
      <c r="J343" s="124" t="s">
        <v>313</v>
      </c>
      <c r="K343" s="126">
        <v>46233</v>
      </c>
      <c r="L343" s="251">
        <v>46227</v>
      </c>
      <c r="M343" s="127">
        <f>_xlfn.XLOOKUP(C343,'Product List'!B:B,'Product List'!R:R)</f>
        <v>2.84</v>
      </c>
      <c r="N343" s="124">
        <f t="shared" si="9"/>
        <v>1295.04</v>
      </c>
      <c r="O343" s="124" cm="1">
        <f t="array" ref="O343">E343/_xlfn.XLOOKUP(1,('Case Pack'!$A$4:$A$962=C343)*('Case Pack'!$L$4:$L$962&gt;0)*('Case Pack'!$L$4:$L$962&lt;=A343),'Case Pack'!$D$4:$D$962,"未找到箱规")</f>
        <v>38</v>
      </c>
      <c r="P343" s="124" t="str">
        <f>IF(COUNTIF('PO Check'!A:A,D343)&gt;0,"Yes","No")</f>
        <v>Yes</v>
      </c>
      <c r="Q343" s="124" t="str" cm="1">
        <f t="array" ref="Q343">_xlfn.XLOOKUP(1,('Case Pack'!$A$4:$A$962=C343)*('Case Pack'!$L$4:$L$962&gt;0)*('Case Pack'!$L$4:$L$962&lt;=A343),'Case Pack'!$G$4:$G$962,"未找到箱型")</f>
        <v>B</v>
      </c>
      <c r="R343" s="124">
        <f>ROUND(IFERROR(VLOOKUP(Q343,'Case Type'!A:H,8,0),0)*O343,2)</f>
        <v>2.79</v>
      </c>
    </row>
    <row r="344" customFormat="1" spans="1:18">
      <c r="A344" s="113">
        <v>46157</v>
      </c>
      <c r="B344" s="91" t="str">
        <f>_xlfn.XLOOKUP(C344,'Product List'!B:B,'Product List'!I:I)</f>
        <v>MINI/MOE BENDABLE BIRCHWOOD FENCE</v>
      </c>
      <c r="C344" s="124" t="s">
        <v>62</v>
      </c>
      <c r="D344" s="124">
        <v>31173385</v>
      </c>
      <c r="E344" s="125">
        <v>64</v>
      </c>
      <c r="F344" s="125">
        <v>5.01</v>
      </c>
      <c r="G344" s="125">
        <f t="shared" si="8"/>
        <v>320.64</v>
      </c>
      <c r="H344" s="86" t="s">
        <v>298</v>
      </c>
      <c r="I344" s="86" t="s">
        <v>92</v>
      </c>
      <c r="J344" s="124" t="s">
        <v>322</v>
      </c>
      <c r="K344" s="126">
        <v>46198</v>
      </c>
      <c r="L344" s="251">
        <v>46192</v>
      </c>
      <c r="M344" s="127">
        <f>_xlfn.XLOOKUP(C344,'Product List'!B:B,'Product List'!R:R)</f>
        <v>3.4</v>
      </c>
      <c r="N344" s="124">
        <f t="shared" si="9"/>
        <v>217.6</v>
      </c>
      <c r="O344" s="124" cm="1">
        <f t="array" ref="O344">E344/_xlfn.XLOOKUP(1,('Case Pack'!$A$4:$A$962=C344)*('Case Pack'!$L$4:$L$962&gt;0)*('Case Pack'!$L$4:$L$962&lt;=A344),'Case Pack'!$D$4:$D$962,"未找到箱规")</f>
        <v>2</v>
      </c>
      <c r="P344" s="124" t="str">
        <f>IF(COUNTIF('PO Check'!A:A,D344)&gt;0,"Yes","No")</f>
        <v>Yes</v>
      </c>
      <c r="Q344" s="124" t="str" cm="1">
        <f t="array" ref="Q344">_xlfn.XLOOKUP(1,('Case Pack'!$A$4:$A$962=C344)*('Case Pack'!$L$4:$L$962&gt;0)*('Case Pack'!$L$4:$L$962&lt;=A344),'Case Pack'!$G$4:$G$962,"未找到箱型")</f>
        <v>F</v>
      </c>
      <c r="R344" s="124">
        <f>ROUND(IFERROR(VLOOKUP(Q344,'Case Type'!A:H,8,0),0)*O344,2)</f>
        <v>0.07</v>
      </c>
    </row>
    <row r="345" customFormat="1" spans="1:18">
      <c r="A345" s="113">
        <v>46157</v>
      </c>
      <c r="B345" s="91" t="str">
        <f>_xlfn.XLOOKUP(C345,'Product List'!B:B,'Product List'!I:I)</f>
        <v>MINI/MOE SILENT CRSTL RUN WHEEL LG 8.5-White</v>
      </c>
      <c r="C345" s="124" t="s">
        <v>29</v>
      </c>
      <c r="D345" s="125">
        <v>31173385</v>
      </c>
      <c r="E345" s="125">
        <v>24</v>
      </c>
      <c r="F345" s="125">
        <v>13.22</v>
      </c>
      <c r="G345" s="125">
        <f t="shared" si="8"/>
        <v>317.28</v>
      </c>
      <c r="H345" s="86" t="s">
        <v>298</v>
      </c>
      <c r="I345" s="86" t="s">
        <v>92</v>
      </c>
      <c r="J345" s="124" t="s">
        <v>322</v>
      </c>
      <c r="K345" s="126">
        <v>46198</v>
      </c>
      <c r="L345" s="251">
        <v>46192</v>
      </c>
      <c r="M345" s="127">
        <f>_xlfn.XLOOKUP(C345,'Product List'!B:B,'Product List'!R:R)</f>
        <v>6.27</v>
      </c>
      <c r="N345" s="124">
        <f t="shared" si="9"/>
        <v>150.48</v>
      </c>
      <c r="O345" s="124" cm="1">
        <f t="array" ref="O345">E345/_xlfn.XLOOKUP(1,('Case Pack'!$A$4:$A$962=C345)*('Case Pack'!$L$4:$L$962&gt;0)*('Case Pack'!$L$4:$L$962&lt;=A345),'Case Pack'!$D$4:$D$962,"未找到箱规")</f>
        <v>3</v>
      </c>
      <c r="P345" s="124" t="str">
        <f>IF(COUNTIF('PO Check'!A:A,D345)&gt;0,"Yes","No")</f>
        <v>Yes</v>
      </c>
      <c r="Q345" s="124" t="str" cm="1">
        <f t="array" ref="Q345">_xlfn.XLOOKUP(1,('Case Pack'!$A$4:$A$962=C345)*('Case Pack'!$L$4:$L$962&gt;0)*('Case Pack'!$L$4:$L$962&lt;=A345),'Case Pack'!$G$4:$G$962,"未找到箱型")</f>
        <v>C</v>
      </c>
      <c r="R345" s="124">
        <f>ROUND(IFERROR(VLOOKUP(Q345,'Case Type'!A:H,8,0),0)*O345,2)</f>
        <v>0.47</v>
      </c>
    </row>
    <row r="346" customFormat="1" spans="1:18">
      <c r="A346" s="113">
        <v>46157</v>
      </c>
      <c r="B346" s="91" t="str">
        <f>_xlfn.XLOOKUP(C346,'Product List'!B:B,'Product List'!I:I)</f>
        <v>MINI/MOE RUFFLE BOWL</v>
      </c>
      <c r="C346" s="124" t="s">
        <v>78</v>
      </c>
      <c r="D346" s="125">
        <v>31173385</v>
      </c>
      <c r="E346" s="125">
        <v>96</v>
      </c>
      <c r="F346" s="125">
        <v>2.35</v>
      </c>
      <c r="G346" s="125">
        <f t="shared" si="8"/>
        <v>225.6</v>
      </c>
      <c r="H346" s="86" t="s">
        <v>298</v>
      </c>
      <c r="I346" s="86" t="s">
        <v>92</v>
      </c>
      <c r="J346" s="124" t="s">
        <v>322</v>
      </c>
      <c r="K346" s="126">
        <v>46198</v>
      </c>
      <c r="L346" s="251">
        <v>46192</v>
      </c>
      <c r="M346" s="127">
        <f>_xlfn.XLOOKUP(C346,'Product List'!B:B,'Product List'!R:R)</f>
        <v>1.34</v>
      </c>
      <c r="N346" s="124">
        <f t="shared" si="9"/>
        <v>128.64</v>
      </c>
      <c r="O346" s="124" cm="1">
        <f t="array" ref="O346">E346/_xlfn.XLOOKUP(1,('Case Pack'!$A$4:$A$962=C346)*('Case Pack'!$L$4:$L$962&gt;0)*('Case Pack'!$L$4:$L$962&lt;=A346),'Case Pack'!$D$4:$D$962,"未找到箱规")</f>
        <v>2</v>
      </c>
      <c r="P346" s="124" t="str">
        <f>IF(COUNTIF('PO Check'!A:A,D346)&gt;0,"Yes","No")</f>
        <v>Yes</v>
      </c>
      <c r="Q346" s="124" t="str" cm="1">
        <f t="array" ref="Q346">_xlfn.XLOOKUP(1,('Case Pack'!$A$4:$A$962=C346)*('Case Pack'!$L$4:$L$962&gt;0)*('Case Pack'!$L$4:$L$962&lt;=A346),'Case Pack'!$G$4:$G$962,"未找到箱型")</f>
        <v>B</v>
      </c>
      <c r="R346" s="124">
        <f>ROUND(IFERROR(VLOOKUP(Q346,'Case Type'!A:H,8,0),0)*O346,2)</f>
        <v>0.15</v>
      </c>
    </row>
    <row r="347" customFormat="1" spans="1:18">
      <c r="A347" s="113">
        <v>46157</v>
      </c>
      <c r="B347" s="91" t="str">
        <f>_xlfn.XLOOKUP(C347,'Product List'!B:B,'Product List'!I:I)</f>
        <v>MMO-CLOUD WATER BOTTLE</v>
      </c>
      <c r="C347" s="124" t="s">
        <v>77</v>
      </c>
      <c r="D347" s="125">
        <v>31173385</v>
      </c>
      <c r="E347" s="125">
        <v>200</v>
      </c>
      <c r="F347" s="125">
        <v>1.32</v>
      </c>
      <c r="G347" s="125">
        <f t="shared" si="8"/>
        <v>264</v>
      </c>
      <c r="H347" s="86" t="s">
        <v>298</v>
      </c>
      <c r="I347" s="86" t="s">
        <v>92</v>
      </c>
      <c r="J347" s="124" t="s">
        <v>322</v>
      </c>
      <c r="K347" s="126">
        <v>46198</v>
      </c>
      <c r="L347" s="251">
        <v>46192</v>
      </c>
      <c r="M347" s="127">
        <f>_xlfn.XLOOKUP(C347,'Product List'!B:B,'Product List'!R:R)</f>
        <v>0.62</v>
      </c>
      <c r="N347" s="124">
        <f t="shared" si="9"/>
        <v>124</v>
      </c>
      <c r="O347" s="124" cm="1">
        <f t="array" ref="O347">E347/_xlfn.XLOOKUP(1,('Case Pack'!$A$4:$A$962=C347)*('Case Pack'!$L$4:$L$962&gt;0)*('Case Pack'!$L$4:$L$962&lt;=A347),'Case Pack'!$D$4:$D$962,"未找到箱规")</f>
        <v>4</v>
      </c>
      <c r="P347" s="124" t="str">
        <f>IF(COUNTIF('PO Check'!A:A,D347)&gt;0,"Yes","No")</f>
        <v>Yes</v>
      </c>
      <c r="Q347" s="124" t="str" cm="1">
        <f t="array" ref="Q347">_xlfn.XLOOKUP(1,('Case Pack'!$A$4:$A$962=C347)*('Case Pack'!$L$4:$L$962&gt;0)*('Case Pack'!$L$4:$L$962&lt;=A347),'Case Pack'!$G$4:$G$962,"未找到箱型")</f>
        <v>A</v>
      </c>
      <c r="R347" s="124">
        <f>ROUND(IFERROR(VLOOKUP(Q347,'Case Type'!A:H,8,0),0)*O347,2)</f>
        <v>0.44</v>
      </c>
    </row>
    <row r="348" customFormat="1" spans="1:18">
      <c r="A348" s="113">
        <v>46157</v>
      </c>
      <c r="B348" s="91" t="str">
        <f>_xlfn.XLOOKUP(C348,'Product List'!B:B,'Product List'!I:I)</f>
        <v>MMO-COTTON NESTING BALLS</v>
      </c>
      <c r="C348" s="86" t="s">
        <v>84</v>
      </c>
      <c r="D348" s="125">
        <v>31173385</v>
      </c>
      <c r="E348" s="125">
        <v>32</v>
      </c>
      <c r="F348" s="125">
        <v>3.37</v>
      </c>
      <c r="G348" s="125">
        <f t="shared" si="8"/>
        <v>107.84</v>
      </c>
      <c r="H348" s="86" t="s">
        <v>298</v>
      </c>
      <c r="I348" s="86" t="s">
        <v>92</v>
      </c>
      <c r="J348" s="124" t="s">
        <v>322</v>
      </c>
      <c r="K348" s="126">
        <v>46198</v>
      </c>
      <c r="L348" s="251">
        <v>46192</v>
      </c>
      <c r="M348" s="127">
        <f>_xlfn.XLOOKUP(C348,'Product List'!B:B,'Product List'!R:R)</f>
        <v>1.64</v>
      </c>
      <c r="N348" s="124">
        <f t="shared" si="9"/>
        <v>52.48</v>
      </c>
      <c r="O348" s="124" cm="1">
        <f t="array" ref="O348">E348/_xlfn.XLOOKUP(1,('Case Pack'!$A$4:$A$962=C348)*('Case Pack'!$L$4:$L$962&gt;0)*('Case Pack'!$L$4:$L$962&lt;=A348),'Case Pack'!$D$4:$D$962,"未找到箱规")</f>
        <v>1</v>
      </c>
      <c r="P348" s="124" t="str">
        <f>IF(COUNTIF('PO Check'!A:A,D348)&gt;0,"Yes","No")</f>
        <v>Yes</v>
      </c>
      <c r="Q348" s="124" t="str" cm="1">
        <f t="array" ref="Q348">_xlfn.XLOOKUP(1,('Case Pack'!$A$4:$A$962=C348)*('Case Pack'!$L$4:$L$962&gt;0)*('Case Pack'!$L$4:$L$962&lt;=A348),'Case Pack'!$G$4:$G$962,"未找到箱型")</f>
        <v>A</v>
      </c>
      <c r="R348" s="124">
        <f>ROUND(IFERROR(VLOOKUP(Q348,'Case Type'!A:H,8,0),0)*O348,2)</f>
        <v>0.11</v>
      </c>
    </row>
    <row r="349" customFormat="1" spans="1:18">
      <c r="A349" s="113">
        <v>46157</v>
      </c>
      <c r="B349" s="91" t="str">
        <f>_xlfn.XLOOKUP(C349,'Product List'!B:B,'Product List'!I:I)</f>
        <v>MINI/MOE TV VIEWING CAGE</v>
      </c>
      <c r="C349" s="124" t="s">
        <v>50</v>
      </c>
      <c r="D349" s="125">
        <v>31173385</v>
      </c>
      <c r="E349" s="125">
        <v>1</v>
      </c>
      <c r="F349" s="125">
        <v>48.49</v>
      </c>
      <c r="G349" s="125">
        <f t="shared" si="8"/>
        <v>48.49</v>
      </c>
      <c r="H349" s="86" t="s">
        <v>298</v>
      </c>
      <c r="I349" s="86" t="s">
        <v>92</v>
      </c>
      <c r="J349" s="124" t="s">
        <v>322</v>
      </c>
      <c r="K349" s="126">
        <v>46198</v>
      </c>
      <c r="L349" s="251">
        <v>46192</v>
      </c>
      <c r="M349" s="127">
        <f>_xlfn.XLOOKUP(C349,'Product List'!B:B,'Product List'!R:R)</f>
        <v>24.09</v>
      </c>
      <c r="N349" s="124">
        <f t="shared" si="9"/>
        <v>24.09</v>
      </c>
      <c r="O349" s="124" cm="1">
        <f t="array" ref="O349">E349/_xlfn.XLOOKUP(1,('Case Pack'!$A$4:$A$962=C349)*('Case Pack'!$L$4:$L$962&gt;0)*('Case Pack'!$L$4:$L$962&lt;=A349),'Case Pack'!$D$4:$D$962,"未找到箱规")</f>
        <v>1</v>
      </c>
      <c r="P349" s="124" t="str">
        <f>IF(COUNTIF('PO Check'!A:A,D349)&gt;0,"Yes","No")</f>
        <v>Yes</v>
      </c>
      <c r="Q349" s="124" t="str" cm="1">
        <f t="array" ref="Q349">_xlfn.XLOOKUP(1,('Case Pack'!$A$4:$A$962=C349)*('Case Pack'!$L$4:$L$962&gt;0)*('Case Pack'!$L$4:$L$962&lt;=A349),'Case Pack'!$G$4:$G$962,"未找到箱型")</f>
        <v>S1</v>
      </c>
      <c r="R349" s="124">
        <f>ROUND(IFERROR(VLOOKUP(Q349,'Case Type'!A:H,8,0),0)*O349,2)</f>
        <v>0.07</v>
      </c>
    </row>
    <row r="350" customFormat="1" spans="1:18">
      <c r="A350" s="113">
        <v>46157</v>
      </c>
      <c r="B350" s="91" t="str">
        <f>_xlfn.XLOOKUP(C350,'Product List'!B:B,'Product List'!I:I)</f>
        <v>MMO-BUBBLE WATER BOTTLE</v>
      </c>
      <c r="C350" s="124" t="s">
        <v>67</v>
      </c>
      <c r="D350" s="125">
        <v>31173385</v>
      </c>
      <c r="E350" s="125">
        <v>168</v>
      </c>
      <c r="F350" s="125">
        <v>4.35</v>
      </c>
      <c r="G350" s="125">
        <f t="shared" si="8"/>
        <v>730.8</v>
      </c>
      <c r="H350" s="86" t="s">
        <v>298</v>
      </c>
      <c r="I350" s="86" t="s">
        <v>92</v>
      </c>
      <c r="J350" s="124" t="s">
        <v>322</v>
      </c>
      <c r="K350" s="126">
        <v>46198</v>
      </c>
      <c r="L350" s="251">
        <v>46192</v>
      </c>
      <c r="M350" s="127">
        <f>_xlfn.XLOOKUP(C350,'Product List'!B:B,'Product List'!R:R)</f>
        <v>3.1</v>
      </c>
      <c r="N350" s="124">
        <f t="shared" si="9"/>
        <v>520.8</v>
      </c>
      <c r="O350" s="124" cm="1">
        <f t="array" ref="O350">E350/_xlfn.XLOOKUP(1,('Case Pack'!$A$4:$A$962=C350)*('Case Pack'!$L$4:$L$962&gt;0)*('Case Pack'!$L$4:$L$962&lt;=A350),'Case Pack'!$D$4:$D$962,"未找到箱规")</f>
        <v>4</v>
      </c>
      <c r="P350" s="124" t="str">
        <f>IF(COUNTIF('PO Check'!A:A,D350)&gt;0,"Yes","No")</f>
        <v>Yes</v>
      </c>
      <c r="Q350" s="124" t="str" cm="1">
        <f t="array" ref="Q350">_xlfn.XLOOKUP(1,('Case Pack'!$A$4:$A$962=C350)*('Case Pack'!$L$4:$L$962&gt;0)*('Case Pack'!$L$4:$L$962&lt;=A350),'Case Pack'!$G$4:$G$962,"未找到箱型")</f>
        <v>C</v>
      </c>
      <c r="R350" s="124">
        <f>ROUND(IFERROR(VLOOKUP(Q350,'Case Type'!A:H,8,0),0)*O350,2)</f>
        <v>0.63</v>
      </c>
    </row>
    <row r="351" customFormat="1" spans="1:18">
      <c r="A351" s="113">
        <v>46157</v>
      </c>
      <c r="B351" s="91" t="str">
        <f>_xlfn.XLOOKUP(C351,'Product List'!B:B,'Product List'!I:I)</f>
        <v>MMO-SHELL PEARL HAMSTER CHEW</v>
      </c>
      <c r="C351" s="124" t="s">
        <v>35</v>
      </c>
      <c r="D351" s="125">
        <v>31173385</v>
      </c>
      <c r="E351" s="125">
        <v>128</v>
      </c>
      <c r="F351" s="125">
        <v>1.61</v>
      </c>
      <c r="G351" s="125">
        <f t="shared" si="8"/>
        <v>206.08</v>
      </c>
      <c r="H351" s="86" t="s">
        <v>298</v>
      </c>
      <c r="I351" s="86" t="s">
        <v>92</v>
      </c>
      <c r="J351" s="124" t="s">
        <v>322</v>
      </c>
      <c r="K351" s="126">
        <v>46198</v>
      </c>
      <c r="L351" s="251">
        <v>46192</v>
      </c>
      <c r="M351" s="127">
        <f>_xlfn.XLOOKUP(C351,'Product List'!B:B,'Product List'!R:R)</f>
        <v>0.96</v>
      </c>
      <c r="N351" s="124">
        <f t="shared" si="9"/>
        <v>122.88</v>
      </c>
      <c r="O351" s="124" cm="1">
        <f t="array" ref="O351">E351/_xlfn.XLOOKUP(1,('Case Pack'!$A$4:$A$962=C351)*('Case Pack'!$L$4:$L$962&gt;0)*('Case Pack'!$L$4:$L$962&lt;=A351),'Case Pack'!$D$4:$D$962,"未找到箱规")</f>
        <v>2</v>
      </c>
      <c r="P351" s="124" t="str">
        <f>IF(COUNTIF('PO Check'!A:A,D351)&gt;0,"Yes","No")</f>
        <v>Yes</v>
      </c>
      <c r="Q351" s="124" t="str" cm="1">
        <f t="array" ref="Q351">_xlfn.XLOOKUP(1,('Case Pack'!$A$4:$A$962=C351)*('Case Pack'!$L$4:$L$962&gt;0)*('Case Pack'!$L$4:$L$962&lt;=A351),'Case Pack'!$G$4:$G$962,"未找到箱型")</f>
        <v>B</v>
      </c>
      <c r="R351" s="124">
        <f>ROUND(IFERROR(VLOOKUP(Q351,'Case Type'!A:H,8,0),0)*O351,2)</f>
        <v>0.15</v>
      </c>
    </row>
    <row r="352" customFormat="1" spans="1:18">
      <c r="A352" s="113">
        <v>46157</v>
      </c>
      <c r="B352" s="91" t="str">
        <f>_xlfn.XLOOKUP(C352,'Product List'!B:B,'Product List'!I:I)</f>
        <v>MMO-GREEN APPLE CHEW</v>
      </c>
      <c r="C352" s="124" t="s">
        <v>33</v>
      </c>
      <c r="D352" s="238">
        <v>31173385</v>
      </c>
      <c r="E352" s="125">
        <v>240</v>
      </c>
      <c r="F352" s="125">
        <v>1.53</v>
      </c>
      <c r="G352" s="125">
        <f t="shared" si="8"/>
        <v>367.2</v>
      </c>
      <c r="H352" s="86" t="s">
        <v>298</v>
      </c>
      <c r="I352" s="86" t="s">
        <v>92</v>
      </c>
      <c r="J352" s="124" t="s">
        <v>322</v>
      </c>
      <c r="K352" s="126">
        <v>46198</v>
      </c>
      <c r="L352" s="251">
        <v>46192</v>
      </c>
      <c r="M352" s="127">
        <f>_xlfn.XLOOKUP(C352,'Product List'!B:B,'Product List'!R:R)</f>
        <v>1.04</v>
      </c>
      <c r="N352" s="124">
        <f t="shared" si="9"/>
        <v>249.6</v>
      </c>
      <c r="O352" s="124" cm="1">
        <f t="array" ref="O352">E352/_xlfn.XLOOKUP(1,('Case Pack'!$A$4:$A$962=C352)*('Case Pack'!$L$4:$L$962&gt;0)*('Case Pack'!$L$4:$L$962&lt;=A352),'Case Pack'!$D$4:$D$962,"未找到箱规")</f>
        <v>5</v>
      </c>
      <c r="P352" s="124" t="str">
        <f>IF(COUNTIF('PO Check'!A:A,D352)&gt;0,"Yes","No")</f>
        <v>Yes</v>
      </c>
      <c r="Q352" s="124" t="str" cm="1">
        <f t="array" ref="Q352">_xlfn.XLOOKUP(1,('Case Pack'!$A$4:$A$962=C352)*('Case Pack'!$L$4:$L$962&gt;0)*('Case Pack'!$L$4:$L$962&lt;=A352),'Case Pack'!$G$4:$G$962,"未找到箱型")</f>
        <v>B</v>
      </c>
      <c r="R352" s="124">
        <f>ROUND(IFERROR(VLOOKUP(Q352,'Case Type'!A:H,8,0),0)*O352,2)</f>
        <v>0.37</v>
      </c>
    </row>
    <row r="353" customFormat="1" spans="1:18">
      <c r="A353" s="113">
        <v>46157</v>
      </c>
      <c r="B353" s="91" t="str">
        <f>_xlfn.XLOOKUP(C353,'Product List'!B:B,'Product List'!I:I)</f>
        <v>MMO-CAMP LUNCH BOX CHEW</v>
      </c>
      <c r="C353" s="124" t="s">
        <v>34</v>
      </c>
      <c r="D353" s="125">
        <v>31173385</v>
      </c>
      <c r="E353" s="125">
        <v>216</v>
      </c>
      <c r="F353" s="125">
        <v>2.48</v>
      </c>
      <c r="G353" s="125">
        <f t="shared" si="8"/>
        <v>535.68</v>
      </c>
      <c r="H353" s="86" t="s">
        <v>298</v>
      </c>
      <c r="I353" s="86" t="s">
        <v>92</v>
      </c>
      <c r="J353" s="124" t="s">
        <v>322</v>
      </c>
      <c r="K353" s="126">
        <v>46198</v>
      </c>
      <c r="L353" s="251">
        <v>46192</v>
      </c>
      <c r="M353" s="127">
        <f>_xlfn.XLOOKUP(C353,'Product List'!B:B,'Product List'!R:R)</f>
        <v>1.59</v>
      </c>
      <c r="N353" s="124">
        <f t="shared" si="9"/>
        <v>343.44</v>
      </c>
      <c r="O353" s="124" cm="1">
        <f t="array" ref="O353">E353/_xlfn.XLOOKUP(1,('Case Pack'!$A$4:$A$962=C353)*('Case Pack'!$L$4:$L$962&gt;0)*('Case Pack'!$L$4:$L$962&lt;=A353),'Case Pack'!$D$4:$D$962,"未找到箱规")</f>
        <v>3</v>
      </c>
      <c r="P353" s="124" t="str">
        <f>IF(COUNTIF('PO Check'!A:A,D353)&gt;0,"Yes","No")</f>
        <v>Yes</v>
      </c>
      <c r="Q353" s="124" t="str" cm="1">
        <f t="array" ref="Q353">_xlfn.XLOOKUP(1,('Case Pack'!$A$4:$A$962=C353)*('Case Pack'!$L$4:$L$962&gt;0)*('Case Pack'!$L$4:$L$962&lt;=A353),'Case Pack'!$G$4:$G$962,"未找到箱型")</f>
        <v>B</v>
      </c>
      <c r="R353" s="124">
        <f>ROUND(IFERROR(VLOOKUP(Q353,'Case Type'!A:H,8,0),0)*O353,2)</f>
        <v>0.22</v>
      </c>
    </row>
    <row r="354" customFormat="1" spans="1:18">
      <c r="A354" s="113">
        <v>46157</v>
      </c>
      <c r="B354" s="91" t="str">
        <f>_xlfn.XLOOKUP(C354,'Product List'!B:B,'Product List'!I:I)</f>
        <v>MINI/MOE SILENT CRSTL RUN WHEEL LG 8.5-White</v>
      </c>
      <c r="C354" s="124" t="s">
        <v>29</v>
      </c>
      <c r="D354" s="214">
        <v>31173386</v>
      </c>
      <c r="E354" s="125">
        <v>64</v>
      </c>
      <c r="F354" s="125">
        <v>13.22</v>
      </c>
      <c r="G354" s="125">
        <f t="shared" ref="G354:G417" si="10">E354*F354</f>
        <v>846.08</v>
      </c>
      <c r="H354" s="86" t="s">
        <v>298</v>
      </c>
      <c r="I354" s="86" t="s">
        <v>92</v>
      </c>
      <c r="J354" s="124" t="s">
        <v>317</v>
      </c>
      <c r="K354" s="193">
        <v>46192</v>
      </c>
      <c r="L354" s="251">
        <v>46192</v>
      </c>
      <c r="M354" s="127">
        <f>_xlfn.XLOOKUP(C354,'Product List'!B:B,'Product List'!R:R)</f>
        <v>6.27</v>
      </c>
      <c r="N354" s="124">
        <f t="shared" ref="N354:N417" si="11">M354*E354</f>
        <v>401.28</v>
      </c>
      <c r="O354" s="124" cm="1">
        <f t="array" ref="O354">E354/_xlfn.XLOOKUP(1,('Case Pack'!$A$4:$A$962=C354)*('Case Pack'!$L$4:$L$962&gt;0)*('Case Pack'!$L$4:$L$962&lt;=A354),'Case Pack'!$D$4:$D$962,"未找到箱规")</f>
        <v>8</v>
      </c>
      <c r="P354" s="124" t="str">
        <f>IF(COUNTIF('PO Check'!A:A,D354)&gt;0,"Yes","No")</f>
        <v>Yes</v>
      </c>
      <c r="Q354" s="124" t="str" cm="1">
        <f t="array" ref="Q354">_xlfn.XLOOKUP(1,('Case Pack'!$A$4:$A$962=C354)*('Case Pack'!$L$4:$L$962&gt;0)*('Case Pack'!$L$4:$L$962&lt;=A354),'Case Pack'!$G$4:$G$962,"未找到箱型")</f>
        <v>C</v>
      </c>
      <c r="R354" s="124">
        <f>ROUND(IFERROR(VLOOKUP(Q354,'Case Type'!A:H,8,0),0)*O354,2)</f>
        <v>1.26</v>
      </c>
    </row>
    <row r="355" customFormat="1" spans="1:18">
      <c r="A355" s="113">
        <v>46157</v>
      </c>
      <c r="B355" s="91" t="str">
        <f>_xlfn.XLOOKUP(C355,'Product List'!B:B,'Product List'!I:I)</f>
        <v>MMO-CLOUD WATER BOTTLE</v>
      </c>
      <c r="C355" s="124" t="s">
        <v>77</v>
      </c>
      <c r="D355" s="214">
        <v>31173386</v>
      </c>
      <c r="E355" s="125">
        <v>100</v>
      </c>
      <c r="F355" s="125">
        <v>1.32</v>
      </c>
      <c r="G355" s="125">
        <f t="shared" si="10"/>
        <v>132</v>
      </c>
      <c r="H355" s="86" t="s">
        <v>298</v>
      </c>
      <c r="I355" s="86" t="s">
        <v>92</v>
      </c>
      <c r="J355" s="124" t="s">
        <v>317</v>
      </c>
      <c r="K355" s="193">
        <v>46192</v>
      </c>
      <c r="L355" s="251">
        <v>46192</v>
      </c>
      <c r="M355" s="127">
        <f>_xlfn.XLOOKUP(C355,'Product List'!B:B,'Product List'!R:R)</f>
        <v>0.62</v>
      </c>
      <c r="N355" s="124">
        <f t="shared" si="11"/>
        <v>62</v>
      </c>
      <c r="O355" s="124" cm="1">
        <f t="array" ref="O355">E355/_xlfn.XLOOKUP(1,('Case Pack'!$A$4:$A$962=C355)*('Case Pack'!$L$4:$L$962&gt;0)*('Case Pack'!$L$4:$L$962&lt;=A355),'Case Pack'!$D$4:$D$962,"未找到箱规")</f>
        <v>2</v>
      </c>
      <c r="P355" s="124" t="str">
        <f>IF(COUNTIF('PO Check'!A:A,D355)&gt;0,"Yes","No")</f>
        <v>Yes</v>
      </c>
      <c r="Q355" s="124" t="str" cm="1">
        <f t="array" ref="Q355">_xlfn.XLOOKUP(1,('Case Pack'!$A$4:$A$962=C355)*('Case Pack'!$L$4:$L$962&gt;0)*('Case Pack'!$L$4:$L$962&lt;=A355),'Case Pack'!$G$4:$G$962,"未找到箱型")</f>
        <v>A</v>
      </c>
      <c r="R355" s="124">
        <f>ROUND(IFERROR(VLOOKUP(Q355,'Case Type'!A:H,8,0),0)*O355,2)</f>
        <v>0.22</v>
      </c>
    </row>
    <row r="356" customFormat="1" spans="1:18">
      <c r="A356" s="113">
        <v>46157</v>
      </c>
      <c r="B356" s="91" t="str">
        <f>_xlfn.XLOOKUP(C356,'Product List'!B:B,'Product List'!I:I)</f>
        <v>MINI/MOE TV VIEWING CAGE</v>
      </c>
      <c r="C356" s="124" t="s">
        <v>50</v>
      </c>
      <c r="D356" s="214">
        <v>31173386</v>
      </c>
      <c r="E356" s="125">
        <v>29</v>
      </c>
      <c r="F356" s="125">
        <v>48.49</v>
      </c>
      <c r="G356" s="125">
        <f t="shared" si="10"/>
        <v>1406.21</v>
      </c>
      <c r="H356" s="86" t="s">
        <v>298</v>
      </c>
      <c r="I356" s="86" t="s">
        <v>92</v>
      </c>
      <c r="J356" s="124" t="s">
        <v>317</v>
      </c>
      <c r="K356" s="193">
        <v>46192</v>
      </c>
      <c r="L356" s="251">
        <v>46192</v>
      </c>
      <c r="M356" s="127">
        <f>_xlfn.XLOOKUP(C356,'Product List'!B:B,'Product List'!R:R)</f>
        <v>24.09</v>
      </c>
      <c r="N356" s="124">
        <f t="shared" si="11"/>
        <v>698.61</v>
      </c>
      <c r="O356" s="124" cm="1">
        <f t="array" ref="O356">E356/_xlfn.XLOOKUP(1,('Case Pack'!$A$4:$A$962=C356)*('Case Pack'!$L$4:$L$962&gt;0)*('Case Pack'!$L$4:$L$962&lt;=A356),'Case Pack'!$D$4:$D$962,"未找到箱规")</f>
        <v>29</v>
      </c>
      <c r="P356" s="124" t="str">
        <f>IF(COUNTIF('PO Check'!A:A,D356)&gt;0,"Yes","No")</f>
        <v>Yes</v>
      </c>
      <c r="Q356" s="124" t="str" cm="1">
        <f t="array" ref="Q356">_xlfn.XLOOKUP(1,('Case Pack'!$A$4:$A$962=C356)*('Case Pack'!$L$4:$L$962&gt;0)*('Case Pack'!$L$4:$L$962&lt;=A356),'Case Pack'!$G$4:$G$962,"未找到箱型")</f>
        <v>S1</v>
      </c>
      <c r="R356" s="124">
        <f>ROUND(IFERROR(VLOOKUP(Q356,'Case Type'!A:H,8,0),0)*O356,2)</f>
        <v>2.15</v>
      </c>
    </row>
    <row r="357" customFormat="1" spans="1:18">
      <c r="A357" s="113">
        <v>46157</v>
      </c>
      <c r="B357" s="91" t="str">
        <f>_xlfn.XLOOKUP(C357,'Product List'!B:B,'Product List'!I:I)</f>
        <v>MMO-BUBBLE WATER BOTTLE</v>
      </c>
      <c r="C357" s="124" t="s">
        <v>67</v>
      </c>
      <c r="D357" s="214">
        <v>31173386</v>
      </c>
      <c r="E357" s="125">
        <v>168</v>
      </c>
      <c r="F357" s="125">
        <v>4.35</v>
      </c>
      <c r="G357" s="125">
        <f t="shared" si="10"/>
        <v>730.8</v>
      </c>
      <c r="H357" s="86" t="s">
        <v>298</v>
      </c>
      <c r="I357" s="86" t="s">
        <v>92</v>
      </c>
      <c r="J357" s="124" t="s">
        <v>317</v>
      </c>
      <c r="K357" s="193">
        <v>46192</v>
      </c>
      <c r="L357" s="251">
        <v>46192</v>
      </c>
      <c r="M357" s="127">
        <f>_xlfn.XLOOKUP(C357,'Product List'!B:B,'Product List'!R:R)</f>
        <v>3.1</v>
      </c>
      <c r="N357" s="124">
        <f t="shared" si="11"/>
        <v>520.8</v>
      </c>
      <c r="O357" s="124" cm="1">
        <f t="array" ref="O357">E357/_xlfn.XLOOKUP(1,('Case Pack'!$A$4:$A$962=C357)*('Case Pack'!$L$4:$L$962&gt;0)*('Case Pack'!$L$4:$L$962&lt;=A357),'Case Pack'!$D$4:$D$962,"未找到箱规")</f>
        <v>4</v>
      </c>
      <c r="P357" s="124" t="str">
        <f>IF(COUNTIF('PO Check'!A:A,D357)&gt;0,"Yes","No")</f>
        <v>Yes</v>
      </c>
      <c r="Q357" s="124" t="str" cm="1">
        <f t="array" ref="Q357">_xlfn.XLOOKUP(1,('Case Pack'!$A$4:$A$962=C357)*('Case Pack'!$L$4:$L$962&gt;0)*('Case Pack'!$L$4:$L$962&lt;=A357),'Case Pack'!$G$4:$G$962,"未找到箱型")</f>
        <v>C</v>
      </c>
      <c r="R357" s="124">
        <f>ROUND(IFERROR(VLOOKUP(Q357,'Case Type'!A:H,8,0),0)*O357,2)</f>
        <v>0.63</v>
      </c>
    </row>
    <row r="358" customFormat="1" spans="1:18">
      <c r="A358" s="113">
        <v>46157</v>
      </c>
      <c r="B358" s="91" t="str">
        <f>_xlfn.XLOOKUP(C358,'Product List'!B:B,'Product List'!I:I)</f>
        <v>MMO-SHELL PEARL HAMSTER CHEW</v>
      </c>
      <c r="C358" s="124" t="s">
        <v>35</v>
      </c>
      <c r="D358" s="214">
        <v>31173386</v>
      </c>
      <c r="E358" s="125">
        <v>64</v>
      </c>
      <c r="F358" s="125">
        <v>1.61</v>
      </c>
      <c r="G358" s="125">
        <f t="shared" si="10"/>
        <v>103.04</v>
      </c>
      <c r="H358" s="86" t="s">
        <v>298</v>
      </c>
      <c r="I358" s="86" t="s">
        <v>92</v>
      </c>
      <c r="J358" s="124" t="s">
        <v>317</v>
      </c>
      <c r="K358" s="193">
        <v>46192</v>
      </c>
      <c r="L358" s="251">
        <v>46192</v>
      </c>
      <c r="M358" s="127">
        <f>_xlfn.XLOOKUP(C358,'Product List'!B:B,'Product List'!R:R)</f>
        <v>0.96</v>
      </c>
      <c r="N358" s="124">
        <f t="shared" si="11"/>
        <v>61.44</v>
      </c>
      <c r="O358" s="124" cm="1">
        <f t="array" ref="O358">E358/_xlfn.XLOOKUP(1,('Case Pack'!$A$4:$A$962=C358)*('Case Pack'!$L$4:$L$962&gt;0)*('Case Pack'!$L$4:$L$962&lt;=A358),'Case Pack'!$D$4:$D$962,"未找到箱规")</f>
        <v>1</v>
      </c>
      <c r="P358" s="124" t="str">
        <f>IF(COUNTIF('PO Check'!A:A,D358)&gt;0,"Yes","No")</f>
        <v>Yes</v>
      </c>
      <c r="Q358" s="124" t="str" cm="1">
        <f t="array" ref="Q358">_xlfn.XLOOKUP(1,('Case Pack'!$A$4:$A$962=C358)*('Case Pack'!$L$4:$L$962&gt;0)*('Case Pack'!$L$4:$L$962&lt;=A358),'Case Pack'!$G$4:$G$962,"未找到箱型")</f>
        <v>B</v>
      </c>
      <c r="R358" s="124">
        <f>ROUND(IFERROR(VLOOKUP(Q358,'Case Type'!A:H,8,0),0)*O358,2)</f>
        <v>0.07</v>
      </c>
    </row>
    <row r="359" customFormat="1" spans="1:18">
      <c r="A359" s="113">
        <v>46157</v>
      </c>
      <c r="B359" s="91" t="str">
        <f>_xlfn.XLOOKUP(C359,'Product List'!B:B,'Product List'!I:I)</f>
        <v>MMO-GREEN APPLE CHEW</v>
      </c>
      <c r="C359" s="124" t="s">
        <v>33</v>
      </c>
      <c r="D359" s="214">
        <v>31173386</v>
      </c>
      <c r="E359" s="125">
        <v>96</v>
      </c>
      <c r="F359" s="125">
        <v>1.53</v>
      </c>
      <c r="G359" s="125">
        <f t="shared" si="10"/>
        <v>146.88</v>
      </c>
      <c r="H359" s="86" t="s">
        <v>298</v>
      </c>
      <c r="I359" s="86" t="s">
        <v>92</v>
      </c>
      <c r="J359" s="124" t="s">
        <v>317</v>
      </c>
      <c r="K359" s="193">
        <v>46192</v>
      </c>
      <c r="L359" s="251">
        <v>46192</v>
      </c>
      <c r="M359" s="127">
        <f>_xlfn.XLOOKUP(C359,'Product List'!B:B,'Product List'!R:R)</f>
        <v>1.04</v>
      </c>
      <c r="N359" s="124">
        <f t="shared" si="11"/>
        <v>99.84</v>
      </c>
      <c r="O359" s="124" cm="1">
        <f t="array" ref="O359">E359/_xlfn.XLOOKUP(1,('Case Pack'!$A$4:$A$962=C359)*('Case Pack'!$L$4:$L$962&gt;0)*('Case Pack'!$L$4:$L$962&lt;=A359),'Case Pack'!$D$4:$D$962,"未找到箱规")</f>
        <v>2</v>
      </c>
      <c r="P359" s="124" t="str">
        <f>IF(COUNTIF('PO Check'!A:A,D359)&gt;0,"Yes","No")</f>
        <v>Yes</v>
      </c>
      <c r="Q359" s="124" t="str" cm="1">
        <f t="array" ref="Q359">_xlfn.XLOOKUP(1,('Case Pack'!$A$4:$A$962=C359)*('Case Pack'!$L$4:$L$962&gt;0)*('Case Pack'!$L$4:$L$962&lt;=A359),'Case Pack'!$G$4:$G$962,"未找到箱型")</f>
        <v>B</v>
      </c>
      <c r="R359" s="124">
        <f>ROUND(IFERROR(VLOOKUP(Q359,'Case Type'!A:H,8,0),0)*O359,2)</f>
        <v>0.15</v>
      </c>
    </row>
    <row r="360" customFormat="1" spans="1:18">
      <c r="A360" s="113">
        <v>46157</v>
      </c>
      <c r="B360" s="91" t="str">
        <f>_xlfn.XLOOKUP(C360,'Product List'!B:B,'Product List'!I:I)</f>
        <v>MMO-CAMP LUNCH BOX CHEW</v>
      </c>
      <c r="C360" s="124" t="s">
        <v>34</v>
      </c>
      <c r="D360" s="214">
        <v>31173386</v>
      </c>
      <c r="E360" s="125">
        <v>144</v>
      </c>
      <c r="F360" s="125">
        <v>2.48</v>
      </c>
      <c r="G360" s="125">
        <f t="shared" si="10"/>
        <v>357.12</v>
      </c>
      <c r="H360" s="86" t="s">
        <v>298</v>
      </c>
      <c r="I360" s="86" t="s">
        <v>92</v>
      </c>
      <c r="J360" s="124" t="s">
        <v>317</v>
      </c>
      <c r="K360" s="193">
        <v>46192</v>
      </c>
      <c r="L360" s="251">
        <v>46192</v>
      </c>
      <c r="M360" s="127">
        <f>_xlfn.XLOOKUP(C360,'Product List'!B:B,'Product List'!R:R)</f>
        <v>1.59</v>
      </c>
      <c r="N360" s="124">
        <f t="shared" si="11"/>
        <v>228.96</v>
      </c>
      <c r="O360" s="124" cm="1">
        <f t="array" ref="O360">E360/_xlfn.XLOOKUP(1,('Case Pack'!$A$4:$A$962=C360)*('Case Pack'!$L$4:$L$962&gt;0)*('Case Pack'!$L$4:$L$962&lt;=A360),'Case Pack'!$D$4:$D$962,"未找到箱规")</f>
        <v>2</v>
      </c>
      <c r="P360" s="124" t="str">
        <f>IF(COUNTIF('PO Check'!A:A,D360)&gt;0,"Yes","No")</f>
        <v>Yes</v>
      </c>
      <c r="Q360" s="124" t="str" cm="1">
        <f t="array" ref="Q360">_xlfn.XLOOKUP(1,('Case Pack'!$A$4:$A$962=C360)*('Case Pack'!$L$4:$L$962&gt;0)*('Case Pack'!$L$4:$L$962&lt;=A360),'Case Pack'!$G$4:$G$962,"未找到箱型")</f>
        <v>B</v>
      </c>
      <c r="R360" s="124">
        <f>ROUND(IFERROR(VLOOKUP(Q360,'Case Type'!A:H,8,0),0)*O360,2)</f>
        <v>0.15</v>
      </c>
    </row>
    <row r="361" customFormat="1" spans="1:18">
      <c r="A361" s="113">
        <v>46155</v>
      </c>
      <c r="B361" s="91" t="str">
        <f>_xlfn.XLOOKUP(C361,'Product List'!B:B,'Product List'!I:I)</f>
        <v>MINI/MOE BENDABLE BIRCHWOOD FENCE</v>
      </c>
      <c r="C361" s="124" t="s">
        <v>62</v>
      </c>
      <c r="D361" s="125">
        <v>31151333</v>
      </c>
      <c r="E361" s="125">
        <v>64</v>
      </c>
      <c r="F361" s="125">
        <v>5.01</v>
      </c>
      <c r="G361" s="125">
        <f t="shared" si="10"/>
        <v>320.64</v>
      </c>
      <c r="H361" s="86" t="s">
        <v>298</v>
      </c>
      <c r="I361" s="86" t="s">
        <v>92</v>
      </c>
      <c r="J361" s="124" t="s">
        <v>316</v>
      </c>
      <c r="K361" s="126">
        <v>46220</v>
      </c>
      <c r="L361" s="251">
        <v>46211</v>
      </c>
      <c r="M361" s="127">
        <f>_xlfn.XLOOKUP(C361,'Product List'!B:B,'Product List'!R:R)</f>
        <v>3.4</v>
      </c>
      <c r="N361" s="124">
        <f t="shared" si="11"/>
        <v>217.6</v>
      </c>
      <c r="O361" s="124" cm="1">
        <f t="array" ref="O361">E361/_xlfn.XLOOKUP(1,('Case Pack'!$A$4:$A$962=C361)*('Case Pack'!$L$4:$L$962&gt;0)*('Case Pack'!$L$4:$L$962&lt;=A361),'Case Pack'!$D$4:$D$962,"未找到箱规")</f>
        <v>2</v>
      </c>
      <c r="P361" s="124" t="str">
        <f>IF(COUNTIF('PO Check'!A:A,D361)&gt;0,"Yes","No")</f>
        <v>Yes</v>
      </c>
      <c r="Q361" s="124" t="str" cm="1">
        <f t="array" ref="Q361">_xlfn.XLOOKUP(1,('Case Pack'!$A$4:$A$962=C361)*('Case Pack'!$L$4:$L$962&gt;0)*('Case Pack'!$L$4:$L$962&lt;=A361),'Case Pack'!$G$4:$G$962,"未找到箱型")</f>
        <v>F</v>
      </c>
      <c r="R361" s="124">
        <f>ROUND(IFERROR(VLOOKUP(Q361,'Case Type'!A:H,8,0),0)*O361,2)</f>
        <v>0.07</v>
      </c>
    </row>
    <row r="362" customFormat="1" spans="1:18">
      <c r="A362" s="113">
        <v>46155</v>
      </c>
      <c r="B362" s="91" t="str">
        <f>_xlfn.XLOOKUP(C362,'Product List'!B:B,'Product List'!I:I)</f>
        <v>MINI/MOE SILENT CRSTL RUN WHEEL LG 8.5-White</v>
      </c>
      <c r="C362" s="124" t="s">
        <v>29</v>
      </c>
      <c r="D362" s="125">
        <v>31151333</v>
      </c>
      <c r="E362" s="125">
        <v>56</v>
      </c>
      <c r="F362" s="125">
        <v>13.22</v>
      </c>
      <c r="G362" s="125">
        <f t="shared" si="10"/>
        <v>740.32</v>
      </c>
      <c r="H362" s="86" t="s">
        <v>298</v>
      </c>
      <c r="I362" s="86" t="s">
        <v>92</v>
      </c>
      <c r="J362" s="124" t="s">
        <v>316</v>
      </c>
      <c r="K362" s="126">
        <v>46220</v>
      </c>
      <c r="L362" s="251">
        <v>46211</v>
      </c>
      <c r="M362" s="127">
        <f>_xlfn.XLOOKUP(C362,'Product List'!B:B,'Product List'!R:R)</f>
        <v>6.27</v>
      </c>
      <c r="N362" s="124">
        <f t="shared" si="11"/>
        <v>351.12</v>
      </c>
      <c r="O362" s="124" cm="1">
        <f t="array" ref="O362">E362/_xlfn.XLOOKUP(1,('Case Pack'!$A$4:$A$962=C362)*('Case Pack'!$L$4:$L$962&gt;0)*('Case Pack'!$L$4:$L$962&lt;=A362),'Case Pack'!$D$4:$D$962,"未找到箱规")</f>
        <v>7</v>
      </c>
      <c r="P362" s="124" t="str">
        <f>IF(COUNTIF('PO Check'!A:A,D362)&gt;0,"Yes","No")</f>
        <v>Yes</v>
      </c>
      <c r="Q362" s="124" t="str" cm="1">
        <f t="array" ref="Q362">_xlfn.XLOOKUP(1,('Case Pack'!$A$4:$A$962=C362)*('Case Pack'!$L$4:$L$962&gt;0)*('Case Pack'!$L$4:$L$962&lt;=A362),'Case Pack'!$G$4:$G$962,"未找到箱型")</f>
        <v>C</v>
      </c>
      <c r="R362" s="124">
        <f>ROUND(IFERROR(VLOOKUP(Q362,'Case Type'!A:H,8,0),0)*O362,2)</f>
        <v>1.1</v>
      </c>
    </row>
    <row r="363" customFormat="1" spans="1:18">
      <c r="A363" s="113">
        <v>46155</v>
      </c>
      <c r="B363" s="91" t="str">
        <f>_xlfn.XLOOKUP(C363,'Product List'!B:B,'Product List'!I:I)</f>
        <v>MINI/MOE RUFFLE BOWL</v>
      </c>
      <c r="C363" s="124" t="s">
        <v>78</v>
      </c>
      <c r="D363" s="125">
        <v>31151333</v>
      </c>
      <c r="E363" s="125">
        <v>48</v>
      </c>
      <c r="F363" s="125">
        <v>2.35</v>
      </c>
      <c r="G363" s="125">
        <f t="shared" si="10"/>
        <v>112.8</v>
      </c>
      <c r="H363" s="86" t="s">
        <v>298</v>
      </c>
      <c r="I363" s="86" t="s">
        <v>92</v>
      </c>
      <c r="J363" s="124" t="s">
        <v>316</v>
      </c>
      <c r="K363" s="126">
        <v>46220</v>
      </c>
      <c r="L363" s="251">
        <v>46211</v>
      </c>
      <c r="M363" s="127">
        <f>_xlfn.XLOOKUP(C363,'Product List'!B:B,'Product List'!R:R)</f>
        <v>1.34</v>
      </c>
      <c r="N363" s="124">
        <f t="shared" si="11"/>
        <v>64.32</v>
      </c>
      <c r="O363" s="124" cm="1">
        <f t="array" ref="O363">E363/_xlfn.XLOOKUP(1,('Case Pack'!$A$4:$A$962=C363)*('Case Pack'!$L$4:$L$962&gt;0)*('Case Pack'!$L$4:$L$962&lt;=A363),'Case Pack'!$D$4:$D$962,"未找到箱规")</f>
        <v>1</v>
      </c>
      <c r="P363" s="124" t="str">
        <f>IF(COUNTIF('PO Check'!A:A,D363)&gt;0,"Yes","No")</f>
        <v>Yes</v>
      </c>
      <c r="Q363" s="124" t="str" cm="1">
        <f t="array" ref="Q363">_xlfn.XLOOKUP(1,('Case Pack'!$A$4:$A$962=C363)*('Case Pack'!$L$4:$L$962&gt;0)*('Case Pack'!$L$4:$L$962&lt;=A363),'Case Pack'!$G$4:$G$962,"未找到箱型")</f>
        <v>B</v>
      </c>
      <c r="R363" s="124">
        <f>ROUND(IFERROR(VLOOKUP(Q363,'Case Type'!A:H,8,0),0)*O363,2)</f>
        <v>0.07</v>
      </c>
    </row>
    <row r="364" customFormat="1" spans="1:18">
      <c r="A364" s="113">
        <v>46155</v>
      </c>
      <c r="B364" s="91" t="str">
        <f>_xlfn.XLOOKUP(C364,'Product List'!B:B,'Product List'!I:I)</f>
        <v>MMO-CLOUD WATER BOTTLE</v>
      </c>
      <c r="C364" s="124" t="s">
        <v>77</v>
      </c>
      <c r="D364" s="125">
        <v>31151333</v>
      </c>
      <c r="E364" s="125">
        <v>200</v>
      </c>
      <c r="F364" s="125">
        <v>1.32</v>
      </c>
      <c r="G364" s="125">
        <f t="shared" si="10"/>
        <v>264</v>
      </c>
      <c r="H364" s="86" t="s">
        <v>298</v>
      </c>
      <c r="I364" s="86" t="s">
        <v>92</v>
      </c>
      <c r="J364" s="124" t="s">
        <v>316</v>
      </c>
      <c r="K364" s="126">
        <v>46220</v>
      </c>
      <c r="L364" s="251">
        <v>46211</v>
      </c>
      <c r="M364" s="127">
        <f>_xlfn.XLOOKUP(C364,'Product List'!B:B,'Product List'!R:R)</f>
        <v>0.62</v>
      </c>
      <c r="N364" s="124">
        <f t="shared" si="11"/>
        <v>124</v>
      </c>
      <c r="O364" s="124" cm="1">
        <f t="array" ref="O364">E364/_xlfn.XLOOKUP(1,('Case Pack'!$A$4:$A$962=C364)*('Case Pack'!$L$4:$L$962&gt;0)*('Case Pack'!$L$4:$L$962&lt;=A364),'Case Pack'!$D$4:$D$962,"未找到箱规")</f>
        <v>4</v>
      </c>
      <c r="P364" s="124" t="str">
        <f>IF(COUNTIF('PO Check'!A:A,D364)&gt;0,"Yes","No")</f>
        <v>Yes</v>
      </c>
      <c r="Q364" s="124" t="str" cm="1">
        <f t="array" ref="Q364">_xlfn.XLOOKUP(1,('Case Pack'!$A$4:$A$962=C364)*('Case Pack'!$L$4:$L$962&gt;0)*('Case Pack'!$L$4:$L$962&lt;=A364),'Case Pack'!$G$4:$G$962,"未找到箱型")</f>
        <v>A</v>
      </c>
      <c r="R364" s="124">
        <f>ROUND(IFERROR(VLOOKUP(Q364,'Case Type'!A:H,8,0),0)*O364,2)</f>
        <v>0.44</v>
      </c>
    </row>
    <row r="365" customFormat="1" spans="1:18">
      <c r="A365" s="113">
        <v>46155</v>
      </c>
      <c r="B365" s="91" t="str">
        <f>_xlfn.XLOOKUP(C365,'Product List'!B:B,'Product List'!I:I)</f>
        <v>MMO-STARFISH CASTLE</v>
      </c>
      <c r="C365" s="124" t="s">
        <v>60</v>
      </c>
      <c r="D365" s="125">
        <v>31151333</v>
      </c>
      <c r="E365" s="125">
        <v>40</v>
      </c>
      <c r="F365" s="125">
        <v>5.32</v>
      </c>
      <c r="G365" s="125">
        <f t="shared" si="10"/>
        <v>212.8</v>
      </c>
      <c r="H365" s="86" t="s">
        <v>298</v>
      </c>
      <c r="I365" s="86" t="s">
        <v>92</v>
      </c>
      <c r="J365" s="124" t="s">
        <v>316</v>
      </c>
      <c r="K365" s="126">
        <v>46220</v>
      </c>
      <c r="L365" s="251">
        <v>46211</v>
      </c>
      <c r="M365" s="127">
        <f>_xlfn.XLOOKUP(C365,'Product List'!B:B,'Product List'!R:R)</f>
        <v>2.81</v>
      </c>
      <c r="N365" s="124">
        <f t="shared" si="11"/>
        <v>112.4</v>
      </c>
      <c r="O365" s="124" cm="1">
        <f t="array" ref="O365">E365/_xlfn.XLOOKUP(1,('Case Pack'!$A$4:$A$962=C365)*('Case Pack'!$L$4:$L$962&gt;0)*('Case Pack'!$L$4:$L$962&lt;=A365),'Case Pack'!$D$4:$D$962,"未找到箱规")</f>
        <v>2</v>
      </c>
      <c r="P365" s="124" t="str">
        <f>IF(COUNTIF('PO Check'!A:A,D365)&gt;0,"Yes","No")</f>
        <v>Yes</v>
      </c>
      <c r="Q365" s="124" t="str" cm="1">
        <f t="array" ref="Q365">_xlfn.XLOOKUP(1,('Case Pack'!$A$4:$A$962=C365)*('Case Pack'!$L$4:$L$962&gt;0)*('Case Pack'!$L$4:$L$962&lt;=A365),'Case Pack'!$G$4:$G$962,"未找到箱型")</f>
        <v>C</v>
      </c>
      <c r="R365" s="124">
        <f>ROUND(IFERROR(VLOOKUP(Q365,'Case Type'!A:H,8,0),0)*O365,2)</f>
        <v>0.31</v>
      </c>
    </row>
    <row r="366" customFormat="1" spans="1:18">
      <c r="A366" s="113">
        <v>46155</v>
      </c>
      <c r="B366" s="91" t="str">
        <f>_xlfn.XLOOKUP(C366,'Product List'!B:B,'Product List'!I:I)</f>
        <v>D. MMO-COTTAGE VIEW CAGE</v>
      </c>
      <c r="C366" s="124" t="s">
        <v>64</v>
      </c>
      <c r="D366" s="125">
        <v>31151333</v>
      </c>
      <c r="E366" s="125">
        <v>1</v>
      </c>
      <c r="F366" s="125">
        <v>70.28</v>
      </c>
      <c r="G366" s="125">
        <f t="shared" si="10"/>
        <v>70.28</v>
      </c>
      <c r="H366" s="86" t="s">
        <v>298</v>
      </c>
      <c r="I366" s="86" t="s">
        <v>92</v>
      </c>
      <c r="J366" s="124" t="s">
        <v>316</v>
      </c>
      <c r="K366" s="126">
        <v>46220</v>
      </c>
      <c r="L366" s="251">
        <v>46211</v>
      </c>
      <c r="M366" s="127">
        <f>_xlfn.XLOOKUP(C366,'Product List'!B:B,'Product List'!R:R)</f>
        <v>28.56</v>
      </c>
      <c r="N366" s="124">
        <f t="shared" si="11"/>
        <v>28.56</v>
      </c>
      <c r="O366" s="124" cm="1">
        <f t="array" ref="O366">E366/_xlfn.XLOOKUP(1,('Case Pack'!$A$4:$A$962=C366)*('Case Pack'!$L$4:$L$962&gt;0)*('Case Pack'!$L$4:$L$962&lt;=A366),'Case Pack'!$D$4:$D$962,"未找到箱规")</f>
        <v>1</v>
      </c>
      <c r="P366" s="124" t="str">
        <f>IF(COUNTIF('PO Check'!A:A,D366)&gt;0,"Yes","No")</f>
        <v>Yes</v>
      </c>
      <c r="Q366" s="124" t="str" cm="1">
        <f t="array" ref="Q366">_xlfn.XLOOKUP(1,('Case Pack'!$A$4:$A$962=C366)*('Case Pack'!$L$4:$L$962&gt;0)*('Case Pack'!$L$4:$L$962&lt;=A366),'Case Pack'!$G$4:$G$962,"未找到箱型")</f>
        <v>S3</v>
      </c>
      <c r="R366" s="124">
        <f>ROUND(IFERROR(VLOOKUP(Q366,'Case Type'!A:H,8,0),0)*O366,2)</f>
        <v>0.14</v>
      </c>
    </row>
    <row r="367" customFormat="1" spans="1:18">
      <c r="A367" s="113">
        <v>46155</v>
      </c>
      <c r="B367" s="91" t="str">
        <f>_xlfn.XLOOKUP(C367,'Product List'!B:B,'Product List'!I:I)</f>
        <v>MMO-BUBBLE WATER BOTTLE</v>
      </c>
      <c r="C367" s="259" t="s">
        <v>67</v>
      </c>
      <c r="D367" s="238">
        <v>31151333</v>
      </c>
      <c r="E367" s="238">
        <v>84</v>
      </c>
      <c r="F367" s="125">
        <v>4.35</v>
      </c>
      <c r="G367" s="125">
        <f t="shared" si="10"/>
        <v>365.4</v>
      </c>
      <c r="H367" s="86" t="s">
        <v>298</v>
      </c>
      <c r="I367" s="86" t="s">
        <v>92</v>
      </c>
      <c r="J367" s="124" t="s">
        <v>316</v>
      </c>
      <c r="K367" s="126">
        <v>46220</v>
      </c>
      <c r="L367" s="251">
        <v>46211</v>
      </c>
      <c r="M367" s="127">
        <f>_xlfn.XLOOKUP(C367,'Product List'!B:B,'Product List'!R:R)</f>
        <v>3.1</v>
      </c>
      <c r="N367" s="124">
        <f t="shared" si="11"/>
        <v>260.4</v>
      </c>
      <c r="O367" s="124" cm="1">
        <f t="array" ref="O367">E367/_xlfn.XLOOKUP(1,('Case Pack'!$A$4:$A$962=C367)*('Case Pack'!$L$4:$L$962&gt;0)*('Case Pack'!$L$4:$L$962&lt;=A367),'Case Pack'!$D$4:$D$962,"未找到箱规")</f>
        <v>2</v>
      </c>
      <c r="P367" s="124" t="str">
        <f>IF(COUNTIF('PO Check'!A:A,D367)&gt;0,"Yes","No")</f>
        <v>Yes</v>
      </c>
      <c r="Q367" s="124" t="str" cm="1">
        <f t="array" ref="Q367">_xlfn.XLOOKUP(1,('Case Pack'!$A$4:$A$962=C367)*('Case Pack'!$L$4:$L$962&gt;0)*('Case Pack'!$L$4:$L$962&lt;=A367),'Case Pack'!$G$4:$G$962,"未找到箱型")</f>
        <v>C</v>
      </c>
      <c r="R367" s="124">
        <f>ROUND(IFERROR(VLOOKUP(Q367,'Case Type'!A:H,8,0),0)*O367,2)</f>
        <v>0.31</v>
      </c>
    </row>
    <row r="368" customFormat="1" spans="1:18">
      <c r="A368" s="113">
        <v>46155</v>
      </c>
      <c r="B368" s="91" t="str">
        <f>_xlfn.XLOOKUP(C368,'Product List'!B:B,'Product List'!I:I)</f>
        <v>MMO-SHELL PEARL HAMSTER CHEW</v>
      </c>
      <c r="C368" s="124" t="s">
        <v>35</v>
      </c>
      <c r="D368" s="125">
        <v>31151333</v>
      </c>
      <c r="E368" s="125">
        <v>128</v>
      </c>
      <c r="F368" s="125">
        <v>1.61</v>
      </c>
      <c r="G368" s="125">
        <f t="shared" si="10"/>
        <v>206.08</v>
      </c>
      <c r="H368" s="86" t="s">
        <v>298</v>
      </c>
      <c r="I368" s="86" t="s">
        <v>92</v>
      </c>
      <c r="J368" s="124" t="s">
        <v>316</v>
      </c>
      <c r="K368" s="126">
        <v>46220</v>
      </c>
      <c r="L368" s="251">
        <v>46211</v>
      </c>
      <c r="M368" s="127">
        <f>_xlfn.XLOOKUP(C368,'Product List'!B:B,'Product List'!R:R)</f>
        <v>0.96</v>
      </c>
      <c r="N368" s="124">
        <f t="shared" si="11"/>
        <v>122.88</v>
      </c>
      <c r="O368" s="124" cm="1">
        <f t="array" ref="O368">E368/_xlfn.XLOOKUP(1,('Case Pack'!$A$4:$A$962=C368)*('Case Pack'!$L$4:$L$962&gt;0)*('Case Pack'!$L$4:$L$962&lt;=A368),'Case Pack'!$D$4:$D$962,"未找到箱规")</f>
        <v>2</v>
      </c>
      <c r="P368" s="124" t="str">
        <f>IF(COUNTIF('PO Check'!A:A,D368)&gt;0,"Yes","No")</f>
        <v>Yes</v>
      </c>
      <c r="Q368" s="124" t="str" cm="1">
        <f t="array" ref="Q368">_xlfn.XLOOKUP(1,('Case Pack'!$A$4:$A$962=C368)*('Case Pack'!$L$4:$L$962&gt;0)*('Case Pack'!$L$4:$L$962&lt;=A368),'Case Pack'!$G$4:$G$962,"未找到箱型")</f>
        <v>B</v>
      </c>
      <c r="R368" s="124">
        <f>ROUND(IFERROR(VLOOKUP(Q368,'Case Type'!A:H,8,0),0)*O368,2)</f>
        <v>0.15</v>
      </c>
    </row>
    <row r="369" customFormat="1" spans="1:18">
      <c r="A369" s="113">
        <v>46155</v>
      </c>
      <c r="B369" s="91" t="str">
        <f>_xlfn.XLOOKUP(C369,'Product List'!B:B,'Product List'!I:I)</f>
        <v>MMO-GREEN APPLE CHEW</v>
      </c>
      <c r="C369" s="124" t="s">
        <v>33</v>
      </c>
      <c r="D369" s="238">
        <v>31151333</v>
      </c>
      <c r="E369" s="125">
        <v>144</v>
      </c>
      <c r="F369" s="125">
        <v>1.53</v>
      </c>
      <c r="G369" s="125">
        <f t="shared" si="10"/>
        <v>220.32</v>
      </c>
      <c r="H369" s="86" t="s">
        <v>298</v>
      </c>
      <c r="I369" s="86" t="s">
        <v>92</v>
      </c>
      <c r="J369" s="124" t="s">
        <v>316</v>
      </c>
      <c r="K369" s="126">
        <v>46220</v>
      </c>
      <c r="L369" s="251">
        <v>46211</v>
      </c>
      <c r="M369" s="127">
        <f>_xlfn.XLOOKUP(C369,'Product List'!B:B,'Product List'!R:R)</f>
        <v>1.04</v>
      </c>
      <c r="N369" s="124">
        <f t="shared" si="11"/>
        <v>149.76</v>
      </c>
      <c r="O369" s="124" cm="1">
        <f t="array" ref="O369">E369/_xlfn.XLOOKUP(1,('Case Pack'!$A$4:$A$962=C369)*('Case Pack'!$L$4:$L$962&gt;0)*('Case Pack'!$L$4:$L$962&lt;=A369),'Case Pack'!$D$4:$D$962,"未找到箱规")</f>
        <v>3</v>
      </c>
      <c r="P369" s="124" t="str">
        <f>IF(COUNTIF('PO Check'!A:A,D369)&gt;0,"Yes","No")</f>
        <v>Yes</v>
      </c>
      <c r="Q369" s="124" t="str" cm="1">
        <f t="array" ref="Q369">_xlfn.XLOOKUP(1,('Case Pack'!$A$4:$A$962=C369)*('Case Pack'!$L$4:$L$962&gt;0)*('Case Pack'!$L$4:$L$962&lt;=A369),'Case Pack'!$G$4:$G$962,"未找到箱型")</f>
        <v>B</v>
      </c>
      <c r="R369" s="124">
        <f>ROUND(IFERROR(VLOOKUP(Q369,'Case Type'!A:H,8,0),0)*O369,2)</f>
        <v>0.22</v>
      </c>
    </row>
    <row r="370" customFormat="1" spans="1:18">
      <c r="A370" s="113">
        <v>46155</v>
      </c>
      <c r="B370" s="91" t="str">
        <f>_xlfn.XLOOKUP(C370,'Product List'!B:B,'Product List'!I:I)</f>
        <v>MMO-CAMP LUNCH BOX CHEW</v>
      </c>
      <c r="C370" s="124" t="s">
        <v>34</v>
      </c>
      <c r="D370" s="125">
        <v>31151333</v>
      </c>
      <c r="E370" s="125">
        <v>216</v>
      </c>
      <c r="F370" s="125">
        <v>2.48</v>
      </c>
      <c r="G370" s="125">
        <f t="shared" si="10"/>
        <v>535.68</v>
      </c>
      <c r="H370" s="86" t="s">
        <v>298</v>
      </c>
      <c r="I370" s="86" t="s">
        <v>92</v>
      </c>
      <c r="J370" s="124" t="s">
        <v>316</v>
      </c>
      <c r="K370" s="126">
        <v>46220</v>
      </c>
      <c r="L370" s="251">
        <v>46211</v>
      </c>
      <c r="M370" s="127">
        <f>_xlfn.XLOOKUP(C370,'Product List'!B:B,'Product List'!R:R)</f>
        <v>1.59</v>
      </c>
      <c r="N370" s="124">
        <f t="shared" si="11"/>
        <v>343.44</v>
      </c>
      <c r="O370" s="124" cm="1">
        <f t="array" ref="O370">E370/_xlfn.XLOOKUP(1,('Case Pack'!$A$4:$A$962=C370)*('Case Pack'!$L$4:$L$962&gt;0)*('Case Pack'!$L$4:$L$962&lt;=A370),'Case Pack'!$D$4:$D$962,"未找到箱规")</f>
        <v>3</v>
      </c>
      <c r="P370" s="124" t="str">
        <f>IF(COUNTIF('PO Check'!A:A,D370)&gt;0,"Yes","No")</f>
        <v>Yes</v>
      </c>
      <c r="Q370" s="124" t="str" cm="1">
        <f t="array" ref="Q370">_xlfn.XLOOKUP(1,('Case Pack'!$A$4:$A$962=C370)*('Case Pack'!$L$4:$L$962&gt;0)*('Case Pack'!$L$4:$L$962&lt;=A370),'Case Pack'!$G$4:$G$962,"未找到箱型")</f>
        <v>B</v>
      </c>
      <c r="R370" s="124">
        <f>ROUND(IFERROR(VLOOKUP(Q370,'Case Type'!A:H,8,0),0)*O370,2)</f>
        <v>0.22</v>
      </c>
    </row>
    <row r="371" customFormat="1" spans="1:18">
      <c r="A371" s="113">
        <v>46155</v>
      </c>
      <c r="B371" s="91" t="str">
        <f>_xlfn.XLOOKUP(C371,'Product List'!B:B,'Product List'!I:I)</f>
        <v>MINI/MOE SILENT CRSTL RUN WHEEL LG 8.5-White</v>
      </c>
      <c r="C371" s="124" t="s">
        <v>29</v>
      </c>
      <c r="D371" s="125">
        <v>31151334</v>
      </c>
      <c r="E371" s="125">
        <v>48</v>
      </c>
      <c r="F371" s="125">
        <v>13.22</v>
      </c>
      <c r="G371" s="125">
        <f t="shared" si="10"/>
        <v>634.56</v>
      </c>
      <c r="H371" s="86" t="s">
        <v>298</v>
      </c>
      <c r="I371" s="86" t="s">
        <v>92</v>
      </c>
      <c r="J371" s="124" t="s">
        <v>327</v>
      </c>
      <c r="K371" s="126">
        <v>46220</v>
      </c>
      <c r="L371" s="251">
        <v>46216</v>
      </c>
      <c r="M371" s="127">
        <f>_xlfn.XLOOKUP(C371,'Product List'!B:B,'Product List'!R:R)</f>
        <v>6.27</v>
      </c>
      <c r="N371" s="124">
        <f t="shared" si="11"/>
        <v>300.96</v>
      </c>
      <c r="O371" s="124" cm="1">
        <f t="array" ref="O371">E371/_xlfn.XLOOKUP(1,('Case Pack'!$A$4:$A$962=C371)*('Case Pack'!$L$4:$L$962&gt;0)*('Case Pack'!$L$4:$L$962&lt;=A371),'Case Pack'!$D$4:$D$962,"未找到箱规")</f>
        <v>6</v>
      </c>
      <c r="P371" s="124" t="str">
        <f>IF(COUNTIF('PO Check'!A:A,D371)&gt;0,"Yes","No")</f>
        <v>Yes</v>
      </c>
      <c r="Q371" s="124" t="str" cm="1">
        <f t="array" ref="Q371">_xlfn.XLOOKUP(1,('Case Pack'!$A$4:$A$962=C371)*('Case Pack'!$L$4:$L$962&gt;0)*('Case Pack'!$L$4:$L$962&lt;=A371),'Case Pack'!$G$4:$G$962,"未找到箱型")</f>
        <v>C</v>
      </c>
      <c r="R371" s="124">
        <f>ROUND(IFERROR(VLOOKUP(Q371,'Case Type'!A:H,8,0),0)*O371,2)</f>
        <v>0.94</v>
      </c>
    </row>
    <row r="372" customFormat="1" spans="1:18">
      <c r="A372" s="113">
        <v>46155</v>
      </c>
      <c r="B372" s="91" t="str">
        <f>_xlfn.XLOOKUP(C372,'Product List'!B:B,'Product List'!I:I)</f>
        <v>MINI/MOE RUFFLE BOWL</v>
      </c>
      <c r="C372" s="124" t="s">
        <v>78</v>
      </c>
      <c r="D372" s="125">
        <v>31151334</v>
      </c>
      <c r="E372" s="125">
        <v>240</v>
      </c>
      <c r="F372" s="125">
        <v>2.35</v>
      </c>
      <c r="G372" s="125">
        <f t="shared" si="10"/>
        <v>564</v>
      </c>
      <c r="H372" s="86" t="s">
        <v>298</v>
      </c>
      <c r="I372" s="86" t="s">
        <v>92</v>
      </c>
      <c r="J372" s="124" t="s">
        <v>327</v>
      </c>
      <c r="K372" s="126">
        <v>46220</v>
      </c>
      <c r="L372" s="251">
        <v>46216</v>
      </c>
      <c r="M372" s="127">
        <f>_xlfn.XLOOKUP(C372,'Product List'!B:B,'Product List'!R:R)</f>
        <v>1.34</v>
      </c>
      <c r="N372" s="124">
        <f t="shared" si="11"/>
        <v>321.6</v>
      </c>
      <c r="O372" s="124" cm="1">
        <f t="array" ref="O372">E372/_xlfn.XLOOKUP(1,('Case Pack'!$A$4:$A$962=C372)*('Case Pack'!$L$4:$L$962&gt;0)*('Case Pack'!$L$4:$L$962&lt;=A372),'Case Pack'!$D$4:$D$962,"未找到箱规")</f>
        <v>5</v>
      </c>
      <c r="P372" s="124" t="str">
        <f>IF(COUNTIF('PO Check'!A:A,D372)&gt;0,"Yes","No")</f>
        <v>Yes</v>
      </c>
      <c r="Q372" s="124" t="str" cm="1">
        <f t="array" ref="Q372">_xlfn.XLOOKUP(1,('Case Pack'!$A$4:$A$962=C372)*('Case Pack'!$L$4:$L$962&gt;0)*('Case Pack'!$L$4:$L$962&lt;=A372),'Case Pack'!$G$4:$G$962,"未找到箱型")</f>
        <v>B</v>
      </c>
      <c r="R372" s="124">
        <f>ROUND(IFERROR(VLOOKUP(Q372,'Case Type'!A:H,8,0),0)*O372,2)</f>
        <v>0.37</v>
      </c>
    </row>
    <row r="373" customFormat="1" spans="1:18">
      <c r="A373" s="113">
        <v>46155</v>
      </c>
      <c r="B373" s="91" t="str">
        <f>_xlfn.XLOOKUP(C373,'Product List'!B:B,'Product List'!I:I)</f>
        <v>MMO-CLOUD WATER BOTTLE</v>
      </c>
      <c r="C373" s="124" t="s">
        <v>77</v>
      </c>
      <c r="D373" s="125">
        <v>31151334</v>
      </c>
      <c r="E373" s="125">
        <v>300</v>
      </c>
      <c r="F373" s="125">
        <v>1.32</v>
      </c>
      <c r="G373" s="125">
        <f t="shared" si="10"/>
        <v>396</v>
      </c>
      <c r="H373" s="86" t="s">
        <v>298</v>
      </c>
      <c r="I373" s="86" t="s">
        <v>92</v>
      </c>
      <c r="J373" s="124" t="s">
        <v>327</v>
      </c>
      <c r="K373" s="126">
        <v>46220</v>
      </c>
      <c r="L373" s="251">
        <v>46216</v>
      </c>
      <c r="M373" s="127">
        <f>_xlfn.XLOOKUP(C373,'Product List'!B:B,'Product List'!R:R)</f>
        <v>0.62</v>
      </c>
      <c r="N373" s="124">
        <f t="shared" si="11"/>
        <v>186</v>
      </c>
      <c r="O373" s="124" cm="1">
        <f t="array" ref="O373">E373/_xlfn.XLOOKUP(1,('Case Pack'!$A$4:$A$962=C373)*('Case Pack'!$L$4:$L$962&gt;0)*('Case Pack'!$L$4:$L$962&lt;=A373),'Case Pack'!$D$4:$D$962,"未找到箱规")</f>
        <v>6</v>
      </c>
      <c r="P373" s="124" t="str">
        <f>IF(COUNTIF('PO Check'!A:A,D373)&gt;0,"Yes","No")</f>
        <v>Yes</v>
      </c>
      <c r="Q373" s="124" t="str" cm="1">
        <f t="array" ref="Q373">_xlfn.XLOOKUP(1,('Case Pack'!$A$4:$A$962=C373)*('Case Pack'!$L$4:$L$962&gt;0)*('Case Pack'!$L$4:$L$962&lt;=A373),'Case Pack'!$G$4:$G$962,"未找到箱型")</f>
        <v>A</v>
      </c>
      <c r="R373" s="124">
        <f>ROUND(IFERROR(VLOOKUP(Q373,'Case Type'!A:H,8,0),0)*O373,2)</f>
        <v>0.66</v>
      </c>
    </row>
    <row r="374" customFormat="1" spans="1:18">
      <c r="A374" s="113">
        <v>46155</v>
      </c>
      <c r="B374" s="91" t="str">
        <f>_xlfn.XLOOKUP(C374,'Product List'!B:B,'Product List'!I:I)</f>
        <v>D. MMO-COTTAGE VIEW CAGE</v>
      </c>
      <c r="C374" s="124" t="s">
        <v>64</v>
      </c>
      <c r="D374" s="125">
        <v>31151334</v>
      </c>
      <c r="E374" s="125">
        <v>1</v>
      </c>
      <c r="F374" s="125">
        <v>70.28</v>
      </c>
      <c r="G374" s="125">
        <f t="shared" si="10"/>
        <v>70.28</v>
      </c>
      <c r="H374" s="86" t="s">
        <v>298</v>
      </c>
      <c r="I374" s="86" t="s">
        <v>92</v>
      </c>
      <c r="J374" s="124" t="s">
        <v>327</v>
      </c>
      <c r="K374" s="126">
        <v>46220</v>
      </c>
      <c r="L374" s="251">
        <v>46216</v>
      </c>
      <c r="M374" s="127">
        <f>_xlfn.XLOOKUP(C374,'Product List'!B:B,'Product List'!R:R)</f>
        <v>28.56</v>
      </c>
      <c r="N374" s="124">
        <f t="shared" si="11"/>
        <v>28.56</v>
      </c>
      <c r="O374" s="124" cm="1">
        <f t="array" ref="O374">E374/_xlfn.XLOOKUP(1,('Case Pack'!$A$4:$A$962=C374)*('Case Pack'!$L$4:$L$962&gt;0)*('Case Pack'!$L$4:$L$962&lt;=A374),'Case Pack'!$D$4:$D$962,"未找到箱规")</f>
        <v>1</v>
      </c>
      <c r="P374" s="124" t="str">
        <f>IF(COUNTIF('PO Check'!A:A,D374)&gt;0,"Yes","No")</f>
        <v>Yes</v>
      </c>
      <c r="Q374" s="124" t="str" cm="1">
        <f t="array" ref="Q374">_xlfn.XLOOKUP(1,('Case Pack'!$A$4:$A$962=C374)*('Case Pack'!$L$4:$L$962&gt;0)*('Case Pack'!$L$4:$L$962&lt;=A374),'Case Pack'!$G$4:$G$962,"未找到箱型")</f>
        <v>S3</v>
      </c>
      <c r="R374" s="124">
        <f>ROUND(IFERROR(VLOOKUP(Q374,'Case Type'!A:H,8,0),0)*O374,2)</f>
        <v>0.14</v>
      </c>
    </row>
    <row r="375" customFormat="1" spans="1:18">
      <c r="A375" s="113">
        <v>46155</v>
      </c>
      <c r="B375" s="91" t="str">
        <f>_xlfn.XLOOKUP(C375,'Product List'!B:B,'Product List'!I:I)</f>
        <v>MMO-BUBBLE WATER BOTTLE</v>
      </c>
      <c r="C375" s="259" t="s">
        <v>67</v>
      </c>
      <c r="D375" s="238">
        <v>31151334</v>
      </c>
      <c r="E375" s="238">
        <v>252</v>
      </c>
      <c r="F375" s="125">
        <v>4.35</v>
      </c>
      <c r="G375" s="125">
        <f t="shared" si="10"/>
        <v>1096.2</v>
      </c>
      <c r="H375" s="86" t="s">
        <v>298</v>
      </c>
      <c r="I375" s="86" t="s">
        <v>92</v>
      </c>
      <c r="J375" s="124" t="s">
        <v>327</v>
      </c>
      <c r="K375" s="126">
        <v>46220</v>
      </c>
      <c r="L375" s="251">
        <v>46216</v>
      </c>
      <c r="M375" s="127">
        <f>_xlfn.XLOOKUP(C375,'Product List'!B:B,'Product List'!R:R)</f>
        <v>3.1</v>
      </c>
      <c r="N375" s="124">
        <f t="shared" si="11"/>
        <v>781.2</v>
      </c>
      <c r="O375" s="124" cm="1">
        <f t="array" ref="O375">E375/_xlfn.XLOOKUP(1,('Case Pack'!$A$4:$A$962=C375)*('Case Pack'!$L$4:$L$962&gt;0)*('Case Pack'!$L$4:$L$962&lt;=A375),'Case Pack'!$D$4:$D$962,"未找到箱规")</f>
        <v>6</v>
      </c>
      <c r="P375" s="124" t="str">
        <f>IF(COUNTIF('PO Check'!A:A,D375)&gt;0,"Yes","No")</f>
        <v>Yes</v>
      </c>
      <c r="Q375" s="124" t="str" cm="1">
        <f t="array" ref="Q375">_xlfn.XLOOKUP(1,('Case Pack'!$A$4:$A$962=C375)*('Case Pack'!$L$4:$L$962&gt;0)*('Case Pack'!$L$4:$L$962&lt;=A375),'Case Pack'!$G$4:$G$962,"未找到箱型")</f>
        <v>C</v>
      </c>
      <c r="R375" s="124">
        <f>ROUND(IFERROR(VLOOKUP(Q375,'Case Type'!A:H,8,0),0)*O375,2)</f>
        <v>0.94</v>
      </c>
    </row>
    <row r="376" customFormat="1" spans="1:18">
      <c r="A376" s="113">
        <v>46155</v>
      </c>
      <c r="B376" s="91" t="str">
        <f>_xlfn.XLOOKUP(C376,'Product List'!B:B,'Product List'!I:I)</f>
        <v>MMO-SHELL PEARL HAMSTER CHEW</v>
      </c>
      <c r="C376" s="124" t="s">
        <v>35</v>
      </c>
      <c r="D376" s="125">
        <v>31151334</v>
      </c>
      <c r="E376" s="125">
        <v>256</v>
      </c>
      <c r="F376" s="125">
        <v>1.61</v>
      </c>
      <c r="G376" s="125">
        <f t="shared" si="10"/>
        <v>412.16</v>
      </c>
      <c r="H376" s="86" t="s">
        <v>298</v>
      </c>
      <c r="I376" s="86" t="s">
        <v>92</v>
      </c>
      <c r="J376" s="124" t="s">
        <v>327</v>
      </c>
      <c r="K376" s="126">
        <v>46220</v>
      </c>
      <c r="L376" s="251">
        <v>46216</v>
      </c>
      <c r="M376" s="127">
        <f>_xlfn.XLOOKUP(C376,'Product List'!B:B,'Product List'!R:R)</f>
        <v>0.96</v>
      </c>
      <c r="N376" s="124">
        <f t="shared" si="11"/>
        <v>245.76</v>
      </c>
      <c r="O376" s="124" cm="1">
        <f t="array" ref="O376">E376/_xlfn.XLOOKUP(1,('Case Pack'!$A$4:$A$962=C376)*('Case Pack'!$L$4:$L$962&gt;0)*('Case Pack'!$L$4:$L$962&lt;=A376),'Case Pack'!$D$4:$D$962,"未找到箱规")</f>
        <v>4</v>
      </c>
      <c r="P376" s="124" t="str">
        <f>IF(COUNTIF('PO Check'!A:A,D376)&gt;0,"Yes","No")</f>
        <v>Yes</v>
      </c>
      <c r="Q376" s="124" t="str" cm="1">
        <f t="array" ref="Q376">_xlfn.XLOOKUP(1,('Case Pack'!$A$4:$A$962=C376)*('Case Pack'!$L$4:$L$962&gt;0)*('Case Pack'!$L$4:$L$962&lt;=A376),'Case Pack'!$G$4:$G$962,"未找到箱型")</f>
        <v>B</v>
      </c>
      <c r="R376" s="124">
        <f>ROUND(IFERROR(VLOOKUP(Q376,'Case Type'!A:H,8,0),0)*O376,2)</f>
        <v>0.29</v>
      </c>
    </row>
    <row r="377" customFormat="1" spans="1:18">
      <c r="A377" s="113">
        <v>46155</v>
      </c>
      <c r="B377" s="91" t="str">
        <f>_xlfn.XLOOKUP(C377,'Product List'!B:B,'Product List'!I:I)</f>
        <v>MMO-GREEN APPLE CHEW</v>
      </c>
      <c r="C377" s="124" t="s">
        <v>33</v>
      </c>
      <c r="D377" s="125">
        <v>31151334</v>
      </c>
      <c r="E377" s="125">
        <v>288</v>
      </c>
      <c r="F377" s="125">
        <v>1.53</v>
      </c>
      <c r="G377" s="125">
        <f t="shared" si="10"/>
        <v>440.64</v>
      </c>
      <c r="H377" s="86" t="s">
        <v>298</v>
      </c>
      <c r="I377" s="86" t="s">
        <v>92</v>
      </c>
      <c r="J377" s="124" t="s">
        <v>327</v>
      </c>
      <c r="K377" s="126">
        <v>46220</v>
      </c>
      <c r="L377" s="251">
        <v>46216</v>
      </c>
      <c r="M377" s="127">
        <f>_xlfn.XLOOKUP(C377,'Product List'!B:B,'Product List'!R:R)</f>
        <v>1.04</v>
      </c>
      <c r="N377" s="124">
        <f t="shared" si="11"/>
        <v>299.52</v>
      </c>
      <c r="O377" s="124" cm="1">
        <f t="array" ref="O377">E377/_xlfn.XLOOKUP(1,('Case Pack'!$A$4:$A$962=C377)*('Case Pack'!$L$4:$L$962&gt;0)*('Case Pack'!$L$4:$L$962&lt;=A377),'Case Pack'!$D$4:$D$962,"未找到箱规")</f>
        <v>6</v>
      </c>
      <c r="P377" s="124" t="str">
        <f>IF(COUNTIF('PO Check'!A:A,D377)&gt;0,"Yes","No")</f>
        <v>Yes</v>
      </c>
      <c r="Q377" s="124" t="str" cm="1">
        <f t="array" ref="Q377">_xlfn.XLOOKUP(1,('Case Pack'!$A$4:$A$962=C377)*('Case Pack'!$L$4:$L$962&gt;0)*('Case Pack'!$L$4:$L$962&lt;=A377),'Case Pack'!$G$4:$G$962,"未找到箱型")</f>
        <v>B</v>
      </c>
      <c r="R377" s="124">
        <f>ROUND(IFERROR(VLOOKUP(Q377,'Case Type'!A:H,8,0),0)*O377,2)</f>
        <v>0.44</v>
      </c>
    </row>
    <row r="378" customFormat="1" spans="1:18">
      <c r="A378" s="113">
        <v>46155</v>
      </c>
      <c r="B378" s="91" t="str">
        <f>_xlfn.XLOOKUP(C378,'Product List'!B:B,'Product List'!I:I)</f>
        <v>MMO-CAMP LUNCH BOX CHEW</v>
      </c>
      <c r="C378" s="124" t="s">
        <v>34</v>
      </c>
      <c r="D378" s="125">
        <v>31151334</v>
      </c>
      <c r="E378" s="125">
        <v>288</v>
      </c>
      <c r="F378" s="125">
        <v>2.48</v>
      </c>
      <c r="G378" s="125">
        <f t="shared" si="10"/>
        <v>714.24</v>
      </c>
      <c r="H378" s="86" t="s">
        <v>298</v>
      </c>
      <c r="I378" s="86" t="s">
        <v>92</v>
      </c>
      <c r="J378" s="124" t="s">
        <v>327</v>
      </c>
      <c r="K378" s="126">
        <v>46220</v>
      </c>
      <c r="L378" s="251">
        <v>46216</v>
      </c>
      <c r="M378" s="127">
        <f>_xlfn.XLOOKUP(C378,'Product List'!B:B,'Product List'!R:R)</f>
        <v>1.59</v>
      </c>
      <c r="N378" s="124">
        <f t="shared" si="11"/>
        <v>457.92</v>
      </c>
      <c r="O378" s="124" cm="1">
        <f t="array" ref="O378">E378/_xlfn.XLOOKUP(1,('Case Pack'!$A$4:$A$962=C378)*('Case Pack'!$L$4:$L$962&gt;0)*('Case Pack'!$L$4:$L$962&lt;=A378),'Case Pack'!$D$4:$D$962,"未找到箱规")</f>
        <v>4</v>
      </c>
      <c r="P378" s="124" t="str">
        <f>IF(COUNTIF('PO Check'!A:A,D378)&gt;0,"Yes","No")</f>
        <v>Yes</v>
      </c>
      <c r="Q378" s="124" t="str" cm="1">
        <f t="array" ref="Q378">_xlfn.XLOOKUP(1,('Case Pack'!$A$4:$A$962=C378)*('Case Pack'!$L$4:$L$962&gt;0)*('Case Pack'!$L$4:$L$962&lt;=A378),'Case Pack'!$G$4:$G$962,"未找到箱型")</f>
        <v>B</v>
      </c>
      <c r="R378" s="124">
        <f>ROUND(IFERROR(VLOOKUP(Q378,'Case Type'!A:H,8,0),0)*O378,2)</f>
        <v>0.29</v>
      </c>
    </row>
    <row r="379" customFormat="1" spans="1:18">
      <c r="A379" s="113">
        <v>46162</v>
      </c>
      <c r="B379" s="91" t="str">
        <f>_xlfn.XLOOKUP(C379,'Product List'!B:B,'Product List'!I:I)</f>
        <v>MINI/MOE BENDABLE BIRCHWOOD FENCE</v>
      </c>
      <c r="C379" s="124" t="s">
        <v>62</v>
      </c>
      <c r="D379" s="125">
        <v>31205994</v>
      </c>
      <c r="E379" s="125">
        <v>32</v>
      </c>
      <c r="F379" s="125">
        <v>5.01</v>
      </c>
      <c r="G379" s="125">
        <f t="shared" si="10"/>
        <v>160.32</v>
      </c>
      <c r="H379" s="86" t="s">
        <v>298</v>
      </c>
      <c r="I379" s="86" t="s">
        <v>92</v>
      </c>
      <c r="J379" s="124" t="s">
        <v>322</v>
      </c>
      <c r="K379" s="126">
        <v>46231</v>
      </c>
      <c r="L379" s="251">
        <v>46227</v>
      </c>
      <c r="M379" s="127">
        <f>_xlfn.XLOOKUP(C379,'Product List'!B:B,'Product List'!R:R)</f>
        <v>3.4</v>
      </c>
      <c r="N379" s="124">
        <f t="shared" si="11"/>
        <v>108.8</v>
      </c>
      <c r="O379" s="124" cm="1">
        <f t="array" ref="O379">E379/_xlfn.XLOOKUP(1,('Case Pack'!$A$4:$A$962=C379)*('Case Pack'!$L$4:$L$962&gt;0)*('Case Pack'!$L$4:$L$962&lt;=A379),'Case Pack'!$D$4:$D$962,"未找到箱规")</f>
        <v>1</v>
      </c>
      <c r="P379" s="124" t="str">
        <f>IF(COUNTIF('PO Check'!A:A,D379)&gt;0,"Yes","No")</f>
        <v>Yes</v>
      </c>
      <c r="Q379" s="124" t="str" cm="1">
        <f t="array" ref="Q379">_xlfn.XLOOKUP(1,('Case Pack'!$A$4:$A$962=C379)*('Case Pack'!$L$4:$L$962&gt;0)*('Case Pack'!$L$4:$L$962&lt;=A379),'Case Pack'!$G$4:$G$962,"未找到箱型")</f>
        <v>F</v>
      </c>
      <c r="R379" s="124">
        <f>ROUND(IFERROR(VLOOKUP(Q379,'Case Type'!A:H,8,0),0)*O379,2)</f>
        <v>0.04</v>
      </c>
    </row>
    <row r="380" customFormat="1" spans="1:18">
      <c r="A380" s="113">
        <v>46162</v>
      </c>
      <c r="B380" s="91" t="str">
        <f>_xlfn.XLOOKUP(C380,'Product List'!B:B,'Product List'!I:I)</f>
        <v>MMO-CLOUD WATER BOTTLE</v>
      </c>
      <c r="C380" s="124" t="s">
        <v>77</v>
      </c>
      <c r="D380" s="125">
        <v>31205994</v>
      </c>
      <c r="E380" s="125">
        <v>50</v>
      </c>
      <c r="F380" s="125">
        <v>1.32</v>
      </c>
      <c r="G380" s="125">
        <f t="shared" si="10"/>
        <v>66</v>
      </c>
      <c r="H380" s="86" t="s">
        <v>298</v>
      </c>
      <c r="I380" s="86" t="s">
        <v>92</v>
      </c>
      <c r="J380" s="124" t="s">
        <v>322</v>
      </c>
      <c r="K380" s="126">
        <v>46231</v>
      </c>
      <c r="L380" s="251">
        <v>46227</v>
      </c>
      <c r="M380" s="127">
        <f>_xlfn.XLOOKUP(C380,'Product List'!B:B,'Product List'!R:R)</f>
        <v>0.62</v>
      </c>
      <c r="N380" s="124">
        <f t="shared" si="11"/>
        <v>31</v>
      </c>
      <c r="O380" s="124" cm="1">
        <f t="array" ref="O380">E380/_xlfn.XLOOKUP(1,('Case Pack'!$A$4:$A$962=C380)*('Case Pack'!$L$4:$L$962&gt;0)*('Case Pack'!$L$4:$L$962&lt;=A380),'Case Pack'!$D$4:$D$962,"未找到箱规")</f>
        <v>1</v>
      </c>
      <c r="P380" s="124" t="str">
        <f>IF(COUNTIF('PO Check'!A:A,D380)&gt;0,"Yes","No")</f>
        <v>Yes</v>
      </c>
      <c r="Q380" s="124" t="str" cm="1">
        <f t="array" ref="Q380">_xlfn.XLOOKUP(1,('Case Pack'!$A$4:$A$962=C380)*('Case Pack'!$L$4:$L$962&gt;0)*('Case Pack'!$L$4:$L$962&lt;=A380),'Case Pack'!$G$4:$G$962,"未找到箱型")</f>
        <v>A</v>
      </c>
      <c r="R380" s="124">
        <f>ROUND(IFERROR(VLOOKUP(Q380,'Case Type'!A:H,8,0),0)*O380,2)</f>
        <v>0.11</v>
      </c>
    </row>
    <row r="381" customFormat="1" spans="1:18">
      <c r="A381" s="113">
        <v>46162</v>
      </c>
      <c r="B381" s="91" t="str">
        <f>_xlfn.XLOOKUP(C381,'Product List'!B:B,'Product List'!I:I)</f>
        <v>MMO-COTTON NESTING BALLS</v>
      </c>
      <c r="C381" s="86" t="s">
        <v>84</v>
      </c>
      <c r="D381" s="125">
        <v>31205994</v>
      </c>
      <c r="E381" s="125">
        <v>32</v>
      </c>
      <c r="F381" s="125">
        <v>3.37</v>
      </c>
      <c r="G381" s="125">
        <f t="shared" si="10"/>
        <v>107.84</v>
      </c>
      <c r="H381" s="86" t="s">
        <v>298</v>
      </c>
      <c r="I381" s="86" t="s">
        <v>92</v>
      </c>
      <c r="J381" s="124" t="s">
        <v>322</v>
      </c>
      <c r="K381" s="126">
        <v>46231</v>
      </c>
      <c r="L381" s="251">
        <v>46227</v>
      </c>
      <c r="M381" s="127">
        <f>_xlfn.XLOOKUP(C381,'Product List'!B:B,'Product List'!R:R)</f>
        <v>1.64</v>
      </c>
      <c r="N381" s="124">
        <f t="shared" si="11"/>
        <v>52.48</v>
      </c>
      <c r="O381" s="124" cm="1">
        <f t="array" ref="O381">E381/_xlfn.XLOOKUP(1,('Case Pack'!$A$4:$A$962=C381)*('Case Pack'!$L$4:$L$962&gt;0)*('Case Pack'!$L$4:$L$962&lt;=A381),'Case Pack'!$D$4:$D$962,"未找到箱规")</f>
        <v>1</v>
      </c>
      <c r="P381" s="124" t="str">
        <f>IF(COUNTIF('PO Check'!A:A,D381)&gt;0,"Yes","No")</f>
        <v>Yes</v>
      </c>
      <c r="Q381" s="124" t="str" cm="1">
        <f t="array" ref="Q381">_xlfn.XLOOKUP(1,('Case Pack'!$A$4:$A$962=C381)*('Case Pack'!$L$4:$L$962&gt;0)*('Case Pack'!$L$4:$L$962&lt;=A381),'Case Pack'!$G$4:$G$962,"未找到箱型")</f>
        <v>A</v>
      </c>
      <c r="R381" s="124">
        <f>ROUND(IFERROR(VLOOKUP(Q381,'Case Type'!A:H,8,0),0)*O381,2)</f>
        <v>0.11</v>
      </c>
    </row>
    <row r="382" customFormat="1" spans="1:18">
      <c r="A382" s="113">
        <v>46162</v>
      </c>
      <c r="B382" s="91" t="str">
        <f>_xlfn.XLOOKUP(C382,'Product List'!B:B,'Product List'!I:I)</f>
        <v>MINI/MOE TV VIEWING CAGE</v>
      </c>
      <c r="C382" s="124" t="s">
        <v>50</v>
      </c>
      <c r="D382" s="125">
        <v>31205994</v>
      </c>
      <c r="E382" s="125">
        <v>35</v>
      </c>
      <c r="F382" s="125">
        <v>48.49</v>
      </c>
      <c r="G382" s="125">
        <f t="shared" si="10"/>
        <v>1697.15</v>
      </c>
      <c r="H382" s="86" t="s">
        <v>298</v>
      </c>
      <c r="I382" s="86" t="s">
        <v>92</v>
      </c>
      <c r="J382" s="124" t="s">
        <v>322</v>
      </c>
      <c r="K382" s="126">
        <v>46231</v>
      </c>
      <c r="L382" s="251">
        <v>46227</v>
      </c>
      <c r="M382" s="127">
        <f>_xlfn.XLOOKUP(C382,'Product List'!B:B,'Product List'!R:R)</f>
        <v>24.09</v>
      </c>
      <c r="N382" s="124">
        <f t="shared" si="11"/>
        <v>843.15</v>
      </c>
      <c r="O382" s="124" cm="1">
        <f t="array" ref="O382">E382/_xlfn.XLOOKUP(1,('Case Pack'!$A$4:$A$962=C382)*('Case Pack'!$L$4:$L$962&gt;0)*('Case Pack'!$L$4:$L$962&lt;=A382),'Case Pack'!$D$4:$D$962,"未找到箱规")</f>
        <v>35</v>
      </c>
      <c r="P382" s="124" t="str">
        <f>IF(COUNTIF('PO Check'!A:A,D382)&gt;0,"Yes","No")</f>
        <v>Yes</v>
      </c>
      <c r="Q382" s="124" t="str" cm="1">
        <f t="array" ref="Q382">_xlfn.XLOOKUP(1,('Case Pack'!$A$4:$A$962=C382)*('Case Pack'!$L$4:$L$962&gt;0)*('Case Pack'!$L$4:$L$962&lt;=A382),'Case Pack'!$G$4:$G$962,"未找到箱型")</f>
        <v>S1</v>
      </c>
      <c r="R382" s="124">
        <f>ROUND(IFERROR(VLOOKUP(Q382,'Case Type'!A:H,8,0),0)*O382,2)</f>
        <v>2.59</v>
      </c>
    </row>
    <row r="383" customFormat="1" spans="1:18">
      <c r="A383" s="113">
        <v>46162</v>
      </c>
      <c r="B383" s="91" t="str">
        <f>_xlfn.XLOOKUP(C383,'Product List'!B:B,'Product List'!I:I)</f>
        <v>MMO-BUBBLE WATER BOTTLE</v>
      </c>
      <c r="C383" s="108" t="s">
        <v>67</v>
      </c>
      <c r="D383" s="263">
        <v>31205994</v>
      </c>
      <c r="E383" s="263">
        <v>210</v>
      </c>
      <c r="F383" s="263">
        <v>4.35</v>
      </c>
      <c r="G383" s="263">
        <f t="shared" si="10"/>
        <v>913.5</v>
      </c>
      <c r="H383" s="99" t="s">
        <v>298</v>
      </c>
      <c r="I383" s="86" t="s">
        <v>92</v>
      </c>
      <c r="J383" s="108" t="s">
        <v>322</v>
      </c>
      <c r="K383" s="126">
        <v>46231</v>
      </c>
      <c r="L383" s="251">
        <v>46227</v>
      </c>
      <c r="M383" s="127">
        <f>_xlfn.XLOOKUP(C383,'Product List'!B:B,'Product List'!R:R)</f>
        <v>3.1</v>
      </c>
      <c r="N383" s="124">
        <f t="shared" si="11"/>
        <v>651</v>
      </c>
      <c r="O383" s="124" cm="1">
        <f t="array" ref="O383">E383/_xlfn.XLOOKUP(1,('Case Pack'!$A$4:$A$962=C383)*('Case Pack'!$L$4:$L$962&gt;0)*('Case Pack'!$L$4:$L$962&lt;=A383),'Case Pack'!$D$4:$D$962,"未找到箱规")</f>
        <v>5</v>
      </c>
      <c r="P383" s="124" t="str">
        <f>IF(COUNTIF('PO Check'!A:A,D383)&gt;0,"Yes","No")</f>
        <v>Yes</v>
      </c>
      <c r="Q383" s="124" t="str" cm="1">
        <f t="array" ref="Q383">_xlfn.XLOOKUP(1,('Case Pack'!$A$4:$A$962=C383)*('Case Pack'!$L$4:$L$962&gt;0)*('Case Pack'!$L$4:$L$962&lt;=A383),'Case Pack'!$G$4:$G$962,"未找到箱型")</f>
        <v>C</v>
      </c>
      <c r="R383" s="124">
        <f>ROUND(IFERROR(VLOOKUP(Q383,'Case Type'!A:H,8,0),0)*O383,2)</f>
        <v>0.79</v>
      </c>
    </row>
    <row r="384" customFormat="1" spans="1:18">
      <c r="A384" s="113">
        <v>46162</v>
      </c>
      <c r="B384" s="91" t="str">
        <f>_xlfn.XLOOKUP(C384,'Product List'!B:B,'Product List'!I:I)</f>
        <v>MMO-CAMP LUNCH BOX CHEW</v>
      </c>
      <c r="C384" s="124" t="s">
        <v>34</v>
      </c>
      <c r="D384" s="125">
        <v>31205994</v>
      </c>
      <c r="E384" s="125">
        <v>72</v>
      </c>
      <c r="F384" s="125">
        <v>2.48</v>
      </c>
      <c r="G384" s="125">
        <f t="shared" si="10"/>
        <v>178.56</v>
      </c>
      <c r="H384" s="86" t="s">
        <v>298</v>
      </c>
      <c r="I384" s="86" t="s">
        <v>92</v>
      </c>
      <c r="J384" s="124" t="s">
        <v>322</v>
      </c>
      <c r="K384" s="126">
        <v>46231</v>
      </c>
      <c r="L384" s="251">
        <v>46227</v>
      </c>
      <c r="M384" s="127">
        <f>_xlfn.XLOOKUP(C384,'Product List'!B:B,'Product List'!R:R)</f>
        <v>1.59</v>
      </c>
      <c r="N384" s="124">
        <f t="shared" si="11"/>
        <v>114.48</v>
      </c>
      <c r="O384" s="124" cm="1">
        <f t="array" ref="O384">E384/_xlfn.XLOOKUP(1,('Case Pack'!$A$4:$A$962=C384)*('Case Pack'!$L$4:$L$962&gt;0)*('Case Pack'!$L$4:$L$962&lt;=A384),'Case Pack'!$D$4:$D$962,"未找到箱规")</f>
        <v>1</v>
      </c>
      <c r="P384" s="124" t="str">
        <f>IF(COUNTIF('PO Check'!A:A,D384)&gt;0,"Yes","No")</f>
        <v>Yes</v>
      </c>
      <c r="Q384" s="124" t="str" cm="1">
        <f t="array" ref="Q384">_xlfn.XLOOKUP(1,('Case Pack'!$A$4:$A$962=C384)*('Case Pack'!$L$4:$L$962&gt;0)*('Case Pack'!$L$4:$L$962&lt;=A384),'Case Pack'!$G$4:$G$962,"未找到箱型")</f>
        <v>B</v>
      </c>
      <c r="R384" s="124">
        <f>ROUND(IFERROR(VLOOKUP(Q384,'Case Type'!A:H,8,0),0)*O384,2)</f>
        <v>0.07</v>
      </c>
    </row>
    <row r="385" customFormat="1" spans="1:18">
      <c r="A385" s="113">
        <v>46162</v>
      </c>
      <c r="B385" s="91" t="str">
        <f>_xlfn.XLOOKUP(C385,'Product List'!B:B,'Product List'!I:I)</f>
        <v>MINI/MOE RUFFLE BOWL</v>
      </c>
      <c r="C385" s="259" t="s">
        <v>78</v>
      </c>
      <c r="D385" s="238">
        <v>31205995</v>
      </c>
      <c r="E385" s="238">
        <v>48</v>
      </c>
      <c r="F385" s="125">
        <v>2.35</v>
      </c>
      <c r="G385" s="125">
        <f t="shared" si="10"/>
        <v>112.8</v>
      </c>
      <c r="H385" s="86" t="s">
        <v>298</v>
      </c>
      <c r="I385" s="86" t="s">
        <v>92</v>
      </c>
      <c r="J385" s="124" t="s">
        <v>323</v>
      </c>
      <c r="K385" s="126">
        <v>46225</v>
      </c>
      <c r="L385" s="251">
        <v>46218</v>
      </c>
      <c r="M385" s="127">
        <f>_xlfn.XLOOKUP(C385,'Product List'!B:B,'Product List'!R:R)</f>
        <v>1.34</v>
      </c>
      <c r="N385" s="124">
        <f t="shared" si="11"/>
        <v>64.32</v>
      </c>
      <c r="O385" s="124" cm="1">
        <f t="array" ref="O385">E385/_xlfn.XLOOKUP(1,('Case Pack'!$A$4:$A$962=C385)*('Case Pack'!$L$4:$L$962&gt;0)*('Case Pack'!$L$4:$L$962&lt;=A385),'Case Pack'!$D$4:$D$962,"未找到箱规")</f>
        <v>1</v>
      </c>
      <c r="P385" s="124" t="str">
        <f>IF(COUNTIF('PO Check'!A:A,D385)&gt;0,"Yes","No")</f>
        <v>Yes</v>
      </c>
      <c r="Q385" s="124" t="str" cm="1">
        <f t="array" ref="Q385">_xlfn.XLOOKUP(1,('Case Pack'!$A$4:$A$962=C385)*('Case Pack'!$L$4:$L$962&gt;0)*('Case Pack'!$L$4:$L$962&lt;=A385),'Case Pack'!$G$4:$G$962,"未找到箱型")</f>
        <v>B</v>
      </c>
      <c r="R385" s="124">
        <f>ROUND(IFERROR(VLOOKUP(Q385,'Case Type'!A:H,8,0),0)*O385,2)</f>
        <v>0.07</v>
      </c>
    </row>
    <row r="386" customFormat="1" spans="1:18">
      <c r="A386" s="113">
        <v>46162</v>
      </c>
      <c r="B386" s="91" t="str">
        <f>_xlfn.XLOOKUP(C386,'Product List'!B:B,'Product List'!I:I)</f>
        <v>MINI/MOE TV VIEWING CAGE</v>
      </c>
      <c r="C386" s="124" t="s">
        <v>50</v>
      </c>
      <c r="D386" s="125">
        <v>31205995</v>
      </c>
      <c r="E386" s="125">
        <v>53</v>
      </c>
      <c r="F386" s="125">
        <v>48.49</v>
      </c>
      <c r="G386" s="125">
        <f t="shared" si="10"/>
        <v>2569.97</v>
      </c>
      <c r="H386" s="86" t="s">
        <v>298</v>
      </c>
      <c r="I386" s="86" t="s">
        <v>92</v>
      </c>
      <c r="J386" s="124" t="s">
        <v>323</v>
      </c>
      <c r="K386" s="126">
        <v>46225</v>
      </c>
      <c r="L386" s="251">
        <v>46218</v>
      </c>
      <c r="M386" s="127">
        <f>_xlfn.XLOOKUP(C386,'Product List'!B:B,'Product List'!R:R)</f>
        <v>24.09</v>
      </c>
      <c r="N386" s="124">
        <f t="shared" si="11"/>
        <v>1276.77</v>
      </c>
      <c r="O386" s="124" cm="1">
        <f t="array" ref="O386">E386/_xlfn.XLOOKUP(1,('Case Pack'!$A$4:$A$962=C386)*('Case Pack'!$L$4:$L$962&gt;0)*('Case Pack'!$L$4:$L$962&lt;=A386),'Case Pack'!$D$4:$D$962,"未找到箱规")</f>
        <v>53</v>
      </c>
      <c r="P386" s="124" t="str">
        <f>IF(COUNTIF('PO Check'!A:A,D386)&gt;0,"Yes","No")</f>
        <v>Yes</v>
      </c>
      <c r="Q386" s="124" t="str" cm="1">
        <f t="array" ref="Q386">_xlfn.XLOOKUP(1,('Case Pack'!$A$4:$A$962=C386)*('Case Pack'!$L$4:$L$962&gt;0)*('Case Pack'!$L$4:$L$962&lt;=A386),'Case Pack'!$G$4:$G$962,"未找到箱型")</f>
        <v>S1</v>
      </c>
      <c r="R386" s="124">
        <f>ROUND(IFERROR(VLOOKUP(Q386,'Case Type'!A:H,8,0),0)*O386,2)</f>
        <v>3.92</v>
      </c>
    </row>
    <row r="387" customFormat="1" spans="1:18">
      <c r="A387" s="113">
        <v>46162</v>
      </c>
      <c r="B387" s="91" t="str">
        <f>_xlfn.XLOOKUP(C387,'Product List'!B:B,'Product List'!I:I)</f>
        <v>MMO-BUBBLE WATER BOTTLE</v>
      </c>
      <c r="C387" s="259" t="s">
        <v>67</v>
      </c>
      <c r="D387" s="238">
        <v>31205995</v>
      </c>
      <c r="E387" s="238">
        <v>84</v>
      </c>
      <c r="F387" s="125">
        <v>4.35</v>
      </c>
      <c r="G387" s="125">
        <f t="shared" si="10"/>
        <v>365.4</v>
      </c>
      <c r="H387" s="86" t="s">
        <v>298</v>
      </c>
      <c r="I387" s="86" t="s">
        <v>92</v>
      </c>
      <c r="J387" s="259" t="s">
        <v>323</v>
      </c>
      <c r="K387" s="126">
        <v>46225</v>
      </c>
      <c r="L387" s="251">
        <v>46218</v>
      </c>
      <c r="M387" s="127">
        <f>_xlfn.XLOOKUP(C387,'Product List'!B:B,'Product List'!R:R)</f>
        <v>3.1</v>
      </c>
      <c r="N387" s="124">
        <f t="shared" si="11"/>
        <v>260.4</v>
      </c>
      <c r="O387" s="124" cm="1">
        <f t="array" ref="O387">E387/_xlfn.XLOOKUP(1,('Case Pack'!$A$4:$A$962=C387)*('Case Pack'!$L$4:$L$962&gt;0)*('Case Pack'!$L$4:$L$962&lt;=A387),'Case Pack'!$D$4:$D$962,"未找到箱规")</f>
        <v>2</v>
      </c>
      <c r="P387" s="124" t="str">
        <f>IF(COUNTIF('PO Check'!A:A,D387)&gt;0,"Yes","No")</f>
        <v>Yes</v>
      </c>
      <c r="Q387" s="124" t="str" cm="1">
        <f t="array" ref="Q387">_xlfn.XLOOKUP(1,('Case Pack'!$A$4:$A$962=C387)*('Case Pack'!$L$4:$L$962&gt;0)*('Case Pack'!$L$4:$L$962&lt;=A387),'Case Pack'!$G$4:$G$962,"未找到箱型")</f>
        <v>C</v>
      </c>
      <c r="R387" s="124">
        <f>ROUND(IFERROR(VLOOKUP(Q387,'Case Type'!A:H,8,0),0)*O387,2)</f>
        <v>0.31</v>
      </c>
    </row>
    <row r="388" customFormat="1" spans="1:18">
      <c r="A388" s="113">
        <v>46162</v>
      </c>
      <c r="B388" s="91" t="str">
        <f>_xlfn.XLOOKUP(C388,'Product List'!B:B,'Product List'!I:I)</f>
        <v>MINI/MOE SILENT CRSTL RUN WHEEL LG 8.5-White</v>
      </c>
      <c r="C388" s="124" t="s">
        <v>29</v>
      </c>
      <c r="D388" s="125">
        <v>31205996</v>
      </c>
      <c r="E388" s="125">
        <v>56</v>
      </c>
      <c r="F388" s="125">
        <v>13.22</v>
      </c>
      <c r="G388" s="125">
        <f t="shared" si="10"/>
        <v>740.32</v>
      </c>
      <c r="H388" s="86" t="s">
        <v>298</v>
      </c>
      <c r="I388" s="86" t="s">
        <v>92</v>
      </c>
      <c r="J388" s="124" t="s">
        <v>317</v>
      </c>
      <c r="K388" s="126">
        <v>46197</v>
      </c>
      <c r="L388" s="126">
        <v>46197</v>
      </c>
      <c r="M388" s="127">
        <f>_xlfn.XLOOKUP(C388,'Product List'!B:B,'Product List'!R:R)</f>
        <v>6.27</v>
      </c>
      <c r="N388" s="124">
        <f t="shared" si="11"/>
        <v>351.12</v>
      </c>
      <c r="O388" s="124" cm="1">
        <f t="array" ref="O388">E388/_xlfn.XLOOKUP(1,('Case Pack'!$A$4:$A$962=C388)*('Case Pack'!$L$4:$L$962&gt;0)*('Case Pack'!$L$4:$L$962&lt;=A388),'Case Pack'!$D$4:$D$962,"未找到箱规")</f>
        <v>7</v>
      </c>
      <c r="P388" s="124" t="str">
        <f>IF(COUNTIF('PO Check'!A:A,D388)&gt;0,"Yes","No")</f>
        <v>Yes</v>
      </c>
      <c r="Q388" s="124" t="str" cm="1">
        <f t="array" ref="Q388">_xlfn.XLOOKUP(1,('Case Pack'!$A$4:$A$962=C388)*('Case Pack'!$L$4:$L$962&gt;0)*('Case Pack'!$L$4:$L$962&lt;=A388),'Case Pack'!$G$4:$G$962,"未找到箱型")</f>
        <v>C</v>
      </c>
      <c r="R388" s="124">
        <f>ROUND(IFERROR(VLOOKUP(Q388,'Case Type'!A:H,8,0),0)*O388,2)</f>
        <v>1.1</v>
      </c>
    </row>
    <row r="389" customFormat="1" spans="1:18">
      <c r="A389" s="113">
        <v>46162</v>
      </c>
      <c r="B389" s="91" t="str">
        <f>_xlfn.XLOOKUP(C389,'Product List'!B:B,'Product List'!I:I)</f>
        <v>MMO-CLOUD WATER BOTTLE</v>
      </c>
      <c r="C389" s="124" t="s">
        <v>77</v>
      </c>
      <c r="D389" s="125">
        <v>31205996</v>
      </c>
      <c r="E389" s="125">
        <v>100</v>
      </c>
      <c r="F389" s="125">
        <v>1.32</v>
      </c>
      <c r="G389" s="125">
        <f t="shared" si="10"/>
        <v>132</v>
      </c>
      <c r="H389" s="86" t="s">
        <v>298</v>
      </c>
      <c r="I389" s="86" t="s">
        <v>92</v>
      </c>
      <c r="J389" s="124" t="s">
        <v>317</v>
      </c>
      <c r="K389" s="126">
        <v>46197</v>
      </c>
      <c r="L389" s="126">
        <v>46197</v>
      </c>
      <c r="M389" s="127">
        <f>_xlfn.XLOOKUP(C389,'Product List'!B:B,'Product List'!R:R)</f>
        <v>0.62</v>
      </c>
      <c r="N389" s="124">
        <f t="shared" si="11"/>
        <v>62</v>
      </c>
      <c r="O389" s="124" cm="1">
        <f t="array" ref="O389">E389/_xlfn.XLOOKUP(1,('Case Pack'!$A$4:$A$962=C389)*('Case Pack'!$L$4:$L$962&gt;0)*('Case Pack'!$L$4:$L$962&lt;=A389),'Case Pack'!$D$4:$D$962,"未找到箱规")</f>
        <v>2</v>
      </c>
      <c r="P389" s="124" t="str">
        <f>IF(COUNTIF('PO Check'!A:A,D389)&gt;0,"Yes","No")</f>
        <v>Yes</v>
      </c>
      <c r="Q389" s="124" t="str" cm="1">
        <f t="array" ref="Q389">_xlfn.XLOOKUP(1,('Case Pack'!$A$4:$A$962=C389)*('Case Pack'!$L$4:$L$962&gt;0)*('Case Pack'!$L$4:$L$962&lt;=A389),'Case Pack'!$G$4:$G$962,"未找到箱型")</f>
        <v>A</v>
      </c>
      <c r="R389" s="124">
        <f>ROUND(IFERROR(VLOOKUP(Q389,'Case Type'!A:H,8,0),0)*O389,2)</f>
        <v>0.22</v>
      </c>
    </row>
    <row r="390" customFormat="1" spans="1:18">
      <c r="A390" s="113">
        <v>46162</v>
      </c>
      <c r="B390" s="91" t="str">
        <f>_xlfn.XLOOKUP(C390,'Product List'!B:B,'Product List'!I:I)</f>
        <v>MINI/MOE TV VIEWING CAGE</v>
      </c>
      <c r="C390" s="124" t="s">
        <v>50</v>
      </c>
      <c r="D390" s="125">
        <v>31205996</v>
      </c>
      <c r="E390" s="125">
        <v>30</v>
      </c>
      <c r="F390" s="125">
        <v>48.49</v>
      </c>
      <c r="G390" s="125">
        <f t="shared" si="10"/>
        <v>1454.7</v>
      </c>
      <c r="H390" s="86" t="s">
        <v>298</v>
      </c>
      <c r="I390" s="86" t="s">
        <v>92</v>
      </c>
      <c r="J390" s="124" t="s">
        <v>317</v>
      </c>
      <c r="K390" s="126">
        <v>46197</v>
      </c>
      <c r="L390" s="126">
        <v>46197</v>
      </c>
      <c r="M390" s="127">
        <f>_xlfn.XLOOKUP(C390,'Product List'!B:B,'Product List'!R:R)</f>
        <v>24.09</v>
      </c>
      <c r="N390" s="124">
        <f t="shared" si="11"/>
        <v>722.7</v>
      </c>
      <c r="O390" s="124" cm="1">
        <f t="array" ref="O390">E390/_xlfn.XLOOKUP(1,('Case Pack'!$A$4:$A$962=C390)*('Case Pack'!$L$4:$L$962&gt;0)*('Case Pack'!$L$4:$L$962&lt;=A390),'Case Pack'!$D$4:$D$962,"未找到箱规")</f>
        <v>30</v>
      </c>
      <c r="P390" s="124" t="str">
        <f>IF(COUNTIF('PO Check'!A:A,D390)&gt;0,"Yes","No")</f>
        <v>Yes</v>
      </c>
      <c r="Q390" s="124" t="str" cm="1">
        <f t="array" ref="Q390">_xlfn.XLOOKUP(1,('Case Pack'!$A$4:$A$962=C390)*('Case Pack'!$L$4:$L$962&gt;0)*('Case Pack'!$L$4:$L$962&lt;=A390),'Case Pack'!$G$4:$G$962,"未找到箱型")</f>
        <v>S1</v>
      </c>
      <c r="R390" s="124">
        <f>ROUND(IFERROR(VLOOKUP(Q390,'Case Type'!A:H,8,0),0)*O390,2)</f>
        <v>2.22</v>
      </c>
    </row>
    <row r="391" customFormat="1" spans="1:18">
      <c r="A391" s="113">
        <v>46162</v>
      </c>
      <c r="B391" s="91" t="str">
        <f>_xlfn.XLOOKUP(C391,'Product List'!B:B,'Product List'!I:I)</f>
        <v>MMO-BUBBLE WATER BOTTLE</v>
      </c>
      <c r="C391" s="124" t="s">
        <v>67</v>
      </c>
      <c r="D391" s="125">
        <v>31205996</v>
      </c>
      <c r="E391" s="125">
        <v>126</v>
      </c>
      <c r="F391" s="125">
        <v>4.35</v>
      </c>
      <c r="G391" s="125">
        <f t="shared" si="10"/>
        <v>548.1</v>
      </c>
      <c r="H391" s="86" t="s">
        <v>298</v>
      </c>
      <c r="I391" s="86" t="s">
        <v>92</v>
      </c>
      <c r="J391" s="124" t="s">
        <v>317</v>
      </c>
      <c r="K391" s="126">
        <v>46197</v>
      </c>
      <c r="L391" s="126">
        <v>46197</v>
      </c>
      <c r="M391" s="127">
        <f>_xlfn.XLOOKUP(C391,'Product List'!B:B,'Product List'!R:R)</f>
        <v>3.1</v>
      </c>
      <c r="N391" s="124">
        <f t="shared" si="11"/>
        <v>390.6</v>
      </c>
      <c r="O391" s="124" cm="1">
        <f t="array" ref="O391">E391/_xlfn.XLOOKUP(1,('Case Pack'!$A$4:$A$962=C391)*('Case Pack'!$L$4:$L$962&gt;0)*('Case Pack'!$L$4:$L$962&lt;=A391),'Case Pack'!$D$4:$D$962,"未找到箱规")</f>
        <v>3</v>
      </c>
      <c r="P391" s="124" t="str">
        <f>IF(COUNTIF('PO Check'!A:A,D391)&gt;0,"Yes","No")</f>
        <v>Yes</v>
      </c>
      <c r="Q391" s="124" t="str" cm="1">
        <f t="array" ref="Q391">_xlfn.XLOOKUP(1,('Case Pack'!$A$4:$A$962=C391)*('Case Pack'!$L$4:$L$962&gt;0)*('Case Pack'!$L$4:$L$962&lt;=A391),'Case Pack'!$G$4:$G$962,"未找到箱型")</f>
        <v>C</v>
      </c>
      <c r="R391" s="124">
        <f>ROUND(IFERROR(VLOOKUP(Q391,'Case Type'!A:H,8,0),0)*O391,2)</f>
        <v>0.47</v>
      </c>
    </row>
    <row r="392" customFormat="1" spans="1:18">
      <c r="A392" s="113">
        <v>46162</v>
      </c>
      <c r="B392" s="91" t="str">
        <f>_xlfn.XLOOKUP(C392,'Product List'!B:B,'Product List'!I:I)</f>
        <v>MMO-GREEN APPLE CHEW</v>
      </c>
      <c r="C392" s="124" t="s">
        <v>33</v>
      </c>
      <c r="D392" s="238">
        <v>31205996</v>
      </c>
      <c r="E392" s="125">
        <v>96</v>
      </c>
      <c r="F392" s="125">
        <v>1.53</v>
      </c>
      <c r="G392" s="125">
        <f t="shared" si="10"/>
        <v>146.88</v>
      </c>
      <c r="H392" s="86" t="s">
        <v>298</v>
      </c>
      <c r="I392" s="86" t="s">
        <v>92</v>
      </c>
      <c r="J392" s="124" t="s">
        <v>317</v>
      </c>
      <c r="K392" s="126">
        <v>46197</v>
      </c>
      <c r="L392" s="126">
        <v>46197</v>
      </c>
      <c r="M392" s="127">
        <f>_xlfn.XLOOKUP(C392,'Product List'!B:B,'Product List'!R:R)</f>
        <v>1.04</v>
      </c>
      <c r="N392" s="124">
        <f t="shared" si="11"/>
        <v>99.84</v>
      </c>
      <c r="O392" s="124" cm="1">
        <f t="array" ref="O392">E392/_xlfn.XLOOKUP(1,('Case Pack'!$A$4:$A$962=C392)*('Case Pack'!$L$4:$L$962&gt;0)*('Case Pack'!$L$4:$L$962&lt;=A392),'Case Pack'!$D$4:$D$962,"未找到箱规")</f>
        <v>2</v>
      </c>
      <c r="P392" s="124" t="str">
        <f>IF(COUNTIF('PO Check'!A:A,D392)&gt;0,"Yes","No")</f>
        <v>Yes</v>
      </c>
      <c r="Q392" s="124" t="str" cm="1">
        <f t="array" ref="Q392">_xlfn.XLOOKUP(1,('Case Pack'!$A$4:$A$962=C392)*('Case Pack'!$L$4:$L$962&gt;0)*('Case Pack'!$L$4:$L$962&lt;=A392),'Case Pack'!$G$4:$G$962,"未找到箱型")</f>
        <v>B</v>
      </c>
      <c r="R392" s="124">
        <f>ROUND(IFERROR(VLOOKUP(Q392,'Case Type'!A:H,8,0),0)*O392,2)</f>
        <v>0.15</v>
      </c>
    </row>
    <row r="393" customFormat="1" spans="1:18">
      <c r="A393" s="113">
        <v>46162</v>
      </c>
      <c r="B393" s="91" t="str">
        <f>_xlfn.XLOOKUP(C393,'Product List'!B:B,'Product List'!I:I)</f>
        <v>MINI/MOE BENDABLE BIRCHWOOD FENCE</v>
      </c>
      <c r="C393" s="124" t="s">
        <v>62</v>
      </c>
      <c r="D393" s="125">
        <v>31205997</v>
      </c>
      <c r="E393" s="125">
        <v>32</v>
      </c>
      <c r="F393" s="125">
        <v>5.01</v>
      </c>
      <c r="G393" s="125">
        <f t="shared" si="10"/>
        <v>160.32</v>
      </c>
      <c r="H393" s="86" t="s">
        <v>298</v>
      </c>
      <c r="I393" s="86" t="s">
        <v>92</v>
      </c>
      <c r="J393" s="124" t="s">
        <v>327</v>
      </c>
      <c r="K393" s="126">
        <v>46232</v>
      </c>
      <c r="L393" s="251">
        <v>46227</v>
      </c>
      <c r="M393" s="127">
        <f>_xlfn.XLOOKUP(C393,'Product List'!B:B,'Product List'!R:R)</f>
        <v>3.4</v>
      </c>
      <c r="N393" s="124">
        <f t="shared" si="11"/>
        <v>108.8</v>
      </c>
      <c r="O393" s="124" cm="1">
        <f t="array" ref="O393">E393/_xlfn.XLOOKUP(1,('Case Pack'!$A$4:$A$962=C393)*('Case Pack'!$L$4:$L$962&gt;0)*('Case Pack'!$L$4:$L$962&lt;=A393),'Case Pack'!$D$4:$D$962,"未找到箱规")</f>
        <v>1</v>
      </c>
      <c r="P393" s="124" t="str">
        <f>IF(COUNTIF('PO Check'!A:A,D393)&gt;0,"Yes","No")</f>
        <v>Yes</v>
      </c>
      <c r="Q393" s="124" t="str" cm="1">
        <f t="array" ref="Q393">_xlfn.XLOOKUP(1,('Case Pack'!$A$4:$A$962=C393)*('Case Pack'!$L$4:$L$962&gt;0)*('Case Pack'!$L$4:$L$962&lt;=A393),'Case Pack'!$G$4:$G$962,"未找到箱型")</f>
        <v>F</v>
      </c>
      <c r="R393" s="124">
        <f>ROUND(IFERROR(VLOOKUP(Q393,'Case Type'!A:H,8,0),0)*O393,2)</f>
        <v>0.04</v>
      </c>
    </row>
    <row r="394" customFormat="1" spans="1:18">
      <c r="A394" s="113">
        <v>46162</v>
      </c>
      <c r="B394" s="91" t="str">
        <f>_xlfn.XLOOKUP(C394,'Product List'!B:B,'Product List'!I:I)</f>
        <v>MINI/MOE SILENT CRSTL RUN WHEEL LG 8.5-White</v>
      </c>
      <c r="C394" s="124" t="s">
        <v>29</v>
      </c>
      <c r="D394" s="125">
        <v>31205997</v>
      </c>
      <c r="E394" s="125">
        <v>24</v>
      </c>
      <c r="F394" s="125">
        <v>13.22</v>
      </c>
      <c r="G394" s="125">
        <f t="shared" si="10"/>
        <v>317.28</v>
      </c>
      <c r="H394" s="86" t="s">
        <v>298</v>
      </c>
      <c r="I394" s="86" t="s">
        <v>92</v>
      </c>
      <c r="J394" s="124" t="s">
        <v>327</v>
      </c>
      <c r="K394" s="126">
        <v>46232</v>
      </c>
      <c r="L394" s="251">
        <v>46227</v>
      </c>
      <c r="M394" s="127">
        <f>_xlfn.XLOOKUP(C394,'Product List'!B:B,'Product List'!R:R)</f>
        <v>6.27</v>
      </c>
      <c r="N394" s="124">
        <f t="shared" si="11"/>
        <v>150.48</v>
      </c>
      <c r="O394" s="124" cm="1">
        <f t="array" ref="O394">E394/_xlfn.XLOOKUP(1,('Case Pack'!$A$4:$A$962=C394)*('Case Pack'!$L$4:$L$962&gt;0)*('Case Pack'!$L$4:$L$962&lt;=A394),'Case Pack'!$D$4:$D$962,"未找到箱规")</f>
        <v>3</v>
      </c>
      <c r="P394" s="124" t="str">
        <f>IF(COUNTIF('PO Check'!A:A,D394)&gt;0,"Yes","No")</f>
        <v>Yes</v>
      </c>
      <c r="Q394" s="124" t="str" cm="1">
        <f t="array" ref="Q394">_xlfn.XLOOKUP(1,('Case Pack'!$A$4:$A$962=C394)*('Case Pack'!$L$4:$L$962&gt;0)*('Case Pack'!$L$4:$L$962&lt;=A394),'Case Pack'!$G$4:$G$962,"未找到箱型")</f>
        <v>C</v>
      </c>
      <c r="R394" s="124">
        <f>ROUND(IFERROR(VLOOKUP(Q394,'Case Type'!A:H,8,0),0)*O394,2)</f>
        <v>0.47</v>
      </c>
    </row>
    <row r="395" customFormat="1" spans="1:18">
      <c r="A395" s="113">
        <v>46162</v>
      </c>
      <c r="B395" s="91" t="str">
        <f>_xlfn.XLOOKUP(C395,'Product List'!B:B,'Product List'!I:I)</f>
        <v>MMO-CLOUD WATER BOTTLE</v>
      </c>
      <c r="C395" s="124" t="s">
        <v>77</v>
      </c>
      <c r="D395" s="125">
        <v>31205997</v>
      </c>
      <c r="E395" s="125">
        <v>150</v>
      </c>
      <c r="F395" s="125">
        <v>1.32</v>
      </c>
      <c r="G395" s="125">
        <f t="shared" si="10"/>
        <v>198</v>
      </c>
      <c r="H395" s="86" t="s">
        <v>298</v>
      </c>
      <c r="I395" s="86" t="s">
        <v>92</v>
      </c>
      <c r="J395" s="124" t="s">
        <v>327</v>
      </c>
      <c r="K395" s="126">
        <v>46232</v>
      </c>
      <c r="L395" s="251">
        <v>46227</v>
      </c>
      <c r="M395" s="127">
        <f>_xlfn.XLOOKUP(C395,'Product List'!B:B,'Product List'!R:R)</f>
        <v>0.62</v>
      </c>
      <c r="N395" s="124">
        <f t="shared" si="11"/>
        <v>93</v>
      </c>
      <c r="O395" s="124" cm="1">
        <f t="array" ref="O395">E395/_xlfn.XLOOKUP(1,('Case Pack'!$A$4:$A$962=C395)*('Case Pack'!$L$4:$L$962&gt;0)*('Case Pack'!$L$4:$L$962&lt;=A395),'Case Pack'!$D$4:$D$962,"未找到箱规")</f>
        <v>3</v>
      </c>
      <c r="P395" s="124" t="str">
        <f>IF(COUNTIF('PO Check'!A:A,D395)&gt;0,"Yes","No")</f>
        <v>Yes</v>
      </c>
      <c r="Q395" s="124" t="str" cm="1">
        <f t="array" ref="Q395">_xlfn.XLOOKUP(1,('Case Pack'!$A$4:$A$962=C395)*('Case Pack'!$L$4:$L$962&gt;0)*('Case Pack'!$L$4:$L$962&lt;=A395),'Case Pack'!$G$4:$G$962,"未找到箱型")</f>
        <v>A</v>
      </c>
      <c r="R395" s="124">
        <f>ROUND(IFERROR(VLOOKUP(Q395,'Case Type'!A:H,8,0),0)*O395,2)</f>
        <v>0.33</v>
      </c>
    </row>
    <row r="396" customFormat="1" spans="1:18">
      <c r="A396" s="113">
        <v>46162</v>
      </c>
      <c r="B396" s="91" t="str">
        <f>_xlfn.XLOOKUP(C396,'Product List'!B:B,'Product List'!I:I)</f>
        <v>MMO-WAVE BRIDGE</v>
      </c>
      <c r="C396" s="124" t="s">
        <v>61</v>
      </c>
      <c r="D396" s="125">
        <v>31205997</v>
      </c>
      <c r="E396" s="125">
        <v>33</v>
      </c>
      <c r="F396" s="125">
        <v>4.84</v>
      </c>
      <c r="G396" s="125">
        <f t="shared" si="10"/>
        <v>159.72</v>
      </c>
      <c r="H396" s="86" t="s">
        <v>298</v>
      </c>
      <c r="I396" s="86" t="s">
        <v>92</v>
      </c>
      <c r="J396" s="124" t="s">
        <v>327</v>
      </c>
      <c r="K396" s="126">
        <v>46232</v>
      </c>
      <c r="L396" s="251">
        <v>46227</v>
      </c>
      <c r="M396" s="127">
        <f>_xlfn.XLOOKUP(C396,'Product List'!B:B,'Product List'!R:R)</f>
        <v>2.79</v>
      </c>
      <c r="N396" s="124">
        <f t="shared" si="11"/>
        <v>92.07</v>
      </c>
      <c r="O396" s="124" cm="1">
        <f t="array" ref="O396">E396/_xlfn.XLOOKUP(1,('Case Pack'!$A$4:$A$962=C396)*('Case Pack'!$L$4:$L$962&gt;0)*('Case Pack'!$L$4:$L$962&lt;=A396),'Case Pack'!$D$4:$D$962,"未找到箱规")</f>
        <v>1</v>
      </c>
      <c r="P396" s="124" t="str">
        <f>IF(COUNTIF('PO Check'!A:A,D396)&gt;0,"Yes","No")</f>
        <v>Yes</v>
      </c>
      <c r="Q396" s="124" t="str" cm="1">
        <f t="array" ref="Q396">_xlfn.XLOOKUP(1,('Case Pack'!$A$4:$A$962=C396)*('Case Pack'!$L$4:$L$962&gt;0)*('Case Pack'!$L$4:$L$962&lt;=A396),'Case Pack'!$G$4:$G$962,"未找到箱型")</f>
        <v>C</v>
      </c>
      <c r="R396" s="124">
        <f>ROUND(IFERROR(VLOOKUP(Q396,'Case Type'!A:H,8,0),0)*O396,2)</f>
        <v>0.16</v>
      </c>
    </row>
    <row r="397" customFormat="1" spans="1:18">
      <c r="A397" s="113">
        <v>46162</v>
      </c>
      <c r="B397" s="91" t="str">
        <f>_xlfn.XLOOKUP(C397,'Product List'!B:B,'Product List'!I:I)</f>
        <v>MMO-PAPER TWIST BLU/WHT</v>
      </c>
      <c r="C397" s="86" t="s">
        <v>68</v>
      </c>
      <c r="D397" s="125">
        <v>31205997</v>
      </c>
      <c r="E397" s="125">
        <v>30</v>
      </c>
      <c r="F397" s="125">
        <v>3.89</v>
      </c>
      <c r="G397" s="125">
        <f t="shared" si="10"/>
        <v>116.7</v>
      </c>
      <c r="H397" s="86" t="s">
        <v>298</v>
      </c>
      <c r="I397" s="86" t="s">
        <v>92</v>
      </c>
      <c r="J397" s="124" t="s">
        <v>327</v>
      </c>
      <c r="K397" s="126">
        <v>46232</v>
      </c>
      <c r="L397" s="251">
        <v>46227</v>
      </c>
      <c r="M397" s="127">
        <f>_xlfn.XLOOKUP(C397,'Product List'!B:B,'Product List'!R:R)</f>
        <v>1.98</v>
      </c>
      <c r="N397" s="124">
        <f t="shared" si="11"/>
        <v>59.4</v>
      </c>
      <c r="O397" s="124" cm="1">
        <f t="array" ref="O397">E397/_xlfn.XLOOKUP(1,('Case Pack'!$A$4:$A$962=C397)*('Case Pack'!$L$4:$L$962&gt;0)*('Case Pack'!$L$4:$L$962&lt;=A397),'Case Pack'!$D$4:$D$962,"未找到箱规")</f>
        <v>1</v>
      </c>
      <c r="P397" s="124" t="str">
        <f>IF(COUNTIF('PO Check'!A:A,D397)&gt;0,"Yes","No")</f>
        <v>Yes</v>
      </c>
      <c r="Q397" s="124" t="str" cm="1">
        <f t="array" ref="Q397">_xlfn.XLOOKUP(1,('Case Pack'!$A$4:$A$962=C397)*('Case Pack'!$L$4:$L$962&gt;0)*('Case Pack'!$L$4:$L$962&lt;=A397),'Case Pack'!$G$4:$G$962,"未找到箱型")</f>
        <v>A</v>
      </c>
      <c r="R397" s="124">
        <f>ROUND(IFERROR(VLOOKUP(Q397,'Case Type'!A:H,8,0),0)*O397,2)</f>
        <v>0.11</v>
      </c>
    </row>
    <row r="398" customFormat="1" spans="1:18">
      <c r="A398" s="113">
        <v>46162</v>
      </c>
      <c r="B398" s="91" t="str">
        <f>_xlfn.XLOOKUP(C398,'Product List'!B:B,'Product List'!I:I)</f>
        <v>MINI/MOE TV VIEWING CAGE</v>
      </c>
      <c r="C398" s="124" t="s">
        <v>50</v>
      </c>
      <c r="D398" s="125">
        <v>31205997</v>
      </c>
      <c r="E398" s="125">
        <v>40</v>
      </c>
      <c r="F398" s="125">
        <v>48.49</v>
      </c>
      <c r="G398" s="125">
        <f t="shared" si="10"/>
        <v>1939.6</v>
      </c>
      <c r="H398" s="86" t="s">
        <v>298</v>
      </c>
      <c r="I398" s="86" t="s">
        <v>92</v>
      </c>
      <c r="J398" s="124" t="s">
        <v>327</v>
      </c>
      <c r="K398" s="126">
        <v>46232</v>
      </c>
      <c r="L398" s="251">
        <v>46227</v>
      </c>
      <c r="M398" s="127">
        <f>_xlfn.XLOOKUP(C398,'Product List'!B:B,'Product List'!R:R)</f>
        <v>24.09</v>
      </c>
      <c r="N398" s="124">
        <f t="shared" si="11"/>
        <v>963.6</v>
      </c>
      <c r="O398" s="124" cm="1">
        <f t="array" ref="O398">E398/_xlfn.XLOOKUP(1,('Case Pack'!$A$4:$A$962=C398)*('Case Pack'!$L$4:$L$962&gt;0)*('Case Pack'!$L$4:$L$962&lt;=A398),'Case Pack'!$D$4:$D$962,"未找到箱规")</f>
        <v>40</v>
      </c>
      <c r="P398" s="124" t="str">
        <f>IF(COUNTIF('PO Check'!A:A,D398)&gt;0,"Yes","No")</f>
        <v>Yes</v>
      </c>
      <c r="Q398" s="124" t="str" cm="1">
        <f t="array" ref="Q398">_xlfn.XLOOKUP(1,('Case Pack'!$A$4:$A$962=C398)*('Case Pack'!$L$4:$L$962&gt;0)*('Case Pack'!$L$4:$L$962&lt;=A398),'Case Pack'!$G$4:$G$962,"未找到箱型")</f>
        <v>S1</v>
      </c>
      <c r="R398" s="124">
        <f>ROUND(IFERROR(VLOOKUP(Q398,'Case Type'!A:H,8,0),0)*O398,2)</f>
        <v>2.96</v>
      </c>
    </row>
    <row r="399" customFormat="1" spans="1:18">
      <c r="A399" s="113">
        <v>46162</v>
      </c>
      <c r="B399" s="91" t="str">
        <f>_xlfn.XLOOKUP(C399,'Product List'!B:B,'Product List'!I:I)</f>
        <v>MMO-BUBBLE WATER BOTTLE</v>
      </c>
      <c r="C399" s="259" t="s">
        <v>67</v>
      </c>
      <c r="D399" s="125">
        <v>31205997</v>
      </c>
      <c r="E399" s="238">
        <v>210</v>
      </c>
      <c r="F399" s="125">
        <v>4.35</v>
      </c>
      <c r="G399" s="125">
        <f t="shared" si="10"/>
        <v>913.5</v>
      </c>
      <c r="H399" s="86" t="s">
        <v>298</v>
      </c>
      <c r="I399" s="86" t="s">
        <v>92</v>
      </c>
      <c r="J399" s="259" t="s">
        <v>327</v>
      </c>
      <c r="K399" s="126">
        <v>46232</v>
      </c>
      <c r="L399" s="251">
        <v>46227</v>
      </c>
      <c r="M399" s="127">
        <f>_xlfn.XLOOKUP(C399,'Product List'!B:B,'Product List'!R:R)</f>
        <v>3.1</v>
      </c>
      <c r="N399" s="124">
        <f t="shared" si="11"/>
        <v>651</v>
      </c>
      <c r="O399" s="124" cm="1">
        <f t="array" ref="O399">E399/_xlfn.XLOOKUP(1,('Case Pack'!$A$4:$A$962=C399)*('Case Pack'!$L$4:$L$962&gt;0)*('Case Pack'!$L$4:$L$962&lt;=A399),'Case Pack'!$D$4:$D$962,"未找到箱规")</f>
        <v>5</v>
      </c>
      <c r="P399" s="124" t="str">
        <f>IF(COUNTIF('PO Check'!A:A,D399)&gt;0,"Yes","No")</f>
        <v>Yes</v>
      </c>
      <c r="Q399" s="124" t="str" cm="1">
        <f t="array" ref="Q399">_xlfn.XLOOKUP(1,('Case Pack'!$A$4:$A$962=C399)*('Case Pack'!$L$4:$L$962&gt;0)*('Case Pack'!$L$4:$L$962&lt;=A399),'Case Pack'!$G$4:$G$962,"未找到箱型")</f>
        <v>C</v>
      </c>
      <c r="R399" s="124">
        <f>ROUND(IFERROR(VLOOKUP(Q399,'Case Type'!A:H,8,0),0)*O399,2)</f>
        <v>0.79</v>
      </c>
    </row>
    <row r="400" customFormat="1" spans="1:18">
      <c r="A400" s="113">
        <v>46162</v>
      </c>
      <c r="B400" s="91" t="str">
        <f>_xlfn.XLOOKUP(C400,'Product List'!B:B,'Product List'!I:I)</f>
        <v>MMO-SHELL PEARL HAMSTER CHEW</v>
      </c>
      <c r="C400" s="124" t="s">
        <v>35</v>
      </c>
      <c r="D400" s="125">
        <v>31205997</v>
      </c>
      <c r="E400" s="125">
        <v>64</v>
      </c>
      <c r="F400" s="125">
        <v>1.61</v>
      </c>
      <c r="G400" s="125">
        <f t="shared" si="10"/>
        <v>103.04</v>
      </c>
      <c r="H400" s="86" t="s">
        <v>298</v>
      </c>
      <c r="I400" s="86" t="s">
        <v>92</v>
      </c>
      <c r="J400" s="124" t="s">
        <v>327</v>
      </c>
      <c r="K400" s="126">
        <v>46232</v>
      </c>
      <c r="L400" s="251">
        <v>46227</v>
      </c>
      <c r="M400" s="127">
        <f>_xlfn.XLOOKUP(C400,'Product List'!B:B,'Product List'!R:R)</f>
        <v>0.96</v>
      </c>
      <c r="N400" s="124">
        <f t="shared" si="11"/>
        <v>61.44</v>
      </c>
      <c r="O400" s="124" cm="1">
        <f t="array" ref="O400">E400/_xlfn.XLOOKUP(1,('Case Pack'!$A$4:$A$962=C400)*('Case Pack'!$L$4:$L$962&gt;0)*('Case Pack'!$L$4:$L$962&lt;=A400),'Case Pack'!$D$4:$D$962,"未找到箱规")</f>
        <v>1</v>
      </c>
      <c r="P400" s="124" t="str">
        <f>IF(COUNTIF('PO Check'!A:A,D400)&gt;0,"Yes","No")</f>
        <v>Yes</v>
      </c>
      <c r="Q400" s="124" t="str" cm="1">
        <f t="array" ref="Q400">_xlfn.XLOOKUP(1,('Case Pack'!$A$4:$A$962=C400)*('Case Pack'!$L$4:$L$962&gt;0)*('Case Pack'!$L$4:$L$962&lt;=A400),'Case Pack'!$G$4:$G$962,"未找到箱型")</f>
        <v>B</v>
      </c>
      <c r="R400" s="124">
        <f>ROUND(IFERROR(VLOOKUP(Q400,'Case Type'!A:H,8,0),0)*O400,2)</f>
        <v>0.07</v>
      </c>
    </row>
    <row r="401" customFormat="1" spans="1:31">
      <c r="A401" s="113">
        <v>46162</v>
      </c>
      <c r="B401" s="91" t="str">
        <f>_xlfn.XLOOKUP(C401,'Product List'!B:B,'Product List'!I:I)</f>
        <v>MMO-GREEN APPLE CHEW</v>
      </c>
      <c r="C401" s="124" t="s">
        <v>33</v>
      </c>
      <c r="D401" s="125">
        <v>31205997</v>
      </c>
      <c r="E401" s="125">
        <v>96</v>
      </c>
      <c r="F401" s="125">
        <v>1.53</v>
      </c>
      <c r="G401" s="125">
        <f t="shared" si="10"/>
        <v>146.88</v>
      </c>
      <c r="H401" s="86" t="s">
        <v>298</v>
      </c>
      <c r="I401" s="86" t="s">
        <v>92</v>
      </c>
      <c r="J401" s="124" t="s">
        <v>327</v>
      </c>
      <c r="K401" s="126">
        <v>46232</v>
      </c>
      <c r="L401" s="251">
        <v>46227</v>
      </c>
      <c r="M401" s="127">
        <f>_xlfn.XLOOKUP(C401,'Product List'!B:B,'Product List'!R:R)</f>
        <v>1.04</v>
      </c>
      <c r="N401" s="124">
        <f t="shared" si="11"/>
        <v>99.84</v>
      </c>
      <c r="O401" s="124" cm="1">
        <f t="array" ref="O401">E401/_xlfn.XLOOKUP(1,('Case Pack'!$A$4:$A$962=C401)*('Case Pack'!$L$4:$L$962&gt;0)*('Case Pack'!$L$4:$L$962&lt;=A401),'Case Pack'!$D$4:$D$962,"未找到箱规")</f>
        <v>2</v>
      </c>
      <c r="P401" s="124" t="str">
        <f>IF(COUNTIF('PO Check'!A:A,D401)&gt;0,"Yes","No")</f>
        <v>Yes</v>
      </c>
      <c r="Q401" s="124" t="str" cm="1">
        <f t="array" ref="Q401">_xlfn.XLOOKUP(1,('Case Pack'!$A$4:$A$962=C401)*('Case Pack'!$L$4:$L$962&gt;0)*('Case Pack'!$L$4:$L$962&lt;=A401),'Case Pack'!$G$4:$G$962,"未找到箱型")</f>
        <v>B</v>
      </c>
      <c r="R401" s="124">
        <f>ROUND(IFERROR(VLOOKUP(Q401,'Case Type'!A:H,8,0),0)*O401,2)</f>
        <v>0.15</v>
      </c>
    </row>
    <row r="402" customFormat="1" spans="1:31">
      <c r="A402" s="113">
        <v>46171</v>
      </c>
      <c r="B402" s="91" t="str">
        <f>_xlfn.XLOOKUP(C402,'Product List'!B:B,'Product List'!I:I)</f>
        <v>MINI/MOE SMALL ANIMAL BEDDING PAPER FLK XMAS CRAN/MATCHA 1EA</v>
      </c>
      <c r="C402" s="264" t="s">
        <v>88</v>
      </c>
      <c r="D402" s="214" t="s">
        <v>344</v>
      </c>
      <c r="E402" s="214">
        <v>448</v>
      </c>
      <c r="F402" s="125">
        <v>6.79</v>
      </c>
      <c r="G402" s="125">
        <f t="shared" si="10"/>
        <v>3041.92</v>
      </c>
      <c r="H402" s="86" t="s">
        <v>306</v>
      </c>
      <c r="I402" s="86" t="s">
        <v>92</v>
      </c>
      <c r="J402" s="124" t="s">
        <v>307</v>
      </c>
      <c r="K402" s="126">
        <v>46269</v>
      </c>
      <c r="L402" s="126">
        <v>46269</v>
      </c>
      <c r="M402" s="127">
        <f>_xlfn.XLOOKUP(C402,'Product List'!B:B,'Product List'!R:R)</f>
        <v>4.79</v>
      </c>
      <c r="N402" s="124">
        <f t="shared" si="11"/>
        <v>2145.92</v>
      </c>
      <c r="O402" s="124" cm="1">
        <f t="array" ref="O402">E402/_xlfn.XLOOKUP(1,('Case Pack'!$A$4:$A$962=C402)*('Case Pack'!$L$4:$L$962&gt;0)*('Case Pack'!$L$4:$L$962&lt;=A402),'Case Pack'!$D$4:$D$962,"未找到箱规")</f>
        <v>32</v>
      </c>
      <c r="P402" s="124" t="str">
        <f>IF(COUNTIF('PO Check'!A:A,D402)&gt;0,"Yes","No")</f>
        <v>Yes</v>
      </c>
      <c r="Q402" s="124" t="str" cm="1">
        <f t="array" ref="Q402">_xlfn.XLOOKUP(1,('Case Pack'!$A$4:$A$962=C402)*('Case Pack'!$L$4:$L$962&gt;0)*('Case Pack'!$L$4:$L$962&lt;=A402),'Case Pack'!$G$4:$G$962,"未找到箱型")</f>
        <v>C</v>
      </c>
      <c r="R402" s="124">
        <f>ROUND(IFERROR(VLOOKUP(Q402,'Case Type'!A:H,8,0),0)*O402,2)</f>
        <v>5.03</v>
      </c>
      <c r="S402" s="124"/>
      <c r="T402" s="124"/>
      <c r="U402" s="124"/>
      <c r="V402" s="124"/>
      <c r="W402" s="124"/>
      <c r="X402" s="124"/>
      <c r="Y402" s="124"/>
      <c r="Z402" s="124"/>
      <c r="AA402" s="124"/>
      <c r="AB402" s="124"/>
      <c r="AC402" s="124"/>
      <c r="AD402" s="124"/>
      <c r="AE402" s="124"/>
    </row>
    <row r="403" customFormat="1" spans="1:31">
      <c r="A403" s="113">
        <v>46171</v>
      </c>
      <c r="B403" s="91" t="str">
        <f>_xlfn.XLOOKUP(C403,'Product List'!B:B,'Product List'!I:I)</f>
        <v>MMO-BUBBLE WATER BOTTLE</v>
      </c>
      <c r="C403" s="264" t="s">
        <v>67</v>
      </c>
      <c r="D403" s="214" t="s">
        <v>344</v>
      </c>
      <c r="E403" s="214">
        <v>504</v>
      </c>
      <c r="F403" s="125">
        <v>4.14</v>
      </c>
      <c r="G403" s="125">
        <f t="shared" si="10"/>
        <v>2086.56</v>
      </c>
      <c r="H403" s="86" t="s">
        <v>306</v>
      </c>
      <c r="I403" s="86" t="s">
        <v>92</v>
      </c>
      <c r="J403" s="124" t="s">
        <v>307</v>
      </c>
      <c r="K403" s="126">
        <v>46269</v>
      </c>
      <c r="L403" s="126">
        <v>46269</v>
      </c>
      <c r="M403" s="127">
        <f>_xlfn.XLOOKUP(C403,'Product List'!B:B,'Product List'!R:R)</f>
        <v>3.1</v>
      </c>
      <c r="N403" s="124">
        <f t="shared" si="11"/>
        <v>1562.4</v>
      </c>
      <c r="O403" s="124" cm="1">
        <f t="array" ref="O403">E403/_xlfn.XLOOKUP(1,('Case Pack'!$A$4:$A$962=C403)*('Case Pack'!$L$4:$L$962&gt;0)*('Case Pack'!$L$4:$L$962&lt;=A403),'Case Pack'!$D$4:$D$962,"未找到箱规")</f>
        <v>12</v>
      </c>
      <c r="P403" s="124" t="str">
        <f>IF(COUNTIF('PO Check'!A:A,D403)&gt;0,"Yes","No")</f>
        <v>Yes</v>
      </c>
      <c r="Q403" s="124" t="str" cm="1">
        <f t="array" ref="Q403">_xlfn.XLOOKUP(1,('Case Pack'!$A$4:$A$962=C403)*('Case Pack'!$L$4:$L$962&gt;0)*('Case Pack'!$L$4:$L$962&lt;=A403),'Case Pack'!$G$4:$G$962,"未找到箱型")</f>
        <v>C</v>
      </c>
      <c r="R403" s="124">
        <f>ROUND(IFERROR(VLOOKUP(Q403,'Case Type'!A:H,8,0),0)*O403,2)</f>
        <v>1.89</v>
      </c>
      <c r="S403" s="124"/>
      <c r="T403" s="124"/>
      <c r="U403" s="124"/>
      <c r="V403" s="124"/>
      <c r="W403" s="124"/>
      <c r="X403" s="124"/>
      <c r="Y403" s="124"/>
      <c r="Z403" s="124"/>
      <c r="AA403" s="124"/>
      <c r="AB403" s="124"/>
      <c r="AC403" s="124"/>
      <c r="AD403" s="124"/>
      <c r="AE403" s="124"/>
    </row>
    <row r="404" customFormat="1" spans="1:31">
      <c r="A404" s="113">
        <v>46171</v>
      </c>
      <c r="B404" s="91" t="str">
        <f>_xlfn.XLOOKUP(C404,'Product List'!B:B,'Product List'!I:I)</f>
        <v>MINI/MOE FISHBONE BRIDGE 1EA</v>
      </c>
      <c r="C404" s="264" t="s">
        <v>42</v>
      </c>
      <c r="D404" s="214" t="s">
        <v>344</v>
      </c>
      <c r="E404" s="214">
        <v>480</v>
      </c>
      <c r="F404" s="125">
        <v>2.39</v>
      </c>
      <c r="G404" s="125">
        <f t="shared" si="10"/>
        <v>1147.2</v>
      </c>
      <c r="H404" s="86" t="s">
        <v>306</v>
      </c>
      <c r="I404" s="86" t="s">
        <v>92</v>
      </c>
      <c r="J404" s="124" t="s">
        <v>307</v>
      </c>
      <c r="K404" s="126">
        <v>46269</v>
      </c>
      <c r="L404" s="126">
        <v>46269</v>
      </c>
      <c r="M404" s="127">
        <f>_xlfn.XLOOKUP(C404,'Product List'!B:B,'Product List'!R:R)</f>
        <v>1.45</v>
      </c>
      <c r="N404" s="124">
        <f t="shared" si="11"/>
        <v>696</v>
      </c>
      <c r="O404" s="124" cm="1">
        <f t="array" ref="O404">E404/_xlfn.XLOOKUP(1,('Case Pack'!$A$4:$A$962=C404)*('Case Pack'!$L$4:$L$962&gt;0)*('Case Pack'!$L$4:$L$962&lt;=A404),'Case Pack'!$D$4:$D$962,"未找到箱规")</f>
        <v>16</v>
      </c>
      <c r="P404" s="124" t="str">
        <f>IF(COUNTIF('PO Check'!A:A,D404)&gt;0,"Yes","No")</f>
        <v>Yes</v>
      </c>
      <c r="Q404" s="124" t="str" cm="1">
        <f t="array" ref="Q404">_xlfn.XLOOKUP(1,('Case Pack'!$A$4:$A$962=C404)*('Case Pack'!$L$4:$L$962&gt;0)*('Case Pack'!$L$4:$L$962&lt;=A404),'Case Pack'!$G$4:$G$962,"未找到箱型")</f>
        <v>B</v>
      </c>
      <c r="R404" s="124">
        <f>ROUND(IFERROR(VLOOKUP(Q404,'Case Type'!A:H,8,0),0)*O404,2)</f>
        <v>1.17</v>
      </c>
      <c r="S404" s="124"/>
      <c r="T404" s="124"/>
      <c r="U404" s="124"/>
      <c r="V404" s="124"/>
      <c r="W404" s="124"/>
      <c r="X404" s="124"/>
      <c r="Y404" s="124"/>
      <c r="Z404" s="124"/>
      <c r="AA404" s="124"/>
      <c r="AB404" s="124"/>
      <c r="AC404" s="124"/>
      <c r="AD404" s="124"/>
      <c r="AE404" s="124"/>
    </row>
    <row r="405" customFormat="1" spans="1:31">
      <c r="A405" s="113">
        <v>46171</v>
      </c>
      <c r="B405" s="91" t="str">
        <f>_xlfn.XLOOKUP(C405,'Product List'!B:B,'Product List'!I:I)</f>
        <v>Sugar Jar</v>
      </c>
      <c r="C405" s="264" t="s">
        <v>59</v>
      </c>
      <c r="D405" s="214" t="s">
        <v>344</v>
      </c>
      <c r="E405" s="214">
        <v>459</v>
      </c>
      <c r="F405" s="125">
        <v>4.13</v>
      </c>
      <c r="G405" s="125">
        <f t="shared" si="10"/>
        <v>1895.67</v>
      </c>
      <c r="H405" s="86" t="s">
        <v>306</v>
      </c>
      <c r="I405" s="86" t="s">
        <v>92</v>
      </c>
      <c r="J405" s="124" t="s">
        <v>307</v>
      </c>
      <c r="K405" s="126">
        <v>46269</v>
      </c>
      <c r="L405" s="126">
        <v>46269</v>
      </c>
      <c r="M405" s="127">
        <f>_xlfn.XLOOKUP(C405,'Product List'!B:B,'Product List'!R:R)</f>
        <v>1.92</v>
      </c>
      <c r="N405" s="124">
        <f t="shared" si="11"/>
        <v>881.28</v>
      </c>
      <c r="O405" s="124" cm="1">
        <f t="array" ref="O405">E405/_xlfn.XLOOKUP(1,('Case Pack'!$A$4:$A$962=C405)*('Case Pack'!$L$4:$L$962&gt;0)*('Case Pack'!$L$4:$L$962&lt;=A405),'Case Pack'!$D$4:$D$962,"未找到箱规")</f>
        <v>17</v>
      </c>
      <c r="P405" s="124" t="str">
        <f>IF(COUNTIF('PO Check'!A:A,D405)&gt;0,"Yes","No")</f>
        <v>Yes</v>
      </c>
      <c r="Q405" s="124" t="str" cm="1">
        <f t="array" ref="Q405">_xlfn.XLOOKUP(1,('Case Pack'!$A$4:$A$962=C405)*('Case Pack'!$L$4:$L$962&gt;0)*('Case Pack'!$L$4:$L$962&lt;=A405),'Case Pack'!$G$4:$G$962,"未找到箱型")</f>
        <v>C</v>
      </c>
      <c r="R405" s="124">
        <f>ROUND(IFERROR(VLOOKUP(Q405,'Case Type'!A:H,8,0),0)*O405,2)</f>
        <v>2.67</v>
      </c>
      <c r="S405" s="124"/>
      <c r="T405" s="124"/>
      <c r="U405" s="124"/>
      <c r="V405" s="124"/>
      <c r="W405" s="124"/>
      <c r="X405" s="124"/>
      <c r="Y405" s="124"/>
      <c r="Z405" s="124"/>
      <c r="AA405" s="124"/>
      <c r="AB405" s="124"/>
      <c r="AC405" s="124"/>
      <c r="AD405" s="124"/>
      <c r="AE405" s="124"/>
    </row>
    <row r="406" customFormat="1" spans="1:31">
      <c r="A406" s="113">
        <v>46171</v>
      </c>
      <c r="B406" s="91" t="str">
        <f>_xlfn.XLOOKUP(C406,'Product List'!B:B,'Product List'!I:I)</f>
        <v>Candy House</v>
      </c>
      <c r="C406" s="264" t="s">
        <v>57</v>
      </c>
      <c r="D406" s="214" t="s">
        <v>344</v>
      </c>
      <c r="E406" s="214">
        <v>459</v>
      </c>
      <c r="F406" s="125">
        <v>4.43</v>
      </c>
      <c r="G406" s="125">
        <f t="shared" si="10"/>
        <v>2033.37</v>
      </c>
      <c r="H406" s="86" t="s">
        <v>306</v>
      </c>
      <c r="I406" s="86" t="s">
        <v>92</v>
      </c>
      <c r="J406" s="124" t="s">
        <v>307</v>
      </c>
      <c r="K406" s="126">
        <v>46269</v>
      </c>
      <c r="L406" s="126">
        <v>46269</v>
      </c>
      <c r="M406" s="127">
        <f>_xlfn.XLOOKUP(C406,'Product List'!B:B,'Product List'!R:R)</f>
        <v>2.13</v>
      </c>
      <c r="N406" s="124">
        <f t="shared" si="11"/>
        <v>977.67</v>
      </c>
      <c r="O406" s="124" cm="1">
        <f t="array" ref="O406">E406/_xlfn.XLOOKUP(1,('Case Pack'!$A$4:$A$962=C406)*('Case Pack'!$L$4:$L$962&gt;0)*('Case Pack'!$L$4:$L$962&lt;=A406),'Case Pack'!$D$4:$D$962,"未找到箱规")</f>
        <v>17</v>
      </c>
      <c r="P406" s="124" t="str">
        <f>IF(COUNTIF('PO Check'!A:A,D406)&gt;0,"Yes","No")</f>
        <v>Yes</v>
      </c>
      <c r="Q406" s="124" t="str" cm="1">
        <f t="array" ref="Q406">_xlfn.XLOOKUP(1,('Case Pack'!$A$4:$A$962=C406)*('Case Pack'!$L$4:$L$962&gt;0)*('Case Pack'!$L$4:$L$962&lt;=A406),'Case Pack'!$G$4:$G$962,"未找到箱型")</f>
        <v>C</v>
      </c>
      <c r="R406" s="124">
        <f>ROUND(IFERROR(VLOOKUP(Q406,'Case Type'!A:H,8,0),0)*O406,2)</f>
        <v>2.67</v>
      </c>
      <c r="S406" s="124"/>
      <c r="T406" s="124"/>
      <c r="U406" s="124"/>
      <c r="V406" s="124"/>
      <c r="W406" s="124"/>
      <c r="X406" s="124"/>
      <c r="Y406" s="124"/>
      <c r="Z406" s="124"/>
      <c r="AA406" s="124"/>
      <c r="AB406" s="124"/>
      <c r="AC406" s="124"/>
      <c r="AD406" s="124"/>
      <c r="AE406" s="124"/>
    </row>
    <row r="407" customFormat="1" spans="1:31">
      <c r="A407" s="113">
        <v>46171</v>
      </c>
      <c r="B407" s="91" t="str">
        <f>_xlfn.XLOOKUP(C407,'Product List'!B:B,'Product List'!I:I)</f>
        <v>MINI/MOE SMALL ANIMAL FEEDING WATER BOTTLE HLDR GUMBALL 1EA</v>
      </c>
      <c r="C407" s="264" t="s">
        <v>55</v>
      </c>
      <c r="D407" s="214" t="s">
        <v>344</v>
      </c>
      <c r="E407" s="214">
        <v>442</v>
      </c>
      <c r="F407" s="125">
        <v>3.44</v>
      </c>
      <c r="G407" s="125">
        <f t="shared" si="10"/>
        <v>1520.48</v>
      </c>
      <c r="H407" s="86" t="s">
        <v>306</v>
      </c>
      <c r="I407" s="86" t="s">
        <v>92</v>
      </c>
      <c r="J407" s="124" t="s">
        <v>307</v>
      </c>
      <c r="K407" s="126">
        <v>46269</v>
      </c>
      <c r="L407" s="126">
        <v>46269</v>
      </c>
      <c r="M407" s="127">
        <f>_xlfn.XLOOKUP(C407,'Product List'!B:B,'Product List'!R:R)</f>
        <v>1.91</v>
      </c>
      <c r="N407" s="124">
        <f t="shared" si="11"/>
        <v>844.22</v>
      </c>
      <c r="O407" s="124" cm="1">
        <f t="array" ref="O407">E407/_xlfn.XLOOKUP(1,('Case Pack'!$A$4:$A$962=C407)*('Case Pack'!$L$4:$L$962&gt;0)*('Case Pack'!$L$4:$L$962&lt;=A407),'Case Pack'!$D$4:$D$962,"未找到箱规")</f>
        <v>13</v>
      </c>
      <c r="P407" s="124" t="str">
        <f>IF(COUNTIF('PO Check'!A:A,D407)&gt;0,"Yes","No")</f>
        <v>Yes</v>
      </c>
      <c r="Q407" s="124" t="str" cm="1">
        <f t="array" ref="Q407">_xlfn.XLOOKUP(1,('Case Pack'!$A$4:$A$962=C407)*('Case Pack'!$L$4:$L$962&gt;0)*('Case Pack'!$L$4:$L$962&lt;=A407),'Case Pack'!$G$4:$G$962,"未找到箱型")</f>
        <v>C</v>
      </c>
      <c r="R407" s="124">
        <f>ROUND(IFERROR(VLOOKUP(Q407,'Case Type'!A:H,8,0),0)*O407,2)</f>
        <v>2.05</v>
      </c>
      <c r="S407" s="124"/>
      <c r="T407" s="124"/>
      <c r="U407" s="124"/>
      <c r="V407" s="124"/>
      <c r="W407" s="124"/>
      <c r="X407" s="124"/>
      <c r="Y407" s="124"/>
      <c r="Z407" s="124"/>
      <c r="AA407" s="124"/>
      <c r="AB407" s="124"/>
      <c r="AC407" s="124"/>
      <c r="AD407" s="124"/>
      <c r="AE407" s="124"/>
    </row>
    <row r="408" customFormat="1" spans="1:31">
      <c r="A408" s="113">
        <v>46171</v>
      </c>
      <c r="B408" s="91" t="str">
        <f>_xlfn.XLOOKUP(C408,'Product List'!B:B,'Product List'!I:I)</f>
        <v>Silent Crystal Running Wheel XL</v>
      </c>
      <c r="C408" s="264" t="s">
        <v>75</v>
      </c>
      <c r="D408" s="214" t="s">
        <v>344</v>
      </c>
      <c r="E408" s="214">
        <v>438</v>
      </c>
      <c r="F408" s="125">
        <v>22.04</v>
      </c>
      <c r="G408" s="125">
        <f t="shared" si="10"/>
        <v>9653.52</v>
      </c>
      <c r="H408" s="86" t="s">
        <v>306</v>
      </c>
      <c r="I408" s="86" t="s">
        <v>92</v>
      </c>
      <c r="J408" s="124" t="s">
        <v>307</v>
      </c>
      <c r="K408" s="126">
        <v>46269</v>
      </c>
      <c r="L408" s="126">
        <v>46269</v>
      </c>
      <c r="M408" s="127">
        <f>_xlfn.XLOOKUP(C408,'Product List'!B:B,'Product List'!R:R)</f>
        <v>10.42</v>
      </c>
      <c r="N408" s="124">
        <f t="shared" si="11"/>
        <v>4563.96</v>
      </c>
      <c r="O408" s="124" cm="1">
        <f t="array" ref="O408">E408/_xlfn.XLOOKUP(1,('Case Pack'!$A$4:$A$962=C408)*('Case Pack'!$L$4:$L$962&gt;0)*('Case Pack'!$L$4:$L$962&lt;=A408),'Case Pack'!$D$4:$D$962,"未找到箱规")</f>
        <v>146</v>
      </c>
      <c r="P408" s="124" t="str">
        <f>IF(COUNTIF('PO Check'!A:A,D408)&gt;0,"Yes","No")</f>
        <v>Yes</v>
      </c>
      <c r="Q408" s="124" t="str" cm="1">
        <f t="array" ref="Q408">_xlfn.XLOOKUP(1,('Case Pack'!$A$4:$A$962=C408)*('Case Pack'!$L$4:$L$962&gt;0)*('Case Pack'!$L$4:$L$962&lt;=A408),'Case Pack'!$G$4:$G$962,"未找到箱型")</f>
        <v>C</v>
      </c>
      <c r="R408" s="124">
        <f>ROUND(IFERROR(VLOOKUP(Q408,'Case Type'!A:H,8,0),0)*O408,2)</f>
        <v>22.97</v>
      </c>
      <c r="S408" s="124"/>
      <c r="T408" s="124"/>
      <c r="U408" s="124"/>
      <c r="V408" s="124"/>
      <c r="W408" s="124"/>
      <c r="X408" s="124"/>
      <c r="Y408" s="124"/>
      <c r="Z408" s="124"/>
      <c r="AA408" s="124"/>
      <c r="AB408" s="124"/>
      <c r="AC408" s="124"/>
      <c r="AD408" s="124"/>
      <c r="AE408" s="124"/>
    </row>
    <row r="409" customFormat="1" spans="1:31">
      <c r="A409" s="113">
        <v>46171</v>
      </c>
      <c r="B409" s="91" t="str">
        <f>_xlfn.XLOOKUP(C409,'Product List'!B:B,'Product List'!I:I)</f>
        <v>MINI/MOE MINI TV TUNNEL CAGE 1EA</v>
      </c>
      <c r="C409" s="264" t="s">
        <v>51</v>
      </c>
      <c r="D409" s="214" t="s">
        <v>344</v>
      </c>
      <c r="E409" s="214">
        <v>438</v>
      </c>
      <c r="F409" s="125">
        <v>37.96</v>
      </c>
      <c r="G409" s="125">
        <f t="shared" si="10"/>
        <v>16626.48</v>
      </c>
      <c r="H409" s="86" t="s">
        <v>306</v>
      </c>
      <c r="I409" s="86" t="s">
        <v>92</v>
      </c>
      <c r="J409" s="124" t="s">
        <v>307</v>
      </c>
      <c r="K409" s="126">
        <v>46269</v>
      </c>
      <c r="L409" s="126">
        <v>46269</v>
      </c>
      <c r="M409" s="127">
        <f>_xlfn.XLOOKUP(C409,'Product List'!B:B,'Product List'!R:R)</f>
        <v>15.25</v>
      </c>
      <c r="N409" s="124">
        <f t="shared" si="11"/>
        <v>6679.5</v>
      </c>
      <c r="O409" s="124" cm="1">
        <f t="array" ref="O409">E409/_xlfn.XLOOKUP(1,('Case Pack'!$A$4:$A$962=C409)*('Case Pack'!$L$4:$L$962&gt;0)*('Case Pack'!$L$4:$L$962&lt;=A409),'Case Pack'!$D$4:$D$962,"未找到箱规")</f>
        <v>438</v>
      </c>
      <c r="P409" s="124" t="str">
        <f>IF(COUNTIF('PO Check'!A:A,D409)&gt;0,"Yes","No")</f>
        <v>Yes</v>
      </c>
      <c r="Q409" s="124" t="str" cm="1">
        <f t="array" ref="Q409">_xlfn.XLOOKUP(1,('Case Pack'!$A$4:$A$962=C409)*('Case Pack'!$L$4:$L$962&gt;0)*('Case Pack'!$L$4:$L$962&lt;=A409),'Case Pack'!$G$4:$G$962,"未找到箱型")</f>
        <v>S2</v>
      </c>
      <c r="R409" s="124">
        <f>ROUND(IFERROR(VLOOKUP(Q409,'Case Type'!A:H,8,0),0)*O409,2)</f>
        <v>15.58</v>
      </c>
      <c r="S409" s="124"/>
      <c r="T409" s="124"/>
      <c r="U409" s="124"/>
      <c r="V409" s="124"/>
      <c r="W409" s="124"/>
      <c r="X409" s="124"/>
      <c r="Y409" s="124"/>
      <c r="Z409" s="124"/>
      <c r="AA409" s="124"/>
      <c r="AB409" s="124"/>
      <c r="AC409" s="124"/>
      <c r="AD409" s="124"/>
      <c r="AE409" s="124"/>
    </row>
    <row r="410" customFormat="1" spans="1:31">
      <c r="A410" s="113">
        <v>46171</v>
      </c>
      <c r="B410" s="91" t="str">
        <f>_xlfn.XLOOKUP(C410,'Product List'!B:B,'Product List'!I:I)</f>
        <v>NONO Magnetic Water Bottle (220 ML)</v>
      </c>
      <c r="C410" s="124" t="s">
        <v>36</v>
      </c>
      <c r="D410" s="125" t="s">
        <v>345</v>
      </c>
      <c r="E410" s="125">
        <v>180</v>
      </c>
      <c r="F410" s="125">
        <v>2.93</v>
      </c>
      <c r="G410" s="125">
        <f t="shared" si="10"/>
        <v>527.4</v>
      </c>
      <c r="H410" s="86" t="s">
        <v>306</v>
      </c>
      <c r="I410" s="86" t="s">
        <v>92</v>
      </c>
      <c r="J410" s="124" t="s">
        <v>313</v>
      </c>
      <c r="K410" s="126">
        <v>46269</v>
      </c>
      <c r="L410" s="126">
        <v>46265</v>
      </c>
      <c r="M410" s="127">
        <f>_xlfn.XLOOKUP(C410,'Product List'!B:B,'Product List'!R:R)</f>
        <v>1.62</v>
      </c>
      <c r="N410" s="124">
        <f t="shared" si="11"/>
        <v>291.6</v>
      </c>
      <c r="O410" s="124" cm="1">
        <f t="array" ref="O410">E410/_xlfn.XLOOKUP(1,('Case Pack'!$A$4:$A$962=C410)*('Case Pack'!$L$4:$L$962&gt;0)*('Case Pack'!$L$4:$L$962&lt;=A410),'Case Pack'!$D$4:$D$962,"未找到箱规")</f>
        <v>3</v>
      </c>
      <c r="P410" s="124" t="str">
        <f>IF(COUNTIF('PO Check'!A:A,D410)&gt;0,"Yes","No")</f>
        <v>Yes</v>
      </c>
      <c r="Q410" s="124" t="str" cm="1">
        <f t="array" ref="Q410">_xlfn.XLOOKUP(1,('Case Pack'!$A$4:$A$962=C410)*('Case Pack'!$L$4:$L$962&gt;0)*('Case Pack'!$L$4:$L$962&lt;=A410),'Case Pack'!$G$4:$G$962,"未找到箱型")</f>
        <v>A</v>
      </c>
      <c r="R410" s="124">
        <f>ROUND(IFERROR(VLOOKUP(Q410,'Case Type'!A:H,8,0),0)*O410,2)</f>
        <v>0.33</v>
      </c>
      <c r="S410" s="124"/>
      <c r="T410" s="124"/>
      <c r="U410" s="124"/>
      <c r="V410" s="124"/>
      <c r="W410" s="124"/>
      <c r="X410" s="124"/>
      <c r="Y410" s="124"/>
      <c r="Z410" s="124"/>
      <c r="AA410" s="124"/>
      <c r="AB410" s="124"/>
      <c r="AC410" s="124"/>
      <c r="AD410" s="124"/>
      <c r="AE410" s="124"/>
    </row>
    <row r="411" customFormat="1" spans="1:31">
      <c r="A411" s="113">
        <v>46171</v>
      </c>
      <c r="B411" s="91" t="str">
        <f>_xlfn.XLOOKUP(C411,'Product List'!B:B,'Product List'!I:I)</f>
        <v>Forest Series Hamster Chew Toy &amp; Treat</v>
      </c>
      <c r="C411" s="124" t="s">
        <v>72</v>
      </c>
      <c r="D411" s="125" t="s">
        <v>345</v>
      </c>
      <c r="E411" s="125">
        <v>180</v>
      </c>
      <c r="F411" s="125">
        <v>3.47</v>
      </c>
      <c r="G411" s="125">
        <f t="shared" si="10"/>
        <v>624.6</v>
      </c>
      <c r="H411" s="86" t="s">
        <v>306</v>
      </c>
      <c r="I411" s="86" t="s">
        <v>92</v>
      </c>
      <c r="J411" s="124" t="s">
        <v>313</v>
      </c>
      <c r="K411" s="126">
        <v>46269</v>
      </c>
      <c r="L411" s="126">
        <v>46265</v>
      </c>
      <c r="M411" s="127">
        <f>_xlfn.XLOOKUP(C411,'Product List'!B:B,'Product List'!R:R)</f>
        <v>2.14</v>
      </c>
      <c r="N411" s="124">
        <f t="shared" si="11"/>
        <v>385.2</v>
      </c>
      <c r="O411" s="124" cm="1">
        <f t="array" ref="O411">E411/_xlfn.XLOOKUP(1,('Case Pack'!$A$4:$A$962=C411)*('Case Pack'!$L$4:$L$962&gt;0)*('Case Pack'!$L$4:$L$962&lt;=A411),'Case Pack'!$D$4:$D$962,"未找到箱规")</f>
        <v>3</v>
      </c>
      <c r="P411" s="124" t="str">
        <f>IF(COUNTIF('PO Check'!A:A,D411)&gt;0,"Yes","No")</f>
        <v>Yes</v>
      </c>
      <c r="Q411" s="124" t="str" cm="1">
        <f t="array" ref="Q411">_xlfn.XLOOKUP(1,('Case Pack'!$A$4:$A$962=C411)*('Case Pack'!$L$4:$L$962&gt;0)*('Case Pack'!$L$4:$L$962&lt;=A411),'Case Pack'!$G$4:$G$962,"未找到箱型")</f>
        <v>B</v>
      </c>
      <c r="R411" s="124">
        <f>ROUND(IFERROR(VLOOKUP(Q411,'Case Type'!A:H,8,0),0)*O411,2)</f>
        <v>0.22</v>
      </c>
      <c r="S411" s="124"/>
      <c r="T411" s="124"/>
      <c r="U411" s="124"/>
      <c r="V411" s="124"/>
      <c r="W411" s="124"/>
      <c r="X411" s="124"/>
      <c r="Y411" s="124"/>
      <c r="Z411" s="124"/>
      <c r="AA411" s="124"/>
      <c r="AB411" s="124"/>
      <c r="AC411" s="124"/>
      <c r="AD411" s="124"/>
      <c r="AE411" s="124"/>
    </row>
    <row r="412" customFormat="1" spans="1:31">
      <c r="A412" s="113">
        <v>46171</v>
      </c>
      <c r="B412" s="91" t="str">
        <f>_xlfn.XLOOKUP(C412,'Product List'!B:B,'Product List'!I:I)</f>
        <v>MMO-CAMP LUNCH BOX CHEW</v>
      </c>
      <c r="C412" s="124" t="s">
        <v>34</v>
      </c>
      <c r="D412" s="125" t="s">
        <v>345</v>
      </c>
      <c r="E412" s="125">
        <v>216</v>
      </c>
      <c r="F412" s="125">
        <v>2.48</v>
      </c>
      <c r="G412" s="125">
        <f t="shared" si="10"/>
        <v>535.68</v>
      </c>
      <c r="H412" s="86" t="s">
        <v>306</v>
      </c>
      <c r="I412" s="86" t="s">
        <v>92</v>
      </c>
      <c r="J412" s="124" t="s">
        <v>313</v>
      </c>
      <c r="K412" s="126">
        <v>46269</v>
      </c>
      <c r="L412" s="126">
        <v>46265</v>
      </c>
      <c r="M412" s="127">
        <f>_xlfn.XLOOKUP(C412,'Product List'!B:B,'Product List'!R:R)</f>
        <v>1.59</v>
      </c>
      <c r="N412" s="124">
        <f t="shared" si="11"/>
        <v>343.44</v>
      </c>
      <c r="O412" s="124" cm="1">
        <f t="array" ref="O412">E412/_xlfn.XLOOKUP(1,('Case Pack'!$A$4:$A$962=C412)*('Case Pack'!$L$4:$L$962&gt;0)*('Case Pack'!$L$4:$L$962&lt;=A412),'Case Pack'!$D$4:$D$962,"未找到箱规")</f>
        <v>3</v>
      </c>
      <c r="P412" s="124" t="str">
        <f>IF(COUNTIF('PO Check'!A:A,D412)&gt;0,"Yes","No")</f>
        <v>Yes</v>
      </c>
      <c r="Q412" s="124" t="str" cm="1">
        <f t="array" ref="Q412">_xlfn.XLOOKUP(1,('Case Pack'!$A$4:$A$962=C412)*('Case Pack'!$L$4:$L$962&gt;0)*('Case Pack'!$L$4:$L$962&lt;=A412),'Case Pack'!$G$4:$G$962,"未找到箱型")</f>
        <v>B</v>
      </c>
      <c r="R412" s="124">
        <f>ROUND(IFERROR(VLOOKUP(Q412,'Case Type'!A:H,8,0),0)*O412,2)</f>
        <v>0.22</v>
      </c>
      <c r="S412" s="124"/>
      <c r="T412" s="124"/>
      <c r="U412" s="124"/>
      <c r="V412" s="124"/>
      <c r="W412" s="124"/>
      <c r="X412" s="124"/>
      <c r="Y412" s="124"/>
      <c r="Z412" s="124"/>
      <c r="AA412" s="124"/>
      <c r="AB412" s="124"/>
      <c r="AC412" s="124"/>
      <c r="AD412" s="124"/>
      <c r="AE412" s="124"/>
    </row>
    <row r="413" customFormat="1" spans="1:31">
      <c r="A413" s="113">
        <v>46171</v>
      </c>
      <c r="B413" s="91" t="str">
        <f>_xlfn.XLOOKUP(C413,'Product List'!B:B,'Product List'!I:I)</f>
        <v>Mushroom Spiral Staircase</v>
      </c>
      <c r="C413" s="124" t="s">
        <v>46</v>
      </c>
      <c r="D413" s="125" t="s">
        <v>345</v>
      </c>
      <c r="E413" s="125">
        <v>216</v>
      </c>
      <c r="F413" s="125">
        <v>2.62</v>
      </c>
      <c r="G413" s="125">
        <f t="shared" si="10"/>
        <v>565.92</v>
      </c>
      <c r="H413" s="86" t="s">
        <v>306</v>
      </c>
      <c r="I413" s="86" t="s">
        <v>92</v>
      </c>
      <c r="J413" s="124" t="s">
        <v>313</v>
      </c>
      <c r="K413" s="126">
        <v>46269</v>
      </c>
      <c r="L413" s="126">
        <v>46265</v>
      </c>
      <c r="M413" s="127">
        <f>_xlfn.XLOOKUP(C413,'Product List'!B:B,'Product List'!R:R)</f>
        <v>1.42</v>
      </c>
      <c r="N413" s="124">
        <f t="shared" si="11"/>
        <v>306.72</v>
      </c>
      <c r="O413" s="124" cm="1">
        <f t="array" ref="O413">E413/_xlfn.XLOOKUP(1,('Case Pack'!$A$4:$A$962=C413)*('Case Pack'!$L$4:$L$962&gt;0)*('Case Pack'!$L$4:$L$962&lt;=A413),'Case Pack'!$D$4:$D$962,"未找到箱规")</f>
        <v>3</v>
      </c>
      <c r="P413" s="124" t="str">
        <f>IF(COUNTIF('PO Check'!A:A,D413)&gt;0,"Yes","No")</f>
        <v>Yes</v>
      </c>
      <c r="Q413" s="124" t="str" cm="1">
        <f t="array" ref="Q413">_xlfn.XLOOKUP(1,('Case Pack'!$A$4:$A$962=C413)*('Case Pack'!$L$4:$L$962&gt;0)*('Case Pack'!$L$4:$L$962&lt;=A413),'Case Pack'!$G$4:$G$962,"未找到箱型")</f>
        <v>B</v>
      </c>
      <c r="R413" s="124">
        <f>ROUND(IFERROR(VLOOKUP(Q413,'Case Type'!A:H,8,0),0)*O413,2)</f>
        <v>0.22</v>
      </c>
      <c r="S413" s="124"/>
      <c r="T413" s="124"/>
      <c r="U413" s="124"/>
      <c r="V413" s="124"/>
      <c r="W413" s="124"/>
      <c r="X413" s="124"/>
      <c r="Y413" s="124"/>
      <c r="Z413" s="124"/>
      <c r="AA413" s="124"/>
      <c r="AB413" s="124"/>
      <c r="AC413" s="124"/>
      <c r="AD413" s="124"/>
      <c r="AE413" s="124"/>
    </row>
    <row r="414" customFormat="1" spans="1:31">
      <c r="A414" s="113">
        <v>46171</v>
      </c>
      <c r="B414" s="91" t="str">
        <f>_xlfn.XLOOKUP(C414,'Product List'!B:B,'Product List'!I:I)</f>
        <v>Paper twist brown / white bedding</v>
      </c>
      <c r="C414" s="124" t="s">
        <v>70</v>
      </c>
      <c r="D414" s="125" t="s">
        <v>345</v>
      </c>
      <c r="E414" s="125">
        <v>180</v>
      </c>
      <c r="F414" s="125">
        <v>3.8</v>
      </c>
      <c r="G414" s="125">
        <f t="shared" si="10"/>
        <v>684</v>
      </c>
      <c r="H414" s="86" t="s">
        <v>306</v>
      </c>
      <c r="I414" s="86" t="s">
        <v>92</v>
      </c>
      <c r="J414" s="124" t="s">
        <v>313</v>
      </c>
      <c r="K414" s="126">
        <v>46269</v>
      </c>
      <c r="L414" s="126">
        <v>46265</v>
      </c>
      <c r="M414" s="127">
        <f>_xlfn.XLOOKUP(C414,'Product List'!B:B,'Product List'!R:R)</f>
        <v>1.98</v>
      </c>
      <c r="N414" s="124">
        <f t="shared" si="11"/>
        <v>356.4</v>
      </c>
      <c r="O414" s="124" cm="1">
        <f t="array" ref="O414">E414/_xlfn.XLOOKUP(1,('Case Pack'!$A$4:$A$962=C414)*('Case Pack'!$L$4:$L$962&gt;0)*('Case Pack'!$L$4:$L$962&lt;=A414),'Case Pack'!$D$4:$D$962,"未找到箱规")</f>
        <v>6</v>
      </c>
      <c r="P414" s="124" t="str">
        <f>IF(COUNTIF('PO Check'!A:A,D414)&gt;0,"Yes","No")</f>
        <v>Yes</v>
      </c>
      <c r="Q414" s="124" t="str" cm="1">
        <f t="array" ref="Q414">_xlfn.XLOOKUP(1,('Case Pack'!$A$4:$A$962=C414)*('Case Pack'!$L$4:$L$962&gt;0)*('Case Pack'!$L$4:$L$962&lt;=A414),'Case Pack'!$G$4:$G$962,"未找到箱型")</f>
        <v>A</v>
      </c>
      <c r="R414" s="124">
        <f>ROUND(IFERROR(VLOOKUP(Q414,'Case Type'!A:H,8,0),0)*O414,2)</f>
        <v>0.66</v>
      </c>
      <c r="S414" s="124"/>
      <c r="T414" s="124"/>
      <c r="U414" s="124"/>
      <c r="V414" s="124"/>
      <c r="W414" s="124"/>
      <c r="X414" s="124"/>
      <c r="Y414" s="124"/>
      <c r="Z414" s="124"/>
      <c r="AA414" s="124"/>
      <c r="AB414" s="124"/>
      <c r="AC414" s="124"/>
      <c r="AD414" s="124"/>
      <c r="AE414" s="124"/>
    </row>
    <row r="415" customFormat="1" spans="1:31">
      <c r="A415" s="113">
        <v>46171</v>
      </c>
      <c r="B415" s="91" t="str">
        <f>_xlfn.XLOOKUP(C415,'Product List'!B:B,'Product List'!I:I)</f>
        <v>Cotton multi color bedding</v>
      </c>
      <c r="C415" s="124" t="s">
        <v>85</v>
      </c>
      <c r="D415" s="125" t="s">
        <v>345</v>
      </c>
      <c r="E415" s="125">
        <v>160</v>
      </c>
      <c r="F415" s="125">
        <v>3.26</v>
      </c>
      <c r="G415" s="125">
        <f t="shared" si="10"/>
        <v>521.6</v>
      </c>
      <c r="H415" s="86" t="s">
        <v>306</v>
      </c>
      <c r="I415" s="86" t="s">
        <v>92</v>
      </c>
      <c r="J415" s="124" t="s">
        <v>313</v>
      </c>
      <c r="K415" s="126">
        <v>46269</v>
      </c>
      <c r="L415" s="126">
        <v>46265</v>
      </c>
      <c r="M415" s="127">
        <f>_xlfn.XLOOKUP(C415,'Product List'!B:B,'Product List'!R:R)</f>
        <v>1.64</v>
      </c>
      <c r="N415" s="124">
        <f t="shared" si="11"/>
        <v>262.4</v>
      </c>
      <c r="O415" s="124" cm="1">
        <f t="array" ref="O415">E415/_xlfn.XLOOKUP(1,('Case Pack'!$A$4:$A$962=C415)*('Case Pack'!$L$4:$L$962&gt;0)*('Case Pack'!$L$4:$L$962&lt;=A415),'Case Pack'!$D$4:$D$962,"未找到箱规")</f>
        <v>5</v>
      </c>
      <c r="P415" s="124" t="str">
        <f>IF(COUNTIF('PO Check'!A:A,D415)&gt;0,"Yes","No")</f>
        <v>Yes</v>
      </c>
      <c r="Q415" s="124" t="str" cm="1">
        <f t="array" ref="Q415">_xlfn.XLOOKUP(1,('Case Pack'!$A$4:$A$962=C415)*('Case Pack'!$L$4:$L$962&gt;0)*('Case Pack'!$L$4:$L$962&lt;=A415),'Case Pack'!$G$4:$G$962,"未找到箱型")</f>
        <v>A</v>
      </c>
      <c r="R415" s="124">
        <f>ROUND(IFERROR(VLOOKUP(Q415,'Case Type'!A:H,8,0),0)*O415,2)</f>
        <v>0.55</v>
      </c>
      <c r="S415" s="124"/>
      <c r="T415" s="124"/>
      <c r="U415" s="124"/>
      <c r="V415" s="124"/>
      <c r="W415" s="124"/>
      <c r="X415" s="124"/>
      <c r="Y415" s="124"/>
      <c r="Z415" s="124"/>
      <c r="AA415" s="124"/>
      <c r="AB415" s="124"/>
      <c r="AC415" s="124"/>
      <c r="AD415" s="124"/>
      <c r="AE415" s="124"/>
    </row>
    <row r="416" customFormat="1" spans="1:31">
      <c r="A416" s="113">
        <v>46171</v>
      </c>
      <c r="B416" s="91" t="str">
        <f>_xlfn.XLOOKUP(C416,'Product List'!B:B,'Product List'!I:I)</f>
        <v>MMO-GREEN APPLE CHEW</v>
      </c>
      <c r="C416" s="124" t="s">
        <v>33</v>
      </c>
      <c r="D416" s="125" t="s">
        <v>345</v>
      </c>
      <c r="E416" s="125">
        <v>192</v>
      </c>
      <c r="F416" s="125">
        <v>1.53</v>
      </c>
      <c r="G416" s="125">
        <f t="shared" si="10"/>
        <v>293.76</v>
      </c>
      <c r="H416" s="86" t="s">
        <v>306</v>
      </c>
      <c r="I416" s="86" t="s">
        <v>92</v>
      </c>
      <c r="J416" s="124" t="s">
        <v>313</v>
      </c>
      <c r="K416" s="126">
        <v>46269</v>
      </c>
      <c r="L416" s="126">
        <v>46265</v>
      </c>
      <c r="M416" s="127">
        <f>_xlfn.XLOOKUP(C416,'Product List'!B:B,'Product List'!R:R)</f>
        <v>1.04</v>
      </c>
      <c r="N416" s="124">
        <f t="shared" si="11"/>
        <v>199.68</v>
      </c>
      <c r="O416" s="124" cm="1">
        <f t="array" ref="O416">E416/_xlfn.XLOOKUP(1,('Case Pack'!$A$4:$A$962=C416)*('Case Pack'!$L$4:$L$962&gt;0)*('Case Pack'!$L$4:$L$962&lt;=A416),'Case Pack'!$D$4:$D$962,"未找到箱规")</f>
        <v>4</v>
      </c>
      <c r="P416" s="124" t="str">
        <f>IF(COUNTIF('PO Check'!A:A,D416)&gt;0,"Yes","No")</f>
        <v>Yes</v>
      </c>
      <c r="Q416" s="124" t="str" cm="1">
        <f t="array" ref="Q416">_xlfn.XLOOKUP(1,('Case Pack'!$A$4:$A$962=C416)*('Case Pack'!$L$4:$L$962&gt;0)*('Case Pack'!$L$4:$L$962&lt;=A416),'Case Pack'!$G$4:$G$962,"未找到箱型")</f>
        <v>B</v>
      </c>
      <c r="R416" s="124">
        <f>ROUND(IFERROR(VLOOKUP(Q416,'Case Type'!A:H,8,0),0)*O416,2)</f>
        <v>0.29</v>
      </c>
      <c r="S416" s="124"/>
      <c r="T416" s="124"/>
      <c r="U416" s="124"/>
      <c r="V416" s="124"/>
      <c r="W416" s="124"/>
      <c r="X416" s="124"/>
      <c r="Y416" s="124"/>
      <c r="Z416" s="124"/>
      <c r="AA416" s="124"/>
      <c r="AB416" s="124"/>
      <c r="AC416" s="124"/>
      <c r="AD416" s="124"/>
      <c r="AE416" s="124"/>
    </row>
    <row r="417" customFormat="1" spans="1:31">
      <c r="A417" s="113">
        <v>46171</v>
      </c>
      <c r="B417" s="91" t="str">
        <f>_xlfn.XLOOKUP(C417,'Product List'!B:B,'Product List'!I:I)</f>
        <v>MINI/MOE SMALL ANIMAL BEDDING PAPER PEBBLES PSTCH/CREAM 1EA</v>
      </c>
      <c r="C417" s="124" t="s">
        <v>31</v>
      </c>
      <c r="D417" s="125" t="s">
        <v>345</v>
      </c>
      <c r="E417" s="125">
        <v>180</v>
      </c>
      <c r="F417" s="125">
        <v>3.89</v>
      </c>
      <c r="G417" s="125">
        <f t="shared" si="10"/>
        <v>700.2</v>
      </c>
      <c r="H417" s="86" t="s">
        <v>306</v>
      </c>
      <c r="I417" s="86" t="s">
        <v>92</v>
      </c>
      <c r="J417" s="124" t="s">
        <v>313</v>
      </c>
      <c r="K417" s="126">
        <v>46269</v>
      </c>
      <c r="L417" s="126">
        <v>46265</v>
      </c>
      <c r="M417" s="127">
        <f>_xlfn.XLOOKUP(C417,'Product List'!B:B,'Product List'!R:R)</f>
        <v>1.99</v>
      </c>
      <c r="N417" s="124">
        <f t="shared" si="11"/>
        <v>358.2</v>
      </c>
      <c r="O417" s="124" cm="1">
        <f t="array" ref="O417">E417/_xlfn.XLOOKUP(1,('Case Pack'!$A$4:$A$962=C417)*('Case Pack'!$L$4:$L$962&gt;0)*('Case Pack'!$L$4:$L$962&lt;=A417),'Case Pack'!$D$4:$D$962,"未找到箱规")</f>
        <v>6</v>
      </c>
      <c r="P417" s="124" t="str">
        <f>IF(COUNTIF('PO Check'!A:A,D417)&gt;0,"Yes","No")</f>
        <v>Yes</v>
      </c>
      <c r="Q417" s="124" t="str" cm="1">
        <f t="array" ref="Q417">_xlfn.XLOOKUP(1,('Case Pack'!$A$4:$A$962=C417)*('Case Pack'!$L$4:$L$962&gt;0)*('Case Pack'!$L$4:$L$962&lt;=A417),'Case Pack'!$G$4:$G$962,"未找到箱型")</f>
        <v>A</v>
      </c>
      <c r="R417" s="124">
        <f>ROUND(IFERROR(VLOOKUP(Q417,'Case Type'!A:H,8,0),0)*O417,2)</f>
        <v>0.66</v>
      </c>
      <c r="S417" s="124"/>
      <c r="T417" s="124"/>
      <c r="U417" s="124"/>
      <c r="V417" s="124"/>
      <c r="W417" s="124"/>
      <c r="X417" s="124"/>
      <c r="Y417" s="124"/>
      <c r="Z417" s="124"/>
      <c r="AA417" s="124"/>
      <c r="AB417" s="124"/>
      <c r="AC417" s="124"/>
      <c r="AD417" s="124"/>
      <c r="AE417" s="124"/>
    </row>
    <row r="418" customFormat="1" spans="1:31">
      <c r="A418" s="113">
        <v>46171</v>
      </c>
      <c r="B418" s="91" t="str">
        <f>_xlfn.XLOOKUP(C418,'Product List'!B:B,'Product List'!I:I)</f>
        <v>MINI/MOE SMALL ANIMAL BEDDING PAPER TWISTS BUBBLEGUM 1EA</v>
      </c>
      <c r="C418" s="124" t="s">
        <v>71</v>
      </c>
      <c r="D418" s="125" t="s">
        <v>345</v>
      </c>
      <c r="E418" s="125">
        <v>180</v>
      </c>
      <c r="F418" s="125">
        <v>3.8</v>
      </c>
      <c r="G418" s="125">
        <f t="shared" ref="G418:G481" si="12">E418*F418</f>
        <v>684</v>
      </c>
      <c r="H418" s="86" t="s">
        <v>306</v>
      </c>
      <c r="I418" s="86" t="s">
        <v>92</v>
      </c>
      <c r="J418" s="124" t="s">
        <v>313</v>
      </c>
      <c r="K418" s="126">
        <v>46269</v>
      </c>
      <c r="L418" s="126">
        <v>46265</v>
      </c>
      <c r="M418" s="127">
        <f>_xlfn.XLOOKUP(C418,'Product List'!B:B,'Product List'!R:R)</f>
        <v>1.98</v>
      </c>
      <c r="N418" s="124">
        <f t="shared" ref="N418:N481" si="13">M418*E418</f>
        <v>356.4</v>
      </c>
      <c r="O418" s="124" cm="1">
        <f t="array" ref="O418">E418/_xlfn.XLOOKUP(1,('Case Pack'!$A$4:$A$962=C418)*('Case Pack'!$L$4:$L$962&gt;0)*('Case Pack'!$L$4:$L$962&lt;=A418),'Case Pack'!$D$4:$D$962,"未找到箱规")</f>
        <v>6</v>
      </c>
      <c r="P418" s="124" t="str">
        <f>IF(COUNTIF('PO Check'!A:A,D418)&gt;0,"Yes","No")</f>
        <v>Yes</v>
      </c>
      <c r="Q418" s="124" t="str" cm="1">
        <f t="array" ref="Q418">_xlfn.XLOOKUP(1,('Case Pack'!$A$4:$A$962=C418)*('Case Pack'!$L$4:$L$962&gt;0)*('Case Pack'!$L$4:$L$962&lt;=A418),'Case Pack'!$G$4:$G$962,"未找到箱型")</f>
        <v>A</v>
      </c>
      <c r="R418" s="124">
        <f>ROUND(IFERROR(VLOOKUP(Q418,'Case Type'!A:H,8,0),0)*O418,2)</f>
        <v>0.66</v>
      </c>
      <c r="S418" s="124"/>
      <c r="T418" s="124"/>
      <c r="U418" s="124"/>
      <c r="V418" s="124"/>
      <c r="W418" s="124"/>
      <c r="X418" s="124"/>
      <c r="Y418" s="124"/>
      <c r="Z418" s="124"/>
      <c r="AA418" s="124"/>
      <c r="AB418" s="124"/>
      <c r="AC418" s="124"/>
      <c r="AD418" s="124"/>
      <c r="AE418" s="124"/>
    </row>
    <row r="419" customFormat="1" spans="1:31">
      <c r="A419" s="113">
        <v>46171</v>
      </c>
      <c r="B419" s="91" t="str">
        <f>_xlfn.XLOOKUP(C419,'Product List'!B:B,'Product List'!I:I)</f>
        <v>MINI/MOE SMALL ANIMAL BEDDING PAPER FLK XMAS CRAN/MATCHA 1EA</v>
      </c>
      <c r="C419" s="124" t="s">
        <v>88</v>
      </c>
      <c r="D419" s="125" t="s">
        <v>345</v>
      </c>
      <c r="E419" s="125">
        <v>168</v>
      </c>
      <c r="F419" s="125">
        <v>6.79</v>
      </c>
      <c r="G419" s="125">
        <f t="shared" si="12"/>
        <v>1140.72</v>
      </c>
      <c r="H419" s="86" t="s">
        <v>306</v>
      </c>
      <c r="I419" s="86" t="s">
        <v>92</v>
      </c>
      <c r="J419" s="124" t="s">
        <v>313</v>
      </c>
      <c r="K419" s="126">
        <v>46269</v>
      </c>
      <c r="L419" s="126">
        <v>46265</v>
      </c>
      <c r="M419" s="127">
        <f>_xlfn.XLOOKUP(C419,'Product List'!B:B,'Product List'!R:R)</f>
        <v>4.79</v>
      </c>
      <c r="N419" s="124">
        <f t="shared" si="13"/>
        <v>804.72</v>
      </c>
      <c r="O419" s="124" cm="1">
        <f t="array" ref="O419">E419/_xlfn.XLOOKUP(1,('Case Pack'!$A$4:$A$962=C419)*('Case Pack'!$L$4:$L$962&gt;0)*('Case Pack'!$L$4:$L$962&lt;=A419),'Case Pack'!$D$4:$D$962,"未找到箱规")</f>
        <v>12</v>
      </c>
      <c r="P419" s="124" t="str">
        <f>IF(COUNTIF('PO Check'!A:A,D419)&gt;0,"Yes","No")</f>
        <v>Yes</v>
      </c>
      <c r="Q419" s="124" t="str" cm="1">
        <f t="array" ref="Q419">_xlfn.XLOOKUP(1,('Case Pack'!$A$4:$A$962=C419)*('Case Pack'!$L$4:$L$962&gt;0)*('Case Pack'!$L$4:$L$962&lt;=A419),'Case Pack'!$G$4:$G$962,"未找到箱型")</f>
        <v>C</v>
      </c>
      <c r="R419" s="124">
        <f>ROUND(IFERROR(VLOOKUP(Q419,'Case Type'!A:H,8,0),0)*O419,2)</f>
        <v>1.89</v>
      </c>
      <c r="S419" s="124"/>
      <c r="T419" s="124"/>
      <c r="U419" s="124"/>
      <c r="V419" s="124"/>
      <c r="W419" s="124"/>
      <c r="X419" s="124"/>
      <c r="Y419" s="124"/>
      <c r="Z419" s="124"/>
      <c r="AA419" s="124"/>
      <c r="AB419" s="124"/>
      <c r="AC419" s="124"/>
      <c r="AD419" s="124"/>
      <c r="AE419" s="124"/>
    </row>
    <row r="420" customFormat="1" spans="1:31">
      <c r="A420" s="113">
        <v>46171</v>
      </c>
      <c r="B420" s="91" t="str">
        <f>_xlfn.XLOOKUP(C420,'Product List'!B:B,'Product List'!I:I)</f>
        <v>MINI/MOE SMALL ANIMAL BEDDING PAPER PEBBLES PSTCH/CREAM 1EA</v>
      </c>
      <c r="C420" s="124" t="s">
        <v>82</v>
      </c>
      <c r="D420" s="125" t="s">
        <v>345</v>
      </c>
      <c r="E420" s="125">
        <v>168</v>
      </c>
      <c r="F420" s="125">
        <v>5.71</v>
      </c>
      <c r="G420" s="125">
        <f t="shared" si="12"/>
        <v>959.28</v>
      </c>
      <c r="H420" s="86" t="s">
        <v>306</v>
      </c>
      <c r="I420" s="86" t="s">
        <v>92</v>
      </c>
      <c r="J420" s="124" t="s">
        <v>313</v>
      </c>
      <c r="K420" s="126">
        <v>46269</v>
      </c>
      <c r="L420" s="126">
        <v>46265</v>
      </c>
      <c r="M420" s="127">
        <f>_xlfn.XLOOKUP(C420,'Product List'!B:B,'Product List'!R:R)</f>
        <v>2.84</v>
      </c>
      <c r="N420" s="124">
        <f t="shared" si="13"/>
        <v>477.12</v>
      </c>
      <c r="O420" s="124" cm="1">
        <f t="array" ref="O420">E420/_xlfn.XLOOKUP(1,('Case Pack'!$A$4:$A$962=C420)*('Case Pack'!$L$4:$L$962&gt;0)*('Case Pack'!$L$4:$L$962&lt;=A420),'Case Pack'!$D$4:$D$962,"未找到箱规")</f>
        <v>14</v>
      </c>
      <c r="P420" s="124" t="str">
        <f>IF(COUNTIF('PO Check'!A:A,D420)&gt;0,"Yes","No")</f>
        <v>Yes</v>
      </c>
      <c r="Q420" s="124" t="str" cm="1">
        <f t="array" ref="Q420">_xlfn.XLOOKUP(1,('Case Pack'!$A$4:$A$962=C420)*('Case Pack'!$L$4:$L$962&gt;0)*('Case Pack'!$L$4:$L$962&lt;=A420),'Case Pack'!$G$4:$G$962,"未找到箱型")</f>
        <v>B</v>
      </c>
      <c r="R420" s="124">
        <f>ROUND(IFERROR(VLOOKUP(Q420,'Case Type'!A:H,8,0),0)*O420,2)</f>
        <v>1.03</v>
      </c>
      <c r="S420" s="124"/>
      <c r="T420" s="124"/>
      <c r="U420" s="124"/>
      <c r="V420" s="124"/>
      <c r="W420" s="124"/>
      <c r="X420" s="124"/>
      <c r="Y420" s="124"/>
      <c r="Z420" s="124"/>
      <c r="AA420" s="124"/>
      <c r="AB420" s="124"/>
      <c r="AC420" s="124"/>
      <c r="AD420" s="124"/>
      <c r="AE420" s="124"/>
    </row>
    <row r="421" customFormat="1" spans="1:31">
      <c r="A421" s="113">
        <v>46171</v>
      </c>
      <c r="B421" s="91" t="str">
        <f>_xlfn.XLOOKUP(C421,'Product List'!B:B,'Product List'!I:I)</f>
        <v>MMO-BUBBLE WATER BOTTLE</v>
      </c>
      <c r="C421" s="124" t="s">
        <v>67</v>
      </c>
      <c r="D421" s="125" t="s">
        <v>345</v>
      </c>
      <c r="E421" s="125">
        <v>210</v>
      </c>
      <c r="F421" s="125">
        <v>4.14</v>
      </c>
      <c r="G421" s="125">
        <f t="shared" si="12"/>
        <v>869.4</v>
      </c>
      <c r="H421" s="86" t="s">
        <v>306</v>
      </c>
      <c r="I421" s="86" t="s">
        <v>92</v>
      </c>
      <c r="J421" s="124" t="s">
        <v>313</v>
      </c>
      <c r="K421" s="126">
        <v>46269</v>
      </c>
      <c r="L421" s="126">
        <v>46265</v>
      </c>
      <c r="M421" s="127">
        <f>_xlfn.XLOOKUP(C421,'Product List'!B:B,'Product List'!R:R)</f>
        <v>3.1</v>
      </c>
      <c r="N421" s="124">
        <f t="shared" si="13"/>
        <v>651</v>
      </c>
      <c r="O421" s="124" cm="1">
        <f t="array" ref="O421">E421/_xlfn.XLOOKUP(1,('Case Pack'!$A$4:$A$962=C421)*('Case Pack'!$L$4:$L$962&gt;0)*('Case Pack'!$L$4:$L$962&lt;=A421),'Case Pack'!$D$4:$D$962,"未找到箱规")</f>
        <v>5</v>
      </c>
      <c r="P421" s="124" t="str">
        <f>IF(COUNTIF('PO Check'!A:A,D421)&gt;0,"Yes","No")</f>
        <v>Yes</v>
      </c>
      <c r="Q421" s="124" t="str" cm="1">
        <f t="array" ref="Q421">_xlfn.XLOOKUP(1,('Case Pack'!$A$4:$A$962=C421)*('Case Pack'!$L$4:$L$962&gt;0)*('Case Pack'!$L$4:$L$962&lt;=A421),'Case Pack'!$G$4:$G$962,"未找到箱型")</f>
        <v>C</v>
      </c>
      <c r="R421" s="124">
        <f>ROUND(IFERROR(VLOOKUP(Q421,'Case Type'!A:H,8,0),0)*O421,2)</f>
        <v>0.79</v>
      </c>
      <c r="S421" s="124"/>
      <c r="T421" s="124"/>
      <c r="U421" s="124"/>
      <c r="V421" s="124"/>
      <c r="W421" s="124"/>
      <c r="X421" s="124"/>
      <c r="Y421" s="124"/>
      <c r="Z421" s="124"/>
      <c r="AA421" s="124"/>
      <c r="AB421" s="124"/>
      <c r="AC421" s="124"/>
      <c r="AD421" s="124"/>
      <c r="AE421" s="124"/>
    </row>
    <row r="422" customFormat="1" spans="1:31">
      <c r="A422" s="113">
        <v>46171</v>
      </c>
      <c r="B422" s="91" t="str">
        <f>_xlfn.XLOOKUP(C422,'Product List'!B:B,'Product List'!I:I)</f>
        <v>MINI/MOE MUSHROOM LADDER 1EA</v>
      </c>
      <c r="C422" s="124" t="s">
        <v>40</v>
      </c>
      <c r="D422" s="125" t="s">
        <v>345</v>
      </c>
      <c r="E422" s="125">
        <v>180</v>
      </c>
      <c r="F422" s="125">
        <v>4.28</v>
      </c>
      <c r="G422" s="125">
        <f t="shared" si="12"/>
        <v>770.4</v>
      </c>
      <c r="H422" s="86" t="s">
        <v>306</v>
      </c>
      <c r="I422" s="86" t="s">
        <v>92</v>
      </c>
      <c r="J422" s="124" t="s">
        <v>313</v>
      </c>
      <c r="K422" s="126">
        <v>46269</v>
      </c>
      <c r="L422" s="126">
        <v>46265</v>
      </c>
      <c r="M422" s="127">
        <f>_xlfn.XLOOKUP(C422,'Product List'!B:B,'Product List'!R:R)</f>
        <v>2.2</v>
      </c>
      <c r="N422" s="124">
        <f t="shared" si="13"/>
        <v>396</v>
      </c>
      <c r="O422" s="124" cm="1">
        <f t="array" ref="O422">E422/_xlfn.XLOOKUP(1,('Case Pack'!$A$4:$A$962=C422)*('Case Pack'!$L$4:$L$962&gt;0)*('Case Pack'!$L$4:$L$962&lt;=A422),'Case Pack'!$D$4:$D$962,"未找到箱规")</f>
        <v>6</v>
      </c>
      <c r="P422" s="124" t="str">
        <f>IF(COUNTIF('PO Check'!A:A,D422)&gt;0,"Yes","No")</f>
        <v>Yes</v>
      </c>
      <c r="Q422" s="124" t="str" cm="1">
        <f t="array" ref="Q422">_xlfn.XLOOKUP(1,('Case Pack'!$A$4:$A$962=C422)*('Case Pack'!$L$4:$L$962&gt;0)*('Case Pack'!$L$4:$L$962&lt;=A422),'Case Pack'!$G$4:$G$962,"未找到箱型")</f>
        <v>C</v>
      </c>
      <c r="R422" s="124">
        <f>ROUND(IFERROR(VLOOKUP(Q422,'Case Type'!A:H,8,0),0)*O422,2)</f>
        <v>0.94</v>
      </c>
      <c r="S422" s="124"/>
      <c r="T422" s="124"/>
      <c r="U422" s="124"/>
      <c r="V422" s="124"/>
      <c r="W422" s="124"/>
      <c r="X422" s="124"/>
      <c r="Y422" s="124"/>
      <c r="Z422" s="124"/>
      <c r="AA422" s="124"/>
      <c r="AB422" s="124"/>
      <c r="AC422" s="124"/>
      <c r="AD422" s="124"/>
      <c r="AE422" s="124"/>
    </row>
    <row r="423" customFormat="1" spans="1:31">
      <c r="A423" s="113">
        <v>46171</v>
      </c>
      <c r="B423" s="91" t="str">
        <f>_xlfn.XLOOKUP(C423,'Product List'!B:B,'Product List'!I:I)</f>
        <v>MINI/MOE FISHBONE BRIDGE 1EA</v>
      </c>
      <c r="C423" s="124" t="s">
        <v>42</v>
      </c>
      <c r="D423" s="125" t="s">
        <v>345</v>
      </c>
      <c r="E423" s="125">
        <v>180</v>
      </c>
      <c r="F423" s="125">
        <v>2.39</v>
      </c>
      <c r="G423" s="125">
        <f t="shared" si="12"/>
        <v>430.2</v>
      </c>
      <c r="H423" s="86" t="s">
        <v>306</v>
      </c>
      <c r="I423" s="86" t="s">
        <v>92</v>
      </c>
      <c r="J423" s="124" t="s">
        <v>313</v>
      </c>
      <c r="K423" s="126">
        <v>46269</v>
      </c>
      <c r="L423" s="126">
        <v>46265</v>
      </c>
      <c r="M423" s="127">
        <f>_xlfn.XLOOKUP(C423,'Product List'!B:B,'Product List'!R:R)</f>
        <v>1.45</v>
      </c>
      <c r="N423" s="124">
        <f t="shared" si="13"/>
        <v>261</v>
      </c>
      <c r="O423" s="124" cm="1">
        <f t="array" ref="O423">E423/_xlfn.XLOOKUP(1,('Case Pack'!$A$4:$A$962=C423)*('Case Pack'!$L$4:$L$962&gt;0)*('Case Pack'!$L$4:$L$962&lt;=A423),'Case Pack'!$D$4:$D$962,"未找到箱规")</f>
        <v>6</v>
      </c>
      <c r="P423" s="124" t="str">
        <f>IF(COUNTIF('PO Check'!A:A,D423)&gt;0,"Yes","No")</f>
        <v>Yes</v>
      </c>
      <c r="Q423" s="124" t="str" cm="1">
        <f t="array" ref="Q423">_xlfn.XLOOKUP(1,('Case Pack'!$A$4:$A$962=C423)*('Case Pack'!$L$4:$L$962&gt;0)*('Case Pack'!$L$4:$L$962&lt;=A423),'Case Pack'!$G$4:$G$962,"未找到箱型")</f>
        <v>B</v>
      </c>
      <c r="R423" s="124">
        <f>ROUND(IFERROR(VLOOKUP(Q423,'Case Type'!A:H,8,0),0)*O423,2)</f>
        <v>0.44</v>
      </c>
      <c r="S423" s="124"/>
      <c r="T423" s="124"/>
      <c r="U423" s="124"/>
      <c r="V423" s="124"/>
      <c r="W423" s="124"/>
      <c r="X423" s="124"/>
      <c r="Y423" s="124"/>
      <c r="Z423" s="124"/>
      <c r="AA423" s="124"/>
      <c r="AB423" s="124"/>
      <c r="AC423" s="124"/>
      <c r="AD423" s="124"/>
      <c r="AE423" s="124"/>
    </row>
    <row r="424" customFormat="1" spans="1:31">
      <c r="A424" s="113">
        <v>46171</v>
      </c>
      <c r="B424" s="91" t="str">
        <f>_xlfn.XLOOKUP(C424,'Product List'!B:B,'Product List'!I:I)</f>
        <v>Ceramic Candy Bowl</v>
      </c>
      <c r="C424" s="124" t="s">
        <v>38</v>
      </c>
      <c r="D424" s="125" t="s">
        <v>345</v>
      </c>
      <c r="E424" s="125">
        <v>192</v>
      </c>
      <c r="F424" s="125">
        <v>2.85</v>
      </c>
      <c r="G424" s="125">
        <f t="shared" si="12"/>
        <v>547.2</v>
      </c>
      <c r="H424" s="86" t="s">
        <v>306</v>
      </c>
      <c r="I424" s="86" t="s">
        <v>92</v>
      </c>
      <c r="J424" s="124" t="s">
        <v>313</v>
      </c>
      <c r="K424" s="126">
        <v>46269</v>
      </c>
      <c r="L424" s="126">
        <v>46265</v>
      </c>
      <c r="M424" s="127">
        <f>_xlfn.XLOOKUP(C424,'Product List'!B:B,'Product List'!R:R)</f>
        <v>1.31</v>
      </c>
      <c r="N424" s="124">
        <f t="shared" si="13"/>
        <v>251.52</v>
      </c>
      <c r="O424" s="124" cm="1">
        <f t="array" ref="O424">E424/_xlfn.XLOOKUP(1,('Case Pack'!$A$4:$A$962=C424)*('Case Pack'!$L$4:$L$962&gt;0)*('Case Pack'!$L$4:$L$962&lt;=A424),'Case Pack'!$D$4:$D$962,"未找到箱规")</f>
        <v>4</v>
      </c>
      <c r="P424" s="124" t="str">
        <f>IF(COUNTIF('PO Check'!A:A,D424)&gt;0,"Yes","No")</f>
        <v>Yes</v>
      </c>
      <c r="Q424" s="124" t="str" cm="1">
        <f t="array" ref="Q424">_xlfn.XLOOKUP(1,('Case Pack'!$A$4:$A$962=C424)*('Case Pack'!$L$4:$L$962&gt;0)*('Case Pack'!$L$4:$L$962&lt;=A424),'Case Pack'!$G$4:$G$962,"未找到箱型")</f>
        <v>B</v>
      </c>
      <c r="R424" s="124">
        <f>ROUND(IFERROR(VLOOKUP(Q424,'Case Type'!A:H,8,0),0)*O424,2)</f>
        <v>0.29</v>
      </c>
      <c r="S424" s="124"/>
      <c r="T424" s="124"/>
      <c r="U424" s="124"/>
      <c r="V424" s="124"/>
      <c r="W424" s="124"/>
      <c r="X424" s="124"/>
      <c r="Y424" s="124"/>
      <c r="Z424" s="124"/>
      <c r="AA424" s="124"/>
      <c r="AB424" s="124"/>
      <c r="AC424" s="124"/>
      <c r="AD424" s="124"/>
      <c r="AE424" s="124"/>
    </row>
    <row r="425" customFormat="1" spans="1:31">
      <c r="A425" s="113">
        <v>46171</v>
      </c>
      <c r="B425" s="91" t="str">
        <f>_xlfn.XLOOKUP(C425,'Product List'!B:B,'Product List'!I:I)</f>
        <v>Sugar Jar</v>
      </c>
      <c r="C425" s="124" t="s">
        <v>59</v>
      </c>
      <c r="D425" s="125" t="s">
        <v>345</v>
      </c>
      <c r="E425" s="125">
        <v>162</v>
      </c>
      <c r="F425" s="125">
        <v>4.13</v>
      </c>
      <c r="G425" s="125">
        <f t="shared" si="12"/>
        <v>669.06</v>
      </c>
      <c r="H425" s="86" t="s">
        <v>306</v>
      </c>
      <c r="I425" s="86" t="s">
        <v>92</v>
      </c>
      <c r="J425" s="124" t="s">
        <v>313</v>
      </c>
      <c r="K425" s="126">
        <v>46269</v>
      </c>
      <c r="L425" s="126">
        <v>46265</v>
      </c>
      <c r="M425" s="127">
        <f>_xlfn.XLOOKUP(C425,'Product List'!B:B,'Product List'!R:R)</f>
        <v>1.92</v>
      </c>
      <c r="N425" s="124">
        <f t="shared" si="13"/>
        <v>311.04</v>
      </c>
      <c r="O425" s="124" cm="1">
        <f t="array" ref="O425">E425/_xlfn.XLOOKUP(1,('Case Pack'!$A$4:$A$962=C425)*('Case Pack'!$L$4:$L$962&gt;0)*('Case Pack'!$L$4:$L$962&lt;=A425),'Case Pack'!$D$4:$D$962,"未找到箱规")</f>
        <v>6</v>
      </c>
      <c r="P425" s="124" t="str">
        <f>IF(COUNTIF('PO Check'!A:A,D425)&gt;0,"Yes","No")</f>
        <v>Yes</v>
      </c>
      <c r="Q425" s="124" t="str" cm="1">
        <f t="array" ref="Q425">_xlfn.XLOOKUP(1,('Case Pack'!$A$4:$A$962=C425)*('Case Pack'!$L$4:$L$962&gt;0)*('Case Pack'!$L$4:$L$962&lt;=A425),'Case Pack'!$G$4:$G$962,"未找到箱型")</f>
        <v>C</v>
      </c>
      <c r="R425" s="124">
        <f>ROUND(IFERROR(VLOOKUP(Q425,'Case Type'!A:H,8,0),0)*O425,2)</f>
        <v>0.94</v>
      </c>
      <c r="S425" s="124"/>
      <c r="T425" s="124"/>
      <c r="U425" s="124"/>
      <c r="V425" s="124"/>
      <c r="W425" s="124"/>
      <c r="X425" s="124"/>
      <c r="Y425" s="124"/>
      <c r="Z425" s="124"/>
      <c r="AA425" s="124"/>
      <c r="AB425" s="124"/>
      <c r="AC425" s="124"/>
      <c r="AD425" s="124"/>
      <c r="AE425" s="124"/>
    </row>
    <row r="426" customFormat="1" spans="1:31">
      <c r="A426" s="113">
        <v>46171</v>
      </c>
      <c r="B426" s="91" t="str">
        <f>_xlfn.XLOOKUP(C426,'Product List'!B:B,'Product List'!I:I)</f>
        <v>Candy House</v>
      </c>
      <c r="C426" s="124" t="s">
        <v>57</v>
      </c>
      <c r="D426" s="125" t="s">
        <v>345</v>
      </c>
      <c r="E426" s="125">
        <v>162</v>
      </c>
      <c r="F426" s="125">
        <v>4.43</v>
      </c>
      <c r="G426" s="125">
        <f t="shared" si="12"/>
        <v>717.66</v>
      </c>
      <c r="H426" s="86" t="s">
        <v>306</v>
      </c>
      <c r="I426" s="86" t="s">
        <v>92</v>
      </c>
      <c r="J426" s="124" t="s">
        <v>313</v>
      </c>
      <c r="K426" s="126">
        <v>46269</v>
      </c>
      <c r="L426" s="126">
        <v>46265</v>
      </c>
      <c r="M426" s="127">
        <f>_xlfn.XLOOKUP(C426,'Product List'!B:B,'Product List'!R:R)</f>
        <v>2.13</v>
      </c>
      <c r="N426" s="124">
        <f t="shared" si="13"/>
        <v>345.06</v>
      </c>
      <c r="O426" s="124" cm="1">
        <f t="array" ref="O426">E426/_xlfn.XLOOKUP(1,('Case Pack'!$A$4:$A$962=C426)*('Case Pack'!$L$4:$L$962&gt;0)*('Case Pack'!$L$4:$L$962&lt;=A426),'Case Pack'!$D$4:$D$962,"未找到箱规")</f>
        <v>6</v>
      </c>
      <c r="P426" s="124" t="str">
        <f>IF(COUNTIF('PO Check'!A:A,D426)&gt;0,"Yes","No")</f>
        <v>Yes</v>
      </c>
      <c r="Q426" s="124" t="str" cm="1">
        <f t="array" ref="Q426">_xlfn.XLOOKUP(1,('Case Pack'!$A$4:$A$962=C426)*('Case Pack'!$L$4:$L$962&gt;0)*('Case Pack'!$L$4:$L$962&lt;=A426),'Case Pack'!$G$4:$G$962,"未找到箱型")</f>
        <v>C</v>
      </c>
      <c r="R426" s="124">
        <f>ROUND(IFERROR(VLOOKUP(Q426,'Case Type'!A:H,8,0),0)*O426,2)</f>
        <v>0.94</v>
      </c>
      <c r="S426" s="124"/>
      <c r="T426" s="124"/>
      <c r="U426" s="124"/>
      <c r="V426" s="124"/>
      <c r="W426" s="124"/>
      <c r="X426" s="124"/>
      <c r="Y426" s="124"/>
      <c r="Z426" s="124"/>
      <c r="AA426" s="124"/>
      <c r="AB426" s="124"/>
      <c r="AC426" s="124"/>
      <c r="AD426" s="124"/>
      <c r="AE426" s="124"/>
    </row>
    <row r="427" customFormat="1" spans="1:31">
      <c r="A427" s="113">
        <v>46171</v>
      </c>
      <c r="B427" s="91" t="str">
        <f>_xlfn.XLOOKUP(C427,'Product List'!B:B,'Product List'!I:I)</f>
        <v>MINI/MOE SMALL ANIMAL HOUSING SWEET BRIDGE 1EA</v>
      </c>
      <c r="C427" s="124" t="s">
        <v>56</v>
      </c>
      <c r="D427" s="125" t="s">
        <v>345</v>
      </c>
      <c r="E427" s="125">
        <v>210</v>
      </c>
      <c r="F427" s="125">
        <v>2.91</v>
      </c>
      <c r="G427" s="125">
        <f t="shared" si="12"/>
        <v>611.1</v>
      </c>
      <c r="H427" s="86" t="s">
        <v>306</v>
      </c>
      <c r="I427" s="86" t="s">
        <v>92</v>
      </c>
      <c r="J427" s="124" t="s">
        <v>313</v>
      </c>
      <c r="K427" s="126">
        <v>46269</v>
      </c>
      <c r="L427" s="126">
        <v>46265</v>
      </c>
      <c r="M427" s="127">
        <f>_xlfn.XLOOKUP(C427,'Product List'!B:B,'Product List'!R:R)</f>
        <v>1.58</v>
      </c>
      <c r="N427" s="124">
        <f t="shared" si="13"/>
        <v>331.8</v>
      </c>
      <c r="O427" s="124" cm="1">
        <f t="array" ref="O427">E427/_xlfn.XLOOKUP(1,('Case Pack'!$A$4:$A$962=C427)*('Case Pack'!$L$4:$L$962&gt;0)*('Case Pack'!$L$4:$L$962&lt;=A427),'Case Pack'!$D$4:$D$962,"未找到箱规")</f>
        <v>3</v>
      </c>
      <c r="P427" s="124" t="str">
        <f>IF(COUNTIF('PO Check'!A:A,D427)&gt;0,"Yes","No")</f>
        <v>Yes</v>
      </c>
      <c r="Q427" s="124" t="str" cm="1">
        <f t="array" ref="Q427">_xlfn.XLOOKUP(1,('Case Pack'!$A$4:$A$962=C427)*('Case Pack'!$L$4:$L$962&gt;0)*('Case Pack'!$L$4:$L$962&lt;=A427),'Case Pack'!$G$4:$G$962,"未找到箱型")</f>
        <v>A</v>
      </c>
      <c r="R427" s="124">
        <f>ROUND(IFERROR(VLOOKUP(Q427,'Case Type'!A:H,8,0),0)*O427,2)</f>
        <v>0.33</v>
      </c>
      <c r="S427" s="124"/>
      <c r="T427" s="124"/>
      <c r="U427" s="124"/>
      <c r="V427" s="124"/>
      <c r="W427" s="124"/>
      <c r="X427" s="124"/>
      <c r="Y427" s="124"/>
      <c r="Z427" s="124"/>
      <c r="AA427" s="124"/>
      <c r="AB427" s="124"/>
      <c r="AC427" s="124"/>
      <c r="AD427" s="124"/>
      <c r="AE427" s="124"/>
    </row>
    <row r="428" customFormat="1" spans="1:31">
      <c r="A428" s="113">
        <v>46171</v>
      </c>
      <c r="B428" s="91" t="str">
        <f>_xlfn.XLOOKUP(C428,'Product List'!B:B,'Product List'!I:I)</f>
        <v>MINI/MOE SMALL ANIMAL FEEDING WATER BOTTLE HLDR GUMBALL 1EA</v>
      </c>
      <c r="C428" s="124" t="s">
        <v>55</v>
      </c>
      <c r="D428" s="125" t="s">
        <v>345</v>
      </c>
      <c r="E428" s="125">
        <v>170</v>
      </c>
      <c r="F428" s="125">
        <v>3.44</v>
      </c>
      <c r="G428" s="125">
        <f t="shared" si="12"/>
        <v>584.8</v>
      </c>
      <c r="H428" s="86" t="s">
        <v>306</v>
      </c>
      <c r="I428" s="86" t="s">
        <v>92</v>
      </c>
      <c r="J428" s="124" t="s">
        <v>313</v>
      </c>
      <c r="K428" s="126">
        <v>46269</v>
      </c>
      <c r="L428" s="126">
        <v>46265</v>
      </c>
      <c r="M428" s="127">
        <f>_xlfn.XLOOKUP(C428,'Product List'!B:B,'Product List'!R:R)</f>
        <v>1.91</v>
      </c>
      <c r="N428" s="124">
        <f t="shared" si="13"/>
        <v>324.7</v>
      </c>
      <c r="O428" s="124" cm="1">
        <f t="array" ref="O428">E428/_xlfn.XLOOKUP(1,('Case Pack'!$A$4:$A$962=C428)*('Case Pack'!$L$4:$L$962&gt;0)*('Case Pack'!$L$4:$L$962&lt;=A428),'Case Pack'!$D$4:$D$962,"未找到箱规")</f>
        <v>5</v>
      </c>
      <c r="P428" s="124" t="str">
        <f>IF(COUNTIF('PO Check'!A:A,D428)&gt;0,"Yes","No")</f>
        <v>Yes</v>
      </c>
      <c r="Q428" s="124" t="str" cm="1">
        <f t="array" ref="Q428">_xlfn.XLOOKUP(1,('Case Pack'!$A$4:$A$962=C428)*('Case Pack'!$L$4:$L$962&gt;0)*('Case Pack'!$L$4:$L$962&lt;=A428),'Case Pack'!$G$4:$G$962,"未找到箱型")</f>
        <v>C</v>
      </c>
      <c r="R428" s="124">
        <f>ROUND(IFERROR(VLOOKUP(Q428,'Case Type'!A:H,8,0),0)*O428,2)</f>
        <v>0.79</v>
      </c>
      <c r="S428" s="124"/>
      <c r="T428" s="124"/>
      <c r="U428" s="124"/>
      <c r="V428" s="124"/>
      <c r="W428" s="124"/>
      <c r="X428" s="124"/>
      <c r="Y428" s="124"/>
      <c r="Z428" s="124"/>
      <c r="AA428" s="124"/>
      <c r="AB428" s="124"/>
      <c r="AC428" s="124"/>
      <c r="AD428" s="124"/>
      <c r="AE428" s="124"/>
    </row>
    <row r="429" customFormat="1" spans="1:31">
      <c r="A429" s="113">
        <v>46171</v>
      </c>
      <c r="B429" s="91" t="str">
        <f>_xlfn.XLOOKUP(C429,'Product List'!B:B,'Product List'!I:I)</f>
        <v>Silent Crystal Running Wheel XL</v>
      </c>
      <c r="C429" s="124" t="s">
        <v>75</v>
      </c>
      <c r="D429" s="125" t="s">
        <v>345</v>
      </c>
      <c r="E429" s="125">
        <v>162</v>
      </c>
      <c r="F429" s="125">
        <v>22.04</v>
      </c>
      <c r="G429" s="125">
        <f t="shared" si="12"/>
        <v>3570.48</v>
      </c>
      <c r="H429" s="86" t="s">
        <v>306</v>
      </c>
      <c r="I429" s="86" t="s">
        <v>92</v>
      </c>
      <c r="J429" s="124" t="s">
        <v>313</v>
      </c>
      <c r="K429" s="126">
        <v>46269</v>
      </c>
      <c r="L429" s="126">
        <v>46265</v>
      </c>
      <c r="M429" s="127">
        <f>_xlfn.XLOOKUP(C429,'Product List'!B:B,'Product List'!R:R)</f>
        <v>10.42</v>
      </c>
      <c r="N429" s="124">
        <f t="shared" si="13"/>
        <v>1688.04</v>
      </c>
      <c r="O429" s="124" cm="1">
        <f t="array" ref="O429">E429/_xlfn.XLOOKUP(1,('Case Pack'!$A$4:$A$962=C429)*('Case Pack'!$L$4:$L$962&gt;0)*('Case Pack'!$L$4:$L$962&lt;=A429),'Case Pack'!$D$4:$D$962,"未找到箱规")</f>
        <v>54</v>
      </c>
      <c r="P429" s="124" t="str">
        <f>IF(COUNTIF('PO Check'!A:A,D429)&gt;0,"Yes","No")</f>
        <v>Yes</v>
      </c>
      <c r="Q429" s="124" t="str" cm="1">
        <f t="array" ref="Q429">_xlfn.XLOOKUP(1,('Case Pack'!$A$4:$A$962=C429)*('Case Pack'!$L$4:$L$962&gt;0)*('Case Pack'!$L$4:$L$962&lt;=A429),'Case Pack'!$G$4:$G$962,"未找到箱型")</f>
        <v>C</v>
      </c>
      <c r="R429" s="124">
        <f>ROUND(IFERROR(VLOOKUP(Q429,'Case Type'!A:H,8,0),0)*O429,2)</f>
        <v>8.5</v>
      </c>
      <c r="S429" s="124"/>
      <c r="T429" s="124"/>
      <c r="U429" s="124"/>
      <c r="V429" s="124"/>
      <c r="W429" s="124"/>
      <c r="X429" s="124"/>
      <c r="Y429" s="124"/>
      <c r="Z429" s="124"/>
      <c r="AA429" s="124"/>
      <c r="AB429" s="124"/>
      <c r="AC429" s="124"/>
      <c r="AD429" s="124"/>
      <c r="AE429" s="124"/>
    </row>
    <row r="430" customFormat="1" spans="1:31">
      <c r="A430" s="113">
        <v>46171</v>
      </c>
      <c r="B430" s="91" t="str">
        <f>_xlfn.XLOOKUP(C430,'Product List'!B:B,'Product List'!I:I)</f>
        <v>Little Devil Travel Cage</v>
      </c>
      <c r="C430" s="124" t="s">
        <v>74</v>
      </c>
      <c r="D430" s="125" t="s">
        <v>345</v>
      </c>
      <c r="E430" s="125">
        <v>162</v>
      </c>
      <c r="F430" s="125">
        <v>5.48</v>
      </c>
      <c r="G430" s="125">
        <f t="shared" si="12"/>
        <v>887.76</v>
      </c>
      <c r="H430" s="86" t="s">
        <v>306</v>
      </c>
      <c r="I430" s="86" t="s">
        <v>92</v>
      </c>
      <c r="J430" s="124" t="s">
        <v>313</v>
      </c>
      <c r="K430" s="126">
        <v>46269</v>
      </c>
      <c r="L430" s="126">
        <v>46265</v>
      </c>
      <c r="M430" s="127">
        <f>_xlfn.XLOOKUP(C430,'Product List'!B:B,'Product List'!R:R)</f>
        <v>2.23</v>
      </c>
      <c r="N430" s="124">
        <f t="shared" si="13"/>
        <v>361.26</v>
      </c>
      <c r="O430" s="124" cm="1">
        <f t="array" ref="O430">E430/_xlfn.XLOOKUP(1,('Case Pack'!$A$4:$A$962=C430)*('Case Pack'!$L$4:$L$962&gt;0)*('Case Pack'!$L$4:$L$962&lt;=A430),'Case Pack'!$D$4:$D$962,"未找到箱规")</f>
        <v>9</v>
      </c>
      <c r="P430" s="124" t="str">
        <f>IF(COUNTIF('PO Check'!A:A,D430)&gt;0,"Yes","No")</f>
        <v>Yes</v>
      </c>
      <c r="Q430" s="124" t="str" cm="1">
        <f t="array" ref="Q430">_xlfn.XLOOKUP(1,('Case Pack'!$A$4:$A$962=C430)*('Case Pack'!$L$4:$L$962&gt;0)*('Case Pack'!$L$4:$L$962&lt;=A430),'Case Pack'!$G$4:$G$962,"未找到箱型")</f>
        <v>C</v>
      </c>
      <c r="R430" s="124">
        <f>ROUND(IFERROR(VLOOKUP(Q430,'Case Type'!A:H,8,0),0)*O430,2)</f>
        <v>1.42</v>
      </c>
      <c r="S430" s="124"/>
      <c r="T430" s="124"/>
      <c r="U430" s="124"/>
      <c r="V430" s="124"/>
      <c r="W430" s="124"/>
      <c r="X430" s="124"/>
      <c r="Y430" s="124"/>
      <c r="Z430" s="124"/>
      <c r="AA430" s="124"/>
      <c r="AB430" s="124"/>
      <c r="AC430" s="124"/>
      <c r="AD430" s="124"/>
      <c r="AE430" s="124"/>
    </row>
    <row r="431" customFormat="1" spans="1:31">
      <c r="A431" s="113">
        <v>46171</v>
      </c>
      <c r="B431" s="91" t="str">
        <f>_xlfn.XLOOKUP(C431,'Product List'!B:B,'Product List'!I:I)</f>
        <v>Crystal Outdoor Cage</v>
      </c>
      <c r="C431" s="124" t="s">
        <v>63</v>
      </c>
      <c r="D431" s="125" t="s">
        <v>345</v>
      </c>
      <c r="E431" s="125">
        <v>85</v>
      </c>
      <c r="F431" s="125">
        <v>8.2</v>
      </c>
      <c r="G431" s="125">
        <f t="shared" si="12"/>
        <v>697</v>
      </c>
      <c r="H431" s="86" t="s">
        <v>306</v>
      </c>
      <c r="I431" s="86" t="s">
        <v>92</v>
      </c>
      <c r="J431" s="124" t="s">
        <v>313</v>
      </c>
      <c r="K431" s="126">
        <v>46269</v>
      </c>
      <c r="L431" s="126">
        <v>46265</v>
      </c>
      <c r="M431" s="127">
        <f>_xlfn.XLOOKUP(C431,'Product List'!B:B,'Product List'!R:R)</f>
        <v>3.26</v>
      </c>
      <c r="N431" s="124">
        <f t="shared" si="13"/>
        <v>277.1</v>
      </c>
      <c r="O431" s="124" cm="1">
        <f t="array" ref="O431">E431/_xlfn.XLOOKUP(1,('Case Pack'!$A$4:$A$962=C431)*('Case Pack'!$L$4:$L$962&gt;0)*('Case Pack'!$L$4:$L$962&lt;=A431),'Case Pack'!$D$4:$D$962,"未找到箱规")</f>
        <v>17</v>
      </c>
      <c r="P431" s="124" t="str">
        <f>IF(COUNTIF('PO Check'!A:A,D431)&gt;0,"Yes","No")</f>
        <v>Yes</v>
      </c>
      <c r="Q431" s="124" t="str" cm="1">
        <f t="array" ref="Q431">_xlfn.XLOOKUP(1,('Case Pack'!$A$4:$A$962=C431)*('Case Pack'!$L$4:$L$962&gt;0)*('Case Pack'!$L$4:$L$962&lt;=A431),'Case Pack'!$G$4:$G$962,"未找到箱型")</f>
        <v>A</v>
      </c>
      <c r="R431" s="124">
        <f>ROUND(IFERROR(VLOOKUP(Q431,'Case Type'!A:H,8,0),0)*O431,2)</f>
        <v>1.87</v>
      </c>
      <c r="S431" s="124"/>
      <c r="T431" s="124"/>
      <c r="U431" s="124"/>
      <c r="V431" s="124"/>
      <c r="W431" s="124"/>
      <c r="X431" s="124"/>
      <c r="Y431" s="124"/>
      <c r="Z431" s="124"/>
      <c r="AA431" s="124"/>
      <c r="AB431" s="124"/>
      <c r="AC431" s="124"/>
      <c r="AD431" s="124"/>
      <c r="AE431" s="124"/>
    </row>
    <row r="432" customFormat="1" spans="1:31">
      <c r="A432" s="113">
        <v>46171</v>
      </c>
      <c r="B432" s="91" t="str">
        <f>_xlfn.XLOOKUP(C432,'Product List'!B:B,'Product List'!I:I)</f>
        <v>MINI/MOE MINI TV TUNNEL CAGE 1EA</v>
      </c>
      <c r="C432" s="124" t="s">
        <v>51</v>
      </c>
      <c r="D432" s="125" t="s">
        <v>345</v>
      </c>
      <c r="E432" s="214">
        <v>162</v>
      </c>
      <c r="F432" s="125">
        <v>37.96</v>
      </c>
      <c r="G432" s="125">
        <f t="shared" si="12"/>
        <v>6149.52</v>
      </c>
      <c r="H432" s="86" t="s">
        <v>306</v>
      </c>
      <c r="I432" s="86" t="s">
        <v>92</v>
      </c>
      <c r="J432" s="124" t="s">
        <v>313</v>
      </c>
      <c r="K432" s="126">
        <v>46269</v>
      </c>
      <c r="L432" s="126">
        <v>46265</v>
      </c>
      <c r="M432" s="127">
        <f>_xlfn.XLOOKUP(C432,'Product List'!B:B,'Product List'!R:R)</f>
        <v>15.25</v>
      </c>
      <c r="N432" s="124">
        <f t="shared" si="13"/>
        <v>2470.5</v>
      </c>
      <c r="O432" s="124" cm="1">
        <f t="array" ref="O432">E432/_xlfn.XLOOKUP(1,('Case Pack'!$A$4:$A$962=C432)*('Case Pack'!$L$4:$L$962&gt;0)*('Case Pack'!$L$4:$L$962&lt;=A432),'Case Pack'!$D$4:$D$962,"未找到箱规")</f>
        <v>162</v>
      </c>
      <c r="P432" s="124" t="str">
        <f>IF(COUNTIF('PO Check'!A:A,D432)&gt;0,"Yes","No")</f>
        <v>Yes</v>
      </c>
      <c r="Q432" s="124" t="str" cm="1">
        <f t="array" ref="Q432">_xlfn.XLOOKUP(1,('Case Pack'!$A$4:$A$962=C432)*('Case Pack'!$L$4:$L$962&gt;0)*('Case Pack'!$L$4:$L$962&lt;=A432),'Case Pack'!$G$4:$G$962,"未找到箱型")</f>
        <v>S2</v>
      </c>
      <c r="R432" s="124">
        <f>ROUND(IFERROR(VLOOKUP(Q432,'Case Type'!A:H,8,0),0)*O432,2)</f>
        <v>5.76</v>
      </c>
      <c r="S432" s="124"/>
      <c r="T432" s="124"/>
      <c r="U432" s="124"/>
      <c r="V432" s="124"/>
      <c r="W432" s="124"/>
      <c r="X432" s="124"/>
      <c r="Y432" s="124"/>
      <c r="Z432" s="124"/>
      <c r="AA432" s="124"/>
      <c r="AB432" s="124"/>
      <c r="AC432" s="124"/>
      <c r="AD432" s="124"/>
      <c r="AE432" s="124"/>
    </row>
    <row r="433" customFormat="1" spans="1:31">
      <c r="A433" s="113">
        <v>46171</v>
      </c>
      <c r="B433" s="91" t="str">
        <f>_xlfn.XLOOKUP(C433,'Product List'!B:B,'Product List'!I:I)</f>
        <v>MINI/MOE SMALL ANIMAL HOUSING CAKE HOUSE 1EA</v>
      </c>
      <c r="C433" s="124" t="s">
        <v>58</v>
      </c>
      <c r="D433" s="125" t="s">
        <v>345</v>
      </c>
      <c r="E433" s="125">
        <v>91</v>
      </c>
      <c r="F433" s="125">
        <v>5.47</v>
      </c>
      <c r="G433" s="125">
        <f t="shared" si="12"/>
        <v>497.77</v>
      </c>
      <c r="H433" s="86" t="s">
        <v>306</v>
      </c>
      <c r="I433" s="86" t="s">
        <v>92</v>
      </c>
      <c r="J433" s="124" t="s">
        <v>313</v>
      </c>
      <c r="K433" s="126">
        <v>46269</v>
      </c>
      <c r="L433" s="126">
        <v>46265</v>
      </c>
      <c r="M433" s="127">
        <f>_xlfn.XLOOKUP(C433,'Product List'!B:B,'Product List'!R:R)</f>
        <v>2.54</v>
      </c>
      <c r="N433" s="124">
        <f t="shared" si="13"/>
        <v>231.14</v>
      </c>
      <c r="O433" s="124" cm="1">
        <f t="array" ref="O433">E433/_xlfn.XLOOKUP(1,('Case Pack'!$A$4:$A$962=C433)*('Case Pack'!$L$4:$L$962&gt;0)*('Case Pack'!$L$4:$L$962&lt;=A433),'Case Pack'!$D$4:$D$962,"未找到箱规")</f>
        <v>7</v>
      </c>
      <c r="P433" s="124" t="str">
        <f>IF(COUNTIF('PO Check'!A:A,D433)&gt;0,"Yes","No")</f>
        <v>Yes</v>
      </c>
      <c r="Q433" s="124" t="str" cm="1">
        <f t="array" ref="Q433">_xlfn.XLOOKUP(1,('Case Pack'!$A$4:$A$962=C433)*('Case Pack'!$L$4:$L$962&gt;0)*('Case Pack'!$L$4:$L$962&lt;=A433),'Case Pack'!$G$4:$G$962,"未找到箱型")</f>
        <v>C</v>
      </c>
      <c r="R433" s="124">
        <f>ROUND(IFERROR(VLOOKUP(Q433,'Case Type'!A:H,8,0),0)*O433,2)</f>
        <v>1.1</v>
      </c>
      <c r="S433" s="124"/>
      <c r="T433" s="124"/>
      <c r="U433" s="124"/>
      <c r="V433" s="124"/>
      <c r="W433" s="124"/>
      <c r="X433" s="124"/>
      <c r="Y433" s="124"/>
      <c r="Z433" s="124"/>
      <c r="AA433" s="124"/>
      <c r="AB433" s="124"/>
      <c r="AC433" s="124"/>
      <c r="AD433" s="124"/>
      <c r="AE433" s="124"/>
    </row>
    <row r="434" customFormat="1" spans="1:31">
      <c r="A434" s="113">
        <v>46175</v>
      </c>
      <c r="B434" s="91" t="str">
        <f>_xlfn.XLOOKUP(C434,'Product List'!B:B,'Product List'!I:I)</f>
        <v>MINI/MOE TULIP WATER BOTTLE</v>
      </c>
      <c r="C434" s="124" t="s">
        <v>52</v>
      </c>
      <c r="D434" s="125" t="s">
        <v>346</v>
      </c>
      <c r="E434" s="125">
        <v>240</v>
      </c>
      <c r="F434" s="125">
        <v>1.7</v>
      </c>
      <c r="G434" s="125">
        <f t="shared" si="12"/>
        <v>408</v>
      </c>
      <c r="H434" s="86" t="s">
        <v>306</v>
      </c>
      <c r="I434" s="86" t="s">
        <v>92</v>
      </c>
      <c r="J434" s="124" t="s">
        <v>307</v>
      </c>
      <c r="K434" s="126">
        <v>46208</v>
      </c>
      <c r="L434" s="126">
        <v>46198</v>
      </c>
      <c r="M434" s="127">
        <f>_xlfn.XLOOKUP(C434,'Product List'!B:B,'Product List'!R:R)</f>
        <v>0.73</v>
      </c>
      <c r="N434" s="124">
        <f t="shared" si="13"/>
        <v>175.2</v>
      </c>
      <c r="O434" s="124" cm="1">
        <f t="array" ref="O434">E434/_xlfn.XLOOKUP(1,('Case Pack'!$A$4:$A$962=C434)*('Case Pack'!$L$4:$L$962&gt;0)*('Case Pack'!$L$4:$L$962&lt;=A434),'Case Pack'!$D$4:$D$962,"未找到箱规")</f>
        <v>4</v>
      </c>
      <c r="P434" s="124" t="str">
        <f>IF(COUNTIF('PO Check'!A:A,D434)&gt;0,"Yes","No")</f>
        <v>Yes</v>
      </c>
      <c r="Q434" s="124" t="str" cm="1">
        <f t="array" ref="Q434">_xlfn.XLOOKUP(1,('Case Pack'!$A$4:$A$962=C434)*('Case Pack'!$L$4:$L$962&gt;0)*('Case Pack'!$L$4:$L$962&lt;=A434),'Case Pack'!$G$4:$G$962,"未找到箱型")</f>
        <v>C</v>
      </c>
      <c r="R434" s="124">
        <f>ROUND(IFERROR(VLOOKUP(Q434,'Case Type'!A:H,8,0),0)*O434,2)</f>
        <v>0.63</v>
      </c>
      <c r="S434" s="124"/>
      <c r="T434" s="124"/>
      <c r="U434" s="124"/>
      <c r="V434" s="124"/>
      <c r="W434" s="124"/>
      <c r="X434" s="124"/>
      <c r="Y434" s="124"/>
      <c r="Z434" s="124"/>
      <c r="AA434" s="124"/>
      <c r="AB434" s="124"/>
      <c r="AC434" s="124"/>
      <c r="AD434" s="124"/>
      <c r="AE434" s="124"/>
    </row>
    <row r="435" customFormat="1" spans="1:31">
      <c r="A435" s="113">
        <v>46175</v>
      </c>
      <c r="B435" s="91" t="str">
        <f>_xlfn.XLOOKUP(C435,'Product List'!B:B,'Product List'!I:I)</f>
        <v>MINI/MOE SILENT CRSTL RUN WHEEL LG 8.5-White</v>
      </c>
      <c r="C435" s="95" t="s">
        <v>29</v>
      </c>
      <c r="D435" s="125" t="s">
        <v>346</v>
      </c>
      <c r="E435" s="125">
        <v>88</v>
      </c>
      <c r="F435" s="125">
        <v>12.63</v>
      </c>
      <c r="G435" s="125">
        <f t="shared" si="12"/>
        <v>1111.44</v>
      </c>
      <c r="H435" s="86" t="s">
        <v>306</v>
      </c>
      <c r="I435" s="86" t="s">
        <v>92</v>
      </c>
      <c r="J435" s="124" t="s">
        <v>307</v>
      </c>
      <c r="K435" s="126">
        <v>46208</v>
      </c>
      <c r="L435" s="126">
        <v>46198</v>
      </c>
      <c r="M435" s="127">
        <f>_xlfn.XLOOKUP(C435,'Product List'!B:B,'Product List'!R:R)</f>
        <v>6.27</v>
      </c>
      <c r="N435" s="124">
        <f t="shared" si="13"/>
        <v>551.76</v>
      </c>
      <c r="O435" s="124" cm="1">
        <f t="array" ref="O435">E435/_xlfn.XLOOKUP(1,('Case Pack'!$A$4:$A$962=C435)*('Case Pack'!$L$4:$L$962&gt;0)*('Case Pack'!$L$4:$L$962&lt;=A435),'Case Pack'!$D$4:$D$962,"未找到箱规")</f>
        <v>11</v>
      </c>
      <c r="P435" s="124" t="str">
        <f>IF(COUNTIF('PO Check'!A:A,D435)&gt;0,"Yes","No")</f>
        <v>Yes</v>
      </c>
      <c r="Q435" s="124" t="str" cm="1">
        <f t="array" ref="Q435">_xlfn.XLOOKUP(1,('Case Pack'!$A$4:$A$962=C435)*('Case Pack'!$L$4:$L$962&gt;0)*('Case Pack'!$L$4:$L$962&lt;=A435),'Case Pack'!$G$4:$G$962,"未找到箱型")</f>
        <v>C</v>
      </c>
      <c r="R435" s="124">
        <f>ROUND(IFERROR(VLOOKUP(Q435,'Case Type'!A:H,8,0),0)*O435,2)</f>
        <v>1.73</v>
      </c>
      <c r="S435" s="124"/>
      <c r="T435" s="124"/>
      <c r="U435" s="124"/>
      <c r="V435" s="124"/>
      <c r="W435" s="124"/>
      <c r="X435" s="124"/>
      <c r="Y435" s="124"/>
      <c r="Z435" s="124"/>
      <c r="AA435" s="124"/>
      <c r="AB435" s="124"/>
      <c r="AC435" s="124"/>
      <c r="AD435" s="124"/>
      <c r="AE435" s="124"/>
    </row>
    <row r="436" customFormat="1" spans="1:31">
      <c r="A436" s="113">
        <v>46175</v>
      </c>
      <c r="B436" s="91" t="str">
        <f>_xlfn.XLOOKUP(C436,'Product List'!B:B,'Product List'!I:I)</f>
        <v>MINI/MOE SILENT CRSTL RUN WHEEL XL 11.5 1EA</v>
      </c>
      <c r="C436" s="124" t="s">
        <v>76</v>
      </c>
      <c r="D436" s="125" t="s">
        <v>346</v>
      </c>
      <c r="E436" s="125">
        <v>63</v>
      </c>
      <c r="F436" s="125">
        <v>19.75</v>
      </c>
      <c r="G436" s="125">
        <f t="shared" si="12"/>
        <v>1244.25</v>
      </c>
      <c r="H436" s="86" t="s">
        <v>306</v>
      </c>
      <c r="I436" s="86" t="s">
        <v>92</v>
      </c>
      <c r="J436" s="124" t="s">
        <v>307</v>
      </c>
      <c r="K436" s="126">
        <v>46208</v>
      </c>
      <c r="L436" s="126">
        <v>46198</v>
      </c>
      <c r="M436" s="127">
        <f>_xlfn.XLOOKUP(C436,'Product List'!B:B,'Product List'!R:R)</f>
        <v>10.42</v>
      </c>
      <c r="N436" s="124">
        <f t="shared" si="13"/>
        <v>656.46</v>
      </c>
      <c r="O436" s="124" cm="1">
        <f t="array" ref="O436">E436/_xlfn.XLOOKUP(1,('Case Pack'!$A$4:$A$962=C436)*('Case Pack'!$L$4:$L$962&gt;0)*('Case Pack'!$L$4:$L$962&lt;=A436),'Case Pack'!$D$4:$D$962,"未找到箱规")</f>
        <v>21</v>
      </c>
      <c r="P436" s="124" t="str">
        <f>IF(COUNTIF('PO Check'!A:A,D436)&gt;0,"Yes","No")</f>
        <v>Yes</v>
      </c>
      <c r="Q436" s="124" t="str" cm="1">
        <f t="array" ref="Q436">_xlfn.XLOOKUP(1,('Case Pack'!$A$4:$A$962=C436)*('Case Pack'!$L$4:$L$962&gt;0)*('Case Pack'!$L$4:$L$962&lt;=A436),'Case Pack'!$G$4:$G$962,"未找到箱型")</f>
        <v>C</v>
      </c>
      <c r="R436" s="124">
        <f>ROUND(IFERROR(VLOOKUP(Q436,'Case Type'!A:H,8,0),0)*O436,2)</f>
        <v>3.3</v>
      </c>
      <c r="S436" s="124"/>
      <c r="T436" s="124"/>
      <c r="U436" s="124"/>
      <c r="V436" s="124"/>
      <c r="W436" s="124"/>
      <c r="X436" s="124"/>
      <c r="Y436" s="124"/>
      <c r="Z436" s="124"/>
      <c r="AA436" s="124"/>
      <c r="AB436" s="124"/>
      <c r="AC436" s="124"/>
      <c r="AD436" s="124"/>
      <c r="AE436" s="124"/>
    </row>
    <row r="437" customFormat="1" spans="1:31">
      <c r="A437" s="113">
        <v>46175</v>
      </c>
      <c r="B437" s="91" t="str">
        <f>_xlfn.XLOOKUP(C437,'Product List'!B:B,'Product List'!I:I)</f>
        <v>MINI/MOE WOODLAND POTTY</v>
      </c>
      <c r="C437" s="124" t="s">
        <v>79</v>
      </c>
      <c r="D437" s="125" t="s">
        <v>346</v>
      </c>
      <c r="E437" s="125">
        <v>180</v>
      </c>
      <c r="F437" s="125">
        <v>2.61</v>
      </c>
      <c r="G437" s="125">
        <f t="shared" si="12"/>
        <v>469.8</v>
      </c>
      <c r="H437" s="86" t="s">
        <v>306</v>
      </c>
      <c r="I437" s="86" t="s">
        <v>92</v>
      </c>
      <c r="J437" s="124" t="s">
        <v>307</v>
      </c>
      <c r="K437" s="126">
        <v>46208</v>
      </c>
      <c r="L437" s="126">
        <v>46198</v>
      </c>
      <c r="M437" s="127">
        <f>_xlfn.XLOOKUP(C437,'Product List'!B:B,'Product List'!R:R)</f>
        <v>1.19</v>
      </c>
      <c r="N437" s="124">
        <f t="shared" si="13"/>
        <v>214.2</v>
      </c>
      <c r="O437" s="124" cm="1">
        <f t="array" ref="O437">E437/_xlfn.XLOOKUP(1,('Case Pack'!$A$4:$A$962=C437)*('Case Pack'!$L$4:$L$962&gt;0)*('Case Pack'!$L$4:$L$962&lt;=A437),'Case Pack'!$D$4:$D$962,"未找到箱规")</f>
        <v>5</v>
      </c>
      <c r="P437" s="124" t="str">
        <f>IF(COUNTIF('PO Check'!A:A,D437)&gt;0,"Yes","No")</f>
        <v>Yes</v>
      </c>
      <c r="Q437" s="124" t="str" cm="1">
        <f t="array" ref="Q437">_xlfn.XLOOKUP(1,('Case Pack'!$A$4:$A$962=C437)*('Case Pack'!$L$4:$L$962&gt;0)*('Case Pack'!$L$4:$L$962&lt;=A437),'Case Pack'!$G$4:$G$962,"未找到箱型")</f>
        <v>C</v>
      </c>
      <c r="R437" s="124">
        <f>ROUND(IFERROR(VLOOKUP(Q437,'Case Type'!A:H,8,0),0)*O437,2)</f>
        <v>0.79</v>
      </c>
      <c r="S437" s="124"/>
      <c r="T437" s="124"/>
      <c r="U437" s="124"/>
      <c r="V437" s="124"/>
      <c r="W437" s="124"/>
      <c r="X437" s="124"/>
      <c r="Y437" s="124"/>
      <c r="Z437" s="124"/>
      <c r="AA437" s="124"/>
      <c r="AB437" s="124"/>
      <c r="AC437" s="124"/>
      <c r="AD437" s="124"/>
      <c r="AE437" s="124"/>
    </row>
    <row r="438" customFormat="1" spans="1:31">
      <c r="A438" s="113">
        <v>46176</v>
      </c>
      <c r="B438" s="91" t="str">
        <f>_xlfn.XLOOKUP(C438,'Product List'!B:B,'Product List'!I:I)</f>
        <v>MINI/MOE BENDABLE BIRCHWOOD FENCE</v>
      </c>
      <c r="C438" s="124" t="s">
        <v>62</v>
      </c>
      <c r="D438" s="125">
        <v>31307402</v>
      </c>
      <c r="E438" s="125">
        <v>64</v>
      </c>
      <c r="F438" s="125">
        <v>5.01</v>
      </c>
      <c r="G438" s="125">
        <f t="shared" si="12"/>
        <v>320.64</v>
      </c>
      <c r="H438" s="86" t="s">
        <v>298</v>
      </c>
      <c r="I438" s="86" t="s">
        <v>92</v>
      </c>
      <c r="J438" s="124" t="s">
        <v>319</v>
      </c>
      <c r="K438" s="126">
        <v>46232</v>
      </c>
      <c r="L438" s="126">
        <v>46231</v>
      </c>
      <c r="M438" s="127">
        <f>_xlfn.XLOOKUP(C438,'Product List'!B:B,'Product List'!R:R)</f>
        <v>3.4</v>
      </c>
      <c r="N438" s="124">
        <f t="shared" si="13"/>
        <v>217.6</v>
      </c>
      <c r="O438" s="124" cm="1">
        <f t="array" ref="O438">E438/_xlfn.XLOOKUP(1,('Case Pack'!$A$4:$A$962=C438)*('Case Pack'!$L$4:$L$962&gt;0)*('Case Pack'!$L$4:$L$962&lt;=A438),'Case Pack'!$D$4:$D$962,"未找到箱规")</f>
        <v>2</v>
      </c>
      <c r="P438" s="124" t="str">
        <f>IF(COUNTIF('PO Check'!A:A,D438)&gt;0,"Yes","No")</f>
        <v>Yes</v>
      </c>
      <c r="Q438" s="124" t="str" cm="1">
        <f t="array" ref="Q438">_xlfn.XLOOKUP(1,('Case Pack'!$A$4:$A$962=C438)*('Case Pack'!$L$4:$L$962&gt;0)*('Case Pack'!$L$4:$L$962&lt;=A438),'Case Pack'!$G$4:$G$962,"未找到箱型")</f>
        <v>F</v>
      </c>
      <c r="R438" s="124">
        <f>ROUND(IFERROR(VLOOKUP(Q438,'Case Type'!A:H,8,0),0)*O438,2)</f>
        <v>0.07</v>
      </c>
      <c r="S438" s="124"/>
      <c r="T438" s="124"/>
      <c r="U438" s="124"/>
      <c r="V438" s="124"/>
      <c r="W438" s="124"/>
      <c r="X438" s="124"/>
      <c r="Y438" s="124"/>
      <c r="Z438" s="124"/>
      <c r="AA438" s="124"/>
      <c r="AB438" s="124"/>
      <c r="AC438" s="124"/>
      <c r="AD438" s="124"/>
      <c r="AE438" s="124"/>
    </row>
    <row r="439" customFormat="1" spans="1:31">
      <c r="A439" s="113">
        <v>46176</v>
      </c>
      <c r="B439" s="91" t="str">
        <f>_xlfn.XLOOKUP(C439,'Product List'!B:B,'Product List'!I:I)</f>
        <v>MMO-CLOUD WATER BOTTLE</v>
      </c>
      <c r="C439" s="124" t="s">
        <v>77</v>
      </c>
      <c r="D439" s="125">
        <v>31307402</v>
      </c>
      <c r="E439" s="125">
        <v>50</v>
      </c>
      <c r="F439" s="125">
        <v>1.32</v>
      </c>
      <c r="G439" s="125">
        <f t="shared" si="12"/>
        <v>66</v>
      </c>
      <c r="H439" s="86" t="s">
        <v>298</v>
      </c>
      <c r="I439" s="86" t="s">
        <v>92</v>
      </c>
      <c r="J439" s="124" t="s">
        <v>319</v>
      </c>
      <c r="K439" s="126">
        <v>46232</v>
      </c>
      <c r="L439" s="126">
        <v>46231</v>
      </c>
      <c r="M439" s="127">
        <f>_xlfn.XLOOKUP(C439,'Product List'!B:B,'Product List'!R:R)</f>
        <v>0.62</v>
      </c>
      <c r="N439" s="124">
        <f t="shared" si="13"/>
        <v>31</v>
      </c>
      <c r="O439" s="124" cm="1">
        <f t="array" ref="O439">E439/_xlfn.XLOOKUP(1,('Case Pack'!$A$4:$A$962=C439)*('Case Pack'!$L$4:$L$962&gt;0)*('Case Pack'!$L$4:$L$962&lt;=A439),'Case Pack'!$D$4:$D$962,"未找到箱规")</f>
        <v>1</v>
      </c>
      <c r="P439" s="124" t="str">
        <f>IF(COUNTIF('PO Check'!A:A,D439)&gt;0,"Yes","No")</f>
        <v>Yes</v>
      </c>
      <c r="Q439" s="124" t="str" cm="1">
        <f t="array" ref="Q439">_xlfn.XLOOKUP(1,('Case Pack'!$A$4:$A$962=C439)*('Case Pack'!$L$4:$L$962&gt;0)*('Case Pack'!$L$4:$L$962&lt;=A439),'Case Pack'!$G$4:$G$962,"未找到箱型")</f>
        <v>A</v>
      </c>
      <c r="R439" s="124">
        <f>ROUND(IFERROR(VLOOKUP(Q439,'Case Type'!A:H,8,0),0)*O439,2)</f>
        <v>0.11</v>
      </c>
    </row>
    <row r="440" customFormat="1" spans="1:31">
      <c r="A440" s="113">
        <v>46176</v>
      </c>
      <c r="B440" s="91" t="str">
        <f>_xlfn.XLOOKUP(C440,'Product List'!B:B,'Product List'!I:I)</f>
        <v>MMO-PAPER PEBBLES</v>
      </c>
      <c r="C440" s="249" t="s">
        <v>81</v>
      </c>
      <c r="D440" s="125">
        <v>31307402</v>
      </c>
      <c r="E440" s="125">
        <v>84</v>
      </c>
      <c r="F440" s="125">
        <v>5.81</v>
      </c>
      <c r="G440" s="125">
        <f t="shared" si="12"/>
        <v>488.04</v>
      </c>
      <c r="H440" s="86" t="s">
        <v>298</v>
      </c>
      <c r="I440" s="86" t="s">
        <v>92</v>
      </c>
      <c r="J440" s="124" t="s">
        <v>319</v>
      </c>
      <c r="K440" s="126">
        <v>46232</v>
      </c>
      <c r="L440" s="126">
        <v>46231</v>
      </c>
      <c r="M440" s="127">
        <f>_xlfn.XLOOKUP(C440,'Product List'!B:B,'Product List'!R:R)</f>
        <v>2.84</v>
      </c>
      <c r="N440" s="124">
        <f t="shared" si="13"/>
        <v>238.56</v>
      </c>
      <c r="O440" s="124" cm="1">
        <f t="array" ref="O440">E440/_xlfn.XLOOKUP(1,('Case Pack'!$A$4:$A$962=C440)*('Case Pack'!$L$4:$L$962&gt;0)*('Case Pack'!$L$4:$L$962&lt;=A440),'Case Pack'!$D$4:$D$962,"未找到箱规")</f>
        <v>7</v>
      </c>
      <c r="P440" s="124" t="str">
        <f>IF(COUNTIF('PO Check'!A:A,D440)&gt;0,"Yes","No")</f>
        <v>Yes</v>
      </c>
      <c r="Q440" s="124" t="str" cm="1">
        <f t="array" ref="Q440">_xlfn.XLOOKUP(1,('Case Pack'!$A$4:$A$962=C440)*('Case Pack'!$L$4:$L$962&gt;0)*('Case Pack'!$L$4:$L$962&lt;=A440),'Case Pack'!$G$4:$G$962,"未找到箱型")</f>
        <v>B</v>
      </c>
      <c r="R440" s="124">
        <f>ROUND(IFERROR(VLOOKUP(Q440,'Case Type'!A:H,8,0),0)*O440,2)</f>
        <v>0.51</v>
      </c>
    </row>
    <row r="441" customFormat="1" spans="1:31">
      <c r="A441" s="113">
        <v>46176</v>
      </c>
      <c r="B441" s="91" t="str">
        <f>_xlfn.XLOOKUP(C441,'Product List'!B:B,'Product List'!I:I)</f>
        <v>MMO-PAPER TWIST BLU/WHT</v>
      </c>
      <c r="C441" s="249" t="s">
        <v>68</v>
      </c>
      <c r="D441" s="125">
        <v>31307402</v>
      </c>
      <c r="E441" s="125">
        <v>90</v>
      </c>
      <c r="F441" s="125">
        <v>3.89</v>
      </c>
      <c r="G441" s="125">
        <f t="shared" si="12"/>
        <v>350.1</v>
      </c>
      <c r="H441" s="86" t="s">
        <v>298</v>
      </c>
      <c r="I441" s="86" t="s">
        <v>92</v>
      </c>
      <c r="J441" s="124" t="s">
        <v>319</v>
      </c>
      <c r="K441" s="126">
        <v>46232</v>
      </c>
      <c r="L441" s="126">
        <v>46231</v>
      </c>
      <c r="M441" s="127">
        <f>_xlfn.XLOOKUP(C441,'Product List'!B:B,'Product List'!R:R)</f>
        <v>1.98</v>
      </c>
      <c r="N441" s="124">
        <f t="shared" si="13"/>
        <v>178.2</v>
      </c>
      <c r="O441" s="124" cm="1">
        <f t="array" ref="O441">E441/_xlfn.XLOOKUP(1,('Case Pack'!$A$4:$A$962=C441)*('Case Pack'!$L$4:$L$962&gt;0)*('Case Pack'!$L$4:$L$962&lt;=A441),'Case Pack'!$D$4:$D$962,"未找到箱规")</f>
        <v>3</v>
      </c>
      <c r="P441" s="124" t="str">
        <f>IF(COUNTIF('PO Check'!A:A,D441)&gt;0,"Yes","No")</f>
        <v>Yes</v>
      </c>
      <c r="Q441" s="124" t="str" cm="1">
        <f t="array" ref="Q441">_xlfn.XLOOKUP(1,('Case Pack'!$A$4:$A$962=C441)*('Case Pack'!$L$4:$L$962&gt;0)*('Case Pack'!$L$4:$L$962&lt;=A441),'Case Pack'!$G$4:$G$962,"未找到箱型")</f>
        <v>A</v>
      </c>
      <c r="R441" s="124">
        <f>ROUND(IFERROR(VLOOKUP(Q441,'Case Type'!A:H,8,0),0)*O441,2)</f>
        <v>0.33</v>
      </c>
    </row>
    <row r="442" customFormat="1" spans="1:31">
      <c r="A442" s="113">
        <v>46176</v>
      </c>
      <c r="B442" s="91" t="str">
        <f>_xlfn.XLOOKUP(C442,'Product List'!B:B,'Product List'!I:I)</f>
        <v>MMO-COTTON NESTING BALLS</v>
      </c>
      <c r="C442" s="249" t="s">
        <v>84</v>
      </c>
      <c r="D442" s="125">
        <v>31307402</v>
      </c>
      <c r="E442" s="125">
        <v>128</v>
      </c>
      <c r="F442" s="125">
        <v>3.37</v>
      </c>
      <c r="G442" s="125">
        <f t="shared" si="12"/>
        <v>431.36</v>
      </c>
      <c r="H442" s="86" t="s">
        <v>298</v>
      </c>
      <c r="I442" s="86" t="s">
        <v>92</v>
      </c>
      <c r="J442" s="124" t="s">
        <v>319</v>
      </c>
      <c r="K442" s="126">
        <v>46232</v>
      </c>
      <c r="L442" s="126">
        <v>46231</v>
      </c>
      <c r="M442" s="127">
        <f>_xlfn.XLOOKUP(C442,'Product List'!B:B,'Product List'!R:R)</f>
        <v>1.64</v>
      </c>
      <c r="N442" s="124">
        <f t="shared" si="13"/>
        <v>209.92</v>
      </c>
      <c r="O442" s="124" cm="1">
        <f t="array" ref="O442">E442/_xlfn.XLOOKUP(1,('Case Pack'!$A$4:$A$962=C442)*('Case Pack'!$L$4:$L$962&gt;0)*('Case Pack'!$L$4:$L$962&lt;=A442),'Case Pack'!$D$4:$D$962,"未找到箱规")</f>
        <v>4</v>
      </c>
      <c r="P442" s="124" t="str">
        <f>IF(COUNTIF('PO Check'!A:A,D442)&gt;0,"Yes","No")</f>
        <v>Yes</v>
      </c>
      <c r="Q442" s="124" t="str" cm="1">
        <f t="array" ref="Q442">_xlfn.XLOOKUP(1,('Case Pack'!$A$4:$A$962=C442)*('Case Pack'!$L$4:$L$962&gt;0)*('Case Pack'!$L$4:$L$962&lt;=A442),'Case Pack'!$G$4:$G$962,"未找到箱型")</f>
        <v>A</v>
      </c>
      <c r="R442" s="124">
        <f>ROUND(IFERROR(VLOOKUP(Q442,'Case Type'!A:H,8,0),0)*O442,2)</f>
        <v>0.44</v>
      </c>
    </row>
    <row r="443" customFormat="1" spans="1:31">
      <c r="A443" s="113">
        <v>46176</v>
      </c>
      <c r="B443" s="91" t="str">
        <f>_xlfn.XLOOKUP(C443,'Product List'!B:B,'Product List'!I:I)</f>
        <v>MINI/MOE TV VIEWING CAGE</v>
      </c>
      <c r="C443" s="124" t="s">
        <v>50</v>
      </c>
      <c r="D443" s="125">
        <v>31307402</v>
      </c>
      <c r="E443" s="125">
        <v>1</v>
      </c>
      <c r="F443" s="125">
        <v>48.49</v>
      </c>
      <c r="G443" s="125">
        <f t="shared" si="12"/>
        <v>48.49</v>
      </c>
      <c r="H443" s="86" t="s">
        <v>298</v>
      </c>
      <c r="I443" s="86" t="s">
        <v>92</v>
      </c>
      <c r="J443" s="124" t="s">
        <v>319</v>
      </c>
      <c r="K443" s="126">
        <v>46232</v>
      </c>
      <c r="L443" s="126">
        <v>46231</v>
      </c>
      <c r="M443" s="127">
        <f>_xlfn.XLOOKUP(C443,'Product List'!B:B,'Product List'!R:R)</f>
        <v>24.09</v>
      </c>
      <c r="N443" s="124">
        <f t="shared" si="13"/>
        <v>24.09</v>
      </c>
      <c r="O443" s="124" cm="1">
        <f t="array" ref="O443">E443/_xlfn.XLOOKUP(1,('Case Pack'!$A$4:$A$962=C443)*('Case Pack'!$L$4:$L$962&gt;0)*('Case Pack'!$L$4:$L$962&lt;=A443),'Case Pack'!$D$4:$D$962,"未找到箱规")</f>
        <v>1</v>
      </c>
      <c r="P443" s="124" t="str">
        <f>IF(COUNTIF('PO Check'!A:A,D443)&gt;0,"Yes","No")</f>
        <v>Yes</v>
      </c>
      <c r="Q443" s="124" t="str" cm="1">
        <f t="array" ref="Q443">_xlfn.XLOOKUP(1,('Case Pack'!$A$4:$A$962=C443)*('Case Pack'!$L$4:$L$962&gt;0)*('Case Pack'!$L$4:$L$962&lt;=A443),'Case Pack'!$G$4:$G$962,"未找到箱型")</f>
        <v>S1</v>
      </c>
      <c r="R443" s="124">
        <f>ROUND(IFERROR(VLOOKUP(Q443,'Case Type'!A:H,8,0),0)*O443,2)</f>
        <v>0.07</v>
      </c>
    </row>
    <row r="444" customFormat="1" spans="1:31">
      <c r="A444" s="113">
        <v>46176</v>
      </c>
      <c r="B444" s="91" t="str">
        <f>_xlfn.XLOOKUP(C444,'Product List'!B:B,'Product List'!I:I)</f>
        <v>MMO-BUBBLE WATER BOTTLE</v>
      </c>
      <c r="C444" s="124" t="s">
        <v>67</v>
      </c>
      <c r="D444" s="125">
        <v>31307402</v>
      </c>
      <c r="E444" s="125">
        <v>84</v>
      </c>
      <c r="F444" s="125">
        <v>4.35</v>
      </c>
      <c r="G444" s="125">
        <f t="shared" si="12"/>
        <v>365.4</v>
      </c>
      <c r="H444" s="86" t="s">
        <v>298</v>
      </c>
      <c r="I444" s="86" t="s">
        <v>92</v>
      </c>
      <c r="J444" s="124" t="s">
        <v>319</v>
      </c>
      <c r="K444" s="126">
        <v>46232</v>
      </c>
      <c r="L444" s="126">
        <v>46231</v>
      </c>
      <c r="M444" s="127">
        <f>_xlfn.XLOOKUP(C444,'Product List'!B:B,'Product List'!R:R)</f>
        <v>3.1</v>
      </c>
      <c r="N444" s="124">
        <f t="shared" si="13"/>
        <v>260.4</v>
      </c>
      <c r="O444" s="124" cm="1">
        <f t="array" ref="O444">E444/_xlfn.XLOOKUP(1,('Case Pack'!$A$4:$A$962=C444)*('Case Pack'!$L$4:$L$962&gt;0)*('Case Pack'!$L$4:$L$962&lt;=A444),'Case Pack'!$D$4:$D$962,"未找到箱规")</f>
        <v>2</v>
      </c>
      <c r="P444" s="124" t="str">
        <f>IF(COUNTIF('PO Check'!A:A,D444)&gt;0,"Yes","No")</f>
        <v>Yes</v>
      </c>
      <c r="Q444" s="124" t="str" cm="1">
        <f t="array" ref="Q444">_xlfn.XLOOKUP(1,('Case Pack'!$A$4:$A$962=C444)*('Case Pack'!$L$4:$L$962&gt;0)*('Case Pack'!$L$4:$L$962&lt;=A444),'Case Pack'!$G$4:$G$962,"未找到箱型")</f>
        <v>C</v>
      </c>
      <c r="R444" s="124">
        <f>ROUND(IFERROR(VLOOKUP(Q444,'Case Type'!A:H,8,0),0)*O444,2)</f>
        <v>0.31</v>
      </c>
    </row>
    <row r="445" customFormat="1" spans="1:31">
      <c r="A445" s="113">
        <v>46176</v>
      </c>
      <c r="B445" s="91" t="str">
        <f>_xlfn.XLOOKUP(C445,'Product List'!B:B,'Product List'!I:I)</f>
        <v>MMO-SHELL PEARL HAMSTER CHEW</v>
      </c>
      <c r="C445" s="124" t="s">
        <v>35</v>
      </c>
      <c r="D445" s="125">
        <v>31307402</v>
      </c>
      <c r="E445" s="125">
        <v>64</v>
      </c>
      <c r="F445" s="125">
        <v>1.61</v>
      </c>
      <c r="G445" s="125">
        <f t="shared" si="12"/>
        <v>103.04</v>
      </c>
      <c r="H445" s="86" t="s">
        <v>298</v>
      </c>
      <c r="I445" s="86" t="s">
        <v>92</v>
      </c>
      <c r="J445" s="124" t="s">
        <v>319</v>
      </c>
      <c r="K445" s="126">
        <v>46232</v>
      </c>
      <c r="L445" s="126">
        <v>46231</v>
      </c>
      <c r="M445" s="127">
        <f>_xlfn.XLOOKUP(C445,'Product List'!B:B,'Product List'!R:R)</f>
        <v>0.96</v>
      </c>
      <c r="N445" s="124">
        <f t="shared" si="13"/>
        <v>61.44</v>
      </c>
      <c r="O445" s="124" cm="1">
        <f t="array" ref="O445">E445/_xlfn.XLOOKUP(1,('Case Pack'!$A$4:$A$962=C445)*('Case Pack'!$L$4:$L$962&gt;0)*('Case Pack'!$L$4:$L$962&lt;=A445),'Case Pack'!$D$4:$D$962,"未找到箱规")</f>
        <v>1</v>
      </c>
      <c r="P445" s="124" t="str">
        <f>IF(COUNTIF('PO Check'!A:A,D445)&gt;0,"Yes","No")</f>
        <v>Yes</v>
      </c>
      <c r="Q445" s="124" t="str" cm="1">
        <f t="array" ref="Q445">_xlfn.XLOOKUP(1,('Case Pack'!$A$4:$A$962=C445)*('Case Pack'!$L$4:$L$962&gt;0)*('Case Pack'!$L$4:$L$962&lt;=A445),'Case Pack'!$G$4:$G$962,"未找到箱型")</f>
        <v>B</v>
      </c>
      <c r="R445" s="124">
        <f>ROUND(IFERROR(VLOOKUP(Q445,'Case Type'!A:H,8,0),0)*O445,2)</f>
        <v>0.07</v>
      </c>
    </row>
    <row r="446" customFormat="1" spans="1:31">
      <c r="A446" s="113">
        <v>46176</v>
      </c>
      <c r="B446" s="91" t="str">
        <f>_xlfn.XLOOKUP(C446,'Product List'!B:B,'Product List'!I:I)</f>
        <v>MMO-GREEN APPLE CHEW</v>
      </c>
      <c r="C446" s="124" t="s">
        <v>33</v>
      </c>
      <c r="D446" s="125">
        <v>31307402</v>
      </c>
      <c r="E446" s="125">
        <v>192</v>
      </c>
      <c r="F446" s="125">
        <v>1.53</v>
      </c>
      <c r="G446" s="125">
        <f t="shared" si="12"/>
        <v>293.76</v>
      </c>
      <c r="H446" s="86" t="s">
        <v>298</v>
      </c>
      <c r="I446" s="86" t="s">
        <v>92</v>
      </c>
      <c r="J446" s="124" t="s">
        <v>319</v>
      </c>
      <c r="K446" s="126">
        <v>46232</v>
      </c>
      <c r="L446" s="126">
        <v>46231</v>
      </c>
      <c r="M446" s="127">
        <f>_xlfn.XLOOKUP(C446,'Product List'!B:B,'Product List'!R:R)</f>
        <v>1.04</v>
      </c>
      <c r="N446" s="124">
        <f t="shared" si="13"/>
        <v>199.68</v>
      </c>
      <c r="O446" s="124" cm="1">
        <f t="array" ref="O446">E446/_xlfn.XLOOKUP(1,('Case Pack'!$A$4:$A$962=C446)*('Case Pack'!$L$4:$L$962&gt;0)*('Case Pack'!$L$4:$L$962&lt;=A446),'Case Pack'!$D$4:$D$962,"未找到箱规")</f>
        <v>4</v>
      </c>
      <c r="P446" s="124" t="str">
        <f>IF(COUNTIF('PO Check'!A:A,D446)&gt;0,"Yes","No")</f>
        <v>Yes</v>
      </c>
      <c r="Q446" s="124" t="str" cm="1">
        <f t="array" ref="Q446">_xlfn.XLOOKUP(1,('Case Pack'!$A$4:$A$962=C446)*('Case Pack'!$L$4:$L$962&gt;0)*('Case Pack'!$L$4:$L$962&lt;=A446),'Case Pack'!$G$4:$G$962,"未找到箱型")</f>
        <v>B</v>
      </c>
      <c r="R446" s="124">
        <f>ROUND(IFERROR(VLOOKUP(Q446,'Case Type'!A:H,8,0),0)*O446,2)</f>
        <v>0.29</v>
      </c>
    </row>
    <row r="447" customFormat="1" spans="1:31">
      <c r="A447" s="113">
        <v>46176</v>
      </c>
      <c r="B447" s="91" t="str">
        <f>_xlfn.XLOOKUP(C447,'Product List'!B:B,'Product List'!I:I)</f>
        <v>MMO-CAMP LUNCH BOX CHEW</v>
      </c>
      <c r="C447" s="124" t="s">
        <v>34</v>
      </c>
      <c r="D447" s="125">
        <v>31307402</v>
      </c>
      <c r="E447" s="125">
        <v>216</v>
      </c>
      <c r="F447" s="125">
        <v>2.48</v>
      </c>
      <c r="G447" s="125">
        <f t="shared" si="12"/>
        <v>535.68</v>
      </c>
      <c r="H447" s="86" t="s">
        <v>298</v>
      </c>
      <c r="I447" s="86" t="s">
        <v>92</v>
      </c>
      <c r="J447" s="124" t="s">
        <v>319</v>
      </c>
      <c r="K447" s="126">
        <v>46232</v>
      </c>
      <c r="L447" s="126">
        <v>46231</v>
      </c>
      <c r="M447" s="127">
        <f>_xlfn.XLOOKUP(C447,'Product List'!B:B,'Product List'!R:R)</f>
        <v>1.59</v>
      </c>
      <c r="N447" s="124">
        <f t="shared" si="13"/>
        <v>343.44</v>
      </c>
      <c r="O447" s="124" cm="1">
        <f t="array" ref="O447">E447/_xlfn.XLOOKUP(1,('Case Pack'!$A$4:$A$962=C447)*('Case Pack'!$L$4:$L$962&gt;0)*('Case Pack'!$L$4:$L$962&lt;=A447),'Case Pack'!$D$4:$D$962,"未找到箱规")</f>
        <v>3</v>
      </c>
      <c r="P447" s="124" t="str">
        <f>IF(COUNTIF('PO Check'!A:A,D447)&gt;0,"Yes","No")</f>
        <v>Yes</v>
      </c>
      <c r="Q447" s="124" t="str" cm="1">
        <f t="array" ref="Q447">_xlfn.XLOOKUP(1,('Case Pack'!$A$4:$A$962=C447)*('Case Pack'!$L$4:$L$962&gt;0)*('Case Pack'!$L$4:$L$962&lt;=A447),'Case Pack'!$G$4:$G$962,"未找到箱型")</f>
        <v>B</v>
      </c>
      <c r="R447" s="124">
        <f>ROUND(IFERROR(VLOOKUP(Q447,'Case Type'!A:H,8,0),0)*O447,2)</f>
        <v>0.22</v>
      </c>
    </row>
    <row r="448" customFormat="1" spans="1:31">
      <c r="A448" s="113">
        <v>46184</v>
      </c>
      <c r="B448" s="91" t="str">
        <f>_xlfn.XLOOKUP(C448,'Product List'!B:B,'Product List'!I:I)</f>
        <v>MINI/MOE BENDABLE BIRCHWOOD FENCE</v>
      </c>
      <c r="C448" s="124" t="s">
        <v>62</v>
      </c>
      <c r="D448" s="125">
        <v>31367788</v>
      </c>
      <c r="E448" s="125">
        <v>96</v>
      </c>
      <c r="F448" s="125">
        <v>5.01</v>
      </c>
      <c r="G448" s="125">
        <f t="shared" si="12"/>
        <v>480.96</v>
      </c>
      <c r="H448" s="86" t="s">
        <v>298</v>
      </c>
      <c r="I448" s="86" t="s">
        <v>92</v>
      </c>
      <c r="J448" s="86" t="s">
        <v>322</v>
      </c>
      <c r="K448" s="126">
        <v>46231</v>
      </c>
      <c r="L448" s="251">
        <v>46227</v>
      </c>
      <c r="M448" s="127">
        <f>_xlfn.XLOOKUP(C448,'Product List'!B:B,'Product List'!R:R)</f>
        <v>3.4</v>
      </c>
      <c r="N448" s="124">
        <f t="shared" si="13"/>
        <v>326.4</v>
      </c>
      <c r="O448" s="124" cm="1">
        <f t="array" ref="O448">E448/_xlfn.XLOOKUP(1,('Case Pack'!$A$4:$A$962=C448)*('Case Pack'!$L$4:$L$962&gt;0)*('Case Pack'!$L$4:$L$962&lt;=A448),'Case Pack'!$D$4:$D$962,"未找到箱规")</f>
        <v>3</v>
      </c>
      <c r="P448" s="124" t="str">
        <f>IF(COUNTIF('PO Check'!A:A,D448)&gt;0,"Yes","No")</f>
        <v>Yes</v>
      </c>
      <c r="Q448" s="124" t="str" cm="1">
        <f t="array" ref="Q448">_xlfn.XLOOKUP(1,('Case Pack'!$A$4:$A$962=C448)*('Case Pack'!$L$4:$L$962&gt;0)*('Case Pack'!$L$4:$L$962&lt;=A448),'Case Pack'!$G$4:$G$962,"未找到箱型")</f>
        <v>F</v>
      </c>
      <c r="R448" s="124">
        <f>ROUND(IFERROR(VLOOKUP(Q448,'Case Type'!A:H,8,0),0)*O448,2)</f>
        <v>0.11</v>
      </c>
    </row>
    <row r="449" customFormat="1" spans="1:18">
      <c r="A449" s="113">
        <v>46184</v>
      </c>
      <c r="B449" s="91" t="str">
        <f>_xlfn.XLOOKUP(C449,'Product List'!B:B,'Product List'!I:I)</f>
        <v>MINI/MOE SILENT CRSTL RUN WHEEL LG 8.5-White</v>
      </c>
      <c r="C449" s="124" t="s">
        <v>29</v>
      </c>
      <c r="D449" s="125">
        <v>31367788</v>
      </c>
      <c r="E449" s="125">
        <v>104</v>
      </c>
      <c r="F449" s="125">
        <v>13.22</v>
      </c>
      <c r="G449" s="125">
        <f t="shared" si="12"/>
        <v>1374.88</v>
      </c>
      <c r="H449" s="86" t="s">
        <v>298</v>
      </c>
      <c r="I449" s="86" t="s">
        <v>92</v>
      </c>
      <c r="J449" s="86" t="s">
        <v>322</v>
      </c>
      <c r="K449" s="126">
        <v>46231</v>
      </c>
      <c r="L449" s="251">
        <v>46227</v>
      </c>
      <c r="M449" s="127">
        <f>_xlfn.XLOOKUP(C449,'Product List'!B:B,'Product List'!R:R)</f>
        <v>6.27</v>
      </c>
      <c r="N449" s="124">
        <f t="shared" si="13"/>
        <v>652.08</v>
      </c>
      <c r="O449" s="124" cm="1">
        <f t="array" ref="O449">E449/_xlfn.XLOOKUP(1,('Case Pack'!$A$4:$A$962=C449)*('Case Pack'!$L$4:$L$962&gt;0)*('Case Pack'!$L$4:$L$962&lt;=A449),'Case Pack'!$D$4:$D$962,"未找到箱规")</f>
        <v>13</v>
      </c>
      <c r="P449" s="124" t="str">
        <f>IF(COUNTIF('PO Check'!A:A,D449)&gt;0,"Yes","No")</f>
        <v>Yes</v>
      </c>
      <c r="Q449" s="124" t="str" cm="1">
        <f t="array" ref="Q449">_xlfn.XLOOKUP(1,('Case Pack'!$A$4:$A$962=C449)*('Case Pack'!$L$4:$L$962&gt;0)*('Case Pack'!$L$4:$L$962&lt;=A449),'Case Pack'!$G$4:$G$962,"未找到箱型")</f>
        <v>C</v>
      </c>
      <c r="R449" s="124">
        <f>ROUND(IFERROR(VLOOKUP(Q449,'Case Type'!A:H,8,0),0)*O449,2)</f>
        <v>2.05</v>
      </c>
    </row>
    <row r="450" customFormat="1" spans="1:18">
      <c r="A450" s="113">
        <v>46184</v>
      </c>
      <c r="B450" s="91" t="str">
        <f>_xlfn.XLOOKUP(C450,'Product List'!B:B,'Product List'!I:I)</f>
        <v>MMO-STARFISH CASTLE</v>
      </c>
      <c r="C450" s="124" t="s">
        <v>60</v>
      </c>
      <c r="D450" s="125">
        <v>31367788</v>
      </c>
      <c r="E450" s="125">
        <v>40</v>
      </c>
      <c r="F450" s="125">
        <v>5.32</v>
      </c>
      <c r="G450" s="125">
        <f t="shared" si="12"/>
        <v>212.8</v>
      </c>
      <c r="H450" s="86" t="s">
        <v>298</v>
      </c>
      <c r="I450" s="86" t="s">
        <v>92</v>
      </c>
      <c r="J450" s="86" t="s">
        <v>322</v>
      </c>
      <c r="K450" s="126">
        <v>46231</v>
      </c>
      <c r="L450" s="251">
        <v>46227</v>
      </c>
      <c r="M450" s="127">
        <f>_xlfn.XLOOKUP(C450,'Product List'!B:B,'Product List'!R:R)</f>
        <v>2.81</v>
      </c>
      <c r="N450" s="124">
        <f t="shared" si="13"/>
        <v>112.4</v>
      </c>
      <c r="O450" s="124" cm="1">
        <f t="array" ref="O450">E450/_xlfn.XLOOKUP(1,('Case Pack'!$A$4:$A$962=C450)*('Case Pack'!$L$4:$L$962&gt;0)*('Case Pack'!$L$4:$L$962&lt;=A450),'Case Pack'!$D$4:$D$962,"未找到箱规")</f>
        <v>2</v>
      </c>
      <c r="P450" s="124" t="str">
        <f>IF(COUNTIF('PO Check'!A:A,D450)&gt;0,"Yes","No")</f>
        <v>Yes</v>
      </c>
      <c r="Q450" s="124" t="str" cm="1">
        <f t="array" ref="Q450">_xlfn.XLOOKUP(1,('Case Pack'!$A$4:$A$962=C450)*('Case Pack'!$L$4:$L$962&gt;0)*('Case Pack'!$L$4:$L$962&lt;=A450),'Case Pack'!$G$4:$G$962,"未找到箱型")</f>
        <v>C</v>
      </c>
      <c r="R450" s="124">
        <f>ROUND(IFERROR(VLOOKUP(Q450,'Case Type'!A:H,8,0),0)*O450,2)</f>
        <v>0.31</v>
      </c>
    </row>
    <row r="451" customFormat="1" spans="1:18">
      <c r="A451" s="113">
        <v>46184</v>
      </c>
      <c r="B451" s="91" t="str">
        <f>_xlfn.XLOOKUP(C451,'Product List'!B:B,'Product List'!I:I)</f>
        <v>MMO-WAVE BRIDGE</v>
      </c>
      <c r="C451" s="124" t="s">
        <v>61</v>
      </c>
      <c r="D451" s="125">
        <v>31367788</v>
      </c>
      <c r="E451" s="125">
        <v>66</v>
      </c>
      <c r="F451" s="125">
        <v>4.84</v>
      </c>
      <c r="G451" s="125">
        <f t="shared" si="12"/>
        <v>319.44</v>
      </c>
      <c r="H451" s="86" t="s">
        <v>298</v>
      </c>
      <c r="I451" s="86" t="s">
        <v>92</v>
      </c>
      <c r="J451" s="86" t="s">
        <v>322</v>
      </c>
      <c r="K451" s="126">
        <v>46231</v>
      </c>
      <c r="L451" s="251">
        <v>46227</v>
      </c>
      <c r="M451" s="127">
        <f>_xlfn.XLOOKUP(C451,'Product List'!B:B,'Product List'!R:R)</f>
        <v>2.79</v>
      </c>
      <c r="N451" s="124">
        <f t="shared" si="13"/>
        <v>184.14</v>
      </c>
      <c r="O451" s="124" cm="1">
        <f t="array" ref="O451">E451/_xlfn.XLOOKUP(1,('Case Pack'!$A$4:$A$962=C451)*('Case Pack'!$L$4:$L$962&gt;0)*('Case Pack'!$L$4:$L$962&lt;=A451),'Case Pack'!$D$4:$D$962,"未找到箱规")</f>
        <v>2</v>
      </c>
      <c r="P451" s="124" t="str">
        <f>IF(COUNTIF('PO Check'!A:A,D451)&gt;0,"Yes","No")</f>
        <v>Yes</v>
      </c>
      <c r="Q451" s="124" t="str" cm="1">
        <f t="array" ref="Q451">_xlfn.XLOOKUP(1,('Case Pack'!$A$4:$A$962=C451)*('Case Pack'!$L$4:$L$962&gt;0)*('Case Pack'!$L$4:$L$962&lt;=A451),'Case Pack'!$G$4:$G$962,"未找到箱型")</f>
        <v>C</v>
      </c>
      <c r="R451" s="124">
        <f>ROUND(IFERROR(VLOOKUP(Q451,'Case Type'!A:H,8,0),0)*O451,2)</f>
        <v>0.31</v>
      </c>
    </row>
    <row r="452" customFormat="1" spans="1:18">
      <c r="A452" s="113">
        <v>46184</v>
      </c>
      <c r="B452" s="91" t="str">
        <f>_xlfn.XLOOKUP(C452,'Product List'!B:B,'Product List'!I:I)</f>
        <v>MMO-PAPER PEBBLES</v>
      </c>
      <c r="C452" s="124" t="s">
        <v>81</v>
      </c>
      <c r="D452" s="125">
        <v>31367788</v>
      </c>
      <c r="E452" s="125">
        <v>132</v>
      </c>
      <c r="F452" s="125">
        <v>5.81</v>
      </c>
      <c r="G452" s="125">
        <f t="shared" si="12"/>
        <v>766.92</v>
      </c>
      <c r="H452" s="86" t="s">
        <v>298</v>
      </c>
      <c r="I452" s="86" t="s">
        <v>92</v>
      </c>
      <c r="J452" s="86" t="s">
        <v>322</v>
      </c>
      <c r="K452" s="126">
        <v>46231</v>
      </c>
      <c r="L452" s="251">
        <v>46227</v>
      </c>
      <c r="M452" s="127">
        <f>_xlfn.XLOOKUP(C452,'Product List'!B:B,'Product List'!R:R)</f>
        <v>2.84</v>
      </c>
      <c r="N452" s="124">
        <f t="shared" si="13"/>
        <v>374.88</v>
      </c>
      <c r="O452" s="124" cm="1">
        <f t="array" ref="O452">E452/_xlfn.XLOOKUP(1,('Case Pack'!$A$4:$A$962=C452)*('Case Pack'!$L$4:$L$962&gt;0)*('Case Pack'!$L$4:$L$962&lt;=A452),'Case Pack'!$D$4:$D$962,"未找到箱规")</f>
        <v>11</v>
      </c>
      <c r="P452" s="124" t="str">
        <f>IF(COUNTIF('PO Check'!A:A,D452)&gt;0,"Yes","No")</f>
        <v>Yes</v>
      </c>
      <c r="Q452" s="124" t="str" cm="1">
        <f t="array" ref="Q452">_xlfn.XLOOKUP(1,('Case Pack'!$A$4:$A$962=C452)*('Case Pack'!$L$4:$L$962&gt;0)*('Case Pack'!$L$4:$L$962&lt;=A452),'Case Pack'!$G$4:$G$962,"未找到箱型")</f>
        <v>B</v>
      </c>
      <c r="R452" s="124">
        <f>ROUND(IFERROR(VLOOKUP(Q452,'Case Type'!A:H,8,0),0)*O452,2)</f>
        <v>0.81</v>
      </c>
    </row>
    <row r="453" customFormat="1" spans="1:18">
      <c r="A453" s="113">
        <v>46184</v>
      </c>
      <c r="B453" s="91" t="str">
        <f>_xlfn.XLOOKUP(C453,'Product List'!B:B,'Product List'!I:I)</f>
        <v>MMO-PAPER TWIST BLU/WHT</v>
      </c>
      <c r="C453" s="124" t="s">
        <v>68</v>
      </c>
      <c r="D453" s="125">
        <v>31367788</v>
      </c>
      <c r="E453" s="125">
        <v>150</v>
      </c>
      <c r="F453" s="125">
        <v>3.89</v>
      </c>
      <c r="G453" s="125">
        <f t="shared" si="12"/>
        <v>583.5</v>
      </c>
      <c r="H453" s="86" t="s">
        <v>298</v>
      </c>
      <c r="I453" s="86" t="s">
        <v>92</v>
      </c>
      <c r="J453" s="86" t="s">
        <v>322</v>
      </c>
      <c r="K453" s="126">
        <v>46231</v>
      </c>
      <c r="L453" s="251">
        <v>46227</v>
      </c>
      <c r="M453" s="127">
        <f>_xlfn.XLOOKUP(C453,'Product List'!B:B,'Product List'!R:R)</f>
        <v>1.98</v>
      </c>
      <c r="N453" s="124">
        <f t="shared" si="13"/>
        <v>297</v>
      </c>
      <c r="O453" s="124" cm="1">
        <f t="array" ref="O453">E453/_xlfn.XLOOKUP(1,('Case Pack'!$A$4:$A$962=C453)*('Case Pack'!$L$4:$L$962&gt;0)*('Case Pack'!$L$4:$L$962&lt;=A453),'Case Pack'!$D$4:$D$962,"未找到箱规")</f>
        <v>5</v>
      </c>
      <c r="P453" s="124" t="str">
        <f>IF(COUNTIF('PO Check'!A:A,D453)&gt;0,"Yes","No")</f>
        <v>Yes</v>
      </c>
      <c r="Q453" s="124" t="str" cm="1">
        <f t="array" ref="Q453">_xlfn.XLOOKUP(1,('Case Pack'!$A$4:$A$962=C453)*('Case Pack'!$L$4:$L$962&gt;0)*('Case Pack'!$L$4:$L$962&lt;=A453),'Case Pack'!$G$4:$G$962,"未找到箱型")</f>
        <v>A</v>
      </c>
      <c r="R453" s="124">
        <f>ROUND(IFERROR(VLOOKUP(Q453,'Case Type'!A:H,8,0),0)*O453,2)</f>
        <v>0.55</v>
      </c>
    </row>
    <row r="454" customFormat="1" spans="1:18">
      <c r="A454" s="113">
        <v>46184</v>
      </c>
      <c r="B454" s="91" t="str">
        <f>_xlfn.XLOOKUP(C454,'Product List'!B:B,'Product List'!I:I)</f>
        <v>MMO-COTTON NESTING BALLS</v>
      </c>
      <c r="C454" s="124" t="s">
        <v>84</v>
      </c>
      <c r="D454" s="125">
        <v>31367788</v>
      </c>
      <c r="E454" s="125">
        <v>224</v>
      </c>
      <c r="F454" s="125">
        <v>3.37</v>
      </c>
      <c r="G454" s="125">
        <f t="shared" si="12"/>
        <v>754.88</v>
      </c>
      <c r="H454" s="86" t="s">
        <v>298</v>
      </c>
      <c r="I454" s="86" t="s">
        <v>92</v>
      </c>
      <c r="J454" s="86" t="s">
        <v>322</v>
      </c>
      <c r="K454" s="126">
        <v>46231</v>
      </c>
      <c r="L454" s="251">
        <v>46227</v>
      </c>
      <c r="M454" s="127">
        <f>_xlfn.XLOOKUP(C454,'Product List'!B:B,'Product List'!R:R)</f>
        <v>1.64</v>
      </c>
      <c r="N454" s="124">
        <f t="shared" si="13"/>
        <v>367.36</v>
      </c>
      <c r="O454" s="124" cm="1">
        <f t="array" ref="O454">E454/_xlfn.XLOOKUP(1,('Case Pack'!$A$4:$A$962=C454)*('Case Pack'!$L$4:$L$962&gt;0)*('Case Pack'!$L$4:$L$962&lt;=A454),'Case Pack'!$D$4:$D$962,"未找到箱规")</f>
        <v>7</v>
      </c>
      <c r="P454" s="124" t="str">
        <f>IF(COUNTIF('PO Check'!A:A,D454)&gt;0,"Yes","No")</f>
        <v>Yes</v>
      </c>
      <c r="Q454" s="124" t="str" cm="1">
        <f t="array" ref="Q454">_xlfn.XLOOKUP(1,('Case Pack'!$A$4:$A$962=C454)*('Case Pack'!$L$4:$L$962&gt;0)*('Case Pack'!$L$4:$L$962&lt;=A454),'Case Pack'!$G$4:$G$962,"未找到箱型")</f>
        <v>A</v>
      </c>
      <c r="R454" s="124">
        <f>ROUND(IFERROR(VLOOKUP(Q454,'Case Type'!A:H,8,0),0)*O454,2)</f>
        <v>0.77</v>
      </c>
    </row>
    <row r="455" customFormat="1" spans="1:18">
      <c r="A455" s="113">
        <v>46184</v>
      </c>
      <c r="B455" s="91" t="str">
        <f>_xlfn.XLOOKUP(C455,'Product List'!B:B,'Product List'!I:I)</f>
        <v>MINI/MOE TV VIEWING CAGE</v>
      </c>
      <c r="C455" s="124" t="s">
        <v>50</v>
      </c>
      <c r="D455" s="125">
        <v>31367788</v>
      </c>
      <c r="E455" s="125">
        <v>11</v>
      </c>
      <c r="F455" s="125">
        <v>48.49</v>
      </c>
      <c r="G455" s="125">
        <f t="shared" si="12"/>
        <v>533.39</v>
      </c>
      <c r="H455" s="86" t="s">
        <v>298</v>
      </c>
      <c r="I455" s="86" t="s">
        <v>92</v>
      </c>
      <c r="J455" s="86" t="s">
        <v>322</v>
      </c>
      <c r="K455" s="126">
        <v>46231</v>
      </c>
      <c r="L455" s="251">
        <v>46227</v>
      </c>
      <c r="M455" s="127">
        <f>_xlfn.XLOOKUP(C455,'Product List'!B:B,'Product List'!R:R)</f>
        <v>24.09</v>
      </c>
      <c r="N455" s="124">
        <f t="shared" si="13"/>
        <v>264.99</v>
      </c>
      <c r="O455" s="124" cm="1">
        <f t="array" ref="O455">E455/_xlfn.XLOOKUP(1,('Case Pack'!$A$4:$A$962=C455)*('Case Pack'!$L$4:$L$962&gt;0)*('Case Pack'!$L$4:$L$962&lt;=A455),'Case Pack'!$D$4:$D$962,"未找到箱规")</f>
        <v>11</v>
      </c>
      <c r="P455" s="124" t="str">
        <f>IF(COUNTIF('PO Check'!A:A,D455)&gt;0,"Yes","No")</f>
        <v>Yes</v>
      </c>
      <c r="Q455" s="124" t="str" cm="1">
        <f t="array" ref="Q455">_xlfn.XLOOKUP(1,('Case Pack'!$A$4:$A$962=C455)*('Case Pack'!$L$4:$L$962&gt;0)*('Case Pack'!$L$4:$L$962&lt;=A455),'Case Pack'!$G$4:$G$962,"未找到箱型")</f>
        <v>S1</v>
      </c>
      <c r="R455" s="124">
        <f>ROUND(IFERROR(VLOOKUP(Q455,'Case Type'!A:H,8,0),0)*O455,2)</f>
        <v>0.81</v>
      </c>
    </row>
    <row r="456" customFormat="1" spans="1:18">
      <c r="A456" s="113">
        <v>46184</v>
      </c>
      <c r="B456" s="91" t="str">
        <f>_xlfn.XLOOKUP(C456,'Product List'!B:B,'Product List'!I:I)</f>
        <v>MMO-BUBBLE WATER BOTTLE</v>
      </c>
      <c r="C456" s="124" t="s">
        <v>67</v>
      </c>
      <c r="D456" s="125">
        <v>31367788</v>
      </c>
      <c r="E456" s="125">
        <v>42</v>
      </c>
      <c r="F456" s="125">
        <v>4.35</v>
      </c>
      <c r="G456" s="125">
        <f t="shared" si="12"/>
        <v>182.7</v>
      </c>
      <c r="H456" s="86" t="s">
        <v>298</v>
      </c>
      <c r="I456" s="86" t="s">
        <v>92</v>
      </c>
      <c r="J456" s="86" t="s">
        <v>322</v>
      </c>
      <c r="K456" s="126">
        <v>46231</v>
      </c>
      <c r="L456" s="251">
        <v>46227</v>
      </c>
      <c r="M456" s="127">
        <f>_xlfn.XLOOKUP(C456,'Product List'!B:B,'Product List'!R:R)</f>
        <v>3.1</v>
      </c>
      <c r="N456" s="124">
        <f t="shared" si="13"/>
        <v>130.2</v>
      </c>
      <c r="O456" s="124" cm="1">
        <f t="array" ref="O456">E456/_xlfn.XLOOKUP(1,('Case Pack'!$A$4:$A$962=C456)*('Case Pack'!$L$4:$L$962&gt;0)*('Case Pack'!$L$4:$L$962&lt;=A456),'Case Pack'!$D$4:$D$962,"未找到箱规")</f>
        <v>1</v>
      </c>
      <c r="P456" s="124" t="str">
        <f>IF(COUNTIF('PO Check'!A:A,D456)&gt;0,"Yes","No")</f>
        <v>Yes</v>
      </c>
      <c r="Q456" s="124" t="str" cm="1">
        <f t="array" ref="Q456">_xlfn.XLOOKUP(1,('Case Pack'!$A$4:$A$962=C456)*('Case Pack'!$L$4:$L$962&gt;0)*('Case Pack'!$L$4:$L$962&lt;=A456),'Case Pack'!$G$4:$G$962,"未找到箱型")</f>
        <v>C</v>
      </c>
      <c r="R456" s="124">
        <f>ROUND(IFERROR(VLOOKUP(Q456,'Case Type'!A:H,8,0),0)*O456,2)</f>
        <v>0.16</v>
      </c>
    </row>
    <row r="457" customFormat="1" spans="1:18">
      <c r="A457" s="113">
        <v>46184</v>
      </c>
      <c r="B457" s="91" t="str">
        <f>_xlfn.XLOOKUP(C457,'Product List'!B:B,'Product List'!I:I)</f>
        <v>MMO-GREEN APPLE CHEW</v>
      </c>
      <c r="C457" s="124" t="s">
        <v>33</v>
      </c>
      <c r="D457" s="125">
        <v>31367788</v>
      </c>
      <c r="E457" s="125">
        <v>240</v>
      </c>
      <c r="F457" s="125">
        <v>1.53</v>
      </c>
      <c r="G457" s="125">
        <f t="shared" si="12"/>
        <v>367.2</v>
      </c>
      <c r="H457" s="86" t="s">
        <v>298</v>
      </c>
      <c r="I457" s="86" t="s">
        <v>92</v>
      </c>
      <c r="J457" s="86" t="s">
        <v>322</v>
      </c>
      <c r="K457" s="126">
        <v>46231</v>
      </c>
      <c r="L457" s="251">
        <v>46227</v>
      </c>
      <c r="M457" s="127">
        <f>_xlfn.XLOOKUP(C457,'Product List'!B:B,'Product List'!R:R)</f>
        <v>1.04</v>
      </c>
      <c r="N457" s="124">
        <f t="shared" si="13"/>
        <v>249.6</v>
      </c>
      <c r="O457" s="124" cm="1">
        <f t="array" ref="O457">E457/_xlfn.XLOOKUP(1,('Case Pack'!$A$4:$A$962=C457)*('Case Pack'!$L$4:$L$962&gt;0)*('Case Pack'!$L$4:$L$962&lt;=A457),'Case Pack'!$D$4:$D$962,"未找到箱规")</f>
        <v>5</v>
      </c>
      <c r="P457" s="124" t="str">
        <f>IF(COUNTIF('PO Check'!A:A,D457)&gt;0,"Yes","No")</f>
        <v>Yes</v>
      </c>
      <c r="Q457" s="124" t="str" cm="1">
        <f t="array" ref="Q457">_xlfn.XLOOKUP(1,('Case Pack'!$A$4:$A$962=C457)*('Case Pack'!$L$4:$L$962&gt;0)*('Case Pack'!$L$4:$L$962&lt;=A457),'Case Pack'!$G$4:$G$962,"未找到箱型")</f>
        <v>B</v>
      </c>
      <c r="R457" s="124">
        <f>ROUND(IFERROR(VLOOKUP(Q457,'Case Type'!A:H,8,0),0)*O457,2)</f>
        <v>0.37</v>
      </c>
    </row>
    <row r="458" customFormat="1" spans="1:18">
      <c r="A458" s="113">
        <v>46184</v>
      </c>
      <c r="B458" s="91" t="str">
        <f>_xlfn.XLOOKUP(C458,'Product List'!B:B,'Product List'!I:I)</f>
        <v>MMO-CAMP LUNCH BOX CHEW</v>
      </c>
      <c r="C458" s="124" t="s">
        <v>34</v>
      </c>
      <c r="D458" s="125">
        <v>31367788</v>
      </c>
      <c r="E458" s="125">
        <v>144</v>
      </c>
      <c r="F458" s="125">
        <v>2.48</v>
      </c>
      <c r="G458" s="125">
        <f t="shared" si="12"/>
        <v>357.12</v>
      </c>
      <c r="H458" s="86" t="s">
        <v>298</v>
      </c>
      <c r="I458" s="86" t="s">
        <v>92</v>
      </c>
      <c r="J458" s="86" t="s">
        <v>322</v>
      </c>
      <c r="K458" s="126">
        <v>46231</v>
      </c>
      <c r="L458" s="251">
        <v>46227</v>
      </c>
      <c r="M458" s="127">
        <f>_xlfn.XLOOKUP(C458,'Product List'!B:B,'Product List'!R:R)</f>
        <v>1.59</v>
      </c>
      <c r="N458" s="124">
        <f t="shared" si="13"/>
        <v>228.96</v>
      </c>
      <c r="O458" s="124" cm="1">
        <f t="array" ref="O458">E458/_xlfn.XLOOKUP(1,('Case Pack'!$A$4:$A$962=C458)*('Case Pack'!$L$4:$L$962&gt;0)*('Case Pack'!$L$4:$L$962&lt;=A458),'Case Pack'!$D$4:$D$962,"未找到箱规")</f>
        <v>2</v>
      </c>
      <c r="P458" s="124" t="str">
        <f>IF(COUNTIF('PO Check'!A:A,D458)&gt;0,"Yes","No")</f>
        <v>Yes</v>
      </c>
      <c r="Q458" s="124" t="str" cm="1">
        <f t="array" ref="Q458">_xlfn.XLOOKUP(1,('Case Pack'!$A$4:$A$962=C458)*('Case Pack'!$L$4:$L$962&gt;0)*('Case Pack'!$L$4:$L$962&lt;=A458),'Case Pack'!$G$4:$G$962,"未找到箱型")</f>
        <v>B</v>
      </c>
      <c r="R458" s="124">
        <f>ROUND(IFERROR(VLOOKUP(Q458,'Case Type'!A:H,8,0),0)*O458,2)</f>
        <v>0.15</v>
      </c>
    </row>
    <row r="459" customFormat="1" spans="1:18">
      <c r="A459" s="113">
        <v>46184</v>
      </c>
      <c r="B459" s="91" t="str">
        <f>_xlfn.XLOOKUP(C459,'Product List'!B:B,'Product List'!I:I)</f>
        <v>MINI/MOE SILENT CRSTL RUN WHEEL LG 8.5-White</v>
      </c>
      <c r="C459" s="124" t="s">
        <v>29</v>
      </c>
      <c r="D459" s="125">
        <v>31367789</v>
      </c>
      <c r="E459" s="125">
        <v>176</v>
      </c>
      <c r="F459" s="125">
        <v>13.22</v>
      </c>
      <c r="G459" s="125">
        <f t="shared" si="12"/>
        <v>2326.72</v>
      </c>
      <c r="H459" s="86" t="s">
        <v>298</v>
      </c>
      <c r="I459" s="86" t="s">
        <v>92</v>
      </c>
      <c r="J459" s="86" t="s">
        <v>316</v>
      </c>
      <c r="K459" s="126">
        <v>46230</v>
      </c>
      <c r="L459" s="251">
        <v>46225</v>
      </c>
      <c r="M459" s="127">
        <f>_xlfn.XLOOKUP(C459,'Product List'!B:B,'Product List'!R:R)</f>
        <v>6.27</v>
      </c>
      <c r="N459" s="124">
        <f t="shared" si="13"/>
        <v>1103.52</v>
      </c>
      <c r="O459" s="124" cm="1">
        <f t="array" ref="O459">E459/_xlfn.XLOOKUP(1,('Case Pack'!$A$4:$A$962=C459)*('Case Pack'!$L$4:$L$962&gt;0)*('Case Pack'!$L$4:$L$962&lt;=A459),'Case Pack'!$D$4:$D$962,"未找到箱规")</f>
        <v>22</v>
      </c>
      <c r="P459" s="124" t="str">
        <f>IF(COUNTIF('PO Check'!A:A,D459)&gt;0,"Yes","No")</f>
        <v>Yes</v>
      </c>
      <c r="Q459" s="124" t="str" cm="1">
        <f t="array" ref="Q459">_xlfn.XLOOKUP(1,('Case Pack'!$A$4:$A$962=C459)*('Case Pack'!$L$4:$L$962&gt;0)*('Case Pack'!$L$4:$L$962&lt;=A459),'Case Pack'!$G$4:$G$962,"未找到箱型")</f>
        <v>C</v>
      </c>
      <c r="R459" s="124">
        <f>ROUND(IFERROR(VLOOKUP(Q459,'Case Type'!A:H,8,0),0)*O459,2)</f>
        <v>3.46</v>
      </c>
    </row>
    <row r="460" customFormat="1" spans="1:18">
      <c r="A460" s="113">
        <v>46184</v>
      </c>
      <c r="B460" s="91" t="str">
        <f>_xlfn.XLOOKUP(C460,'Product List'!B:B,'Product List'!I:I)</f>
        <v>MMO-STARFISH CASTLE</v>
      </c>
      <c r="C460" s="124" t="s">
        <v>60</v>
      </c>
      <c r="D460" s="125">
        <v>31367789</v>
      </c>
      <c r="E460" s="125">
        <v>80</v>
      </c>
      <c r="F460" s="125">
        <v>5.32</v>
      </c>
      <c r="G460" s="125">
        <f t="shared" si="12"/>
        <v>425.6</v>
      </c>
      <c r="H460" s="86" t="s">
        <v>298</v>
      </c>
      <c r="I460" s="86" t="s">
        <v>92</v>
      </c>
      <c r="J460" s="86" t="s">
        <v>316</v>
      </c>
      <c r="K460" s="126">
        <v>46230</v>
      </c>
      <c r="L460" s="251">
        <v>46225</v>
      </c>
      <c r="M460" s="127">
        <f>_xlfn.XLOOKUP(C460,'Product List'!B:B,'Product List'!R:R)</f>
        <v>2.81</v>
      </c>
      <c r="N460" s="124">
        <f t="shared" si="13"/>
        <v>224.8</v>
      </c>
      <c r="O460" s="124" cm="1">
        <f t="array" ref="O460">E460/_xlfn.XLOOKUP(1,('Case Pack'!$A$4:$A$962=C460)*('Case Pack'!$L$4:$L$962&gt;0)*('Case Pack'!$L$4:$L$962&lt;=A460),'Case Pack'!$D$4:$D$962,"未找到箱规")</f>
        <v>4</v>
      </c>
      <c r="P460" s="124" t="str">
        <f>IF(COUNTIF('PO Check'!A:A,D460)&gt;0,"Yes","No")</f>
        <v>Yes</v>
      </c>
      <c r="Q460" s="124" t="str" cm="1">
        <f t="array" ref="Q460">_xlfn.XLOOKUP(1,('Case Pack'!$A$4:$A$962=C460)*('Case Pack'!$L$4:$L$962&gt;0)*('Case Pack'!$L$4:$L$962&lt;=A460),'Case Pack'!$G$4:$G$962,"未找到箱型")</f>
        <v>C</v>
      </c>
      <c r="R460" s="124">
        <f>ROUND(IFERROR(VLOOKUP(Q460,'Case Type'!A:H,8,0),0)*O460,2)</f>
        <v>0.63</v>
      </c>
    </row>
    <row r="461" customFormat="1" spans="1:18">
      <c r="A461" s="113">
        <v>46184</v>
      </c>
      <c r="B461" s="91" t="str">
        <f>_xlfn.XLOOKUP(C461,'Product List'!B:B,'Product List'!I:I)</f>
        <v>MMO-WAVE BRIDGE</v>
      </c>
      <c r="C461" s="124" t="s">
        <v>61</v>
      </c>
      <c r="D461" s="125">
        <v>31367789</v>
      </c>
      <c r="E461" s="125">
        <v>165</v>
      </c>
      <c r="F461" s="125">
        <v>4.84</v>
      </c>
      <c r="G461" s="125">
        <f t="shared" si="12"/>
        <v>798.6</v>
      </c>
      <c r="H461" s="86" t="s">
        <v>298</v>
      </c>
      <c r="I461" s="86" t="s">
        <v>92</v>
      </c>
      <c r="J461" s="86" t="s">
        <v>316</v>
      </c>
      <c r="K461" s="126">
        <v>46230</v>
      </c>
      <c r="L461" s="251">
        <v>46225</v>
      </c>
      <c r="M461" s="127">
        <f>_xlfn.XLOOKUP(C461,'Product List'!B:B,'Product List'!R:R)</f>
        <v>2.79</v>
      </c>
      <c r="N461" s="124">
        <f t="shared" si="13"/>
        <v>460.35</v>
      </c>
      <c r="O461" s="124" cm="1">
        <f t="array" ref="O461">E461/_xlfn.XLOOKUP(1,('Case Pack'!$A$4:$A$962=C461)*('Case Pack'!$L$4:$L$962&gt;0)*('Case Pack'!$L$4:$L$962&lt;=A461),'Case Pack'!$D$4:$D$962,"未找到箱规")</f>
        <v>5</v>
      </c>
      <c r="P461" s="124" t="str">
        <f>IF(COUNTIF('PO Check'!A:A,D461)&gt;0,"Yes","No")</f>
        <v>Yes</v>
      </c>
      <c r="Q461" s="124" t="str" cm="1">
        <f t="array" ref="Q461">_xlfn.XLOOKUP(1,('Case Pack'!$A$4:$A$962=C461)*('Case Pack'!$L$4:$L$962&gt;0)*('Case Pack'!$L$4:$L$962&lt;=A461),'Case Pack'!$G$4:$G$962,"未找到箱型")</f>
        <v>C</v>
      </c>
      <c r="R461" s="124">
        <f>ROUND(IFERROR(VLOOKUP(Q461,'Case Type'!A:H,8,0),0)*O461,2)</f>
        <v>0.79</v>
      </c>
    </row>
    <row r="462" customFormat="1" spans="1:18">
      <c r="A462" s="113">
        <v>46184</v>
      </c>
      <c r="B462" s="91" t="str">
        <f>_xlfn.XLOOKUP(C462,'Product List'!B:B,'Product List'!I:I)</f>
        <v>MMO-PAPER PEBBLES</v>
      </c>
      <c r="C462" s="124" t="s">
        <v>81</v>
      </c>
      <c r="D462" s="125">
        <v>31367789</v>
      </c>
      <c r="E462" s="125">
        <v>168</v>
      </c>
      <c r="F462" s="125">
        <v>5.81</v>
      </c>
      <c r="G462" s="125">
        <f t="shared" si="12"/>
        <v>976.08</v>
      </c>
      <c r="H462" s="86" t="s">
        <v>298</v>
      </c>
      <c r="I462" s="86" t="s">
        <v>92</v>
      </c>
      <c r="J462" s="86" t="s">
        <v>316</v>
      </c>
      <c r="K462" s="126">
        <v>46230</v>
      </c>
      <c r="L462" s="251">
        <v>46225</v>
      </c>
      <c r="M462" s="127">
        <f>_xlfn.XLOOKUP(C462,'Product List'!B:B,'Product List'!R:R)</f>
        <v>2.84</v>
      </c>
      <c r="N462" s="124">
        <f t="shared" si="13"/>
        <v>477.12</v>
      </c>
      <c r="O462" s="124" cm="1">
        <f t="array" ref="O462">E462/_xlfn.XLOOKUP(1,('Case Pack'!$A$4:$A$962=C462)*('Case Pack'!$L$4:$L$962&gt;0)*('Case Pack'!$L$4:$L$962&lt;=A462),'Case Pack'!$D$4:$D$962,"未找到箱规")</f>
        <v>14</v>
      </c>
      <c r="P462" s="124" t="str">
        <f>IF(COUNTIF('PO Check'!A:A,D462)&gt;0,"Yes","No")</f>
        <v>Yes</v>
      </c>
      <c r="Q462" s="124" t="str" cm="1">
        <f t="array" ref="Q462">_xlfn.XLOOKUP(1,('Case Pack'!$A$4:$A$962=C462)*('Case Pack'!$L$4:$L$962&gt;0)*('Case Pack'!$L$4:$L$962&lt;=A462),'Case Pack'!$G$4:$G$962,"未找到箱型")</f>
        <v>B</v>
      </c>
      <c r="R462" s="124">
        <f>ROUND(IFERROR(VLOOKUP(Q462,'Case Type'!A:H,8,0),0)*O462,2)</f>
        <v>1.03</v>
      </c>
    </row>
    <row r="463" customFormat="1" spans="1:18">
      <c r="A463" s="113">
        <v>46184</v>
      </c>
      <c r="B463" s="91" t="str">
        <f>_xlfn.XLOOKUP(C463,'Product List'!B:B,'Product List'!I:I)</f>
        <v>MMO-PAPER TWIST BLU/WHT</v>
      </c>
      <c r="C463" s="124" t="s">
        <v>68</v>
      </c>
      <c r="D463" s="125">
        <v>31367789</v>
      </c>
      <c r="E463" s="125">
        <v>210</v>
      </c>
      <c r="F463" s="125">
        <v>3.89</v>
      </c>
      <c r="G463" s="125">
        <f t="shared" si="12"/>
        <v>816.9</v>
      </c>
      <c r="H463" s="86" t="s">
        <v>298</v>
      </c>
      <c r="I463" s="86" t="s">
        <v>92</v>
      </c>
      <c r="J463" s="86" t="s">
        <v>316</v>
      </c>
      <c r="K463" s="126">
        <v>46230</v>
      </c>
      <c r="L463" s="251">
        <v>46225</v>
      </c>
      <c r="M463" s="127">
        <f>_xlfn.XLOOKUP(C463,'Product List'!B:B,'Product List'!R:R)</f>
        <v>1.98</v>
      </c>
      <c r="N463" s="124">
        <f t="shared" si="13"/>
        <v>415.8</v>
      </c>
      <c r="O463" s="124" cm="1">
        <f t="array" ref="O463">E463/_xlfn.XLOOKUP(1,('Case Pack'!$A$4:$A$962=C463)*('Case Pack'!$L$4:$L$962&gt;0)*('Case Pack'!$L$4:$L$962&lt;=A463),'Case Pack'!$D$4:$D$962,"未找到箱规")</f>
        <v>7</v>
      </c>
      <c r="P463" s="124" t="str">
        <f>IF(COUNTIF('PO Check'!A:A,D463)&gt;0,"Yes","No")</f>
        <v>Yes</v>
      </c>
      <c r="Q463" s="124" t="str" cm="1">
        <f t="array" ref="Q463">_xlfn.XLOOKUP(1,('Case Pack'!$A$4:$A$962=C463)*('Case Pack'!$L$4:$L$962&gt;0)*('Case Pack'!$L$4:$L$962&lt;=A463),'Case Pack'!$G$4:$G$962,"未找到箱型")</f>
        <v>A</v>
      </c>
      <c r="R463" s="124">
        <f>ROUND(IFERROR(VLOOKUP(Q463,'Case Type'!A:H,8,0),0)*O463,2)</f>
        <v>0.77</v>
      </c>
    </row>
    <row r="464" customFormat="1" spans="1:18">
      <c r="A464" s="113">
        <v>46184</v>
      </c>
      <c r="B464" s="91" t="str">
        <f>_xlfn.XLOOKUP(C464,'Product List'!B:B,'Product List'!I:I)</f>
        <v>MMO-COTTON NESTING BALLS</v>
      </c>
      <c r="C464" s="124" t="s">
        <v>84</v>
      </c>
      <c r="D464" s="125">
        <v>31367789</v>
      </c>
      <c r="E464" s="125">
        <v>160</v>
      </c>
      <c r="F464" s="125">
        <v>3.37</v>
      </c>
      <c r="G464" s="125">
        <f t="shared" si="12"/>
        <v>539.2</v>
      </c>
      <c r="H464" s="86" t="s">
        <v>298</v>
      </c>
      <c r="I464" s="86" t="s">
        <v>92</v>
      </c>
      <c r="J464" s="86" t="s">
        <v>316</v>
      </c>
      <c r="K464" s="126">
        <v>46230</v>
      </c>
      <c r="L464" s="251">
        <v>46225</v>
      </c>
      <c r="M464" s="127">
        <f>_xlfn.XLOOKUP(C464,'Product List'!B:B,'Product List'!R:R)</f>
        <v>1.64</v>
      </c>
      <c r="N464" s="124">
        <f t="shared" si="13"/>
        <v>262.4</v>
      </c>
      <c r="O464" s="124" cm="1">
        <f t="array" ref="O464">E464/_xlfn.XLOOKUP(1,('Case Pack'!$A$4:$A$962=C464)*('Case Pack'!$L$4:$L$962&gt;0)*('Case Pack'!$L$4:$L$962&lt;=A464),'Case Pack'!$D$4:$D$962,"未找到箱规")</f>
        <v>5</v>
      </c>
      <c r="P464" s="124" t="str">
        <f>IF(COUNTIF('PO Check'!A:A,D464)&gt;0,"Yes","No")</f>
        <v>Yes</v>
      </c>
      <c r="Q464" s="124" t="str" cm="1">
        <f t="array" ref="Q464">_xlfn.XLOOKUP(1,('Case Pack'!$A$4:$A$962=C464)*('Case Pack'!$L$4:$L$962&gt;0)*('Case Pack'!$L$4:$L$962&lt;=A464),'Case Pack'!$G$4:$G$962,"未找到箱型")</f>
        <v>A</v>
      </c>
      <c r="R464" s="124">
        <f>ROUND(IFERROR(VLOOKUP(Q464,'Case Type'!A:H,8,0),0)*O464,2)</f>
        <v>0.55</v>
      </c>
    </row>
    <row r="465" customFormat="1" spans="1:18">
      <c r="A465" s="113">
        <v>46184</v>
      </c>
      <c r="B465" s="91" t="str">
        <f>_xlfn.XLOOKUP(C465,'Product List'!B:B,'Product List'!I:I)</f>
        <v>MINI/MOE TV VIEWING CAGE</v>
      </c>
      <c r="C465" s="124" t="s">
        <v>50</v>
      </c>
      <c r="D465" s="125">
        <v>31367789</v>
      </c>
      <c r="E465" s="125">
        <v>97</v>
      </c>
      <c r="F465" s="125">
        <v>48.49</v>
      </c>
      <c r="G465" s="125">
        <f t="shared" si="12"/>
        <v>4703.53</v>
      </c>
      <c r="H465" s="86" t="s">
        <v>298</v>
      </c>
      <c r="I465" s="86" t="s">
        <v>92</v>
      </c>
      <c r="J465" s="86" t="s">
        <v>316</v>
      </c>
      <c r="K465" s="126">
        <v>46230</v>
      </c>
      <c r="L465" s="251">
        <v>46225</v>
      </c>
      <c r="M465" s="127">
        <f>_xlfn.XLOOKUP(C465,'Product List'!B:B,'Product List'!R:R)</f>
        <v>24.09</v>
      </c>
      <c r="N465" s="124">
        <f t="shared" si="13"/>
        <v>2336.73</v>
      </c>
      <c r="O465" s="124" cm="1">
        <f t="array" ref="O465">E465/_xlfn.XLOOKUP(1,('Case Pack'!$A$4:$A$962=C465)*('Case Pack'!$L$4:$L$962&gt;0)*('Case Pack'!$L$4:$L$962&lt;=A465),'Case Pack'!$D$4:$D$962,"未找到箱规")</f>
        <v>97</v>
      </c>
      <c r="P465" s="124" t="str">
        <f>IF(COUNTIF('PO Check'!A:A,D465)&gt;0,"Yes","No")</f>
        <v>Yes</v>
      </c>
      <c r="Q465" s="124" t="str" cm="1">
        <f t="array" ref="Q465">_xlfn.XLOOKUP(1,('Case Pack'!$A$4:$A$962=C465)*('Case Pack'!$L$4:$L$962&gt;0)*('Case Pack'!$L$4:$L$962&lt;=A465),'Case Pack'!$G$4:$G$962,"未找到箱型")</f>
        <v>S1</v>
      </c>
      <c r="R465" s="124">
        <f>ROUND(IFERROR(VLOOKUP(Q465,'Case Type'!A:H,8,0),0)*O465,2)</f>
        <v>7.18</v>
      </c>
    </row>
    <row r="466" customFormat="1" spans="1:18">
      <c r="A466" s="113">
        <v>46184</v>
      </c>
      <c r="B466" s="91" t="str">
        <f>_xlfn.XLOOKUP(C466,'Product List'!B:B,'Product List'!I:I)</f>
        <v>MMO-BUBBLE WATER BOTTLE</v>
      </c>
      <c r="C466" s="124" t="s">
        <v>67</v>
      </c>
      <c r="D466" s="125">
        <v>31367789</v>
      </c>
      <c r="E466" s="125">
        <v>294</v>
      </c>
      <c r="F466" s="125">
        <v>4.35</v>
      </c>
      <c r="G466" s="125">
        <f t="shared" si="12"/>
        <v>1278.9</v>
      </c>
      <c r="H466" s="86" t="s">
        <v>298</v>
      </c>
      <c r="I466" s="86" t="s">
        <v>92</v>
      </c>
      <c r="J466" s="86" t="s">
        <v>316</v>
      </c>
      <c r="K466" s="126">
        <v>46230</v>
      </c>
      <c r="L466" s="251">
        <v>46225</v>
      </c>
      <c r="M466" s="127">
        <f>_xlfn.XLOOKUP(C466,'Product List'!B:B,'Product List'!R:R)</f>
        <v>3.1</v>
      </c>
      <c r="N466" s="124">
        <f t="shared" si="13"/>
        <v>911.4</v>
      </c>
      <c r="O466" s="124" cm="1">
        <f t="array" ref="O466">E466/_xlfn.XLOOKUP(1,('Case Pack'!$A$4:$A$962=C466)*('Case Pack'!$L$4:$L$962&gt;0)*('Case Pack'!$L$4:$L$962&lt;=A466),'Case Pack'!$D$4:$D$962,"未找到箱规")</f>
        <v>7</v>
      </c>
      <c r="P466" s="124" t="str">
        <f>IF(COUNTIF('PO Check'!A:A,D466)&gt;0,"Yes","No")</f>
        <v>Yes</v>
      </c>
      <c r="Q466" s="124" t="str" cm="1">
        <f t="array" ref="Q466">_xlfn.XLOOKUP(1,('Case Pack'!$A$4:$A$962=C466)*('Case Pack'!$L$4:$L$962&gt;0)*('Case Pack'!$L$4:$L$962&lt;=A466),'Case Pack'!$G$4:$G$962,"未找到箱型")</f>
        <v>C</v>
      </c>
      <c r="R466" s="124">
        <f>ROUND(IFERROR(VLOOKUP(Q466,'Case Type'!A:H,8,0),0)*O466,2)</f>
        <v>1.1</v>
      </c>
    </row>
    <row r="467" customFormat="1" spans="1:18">
      <c r="A467" s="113">
        <v>46184</v>
      </c>
      <c r="B467" s="91" t="str">
        <f>_xlfn.XLOOKUP(C467,'Product List'!B:B,'Product List'!I:I)</f>
        <v>MMO-GREEN APPLE CHEW</v>
      </c>
      <c r="C467" s="124" t="s">
        <v>33</v>
      </c>
      <c r="D467" s="125">
        <v>31367789</v>
      </c>
      <c r="E467" s="125">
        <v>144</v>
      </c>
      <c r="F467" s="125">
        <v>1.53</v>
      </c>
      <c r="G467" s="125">
        <f t="shared" si="12"/>
        <v>220.32</v>
      </c>
      <c r="H467" s="86" t="s">
        <v>298</v>
      </c>
      <c r="I467" s="86" t="s">
        <v>92</v>
      </c>
      <c r="J467" s="86" t="s">
        <v>316</v>
      </c>
      <c r="K467" s="126">
        <v>46230</v>
      </c>
      <c r="L467" s="251">
        <v>46225</v>
      </c>
      <c r="M467" s="127">
        <f>_xlfn.XLOOKUP(C467,'Product List'!B:B,'Product List'!R:R)</f>
        <v>1.04</v>
      </c>
      <c r="N467" s="124">
        <f t="shared" si="13"/>
        <v>149.76</v>
      </c>
      <c r="O467" s="124" cm="1">
        <f t="array" ref="O467">E467/_xlfn.XLOOKUP(1,('Case Pack'!$A$4:$A$962=C467)*('Case Pack'!$L$4:$L$962&gt;0)*('Case Pack'!$L$4:$L$962&lt;=A467),'Case Pack'!$D$4:$D$962,"未找到箱规")</f>
        <v>3</v>
      </c>
      <c r="P467" s="124" t="str">
        <f>IF(COUNTIF('PO Check'!A:A,D467)&gt;0,"Yes","No")</f>
        <v>Yes</v>
      </c>
      <c r="Q467" s="124" t="str" cm="1">
        <f t="array" ref="Q467">_xlfn.XLOOKUP(1,('Case Pack'!$A$4:$A$962=C467)*('Case Pack'!$L$4:$L$962&gt;0)*('Case Pack'!$L$4:$L$962&lt;=A467),'Case Pack'!$G$4:$G$962,"未找到箱型")</f>
        <v>B</v>
      </c>
      <c r="R467" s="124">
        <f>ROUND(IFERROR(VLOOKUP(Q467,'Case Type'!A:H,8,0),0)*O467,2)</f>
        <v>0.22</v>
      </c>
    </row>
    <row r="468" customFormat="1" spans="1:18">
      <c r="A468" s="113">
        <v>46184</v>
      </c>
      <c r="B468" s="91" t="str">
        <f>_xlfn.XLOOKUP(C468,'Product List'!B:B,'Product List'!I:I)</f>
        <v>MMO-CAMP LUNCH BOX CHEW</v>
      </c>
      <c r="C468" s="124" t="s">
        <v>34</v>
      </c>
      <c r="D468" s="125">
        <v>31367789</v>
      </c>
      <c r="E468" s="125">
        <v>144</v>
      </c>
      <c r="F468" s="125">
        <v>2.48</v>
      </c>
      <c r="G468" s="125">
        <f t="shared" si="12"/>
        <v>357.12</v>
      </c>
      <c r="H468" s="86" t="s">
        <v>298</v>
      </c>
      <c r="I468" s="86" t="s">
        <v>92</v>
      </c>
      <c r="J468" s="86" t="s">
        <v>316</v>
      </c>
      <c r="K468" s="126">
        <v>46230</v>
      </c>
      <c r="L468" s="251">
        <v>46225</v>
      </c>
      <c r="M468" s="127">
        <f>_xlfn.XLOOKUP(C468,'Product List'!B:B,'Product List'!R:R)</f>
        <v>1.59</v>
      </c>
      <c r="N468" s="124">
        <f t="shared" si="13"/>
        <v>228.96</v>
      </c>
      <c r="O468" s="124" cm="1">
        <f t="array" ref="O468">E468/_xlfn.XLOOKUP(1,('Case Pack'!$A$4:$A$962=C468)*('Case Pack'!$L$4:$L$962&gt;0)*('Case Pack'!$L$4:$L$962&lt;=A468),'Case Pack'!$D$4:$D$962,"未找到箱规")</f>
        <v>2</v>
      </c>
      <c r="P468" s="124" t="str">
        <f>IF(COUNTIF('PO Check'!A:A,D468)&gt;0,"Yes","No")</f>
        <v>Yes</v>
      </c>
      <c r="Q468" s="124" t="str" cm="1">
        <f t="array" ref="Q468">_xlfn.XLOOKUP(1,('Case Pack'!$A$4:$A$962=C468)*('Case Pack'!$L$4:$L$962&gt;0)*('Case Pack'!$L$4:$L$962&lt;=A468),'Case Pack'!$G$4:$G$962,"未找到箱型")</f>
        <v>B</v>
      </c>
      <c r="R468" s="124">
        <f>ROUND(IFERROR(VLOOKUP(Q468,'Case Type'!A:H,8,0),0)*O468,2)</f>
        <v>0.15</v>
      </c>
    </row>
    <row r="469" customFormat="1" spans="1:18">
      <c r="A469" s="113">
        <v>46184</v>
      </c>
      <c r="B469" s="91" t="str">
        <f>_xlfn.XLOOKUP(C469,'Product List'!B:B,'Product List'!I:I)</f>
        <v>MINI/MOE RUFFLE BOWL</v>
      </c>
      <c r="C469" s="124" t="s">
        <v>78</v>
      </c>
      <c r="D469" s="125">
        <v>31367789</v>
      </c>
      <c r="E469" s="125">
        <v>240</v>
      </c>
      <c r="F469" s="125">
        <v>2.35</v>
      </c>
      <c r="G469" s="125">
        <f t="shared" si="12"/>
        <v>564</v>
      </c>
      <c r="H469" s="86" t="s">
        <v>298</v>
      </c>
      <c r="I469" s="86" t="s">
        <v>92</v>
      </c>
      <c r="J469" s="86" t="s">
        <v>316</v>
      </c>
      <c r="K469" s="126">
        <v>46230</v>
      </c>
      <c r="L469" s="251">
        <v>46225</v>
      </c>
      <c r="M469" s="127">
        <f>_xlfn.XLOOKUP(C469,'Product List'!B:B,'Product List'!R:R)</f>
        <v>1.34</v>
      </c>
      <c r="N469" s="124">
        <f t="shared" si="13"/>
        <v>321.6</v>
      </c>
      <c r="O469" s="124" cm="1">
        <f t="array" ref="O469">E469/_xlfn.XLOOKUP(1,('Case Pack'!$A$4:$A$962=C469)*('Case Pack'!$L$4:$L$962&gt;0)*('Case Pack'!$L$4:$L$962&lt;=A469),'Case Pack'!$D$4:$D$962,"未找到箱规")</f>
        <v>5</v>
      </c>
      <c r="P469" s="124" t="str">
        <f>IF(COUNTIF('PO Check'!A:A,D469)&gt;0,"Yes","No")</f>
        <v>Yes</v>
      </c>
      <c r="Q469" s="124" t="str" cm="1">
        <f t="array" ref="Q469">_xlfn.XLOOKUP(1,('Case Pack'!$A$4:$A$962=C469)*('Case Pack'!$L$4:$L$962&gt;0)*('Case Pack'!$L$4:$L$962&lt;=A469),'Case Pack'!$G$4:$G$962,"未找到箱型")</f>
        <v>B</v>
      </c>
      <c r="R469" s="124">
        <f>ROUND(IFERROR(VLOOKUP(Q469,'Case Type'!A:H,8,0),0)*O469,2)</f>
        <v>0.37</v>
      </c>
    </row>
    <row r="470" customFormat="1" spans="1:18">
      <c r="A470" s="113">
        <v>46184</v>
      </c>
      <c r="B470" s="91" t="str">
        <f>_xlfn.XLOOKUP(C470,'Product List'!B:B,'Product List'!I:I)</f>
        <v>MMO-CLOUD WATER BOTTLE</v>
      </c>
      <c r="C470" s="124" t="s">
        <v>77</v>
      </c>
      <c r="D470" s="125">
        <v>31367789</v>
      </c>
      <c r="E470" s="125">
        <v>200</v>
      </c>
      <c r="F470" s="125">
        <v>1.32</v>
      </c>
      <c r="G470" s="125">
        <f t="shared" si="12"/>
        <v>264</v>
      </c>
      <c r="H470" s="86" t="s">
        <v>298</v>
      </c>
      <c r="I470" s="86" t="s">
        <v>92</v>
      </c>
      <c r="J470" s="86" t="s">
        <v>316</v>
      </c>
      <c r="K470" s="126">
        <v>46230</v>
      </c>
      <c r="L470" s="251">
        <v>46225</v>
      </c>
      <c r="M470" s="127">
        <f>_xlfn.XLOOKUP(C470,'Product List'!B:B,'Product List'!R:R)</f>
        <v>0.62</v>
      </c>
      <c r="N470" s="124">
        <f t="shared" si="13"/>
        <v>124</v>
      </c>
      <c r="O470" s="124" cm="1">
        <f t="array" ref="O470">E470/_xlfn.XLOOKUP(1,('Case Pack'!$A$4:$A$962=C470)*('Case Pack'!$L$4:$L$962&gt;0)*('Case Pack'!$L$4:$L$962&lt;=A470),'Case Pack'!$D$4:$D$962,"未找到箱规")</f>
        <v>4</v>
      </c>
      <c r="P470" s="124" t="str">
        <f>IF(COUNTIF('PO Check'!A:A,D470)&gt;0,"Yes","No")</f>
        <v>Yes</v>
      </c>
      <c r="Q470" s="124" t="str" cm="1">
        <f t="array" ref="Q470">_xlfn.XLOOKUP(1,('Case Pack'!$A$4:$A$962=C470)*('Case Pack'!$L$4:$L$962&gt;0)*('Case Pack'!$L$4:$L$962&lt;=A470),'Case Pack'!$G$4:$G$962,"未找到箱型")</f>
        <v>A</v>
      </c>
      <c r="R470" s="124">
        <f>ROUND(IFERROR(VLOOKUP(Q470,'Case Type'!A:H,8,0),0)*O470,2)</f>
        <v>0.44</v>
      </c>
    </row>
    <row r="471" customFormat="1" spans="1:18">
      <c r="A471" s="113">
        <v>46184</v>
      </c>
      <c r="B471" s="91" t="str">
        <f>_xlfn.XLOOKUP(C471,'Product List'!B:B,'Product List'!I:I)</f>
        <v>MINI/MOE BENDABLE BIRCHWOOD FENCE</v>
      </c>
      <c r="C471" s="124" t="s">
        <v>62</v>
      </c>
      <c r="D471" s="125">
        <v>31367790</v>
      </c>
      <c r="E471" s="125">
        <v>64</v>
      </c>
      <c r="F471" s="125">
        <v>5.01</v>
      </c>
      <c r="G471" s="125">
        <f t="shared" si="12"/>
        <v>320.64</v>
      </c>
      <c r="H471" s="86" t="s">
        <v>298</v>
      </c>
      <c r="I471" s="86" t="s">
        <v>92</v>
      </c>
      <c r="J471" s="86" t="s">
        <v>317</v>
      </c>
      <c r="K471" s="126">
        <v>46224</v>
      </c>
      <c r="L471" s="251">
        <v>46226</v>
      </c>
      <c r="M471" s="127">
        <f>_xlfn.XLOOKUP(C471,'Product List'!B:B,'Product List'!R:R)</f>
        <v>3.4</v>
      </c>
      <c r="N471" s="124">
        <f t="shared" si="13"/>
        <v>217.6</v>
      </c>
      <c r="O471" s="124" cm="1">
        <f t="array" ref="O471">E471/_xlfn.XLOOKUP(1,('Case Pack'!$A$4:$A$962=C471)*('Case Pack'!$L$4:$L$962&gt;0)*('Case Pack'!$L$4:$L$962&lt;=A471),'Case Pack'!$D$4:$D$962,"未找到箱规")</f>
        <v>2</v>
      </c>
      <c r="P471" s="124" t="str">
        <f>IF(COUNTIF('PO Check'!A:A,D471)&gt;0,"Yes","No")</f>
        <v>Yes</v>
      </c>
      <c r="Q471" s="124" t="str" cm="1">
        <f t="array" ref="Q471">_xlfn.XLOOKUP(1,('Case Pack'!$A$4:$A$962=C471)*('Case Pack'!$L$4:$L$962&gt;0)*('Case Pack'!$L$4:$L$962&lt;=A471),'Case Pack'!$G$4:$G$962,"未找到箱型")</f>
        <v>F</v>
      </c>
      <c r="R471" s="124">
        <f>ROUND(IFERROR(VLOOKUP(Q471,'Case Type'!A:H,8,0),0)*O471,2)</f>
        <v>0.07</v>
      </c>
    </row>
    <row r="472" customFormat="1" spans="1:18">
      <c r="A472" s="113">
        <v>46184</v>
      </c>
      <c r="B472" s="91" t="str">
        <f>_xlfn.XLOOKUP(C472,'Product List'!B:B,'Product List'!I:I)</f>
        <v>MINI/MOE SILENT CRSTL RUN WHEEL LG 8.5-White</v>
      </c>
      <c r="C472" s="124" t="s">
        <v>29</v>
      </c>
      <c r="D472" s="125">
        <v>31367790</v>
      </c>
      <c r="E472" s="125">
        <v>64</v>
      </c>
      <c r="F472" s="125">
        <v>13.22</v>
      </c>
      <c r="G472" s="125">
        <f t="shared" si="12"/>
        <v>846.08</v>
      </c>
      <c r="H472" s="86" t="s">
        <v>298</v>
      </c>
      <c r="I472" s="86" t="s">
        <v>92</v>
      </c>
      <c r="J472" s="86" t="s">
        <v>317</v>
      </c>
      <c r="K472" s="126">
        <v>46224</v>
      </c>
      <c r="L472" s="251">
        <v>46226</v>
      </c>
      <c r="M472" s="127">
        <f>_xlfn.XLOOKUP(C472,'Product List'!B:B,'Product List'!R:R)</f>
        <v>6.27</v>
      </c>
      <c r="N472" s="124">
        <f t="shared" si="13"/>
        <v>401.28</v>
      </c>
      <c r="O472" s="124" cm="1">
        <f t="array" ref="O472">E472/_xlfn.XLOOKUP(1,('Case Pack'!$A$4:$A$962=C472)*('Case Pack'!$L$4:$L$962&gt;0)*('Case Pack'!$L$4:$L$962&lt;=A472),'Case Pack'!$D$4:$D$962,"未找到箱规")</f>
        <v>8</v>
      </c>
      <c r="P472" s="124" t="str">
        <f>IF(COUNTIF('PO Check'!A:A,D472)&gt;0,"Yes","No")</f>
        <v>Yes</v>
      </c>
      <c r="Q472" s="124" t="str" cm="1">
        <f t="array" ref="Q472">_xlfn.XLOOKUP(1,('Case Pack'!$A$4:$A$962=C472)*('Case Pack'!$L$4:$L$962&gt;0)*('Case Pack'!$L$4:$L$962&lt;=A472),'Case Pack'!$G$4:$G$962,"未找到箱型")</f>
        <v>C</v>
      </c>
      <c r="R472" s="124">
        <f>ROUND(IFERROR(VLOOKUP(Q472,'Case Type'!A:H,8,0),0)*O472,2)</f>
        <v>1.26</v>
      </c>
    </row>
    <row r="473" customFormat="1" spans="1:18">
      <c r="A473" s="113">
        <v>46184</v>
      </c>
      <c r="B473" s="91" t="str">
        <f>_xlfn.XLOOKUP(C473,'Product List'!B:B,'Product List'!I:I)</f>
        <v>MMO-STARFISH CASTLE</v>
      </c>
      <c r="C473" s="124" t="s">
        <v>60</v>
      </c>
      <c r="D473" s="125">
        <v>31367790</v>
      </c>
      <c r="E473" s="125">
        <v>60</v>
      </c>
      <c r="F473" s="125">
        <v>5.32</v>
      </c>
      <c r="G473" s="125">
        <f t="shared" si="12"/>
        <v>319.2</v>
      </c>
      <c r="H473" s="86" t="s">
        <v>298</v>
      </c>
      <c r="I473" s="86" t="s">
        <v>92</v>
      </c>
      <c r="J473" s="86" t="s">
        <v>317</v>
      </c>
      <c r="K473" s="126">
        <v>46224</v>
      </c>
      <c r="L473" s="251">
        <v>46226</v>
      </c>
      <c r="M473" s="127">
        <f>_xlfn.XLOOKUP(C473,'Product List'!B:B,'Product List'!R:R)</f>
        <v>2.81</v>
      </c>
      <c r="N473" s="124">
        <f t="shared" si="13"/>
        <v>168.6</v>
      </c>
      <c r="O473" s="124" cm="1">
        <f t="array" ref="O473">E473/_xlfn.XLOOKUP(1,('Case Pack'!$A$4:$A$962=C473)*('Case Pack'!$L$4:$L$962&gt;0)*('Case Pack'!$L$4:$L$962&lt;=A473),'Case Pack'!$D$4:$D$962,"未找到箱规")</f>
        <v>3</v>
      </c>
      <c r="P473" s="124" t="str">
        <f>IF(COUNTIF('PO Check'!A:A,D473)&gt;0,"Yes","No")</f>
        <v>Yes</v>
      </c>
      <c r="Q473" s="124" t="str" cm="1">
        <f t="array" ref="Q473">_xlfn.XLOOKUP(1,('Case Pack'!$A$4:$A$962=C473)*('Case Pack'!$L$4:$L$962&gt;0)*('Case Pack'!$L$4:$L$962&lt;=A473),'Case Pack'!$G$4:$G$962,"未找到箱型")</f>
        <v>C</v>
      </c>
      <c r="R473" s="124">
        <f>ROUND(IFERROR(VLOOKUP(Q473,'Case Type'!A:H,8,0),0)*O473,2)</f>
        <v>0.47</v>
      </c>
    </row>
    <row r="474" customFormat="1" spans="1:18">
      <c r="A474" s="113">
        <v>46184</v>
      </c>
      <c r="B474" s="91" t="str">
        <f>_xlfn.XLOOKUP(C474,'Product List'!B:B,'Product List'!I:I)</f>
        <v>MMO-WAVE BRIDGE</v>
      </c>
      <c r="C474" s="124" t="s">
        <v>61</v>
      </c>
      <c r="D474" s="125">
        <v>31367790</v>
      </c>
      <c r="E474" s="125">
        <v>66</v>
      </c>
      <c r="F474" s="125">
        <v>4.84</v>
      </c>
      <c r="G474" s="125">
        <f t="shared" si="12"/>
        <v>319.44</v>
      </c>
      <c r="H474" s="86" t="s">
        <v>298</v>
      </c>
      <c r="I474" s="86" t="s">
        <v>92</v>
      </c>
      <c r="J474" s="86" t="s">
        <v>317</v>
      </c>
      <c r="K474" s="126">
        <v>46224</v>
      </c>
      <c r="L474" s="251">
        <v>46226</v>
      </c>
      <c r="M474" s="127">
        <f>_xlfn.XLOOKUP(C474,'Product List'!B:B,'Product List'!R:R)</f>
        <v>2.79</v>
      </c>
      <c r="N474" s="124">
        <f t="shared" si="13"/>
        <v>184.14</v>
      </c>
      <c r="O474" s="124" cm="1">
        <f t="array" ref="O474">E474/_xlfn.XLOOKUP(1,('Case Pack'!$A$4:$A$962=C474)*('Case Pack'!$L$4:$L$962&gt;0)*('Case Pack'!$L$4:$L$962&lt;=A474),'Case Pack'!$D$4:$D$962,"未找到箱规")</f>
        <v>2</v>
      </c>
      <c r="P474" s="124" t="str">
        <f>IF(COUNTIF('PO Check'!A:A,D474)&gt;0,"Yes","No")</f>
        <v>Yes</v>
      </c>
      <c r="Q474" s="124" t="str" cm="1">
        <f t="array" ref="Q474">_xlfn.XLOOKUP(1,('Case Pack'!$A$4:$A$962=C474)*('Case Pack'!$L$4:$L$962&gt;0)*('Case Pack'!$L$4:$L$962&lt;=A474),'Case Pack'!$G$4:$G$962,"未找到箱型")</f>
        <v>C</v>
      </c>
      <c r="R474" s="124">
        <f>ROUND(IFERROR(VLOOKUP(Q474,'Case Type'!A:H,8,0),0)*O474,2)</f>
        <v>0.31</v>
      </c>
    </row>
    <row r="475" customFormat="1" spans="1:18">
      <c r="A475" s="113">
        <v>46184</v>
      </c>
      <c r="B475" s="91" t="str">
        <f>_xlfn.XLOOKUP(C475,'Product List'!B:B,'Product List'!I:I)</f>
        <v>MMO-PAPER PEBBLES</v>
      </c>
      <c r="C475" s="124" t="s">
        <v>81</v>
      </c>
      <c r="D475" s="125">
        <v>31367790</v>
      </c>
      <c r="E475" s="125">
        <v>132</v>
      </c>
      <c r="F475" s="125">
        <v>5.81</v>
      </c>
      <c r="G475" s="125">
        <f t="shared" si="12"/>
        <v>766.92</v>
      </c>
      <c r="H475" s="86" t="s">
        <v>298</v>
      </c>
      <c r="I475" s="86" t="s">
        <v>92</v>
      </c>
      <c r="J475" s="86" t="s">
        <v>317</v>
      </c>
      <c r="K475" s="126">
        <v>46224</v>
      </c>
      <c r="L475" s="251">
        <v>46226</v>
      </c>
      <c r="M475" s="127">
        <f>_xlfn.XLOOKUP(C475,'Product List'!B:B,'Product List'!R:R)</f>
        <v>2.84</v>
      </c>
      <c r="N475" s="124">
        <f t="shared" si="13"/>
        <v>374.88</v>
      </c>
      <c r="O475" s="124" cm="1">
        <f t="array" ref="O475">E475/_xlfn.XLOOKUP(1,('Case Pack'!$A$4:$A$962=C475)*('Case Pack'!$L$4:$L$962&gt;0)*('Case Pack'!$L$4:$L$962&lt;=A475),'Case Pack'!$D$4:$D$962,"未找到箱规")</f>
        <v>11</v>
      </c>
      <c r="P475" s="124" t="str">
        <f>IF(COUNTIF('PO Check'!A:A,D475)&gt;0,"Yes","No")</f>
        <v>Yes</v>
      </c>
      <c r="Q475" s="124" t="str" cm="1">
        <f t="array" ref="Q475">_xlfn.XLOOKUP(1,('Case Pack'!$A$4:$A$962=C475)*('Case Pack'!$L$4:$L$962&gt;0)*('Case Pack'!$L$4:$L$962&lt;=A475),'Case Pack'!$G$4:$G$962,"未找到箱型")</f>
        <v>B</v>
      </c>
      <c r="R475" s="124">
        <f>ROUND(IFERROR(VLOOKUP(Q475,'Case Type'!A:H,8,0),0)*O475,2)</f>
        <v>0.81</v>
      </c>
    </row>
    <row r="476" customFormat="1" spans="1:18">
      <c r="A476" s="113">
        <v>46184</v>
      </c>
      <c r="B476" s="91" t="str">
        <f>_xlfn.XLOOKUP(C476,'Product List'!B:B,'Product List'!I:I)</f>
        <v>MMO-PAPER TWIST BLU/WHT</v>
      </c>
      <c r="C476" s="124" t="s">
        <v>68</v>
      </c>
      <c r="D476" s="125">
        <v>31367790</v>
      </c>
      <c r="E476" s="125">
        <v>120</v>
      </c>
      <c r="F476" s="125">
        <v>3.89</v>
      </c>
      <c r="G476" s="125">
        <f t="shared" si="12"/>
        <v>466.8</v>
      </c>
      <c r="H476" s="86" t="s">
        <v>298</v>
      </c>
      <c r="I476" s="86" t="s">
        <v>92</v>
      </c>
      <c r="J476" s="86" t="s">
        <v>317</v>
      </c>
      <c r="K476" s="126">
        <v>46224</v>
      </c>
      <c r="L476" s="251">
        <v>46226</v>
      </c>
      <c r="M476" s="127">
        <f>_xlfn.XLOOKUP(C476,'Product List'!B:B,'Product List'!R:R)</f>
        <v>1.98</v>
      </c>
      <c r="N476" s="124">
        <f t="shared" si="13"/>
        <v>237.6</v>
      </c>
      <c r="O476" s="124" cm="1">
        <f t="array" ref="O476">E476/_xlfn.XLOOKUP(1,('Case Pack'!$A$4:$A$962=C476)*('Case Pack'!$L$4:$L$962&gt;0)*('Case Pack'!$L$4:$L$962&lt;=A476),'Case Pack'!$D$4:$D$962,"未找到箱规")</f>
        <v>4</v>
      </c>
      <c r="P476" s="124" t="str">
        <f>IF(COUNTIF('PO Check'!A:A,D476)&gt;0,"Yes","No")</f>
        <v>Yes</v>
      </c>
      <c r="Q476" s="124" t="str" cm="1">
        <f t="array" ref="Q476">_xlfn.XLOOKUP(1,('Case Pack'!$A$4:$A$962=C476)*('Case Pack'!$L$4:$L$962&gt;0)*('Case Pack'!$L$4:$L$962&lt;=A476),'Case Pack'!$G$4:$G$962,"未找到箱型")</f>
        <v>A</v>
      </c>
      <c r="R476" s="124">
        <f>ROUND(IFERROR(VLOOKUP(Q476,'Case Type'!A:H,8,0),0)*O476,2)</f>
        <v>0.44</v>
      </c>
    </row>
    <row r="477" customFormat="1" spans="1:18">
      <c r="A477" s="113">
        <v>46184</v>
      </c>
      <c r="B477" s="91" t="str">
        <f>_xlfn.XLOOKUP(C477,'Product List'!B:B,'Product List'!I:I)</f>
        <v>MMO-COTTON NESTING BALLS</v>
      </c>
      <c r="C477" s="124" t="s">
        <v>84</v>
      </c>
      <c r="D477" s="125">
        <v>31367790</v>
      </c>
      <c r="E477" s="125">
        <v>128</v>
      </c>
      <c r="F477" s="125">
        <v>3.37</v>
      </c>
      <c r="G477" s="125">
        <f t="shared" si="12"/>
        <v>431.36</v>
      </c>
      <c r="H477" s="86" t="s">
        <v>298</v>
      </c>
      <c r="I477" s="86" t="s">
        <v>92</v>
      </c>
      <c r="J477" s="86" t="s">
        <v>317</v>
      </c>
      <c r="K477" s="126">
        <v>46224</v>
      </c>
      <c r="L477" s="251">
        <v>46226</v>
      </c>
      <c r="M477" s="127">
        <f>_xlfn.XLOOKUP(C477,'Product List'!B:B,'Product List'!R:R)</f>
        <v>1.64</v>
      </c>
      <c r="N477" s="124">
        <f t="shared" si="13"/>
        <v>209.92</v>
      </c>
      <c r="O477" s="124" cm="1">
        <f t="array" ref="O477">E477/_xlfn.XLOOKUP(1,('Case Pack'!$A$4:$A$962=C477)*('Case Pack'!$L$4:$L$962&gt;0)*('Case Pack'!$L$4:$L$962&lt;=A477),'Case Pack'!$D$4:$D$962,"未找到箱规")</f>
        <v>4</v>
      </c>
      <c r="P477" s="124" t="str">
        <f>IF(COUNTIF('PO Check'!A:A,D477)&gt;0,"Yes","No")</f>
        <v>Yes</v>
      </c>
      <c r="Q477" s="124" t="str" cm="1">
        <f t="array" ref="Q477">_xlfn.XLOOKUP(1,('Case Pack'!$A$4:$A$962=C477)*('Case Pack'!$L$4:$L$962&gt;0)*('Case Pack'!$L$4:$L$962&lt;=A477),'Case Pack'!$G$4:$G$962,"未找到箱型")</f>
        <v>A</v>
      </c>
      <c r="R477" s="124">
        <f>ROUND(IFERROR(VLOOKUP(Q477,'Case Type'!A:H,8,0),0)*O477,2)</f>
        <v>0.44</v>
      </c>
    </row>
    <row r="478" customFormat="1" spans="1:18">
      <c r="A478" s="113">
        <v>46184</v>
      </c>
      <c r="B478" s="91" t="str">
        <f>_xlfn.XLOOKUP(C478,'Product List'!B:B,'Product List'!I:I)</f>
        <v>MINI/MOE TV VIEWING CAGE</v>
      </c>
      <c r="C478" s="124" t="s">
        <v>50</v>
      </c>
      <c r="D478" s="125">
        <v>31367790</v>
      </c>
      <c r="E478" s="125">
        <v>27</v>
      </c>
      <c r="F478" s="125">
        <v>48.49</v>
      </c>
      <c r="G478" s="125">
        <f t="shared" si="12"/>
        <v>1309.23</v>
      </c>
      <c r="H478" s="86" t="s">
        <v>298</v>
      </c>
      <c r="I478" s="86" t="s">
        <v>92</v>
      </c>
      <c r="J478" s="86" t="s">
        <v>317</v>
      </c>
      <c r="K478" s="126">
        <v>46224</v>
      </c>
      <c r="L478" s="251">
        <v>46226</v>
      </c>
      <c r="M478" s="127">
        <f>_xlfn.XLOOKUP(C478,'Product List'!B:B,'Product List'!R:R)</f>
        <v>24.09</v>
      </c>
      <c r="N478" s="124">
        <f t="shared" si="13"/>
        <v>650.43</v>
      </c>
      <c r="O478" s="124" cm="1">
        <f t="array" ref="O478">E478/_xlfn.XLOOKUP(1,('Case Pack'!$A$4:$A$962=C478)*('Case Pack'!$L$4:$L$962&gt;0)*('Case Pack'!$L$4:$L$962&lt;=A478),'Case Pack'!$D$4:$D$962,"未找到箱规")</f>
        <v>27</v>
      </c>
      <c r="P478" s="124" t="str">
        <f>IF(COUNTIF('PO Check'!A:A,D478)&gt;0,"Yes","No")</f>
        <v>Yes</v>
      </c>
      <c r="Q478" s="124" t="str" cm="1">
        <f t="array" ref="Q478">_xlfn.XLOOKUP(1,('Case Pack'!$A$4:$A$962=C478)*('Case Pack'!$L$4:$L$962&gt;0)*('Case Pack'!$L$4:$L$962&lt;=A478),'Case Pack'!$G$4:$G$962,"未找到箱型")</f>
        <v>S1</v>
      </c>
      <c r="R478" s="124">
        <f>ROUND(IFERROR(VLOOKUP(Q478,'Case Type'!A:H,8,0),0)*O478,2)</f>
        <v>2</v>
      </c>
    </row>
    <row r="479" customFormat="1" spans="1:18">
      <c r="A479" s="113">
        <v>46184</v>
      </c>
      <c r="B479" s="91" t="str">
        <f>_xlfn.XLOOKUP(C479,'Product List'!B:B,'Product List'!I:I)</f>
        <v>MMO-BUBBLE WATER BOTTLE</v>
      </c>
      <c r="C479" s="124" t="s">
        <v>67</v>
      </c>
      <c r="D479" s="125">
        <v>31367790</v>
      </c>
      <c r="E479" s="125">
        <v>42</v>
      </c>
      <c r="F479" s="125">
        <v>4.35</v>
      </c>
      <c r="G479" s="125">
        <f t="shared" si="12"/>
        <v>182.7</v>
      </c>
      <c r="H479" s="86" t="s">
        <v>298</v>
      </c>
      <c r="I479" s="86" t="s">
        <v>92</v>
      </c>
      <c r="J479" s="86" t="s">
        <v>317</v>
      </c>
      <c r="K479" s="126">
        <v>46224</v>
      </c>
      <c r="L479" s="251">
        <v>46226</v>
      </c>
      <c r="M479" s="127">
        <f>_xlfn.XLOOKUP(C479,'Product List'!B:B,'Product List'!R:R)</f>
        <v>3.1</v>
      </c>
      <c r="N479" s="124">
        <f t="shared" si="13"/>
        <v>130.2</v>
      </c>
      <c r="O479" s="124" cm="1">
        <f t="array" ref="O479">E479/_xlfn.XLOOKUP(1,('Case Pack'!$A$4:$A$962=C479)*('Case Pack'!$L$4:$L$962&gt;0)*('Case Pack'!$L$4:$L$962&lt;=A479),'Case Pack'!$D$4:$D$962,"未找到箱规")</f>
        <v>1</v>
      </c>
      <c r="P479" s="124" t="str">
        <f>IF(COUNTIF('PO Check'!A:A,D479)&gt;0,"Yes","No")</f>
        <v>Yes</v>
      </c>
      <c r="Q479" s="124" t="str" cm="1">
        <f t="array" ref="Q479">_xlfn.XLOOKUP(1,('Case Pack'!$A$4:$A$962=C479)*('Case Pack'!$L$4:$L$962&gt;0)*('Case Pack'!$L$4:$L$962&lt;=A479),'Case Pack'!$G$4:$G$962,"未找到箱型")</f>
        <v>C</v>
      </c>
      <c r="R479" s="124">
        <f>ROUND(IFERROR(VLOOKUP(Q479,'Case Type'!A:H,8,0),0)*O479,2)</f>
        <v>0.16</v>
      </c>
    </row>
    <row r="480" customFormat="1" spans="1:18">
      <c r="A480" s="113">
        <v>46184</v>
      </c>
      <c r="B480" s="91" t="str">
        <f>_xlfn.XLOOKUP(C480,'Product List'!B:B,'Product List'!I:I)</f>
        <v>MMO-GREEN APPLE CHEW</v>
      </c>
      <c r="C480" s="124" t="s">
        <v>33</v>
      </c>
      <c r="D480" s="125">
        <v>31367790</v>
      </c>
      <c r="E480" s="125">
        <v>96</v>
      </c>
      <c r="F480" s="125">
        <v>1.53</v>
      </c>
      <c r="G480" s="125">
        <f t="shared" si="12"/>
        <v>146.88</v>
      </c>
      <c r="H480" s="86" t="s">
        <v>298</v>
      </c>
      <c r="I480" s="86" t="s">
        <v>92</v>
      </c>
      <c r="J480" s="86" t="s">
        <v>317</v>
      </c>
      <c r="K480" s="126">
        <v>46224</v>
      </c>
      <c r="L480" s="251">
        <v>46226</v>
      </c>
      <c r="M480" s="127">
        <f>_xlfn.XLOOKUP(C480,'Product List'!B:B,'Product List'!R:R)</f>
        <v>1.04</v>
      </c>
      <c r="N480" s="124">
        <f t="shared" si="13"/>
        <v>99.84</v>
      </c>
      <c r="O480" s="124" cm="1">
        <f t="array" ref="O480">E480/_xlfn.XLOOKUP(1,('Case Pack'!$A$4:$A$962=C480)*('Case Pack'!$L$4:$L$962&gt;0)*('Case Pack'!$L$4:$L$962&lt;=A480),'Case Pack'!$D$4:$D$962,"未找到箱规")</f>
        <v>2</v>
      </c>
      <c r="P480" s="124" t="str">
        <f>IF(COUNTIF('PO Check'!A:A,D480)&gt;0,"Yes","No")</f>
        <v>Yes</v>
      </c>
      <c r="Q480" s="124" t="str" cm="1">
        <f t="array" ref="Q480">_xlfn.XLOOKUP(1,('Case Pack'!$A$4:$A$962=C480)*('Case Pack'!$L$4:$L$962&gt;0)*('Case Pack'!$L$4:$L$962&lt;=A480),'Case Pack'!$G$4:$G$962,"未找到箱型")</f>
        <v>B</v>
      </c>
      <c r="R480" s="124">
        <f>ROUND(IFERROR(VLOOKUP(Q480,'Case Type'!A:H,8,0),0)*O480,2)</f>
        <v>0.15</v>
      </c>
    </row>
    <row r="481" customFormat="1" spans="1:18">
      <c r="A481" s="113">
        <v>46184</v>
      </c>
      <c r="B481" s="91" t="str">
        <f>_xlfn.XLOOKUP(C481,'Product List'!B:B,'Product List'!I:I)</f>
        <v>MMO-CAMP LUNCH BOX CHEW</v>
      </c>
      <c r="C481" s="124" t="s">
        <v>34</v>
      </c>
      <c r="D481" s="125">
        <v>31367790</v>
      </c>
      <c r="E481" s="125">
        <v>144</v>
      </c>
      <c r="F481" s="125">
        <v>2.48</v>
      </c>
      <c r="G481" s="125">
        <f t="shared" si="12"/>
        <v>357.12</v>
      </c>
      <c r="H481" s="86" t="s">
        <v>298</v>
      </c>
      <c r="I481" s="86" t="s">
        <v>92</v>
      </c>
      <c r="J481" s="86" t="s">
        <v>317</v>
      </c>
      <c r="K481" s="126">
        <v>46224</v>
      </c>
      <c r="L481" s="251">
        <v>46226</v>
      </c>
      <c r="M481" s="127">
        <f>_xlfn.XLOOKUP(C481,'Product List'!B:B,'Product List'!R:R)</f>
        <v>1.59</v>
      </c>
      <c r="N481" s="124">
        <f t="shared" si="13"/>
        <v>228.96</v>
      </c>
      <c r="O481" s="124" cm="1">
        <f t="array" ref="O481">E481/_xlfn.XLOOKUP(1,('Case Pack'!$A$4:$A$962=C481)*('Case Pack'!$L$4:$L$962&gt;0)*('Case Pack'!$L$4:$L$962&lt;=A481),'Case Pack'!$D$4:$D$962,"未找到箱规")</f>
        <v>2</v>
      </c>
      <c r="P481" s="124" t="str">
        <f>IF(COUNTIF('PO Check'!A:A,D481)&gt;0,"Yes","No")</f>
        <v>Yes</v>
      </c>
      <c r="Q481" s="124" t="str" cm="1">
        <f t="array" ref="Q481">_xlfn.XLOOKUP(1,('Case Pack'!$A$4:$A$962=C481)*('Case Pack'!$L$4:$L$962&gt;0)*('Case Pack'!$L$4:$L$962&lt;=A481),'Case Pack'!$G$4:$G$962,"未找到箱型")</f>
        <v>B</v>
      </c>
      <c r="R481" s="124">
        <f>ROUND(IFERROR(VLOOKUP(Q481,'Case Type'!A:H,8,0),0)*O481,2)</f>
        <v>0.15</v>
      </c>
    </row>
    <row r="482" customFormat="1" spans="1:18">
      <c r="A482" s="113">
        <v>46184</v>
      </c>
      <c r="B482" s="91" t="str">
        <f>_xlfn.XLOOKUP(C482,'Product List'!B:B,'Product List'!I:I)</f>
        <v>MINI/MOE RUFFLE BOWL</v>
      </c>
      <c r="C482" s="124" t="s">
        <v>78</v>
      </c>
      <c r="D482" s="125">
        <v>31367790</v>
      </c>
      <c r="E482" s="125">
        <v>96</v>
      </c>
      <c r="F482" s="125">
        <v>2.35</v>
      </c>
      <c r="G482" s="125">
        <f t="shared" ref="G482:G545" si="14">E482*F482</f>
        <v>225.6</v>
      </c>
      <c r="H482" s="86" t="s">
        <v>298</v>
      </c>
      <c r="I482" s="86" t="s">
        <v>92</v>
      </c>
      <c r="J482" s="86" t="s">
        <v>317</v>
      </c>
      <c r="K482" s="126">
        <v>46224</v>
      </c>
      <c r="L482" s="251">
        <v>46226</v>
      </c>
      <c r="M482" s="127">
        <f>_xlfn.XLOOKUP(C482,'Product List'!B:B,'Product List'!R:R)</f>
        <v>1.34</v>
      </c>
      <c r="N482" s="124">
        <f t="shared" ref="N482:N545" si="15">M482*E482</f>
        <v>128.64</v>
      </c>
      <c r="O482" s="124" cm="1">
        <f t="array" ref="O482">E482/_xlfn.XLOOKUP(1,('Case Pack'!$A$4:$A$962=C482)*('Case Pack'!$L$4:$L$962&gt;0)*('Case Pack'!$L$4:$L$962&lt;=A482),'Case Pack'!$D$4:$D$962,"未找到箱规")</f>
        <v>2</v>
      </c>
      <c r="P482" s="124" t="str">
        <f>IF(COUNTIF('PO Check'!A:A,D482)&gt;0,"Yes","No")</f>
        <v>Yes</v>
      </c>
      <c r="Q482" s="124" t="str" cm="1">
        <f t="array" ref="Q482">_xlfn.XLOOKUP(1,('Case Pack'!$A$4:$A$962=C482)*('Case Pack'!$L$4:$L$962&gt;0)*('Case Pack'!$L$4:$L$962&lt;=A482),'Case Pack'!$G$4:$G$962,"未找到箱型")</f>
        <v>B</v>
      </c>
      <c r="R482" s="124">
        <f>ROUND(IFERROR(VLOOKUP(Q482,'Case Type'!A:H,8,0),0)*O482,2)</f>
        <v>0.15</v>
      </c>
    </row>
    <row r="483" customFormat="1" spans="1:18">
      <c r="A483" s="113">
        <v>46184</v>
      </c>
      <c r="B483" s="91" t="str">
        <f>_xlfn.XLOOKUP(C483,'Product List'!B:B,'Product List'!I:I)</f>
        <v>MMO-CLOUD WATER BOTTLE</v>
      </c>
      <c r="C483" s="124" t="s">
        <v>77</v>
      </c>
      <c r="D483" s="125">
        <v>31367790</v>
      </c>
      <c r="E483" s="125">
        <v>50</v>
      </c>
      <c r="F483" s="125">
        <v>1.32</v>
      </c>
      <c r="G483" s="125">
        <f t="shared" si="14"/>
        <v>66</v>
      </c>
      <c r="H483" s="86" t="s">
        <v>298</v>
      </c>
      <c r="I483" s="86" t="s">
        <v>92</v>
      </c>
      <c r="J483" s="86" t="s">
        <v>317</v>
      </c>
      <c r="K483" s="126">
        <v>46224</v>
      </c>
      <c r="L483" s="251">
        <v>46226</v>
      </c>
      <c r="M483" s="127">
        <f>_xlfn.XLOOKUP(C483,'Product List'!B:B,'Product List'!R:R)</f>
        <v>0.62</v>
      </c>
      <c r="N483" s="124">
        <f t="shared" si="15"/>
        <v>31</v>
      </c>
      <c r="O483" s="124" cm="1">
        <f t="array" ref="O483">E483/_xlfn.XLOOKUP(1,('Case Pack'!$A$4:$A$962=C483)*('Case Pack'!$L$4:$L$962&gt;0)*('Case Pack'!$L$4:$L$962&lt;=A483),'Case Pack'!$D$4:$D$962,"未找到箱规")</f>
        <v>1</v>
      </c>
      <c r="P483" s="124" t="str">
        <f>IF(COUNTIF('PO Check'!A:A,D483)&gt;0,"Yes","No")</f>
        <v>Yes</v>
      </c>
      <c r="Q483" s="124" t="str" cm="1">
        <f t="array" ref="Q483">_xlfn.XLOOKUP(1,('Case Pack'!$A$4:$A$962=C483)*('Case Pack'!$L$4:$L$962&gt;0)*('Case Pack'!$L$4:$L$962&lt;=A483),'Case Pack'!$G$4:$G$962,"未找到箱型")</f>
        <v>A</v>
      </c>
      <c r="R483" s="124">
        <f>ROUND(IFERROR(VLOOKUP(Q483,'Case Type'!A:H,8,0),0)*O483,2)</f>
        <v>0.11</v>
      </c>
    </row>
    <row r="484" customFormat="1" spans="1:18">
      <c r="A484" s="113">
        <v>46184</v>
      </c>
      <c r="B484" s="91" t="str">
        <f>_xlfn.XLOOKUP(C484,'Product List'!B:B,'Product List'!I:I)</f>
        <v>MINI/MOE BENDABLE BIRCHWOOD FENCE</v>
      </c>
      <c r="C484" s="124" t="s">
        <v>62</v>
      </c>
      <c r="D484" s="125">
        <v>31367791</v>
      </c>
      <c r="E484" s="125">
        <v>32</v>
      </c>
      <c r="F484" s="125">
        <v>5.01</v>
      </c>
      <c r="G484" s="125">
        <f t="shared" si="14"/>
        <v>160.32</v>
      </c>
      <c r="H484" s="86" t="s">
        <v>298</v>
      </c>
      <c r="I484" s="86" t="s">
        <v>92</v>
      </c>
      <c r="J484" s="86" t="s">
        <v>319</v>
      </c>
      <c r="K484" s="126">
        <v>46218</v>
      </c>
      <c r="L484" s="251">
        <v>46211</v>
      </c>
      <c r="M484" s="127">
        <f>_xlfn.XLOOKUP(C484,'Product List'!B:B,'Product List'!R:R)</f>
        <v>3.4</v>
      </c>
      <c r="N484" s="124">
        <f t="shared" si="15"/>
        <v>108.8</v>
      </c>
      <c r="O484" s="124" cm="1">
        <f t="array" ref="O484">E484/_xlfn.XLOOKUP(1,('Case Pack'!$A$4:$A$962=C484)*('Case Pack'!$L$4:$L$962&gt;0)*('Case Pack'!$L$4:$L$962&lt;=A484),'Case Pack'!$D$4:$D$962,"未找到箱规")</f>
        <v>1</v>
      </c>
      <c r="P484" s="124" t="str">
        <f>IF(COUNTIF('PO Check'!A:A,D484)&gt;0,"Yes","No")</f>
        <v>Yes</v>
      </c>
      <c r="Q484" s="124" t="str" cm="1">
        <f t="array" ref="Q484">_xlfn.XLOOKUP(1,('Case Pack'!$A$4:$A$962=C484)*('Case Pack'!$L$4:$L$962&gt;0)*('Case Pack'!$L$4:$L$962&lt;=A484),'Case Pack'!$G$4:$G$962,"未找到箱型")</f>
        <v>F</v>
      </c>
      <c r="R484" s="124">
        <f>ROUND(IFERROR(VLOOKUP(Q484,'Case Type'!A:H,8,0),0)*O484,2)</f>
        <v>0.04</v>
      </c>
    </row>
    <row r="485" customFormat="1" spans="1:18">
      <c r="A485" s="113">
        <v>46184</v>
      </c>
      <c r="B485" s="91" t="str">
        <f>_xlfn.XLOOKUP(C485,'Product List'!B:B,'Product List'!I:I)</f>
        <v>MINI/MOE SILENT CRSTL RUN WHEEL LG 8.5-White</v>
      </c>
      <c r="C485" s="124" t="s">
        <v>29</v>
      </c>
      <c r="D485" s="125">
        <v>31367791</v>
      </c>
      <c r="E485" s="125">
        <v>56</v>
      </c>
      <c r="F485" s="125">
        <v>13.22</v>
      </c>
      <c r="G485" s="125">
        <f t="shared" si="14"/>
        <v>740.32</v>
      </c>
      <c r="H485" s="86" t="s">
        <v>298</v>
      </c>
      <c r="I485" s="86" t="s">
        <v>92</v>
      </c>
      <c r="J485" s="86" t="s">
        <v>319</v>
      </c>
      <c r="K485" s="126">
        <v>46218</v>
      </c>
      <c r="L485" s="251">
        <v>46211</v>
      </c>
      <c r="M485" s="127">
        <f>_xlfn.XLOOKUP(C485,'Product List'!B:B,'Product List'!R:R)</f>
        <v>6.27</v>
      </c>
      <c r="N485" s="124">
        <f t="shared" si="15"/>
        <v>351.12</v>
      </c>
      <c r="O485" s="124" cm="1">
        <f t="array" ref="O485">E485/_xlfn.XLOOKUP(1,('Case Pack'!$A$4:$A$962=C485)*('Case Pack'!$L$4:$L$962&gt;0)*('Case Pack'!$L$4:$L$962&lt;=A485),'Case Pack'!$D$4:$D$962,"未找到箱规")</f>
        <v>7</v>
      </c>
      <c r="P485" s="124" t="str">
        <f>IF(COUNTIF('PO Check'!A:A,D485)&gt;0,"Yes","No")</f>
        <v>Yes</v>
      </c>
      <c r="Q485" s="124" t="str" cm="1">
        <f t="array" ref="Q485">_xlfn.XLOOKUP(1,('Case Pack'!$A$4:$A$962=C485)*('Case Pack'!$L$4:$L$962&gt;0)*('Case Pack'!$L$4:$L$962&lt;=A485),'Case Pack'!$G$4:$G$962,"未找到箱型")</f>
        <v>C</v>
      </c>
      <c r="R485" s="124">
        <f>ROUND(IFERROR(VLOOKUP(Q485,'Case Type'!A:H,8,0),0)*O485,2)</f>
        <v>1.1</v>
      </c>
    </row>
    <row r="486" customFormat="1" spans="1:18">
      <c r="A486" s="113">
        <v>46184</v>
      </c>
      <c r="B486" s="91" t="str">
        <f>_xlfn.XLOOKUP(C486,'Product List'!B:B,'Product List'!I:I)</f>
        <v>MMO-STARFISH CASTLE</v>
      </c>
      <c r="C486" s="124" t="s">
        <v>60</v>
      </c>
      <c r="D486" s="125">
        <v>31367791</v>
      </c>
      <c r="E486" s="125">
        <v>40</v>
      </c>
      <c r="F486" s="125">
        <v>5.32</v>
      </c>
      <c r="G486" s="125">
        <f t="shared" si="14"/>
        <v>212.8</v>
      </c>
      <c r="H486" s="86" t="s">
        <v>298</v>
      </c>
      <c r="I486" s="86" t="s">
        <v>92</v>
      </c>
      <c r="J486" s="86" t="s">
        <v>319</v>
      </c>
      <c r="K486" s="126">
        <v>46218</v>
      </c>
      <c r="L486" s="251">
        <v>46211</v>
      </c>
      <c r="M486" s="127">
        <f>_xlfn.XLOOKUP(C486,'Product List'!B:B,'Product List'!R:R)</f>
        <v>2.81</v>
      </c>
      <c r="N486" s="124">
        <f t="shared" si="15"/>
        <v>112.4</v>
      </c>
      <c r="O486" s="124" cm="1">
        <f t="array" ref="O486">E486/_xlfn.XLOOKUP(1,('Case Pack'!$A$4:$A$962=C486)*('Case Pack'!$L$4:$L$962&gt;0)*('Case Pack'!$L$4:$L$962&lt;=A486),'Case Pack'!$D$4:$D$962,"未找到箱规")</f>
        <v>2</v>
      </c>
      <c r="P486" s="124" t="str">
        <f>IF(COUNTIF('PO Check'!A:A,D486)&gt;0,"Yes","No")</f>
        <v>Yes</v>
      </c>
      <c r="Q486" s="124" t="str" cm="1">
        <f t="array" ref="Q486">_xlfn.XLOOKUP(1,('Case Pack'!$A$4:$A$962=C486)*('Case Pack'!$L$4:$L$962&gt;0)*('Case Pack'!$L$4:$L$962&lt;=A486),'Case Pack'!$G$4:$G$962,"未找到箱型")</f>
        <v>C</v>
      </c>
      <c r="R486" s="124">
        <f>ROUND(IFERROR(VLOOKUP(Q486,'Case Type'!A:H,8,0),0)*O486,2)</f>
        <v>0.31</v>
      </c>
    </row>
    <row r="487" customFormat="1" spans="1:18">
      <c r="A487" s="113">
        <v>46184</v>
      </c>
      <c r="B487" s="91" t="str">
        <f>_xlfn.XLOOKUP(C487,'Product List'!B:B,'Product List'!I:I)</f>
        <v>MMO-PAPER PEBBLES</v>
      </c>
      <c r="C487" s="124" t="s">
        <v>81</v>
      </c>
      <c r="D487" s="125">
        <v>31367791</v>
      </c>
      <c r="E487" s="125">
        <v>84</v>
      </c>
      <c r="F487" s="125">
        <v>5.81</v>
      </c>
      <c r="G487" s="125">
        <f t="shared" si="14"/>
        <v>488.04</v>
      </c>
      <c r="H487" s="86" t="s">
        <v>298</v>
      </c>
      <c r="I487" s="86" t="s">
        <v>92</v>
      </c>
      <c r="J487" s="86" t="s">
        <v>319</v>
      </c>
      <c r="K487" s="126">
        <v>46218</v>
      </c>
      <c r="L487" s="251">
        <v>46211</v>
      </c>
      <c r="M487" s="127">
        <f>_xlfn.XLOOKUP(C487,'Product List'!B:B,'Product List'!R:R)</f>
        <v>2.84</v>
      </c>
      <c r="N487" s="124">
        <f t="shared" si="15"/>
        <v>238.56</v>
      </c>
      <c r="O487" s="124" cm="1">
        <f t="array" ref="O487">E487/_xlfn.XLOOKUP(1,('Case Pack'!$A$4:$A$962=C487)*('Case Pack'!$L$4:$L$962&gt;0)*('Case Pack'!$L$4:$L$962&lt;=A487),'Case Pack'!$D$4:$D$962,"未找到箱规")</f>
        <v>7</v>
      </c>
      <c r="P487" s="124" t="str">
        <f>IF(COUNTIF('PO Check'!A:A,D487)&gt;0,"Yes","No")</f>
        <v>Yes</v>
      </c>
      <c r="Q487" s="124" t="str" cm="1">
        <f t="array" ref="Q487">_xlfn.XLOOKUP(1,('Case Pack'!$A$4:$A$962=C487)*('Case Pack'!$L$4:$L$962&gt;0)*('Case Pack'!$L$4:$L$962&lt;=A487),'Case Pack'!$G$4:$G$962,"未找到箱型")</f>
        <v>B</v>
      </c>
      <c r="R487" s="124">
        <f>ROUND(IFERROR(VLOOKUP(Q487,'Case Type'!A:H,8,0),0)*O487,2)</f>
        <v>0.51</v>
      </c>
    </row>
    <row r="488" customFormat="1" spans="1:18">
      <c r="A488" s="113">
        <v>46184</v>
      </c>
      <c r="B488" s="91" t="str">
        <f>_xlfn.XLOOKUP(C488,'Product List'!B:B,'Product List'!I:I)</f>
        <v>MMO-PAPER TWIST BLU/WHT</v>
      </c>
      <c r="C488" s="124" t="s">
        <v>68</v>
      </c>
      <c r="D488" s="125">
        <v>31367791</v>
      </c>
      <c r="E488" s="125">
        <v>60</v>
      </c>
      <c r="F488" s="125">
        <v>3.89</v>
      </c>
      <c r="G488" s="125">
        <f t="shared" si="14"/>
        <v>233.4</v>
      </c>
      <c r="H488" s="86" t="s">
        <v>298</v>
      </c>
      <c r="I488" s="86" t="s">
        <v>92</v>
      </c>
      <c r="J488" s="86" t="s">
        <v>319</v>
      </c>
      <c r="K488" s="126">
        <v>46218</v>
      </c>
      <c r="L488" s="251">
        <v>46211</v>
      </c>
      <c r="M488" s="127">
        <f>_xlfn.XLOOKUP(C488,'Product List'!B:B,'Product List'!R:R)</f>
        <v>1.98</v>
      </c>
      <c r="N488" s="124">
        <f t="shared" si="15"/>
        <v>118.8</v>
      </c>
      <c r="O488" s="124" cm="1">
        <f t="array" ref="O488">E488/_xlfn.XLOOKUP(1,('Case Pack'!$A$4:$A$962=C488)*('Case Pack'!$L$4:$L$962&gt;0)*('Case Pack'!$L$4:$L$962&lt;=A488),'Case Pack'!$D$4:$D$962,"未找到箱规")</f>
        <v>2</v>
      </c>
      <c r="P488" s="124" t="str">
        <f>IF(COUNTIF('PO Check'!A:A,D488)&gt;0,"Yes","No")</f>
        <v>Yes</v>
      </c>
      <c r="Q488" s="124" t="str" cm="1">
        <f t="array" ref="Q488">_xlfn.XLOOKUP(1,('Case Pack'!$A$4:$A$962=C488)*('Case Pack'!$L$4:$L$962&gt;0)*('Case Pack'!$L$4:$L$962&lt;=A488),'Case Pack'!$G$4:$G$962,"未找到箱型")</f>
        <v>A</v>
      </c>
      <c r="R488" s="124">
        <f>ROUND(IFERROR(VLOOKUP(Q488,'Case Type'!A:H,8,0),0)*O488,2)</f>
        <v>0.22</v>
      </c>
    </row>
    <row r="489" customFormat="1" spans="1:18">
      <c r="A489" s="113">
        <v>46184</v>
      </c>
      <c r="B489" s="91" t="str">
        <f>_xlfn.XLOOKUP(C489,'Product List'!B:B,'Product List'!I:I)</f>
        <v>MMO-COTTON NESTING BALLS</v>
      </c>
      <c r="C489" s="124" t="s">
        <v>84</v>
      </c>
      <c r="D489" s="125">
        <v>31367791</v>
      </c>
      <c r="E489" s="125">
        <v>32</v>
      </c>
      <c r="F489" s="125">
        <v>3.37</v>
      </c>
      <c r="G489" s="125">
        <f t="shared" si="14"/>
        <v>107.84</v>
      </c>
      <c r="H489" s="86" t="s">
        <v>298</v>
      </c>
      <c r="I489" s="86" t="s">
        <v>92</v>
      </c>
      <c r="J489" s="86" t="s">
        <v>319</v>
      </c>
      <c r="K489" s="126">
        <v>46218</v>
      </c>
      <c r="L489" s="251">
        <v>46211</v>
      </c>
      <c r="M489" s="127">
        <f>_xlfn.XLOOKUP(C489,'Product List'!B:B,'Product List'!R:R)</f>
        <v>1.64</v>
      </c>
      <c r="N489" s="124">
        <f t="shared" si="15"/>
        <v>52.48</v>
      </c>
      <c r="O489" s="124" cm="1">
        <f t="array" ref="O489">E489/_xlfn.XLOOKUP(1,('Case Pack'!$A$4:$A$962=C489)*('Case Pack'!$L$4:$L$962&gt;0)*('Case Pack'!$L$4:$L$962&lt;=A489),'Case Pack'!$D$4:$D$962,"未找到箱规")</f>
        <v>1</v>
      </c>
      <c r="P489" s="124" t="str">
        <f>IF(COUNTIF('PO Check'!A:A,D489)&gt;0,"Yes","No")</f>
        <v>Yes</v>
      </c>
      <c r="Q489" s="124" t="str" cm="1">
        <f t="array" ref="Q489">_xlfn.XLOOKUP(1,('Case Pack'!$A$4:$A$962=C489)*('Case Pack'!$L$4:$L$962&gt;0)*('Case Pack'!$L$4:$L$962&lt;=A489),'Case Pack'!$G$4:$G$962,"未找到箱型")</f>
        <v>A</v>
      </c>
      <c r="R489" s="124">
        <f>ROUND(IFERROR(VLOOKUP(Q489,'Case Type'!A:H,8,0),0)*O489,2)</f>
        <v>0.11</v>
      </c>
    </row>
    <row r="490" customFormat="1" spans="1:18">
      <c r="A490" s="113">
        <v>46184</v>
      </c>
      <c r="B490" s="91" t="str">
        <f>_xlfn.XLOOKUP(C490,'Product List'!B:B,'Product List'!I:I)</f>
        <v>MINI/MOE TV VIEWING CAGE</v>
      </c>
      <c r="C490" s="124" t="s">
        <v>50</v>
      </c>
      <c r="D490" s="125">
        <v>31367791</v>
      </c>
      <c r="E490" s="125">
        <v>84</v>
      </c>
      <c r="F490" s="125">
        <v>48.49</v>
      </c>
      <c r="G490" s="125">
        <f t="shared" si="14"/>
        <v>4073.16</v>
      </c>
      <c r="H490" s="86" t="s">
        <v>298</v>
      </c>
      <c r="I490" s="86" t="s">
        <v>92</v>
      </c>
      <c r="J490" s="86" t="s">
        <v>319</v>
      </c>
      <c r="K490" s="126">
        <v>46218</v>
      </c>
      <c r="L490" s="251">
        <v>46211</v>
      </c>
      <c r="M490" s="127">
        <f>_xlfn.XLOOKUP(C490,'Product List'!B:B,'Product List'!R:R)</f>
        <v>24.09</v>
      </c>
      <c r="N490" s="124">
        <f t="shared" si="15"/>
        <v>2023.56</v>
      </c>
      <c r="O490" s="124" cm="1">
        <f t="array" ref="O490">E490/_xlfn.XLOOKUP(1,('Case Pack'!$A$4:$A$962=C490)*('Case Pack'!$L$4:$L$962&gt;0)*('Case Pack'!$L$4:$L$962&lt;=A490),'Case Pack'!$D$4:$D$962,"未找到箱规")</f>
        <v>84</v>
      </c>
      <c r="P490" s="124" t="str">
        <f>IF(COUNTIF('PO Check'!A:A,D490)&gt;0,"Yes","No")</f>
        <v>Yes</v>
      </c>
      <c r="Q490" s="124" t="str" cm="1">
        <f t="array" ref="Q490">_xlfn.XLOOKUP(1,('Case Pack'!$A$4:$A$962=C490)*('Case Pack'!$L$4:$L$962&gt;0)*('Case Pack'!$L$4:$L$962&lt;=A490),'Case Pack'!$G$4:$G$962,"未找到箱型")</f>
        <v>S1</v>
      </c>
      <c r="R490" s="124">
        <f>ROUND(IFERROR(VLOOKUP(Q490,'Case Type'!A:H,8,0),0)*O490,2)</f>
        <v>6.22</v>
      </c>
    </row>
    <row r="491" customFormat="1" spans="1:18">
      <c r="A491" s="113">
        <v>46184</v>
      </c>
      <c r="B491" s="91" t="str">
        <f>_xlfn.XLOOKUP(C491,'Product List'!B:B,'Product List'!I:I)</f>
        <v>MMO-BUBBLE WATER BOTTLE</v>
      </c>
      <c r="C491" s="124" t="s">
        <v>67</v>
      </c>
      <c r="D491" s="125">
        <v>31367791</v>
      </c>
      <c r="E491" s="125">
        <v>168</v>
      </c>
      <c r="F491" s="125">
        <v>4.35</v>
      </c>
      <c r="G491" s="125">
        <f t="shared" si="14"/>
        <v>730.8</v>
      </c>
      <c r="H491" s="86" t="s">
        <v>298</v>
      </c>
      <c r="I491" s="86" t="s">
        <v>92</v>
      </c>
      <c r="J491" s="86" t="s">
        <v>319</v>
      </c>
      <c r="K491" s="126">
        <v>46218</v>
      </c>
      <c r="L491" s="251">
        <v>46211</v>
      </c>
      <c r="M491" s="127">
        <f>_xlfn.XLOOKUP(C491,'Product List'!B:B,'Product List'!R:R)</f>
        <v>3.1</v>
      </c>
      <c r="N491" s="124">
        <f t="shared" si="15"/>
        <v>520.8</v>
      </c>
      <c r="O491" s="124" cm="1">
        <f t="array" ref="O491">E491/_xlfn.XLOOKUP(1,('Case Pack'!$A$4:$A$962=C491)*('Case Pack'!$L$4:$L$962&gt;0)*('Case Pack'!$L$4:$L$962&lt;=A491),'Case Pack'!$D$4:$D$962,"未找到箱规")</f>
        <v>4</v>
      </c>
      <c r="P491" s="124" t="str">
        <f>IF(COUNTIF('PO Check'!A:A,D491)&gt;0,"Yes","No")</f>
        <v>Yes</v>
      </c>
      <c r="Q491" s="124" t="str" cm="1">
        <f t="array" ref="Q491">_xlfn.XLOOKUP(1,('Case Pack'!$A$4:$A$962=C491)*('Case Pack'!$L$4:$L$962&gt;0)*('Case Pack'!$L$4:$L$962&lt;=A491),'Case Pack'!$G$4:$G$962,"未找到箱型")</f>
        <v>C</v>
      </c>
      <c r="R491" s="124">
        <f>ROUND(IFERROR(VLOOKUP(Q491,'Case Type'!A:H,8,0),0)*O491,2)</f>
        <v>0.63</v>
      </c>
    </row>
    <row r="492" customFormat="1" spans="1:18">
      <c r="A492" s="113">
        <v>46184</v>
      </c>
      <c r="B492" s="91" t="str">
        <f>_xlfn.XLOOKUP(C492,'Product List'!B:B,'Product List'!I:I)</f>
        <v>MMO-GREEN APPLE CHEW</v>
      </c>
      <c r="C492" s="124" t="s">
        <v>33</v>
      </c>
      <c r="D492" s="125">
        <v>31367791</v>
      </c>
      <c r="E492" s="125">
        <v>96</v>
      </c>
      <c r="F492" s="125">
        <v>1.53</v>
      </c>
      <c r="G492" s="125">
        <f t="shared" si="14"/>
        <v>146.88</v>
      </c>
      <c r="H492" s="86" t="s">
        <v>298</v>
      </c>
      <c r="I492" s="86" t="s">
        <v>92</v>
      </c>
      <c r="J492" s="86" t="s">
        <v>319</v>
      </c>
      <c r="K492" s="126">
        <v>46218</v>
      </c>
      <c r="L492" s="251">
        <v>46211</v>
      </c>
      <c r="M492" s="127">
        <f>_xlfn.XLOOKUP(C492,'Product List'!B:B,'Product List'!R:R)</f>
        <v>1.04</v>
      </c>
      <c r="N492" s="124">
        <f t="shared" si="15"/>
        <v>99.84</v>
      </c>
      <c r="O492" s="124" cm="1">
        <f t="array" ref="O492">E492/_xlfn.XLOOKUP(1,('Case Pack'!$A$4:$A$962=C492)*('Case Pack'!$L$4:$L$962&gt;0)*('Case Pack'!$L$4:$L$962&lt;=A492),'Case Pack'!$D$4:$D$962,"未找到箱规")</f>
        <v>2</v>
      </c>
      <c r="P492" s="124" t="str">
        <f>IF(COUNTIF('PO Check'!A:A,D492)&gt;0,"Yes","No")</f>
        <v>Yes</v>
      </c>
      <c r="Q492" s="124" t="str" cm="1">
        <f t="array" ref="Q492">_xlfn.XLOOKUP(1,('Case Pack'!$A$4:$A$962=C492)*('Case Pack'!$L$4:$L$962&gt;0)*('Case Pack'!$L$4:$L$962&lt;=A492),'Case Pack'!$G$4:$G$962,"未找到箱型")</f>
        <v>B</v>
      </c>
      <c r="R492" s="124">
        <f>ROUND(IFERROR(VLOOKUP(Q492,'Case Type'!A:H,8,0),0)*O492,2)</f>
        <v>0.15</v>
      </c>
    </row>
    <row r="493" customFormat="1" spans="1:18">
      <c r="A493" s="113">
        <v>46184</v>
      </c>
      <c r="B493" s="91" t="str">
        <f>_xlfn.XLOOKUP(C493,'Product List'!B:B,'Product List'!I:I)</f>
        <v>MMO-CAMP LUNCH BOX CHEW</v>
      </c>
      <c r="C493" s="124" t="s">
        <v>34</v>
      </c>
      <c r="D493" s="125">
        <v>31367791</v>
      </c>
      <c r="E493" s="125">
        <v>144</v>
      </c>
      <c r="F493" s="125">
        <v>2.48</v>
      </c>
      <c r="G493" s="125">
        <f t="shared" si="14"/>
        <v>357.12</v>
      </c>
      <c r="H493" s="86" t="s">
        <v>298</v>
      </c>
      <c r="I493" s="86" t="s">
        <v>92</v>
      </c>
      <c r="J493" s="86" t="s">
        <v>319</v>
      </c>
      <c r="K493" s="126">
        <v>46218</v>
      </c>
      <c r="L493" s="251">
        <v>46211</v>
      </c>
      <c r="M493" s="127">
        <f>_xlfn.XLOOKUP(C493,'Product List'!B:B,'Product List'!R:R)</f>
        <v>1.59</v>
      </c>
      <c r="N493" s="124">
        <f t="shared" si="15"/>
        <v>228.96</v>
      </c>
      <c r="O493" s="124" cm="1">
        <f t="array" ref="O493">E493/_xlfn.XLOOKUP(1,('Case Pack'!$A$4:$A$962=C493)*('Case Pack'!$L$4:$L$962&gt;0)*('Case Pack'!$L$4:$L$962&lt;=A493),'Case Pack'!$D$4:$D$962,"未找到箱规")</f>
        <v>2</v>
      </c>
      <c r="P493" s="124" t="str">
        <f>IF(COUNTIF('PO Check'!A:A,D493)&gt;0,"Yes","No")</f>
        <v>Yes</v>
      </c>
      <c r="Q493" s="124" t="str" cm="1">
        <f t="array" ref="Q493">_xlfn.XLOOKUP(1,('Case Pack'!$A$4:$A$962=C493)*('Case Pack'!$L$4:$L$962&gt;0)*('Case Pack'!$L$4:$L$962&lt;=A493),'Case Pack'!$G$4:$G$962,"未找到箱型")</f>
        <v>B</v>
      </c>
      <c r="R493" s="124">
        <f>ROUND(IFERROR(VLOOKUP(Q493,'Case Type'!A:H,8,0),0)*O493,2)</f>
        <v>0.15</v>
      </c>
    </row>
    <row r="494" customFormat="1" spans="1:18">
      <c r="A494" s="113">
        <v>46184</v>
      </c>
      <c r="B494" s="91" t="str">
        <f>_xlfn.XLOOKUP(C494,'Product List'!B:B,'Product List'!I:I)</f>
        <v>MINI/MOE RUFFLE BOWL</v>
      </c>
      <c r="C494" s="124" t="s">
        <v>78</v>
      </c>
      <c r="D494" s="125">
        <v>31367791</v>
      </c>
      <c r="E494" s="125">
        <v>144</v>
      </c>
      <c r="F494" s="125">
        <v>2.35</v>
      </c>
      <c r="G494" s="125">
        <f t="shared" si="14"/>
        <v>338.4</v>
      </c>
      <c r="H494" s="86" t="s">
        <v>298</v>
      </c>
      <c r="I494" s="86" t="s">
        <v>92</v>
      </c>
      <c r="J494" s="86" t="s">
        <v>319</v>
      </c>
      <c r="K494" s="126">
        <v>46218</v>
      </c>
      <c r="L494" s="251">
        <v>46211</v>
      </c>
      <c r="M494" s="127">
        <f>_xlfn.XLOOKUP(C494,'Product List'!B:B,'Product List'!R:R)</f>
        <v>1.34</v>
      </c>
      <c r="N494" s="124">
        <f t="shared" si="15"/>
        <v>192.96</v>
      </c>
      <c r="O494" s="124" cm="1">
        <f t="array" ref="O494">E494/_xlfn.XLOOKUP(1,('Case Pack'!$A$4:$A$962=C494)*('Case Pack'!$L$4:$L$962&gt;0)*('Case Pack'!$L$4:$L$962&lt;=A494),'Case Pack'!$D$4:$D$962,"未找到箱规")</f>
        <v>3</v>
      </c>
      <c r="P494" s="124" t="str">
        <f>IF(COUNTIF('PO Check'!A:A,D494)&gt;0,"Yes","No")</f>
        <v>Yes</v>
      </c>
      <c r="Q494" s="124" t="str" cm="1">
        <f t="array" ref="Q494">_xlfn.XLOOKUP(1,('Case Pack'!$A$4:$A$962=C494)*('Case Pack'!$L$4:$L$962&gt;0)*('Case Pack'!$L$4:$L$962&lt;=A494),'Case Pack'!$G$4:$G$962,"未找到箱型")</f>
        <v>B</v>
      </c>
      <c r="R494" s="124">
        <f>ROUND(IFERROR(VLOOKUP(Q494,'Case Type'!A:H,8,0),0)*O494,2)</f>
        <v>0.22</v>
      </c>
    </row>
    <row r="495" customFormat="1" spans="1:18">
      <c r="A495" s="113">
        <v>46184</v>
      </c>
      <c r="B495" s="91" t="str">
        <f>_xlfn.XLOOKUP(C495,'Product List'!B:B,'Product List'!I:I)</f>
        <v>MMO-CLOUD WATER BOTTLE</v>
      </c>
      <c r="C495" s="124" t="s">
        <v>77</v>
      </c>
      <c r="D495" s="125">
        <v>31367791</v>
      </c>
      <c r="E495" s="125">
        <v>150</v>
      </c>
      <c r="F495" s="125">
        <v>1.32</v>
      </c>
      <c r="G495" s="125">
        <f t="shared" si="14"/>
        <v>198</v>
      </c>
      <c r="H495" s="86" t="s">
        <v>298</v>
      </c>
      <c r="I495" s="86" t="s">
        <v>92</v>
      </c>
      <c r="J495" s="86" t="s">
        <v>319</v>
      </c>
      <c r="K495" s="126">
        <v>46218</v>
      </c>
      <c r="L495" s="251">
        <v>46211</v>
      </c>
      <c r="M495" s="127">
        <f>_xlfn.XLOOKUP(C495,'Product List'!B:B,'Product List'!R:R)</f>
        <v>0.62</v>
      </c>
      <c r="N495" s="124">
        <f t="shared" si="15"/>
        <v>93</v>
      </c>
      <c r="O495" s="124" cm="1">
        <f t="array" ref="O495">E495/_xlfn.XLOOKUP(1,('Case Pack'!$A$4:$A$962=C495)*('Case Pack'!$L$4:$L$962&gt;0)*('Case Pack'!$L$4:$L$962&lt;=A495),'Case Pack'!$D$4:$D$962,"未找到箱规")</f>
        <v>3</v>
      </c>
      <c r="P495" s="124" t="str">
        <f>IF(COUNTIF('PO Check'!A:A,D495)&gt;0,"Yes","No")</f>
        <v>Yes</v>
      </c>
      <c r="Q495" s="124" t="str" cm="1">
        <f t="array" ref="Q495">_xlfn.XLOOKUP(1,('Case Pack'!$A$4:$A$962=C495)*('Case Pack'!$L$4:$L$962&gt;0)*('Case Pack'!$L$4:$L$962&lt;=A495),'Case Pack'!$G$4:$G$962,"未找到箱型")</f>
        <v>A</v>
      </c>
      <c r="R495" s="124">
        <f>ROUND(IFERROR(VLOOKUP(Q495,'Case Type'!A:H,8,0),0)*O495,2)</f>
        <v>0.33</v>
      </c>
    </row>
    <row r="496" customFormat="1" spans="1:18">
      <c r="A496" s="113">
        <v>46184</v>
      </c>
      <c r="B496" s="91" t="str">
        <f>_xlfn.XLOOKUP(C496,'Product List'!B:B,'Product List'!I:I)</f>
        <v>MINI/MOE BENDABLE BIRCHWOOD FENCE</v>
      </c>
      <c r="C496" s="124" t="s">
        <v>62</v>
      </c>
      <c r="D496" s="125">
        <v>31367792</v>
      </c>
      <c r="E496" s="125">
        <v>32</v>
      </c>
      <c r="F496" s="125">
        <v>5.01</v>
      </c>
      <c r="G496" s="125">
        <f t="shared" si="14"/>
        <v>160.32</v>
      </c>
      <c r="H496" s="86" t="s">
        <v>298</v>
      </c>
      <c r="I496" s="86" t="s">
        <v>92</v>
      </c>
      <c r="J496" s="86" t="s">
        <v>327</v>
      </c>
      <c r="K496" s="126">
        <v>46231</v>
      </c>
      <c r="L496" s="251">
        <v>46227</v>
      </c>
      <c r="M496" s="127">
        <f>_xlfn.XLOOKUP(C496,'Product List'!B:B,'Product List'!R:R)</f>
        <v>3.4</v>
      </c>
      <c r="N496" s="124">
        <f t="shared" si="15"/>
        <v>108.8</v>
      </c>
      <c r="O496" s="124" cm="1">
        <f t="array" ref="O496">E496/_xlfn.XLOOKUP(1,('Case Pack'!$A$4:$A$962=C496)*('Case Pack'!$L$4:$L$962&gt;0)*('Case Pack'!$L$4:$L$962&lt;=A496),'Case Pack'!$D$4:$D$962,"未找到箱规")</f>
        <v>1</v>
      </c>
      <c r="P496" s="124" t="str">
        <f>IF(COUNTIF('PO Check'!A:A,D496)&gt;0,"Yes","No")</f>
        <v>Yes</v>
      </c>
      <c r="Q496" s="124" t="str" cm="1">
        <f t="array" ref="Q496">_xlfn.XLOOKUP(1,('Case Pack'!$A$4:$A$962=C496)*('Case Pack'!$L$4:$L$962&gt;0)*('Case Pack'!$L$4:$L$962&lt;=A496),'Case Pack'!$G$4:$G$962,"未找到箱型")</f>
        <v>F</v>
      </c>
      <c r="R496" s="124">
        <f>ROUND(IFERROR(VLOOKUP(Q496,'Case Type'!A:H,8,0),0)*O496,2)</f>
        <v>0.04</v>
      </c>
    </row>
    <row r="497" customFormat="1" spans="1:18">
      <c r="A497" s="113">
        <v>46184</v>
      </c>
      <c r="B497" s="91" t="str">
        <f>_xlfn.XLOOKUP(C497,'Product List'!B:B,'Product List'!I:I)</f>
        <v>MINI/MOE SILENT CRSTL RUN WHEEL LG 8.5-White</v>
      </c>
      <c r="C497" s="124" t="s">
        <v>29</v>
      </c>
      <c r="D497" s="125">
        <v>31367792</v>
      </c>
      <c r="E497" s="125">
        <v>136</v>
      </c>
      <c r="F497" s="125">
        <v>13.22</v>
      </c>
      <c r="G497" s="125">
        <f t="shared" si="14"/>
        <v>1797.92</v>
      </c>
      <c r="H497" s="86" t="s">
        <v>298</v>
      </c>
      <c r="I497" s="86" t="s">
        <v>92</v>
      </c>
      <c r="J497" s="86" t="s">
        <v>327</v>
      </c>
      <c r="K497" s="126">
        <v>46231</v>
      </c>
      <c r="L497" s="251">
        <v>46227</v>
      </c>
      <c r="M497" s="127">
        <f>_xlfn.XLOOKUP(C497,'Product List'!B:B,'Product List'!R:R)</f>
        <v>6.27</v>
      </c>
      <c r="N497" s="124">
        <f t="shared" si="15"/>
        <v>852.72</v>
      </c>
      <c r="O497" s="124" cm="1">
        <f t="array" ref="O497">E497/_xlfn.XLOOKUP(1,('Case Pack'!$A$4:$A$962=C497)*('Case Pack'!$L$4:$L$962&gt;0)*('Case Pack'!$L$4:$L$962&lt;=A497),'Case Pack'!$D$4:$D$962,"未找到箱规")</f>
        <v>17</v>
      </c>
      <c r="P497" s="124" t="str">
        <f>IF(COUNTIF('PO Check'!A:A,D497)&gt;0,"Yes","No")</f>
        <v>Yes</v>
      </c>
      <c r="Q497" s="124" t="str" cm="1">
        <f t="array" ref="Q497">_xlfn.XLOOKUP(1,('Case Pack'!$A$4:$A$962=C497)*('Case Pack'!$L$4:$L$962&gt;0)*('Case Pack'!$L$4:$L$962&lt;=A497),'Case Pack'!$G$4:$G$962,"未找到箱型")</f>
        <v>C</v>
      </c>
      <c r="R497" s="124">
        <f>ROUND(IFERROR(VLOOKUP(Q497,'Case Type'!A:H,8,0),0)*O497,2)</f>
        <v>2.67</v>
      </c>
    </row>
    <row r="498" customFormat="1" spans="1:18">
      <c r="A498" s="113">
        <v>46184</v>
      </c>
      <c r="B498" s="91" t="str">
        <f>_xlfn.XLOOKUP(C498,'Product List'!B:B,'Product List'!I:I)</f>
        <v>MMO-STARFISH CASTLE</v>
      </c>
      <c r="C498" s="124" t="s">
        <v>60</v>
      </c>
      <c r="D498" s="125">
        <v>31367792</v>
      </c>
      <c r="E498" s="125">
        <v>60</v>
      </c>
      <c r="F498" s="125">
        <v>5.32</v>
      </c>
      <c r="G498" s="125">
        <f t="shared" si="14"/>
        <v>319.2</v>
      </c>
      <c r="H498" s="86" t="s">
        <v>298</v>
      </c>
      <c r="I498" s="86" t="s">
        <v>92</v>
      </c>
      <c r="J498" s="86" t="s">
        <v>327</v>
      </c>
      <c r="K498" s="126">
        <v>46231</v>
      </c>
      <c r="L498" s="251">
        <v>46227</v>
      </c>
      <c r="M498" s="127">
        <f>_xlfn.XLOOKUP(C498,'Product List'!B:B,'Product List'!R:R)</f>
        <v>2.81</v>
      </c>
      <c r="N498" s="124">
        <f t="shared" si="15"/>
        <v>168.6</v>
      </c>
      <c r="O498" s="124" cm="1">
        <f t="array" ref="O498">E498/_xlfn.XLOOKUP(1,('Case Pack'!$A$4:$A$962=C498)*('Case Pack'!$L$4:$L$962&gt;0)*('Case Pack'!$L$4:$L$962&lt;=A498),'Case Pack'!$D$4:$D$962,"未找到箱规")</f>
        <v>3</v>
      </c>
      <c r="P498" s="124" t="str">
        <f>IF(COUNTIF('PO Check'!A:A,D498)&gt;0,"Yes","No")</f>
        <v>Yes</v>
      </c>
      <c r="Q498" s="124" t="str" cm="1">
        <f t="array" ref="Q498">_xlfn.XLOOKUP(1,('Case Pack'!$A$4:$A$962=C498)*('Case Pack'!$L$4:$L$962&gt;0)*('Case Pack'!$L$4:$L$962&lt;=A498),'Case Pack'!$G$4:$G$962,"未找到箱型")</f>
        <v>C</v>
      </c>
      <c r="R498" s="124">
        <f>ROUND(IFERROR(VLOOKUP(Q498,'Case Type'!A:H,8,0),0)*O498,2)</f>
        <v>0.47</v>
      </c>
    </row>
    <row r="499" customFormat="1" spans="1:18">
      <c r="A499" s="113">
        <v>46184</v>
      </c>
      <c r="B499" s="91" t="str">
        <f>_xlfn.XLOOKUP(C499,'Product List'!B:B,'Product List'!I:I)</f>
        <v>MMO-WAVE BRIDGE</v>
      </c>
      <c r="C499" s="124" t="s">
        <v>61</v>
      </c>
      <c r="D499" s="125">
        <v>31367792</v>
      </c>
      <c r="E499" s="125">
        <v>66</v>
      </c>
      <c r="F499" s="125">
        <v>4.84</v>
      </c>
      <c r="G499" s="125">
        <f t="shared" si="14"/>
        <v>319.44</v>
      </c>
      <c r="H499" s="86" t="s">
        <v>298</v>
      </c>
      <c r="I499" s="86" t="s">
        <v>92</v>
      </c>
      <c r="J499" s="86" t="s">
        <v>327</v>
      </c>
      <c r="K499" s="126">
        <v>46231</v>
      </c>
      <c r="L499" s="251">
        <v>46227</v>
      </c>
      <c r="M499" s="127">
        <f>_xlfn.XLOOKUP(C499,'Product List'!B:B,'Product List'!R:R)</f>
        <v>2.79</v>
      </c>
      <c r="N499" s="124">
        <f t="shared" si="15"/>
        <v>184.14</v>
      </c>
      <c r="O499" s="124" cm="1">
        <f t="array" ref="O499">E499/_xlfn.XLOOKUP(1,('Case Pack'!$A$4:$A$962=C499)*('Case Pack'!$L$4:$L$962&gt;0)*('Case Pack'!$L$4:$L$962&lt;=A499),'Case Pack'!$D$4:$D$962,"未找到箱规")</f>
        <v>2</v>
      </c>
      <c r="P499" s="124" t="str">
        <f>IF(COUNTIF('PO Check'!A:A,D499)&gt;0,"Yes","No")</f>
        <v>Yes</v>
      </c>
      <c r="Q499" s="124" t="str" cm="1">
        <f t="array" ref="Q499">_xlfn.XLOOKUP(1,('Case Pack'!$A$4:$A$962=C499)*('Case Pack'!$L$4:$L$962&gt;0)*('Case Pack'!$L$4:$L$962&lt;=A499),'Case Pack'!$G$4:$G$962,"未找到箱型")</f>
        <v>C</v>
      </c>
      <c r="R499" s="124">
        <f>ROUND(IFERROR(VLOOKUP(Q499,'Case Type'!A:H,8,0),0)*O499,2)</f>
        <v>0.31</v>
      </c>
    </row>
    <row r="500" customFormat="1" spans="1:18">
      <c r="A500" s="113">
        <v>46184</v>
      </c>
      <c r="B500" s="91" t="str">
        <f>_xlfn.XLOOKUP(C500,'Product List'!B:B,'Product List'!I:I)</f>
        <v>MMO-PAPER PEBBLES</v>
      </c>
      <c r="C500" s="124" t="s">
        <v>81</v>
      </c>
      <c r="D500" s="125">
        <v>31367792</v>
      </c>
      <c r="E500" s="125">
        <v>180</v>
      </c>
      <c r="F500" s="125">
        <v>5.81</v>
      </c>
      <c r="G500" s="125">
        <f t="shared" si="14"/>
        <v>1045.8</v>
      </c>
      <c r="H500" s="86" t="s">
        <v>298</v>
      </c>
      <c r="I500" s="86" t="s">
        <v>92</v>
      </c>
      <c r="J500" s="86" t="s">
        <v>327</v>
      </c>
      <c r="K500" s="126">
        <v>46231</v>
      </c>
      <c r="L500" s="251">
        <v>46227</v>
      </c>
      <c r="M500" s="127">
        <f>_xlfn.XLOOKUP(C500,'Product List'!B:B,'Product List'!R:R)</f>
        <v>2.84</v>
      </c>
      <c r="N500" s="124">
        <f t="shared" si="15"/>
        <v>511.2</v>
      </c>
      <c r="O500" s="124" cm="1">
        <f t="array" ref="O500">E500/_xlfn.XLOOKUP(1,('Case Pack'!$A$4:$A$962=C500)*('Case Pack'!$L$4:$L$962&gt;0)*('Case Pack'!$L$4:$L$962&lt;=A500),'Case Pack'!$D$4:$D$962,"未找到箱规")</f>
        <v>15</v>
      </c>
      <c r="P500" s="124" t="str">
        <f>IF(COUNTIF('PO Check'!A:A,D500)&gt;0,"Yes","No")</f>
        <v>Yes</v>
      </c>
      <c r="Q500" s="124" t="str" cm="1">
        <f t="array" ref="Q500">_xlfn.XLOOKUP(1,('Case Pack'!$A$4:$A$962=C500)*('Case Pack'!$L$4:$L$962&gt;0)*('Case Pack'!$L$4:$L$962&lt;=A500),'Case Pack'!$G$4:$G$962,"未找到箱型")</f>
        <v>B</v>
      </c>
      <c r="R500" s="124">
        <f>ROUND(IFERROR(VLOOKUP(Q500,'Case Type'!A:H,8,0),0)*O500,2)</f>
        <v>1.1</v>
      </c>
    </row>
    <row r="501" customFormat="1" spans="1:18">
      <c r="A501" s="113">
        <v>46184</v>
      </c>
      <c r="B501" s="91" t="str">
        <f>_xlfn.XLOOKUP(C501,'Product List'!B:B,'Product List'!I:I)</f>
        <v>MMO-PAPER TWIST BLU/WHT</v>
      </c>
      <c r="C501" s="124" t="s">
        <v>68</v>
      </c>
      <c r="D501" s="125">
        <v>31367792</v>
      </c>
      <c r="E501" s="125">
        <v>210</v>
      </c>
      <c r="F501" s="125">
        <v>3.89</v>
      </c>
      <c r="G501" s="125">
        <f t="shared" si="14"/>
        <v>816.9</v>
      </c>
      <c r="H501" s="86" t="s">
        <v>298</v>
      </c>
      <c r="I501" s="86" t="s">
        <v>92</v>
      </c>
      <c r="J501" s="86" t="s">
        <v>327</v>
      </c>
      <c r="K501" s="126">
        <v>46231</v>
      </c>
      <c r="L501" s="251">
        <v>46227</v>
      </c>
      <c r="M501" s="127">
        <f>_xlfn.XLOOKUP(C501,'Product List'!B:B,'Product List'!R:R)</f>
        <v>1.98</v>
      </c>
      <c r="N501" s="124">
        <f t="shared" si="15"/>
        <v>415.8</v>
      </c>
      <c r="O501" s="124" cm="1">
        <f t="array" ref="O501">E501/_xlfn.XLOOKUP(1,('Case Pack'!$A$4:$A$962=C501)*('Case Pack'!$L$4:$L$962&gt;0)*('Case Pack'!$L$4:$L$962&lt;=A501),'Case Pack'!$D$4:$D$962,"未找到箱规")</f>
        <v>7</v>
      </c>
      <c r="P501" s="124" t="str">
        <f>IF(COUNTIF('PO Check'!A:A,D501)&gt;0,"Yes","No")</f>
        <v>Yes</v>
      </c>
      <c r="Q501" s="124" t="str" cm="1">
        <f t="array" ref="Q501">_xlfn.XLOOKUP(1,('Case Pack'!$A$4:$A$962=C501)*('Case Pack'!$L$4:$L$962&gt;0)*('Case Pack'!$L$4:$L$962&lt;=A501),'Case Pack'!$G$4:$G$962,"未找到箱型")</f>
        <v>A</v>
      </c>
      <c r="R501" s="124">
        <f>ROUND(IFERROR(VLOOKUP(Q501,'Case Type'!A:H,8,0),0)*O501,2)</f>
        <v>0.77</v>
      </c>
    </row>
    <row r="502" customFormat="1" spans="1:18">
      <c r="A502" s="113">
        <v>46184</v>
      </c>
      <c r="B502" s="91" t="str">
        <f>_xlfn.XLOOKUP(C502,'Product List'!B:B,'Product List'!I:I)</f>
        <v>MMO-COTTON NESTING BALLS</v>
      </c>
      <c r="C502" s="124" t="s">
        <v>84</v>
      </c>
      <c r="D502" s="125">
        <v>31367792</v>
      </c>
      <c r="E502" s="125">
        <v>224</v>
      </c>
      <c r="F502" s="125">
        <v>3.37</v>
      </c>
      <c r="G502" s="125">
        <f t="shared" si="14"/>
        <v>754.88</v>
      </c>
      <c r="H502" s="86" t="s">
        <v>298</v>
      </c>
      <c r="I502" s="86" t="s">
        <v>92</v>
      </c>
      <c r="J502" s="86" t="s">
        <v>327</v>
      </c>
      <c r="K502" s="126">
        <v>46231</v>
      </c>
      <c r="L502" s="251">
        <v>46227</v>
      </c>
      <c r="M502" s="127">
        <f>_xlfn.XLOOKUP(C502,'Product List'!B:B,'Product List'!R:R)</f>
        <v>1.64</v>
      </c>
      <c r="N502" s="124">
        <f t="shared" si="15"/>
        <v>367.36</v>
      </c>
      <c r="O502" s="124" cm="1">
        <f t="array" ref="O502">E502/_xlfn.XLOOKUP(1,('Case Pack'!$A$4:$A$962=C502)*('Case Pack'!$L$4:$L$962&gt;0)*('Case Pack'!$L$4:$L$962&lt;=A502),'Case Pack'!$D$4:$D$962,"未找到箱规")</f>
        <v>7</v>
      </c>
      <c r="P502" s="124" t="str">
        <f>IF(COUNTIF('PO Check'!A:A,D502)&gt;0,"Yes","No")</f>
        <v>Yes</v>
      </c>
      <c r="Q502" s="124" t="str" cm="1">
        <f t="array" ref="Q502">_xlfn.XLOOKUP(1,('Case Pack'!$A$4:$A$962=C502)*('Case Pack'!$L$4:$L$962&gt;0)*('Case Pack'!$L$4:$L$962&lt;=A502),'Case Pack'!$G$4:$G$962,"未找到箱型")</f>
        <v>A</v>
      </c>
      <c r="R502" s="124">
        <f>ROUND(IFERROR(VLOOKUP(Q502,'Case Type'!A:H,8,0),0)*O502,2)</f>
        <v>0.77</v>
      </c>
    </row>
    <row r="503" customFormat="1" spans="1:18">
      <c r="A503" s="113">
        <v>46184</v>
      </c>
      <c r="B503" s="91" t="str">
        <f>_xlfn.XLOOKUP(C503,'Product List'!B:B,'Product List'!I:I)</f>
        <v>MINI/MOE TV VIEWING CAGE</v>
      </c>
      <c r="C503" s="124" t="s">
        <v>50</v>
      </c>
      <c r="D503" s="125">
        <v>31367792</v>
      </c>
      <c r="E503" s="125">
        <v>16</v>
      </c>
      <c r="F503" s="125">
        <v>48.49</v>
      </c>
      <c r="G503" s="125">
        <f t="shared" si="14"/>
        <v>775.84</v>
      </c>
      <c r="H503" s="86" t="s">
        <v>298</v>
      </c>
      <c r="I503" s="86" t="s">
        <v>92</v>
      </c>
      <c r="J503" s="86" t="s">
        <v>327</v>
      </c>
      <c r="K503" s="126">
        <v>46231</v>
      </c>
      <c r="L503" s="251">
        <v>46227</v>
      </c>
      <c r="M503" s="127">
        <f>_xlfn.XLOOKUP(C503,'Product List'!B:B,'Product List'!R:R)</f>
        <v>24.09</v>
      </c>
      <c r="N503" s="124">
        <f t="shared" si="15"/>
        <v>385.44</v>
      </c>
      <c r="O503" s="124" cm="1">
        <f t="array" ref="O503">E503/_xlfn.XLOOKUP(1,('Case Pack'!$A$4:$A$962=C503)*('Case Pack'!$L$4:$L$962&gt;0)*('Case Pack'!$L$4:$L$962&lt;=A503),'Case Pack'!$D$4:$D$962,"未找到箱规")</f>
        <v>16</v>
      </c>
      <c r="P503" s="124" t="str">
        <f>IF(COUNTIF('PO Check'!A:A,D503)&gt;0,"Yes","No")</f>
        <v>Yes</v>
      </c>
      <c r="Q503" s="124" t="str" cm="1">
        <f t="array" ref="Q503">_xlfn.XLOOKUP(1,('Case Pack'!$A$4:$A$962=C503)*('Case Pack'!$L$4:$L$962&gt;0)*('Case Pack'!$L$4:$L$962&lt;=A503),'Case Pack'!$G$4:$G$962,"未找到箱型")</f>
        <v>S1</v>
      </c>
      <c r="R503" s="124">
        <f>ROUND(IFERROR(VLOOKUP(Q503,'Case Type'!A:H,8,0),0)*O503,2)</f>
        <v>1.18</v>
      </c>
    </row>
    <row r="504" customFormat="1" spans="1:18">
      <c r="A504" s="113">
        <v>46184</v>
      </c>
      <c r="B504" s="91" t="str">
        <f>_xlfn.XLOOKUP(C504,'Product List'!B:B,'Product List'!I:I)</f>
        <v>MMO-BUBBLE WATER BOTTLE</v>
      </c>
      <c r="C504" s="124" t="s">
        <v>67</v>
      </c>
      <c r="D504" s="125">
        <v>31367792</v>
      </c>
      <c r="E504" s="125">
        <v>84</v>
      </c>
      <c r="F504" s="125">
        <v>4.35</v>
      </c>
      <c r="G504" s="125">
        <f t="shared" si="14"/>
        <v>365.4</v>
      </c>
      <c r="H504" s="86" t="s">
        <v>298</v>
      </c>
      <c r="I504" s="86" t="s">
        <v>92</v>
      </c>
      <c r="J504" s="86" t="s">
        <v>327</v>
      </c>
      <c r="K504" s="126">
        <v>46231</v>
      </c>
      <c r="L504" s="251">
        <v>46227</v>
      </c>
      <c r="M504" s="127">
        <f>_xlfn.XLOOKUP(C504,'Product List'!B:B,'Product List'!R:R)</f>
        <v>3.1</v>
      </c>
      <c r="N504" s="124">
        <f t="shared" si="15"/>
        <v>260.4</v>
      </c>
      <c r="O504" s="124" cm="1">
        <f t="array" ref="O504">E504/_xlfn.XLOOKUP(1,('Case Pack'!$A$4:$A$962=C504)*('Case Pack'!$L$4:$L$962&gt;0)*('Case Pack'!$L$4:$L$962&lt;=A504),'Case Pack'!$D$4:$D$962,"未找到箱规")</f>
        <v>2</v>
      </c>
      <c r="P504" s="124" t="str">
        <f>IF(COUNTIF('PO Check'!A:A,D504)&gt;0,"Yes","No")</f>
        <v>Yes</v>
      </c>
      <c r="Q504" s="124" t="str" cm="1">
        <f t="array" ref="Q504">_xlfn.XLOOKUP(1,('Case Pack'!$A$4:$A$962=C504)*('Case Pack'!$L$4:$L$962&gt;0)*('Case Pack'!$L$4:$L$962&lt;=A504),'Case Pack'!$G$4:$G$962,"未找到箱型")</f>
        <v>C</v>
      </c>
      <c r="R504" s="124">
        <f>ROUND(IFERROR(VLOOKUP(Q504,'Case Type'!A:H,8,0),0)*O504,2)</f>
        <v>0.31</v>
      </c>
    </row>
    <row r="505" customFormat="1" spans="1:18">
      <c r="A505" s="113">
        <v>46184</v>
      </c>
      <c r="B505" s="91" t="str">
        <f>_xlfn.XLOOKUP(C505,'Product List'!B:B,'Product List'!I:I)</f>
        <v>MMO-GREEN APPLE CHEW</v>
      </c>
      <c r="C505" s="124" t="s">
        <v>33</v>
      </c>
      <c r="D505" s="125">
        <v>31367792</v>
      </c>
      <c r="E505" s="125">
        <v>240</v>
      </c>
      <c r="F505" s="125">
        <v>1.53</v>
      </c>
      <c r="G505" s="125">
        <f t="shared" si="14"/>
        <v>367.2</v>
      </c>
      <c r="H505" s="86" t="s">
        <v>298</v>
      </c>
      <c r="I505" s="86" t="s">
        <v>92</v>
      </c>
      <c r="J505" s="86" t="s">
        <v>327</v>
      </c>
      <c r="K505" s="126">
        <v>46231</v>
      </c>
      <c r="L505" s="251">
        <v>46227</v>
      </c>
      <c r="M505" s="127">
        <f>_xlfn.XLOOKUP(C505,'Product List'!B:B,'Product List'!R:R)</f>
        <v>1.04</v>
      </c>
      <c r="N505" s="124">
        <f t="shared" si="15"/>
        <v>249.6</v>
      </c>
      <c r="O505" s="124" cm="1">
        <f t="array" ref="O505">E505/_xlfn.XLOOKUP(1,('Case Pack'!$A$4:$A$962=C505)*('Case Pack'!$L$4:$L$962&gt;0)*('Case Pack'!$L$4:$L$962&lt;=A505),'Case Pack'!$D$4:$D$962,"未找到箱规")</f>
        <v>5</v>
      </c>
      <c r="P505" s="124" t="str">
        <f>IF(COUNTIF('PO Check'!A:A,D505)&gt;0,"Yes","No")</f>
        <v>Yes</v>
      </c>
      <c r="Q505" s="124" t="str" cm="1">
        <f t="array" ref="Q505">_xlfn.XLOOKUP(1,('Case Pack'!$A$4:$A$962=C505)*('Case Pack'!$L$4:$L$962&gt;0)*('Case Pack'!$L$4:$L$962&lt;=A505),'Case Pack'!$G$4:$G$962,"未找到箱型")</f>
        <v>B</v>
      </c>
      <c r="R505" s="124">
        <f>ROUND(IFERROR(VLOOKUP(Q505,'Case Type'!A:H,8,0),0)*O505,2)</f>
        <v>0.37</v>
      </c>
    </row>
    <row r="506" customFormat="1" spans="1:18">
      <c r="A506" s="113">
        <v>46184</v>
      </c>
      <c r="B506" s="91" t="str">
        <f>_xlfn.XLOOKUP(C506,'Product List'!B:B,'Product List'!I:I)</f>
        <v>MMO-CAMP LUNCH BOX CHEW</v>
      </c>
      <c r="C506" s="124" t="s">
        <v>34</v>
      </c>
      <c r="D506" s="125">
        <v>31367792</v>
      </c>
      <c r="E506" s="125">
        <v>288</v>
      </c>
      <c r="F506" s="125">
        <v>2.48</v>
      </c>
      <c r="G506" s="125">
        <f t="shared" si="14"/>
        <v>714.24</v>
      </c>
      <c r="H506" s="86" t="s">
        <v>298</v>
      </c>
      <c r="I506" s="86" t="s">
        <v>92</v>
      </c>
      <c r="J506" s="86" t="s">
        <v>327</v>
      </c>
      <c r="K506" s="126">
        <v>46231</v>
      </c>
      <c r="L506" s="251">
        <v>46227</v>
      </c>
      <c r="M506" s="127">
        <f>_xlfn.XLOOKUP(C506,'Product List'!B:B,'Product List'!R:R)</f>
        <v>1.59</v>
      </c>
      <c r="N506" s="124">
        <f t="shared" si="15"/>
        <v>457.92</v>
      </c>
      <c r="O506" s="124" cm="1">
        <f t="array" ref="O506">E506/_xlfn.XLOOKUP(1,('Case Pack'!$A$4:$A$962=C506)*('Case Pack'!$L$4:$L$962&gt;0)*('Case Pack'!$L$4:$L$962&lt;=A506),'Case Pack'!$D$4:$D$962,"未找到箱规")</f>
        <v>4</v>
      </c>
      <c r="P506" s="124" t="str">
        <f>IF(COUNTIF('PO Check'!A:A,D506)&gt;0,"Yes","No")</f>
        <v>Yes</v>
      </c>
      <c r="Q506" s="124" t="str" cm="1">
        <f t="array" ref="Q506">_xlfn.XLOOKUP(1,('Case Pack'!$A$4:$A$962=C506)*('Case Pack'!$L$4:$L$962&gt;0)*('Case Pack'!$L$4:$L$962&lt;=A506),'Case Pack'!$G$4:$G$962,"未找到箱型")</f>
        <v>B</v>
      </c>
      <c r="R506" s="124">
        <f>ROUND(IFERROR(VLOOKUP(Q506,'Case Type'!A:H,8,0),0)*O506,2)</f>
        <v>0.29</v>
      </c>
    </row>
    <row r="507" customFormat="1" spans="1:18">
      <c r="A507" s="113">
        <v>46184</v>
      </c>
      <c r="B507" s="91" t="str">
        <f>_xlfn.XLOOKUP(C507,'Product List'!B:B,'Product List'!I:I)</f>
        <v>MMO-SHELL PEARL HAMSTER CHEW</v>
      </c>
      <c r="C507" s="124" t="s">
        <v>35</v>
      </c>
      <c r="D507" s="125">
        <v>31367792</v>
      </c>
      <c r="E507" s="125">
        <v>64</v>
      </c>
      <c r="F507" s="125">
        <v>1.61</v>
      </c>
      <c r="G507" s="125">
        <f t="shared" si="14"/>
        <v>103.04</v>
      </c>
      <c r="H507" s="86" t="s">
        <v>298</v>
      </c>
      <c r="I507" s="86" t="s">
        <v>92</v>
      </c>
      <c r="J507" s="86" t="s">
        <v>327</v>
      </c>
      <c r="K507" s="126">
        <v>46231</v>
      </c>
      <c r="L507" s="251">
        <v>46227</v>
      </c>
      <c r="M507" s="127">
        <f>_xlfn.XLOOKUP(C507,'Product List'!B:B,'Product List'!R:R)</f>
        <v>0.96</v>
      </c>
      <c r="N507" s="124">
        <f t="shared" si="15"/>
        <v>61.44</v>
      </c>
      <c r="O507" s="124" cm="1">
        <f t="array" ref="O507">E507/_xlfn.XLOOKUP(1,('Case Pack'!$A$4:$A$962=C507)*('Case Pack'!$L$4:$L$962&gt;0)*('Case Pack'!$L$4:$L$962&lt;=A507),'Case Pack'!$D$4:$D$962,"未找到箱规")</f>
        <v>1</v>
      </c>
      <c r="P507" s="124" t="str">
        <f>IF(COUNTIF('PO Check'!A:A,D507)&gt;0,"Yes","No")</f>
        <v>Yes</v>
      </c>
      <c r="Q507" s="124" t="str" cm="1">
        <f t="array" ref="Q507">_xlfn.XLOOKUP(1,('Case Pack'!$A$4:$A$962=C507)*('Case Pack'!$L$4:$L$962&gt;0)*('Case Pack'!$L$4:$L$962&lt;=A507),'Case Pack'!$G$4:$G$962,"未找到箱型")</f>
        <v>B</v>
      </c>
      <c r="R507" s="124">
        <f>ROUND(IFERROR(VLOOKUP(Q507,'Case Type'!A:H,8,0),0)*O507,2)</f>
        <v>0.07</v>
      </c>
    </row>
    <row r="508" customFormat="1" spans="1:18">
      <c r="A508" s="113">
        <v>46191</v>
      </c>
      <c r="B508" s="91" t="str">
        <f>_xlfn.XLOOKUP(C508,'Product List'!B:B,'Product List'!I:I)</f>
        <v>MINI/MOE SILENT CRSTL RUN WHEEL LG 8.5-White</v>
      </c>
      <c r="C508" s="124" t="s">
        <v>29</v>
      </c>
      <c r="D508" s="125">
        <v>31441546</v>
      </c>
      <c r="E508" s="125">
        <v>200</v>
      </c>
      <c r="F508" s="125">
        <v>13.22</v>
      </c>
      <c r="G508" s="125">
        <f t="shared" si="14"/>
        <v>2644</v>
      </c>
      <c r="H508" s="86" t="s">
        <v>298</v>
      </c>
      <c r="I508" s="86" t="s">
        <v>92</v>
      </c>
      <c r="J508" s="86" t="s">
        <v>322</v>
      </c>
      <c r="K508" s="126">
        <v>46230</v>
      </c>
      <c r="L508" s="251">
        <v>46227</v>
      </c>
      <c r="M508" s="127">
        <f>_xlfn.XLOOKUP(C508,'Product List'!B:B,'Product List'!R:R)</f>
        <v>6.27</v>
      </c>
      <c r="N508" s="124">
        <f t="shared" si="15"/>
        <v>1254</v>
      </c>
      <c r="O508" s="124" cm="1">
        <f t="array" ref="O508">E508/_xlfn.XLOOKUP(1,('Case Pack'!$A$4:$A$962=C508)*('Case Pack'!$L$4:$L$962&gt;0)*('Case Pack'!$L$4:$L$962&lt;=A508),'Case Pack'!$D$4:$D$962,"未找到箱规")</f>
        <v>25</v>
      </c>
      <c r="P508" s="124" t="str">
        <f>IF(COUNTIF('PO Check'!A:A,D508)&gt;0,"Yes","No")</f>
        <v>Yes</v>
      </c>
      <c r="Q508" s="124" t="str" cm="1">
        <f t="array" ref="Q508">_xlfn.XLOOKUP(1,('Case Pack'!$A$4:$A$962=C508)*('Case Pack'!$L$4:$L$962&gt;0)*('Case Pack'!$L$4:$L$962&lt;=A508),'Case Pack'!$G$4:$G$962,"未找到箱型")</f>
        <v>C</v>
      </c>
      <c r="R508" s="124">
        <f>ROUND(IFERROR(VLOOKUP(Q508,'Case Type'!A:H,8,0),0)*O508,2)</f>
        <v>3.93</v>
      </c>
    </row>
    <row r="509" customFormat="1" spans="1:18">
      <c r="A509" s="113">
        <v>46191</v>
      </c>
      <c r="B509" s="91" t="str">
        <f>_xlfn.XLOOKUP(C509,'Product List'!B:B,'Product List'!I:I)</f>
        <v>MMO-GREEN APPLE CHEW</v>
      </c>
      <c r="C509" s="124" t="s">
        <v>33</v>
      </c>
      <c r="D509" s="125">
        <v>31441546</v>
      </c>
      <c r="E509" s="125">
        <v>144</v>
      </c>
      <c r="F509" s="125">
        <v>1.53</v>
      </c>
      <c r="G509" s="125">
        <f t="shared" si="14"/>
        <v>220.32</v>
      </c>
      <c r="H509" s="86" t="s">
        <v>298</v>
      </c>
      <c r="I509" s="86" t="s">
        <v>92</v>
      </c>
      <c r="J509" s="86" t="s">
        <v>322</v>
      </c>
      <c r="K509" s="126">
        <v>46230</v>
      </c>
      <c r="L509" s="251">
        <v>46227</v>
      </c>
      <c r="M509" s="127">
        <f>_xlfn.XLOOKUP(C509,'Product List'!B:B,'Product List'!R:R)</f>
        <v>1.04</v>
      </c>
      <c r="N509" s="124">
        <f t="shared" si="15"/>
        <v>149.76</v>
      </c>
      <c r="O509" s="124" cm="1">
        <f t="array" ref="O509">E509/_xlfn.XLOOKUP(1,('Case Pack'!$A$4:$A$962=C509)*('Case Pack'!$L$4:$L$962&gt;0)*('Case Pack'!$L$4:$L$962&lt;=A509),'Case Pack'!$D$4:$D$962,"未找到箱规")</f>
        <v>3</v>
      </c>
      <c r="P509" s="124" t="str">
        <f>IF(COUNTIF('PO Check'!A:A,D509)&gt;0,"Yes","No")</f>
        <v>Yes</v>
      </c>
      <c r="Q509" s="124" t="str" cm="1">
        <f t="array" ref="Q509">_xlfn.XLOOKUP(1,('Case Pack'!$A$4:$A$962=C509)*('Case Pack'!$L$4:$L$962&gt;0)*('Case Pack'!$L$4:$L$962&lt;=A509),'Case Pack'!$G$4:$G$962,"未找到箱型")</f>
        <v>B</v>
      </c>
      <c r="R509" s="124">
        <f>ROUND(IFERROR(VLOOKUP(Q509,'Case Type'!A:H,8,0),0)*O509,2)</f>
        <v>0.22</v>
      </c>
    </row>
    <row r="510" customFormat="1" spans="1:18">
      <c r="A510" s="113">
        <v>46191</v>
      </c>
      <c r="B510" s="91" t="str">
        <f>_xlfn.XLOOKUP(C510,'Product List'!B:B,'Product List'!I:I)</f>
        <v>MMO-CAMP LUNCH BOX CHEW</v>
      </c>
      <c r="C510" s="124" t="s">
        <v>34</v>
      </c>
      <c r="D510" s="125">
        <v>31441546</v>
      </c>
      <c r="E510" s="125">
        <v>216</v>
      </c>
      <c r="F510" s="125">
        <v>2.48</v>
      </c>
      <c r="G510" s="125">
        <f t="shared" si="14"/>
        <v>535.68</v>
      </c>
      <c r="H510" s="86" t="s">
        <v>298</v>
      </c>
      <c r="I510" s="86" t="s">
        <v>92</v>
      </c>
      <c r="J510" s="86" t="s">
        <v>322</v>
      </c>
      <c r="K510" s="126">
        <v>46230</v>
      </c>
      <c r="L510" s="251">
        <v>46227</v>
      </c>
      <c r="M510" s="127">
        <f>_xlfn.XLOOKUP(C510,'Product List'!B:B,'Product List'!R:R)</f>
        <v>1.59</v>
      </c>
      <c r="N510" s="124">
        <f t="shared" si="15"/>
        <v>343.44</v>
      </c>
      <c r="O510" s="124" cm="1">
        <f t="array" ref="O510">E510/_xlfn.XLOOKUP(1,('Case Pack'!$A$4:$A$962=C510)*('Case Pack'!$L$4:$L$962&gt;0)*('Case Pack'!$L$4:$L$962&lt;=A510),'Case Pack'!$D$4:$D$962,"未找到箱规")</f>
        <v>3</v>
      </c>
      <c r="P510" s="124" t="str">
        <f>IF(COUNTIF('PO Check'!A:A,D510)&gt;0,"Yes","No")</f>
        <v>Yes</v>
      </c>
      <c r="Q510" s="124" t="str" cm="1">
        <f t="array" ref="Q510">_xlfn.XLOOKUP(1,('Case Pack'!$A$4:$A$962=C510)*('Case Pack'!$L$4:$L$962&gt;0)*('Case Pack'!$L$4:$L$962&lt;=A510),'Case Pack'!$G$4:$G$962,"未找到箱型")</f>
        <v>B</v>
      </c>
      <c r="R510" s="124">
        <f>ROUND(IFERROR(VLOOKUP(Q510,'Case Type'!A:H,8,0),0)*O510,2)</f>
        <v>0.22</v>
      </c>
    </row>
    <row r="511" customFormat="1" spans="1:18">
      <c r="A511" s="113">
        <v>46191</v>
      </c>
      <c r="B511" s="91" t="str">
        <f>_xlfn.XLOOKUP(C511,'Product List'!B:B,'Product List'!I:I)</f>
        <v>MMO-SHELL PEARL HAMSTER CHEW</v>
      </c>
      <c r="C511" s="124" t="s">
        <v>35</v>
      </c>
      <c r="D511" s="125">
        <v>31441546</v>
      </c>
      <c r="E511" s="125">
        <v>64</v>
      </c>
      <c r="F511" s="125">
        <v>1.61</v>
      </c>
      <c r="G511" s="125">
        <f t="shared" si="14"/>
        <v>103.04</v>
      </c>
      <c r="H511" s="86" t="s">
        <v>298</v>
      </c>
      <c r="I511" s="86" t="s">
        <v>92</v>
      </c>
      <c r="J511" s="86" t="s">
        <v>322</v>
      </c>
      <c r="K511" s="126">
        <v>46230</v>
      </c>
      <c r="L511" s="251">
        <v>46227</v>
      </c>
      <c r="M511" s="127">
        <f>_xlfn.XLOOKUP(C511,'Product List'!B:B,'Product List'!R:R)</f>
        <v>0.96</v>
      </c>
      <c r="N511" s="124">
        <f t="shared" si="15"/>
        <v>61.44</v>
      </c>
      <c r="O511" s="124" cm="1">
        <f t="array" ref="O511">E511/_xlfn.XLOOKUP(1,('Case Pack'!$A$4:$A$962=C511)*('Case Pack'!$L$4:$L$962&gt;0)*('Case Pack'!$L$4:$L$962&lt;=A511),'Case Pack'!$D$4:$D$962,"未找到箱规")</f>
        <v>1</v>
      </c>
      <c r="P511" s="124" t="str">
        <f>IF(COUNTIF('PO Check'!A:A,D511)&gt;0,"Yes","No")</f>
        <v>Yes</v>
      </c>
      <c r="Q511" s="124" t="str" cm="1">
        <f t="array" ref="Q511">_xlfn.XLOOKUP(1,('Case Pack'!$A$4:$A$962=C511)*('Case Pack'!$L$4:$L$962&gt;0)*('Case Pack'!$L$4:$L$962&lt;=A511),'Case Pack'!$G$4:$G$962,"未找到箱型")</f>
        <v>B</v>
      </c>
      <c r="R511" s="124">
        <f>ROUND(IFERROR(VLOOKUP(Q511,'Case Type'!A:H,8,0),0)*O511,2)</f>
        <v>0.07</v>
      </c>
    </row>
    <row r="512" customFormat="1" spans="1:18">
      <c r="A512" s="113">
        <v>46191</v>
      </c>
      <c r="B512" s="91" t="str">
        <f>_xlfn.XLOOKUP(C512,'Product List'!B:B,'Product List'!I:I)</f>
        <v>MINI/MOE TV VIEWING CAGE</v>
      </c>
      <c r="C512" s="124" t="s">
        <v>50</v>
      </c>
      <c r="D512" s="125">
        <v>31441546</v>
      </c>
      <c r="E512" s="125">
        <v>107</v>
      </c>
      <c r="F512" s="125">
        <v>48.49</v>
      </c>
      <c r="G512" s="125">
        <f t="shared" si="14"/>
        <v>5188.43</v>
      </c>
      <c r="H512" s="86" t="s">
        <v>298</v>
      </c>
      <c r="I512" s="86" t="s">
        <v>92</v>
      </c>
      <c r="J512" s="86" t="s">
        <v>322</v>
      </c>
      <c r="K512" s="126">
        <v>46230</v>
      </c>
      <c r="L512" s="251">
        <v>46227</v>
      </c>
      <c r="M512" s="127">
        <f>_xlfn.XLOOKUP(C512,'Product List'!B:B,'Product List'!R:R)</f>
        <v>24.09</v>
      </c>
      <c r="N512" s="124">
        <f t="shared" si="15"/>
        <v>2577.63</v>
      </c>
      <c r="O512" s="124" cm="1">
        <f t="array" ref="O512">E512/_xlfn.XLOOKUP(1,('Case Pack'!$A$4:$A$962=C512)*('Case Pack'!$L$4:$L$962&gt;0)*('Case Pack'!$L$4:$L$962&lt;=A512),'Case Pack'!$D$4:$D$962,"未找到箱规")</f>
        <v>107</v>
      </c>
      <c r="P512" s="124" t="str">
        <f>IF(COUNTIF('PO Check'!A:A,D512)&gt;0,"Yes","No")</f>
        <v>Yes</v>
      </c>
      <c r="Q512" s="124" t="str" cm="1">
        <f t="array" ref="Q512">_xlfn.XLOOKUP(1,('Case Pack'!$A$4:$A$962=C512)*('Case Pack'!$L$4:$L$962&gt;0)*('Case Pack'!$L$4:$L$962&lt;=A512),'Case Pack'!$G$4:$G$962,"未找到箱型")</f>
        <v>S1</v>
      </c>
      <c r="R512" s="124">
        <f>ROUND(IFERROR(VLOOKUP(Q512,'Case Type'!A:H,8,0),0)*O512,2)</f>
        <v>7.92</v>
      </c>
    </row>
    <row r="513" customFormat="1" spans="1:18">
      <c r="A513" s="113">
        <v>46191</v>
      </c>
      <c r="B513" s="91" t="str">
        <f>_xlfn.XLOOKUP(C513,'Product List'!B:B,'Product List'!I:I)</f>
        <v>MMO-STARFISH CASTLE</v>
      </c>
      <c r="C513" s="124" t="s">
        <v>60</v>
      </c>
      <c r="D513" s="125">
        <v>31441546</v>
      </c>
      <c r="E513" s="125">
        <v>180</v>
      </c>
      <c r="F513" s="125">
        <v>5.32</v>
      </c>
      <c r="G513" s="125">
        <f t="shared" si="14"/>
        <v>957.6</v>
      </c>
      <c r="H513" s="86" t="s">
        <v>298</v>
      </c>
      <c r="I513" s="86" t="s">
        <v>92</v>
      </c>
      <c r="J513" s="86" t="s">
        <v>322</v>
      </c>
      <c r="K513" s="126">
        <v>46230</v>
      </c>
      <c r="L513" s="251">
        <v>46227</v>
      </c>
      <c r="M513" s="127">
        <f>_xlfn.XLOOKUP(C513,'Product List'!B:B,'Product List'!R:R)</f>
        <v>2.81</v>
      </c>
      <c r="N513" s="124">
        <f t="shared" si="15"/>
        <v>505.8</v>
      </c>
      <c r="O513" s="124" cm="1">
        <f t="array" ref="O513">E513/_xlfn.XLOOKUP(1,('Case Pack'!$A$4:$A$962=C513)*('Case Pack'!$L$4:$L$962&gt;0)*('Case Pack'!$L$4:$L$962&lt;=A513),'Case Pack'!$D$4:$D$962,"未找到箱规")</f>
        <v>9</v>
      </c>
      <c r="P513" s="124" t="str">
        <f>IF(COUNTIF('PO Check'!A:A,D513)&gt;0,"Yes","No")</f>
        <v>Yes</v>
      </c>
      <c r="Q513" s="124" t="str" cm="1">
        <f t="array" ref="Q513">_xlfn.XLOOKUP(1,('Case Pack'!$A$4:$A$962=C513)*('Case Pack'!$L$4:$L$962&gt;0)*('Case Pack'!$L$4:$L$962&lt;=A513),'Case Pack'!$G$4:$G$962,"未找到箱型")</f>
        <v>C</v>
      </c>
      <c r="R513" s="124">
        <f>ROUND(IFERROR(VLOOKUP(Q513,'Case Type'!A:H,8,0),0)*O513,2)</f>
        <v>1.42</v>
      </c>
    </row>
    <row r="514" customFormat="1" spans="1:18">
      <c r="A514" s="113">
        <v>46191</v>
      </c>
      <c r="B514" s="91" t="str">
        <f>_xlfn.XLOOKUP(C514,'Product List'!B:B,'Product List'!I:I)</f>
        <v>MMO-WAVE BRIDGE</v>
      </c>
      <c r="C514" s="124" t="s">
        <v>61</v>
      </c>
      <c r="D514" s="125">
        <v>31441546</v>
      </c>
      <c r="E514" s="125">
        <v>297</v>
      </c>
      <c r="F514" s="125">
        <v>4.84</v>
      </c>
      <c r="G514" s="125">
        <f t="shared" si="14"/>
        <v>1437.48</v>
      </c>
      <c r="H514" s="86" t="s">
        <v>298</v>
      </c>
      <c r="I514" s="86" t="s">
        <v>92</v>
      </c>
      <c r="J514" s="86" t="s">
        <v>322</v>
      </c>
      <c r="K514" s="126">
        <v>46230</v>
      </c>
      <c r="L514" s="251">
        <v>46227</v>
      </c>
      <c r="M514" s="127">
        <f>_xlfn.XLOOKUP(C514,'Product List'!B:B,'Product List'!R:R)</f>
        <v>2.79</v>
      </c>
      <c r="N514" s="124">
        <f t="shared" si="15"/>
        <v>828.63</v>
      </c>
      <c r="O514" s="124" cm="1">
        <f t="array" ref="O514">E514/_xlfn.XLOOKUP(1,('Case Pack'!$A$4:$A$962=C514)*('Case Pack'!$L$4:$L$962&gt;0)*('Case Pack'!$L$4:$L$962&lt;=A514),'Case Pack'!$D$4:$D$962,"未找到箱规")</f>
        <v>9</v>
      </c>
      <c r="P514" s="124" t="str">
        <f>IF(COUNTIF('PO Check'!A:A,D514)&gt;0,"Yes","No")</f>
        <v>Yes</v>
      </c>
      <c r="Q514" s="124" t="str" cm="1">
        <f t="array" ref="Q514">_xlfn.XLOOKUP(1,('Case Pack'!$A$4:$A$962=C514)*('Case Pack'!$L$4:$L$962&gt;0)*('Case Pack'!$L$4:$L$962&lt;=A514),'Case Pack'!$G$4:$G$962,"未找到箱型")</f>
        <v>C</v>
      </c>
      <c r="R514" s="124">
        <f>ROUND(IFERROR(VLOOKUP(Q514,'Case Type'!A:H,8,0),0)*O514,2)</f>
        <v>1.42</v>
      </c>
    </row>
    <row r="515" customFormat="1" spans="1:18">
      <c r="A515" s="113">
        <v>46191</v>
      </c>
      <c r="B515" s="91" t="str">
        <f>_xlfn.XLOOKUP(C515,'Product List'!B:B,'Product List'!I:I)</f>
        <v>MINI/MOE BENDABLE BIRCHWOOD FENCE</v>
      </c>
      <c r="C515" s="124" t="s">
        <v>62</v>
      </c>
      <c r="D515" s="125">
        <v>31441546</v>
      </c>
      <c r="E515" s="125">
        <v>32</v>
      </c>
      <c r="F515" s="125">
        <v>5.01</v>
      </c>
      <c r="G515" s="125">
        <f t="shared" si="14"/>
        <v>160.32</v>
      </c>
      <c r="H515" s="86" t="s">
        <v>298</v>
      </c>
      <c r="I515" s="86" t="s">
        <v>92</v>
      </c>
      <c r="J515" s="86" t="s">
        <v>322</v>
      </c>
      <c r="K515" s="126">
        <v>46230</v>
      </c>
      <c r="L515" s="251">
        <v>46227</v>
      </c>
      <c r="M515" s="127">
        <f>_xlfn.XLOOKUP(C515,'Product List'!B:B,'Product List'!R:R)</f>
        <v>3.4</v>
      </c>
      <c r="N515" s="124">
        <f t="shared" si="15"/>
        <v>108.8</v>
      </c>
      <c r="O515" s="124" cm="1">
        <f t="array" ref="O515">E515/_xlfn.XLOOKUP(1,('Case Pack'!$A$4:$A$962=C515)*('Case Pack'!$L$4:$L$962&gt;0)*('Case Pack'!$L$4:$L$962&lt;=A515),'Case Pack'!$D$4:$D$962,"未找到箱规")</f>
        <v>1</v>
      </c>
      <c r="P515" s="124" t="str">
        <f>IF(COUNTIF('PO Check'!A:A,D515)&gt;0,"Yes","No")</f>
        <v>Yes</v>
      </c>
      <c r="Q515" s="124" t="str" cm="1">
        <f t="array" ref="Q515">_xlfn.XLOOKUP(1,('Case Pack'!$A$4:$A$962=C515)*('Case Pack'!$L$4:$L$962&gt;0)*('Case Pack'!$L$4:$L$962&lt;=A515),'Case Pack'!$G$4:$G$962,"未找到箱型")</f>
        <v>F</v>
      </c>
      <c r="R515" s="124">
        <f>ROUND(IFERROR(VLOOKUP(Q515,'Case Type'!A:H,8,0),0)*O515,2)</f>
        <v>0.04</v>
      </c>
    </row>
    <row r="516" customFormat="1" spans="1:18">
      <c r="A516" s="113">
        <v>46191</v>
      </c>
      <c r="B516" s="91" t="str">
        <f>_xlfn.XLOOKUP(C516,'Product List'!B:B,'Product List'!I:I)</f>
        <v>MMO-BUBBLE WATER BOTTLE</v>
      </c>
      <c r="C516" s="124" t="s">
        <v>67</v>
      </c>
      <c r="D516" s="125">
        <v>31441546</v>
      </c>
      <c r="E516" s="125">
        <v>294</v>
      </c>
      <c r="F516" s="125">
        <v>4.35</v>
      </c>
      <c r="G516" s="125">
        <f t="shared" si="14"/>
        <v>1278.9</v>
      </c>
      <c r="H516" s="86" t="s">
        <v>298</v>
      </c>
      <c r="I516" s="86" t="s">
        <v>92</v>
      </c>
      <c r="J516" s="86" t="s">
        <v>322</v>
      </c>
      <c r="K516" s="126">
        <v>46230</v>
      </c>
      <c r="L516" s="251">
        <v>46227</v>
      </c>
      <c r="M516" s="127">
        <f>_xlfn.XLOOKUP(C516,'Product List'!B:B,'Product List'!R:R)</f>
        <v>3.1</v>
      </c>
      <c r="N516" s="124">
        <f t="shared" si="15"/>
        <v>911.4</v>
      </c>
      <c r="O516" s="124" cm="1">
        <f t="array" ref="O516">E516/_xlfn.XLOOKUP(1,('Case Pack'!$A$4:$A$962=C516)*('Case Pack'!$L$4:$L$962&gt;0)*('Case Pack'!$L$4:$L$962&lt;=A516),'Case Pack'!$D$4:$D$962,"未找到箱规")</f>
        <v>7</v>
      </c>
      <c r="P516" s="124" t="str">
        <f>IF(COUNTIF('PO Check'!A:A,D516)&gt;0,"Yes","No")</f>
        <v>Yes</v>
      </c>
      <c r="Q516" s="124" t="str" cm="1">
        <f t="array" ref="Q516">_xlfn.XLOOKUP(1,('Case Pack'!$A$4:$A$962=C516)*('Case Pack'!$L$4:$L$962&gt;0)*('Case Pack'!$L$4:$L$962&lt;=A516),'Case Pack'!$G$4:$G$962,"未找到箱型")</f>
        <v>C</v>
      </c>
      <c r="R516" s="124">
        <f>ROUND(IFERROR(VLOOKUP(Q516,'Case Type'!A:H,8,0),0)*O516,2)</f>
        <v>1.1</v>
      </c>
    </row>
    <row r="517" customFormat="1" spans="1:18">
      <c r="A517" s="113">
        <v>46191</v>
      </c>
      <c r="B517" s="91" t="str">
        <f>_xlfn.XLOOKUP(C517,'Product List'!B:B,'Product List'!I:I)</f>
        <v>MMO-PAPER TWIST BLU/WHT</v>
      </c>
      <c r="C517" s="124" t="s">
        <v>68</v>
      </c>
      <c r="D517" s="125">
        <v>31441546</v>
      </c>
      <c r="E517" s="125">
        <v>150</v>
      </c>
      <c r="F517" s="125">
        <v>3.89</v>
      </c>
      <c r="G517" s="125">
        <f t="shared" si="14"/>
        <v>583.5</v>
      </c>
      <c r="H517" s="86" t="s">
        <v>298</v>
      </c>
      <c r="I517" s="86" t="s">
        <v>92</v>
      </c>
      <c r="J517" s="86" t="s">
        <v>322</v>
      </c>
      <c r="K517" s="126">
        <v>46230</v>
      </c>
      <c r="L517" s="251">
        <v>46227</v>
      </c>
      <c r="M517" s="127">
        <f>_xlfn.XLOOKUP(C517,'Product List'!B:B,'Product List'!R:R)</f>
        <v>1.98</v>
      </c>
      <c r="N517" s="124">
        <f t="shared" si="15"/>
        <v>297</v>
      </c>
      <c r="O517" s="124" cm="1">
        <f t="array" ref="O517">E517/_xlfn.XLOOKUP(1,('Case Pack'!$A$4:$A$962=C517)*('Case Pack'!$L$4:$L$962&gt;0)*('Case Pack'!$L$4:$L$962&lt;=A517),'Case Pack'!$D$4:$D$962,"未找到箱规")</f>
        <v>5</v>
      </c>
      <c r="P517" s="124" t="str">
        <f>IF(COUNTIF('PO Check'!A:A,D517)&gt;0,"Yes","No")</f>
        <v>Yes</v>
      </c>
      <c r="Q517" s="124" t="str" cm="1">
        <f t="array" ref="Q517">_xlfn.XLOOKUP(1,('Case Pack'!$A$4:$A$962=C517)*('Case Pack'!$L$4:$L$962&gt;0)*('Case Pack'!$L$4:$L$962&lt;=A517),'Case Pack'!$G$4:$G$962,"未找到箱型")</f>
        <v>A</v>
      </c>
      <c r="R517" s="124">
        <f>ROUND(IFERROR(VLOOKUP(Q517,'Case Type'!A:H,8,0),0)*O517,2)</f>
        <v>0.55</v>
      </c>
    </row>
    <row r="518" customFormat="1" spans="1:18">
      <c r="A518" s="113">
        <v>46191</v>
      </c>
      <c r="B518" s="91" t="str">
        <f>_xlfn.XLOOKUP(C518,'Product List'!B:B,'Product List'!I:I)</f>
        <v>MMO-CLOUD WATER BOTTLE</v>
      </c>
      <c r="C518" s="124" t="s">
        <v>77</v>
      </c>
      <c r="D518" s="125">
        <v>31441546</v>
      </c>
      <c r="E518" s="125">
        <v>300</v>
      </c>
      <c r="F518" s="125">
        <v>1.32</v>
      </c>
      <c r="G518" s="125">
        <f t="shared" si="14"/>
        <v>396</v>
      </c>
      <c r="H518" s="86" t="s">
        <v>298</v>
      </c>
      <c r="I518" s="86" t="s">
        <v>92</v>
      </c>
      <c r="J518" s="86" t="s">
        <v>322</v>
      </c>
      <c r="K518" s="126">
        <v>46230</v>
      </c>
      <c r="L518" s="251">
        <v>46227</v>
      </c>
      <c r="M518" s="127">
        <f>_xlfn.XLOOKUP(C518,'Product List'!B:B,'Product List'!R:R)</f>
        <v>0.62</v>
      </c>
      <c r="N518" s="124">
        <f t="shared" si="15"/>
        <v>186</v>
      </c>
      <c r="O518" s="124" cm="1">
        <f t="array" ref="O518">E518/_xlfn.XLOOKUP(1,('Case Pack'!$A$4:$A$962=C518)*('Case Pack'!$L$4:$L$962&gt;0)*('Case Pack'!$L$4:$L$962&lt;=A518),'Case Pack'!$D$4:$D$962,"未找到箱规")</f>
        <v>6</v>
      </c>
      <c r="P518" s="124" t="str">
        <f>IF(COUNTIF('PO Check'!A:A,D518)&gt;0,"Yes","No")</f>
        <v>Yes</v>
      </c>
      <c r="Q518" s="124" t="str" cm="1">
        <f t="array" ref="Q518">_xlfn.XLOOKUP(1,('Case Pack'!$A$4:$A$962=C518)*('Case Pack'!$L$4:$L$962&gt;0)*('Case Pack'!$L$4:$L$962&lt;=A518),'Case Pack'!$G$4:$G$962,"未找到箱型")</f>
        <v>A</v>
      </c>
      <c r="R518" s="124">
        <f>ROUND(IFERROR(VLOOKUP(Q518,'Case Type'!A:H,8,0),0)*O518,2)</f>
        <v>0.66</v>
      </c>
    </row>
    <row r="519" customFormat="1" spans="1:18">
      <c r="A519" s="113">
        <v>46191</v>
      </c>
      <c r="B519" s="91" t="str">
        <f>_xlfn.XLOOKUP(C519,'Product List'!B:B,'Product List'!I:I)</f>
        <v>MINI/MOE RUFFLE BOWL</v>
      </c>
      <c r="C519" s="124" t="s">
        <v>78</v>
      </c>
      <c r="D519" s="125">
        <v>31441546</v>
      </c>
      <c r="E519" s="125">
        <v>240</v>
      </c>
      <c r="F519" s="125">
        <v>2.35</v>
      </c>
      <c r="G519" s="125">
        <f t="shared" si="14"/>
        <v>564</v>
      </c>
      <c r="H519" s="86" t="s">
        <v>298</v>
      </c>
      <c r="I519" s="86" t="s">
        <v>92</v>
      </c>
      <c r="J519" s="86" t="s">
        <v>322</v>
      </c>
      <c r="K519" s="126">
        <v>46230</v>
      </c>
      <c r="L519" s="251">
        <v>46227</v>
      </c>
      <c r="M519" s="127">
        <f>_xlfn.XLOOKUP(C519,'Product List'!B:B,'Product List'!R:R)</f>
        <v>1.34</v>
      </c>
      <c r="N519" s="124">
        <f t="shared" si="15"/>
        <v>321.6</v>
      </c>
      <c r="O519" s="124" cm="1">
        <f t="array" ref="O519">E519/_xlfn.XLOOKUP(1,('Case Pack'!$A$4:$A$962=C519)*('Case Pack'!$L$4:$L$962&gt;0)*('Case Pack'!$L$4:$L$962&lt;=A519),'Case Pack'!$D$4:$D$962,"未找到箱规")</f>
        <v>5</v>
      </c>
      <c r="P519" s="124" t="str">
        <f>IF(COUNTIF('PO Check'!A:A,D519)&gt;0,"Yes","No")</f>
        <v>Yes</v>
      </c>
      <c r="Q519" s="124" t="str" cm="1">
        <f t="array" ref="Q519">_xlfn.XLOOKUP(1,('Case Pack'!$A$4:$A$962=C519)*('Case Pack'!$L$4:$L$962&gt;0)*('Case Pack'!$L$4:$L$962&lt;=A519),'Case Pack'!$G$4:$G$962,"未找到箱型")</f>
        <v>B</v>
      </c>
      <c r="R519" s="124">
        <f>ROUND(IFERROR(VLOOKUP(Q519,'Case Type'!A:H,8,0),0)*O519,2)</f>
        <v>0.37</v>
      </c>
    </row>
    <row r="520" customFormat="1" spans="1:18">
      <c r="A520" s="113">
        <v>46191</v>
      </c>
      <c r="B520" s="91" t="str">
        <f>_xlfn.XLOOKUP(C520,'Product List'!B:B,'Product List'!I:I)</f>
        <v>MMO-PAPER PEBBLES</v>
      </c>
      <c r="C520" s="124" t="s">
        <v>81</v>
      </c>
      <c r="D520" s="125">
        <v>31441546</v>
      </c>
      <c r="E520" s="125">
        <v>84</v>
      </c>
      <c r="F520" s="125">
        <v>5.81</v>
      </c>
      <c r="G520" s="125">
        <f t="shared" si="14"/>
        <v>488.04</v>
      </c>
      <c r="H520" s="86" t="s">
        <v>298</v>
      </c>
      <c r="I520" s="86" t="s">
        <v>92</v>
      </c>
      <c r="J520" s="86" t="s">
        <v>322</v>
      </c>
      <c r="K520" s="126">
        <v>46230</v>
      </c>
      <c r="L520" s="251">
        <v>46227</v>
      </c>
      <c r="M520" s="127">
        <f>_xlfn.XLOOKUP(C520,'Product List'!B:B,'Product List'!R:R)</f>
        <v>2.84</v>
      </c>
      <c r="N520" s="124">
        <f t="shared" si="15"/>
        <v>238.56</v>
      </c>
      <c r="O520" s="124" cm="1">
        <f t="array" ref="O520">E520/_xlfn.XLOOKUP(1,('Case Pack'!$A$4:$A$962=C520)*('Case Pack'!$L$4:$L$962&gt;0)*('Case Pack'!$L$4:$L$962&lt;=A520),'Case Pack'!$D$4:$D$962,"未找到箱规")</f>
        <v>7</v>
      </c>
      <c r="P520" s="124" t="str">
        <f>IF(COUNTIF('PO Check'!A:A,D520)&gt;0,"Yes","No")</f>
        <v>Yes</v>
      </c>
      <c r="Q520" s="124" t="str" cm="1">
        <f t="array" ref="Q520">_xlfn.XLOOKUP(1,('Case Pack'!$A$4:$A$962=C520)*('Case Pack'!$L$4:$L$962&gt;0)*('Case Pack'!$L$4:$L$962&lt;=A520),'Case Pack'!$G$4:$G$962,"未找到箱型")</f>
        <v>B</v>
      </c>
      <c r="R520" s="124">
        <f>ROUND(IFERROR(VLOOKUP(Q520,'Case Type'!A:H,8,0),0)*O520,2)</f>
        <v>0.51</v>
      </c>
    </row>
    <row r="521" customFormat="1" spans="1:18">
      <c r="A521" s="113">
        <v>46191</v>
      </c>
      <c r="B521" s="91" t="str">
        <f>_xlfn.XLOOKUP(C521,'Product List'!B:B,'Product List'!I:I)</f>
        <v>MMO-COTTON NESTING BALLS</v>
      </c>
      <c r="C521" s="124" t="s">
        <v>84</v>
      </c>
      <c r="D521" s="125">
        <v>31441546</v>
      </c>
      <c r="E521" s="125">
        <v>64</v>
      </c>
      <c r="F521" s="125">
        <v>3.37</v>
      </c>
      <c r="G521" s="125">
        <f t="shared" si="14"/>
        <v>215.68</v>
      </c>
      <c r="H521" s="86" t="s">
        <v>298</v>
      </c>
      <c r="I521" s="86" t="s">
        <v>92</v>
      </c>
      <c r="J521" s="86" t="s">
        <v>322</v>
      </c>
      <c r="K521" s="126">
        <v>46230</v>
      </c>
      <c r="L521" s="251">
        <v>46227</v>
      </c>
      <c r="M521" s="127">
        <f>_xlfn.XLOOKUP(C521,'Product List'!B:B,'Product List'!R:R)</f>
        <v>1.64</v>
      </c>
      <c r="N521" s="124">
        <f t="shared" si="15"/>
        <v>104.96</v>
      </c>
      <c r="O521" s="124" cm="1">
        <f t="array" ref="O521">E521/_xlfn.XLOOKUP(1,('Case Pack'!$A$4:$A$962=C521)*('Case Pack'!$L$4:$L$962&gt;0)*('Case Pack'!$L$4:$L$962&lt;=A521),'Case Pack'!$D$4:$D$962,"未找到箱规")</f>
        <v>2</v>
      </c>
      <c r="P521" s="124" t="str">
        <f>IF(COUNTIF('PO Check'!A:A,D521)&gt;0,"Yes","No")</f>
        <v>Yes</v>
      </c>
      <c r="Q521" s="124" t="str" cm="1">
        <f t="array" ref="Q521">_xlfn.XLOOKUP(1,('Case Pack'!$A$4:$A$962=C521)*('Case Pack'!$L$4:$L$962&gt;0)*('Case Pack'!$L$4:$L$962&lt;=A521),'Case Pack'!$G$4:$G$962,"未找到箱型")</f>
        <v>A</v>
      </c>
      <c r="R521" s="124">
        <f>ROUND(IFERROR(VLOOKUP(Q521,'Case Type'!A:H,8,0),0)*O521,2)</f>
        <v>0.22</v>
      </c>
    </row>
    <row r="522" customFormat="1" spans="1:18">
      <c r="A522" s="113">
        <v>46191</v>
      </c>
      <c r="B522" s="91" t="str">
        <f>_xlfn.XLOOKUP(C522,'Product List'!B:B,'Product List'!I:I)</f>
        <v>MINI/MOE SILENT CRSTL RUN WHEEL LG 8.5-White</v>
      </c>
      <c r="C522" s="124" t="s">
        <v>29</v>
      </c>
      <c r="D522" s="125">
        <v>31441547</v>
      </c>
      <c r="E522" s="125">
        <v>144</v>
      </c>
      <c r="F522" s="125">
        <v>13.22</v>
      </c>
      <c r="G522" s="125">
        <f t="shared" si="14"/>
        <v>1903.68</v>
      </c>
      <c r="H522" s="86" t="s">
        <v>298</v>
      </c>
      <c r="I522" s="86" t="s">
        <v>92</v>
      </c>
      <c r="J522" s="86" t="s">
        <v>316</v>
      </c>
      <c r="K522" s="126">
        <v>46232</v>
      </c>
      <c r="L522" s="251">
        <v>46225</v>
      </c>
      <c r="M522" s="127">
        <f>_xlfn.XLOOKUP(C522,'Product List'!B:B,'Product List'!R:R)</f>
        <v>6.27</v>
      </c>
      <c r="N522" s="124">
        <f t="shared" si="15"/>
        <v>902.88</v>
      </c>
      <c r="O522" s="124" cm="1">
        <f t="array" ref="O522">E522/_xlfn.XLOOKUP(1,('Case Pack'!$A$4:$A$962=C522)*('Case Pack'!$L$4:$L$962&gt;0)*('Case Pack'!$L$4:$L$962&lt;=A522),'Case Pack'!$D$4:$D$962,"未找到箱规")</f>
        <v>18</v>
      </c>
      <c r="P522" s="124" t="str">
        <f>IF(COUNTIF('PO Check'!A:A,D522)&gt;0,"Yes","No")</f>
        <v>Yes</v>
      </c>
      <c r="Q522" s="124" t="str" cm="1">
        <f t="array" ref="Q522">_xlfn.XLOOKUP(1,('Case Pack'!$A$4:$A$962=C522)*('Case Pack'!$L$4:$L$962&gt;0)*('Case Pack'!$L$4:$L$962&lt;=A522),'Case Pack'!$G$4:$G$962,"未找到箱型")</f>
        <v>C</v>
      </c>
      <c r="R522" s="124">
        <f>ROUND(IFERROR(VLOOKUP(Q522,'Case Type'!A:H,8,0),0)*O522,2)</f>
        <v>2.83</v>
      </c>
    </row>
    <row r="523" customFormat="1" spans="1:18">
      <c r="A523" s="113">
        <v>46191</v>
      </c>
      <c r="B523" s="91" t="str">
        <f>_xlfn.XLOOKUP(C523,'Product List'!B:B,'Product List'!I:I)</f>
        <v>MMO-GREEN APPLE CHEW</v>
      </c>
      <c r="C523" s="124" t="s">
        <v>33</v>
      </c>
      <c r="D523" s="125">
        <v>31441547</v>
      </c>
      <c r="E523" s="125">
        <v>96</v>
      </c>
      <c r="F523" s="125">
        <v>1.53</v>
      </c>
      <c r="G523" s="125">
        <f t="shared" si="14"/>
        <v>146.88</v>
      </c>
      <c r="H523" s="86" t="s">
        <v>298</v>
      </c>
      <c r="I523" s="86" t="s">
        <v>92</v>
      </c>
      <c r="J523" s="86" t="s">
        <v>316</v>
      </c>
      <c r="K523" s="126">
        <v>46232</v>
      </c>
      <c r="L523" s="251">
        <v>46225</v>
      </c>
      <c r="M523" s="127">
        <f>_xlfn.XLOOKUP(C523,'Product List'!B:B,'Product List'!R:R)</f>
        <v>1.04</v>
      </c>
      <c r="N523" s="124">
        <f t="shared" si="15"/>
        <v>99.84</v>
      </c>
      <c r="O523" s="124" cm="1">
        <f t="array" ref="O523">E523/_xlfn.XLOOKUP(1,('Case Pack'!$A$4:$A$962=C523)*('Case Pack'!$L$4:$L$962&gt;0)*('Case Pack'!$L$4:$L$962&lt;=A523),'Case Pack'!$D$4:$D$962,"未找到箱规")</f>
        <v>2</v>
      </c>
      <c r="P523" s="124" t="str">
        <f>IF(COUNTIF('PO Check'!A:A,D523)&gt;0,"Yes","No")</f>
        <v>Yes</v>
      </c>
      <c r="Q523" s="124" t="str" cm="1">
        <f t="array" ref="Q523">_xlfn.XLOOKUP(1,('Case Pack'!$A$4:$A$962=C523)*('Case Pack'!$L$4:$L$962&gt;0)*('Case Pack'!$L$4:$L$962&lt;=A523),'Case Pack'!$G$4:$G$962,"未找到箱型")</f>
        <v>B</v>
      </c>
      <c r="R523" s="124">
        <f>ROUND(IFERROR(VLOOKUP(Q523,'Case Type'!A:H,8,0),0)*O523,2)</f>
        <v>0.15</v>
      </c>
    </row>
    <row r="524" customFormat="1" spans="1:18">
      <c r="A524" s="113">
        <v>46191</v>
      </c>
      <c r="B524" s="91" t="str">
        <f>_xlfn.XLOOKUP(C524,'Product List'!B:B,'Product List'!I:I)</f>
        <v>MMO-SHELL PEARL HAMSTER CHEW</v>
      </c>
      <c r="C524" s="124" t="s">
        <v>35</v>
      </c>
      <c r="D524" s="125">
        <v>31441547</v>
      </c>
      <c r="E524" s="125">
        <v>64</v>
      </c>
      <c r="F524" s="125">
        <v>1.61</v>
      </c>
      <c r="G524" s="125">
        <f t="shared" si="14"/>
        <v>103.04</v>
      </c>
      <c r="H524" s="86" t="s">
        <v>298</v>
      </c>
      <c r="I524" s="86" t="s">
        <v>92</v>
      </c>
      <c r="J524" s="86" t="s">
        <v>316</v>
      </c>
      <c r="K524" s="126">
        <v>46232</v>
      </c>
      <c r="L524" s="251">
        <v>46225</v>
      </c>
      <c r="M524" s="127">
        <f>_xlfn.XLOOKUP(C524,'Product List'!B:B,'Product List'!R:R)</f>
        <v>0.96</v>
      </c>
      <c r="N524" s="124">
        <f t="shared" si="15"/>
        <v>61.44</v>
      </c>
      <c r="O524" s="124" cm="1">
        <f t="array" ref="O524">E524/_xlfn.XLOOKUP(1,('Case Pack'!$A$4:$A$962=C524)*('Case Pack'!$L$4:$L$962&gt;0)*('Case Pack'!$L$4:$L$962&lt;=A524),'Case Pack'!$D$4:$D$962,"未找到箱规")</f>
        <v>1</v>
      </c>
      <c r="P524" s="124" t="str">
        <f>IF(COUNTIF('PO Check'!A:A,D524)&gt;0,"Yes","No")</f>
        <v>Yes</v>
      </c>
      <c r="Q524" s="124" t="str" cm="1">
        <f t="array" ref="Q524">_xlfn.XLOOKUP(1,('Case Pack'!$A$4:$A$962=C524)*('Case Pack'!$L$4:$L$962&gt;0)*('Case Pack'!$L$4:$L$962&lt;=A524),'Case Pack'!$G$4:$G$962,"未找到箱型")</f>
        <v>B</v>
      </c>
      <c r="R524" s="124">
        <f>ROUND(IFERROR(VLOOKUP(Q524,'Case Type'!A:H,8,0),0)*O524,2)</f>
        <v>0.07</v>
      </c>
    </row>
    <row r="525" customFormat="1" spans="1:18">
      <c r="A525" s="113">
        <v>46191</v>
      </c>
      <c r="B525" s="91" t="str">
        <f>_xlfn.XLOOKUP(C525,'Product List'!B:B,'Product List'!I:I)</f>
        <v>MINI/MOE TV VIEWING CAGE</v>
      </c>
      <c r="C525" s="124" t="s">
        <v>50</v>
      </c>
      <c r="D525" s="125">
        <v>31441547</v>
      </c>
      <c r="E525" s="125">
        <v>131</v>
      </c>
      <c r="F525" s="125">
        <v>48.49</v>
      </c>
      <c r="G525" s="125">
        <f t="shared" si="14"/>
        <v>6352.19</v>
      </c>
      <c r="H525" s="86" t="s">
        <v>298</v>
      </c>
      <c r="I525" s="86" t="s">
        <v>92</v>
      </c>
      <c r="J525" s="86" t="s">
        <v>316</v>
      </c>
      <c r="K525" s="126">
        <v>46232</v>
      </c>
      <c r="L525" s="251">
        <v>46225</v>
      </c>
      <c r="M525" s="127">
        <f>_xlfn.XLOOKUP(C525,'Product List'!B:B,'Product List'!R:R)</f>
        <v>24.09</v>
      </c>
      <c r="N525" s="124">
        <f t="shared" si="15"/>
        <v>3155.79</v>
      </c>
      <c r="O525" s="124" cm="1">
        <f t="array" ref="O525">E525/_xlfn.XLOOKUP(1,('Case Pack'!$A$4:$A$962=C525)*('Case Pack'!$L$4:$L$962&gt;0)*('Case Pack'!$L$4:$L$962&lt;=A525),'Case Pack'!$D$4:$D$962,"未找到箱规")</f>
        <v>131</v>
      </c>
      <c r="P525" s="124" t="str">
        <f>IF(COUNTIF('PO Check'!A:A,D525)&gt;0,"Yes","No")</f>
        <v>Yes</v>
      </c>
      <c r="Q525" s="124" t="str" cm="1">
        <f t="array" ref="Q525">_xlfn.XLOOKUP(1,('Case Pack'!$A$4:$A$962=C525)*('Case Pack'!$L$4:$L$962&gt;0)*('Case Pack'!$L$4:$L$962&lt;=A525),'Case Pack'!$G$4:$G$962,"未找到箱型")</f>
        <v>S1</v>
      </c>
      <c r="R525" s="124">
        <f>ROUND(IFERROR(VLOOKUP(Q525,'Case Type'!A:H,8,0),0)*O525,2)</f>
        <v>9.69</v>
      </c>
    </row>
    <row r="526" customFormat="1" spans="1:18">
      <c r="A526" s="113">
        <v>46191</v>
      </c>
      <c r="B526" s="91" t="str">
        <f>_xlfn.XLOOKUP(C526,'Product List'!B:B,'Product List'!I:I)</f>
        <v>MMO-STARFISH CASTLE</v>
      </c>
      <c r="C526" s="124" t="s">
        <v>60</v>
      </c>
      <c r="D526" s="125">
        <v>31441547</v>
      </c>
      <c r="E526" s="125">
        <v>100</v>
      </c>
      <c r="F526" s="125">
        <v>5.32</v>
      </c>
      <c r="G526" s="125">
        <f t="shared" si="14"/>
        <v>532</v>
      </c>
      <c r="H526" s="86" t="s">
        <v>298</v>
      </c>
      <c r="I526" s="86" t="s">
        <v>92</v>
      </c>
      <c r="J526" s="86" t="s">
        <v>316</v>
      </c>
      <c r="K526" s="126">
        <v>46232</v>
      </c>
      <c r="L526" s="251">
        <v>46225</v>
      </c>
      <c r="M526" s="127">
        <f>_xlfn.XLOOKUP(C526,'Product List'!B:B,'Product List'!R:R)</f>
        <v>2.81</v>
      </c>
      <c r="N526" s="124">
        <f t="shared" si="15"/>
        <v>281</v>
      </c>
      <c r="O526" s="124" cm="1">
        <f t="array" ref="O526">E526/_xlfn.XLOOKUP(1,('Case Pack'!$A$4:$A$962=C526)*('Case Pack'!$L$4:$L$962&gt;0)*('Case Pack'!$L$4:$L$962&lt;=A526),'Case Pack'!$D$4:$D$962,"未找到箱规")</f>
        <v>5</v>
      </c>
      <c r="P526" s="124" t="str">
        <f>IF(COUNTIF('PO Check'!A:A,D526)&gt;0,"Yes","No")</f>
        <v>Yes</v>
      </c>
      <c r="Q526" s="124" t="str" cm="1">
        <f t="array" ref="Q526">_xlfn.XLOOKUP(1,('Case Pack'!$A$4:$A$962=C526)*('Case Pack'!$L$4:$L$962&gt;0)*('Case Pack'!$L$4:$L$962&lt;=A526),'Case Pack'!$G$4:$G$962,"未找到箱型")</f>
        <v>C</v>
      </c>
      <c r="R526" s="124">
        <f>ROUND(IFERROR(VLOOKUP(Q526,'Case Type'!A:H,8,0),0)*O526,2)</f>
        <v>0.79</v>
      </c>
    </row>
    <row r="527" customFormat="1" spans="1:18">
      <c r="A527" s="113">
        <v>46191</v>
      </c>
      <c r="B527" s="91" t="str">
        <f>_xlfn.XLOOKUP(C527,'Product List'!B:B,'Product List'!I:I)</f>
        <v>MMO-WAVE BRIDGE</v>
      </c>
      <c r="C527" s="124" t="s">
        <v>61</v>
      </c>
      <c r="D527" s="125">
        <v>31441547</v>
      </c>
      <c r="E527" s="125">
        <v>264</v>
      </c>
      <c r="F527" s="125">
        <v>4.84</v>
      </c>
      <c r="G527" s="125">
        <f t="shared" si="14"/>
        <v>1277.76</v>
      </c>
      <c r="H527" s="86" t="s">
        <v>298</v>
      </c>
      <c r="I527" s="86" t="s">
        <v>92</v>
      </c>
      <c r="J527" s="86" t="s">
        <v>316</v>
      </c>
      <c r="K527" s="126">
        <v>46232</v>
      </c>
      <c r="L527" s="251">
        <v>46225</v>
      </c>
      <c r="M527" s="127">
        <f>_xlfn.XLOOKUP(C527,'Product List'!B:B,'Product List'!R:R)</f>
        <v>2.79</v>
      </c>
      <c r="N527" s="124">
        <f t="shared" si="15"/>
        <v>736.56</v>
      </c>
      <c r="O527" s="124" cm="1">
        <f t="array" ref="O527">E527/_xlfn.XLOOKUP(1,('Case Pack'!$A$4:$A$962=C527)*('Case Pack'!$L$4:$L$962&gt;0)*('Case Pack'!$L$4:$L$962&lt;=A527),'Case Pack'!$D$4:$D$962,"未找到箱规")</f>
        <v>8</v>
      </c>
      <c r="P527" s="124" t="str">
        <f>IF(COUNTIF('PO Check'!A:A,D527)&gt;0,"Yes","No")</f>
        <v>Yes</v>
      </c>
      <c r="Q527" s="124" t="str" cm="1">
        <f t="array" ref="Q527">_xlfn.XLOOKUP(1,('Case Pack'!$A$4:$A$962=C527)*('Case Pack'!$L$4:$L$962&gt;0)*('Case Pack'!$L$4:$L$962&lt;=A527),'Case Pack'!$G$4:$G$962,"未找到箱型")</f>
        <v>C</v>
      </c>
      <c r="R527" s="124">
        <f>ROUND(IFERROR(VLOOKUP(Q527,'Case Type'!A:H,8,0),0)*O527,2)</f>
        <v>1.26</v>
      </c>
    </row>
    <row r="528" customFormat="1" spans="1:18">
      <c r="A528" s="113">
        <v>46191</v>
      </c>
      <c r="B528" s="91" t="str">
        <f>_xlfn.XLOOKUP(C528,'Product List'!B:B,'Product List'!I:I)</f>
        <v>MINI/MOE BENDABLE BIRCHWOOD FENCE</v>
      </c>
      <c r="C528" s="124" t="s">
        <v>62</v>
      </c>
      <c r="D528" s="125">
        <v>31441547</v>
      </c>
      <c r="E528" s="125">
        <v>96</v>
      </c>
      <c r="F528" s="125">
        <v>5.01</v>
      </c>
      <c r="G528" s="125">
        <f t="shared" si="14"/>
        <v>480.96</v>
      </c>
      <c r="H528" s="86" t="s">
        <v>298</v>
      </c>
      <c r="I528" s="86" t="s">
        <v>92</v>
      </c>
      <c r="J528" s="86" t="s">
        <v>316</v>
      </c>
      <c r="K528" s="126">
        <v>46232</v>
      </c>
      <c r="L528" s="251">
        <v>46225</v>
      </c>
      <c r="M528" s="127">
        <f>_xlfn.XLOOKUP(C528,'Product List'!B:B,'Product List'!R:R)</f>
        <v>3.4</v>
      </c>
      <c r="N528" s="124">
        <f t="shared" si="15"/>
        <v>326.4</v>
      </c>
      <c r="O528" s="124" cm="1">
        <f t="array" ref="O528">E528/_xlfn.XLOOKUP(1,('Case Pack'!$A$4:$A$962=C528)*('Case Pack'!$L$4:$L$962&gt;0)*('Case Pack'!$L$4:$L$962&lt;=A528),'Case Pack'!$D$4:$D$962,"未找到箱规")</f>
        <v>3</v>
      </c>
      <c r="P528" s="124" t="str">
        <f>IF(COUNTIF('PO Check'!A:A,D528)&gt;0,"Yes","No")</f>
        <v>Yes</v>
      </c>
      <c r="Q528" s="124" t="str" cm="1">
        <f t="array" ref="Q528">_xlfn.XLOOKUP(1,('Case Pack'!$A$4:$A$962=C528)*('Case Pack'!$L$4:$L$962&gt;0)*('Case Pack'!$L$4:$L$962&lt;=A528),'Case Pack'!$G$4:$G$962,"未找到箱型")</f>
        <v>F</v>
      </c>
      <c r="R528" s="124">
        <f>ROUND(IFERROR(VLOOKUP(Q528,'Case Type'!A:H,8,0),0)*O528,2)</f>
        <v>0.11</v>
      </c>
    </row>
    <row r="529" customFormat="1" spans="1:18">
      <c r="A529" s="113">
        <v>46191</v>
      </c>
      <c r="B529" s="91" t="str">
        <f>_xlfn.XLOOKUP(C529,'Product List'!B:B,'Product List'!I:I)</f>
        <v>MMO-BUBBLE WATER BOTTLE</v>
      </c>
      <c r="C529" s="124" t="s">
        <v>67</v>
      </c>
      <c r="D529" s="125">
        <v>31441547</v>
      </c>
      <c r="E529" s="125">
        <v>252</v>
      </c>
      <c r="F529" s="125">
        <v>4.35</v>
      </c>
      <c r="G529" s="125">
        <f t="shared" si="14"/>
        <v>1096.2</v>
      </c>
      <c r="H529" s="86" t="s">
        <v>298</v>
      </c>
      <c r="I529" s="86" t="s">
        <v>92</v>
      </c>
      <c r="J529" s="86" t="s">
        <v>316</v>
      </c>
      <c r="K529" s="126">
        <v>46232</v>
      </c>
      <c r="L529" s="251">
        <v>46225</v>
      </c>
      <c r="M529" s="127">
        <f>_xlfn.XLOOKUP(C529,'Product List'!B:B,'Product List'!R:R)</f>
        <v>3.1</v>
      </c>
      <c r="N529" s="124">
        <f t="shared" si="15"/>
        <v>781.2</v>
      </c>
      <c r="O529" s="124" cm="1">
        <f t="array" ref="O529">E529/_xlfn.XLOOKUP(1,('Case Pack'!$A$4:$A$962=C529)*('Case Pack'!$L$4:$L$962&gt;0)*('Case Pack'!$L$4:$L$962&lt;=A529),'Case Pack'!$D$4:$D$962,"未找到箱规")</f>
        <v>6</v>
      </c>
      <c r="P529" s="124" t="str">
        <f>IF(COUNTIF('PO Check'!A:A,D529)&gt;0,"Yes","No")</f>
        <v>Yes</v>
      </c>
      <c r="Q529" s="124" t="str" cm="1">
        <f t="array" ref="Q529">_xlfn.XLOOKUP(1,('Case Pack'!$A$4:$A$962=C529)*('Case Pack'!$L$4:$L$962&gt;0)*('Case Pack'!$L$4:$L$962&lt;=A529),'Case Pack'!$G$4:$G$962,"未找到箱型")</f>
        <v>C</v>
      </c>
      <c r="R529" s="124">
        <f>ROUND(IFERROR(VLOOKUP(Q529,'Case Type'!A:H,8,0),0)*O529,2)</f>
        <v>0.94</v>
      </c>
    </row>
    <row r="530" customFormat="1" spans="1:18">
      <c r="A530" s="113">
        <v>46191</v>
      </c>
      <c r="B530" s="91" t="str">
        <f>_xlfn.XLOOKUP(C530,'Product List'!B:B,'Product List'!I:I)</f>
        <v>MMO-CLOUD WATER BOTTLE</v>
      </c>
      <c r="C530" s="124" t="s">
        <v>77</v>
      </c>
      <c r="D530" s="125">
        <v>31441547</v>
      </c>
      <c r="E530" s="125">
        <v>200</v>
      </c>
      <c r="F530" s="125">
        <v>1.32</v>
      </c>
      <c r="G530" s="125">
        <f t="shared" si="14"/>
        <v>264</v>
      </c>
      <c r="H530" s="86" t="s">
        <v>298</v>
      </c>
      <c r="I530" s="86" t="s">
        <v>92</v>
      </c>
      <c r="J530" s="86" t="s">
        <v>316</v>
      </c>
      <c r="K530" s="126">
        <v>46232</v>
      </c>
      <c r="L530" s="251">
        <v>46225</v>
      </c>
      <c r="M530" s="127">
        <f>_xlfn.XLOOKUP(C530,'Product List'!B:B,'Product List'!R:R)</f>
        <v>0.62</v>
      </c>
      <c r="N530" s="124">
        <f t="shared" si="15"/>
        <v>124</v>
      </c>
      <c r="O530" s="124" cm="1">
        <f t="array" ref="O530">E530/_xlfn.XLOOKUP(1,('Case Pack'!$A$4:$A$962=C530)*('Case Pack'!$L$4:$L$962&gt;0)*('Case Pack'!$L$4:$L$962&lt;=A530),'Case Pack'!$D$4:$D$962,"未找到箱规")</f>
        <v>4</v>
      </c>
      <c r="P530" s="124" t="str">
        <f>IF(COUNTIF('PO Check'!A:A,D530)&gt;0,"Yes","No")</f>
        <v>Yes</v>
      </c>
      <c r="Q530" s="124" t="str" cm="1">
        <f t="array" ref="Q530">_xlfn.XLOOKUP(1,('Case Pack'!$A$4:$A$962=C530)*('Case Pack'!$L$4:$L$962&gt;0)*('Case Pack'!$L$4:$L$962&lt;=A530),'Case Pack'!$G$4:$G$962,"未找到箱型")</f>
        <v>A</v>
      </c>
      <c r="R530" s="124">
        <f>ROUND(IFERROR(VLOOKUP(Q530,'Case Type'!A:H,8,0),0)*O530,2)</f>
        <v>0.44</v>
      </c>
    </row>
    <row r="531" customFormat="1" spans="1:18">
      <c r="A531" s="113">
        <v>46191</v>
      </c>
      <c r="B531" s="91" t="str">
        <f>_xlfn.XLOOKUP(C531,'Product List'!B:B,'Product List'!I:I)</f>
        <v>MINI/MOE RUFFLE BOWL</v>
      </c>
      <c r="C531" s="124" t="s">
        <v>78</v>
      </c>
      <c r="D531" s="125">
        <v>31441547</v>
      </c>
      <c r="E531" s="125">
        <v>144</v>
      </c>
      <c r="F531" s="125">
        <v>2.35</v>
      </c>
      <c r="G531" s="125">
        <f t="shared" si="14"/>
        <v>338.4</v>
      </c>
      <c r="H531" s="86" t="s">
        <v>298</v>
      </c>
      <c r="I531" s="86" t="s">
        <v>92</v>
      </c>
      <c r="J531" s="86" t="s">
        <v>316</v>
      </c>
      <c r="K531" s="126">
        <v>46232</v>
      </c>
      <c r="L531" s="251">
        <v>46225</v>
      </c>
      <c r="M531" s="127">
        <f>_xlfn.XLOOKUP(C531,'Product List'!B:B,'Product List'!R:R)</f>
        <v>1.34</v>
      </c>
      <c r="N531" s="124">
        <f t="shared" si="15"/>
        <v>192.96</v>
      </c>
      <c r="O531" s="124" cm="1">
        <f t="array" ref="O531">E531/_xlfn.XLOOKUP(1,('Case Pack'!$A$4:$A$962=C531)*('Case Pack'!$L$4:$L$962&gt;0)*('Case Pack'!$L$4:$L$962&lt;=A531),'Case Pack'!$D$4:$D$962,"未找到箱规")</f>
        <v>3</v>
      </c>
      <c r="P531" s="124" t="str">
        <f>IF(COUNTIF('PO Check'!A:A,D531)&gt;0,"Yes","No")</f>
        <v>Yes</v>
      </c>
      <c r="Q531" s="124" t="str" cm="1">
        <f t="array" ref="Q531">_xlfn.XLOOKUP(1,('Case Pack'!$A$4:$A$962=C531)*('Case Pack'!$L$4:$L$962&gt;0)*('Case Pack'!$L$4:$L$962&lt;=A531),'Case Pack'!$G$4:$G$962,"未找到箱型")</f>
        <v>B</v>
      </c>
      <c r="R531" s="124">
        <f>ROUND(IFERROR(VLOOKUP(Q531,'Case Type'!A:H,8,0),0)*O531,2)</f>
        <v>0.22</v>
      </c>
    </row>
    <row r="532" customFormat="1" spans="1:18">
      <c r="A532" s="113">
        <v>46191</v>
      </c>
      <c r="B532" s="91" t="str">
        <f>_xlfn.XLOOKUP(C532,'Product List'!B:B,'Product List'!I:I)</f>
        <v>MINI/MOE SILENT CRSTL RUN WHEEL LG 8.5-White</v>
      </c>
      <c r="C532" s="264" t="s">
        <v>29</v>
      </c>
      <c r="D532" s="125">
        <v>31441548</v>
      </c>
      <c r="E532" s="214">
        <v>136</v>
      </c>
      <c r="F532" s="125">
        <v>13.22</v>
      </c>
      <c r="G532" s="125">
        <f t="shared" si="14"/>
        <v>1797.92</v>
      </c>
      <c r="H532" s="86" t="s">
        <v>298</v>
      </c>
      <c r="I532" s="86" t="s">
        <v>92</v>
      </c>
      <c r="J532" s="86" t="s">
        <v>323</v>
      </c>
      <c r="K532" s="126">
        <v>46260</v>
      </c>
      <c r="L532" s="251">
        <v>46248</v>
      </c>
      <c r="M532" s="127">
        <f>_xlfn.XLOOKUP(C532,'Product List'!B:B,'Product List'!R:R)</f>
        <v>6.27</v>
      </c>
      <c r="N532" s="124">
        <f t="shared" si="15"/>
        <v>852.72</v>
      </c>
      <c r="O532" s="124" cm="1">
        <f t="array" ref="O532">E532/_xlfn.XLOOKUP(1,('Case Pack'!$A$4:$A$962=C532)*('Case Pack'!$L$4:$L$962&gt;0)*('Case Pack'!$L$4:$L$962&lt;=A532),'Case Pack'!$D$4:$D$962,"未找到箱规")</f>
        <v>17</v>
      </c>
      <c r="P532" s="124" t="str">
        <f>IF(COUNTIF('PO Check'!A:A,D532)&gt;0,"Yes","No")</f>
        <v>Yes</v>
      </c>
      <c r="Q532" s="124" t="str" cm="1">
        <f t="array" ref="Q532">_xlfn.XLOOKUP(1,('Case Pack'!$A$4:$A$962=C532)*('Case Pack'!$L$4:$L$962&gt;0)*('Case Pack'!$L$4:$L$962&lt;=A532),'Case Pack'!$G$4:$G$962,"未找到箱型")</f>
        <v>C</v>
      </c>
      <c r="R532" s="124">
        <f>ROUND(IFERROR(VLOOKUP(Q532,'Case Type'!A:H,8,0),0)*O532,2)</f>
        <v>2.67</v>
      </c>
    </row>
    <row r="533" customFormat="1" spans="1:18">
      <c r="A533" s="113">
        <v>46191</v>
      </c>
      <c r="B533" s="91" t="str">
        <f>_xlfn.XLOOKUP(C533,'Product List'!B:B,'Product List'!I:I)</f>
        <v>MMO-GREEN APPLE CHEW</v>
      </c>
      <c r="C533" s="264" t="s">
        <v>33</v>
      </c>
      <c r="D533" s="125">
        <v>31441548</v>
      </c>
      <c r="E533" s="214">
        <v>192</v>
      </c>
      <c r="F533" s="125">
        <v>1.53</v>
      </c>
      <c r="G533" s="125">
        <f t="shared" si="14"/>
        <v>293.76</v>
      </c>
      <c r="H533" s="86" t="s">
        <v>298</v>
      </c>
      <c r="I533" s="86" t="s">
        <v>92</v>
      </c>
      <c r="J533" s="86" t="s">
        <v>323</v>
      </c>
      <c r="K533" s="126">
        <v>46260</v>
      </c>
      <c r="L533" s="251">
        <v>46248</v>
      </c>
      <c r="M533" s="127">
        <f>_xlfn.XLOOKUP(C533,'Product List'!B:B,'Product List'!R:R)</f>
        <v>1.04</v>
      </c>
      <c r="N533" s="124">
        <f t="shared" si="15"/>
        <v>199.68</v>
      </c>
      <c r="O533" s="124" cm="1">
        <f t="array" ref="O533">E533/_xlfn.XLOOKUP(1,('Case Pack'!$A$4:$A$962=C533)*('Case Pack'!$L$4:$L$962&gt;0)*('Case Pack'!$L$4:$L$962&lt;=A533),'Case Pack'!$D$4:$D$962,"未找到箱规")</f>
        <v>4</v>
      </c>
      <c r="P533" s="124" t="str">
        <f>IF(COUNTIF('PO Check'!A:A,D533)&gt;0,"Yes","No")</f>
        <v>Yes</v>
      </c>
      <c r="Q533" s="124" t="str" cm="1">
        <f t="array" ref="Q533">_xlfn.XLOOKUP(1,('Case Pack'!$A$4:$A$962=C533)*('Case Pack'!$L$4:$L$962&gt;0)*('Case Pack'!$L$4:$L$962&lt;=A533),'Case Pack'!$G$4:$G$962,"未找到箱型")</f>
        <v>B</v>
      </c>
      <c r="R533" s="124">
        <f>ROUND(IFERROR(VLOOKUP(Q533,'Case Type'!A:H,8,0),0)*O533,2)</f>
        <v>0.29</v>
      </c>
    </row>
    <row r="534" customFormat="1" spans="1:18">
      <c r="A534" s="113">
        <v>46191</v>
      </c>
      <c r="B534" s="91" t="str">
        <f>_xlfn.XLOOKUP(C534,'Product List'!B:B,'Product List'!I:I)</f>
        <v>MMO-CAMP LUNCH BOX CHEW</v>
      </c>
      <c r="C534" s="264" t="s">
        <v>34</v>
      </c>
      <c r="D534" s="125">
        <v>31441548</v>
      </c>
      <c r="E534" s="214">
        <v>144</v>
      </c>
      <c r="F534" s="125">
        <v>2.48</v>
      </c>
      <c r="G534" s="125">
        <f t="shared" si="14"/>
        <v>357.12</v>
      </c>
      <c r="H534" s="86" t="s">
        <v>298</v>
      </c>
      <c r="I534" s="86" t="s">
        <v>92</v>
      </c>
      <c r="J534" s="86" t="s">
        <v>323</v>
      </c>
      <c r="K534" s="126">
        <v>46260</v>
      </c>
      <c r="L534" s="251">
        <v>46248</v>
      </c>
      <c r="M534" s="127">
        <f>_xlfn.XLOOKUP(C534,'Product List'!B:B,'Product List'!R:R)</f>
        <v>1.59</v>
      </c>
      <c r="N534" s="124">
        <f t="shared" si="15"/>
        <v>228.96</v>
      </c>
      <c r="O534" s="124" cm="1">
        <f t="array" ref="O534">E534/_xlfn.XLOOKUP(1,('Case Pack'!$A$4:$A$962=C534)*('Case Pack'!$L$4:$L$962&gt;0)*('Case Pack'!$L$4:$L$962&lt;=A534),'Case Pack'!$D$4:$D$962,"未找到箱规")</f>
        <v>2</v>
      </c>
      <c r="P534" s="124" t="str">
        <f>IF(COUNTIF('PO Check'!A:A,D534)&gt;0,"Yes","No")</f>
        <v>Yes</v>
      </c>
      <c r="Q534" s="124" t="str" cm="1">
        <f t="array" ref="Q534">_xlfn.XLOOKUP(1,('Case Pack'!$A$4:$A$962=C534)*('Case Pack'!$L$4:$L$962&gt;0)*('Case Pack'!$L$4:$L$962&lt;=A534),'Case Pack'!$G$4:$G$962,"未找到箱型")</f>
        <v>B</v>
      </c>
      <c r="R534" s="124">
        <f>ROUND(IFERROR(VLOOKUP(Q534,'Case Type'!A:H,8,0),0)*O534,2)</f>
        <v>0.15</v>
      </c>
    </row>
    <row r="535" customFormat="1" spans="1:18">
      <c r="A535" s="113">
        <v>46191</v>
      </c>
      <c r="B535" s="91" t="str">
        <f>_xlfn.XLOOKUP(C535,'Product List'!B:B,'Product List'!I:I)</f>
        <v>MMO-SHELL PEARL HAMSTER CHEW</v>
      </c>
      <c r="C535" s="264" t="s">
        <v>35</v>
      </c>
      <c r="D535" s="125">
        <v>31441548</v>
      </c>
      <c r="E535" s="214">
        <v>64</v>
      </c>
      <c r="F535" s="125">
        <v>1.61</v>
      </c>
      <c r="G535" s="125">
        <f t="shared" si="14"/>
        <v>103.04</v>
      </c>
      <c r="H535" s="86" t="s">
        <v>298</v>
      </c>
      <c r="I535" s="86" t="s">
        <v>92</v>
      </c>
      <c r="J535" s="86" t="s">
        <v>323</v>
      </c>
      <c r="K535" s="126">
        <v>46260</v>
      </c>
      <c r="L535" s="251">
        <v>46248</v>
      </c>
      <c r="M535" s="127">
        <f>_xlfn.XLOOKUP(C535,'Product List'!B:B,'Product List'!R:R)</f>
        <v>0.96</v>
      </c>
      <c r="N535" s="124">
        <f t="shared" si="15"/>
        <v>61.44</v>
      </c>
      <c r="O535" s="124" cm="1">
        <f t="array" ref="O535">E535/_xlfn.XLOOKUP(1,('Case Pack'!$A$4:$A$962=C535)*('Case Pack'!$L$4:$L$962&gt;0)*('Case Pack'!$L$4:$L$962&lt;=A535),'Case Pack'!$D$4:$D$962,"未找到箱规")</f>
        <v>1</v>
      </c>
      <c r="P535" s="124" t="str">
        <f>IF(COUNTIF('PO Check'!A:A,D535)&gt;0,"Yes","No")</f>
        <v>Yes</v>
      </c>
      <c r="Q535" s="124" t="str" cm="1">
        <f t="array" ref="Q535">_xlfn.XLOOKUP(1,('Case Pack'!$A$4:$A$962=C535)*('Case Pack'!$L$4:$L$962&gt;0)*('Case Pack'!$L$4:$L$962&lt;=A535),'Case Pack'!$G$4:$G$962,"未找到箱型")</f>
        <v>B</v>
      </c>
      <c r="R535" s="124">
        <f>ROUND(IFERROR(VLOOKUP(Q535,'Case Type'!A:H,8,0),0)*O535,2)</f>
        <v>0.07</v>
      </c>
    </row>
    <row r="536" customFormat="1" spans="1:18">
      <c r="A536" s="113">
        <v>46191</v>
      </c>
      <c r="B536" s="91" t="str">
        <f>_xlfn.XLOOKUP(C536,'Product List'!B:B,'Product List'!I:I)</f>
        <v>MINI/MOE TV VIEWING CAGE</v>
      </c>
      <c r="C536" s="264" t="s">
        <v>50</v>
      </c>
      <c r="D536" s="125">
        <v>31441548</v>
      </c>
      <c r="E536" s="214">
        <v>154</v>
      </c>
      <c r="F536" s="125">
        <v>48.49</v>
      </c>
      <c r="G536" s="125">
        <f t="shared" si="14"/>
        <v>7467.46</v>
      </c>
      <c r="H536" s="86" t="s">
        <v>298</v>
      </c>
      <c r="I536" s="86" t="s">
        <v>92</v>
      </c>
      <c r="J536" s="86" t="s">
        <v>323</v>
      </c>
      <c r="K536" s="126">
        <v>46260</v>
      </c>
      <c r="L536" s="251">
        <v>46248</v>
      </c>
      <c r="M536" s="127">
        <f>_xlfn.XLOOKUP(C536,'Product List'!B:B,'Product List'!R:R)</f>
        <v>24.09</v>
      </c>
      <c r="N536" s="124">
        <f t="shared" si="15"/>
        <v>3709.86</v>
      </c>
      <c r="O536" s="124" cm="1">
        <f t="array" ref="O536">E536/_xlfn.XLOOKUP(1,('Case Pack'!$A$4:$A$962=C536)*('Case Pack'!$L$4:$L$962&gt;0)*('Case Pack'!$L$4:$L$962&lt;=A536),'Case Pack'!$D$4:$D$962,"未找到箱规")</f>
        <v>154</v>
      </c>
      <c r="P536" s="124" t="str">
        <f>IF(COUNTIF('PO Check'!A:A,D536)&gt;0,"Yes","No")</f>
        <v>Yes</v>
      </c>
      <c r="Q536" s="124" t="str" cm="1">
        <f t="array" ref="Q536">_xlfn.XLOOKUP(1,('Case Pack'!$A$4:$A$962=C536)*('Case Pack'!$L$4:$L$962&gt;0)*('Case Pack'!$L$4:$L$962&lt;=A536),'Case Pack'!$G$4:$G$962,"未找到箱型")</f>
        <v>S1</v>
      </c>
      <c r="R536" s="124">
        <f>ROUND(IFERROR(VLOOKUP(Q536,'Case Type'!A:H,8,0),0)*O536,2)</f>
        <v>11.4</v>
      </c>
    </row>
    <row r="537" customFormat="1" spans="1:18">
      <c r="A537" s="113">
        <v>46191</v>
      </c>
      <c r="B537" s="91" t="str">
        <f>_xlfn.XLOOKUP(C537,'Product List'!B:B,'Product List'!I:I)</f>
        <v>MMO-STARFISH CASTLE</v>
      </c>
      <c r="C537" s="264" t="s">
        <v>60</v>
      </c>
      <c r="D537" s="125">
        <v>31441548</v>
      </c>
      <c r="E537" s="214">
        <v>40</v>
      </c>
      <c r="F537" s="125">
        <v>5.32</v>
      </c>
      <c r="G537" s="125">
        <f t="shared" si="14"/>
        <v>212.8</v>
      </c>
      <c r="H537" s="86" t="s">
        <v>298</v>
      </c>
      <c r="I537" s="86" t="s">
        <v>92</v>
      </c>
      <c r="J537" s="86" t="s">
        <v>323</v>
      </c>
      <c r="K537" s="126">
        <v>46260</v>
      </c>
      <c r="L537" s="251">
        <v>46248</v>
      </c>
      <c r="M537" s="127">
        <f>_xlfn.XLOOKUP(C537,'Product List'!B:B,'Product List'!R:R)</f>
        <v>2.81</v>
      </c>
      <c r="N537" s="124">
        <f t="shared" si="15"/>
        <v>112.4</v>
      </c>
      <c r="O537" s="124" cm="1">
        <f t="array" ref="O537">E537/_xlfn.XLOOKUP(1,('Case Pack'!$A$4:$A$962=C537)*('Case Pack'!$L$4:$L$962&gt;0)*('Case Pack'!$L$4:$L$962&lt;=A537),'Case Pack'!$D$4:$D$962,"未找到箱规")</f>
        <v>2</v>
      </c>
      <c r="P537" s="124" t="str">
        <f>IF(COUNTIF('PO Check'!A:A,D537)&gt;0,"Yes","No")</f>
        <v>Yes</v>
      </c>
      <c r="Q537" s="124" t="str" cm="1">
        <f t="array" ref="Q537">_xlfn.XLOOKUP(1,('Case Pack'!$A$4:$A$962=C537)*('Case Pack'!$L$4:$L$962&gt;0)*('Case Pack'!$L$4:$L$962&lt;=A537),'Case Pack'!$G$4:$G$962,"未找到箱型")</f>
        <v>C</v>
      </c>
      <c r="R537" s="124">
        <f>ROUND(IFERROR(VLOOKUP(Q537,'Case Type'!A:H,8,0),0)*O537,2)</f>
        <v>0.31</v>
      </c>
    </row>
    <row r="538" customFormat="1" spans="1:18">
      <c r="A538" s="113">
        <v>46191</v>
      </c>
      <c r="B538" s="91" t="str">
        <f>_xlfn.XLOOKUP(C538,'Product List'!B:B,'Product List'!I:I)</f>
        <v>MMO-WAVE BRIDGE</v>
      </c>
      <c r="C538" s="264" t="s">
        <v>61</v>
      </c>
      <c r="D538" s="125">
        <v>31441548</v>
      </c>
      <c r="E538" s="214">
        <v>132</v>
      </c>
      <c r="F538" s="125">
        <v>4.84</v>
      </c>
      <c r="G538" s="125">
        <f t="shared" si="14"/>
        <v>638.88</v>
      </c>
      <c r="H538" s="86" t="s">
        <v>298</v>
      </c>
      <c r="I538" s="86" t="s">
        <v>92</v>
      </c>
      <c r="J538" s="86" t="s">
        <v>323</v>
      </c>
      <c r="K538" s="126">
        <v>46260</v>
      </c>
      <c r="L538" s="251">
        <v>46248</v>
      </c>
      <c r="M538" s="127">
        <f>_xlfn.XLOOKUP(C538,'Product List'!B:B,'Product List'!R:R)</f>
        <v>2.79</v>
      </c>
      <c r="N538" s="124">
        <f t="shared" si="15"/>
        <v>368.28</v>
      </c>
      <c r="O538" s="124" cm="1">
        <f t="array" ref="O538">E538/_xlfn.XLOOKUP(1,('Case Pack'!$A$4:$A$962=C538)*('Case Pack'!$L$4:$L$962&gt;0)*('Case Pack'!$L$4:$L$962&lt;=A538),'Case Pack'!$D$4:$D$962,"未找到箱规")</f>
        <v>4</v>
      </c>
      <c r="P538" s="124" t="str">
        <f>IF(COUNTIF('PO Check'!A:A,D538)&gt;0,"Yes","No")</f>
        <v>Yes</v>
      </c>
      <c r="Q538" s="124" t="str" cm="1">
        <f t="array" ref="Q538">_xlfn.XLOOKUP(1,('Case Pack'!$A$4:$A$962=C538)*('Case Pack'!$L$4:$L$962&gt;0)*('Case Pack'!$L$4:$L$962&lt;=A538),'Case Pack'!$G$4:$G$962,"未找到箱型")</f>
        <v>C</v>
      </c>
      <c r="R538" s="124">
        <f>ROUND(IFERROR(VLOOKUP(Q538,'Case Type'!A:H,8,0),0)*O538,2)</f>
        <v>0.63</v>
      </c>
    </row>
    <row r="539" customFormat="1" spans="1:18">
      <c r="A539" s="113">
        <v>46191</v>
      </c>
      <c r="B539" s="91" t="str">
        <f>_xlfn.XLOOKUP(C539,'Product List'!B:B,'Product List'!I:I)</f>
        <v>MMO-BUBBLE WATER BOTTLE</v>
      </c>
      <c r="C539" s="264" t="s">
        <v>67</v>
      </c>
      <c r="D539" s="125">
        <v>31441548</v>
      </c>
      <c r="E539" s="214">
        <v>252</v>
      </c>
      <c r="F539" s="125">
        <v>4.35</v>
      </c>
      <c r="G539" s="125">
        <f t="shared" si="14"/>
        <v>1096.2</v>
      </c>
      <c r="H539" s="86" t="s">
        <v>298</v>
      </c>
      <c r="I539" s="86" t="s">
        <v>92</v>
      </c>
      <c r="J539" s="86" t="s">
        <v>323</v>
      </c>
      <c r="K539" s="126">
        <v>46260</v>
      </c>
      <c r="L539" s="251">
        <v>46248</v>
      </c>
      <c r="M539" s="127">
        <f>_xlfn.XLOOKUP(C539,'Product List'!B:B,'Product List'!R:R)</f>
        <v>3.1</v>
      </c>
      <c r="N539" s="124">
        <f t="shared" si="15"/>
        <v>781.2</v>
      </c>
      <c r="O539" s="124" cm="1">
        <f t="array" ref="O539">E539/_xlfn.XLOOKUP(1,('Case Pack'!$A$4:$A$962=C539)*('Case Pack'!$L$4:$L$962&gt;0)*('Case Pack'!$L$4:$L$962&lt;=A539),'Case Pack'!$D$4:$D$962,"未找到箱规")</f>
        <v>6</v>
      </c>
      <c r="P539" s="124" t="str">
        <f>IF(COUNTIF('PO Check'!A:A,D539)&gt;0,"Yes","No")</f>
        <v>Yes</v>
      </c>
      <c r="Q539" s="124" t="str" cm="1">
        <f t="array" ref="Q539">_xlfn.XLOOKUP(1,('Case Pack'!$A$4:$A$962=C539)*('Case Pack'!$L$4:$L$962&gt;0)*('Case Pack'!$L$4:$L$962&lt;=A539),'Case Pack'!$G$4:$G$962,"未找到箱型")</f>
        <v>C</v>
      </c>
      <c r="R539" s="124">
        <f>ROUND(IFERROR(VLOOKUP(Q539,'Case Type'!A:H,8,0),0)*O539,2)</f>
        <v>0.94</v>
      </c>
    </row>
    <row r="540" customFormat="1" spans="1:18">
      <c r="A540" s="113">
        <v>46191</v>
      </c>
      <c r="B540" s="91" t="str">
        <f>_xlfn.XLOOKUP(C540,'Product List'!B:B,'Product List'!I:I)</f>
        <v>MMO-PAPER TWIST BLU/WHT</v>
      </c>
      <c r="C540" s="264" t="s">
        <v>68</v>
      </c>
      <c r="D540" s="125">
        <v>31441548</v>
      </c>
      <c r="E540" s="214">
        <v>120</v>
      </c>
      <c r="F540" s="125">
        <v>3.89</v>
      </c>
      <c r="G540" s="125">
        <f t="shared" si="14"/>
        <v>466.8</v>
      </c>
      <c r="H540" s="86" t="s">
        <v>298</v>
      </c>
      <c r="I540" s="86" t="s">
        <v>92</v>
      </c>
      <c r="J540" s="86" t="s">
        <v>323</v>
      </c>
      <c r="K540" s="126">
        <v>46260</v>
      </c>
      <c r="L540" s="251">
        <v>46248</v>
      </c>
      <c r="M540" s="127">
        <f>_xlfn.XLOOKUP(C540,'Product List'!B:B,'Product List'!R:R)</f>
        <v>1.98</v>
      </c>
      <c r="N540" s="124">
        <f t="shared" si="15"/>
        <v>237.6</v>
      </c>
      <c r="O540" s="124" cm="1">
        <f t="array" ref="O540">E540/_xlfn.XLOOKUP(1,('Case Pack'!$A$4:$A$962=C540)*('Case Pack'!$L$4:$L$962&gt;0)*('Case Pack'!$L$4:$L$962&lt;=A540),'Case Pack'!$D$4:$D$962,"未找到箱规")</f>
        <v>4</v>
      </c>
      <c r="P540" s="124" t="str">
        <f>IF(COUNTIF('PO Check'!A:A,D540)&gt;0,"Yes","No")</f>
        <v>Yes</v>
      </c>
      <c r="Q540" s="124" t="str" cm="1">
        <f t="array" ref="Q540">_xlfn.XLOOKUP(1,('Case Pack'!$A$4:$A$962=C540)*('Case Pack'!$L$4:$L$962&gt;0)*('Case Pack'!$L$4:$L$962&lt;=A540),'Case Pack'!$G$4:$G$962,"未找到箱型")</f>
        <v>A</v>
      </c>
      <c r="R540" s="124">
        <f>ROUND(IFERROR(VLOOKUP(Q540,'Case Type'!A:H,8,0),0)*O540,2)</f>
        <v>0.44</v>
      </c>
    </row>
    <row r="541" customFormat="1" spans="1:18">
      <c r="A541" s="113">
        <v>46191</v>
      </c>
      <c r="B541" s="91" t="str">
        <f>_xlfn.XLOOKUP(C541,'Product List'!B:B,'Product List'!I:I)</f>
        <v>MMO-CLOUD WATER BOTTLE</v>
      </c>
      <c r="C541" s="264" t="s">
        <v>77</v>
      </c>
      <c r="D541" s="125">
        <v>31441548</v>
      </c>
      <c r="E541" s="214">
        <v>150</v>
      </c>
      <c r="F541" s="125">
        <v>1.32</v>
      </c>
      <c r="G541" s="125">
        <f t="shared" si="14"/>
        <v>198</v>
      </c>
      <c r="H541" s="86" t="s">
        <v>298</v>
      </c>
      <c r="I541" s="86" t="s">
        <v>92</v>
      </c>
      <c r="J541" s="86" t="s">
        <v>323</v>
      </c>
      <c r="K541" s="126">
        <v>46260</v>
      </c>
      <c r="L541" s="251">
        <v>46248</v>
      </c>
      <c r="M541" s="127">
        <f>_xlfn.XLOOKUP(C541,'Product List'!B:B,'Product List'!R:R)</f>
        <v>0.62</v>
      </c>
      <c r="N541" s="124">
        <f t="shared" si="15"/>
        <v>93</v>
      </c>
      <c r="O541" s="124" cm="1">
        <f t="array" ref="O541">E541/_xlfn.XLOOKUP(1,('Case Pack'!$A$4:$A$962=C541)*('Case Pack'!$L$4:$L$962&gt;0)*('Case Pack'!$L$4:$L$962&lt;=A541),'Case Pack'!$D$4:$D$962,"未找到箱规")</f>
        <v>3</v>
      </c>
      <c r="P541" s="124" t="str">
        <f>IF(COUNTIF('PO Check'!A:A,D541)&gt;0,"Yes","No")</f>
        <v>Yes</v>
      </c>
      <c r="Q541" s="124" t="str" cm="1">
        <f t="array" ref="Q541">_xlfn.XLOOKUP(1,('Case Pack'!$A$4:$A$962=C541)*('Case Pack'!$L$4:$L$962&gt;0)*('Case Pack'!$L$4:$L$962&lt;=A541),'Case Pack'!$G$4:$G$962,"未找到箱型")</f>
        <v>A</v>
      </c>
      <c r="R541" s="124">
        <f>ROUND(IFERROR(VLOOKUP(Q541,'Case Type'!A:H,8,0),0)*O541,2)</f>
        <v>0.33</v>
      </c>
    </row>
    <row r="542" customFormat="1" spans="1:18">
      <c r="A542" s="113">
        <v>46191</v>
      </c>
      <c r="B542" s="91" t="str">
        <f>_xlfn.XLOOKUP(C542,'Product List'!B:B,'Product List'!I:I)</f>
        <v>MINI/MOE RUFFLE BOWL</v>
      </c>
      <c r="C542" s="264" t="s">
        <v>78</v>
      </c>
      <c r="D542" s="125">
        <v>31441548</v>
      </c>
      <c r="E542" s="214">
        <v>96</v>
      </c>
      <c r="F542" s="125">
        <v>2.35</v>
      </c>
      <c r="G542" s="125">
        <f t="shared" si="14"/>
        <v>225.6</v>
      </c>
      <c r="H542" s="86" t="s">
        <v>298</v>
      </c>
      <c r="I542" s="86" t="s">
        <v>92</v>
      </c>
      <c r="J542" s="86" t="s">
        <v>323</v>
      </c>
      <c r="K542" s="126">
        <v>46260</v>
      </c>
      <c r="L542" s="251">
        <v>46248</v>
      </c>
      <c r="M542" s="127">
        <f>_xlfn.XLOOKUP(C542,'Product List'!B:B,'Product List'!R:R)</f>
        <v>1.34</v>
      </c>
      <c r="N542" s="124">
        <f t="shared" si="15"/>
        <v>128.64</v>
      </c>
      <c r="O542" s="124" cm="1">
        <f t="array" ref="O542">E542/_xlfn.XLOOKUP(1,('Case Pack'!$A$4:$A$962=C542)*('Case Pack'!$L$4:$L$962&gt;0)*('Case Pack'!$L$4:$L$962&lt;=A542),'Case Pack'!$D$4:$D$962,"未找到箱规")</f>
        <v>2</v>
      </c>
      <c r="P542" s="124" t="str">
        <f>IF(COUNTIF('PO Check'!A:A,D542)&gt;0,"Yes","No")</f>
        <v>Yes</v>
      </c>
      <c r="Q542" s="124" t="str" cm="1">
        <f t="array" ref="Q542">_xlfn.XLOOKUP(1,('Case Pack'!$A$4:$A$962=C542)*('Case Pack'!$L$4:$L$962&gt;0)*('Case Pack'!$L$4:$L$962&lt;=A542),'Case Pack'!$G$4:$G$962,"未找到箱型")</f>
        <v>B</v>
      </c>
      <c r="R542" s="124">
        <f>ROUND(IFERROR(VLOOKUP(Q542,'Case Type'!A:H,8,0),0)*O542,2)</f>
        <v>0.15</v>
      </c>
    </row>
    <row r="543" customFormat="1" spans="1:18">
      <c r="A543" s="113">
        <v>46191</v>
      </c>
      <c r="B543" s="91" t="str">
        <f>_xlfn.XLOOKUP(C543,'Product List'!B:B,'Product List'!I:I)</f>
        <v>MMO-PAPER PEBBLES</v>
      </c>
      <c r="C543" s="264" t="s">
        <v>81</v>
      </c>
      <c r="D543" s="125">
        <v>31441548</v>
      </c>
      <c r="E543" s="214">
        <v>132</v>
      </c>
      <c r="F543" s="125">
        <v>5.81</v>
      </c>
      <c r="G543" s="125">
        <f t="shared" si="14"/>
        <v>766.92</v>
      </c>
      <c r="H543" s="86" t="s">
        <v>298</v>
      </c>
      <c r="I543" s="86" t="s">
        <v>92</v>
      </c>
      <c r="J543" s="86" t="s">
        <v>323</v>
      </c>
      <c r="K543" s="126">
        <v>46260</v>
      </c>
      <c r="L543" s="251">
        <v>46248</v>
      </c>
      <c r="M543" s="127">
        <f>_xlfn.XLOOKUP(C543,'Product List'!B:B,'Product List'!R:R)</f>
        <v>2.84</v>
      </c>
      <c r="N543" s="124">
        <f t="shared" si="15"/>
        <v>374.88</v>
      </c>
      <c r="O543" s="124" cm="1">
        <f t="array" ref="O543">E543/_xlfn.XLOOKUP(1,('Case Pack'!$A$4:$A$962=C543)*('Case Pack'!$L$4:$L$962&gt;0)*('Case Pack'!$L$4:$L$962&lt;=A543),'Case Pack'!$D$4:$D$962,"未找到箱规")</f>
        <v>11</v>
      </c>
      <c r="P543" s="124" t="str">
        <f>IF(COUNTIF('PO Check'!A:A,D543)&gt;0,"Yes","No")</f>
        <v>Yes</v>
      </c>
      <c r="Q543" s="124" t="str" cm="1">
        <f t="array" ref="Q543">_xlfn.XLOOKUP(1,('Case Pack'!$A$4:$A$962=C543)*('Case Pack'!$L$4:$L$962&gt;0)*('Case Pack'!$L$4:$L$962&lt;=A543),'Case Pack'!$G$4:$G$962,"未找到箱型")</f>
        <v>B</v>
      </c>
      <c r="R543" s="124">
        <f>ROUND(IFERROR(VLOOKUP(Q543,'Case Type'!A:H,8,0),0)*O543,2)</f>
        <v>0.81</v>
      </c>
    </row>
    <row r="544" customFormat="1" spans="1:18">
      <c r="A544" s="113">
        <v>46191</v>
      </c>
      <c r="B544" s="91" t="str">
        <f>_xlfn.XLOOKUP(C544,'Product List'!B:B,'Product List'!I:I)</f>
        <v>MMO-COTTON NESTING BALLS</v>
      </c>
      <c r="C544" s="264" t="s">
        <v>84</v>
      </c>
      <c r="D544" s="125">
        <v>31441548</v>
      </c>
      <c r="E544" s="214">
        <v>160</v>
      </c>
      <c r="F544" s="125">
        <v>3.37</v>
      </c>
      <c r="G544" s="125">
        <f t="shared" si="14"/>
        <v>539.2</v>
      </c>
      <c r="H544" s="86" t="s">
        <v>298</v>
      </c>
      <c r="I544" s="86" t="s">
        <v>92</v>
      </c>
      <c r="J544" s="86" t="s">
        <v>323</v>
      </c>
      <c r="K544" s="126">
        <v>46260</v>
      </c>
      <c r="L544" s="251">
        <v>46248</v>
      </c>
      <c r="M544" s="127">
        <f>_xlfn.XLOOKUP(C544,'Product List'!B:B,'Product List'!R:R)</f>
        <v>1.64</v>
      </c>
      <c r="N544" s="124">
        <f t="shared" si="15"/>
        <v>262.4</v>
      </c>
      <c r="O544" s="124" cm="1">
        <f t="array" ref="O544">E544/_xlfn.XLOOKUP(1,('Case Pack'!$A$4:$A$962=C544)*('Case Pack'!$L$4:$L$962&gt;0)*('Case Pack'!$L$4:$L$962&lt;=A544),'Case Pack'!$D$4:$D$962,"未找到箱规")</f>
        <v>5</v>
      </c>
      <c r="P544" s="124" t="str">
        <f>IF(COUNTIF('PO Check'!A:A,D544)&gt;0,"Yes","No")</f>
        <v>Yes</v>
      </c>
      <c r="Q544" s="124" t="str" cm="1">
        <f t="array" ref="Q544">_xlfn.XLOOKUP(1,('Case Pack'!$A$4:$A$962=C544)*('Case Pack'!$L$4:$L$962&gt;0)*('Case Pack'!$L$4:$L$962&lt;=A544),'Case Pack'!$G$4:$G$962,"未找到箱型")</f>
        <v>A</v>
      </c>
      <c r="R544" s="124">
        <f>ROUND(IFERROR(VLOOKUP(Q544,'Case Type'!A:H,8,0),0)*O544,2)</f>
        <v>0.55</v>
      </c>
    </row>
    <row r="545" customFormat="1" spans="1:18">
      <c r="A545" s="113">
        <v>46191</v>
      </c>
      <c r="B545" s="91" t="str">
        <f>_xlfn.XLOOKUP(C545,'Product List'!B:B,'Product List'!I:I)</f>
        <v>MINI/MOE SILENT CRSTL RUN WHEEL LG 8.5-White</v>
      </c>
      <c r="C545" s="124" t="s">
        <v>29</v>
      </c>
      <c r="D545" s="125">
        <v>31441549</v>
      </c>
      <c r="E545" s="125">
        <v>184</v>
      </c>
      <c r="F545" s="125">
        <v>13.22</v>
      </c>
      <c r="G545" s="125">
        <f t="shared" si="14"/>
        <v>2432.48</v>
      </c>
      <c r="H545" s="86" t="s">
        <v>298</v>
      </c>
      <c r="I545" s="86" t="s">
        <v>92</v>
      </c>
      <c r="J545" s="86" t="s">
        <v>317</v>
      </c>
      <c r="K545" s="126">
        <v>46255</v>
      </c>
      <c r="L545" s="251">
        <v>46258</v>
      </c>
      <c r="M545" s="127">
        <f>_xlfn.XLOOKUP(C545,'Product List'!B:B,'Product List'!R:R)</f>
        <v>6.27</v>
      </c>
      <c r="N545" s="124">
        <f t="shared" si="15"/>
        <v>1153.68</v>
      </c>
      <c r="O545" s="124" cm="1">
        <f t="array" ref="O545">E545/_xlfn.XLOOKUP(1,('Case Pack'!$A$4:$A$962=C545)*('Case Pack'!$L$4:$L$962&gt;0)*('Case Pack'!$L$4:$L$962&lt;=A545),'Case Pack'!$D$4:$D$962,"未找到箱规")</f>
        <v>23</v>
      </c>
      <c r="P545" s="124" t="str">
        <f>IF(COUNTIF('PO Check'!A:A,D545)&gt;0,"Yes","No")</f>
        <v>Yes</v>
      </c>
      <c r="Q545" s="124" t="str" cm="1">
        <f t="array" ref="Q545">_xlfn.XLOOKUP(1,('Case Pack'!$A$4:$A$962=C545)*('Case Pack'!$L$4:$L$962&gt;0)*('Case Pack'!$L$4:$L$962&lt;=A545),'Case Pack'!$G$4:$G$962,"未找到箱型")</f>
        <v>C</v>
      </c>
      <c r="R545" s="124">
        <f>ROUND(IFERROR(VLOOKUP(Q545,'Case Type'!A:H,8,0),0)*O545,2)</f>
        <v>3.62</v>
      </c>
    </row>
    <row r="546" customFormat="1" spans="1:18">
      <c r="A546" s="113">
        <v>46191</v>
      </c>
      <c r="B546" s="91" t="str">
        <f>_xlfn.XLOOKUP(C546,'Product List'!B:B,'Product List'!I:I)</f>
        <v>MMO-GREEN APPLE CHEW</v>
      </c>
      <c r="C546" s="124" t="s">
        <v>33</v>
      </c>
      <c r="D546" s="125">
        <v>31441549</v>
      </c>
      <c r="E546" s="125">
        <v>192</v>
      </c>
      <c r="F546" s="125">
        <v>1.53</v>
      </c>
      <c r="G546" s="125">
        <f t="shared" ref="G546:G609" si="16">E546*F546</f>
        <v>293.76</v>
      </c>
      <c r="H546" s="86" t="s">
        <v>298</v>
      </c>
      <c r="I546" s="86" t="s">
        <v>92</v>
      </c>
      <c r="J546" s="86" t="s">
        <v>317</v>
      </c>
      <c r="K546" s="126">
        <v>46255</v>
      </c>
      <c r="L546" s="251">
        <v>46258</v>
      </c>
      <c r="M546" s="127">
        <f>_xlfn.XLOOKUP(C546,'Product List'!B:B,'Product List'!R:R)</f>
        <v>1.04</v>
      </c>
      <c r="N546" s="124">
        <f t="shared" ref="N546:N609" si="17">M546*E546</f>
        <v>199.68</v>
      </c>
      <c r="O546" s="124" cm="1">
        <f t="array" ref="O546">E546/_xlfn.XLOOKUP(1,('Case Pack'!$A$4:$A$962=C546)*('Case Pack'!$L$4:$L$962&gt;0)*('Case Pack'!$L$4:$L$962&lt;=A546),'Case Pack'!$D$4:$D$962,"未找到箱规")</f>
        <v>4</v>
      </c>
      <c r="P546" s="124" t="str">
        <f>IF(COUNTIF('PO Check'!A:A,D546)&gt;0,"Yes","No")</f>
        <v>Yes</v>
      </c>
      <c r="Q546" s="124" t="str" cm="1">
        <f t="array" ref="Q546">_xlfn.XLOOKUP(1,('Case Pack'!$A$4:$A$962=C546)*('Case Pack'!$L$4:$L$962&gt;0)*('Case Pack'!$L$4:$L$962&lt;=A546),'Case Pack'!$G$4:$G$962,"未找到箱型")</f>
        <v>B</v>
      </c>
      <c r="R546" s="124">
        <f>ROUND(IFERROR(VLOOKUP(Q546,'Case Type'!A:H,8,0),0)*O546,2)</f>
        <v>0.29</v>
      </c>
    </row>
    <row r="547" customFormat="1" spans="1:18">
      <c r="A547" s="113">
        <v>46191</v>
      </c>
      <c r="B547" s="91" t="str">
        <f>_xlfn.XLOOKUP(C547,'Product List'!B:B,'Product List'!I:I)</f>
        <v>MMO-CAMP LUNCH BOX CHEW</v>
      </c>
      <c r="C547" s="124" t="s">
        <v>34</v>
      </c>
      <c r="D547" s="125">
        <v>31441549</v>
      </c>
      <c r="E547" s="125">
        <v>144</v>
      </c>
      <c r="F547" s="125">
        <v>2.48</v>
      </c>
      <c r="G547" s="125">
        <f t="shared" si="16"/>
        <v>357.12</v>
      </c>
      <c r="H547" s="86" t="s">
        <v>298</v>
      </c>
      <c r="I547" s="86" t="s">
        <v>92</v>
      </c>
      <c r="J547" s="86" t="s">
        <v>317</v>
      </c>
      <c r="K547" s="126">
        <v>46255</v>
      </c>
      <c r="L547" s="251">
        <v>46258</v>
      </c>
      <c r="M547" s="127">
        <f>_xlfn.XLOOKUP(C547,'Product List'!B:B,'Product List'!R:R)</f>
        <v>1.59</v>
      </c>
      <c r="N547" s="124">
        <f t="shared" si="17"/>
        <v>228.96</v>
      </c>
      <c r="O547" s="124" cm="1">
        <f t="array" ref="O547">E547/_xlfn.XLOOKUP(1,('Case Pack'!$A$4:$A$962=C547)*('Case Pack'!$L$4:$L$962&gt;0)*('Case Pack'!$L$4:$L$962&lt;=A547),'Case Pack'!$D$4:$D$962,"未找到箱规")</f>
        <v>2</v>
      </c>
      <c r="P547" s="124" t="str">
        <f>IF(COUNTIF('PO Check'!A:A,D547)&gt;0,"Yes","No")</f>
        <v>Yes</v>
      </c>
      <c r="Q547" s="124" t="str" cm="1">
        <f t="array" ref="Q547">_xlfn.XLOOKUP(1,('Case Pack'!$A$4:$A$962=C547)*('Case Pack'!$L$4:$L$962&gt;0)*('Case Pack'!$L$4:$L$962&lt;=A547),'Case Pack'!$G$4:$G$962,"未找到箱型")</f>
        <v>B</v>
      </c>
      <c r="R547" s="124">
        <f>ROUND(IFERROR(VLOOKUP(Q547,'Case Type'!A:H,8,0),0)*O547,2)</f>
        <v>0.15</v>
      </c>
    </row>
    <row r="548" customFormat="1" spans="1:18">
      <c r="A548" s="113">
        <v>46191</v>
      </c>
      <c r="B548" s="91" t="str">
        <f>_xlfn.XLOOKUP(C548,'Product List'!B:B,'Product List'!I:I)</f>
        <v>MMO-SHELL PEARL HAMSTER CHEW</v>
      </c>
      <c r="C548" s="124" t="s">
        <v>35</v>
      </c>
      <c r="D548" s="125">
        <v>31441549</v>
      </c>
      <c r="E548" s="125">
        <v>128</v>
      </c>
      <c r="F548" s="125">
        <v>1.61</v>
      </c>
      <c r="G548" s="125">
        <f t="shared" si="16"/>
        <v>206.08</v>
      </c>
      <c r="H548" s="86" t="s">
        <v>298</v>
      </c>
      <c r="I548" s="86" t="s">
        <v>92</v>
      </c>
      <c r="J548" s="86" t="s">
        <v>317</v>
      </c>
      <c r="K548" s="126">
        <v>46255</v>
      </c>
      <c r="L548" s="251">
        <v>46258</v>
      </c>
      <c r="M548" s="127">
        <f>_xlfn.XLOOKUP(C548,'Product List'!B:B,'Product List'!R:R)</f>
        <v>0.96</v>
      </c>
      <c r="N548" s="124">
        <f t="shared" si="17"/>
        <v>122.88</v>
      </c>
      <c r="O548" s="124" cm="1">
        <f t="array" ref="O548">E548/_xlfn.XLOOKUP(1,('Case Pack'!$A$4:$A$962=C548)*('Case Pack'!$L$4:$L$962&gt;0)*('Case Pack'!$L$4:$L$962&lt;=A548),'Case Pack'!$D$4:$D$962,"未找到箱规")</f>
        <v>2</v>
      </c>
      <c r="P548" s="124" t="str">
        <f>IF(COUNTIF('PO Check'!A:A,D548)&gt;0,"Yes","No")</f>
        <v>Yes</v>
      </c>
      <c r="Q548" s="124" t="str" cm="1">
        <f t="array" ref="Q548">_xlfn.XLOOKUP(1,('Case Pack'!$A$4:$A$962=C548)*('Case Pack'!$L$4:$L$962&gt;0)*('Case Pack'!$L$4:$L$962&lt;=A548),'Case Pack'!$G$4:$G$962,"未找到箱型")</f>
        <v>B</v>
      </c>
      <c r="R548" s="124">
        <f>ROUND(IFERROR(VLOOKUP(Q548,'Case Type'!A:H,8,0),0)*O548,2)</f>
        <v>0.15</v>
      </c>
    </row>
    <row r="549" customFormat="1" spans="1:18">
      <c r="A549" s="113">
        <v>46191</v>
      </c>
      <c r="B549" s="91" t="str">
        <f>_xlfn.XLOOKUP(C549,'Product List'!B:B,'Product List'!I:I)</f>
        <v>MINI/MOE TV VIEWING CAGE</v>
      </c>
      <c r="C549" s="124" t="s">
        <v>50</v>
      </c>
      <c r="D549" s="125">
        <v>31441549</v>
      </c>
      <c r="E549" s="125">
        <v>99</v>
      </c>
      <c r="F549" s="125">
        <v>48.49</v>
      </c>
      <c r="G549" s="125">
        <f t="shared" si="16"/>
        <v>4800.51</v>
      </c>
      <c r="H549" s="86" t="s">
        <v>298</v>
      </c>
      <c r="I549" s="86" t="s">
        <v>92</v>
      </c>
      <c r="J549" s="86" t="s">
        <v>317</v>
      </c>
      <c r="K549" s="126">
        <v>46255</v>
      </c>
      <c r="L549" s="251">
        <v>46258</v>
      </c>
      <c r="M549" s="127">
        <f>_xlfn.XLOOKUP(C549,'Product List'!B:B,'Product List'!R:R)</f>
        <v>24.09</v>
      </c>
      <c r="N549" s="124">
        <f t="shared" si="17"/>
        <v>2384.91</v>
      </c>
      <c r="O549" s="124" cm="1">
        <f t="array" ref="O549">E549/_xlfn.XLOOKUP(1,('Case Pack'!$A$4:$A$962=C549)*('Case Pack'!$L$4:$L$962&gt;0)*('Case Pack'!$L$4:$L$962&lt;=A549),'Case Pack'!$D$4:$D$962,"未找到箱规")</f>
        <v>99</v>
      </c>
      <c r="P549" s="124" t="str">
        <f>IF(COUNTIF('PO Check'!A:A,D549)&gt;0,"Yes","No")</f>
        <v>Yes</v>
      </c>
      <c r="Q549" s="124" t="str" cm="1">
        <f t="array" ref="Q549">_xlfn.XLOOKUP(1,('Case Pack'!$A$4:$A$962=C549)*('Case Pack'!$L$4:$L$962&gt;0)*('Case Pack'!$L$4:$L$962&lt;=A549),'Case Pack'!$G$4:$G$962,"未找到箱型")</f>
        <v>S1</v>
      </c>
      <c r="R549" s="124">
        <f>ROUND(IFERROR(VLOOKUP(Q549,'Case Type'!A:H,8,0),0)*O549,2)</f>
        <v>7.33</v>
      </c>
    </row>
    <row r="550" customFormat="1" spans="1:18">
      <c r="A550" s="113">
        <v>46191</v>
      </c>
      <c r="B550" s="91" t="str">
        <f>_xlfn.XLOOKUP(C550,'Product List'!B:B,'Product List'!I:I)</f>
        <v>MMO-STARFISH CASTLE</v>
      </c>
      <c r="C550" s="124" t="s">
        <v>60</v>
      </c>
      <c r="D550" s="125">
        <v>31441549</v>
      </c>
      <c r="E550" s="125">
        <v>100</v>
      </c>
      <c r="F550" s="125">
        <v>5.32</v>
      </c>
      <c r="G550" s="125">
        <f t="shared" si="16"/>
        <v>532</v>
      </c>
      <c r="H550" s="86" t="s">
        <v>298</v>
      </c>
      <c r="I550" s="86" t="s">
        <v>92</v>
      </c>
      <c r="J550" s="86" t="s">
        <v>317</v>
      </c>
      <c r="K550" s="126">
        <v>46255</v>
      </c>
      <c r="L550" s="251">
        <v>46258</v>
      </c>
      <c r="M550" s="127">
        <f>_xlfn.XLOOKUP(C550,'Product List'!B:B,'Product List'!R:R)</f>
        <v>2.81</v>
      </c>
      <c r="N550" s="124">
        <f t="shared" si="17"/>
        <v>281</v>
      </c>
      <c r="O550" s="124" cm="1">
        <f t="array" ref="O550">E550/_xlfn.XLOOKUP(1,('Case Pack'!$A$4:$A$962=C550)*('Case Pack'!$L$4:$L$962&gt;0)*('Case Pack'!$L$4:$L$962&lt;=A550),'Case Pack'!$D$4:$D$962,"未找到箱规")</f>
        <v>5</v>
      </c>
      <c r="P550" s="124" t="str">
        <f>IF(COUNTIF('PO Check'!A:A,D550)&gt;0,"Yes","No")</f>
        <v>Yes</v>
      </c>
      <c r="Q550" s="124" t="str" cm="1">
        <f t="array" ref="Q550">_xlfn.XLOOKUP(1,('Case Pack'!$A$4:$A$962=C550)*('Case Pack'!$L$4:$L$962&gt;0)*('Case Pack'!$L$4:$L$962&lt;=A550),'Case Pack'!$G$4:$G$962,"未找到箱型")</f>
        <v>C</v>
      </c>
      <c r="R550" s="124">
        <f>ROUND(IFERROR(VLOOKUP(Q550,'Case Type'!A:H,8,0),0)*O550,2)</f>
        <v>0.79</v>
      </c>
    </row>
    <row r="551" customFormat="1" spans="1:18">
      <c r="A551" s="113">
        <v>46191</v>
      </c>
      <c r="B551" s="91" t="str">
        <f>_xlfn.XLOOKUP(C551,'Product List'!B:B,'Product List'!I:I)</f>
        <v>MMO-WAVE BRIDGE</v>
      </c>
      <c r="C551" s="124" t="s">
        <v>61</v>
      </c>
      <c r="D551" s="125">
        <v>31441549</v>
      </c>
      <c r="E551" s="125">
        <v>231</v>
      </c>
      <c r="F551" s="125">
        <v>4.84</v>
      </c>
      <c r="G551" s="125">
        <f t="shared" si="16"/>
        <v>1118.04</v>
      </c>
      <c r="H551" s="86" t="s">
        <v>298</v>
      </c>
      <c r="I551" s="86" t="s">
        <v>92</v>
      </c>
      <c r="J551" s="86" t="s">
        <v>317</v>
      </c>
      <c r="K551" s="126">
        <v>46255</v>
      </c>
      <c r="L551" s="251">
        <v>46258</v>
      </c>
      <c r="M551" s="127">
        <f>_xlfn.XLOOKUP(C551,'Product List'!B:B,'Product List'!R:R)</f>
        <v>2.79</v>
      </c>
      <c r="N551" s="124">
        <f t="shared" si="17"/>
        <v>644.49</v>
      </c>
      <c r="O551" s="124" cm="1">
        <f t="array" ref="O551">E551/_xlfn.XLOOKUP(1,('Case Pack'!$A$4:$A$962=C551)*('Case Pack'!$L$4:$L$962&gt;0)*('Case Pack'!$L$4:$L$962&lt;=A551),'Case Pack'!$D$4:$D$962,"未找到箱规")</f>
        <v>7</v>
      </c>
      <c r="P551" s="124" t="str">
        <f>IF(COUNTIF('PO Check'!A:A,D551)&gt;0,"Yes","No")</f>
        <v>Yes</v>
      </c>
      <c r="Q551" s="124" t="str" cm="1">
        <f t="array" ref="Q551">_xlfn.XLOOKUP(1,('Case Pack'!$A$4:$A$962=C551)*('Case Pack'!$L$4:$L$962&gt;0)*('Case Pack'!$L$4:$L$962&lt;=A551),'Case Pack'!$G$4:$G$962,"未找到箱型")</f>
        <v>C</v>
      </c>
      <c r="R551" s="124">
        <f>ROUND(IFERROR(VLOOKUP(Q551,'Case Type'!A:H,8,0),0)*O551,2)</f>
        <v>1.1</v>
      </c>
    </row>
    <row r="552" customFormat="1" spans="1:18">
      <c r="A552" s="113">
        <v>46191</v>
      </c>
      <c r="B552" s="91" t="str">
        <f>_xlfn.XLOOKUP(C552,'Product List'!B:B,'Product List'!I:I)</f>
        <v>MMO-BUBBLE WATER BOTTLE</v>
      </c>
      <c r="C552" s="124" t="s">
        <v>67</v>
      </c>
      <c r="D552" s="125">
        <v>31441549</v>
      </c>
      <c r="E552" s="125">
        <v>252</v>
      </c>
      <c r="F552" s="125">
        <v>4.35</v>
      </c>
      <c r="G552" s="125">
        <f t="shared" si="16"/>
        <v>1096.2</v>
      </c>
      <c r="H552" s="86" t="s">
        <v>298</v>
      </c>
      <c r="I552" s="86" t="s">
        <v>92</v>
      </c>
      <c r="J552" s="86" t="s">
        <v>317</v>
      </c>
      <c r="K552" s="126">
        <v>46255</v>
      </c>
      <c r="L552" s="251">
        <v>46258</v>
      </c>
      <c r="M552" s="127">
        <f>_xlfn.XLOOKUP(C552,'Product List'!B:B,'Product List'!R:R)</f>
        <v>3.1</v>
      </c>
      <c r="N552" s="124">
        <f t="shared" si="17"/>
        <v>781.2</v>
      </c>
      <c r="O552" s="124" cm="1">
        <f t="array" ref="O552">E552/_xlfn.XLOOKUP(1,('Case Pack'!$A$4:$A$962=C552)*('Case Pack'!$L$4:$L$962&gt;0)*('Case Pack'!$L$4:$L$962&lt;=A552),'Case Pack'!$D$4:$D$962,"未找到箱规")</f>
        <v>6</v>
      </c>
      <c r="P552" s="124" t="str">
        <f>IF(COUNTIF('PO Check'!A:A,D552)&gt;0,"Yes","No")</f>
        <v>Yes</v>
      </c>
      <c r="Q552" s="124" t="str" cm="1">
        <f t="array" ref="Q552">_xlfn.XLOOKUP(1,('Case Pack'!$A$4:$A$962=C552)*('Case Pack'!$L$4:$L$962&gt;0)*('Case Pack'!$L$4:$L$962&lt;=A552),'Case Pack'!$G$4:$G$962,"未找到箱型")</f>
        <v>C</v>
      </c>
      <c r="R552" s="124">
        <f>ROUND(IFERROR(VLOOKUP(Q552,'Case Type'!A:H,8,0),0)*O552,2)</f>
        <v>0.94</v>
      </c>
    </row>
    <row r="553" customFormat="1" spans="1:18">
      <c r="A553" s="113">
        <v>46191</v>
      </c>
      <c r="B553" s="91" t="str">
        <f>_xlfn.XLOOKUP(C553,'Product List'!B:B,'Product List'!I:I)</f>
        <v>MMO-PAPER TWIST BLU/WHT</v>
      </c>
      <c r="C553" s="124" t="s">
        <v>68</v>
      </c>
      <c r="D553" s="125">
        <v>31441549</v>
      </c>
      <c r="E553" s="125">
        <v>60</v>
      </c>
      <c r="F553" s="125">
        <v>3.89</v>
      </c>
      <c r="G553" s="125">
        <f t="shared" si="16"/>
        <v>233.4</v>
      </c>
      <c r="H553" s="86" t="s">
        <v>298</v>
      </c>
      <c r="I553" s="86" t="s">
        <v>92</v>
      </c>
      <c r="J553" s="86" t="s">
        <v>317</v>
      </c>
      <c r="K553" s="126">
        <v>46255</v>
      </c>
      <c r="L553" s="251">
        <v>46258</v>
      </c>
      <c r="M553" s="127">
        <f>_xlfn.XLOOKUP(C553,'Product List'!B:B,'Product List'!R:R)</f>
        <v>1.98</v>
      </c>
      <c r="N553" s="124">
        <f t="shared" si="17"/>
        <v>118.8</v>
      </c>
      <c r="O553" s="124" cm="1">
        <f t="array" ref="O553">E553/_xlfn.XLOOKUP(1,('Case Pack'!$A$4:$A$962=C553)*('Case Pack'!$L$4:$L$962&gt;0)*('Case Pack'!$L$4:$L$962&lt;=A553),'Case Pack'!$D$4:$D$962,"未找到箱规")</f>
        <v>2</v>
      </c>
      <c r="P553" s="124" t="str">
        <f>IF(COUNTIF('PO Check'!A:A,D553)&gt;0,"Yes","No")</f>
        <v>Yes</v>
      </c>
      <c r="Q553" s="124" t="str" cm="1">
        <f t="array" ref="Q553">_xlfn.XLOOKUP(1,('Case Pack'!$A$4:$A$962=C553)*('Case Pack'!$L$4:$L$962&gt;0)*('Case Pack'!$L$4:$L$962&lt;=A553),'Case Pack'!$G$4:$G$962,"未找到箱型")</f>
        <v>A</v>
      </c>
      <c r="R553" s="124">
        <f>ROUND(IFERROR(VLOOKUP(Q553,'Case Type'!A:H,8,0),0)*O553,2)</f>
        <v>0.22</v>
      </c>
    </row>
    <row r="554" customFormat="1" spans="1:18">
      <c r="A554" s="113">
        <v>46191</v>
      </c>
      <c r="B554" s="91" t="str">
        <f>_xlfn.XLOOKUP(C554,'Product List'!B:B,'Product List'!I:I)</f>
        <v>MMO-CLOUD WATER BOTTLE</v>
      </c>
      <c r="C554" s="124" t="s">
        <v>77</v>
      </c>
      <c r="D554" s="125">
        <v>31441549</v>
      </c>
      <c r="E554" s="125">
        <v>250</v>
      </c>
      <c r="F554" s="125">
        <v>1.32</v>
      </c>
      <c r="G554" s="125">
        <f t="shared" si="16"/>
        <v>330</v>
      </c>
      <c r="H554" s="86" t="s">
        <v>298</v>
      </c>
      <c r="I554" s="86" t="s">
        <v>92</v>
      </c>
      <c r="J554" s="86" t="s">
        <v>317</v>
      </c>
      <c r="K554" s="126">
        <v>46255</v>
      </c>
      <c r="L554" s="251">
        <v>46258</v>
      </c>
      <c r="M554" s="127">
        <f>_xlfn.XLOOKUP(C554,'Product List'!B:B,'Product List'!R:R)</f>
        <v>0.62</v>
      </c>
      <c r="N554" s="124">
        <f t="shared" si="17"/>
        <v>155</v>
      </c>
      <c r="O554" s="124" cm="1">
        <f t="array" ref="O554">E554/_xlfn.XLOOKUP(1,('Case Pack'!$A$4:$A$962=C554)*('Case Pack'!$L$4:$L$962&gt;0)*('Case Pack'!$L$4:$L$962&lt;=A554),'Case Pack'!$D$4:$D$962,"未找到箱规")</f>
        <v>5</v>
      </c>
      <c r="P554" s="124" t="str">
        <f>IF(COUNTIF('PO Check'!A:A,D554)&gt;0,"Yes","No")</f>
        <v>Yes</v>
      </c>
      <c r="Q554" s="124" t="str" cm="1">
        <f t="array" ref="Q554">_xlfn.XLOOKUP(1,('Case Pack'!$A$4:$A$962=C554)*('Case Pack'!$L$4:$L$962&gt;0)*('Case Pack'!$L$4:$L$962&lt;=A554),'Case Pack'!$G$4:$G$962,"未找到箱型")</f>
        <v>A</v>
      </c>
      <c r="R554" s="124">
        <f>ROUND(IFERROR(VLOOKUP(Q554,'Case Type'!A:H,8,0),0)*O554,2)</f>
        <v>0.55</v>
      </c>
    </row>
    <row r="555" customFormat="1" spans="1:18">
      <c r="A555" s="113">
        <v>46191</v>
      </c>
      <c r="B555" s="91" t="str">
        <f>_xlfn.XLOOKUP(C555,'Product List'!B:B,'Product List'!I:I)</f>
        <v>MINI/MOE RUFFLE BOWL</v>
      </c>
      <c r="C555" s="124" t="s">
        <v>78</v>
      </c>
      <c r="D555" s="125">
        <v>31441549</v>
      </c>
      <c r="E555" s="125">
        <v>144</v>
      </c>
      <c r="F555" s="125">
        <v>2.35</v>
      </c>
      <c r="G555" s="125">
        <f t="shared" si="16"/>
        <v>338.4</v>
      </c>
      <c r="H555" s="86" t="s">
        <v>298</v>
      </c>
      <c r="I555" s="86" t="s">
        <v>92</v>
      </c>
      <c r="J555" s="86" t="s">
        <v>317</v>
      </c>
      <c r="K555" s="126">
        <v>46255</v>
      </c>
      <c r="L555" s="251">
        <v>46258</v>
      </c>
      <c r="M555" s="127">
        <f>_xlfn.XLOOKUP(C555,'Product List'!B:B,'Product List'!R:R)</f>
        <v>1.34</v>
      </c>
      <c r="N555" s="124">
        <f t="shared" si="17"/>
        <v>192.96</v>
      </c>
      <c r="O555" s="124" cm="1">
        <f t="array" ref="O555">E555/_xlfn.XLOOKUP(1,('Case Pack'!$A$4:$A$962=C555)*('Case Pack'!$L$4:$L$962&gt;0)*('Case Pack'!$L$4:$L$962&lt;=A555),'Case Pack'!$D$4:$D$962,"未找到箱规")</f>
        <v>3</v>
      </c>
      <c r="P555" s="124" t="str">
        <f>IF(COUNTIF('PO Check'!A:A,D555)&gt;0,"Yes","No")</f>
        <v>Yes</v>
      </c>
      <c r="Q555" s="124" t="str" cm="1">
        <f t="array" ref="Q555">_xlfn.XLOOKUP(1,('Case Pack'!$A$4:$A$962=C555)*('Case Pack'!$L$4:$L$962&gt;0)*('Case Pack'!$L$4:$L$962&lt;=A555),'Case Pack'!$G$4:$G$962,"未找到箱型")</f>
        <v>B</v>
      </c>
      <c r="R555" s="124">
        <f>ROUND(IFERROR(VLOOKUP(Q555,'Case Type'!A:H,8,0),0)*O555,2)</f>
        <v>0.22</v>
      </c>
    </row>
    <row r="556" customFormat="1" spans="1:18">
      <c r="A556" s="113">
        <v>46191</v>
      </c>
      <c r="B556" s="91" t="str">
        <f>_xlfn.XLOOKUP(C556,'Product List'!B:B,'Product List'!I:I)</f>
        <v>MMO-PAPER PEBBLES</v>
      </c>
      <c r="C556" s="124" t="s">
        <v>81</v>
      </c>
      <c r="D556" s="125">
        <v>31441549</v>
      </c>
      <c r="E556" s="125">
        <v>48</v>
      </c>
      <c r="F556" s="125">
        <v>5.81</v>
      </c>
      <c r="G556" s="125">
        <f t="shared" si="16"/>
        <v>278.88</v>
      </c>
      <c r="H556" s="86" t="s">
        <v>298</v>
      </c>
      <c r="I556" s="86" t="s">
        <v>92</v>
      </c>
      <c r="J556" s="86" t="s">
        <v>317</v>
      </c>
      <c r="K556" s="126">
        <v>46255</v>
      </c>
      <c r="L556" s="251">
        <v>46258</v>
      </c>
      <c r="M556" s="127">
        <f>_xlfn.XLOOKUP(C556,'Product List'!B:B,'Product List'!R:R)</f>
        <v>2.84</v>
      </c>
      <c r="N556" s="124">
        <f t="shared" si="17"/>
        <v>136.32</v>
      </c>
      <c r="O556" s="124" cm="1">
        <f t="array" ref="O556">E556/_xlfn.XLOOKUP(1,('Case Pack'!$A$4:$A$962=C556)*('Case Pack'!$L$4:$L$962&gt;0)*('Case Pack'!$L$4:$L$962&lt;=A556),'Case Pack'!$D$4:$D$962,"未找到箱规")</f>
        <v>4</v>
      </c>
      <c r="P556" s="124" t="str">
        <f>IF(COUNTIF('PO Check'!A:A,D556)&gt;0,"Yes","No")</f>
        <v>Yes</v>
      </c>
      <c r="Q556" s="124" t="str" cm="1">
        <f t="array" ref="Q556">_xlfn.XLOOKUP(1,('Case Pack'!$A$4:$A$962=C556)*('Case Pack'!$L$4:$L$962&gt;0)*('Case Pack'!$L$4:$L$962&lt;=A556),'Case Pack'!$G$4:$G$962,"未找到箱型")</f>
        <v>B</v>
      </c>
      <c r="R556" s="124">
        <f>ROUND(IFERROR(VLOOKUP(Q556,'Case Type'!A:H,8,0),0)*O556,2)</f>
        <v>0.29</v>
      </c>
    </row>
    <row r="557" customFormat="1" spans="1:18">
      <c r="A557" s="113">
        <v>46191</v>
      </c>
      <c r="B557" s="91" t="str">
        <f>_xlfn.XLOOKUP(C557,'Product List'!B:B,'Product List'!I:I)</f>
        <v>MMO-COTTON NESTING BALLS</v>
      </c>
      <c r="C557" s="124" t="s">
        <v>84</v>
      </c>
      <c r="D557" s="125">
        <v>31441549</v>
      </c>
      <c r="E557" s="125">
        <v>32</v>
      </c>
      <c r="F557" s="125">
        <v>3.37</v>
      </c>
      <c r="G557" s="125">
        <f t="shared" si="16"/>
        <v>107.84</v>
      </c>
      <c r="H557" s="86" t="s">
        <v>298</v>
      </c>
      <c r="I557" s="86" t="s">
        <v>92</v>
      </c>
      <c r="J557" s="86" t="s">
        <v>317</v>
      </c>
      <c r="K557" s="126">
        <v>46255</v>
      </c>
      <c r="L557" s="251">
        <v>46258</v>
      </c>
      <c r="M557" s="127">
        <f>_xlfn.XLOOKUP(C557,'Product List'!B:B,'Product List'!R:R)</f>
        <v>1.64</v>
      </c>
      <c r="N557" s="124">
        <f t="shared" si="17"/>
        <v>52.48</v>
      </c>
      <c r="O557" s="124" cm="1">
        <f t="array" ref="O557">E557/_xlfn.XLOOKUP(1,('Case Pack'!$A$4:$A$962=C557)*('Case Pack'!$L$4:$L$962&gt;0)*('Case Pack'!$L$4:$L$962&lt;=A557),'Case Pack'!$D$4:$D$962,"未找到箱规")</f>
        <v>1</v>
      </c>
      <c r="P557" s="124" t="str">
        <f>IF(COUNTIF('PO Check'!A:A,D557)&gt;0,"Yes","No")</f>
        <v>Yes</v>
      </c>
      <c r="Q557" s="124" t="str" cm="1">
        <f t="array" ref="Q557">_xlfn.XLOOKUP(1,('Case Pack'!$A$4:$A$962=C557)*('Case Pack'!$L$4:$L$962&gt;0)*('Case Pack'!$L$4:$L$962&lt;=A557),'Case Pack'!$G$4:$G$962,"未找到箱型")</f>
        <v>A</v>
      </c>
      <c r="R557" s="124">
        <f>ROUND(IFERROR(VLOOKUP(Q557,'Case Type'!A:H,8,0),0)*O557,2)</f>
        <v>0.11</v>
      </c>
    </row>
    <row r="558" customFormat="1" spans="1:18">
      <c r="A558" s="113">
        <v>46191</v>
      </c>
      <c r="B558" s="91" t="str">
        <f>_xlfn.XLOOKUP(C558,'Product List'!B:B,'Product List'!I:I)</f>
        <v>MINI/MOE SILENT CRSTL RUN WHEEL LG 8.5-White</v>
      </c>
      <c r="C558" s="124" t="s">
        <v>29</v>
      </c>
      <c r="D558" s="125">
        <v>31441550</v>
      </c>
      <c r="E558" s="125">
        <v>208</v>
      </c>
      <c r="F558" s="125">
        <v>13.22</v>
      </c>
      <c r="G558" s="125">
        <f t="shared" si="16"/>
        <v>2749.76</v>
      </c>
      <c r="H558" s="86" t="s">
        <v>298</v>
      </c>
      <c r="I558" s="86" t="s">
        <v>92</v>
      </c>
      <c r="J558" s="86" t="s">
        <v>319</v>
      </c>
      <c r="K558" s="126">
        <v>46232</v>
      </c>
      <c r="L558" s="251">
        <v>46231</v>
      </c>
      <c r="M558" s="127">
        <f>_xlfn.XLOOKUP(C558,'Product List'!B:B,'Product List'!R:R)</f>
        <v>6.27</v>
      </c>
      <c r="N558" s="124">
        <f t="shared" si="17"/>
        <v>1304.16</v>
      </c>
      <c r="O558" s="124" cm="1">
        <f t="array" ref="O558">E558/_xlfn.XLOOKUP(1,('Case Pack'!$A$4:$A$962=C558)*('Case Pack'!$L$4:$L$962&gt;0)*('Case Pack'!$L$4:$L$962&lt;=A558),'Case Pack'!$D$4:$D$962,"未找到箱规")</f>
        <v>26</v>
      </c>
      <c r="P558" s="124" t="str">
        <f>IF(COUNTIF('PO Check'!A:A,D558)&gt;0,"Yes","No")</f>
        <v>Yes</v>
      </c>
      <c r="Q558" s="124" t="str" cm="1">
        <f t="array" ref="Q558">_xlfn.XLOOKUP(1,('Case Pack'!$A$4:$A$962=C558)*('Case Pack'!$L$4:$L$962&gt;0)*('Case Pack'!$L$4:$L$962&lt;=A558),'Case Pack'!$G$4:$G$962,"未找到箱型")</f>
        <v>C</v>
      </c>
      <c r="R558" s="124">
        <f>ROUND(IFERROR(VLOOKUP(Q558,'Case Type'!A:H,8,0),0)*O558,2)</f>
        <v>4.09</v>
      </c>
    </row>
    <row r="559" customFormat="1" spans="1:18">
      <c r="A559" s="113">
        <v>46191</v>
      </c>
      <c r="B559" s="91" t="str">
        <f>_xlfn.XLOOKUP(C559,'Product List'!B:B,'Product List'!I:I)</f>
        <v>MMO-GREEN APPLE CHEW</v>
      </c>
      <c r="C559" s="124" t="s">
        <v>33</v>
      </c>
      <c r="D559" s="125">
        <v>31441550</v>
      </c>
      <c r="E559" s="125">
        <v>144</v>
      </c>
      <c r="F559" s="125">
        <v>1.53</v>
      </c>
      <c r="G559" s="125">
        <f t="shared" si="16"/>
        <v>220.32</v>
      </c>
      <c r="H559" s="86" t="s">
        <v>298</v>
      </c>
      <c r="I559" s="86" t="s">
        <v>92</v>
      </c>
      <c r="J559" s="86" t="s">
        <v>319</v>
      </c>
      <c r="K559" s="126">
        <v>46232</v>
      </c>
      <c r="L559" s="251">
        <v>46231</v>
      </c>
      <c r="M559" s="127">
        <f>_xlfn.XLOOKUP(C559,'Product List'!B:B,'Product List'!R:R)</f>
        <v>1.04</v>
      </c>
      <c r="N559" s="124">
        <f t="shared" si="17"/>
        <v>149.76</v>
      </c>
      <c r="O559" s="124" cm="1">
        <f t="array" ref="O559">E559/_xlfn.XLOOKUP(1,('Case Pack'!$A$4:$A$962=C559)*('Case Pack'!$L$4:$L$962&gt;0)*('Case Pack'!$L$4:$L$962&lt;=A559),'Case Pack'!$D$4:$D$962,"未找到箱规")</f>
        <v>3</v>
      </c>
      <c r="P559" s="124" t="str">
        <f>IF(COUNTIF('PO Check'!A:A,D559)&gt;0,"Yes","No")</f>
        <v>Yes</v>
      </c>
      <c r="Q559" s="124" t="str" cm="1">
        <f t="array" ref="Q559">_xlfn.XLOOKUP(1,('Case Pack'!$A$4:$A$962=C559)*('Case Pack'!$L$4:$L$962&gt;0)*('Case Pack'!$L$4:$L$962&lt;=A559),'Case Pack'!$G$4:$G$962,"未找到箱型")</f>
        <v>B</v>
      </c>
      <c r="R559" s="124">
        <f>ROUND(IFERROR(VLOOKUP(Q559,'Case Type'!A:H,8,0),0)*O559,2)</f>
        <v>0.22</v>
      </c>
    </row>
    <row r="560" customFormat="1" spans="1:18">
      <c r="A560" s="113">
        <v>46191</v>
      </c>
      <c r="B560" s="91" t="str">
        <f>_xlfn.XLOOKUP(C560,'Product List'!B:B,'Product List'!I:I)</f>
        <v>MMO-CAMP LUNCH BOX CHEW</v>
      </c>
      <c r="C560" s="124" t="s">
        <v>34</v>
      </c>
      <c r="D560" s="125">
        <v>31441550</v>
      </c>
      <c r="E560" s="125">
        <v>144</v>
      </c>
      <c r="F560" s="125">
        <v>2.48</v>
      </c>
      <c r="G560" s="125">
        <f t="shared" si="16"/>
        <v>357.12</v>
      </c>
      <c r="H560" s="86" t="s">
        <v>298</v>
      </c>
      <c r="I560" s="86" t="s">
        <v>92</v>
      </c>
      <c r="J560" s="86" t="s">
        <v>319</v>
      </c>
      <c r="K560" s="126">
        <v>46232</v>
      </c>
      <c r="L560" s="251">
        <v>46231</v>
      </c>
      <c r="M560" s="127">
        <f>_xlfn.XLOOKUP(C560,'Product List'!B:B,'Product List'!R:R)</f>
        <v>1.59</v>
      </c>
      <c r="N560" s="124">
        <f t="shared" si="17"/>
        <v>228.96</v>
      </c>
      <c r="O560" s="124" cm="1">
        <f t="array" ref="O560">E560/_xlfn.XLOOKUP(1,('Case Pack'!$A$4:$A$962=C560)*('Case Pack'!$L$4:$L$962&gt;0)*('Case Pack'!$L$4:$L$962&lt;=A560),'Case Pack'!$D$4:$D$962,"未找到箱规")</f>
        <v>2</v>
      </c>
      <c r="P560" s="124" t="str">
        <f>IF(COUNTIF('PO Check'!A:A,D560)&gt;0,"Yes","No")</f>
        <v>Yes</v>
      </c>
      <c r="Q560" s="124" t="str" cm="1">
        <f t="array" ref="Q560">_xlfn.XLOOKUP(1,('Case Pack'!$A$4:$A$962=C560)*('Case Pack'!$L$4:$L$962&gt;0)*('Case Pack'!$L$4:$L$962&lt;=A560),'Case Pack'!$G$4:$G$962,"未找到箱型")</f>
        <v>B</v>
      </c>
      <c r="R560" s="124">
        <f>ROUND(IFERROR(VLOOKUP(Q560,'Case Type'!A:H,8,0),0)*O560,2)</f>
        <v>0.15</v>
      </c>
    </row>
    <row r="561" customFormat="1" spans="1:18">
      <c r="A561" s="113">
        <v>46191</v>
      </c>
      <c r="B561" s="91" t="str">
        <f>_xlfn.XLOOKUP(C561,'Product List'!B:B,'Product List'!I:I)</f>
        <v>MMO-SHELL PEARL HAMSTER CHEW</v>
      </c>
      <c r="C561" s="124" t="s">
        <v>35</v>
      </c>
      <c r="D561" s="125">
        <v>31441550</v>
      </c>
      <c r="E561" s="125">
        <v>64</v>
      </c>
      <c r="F561" s="125">
        <v>1.61</v>
      </c>
      <c r="G561" s="125">
        <f t="shared" si="16"/>
        <v>103.04</v>
      </c>
      <c r="H561" s="86" t="s">
        <v>298</v>
      </c>
      <c r="I561" s="86" t="s">
        <v>92</v>
      </c>
      <c r="J561" s="86" t="s">
        <v>319</v>
      </c>
      <c r="K561" s="126">
        <v>46232</v>
      </c>
      <c r="L561" s="251">
        <v>46231</v>
      </c>
      <c r="M561" s="127">
        <f>_xlfn.XLOOKUP(C561,'Product List'!B:B,'Product List'!R:R)</f>
        <v>0.96</v>
      </c>
      <c r="N561" s="124">
        <f t="shared" si="17"/>
        <v>61.44</v>
      </c>
      <c r="O561" s="124" cm="1">
        <f t="array" ref="O561">E561/_xlfn.XLOOKUP(1,('Case Pack'!$A$4:$A$962=C561)*('Case Pack'!$L$4:$L$962&gt;0)*('Case Pack'!$L$4:$L$962&lt;=A561),'Case Pack'!$D$4:$D$962,"未找到箱规")</f>
        <v>1</v>
      </c>
      <c r="P561" s="124" t="str">
        <f>IF(COUNTIF('PO Check'!A:A,D561)&gt;0,"Yes","No")</f>
        <v>Yes</v>
      </c>
      <c r="Q561" s="124" t="str" cm="1">
        <f t="array" ref="Q561">_xlfn.XLOOKUP(1,('Case Pack'!$A$4:$A$962=C561)*('Case Pack'!$L$4:$L$962&gt;0)*('Case Pack'!$L$4:$L$962&lt;=A561),'Case Pack'!$G$4:$G$962,"未找到箱型")</f>
        <v>B</v>
      </c>
      <c r="R561" s="124">
        <f>ROUND(IFERROR(VLOOKUP(Q561,'Case Type'!A:H,8,0),0)*O561,2)</f>
        <v>0.07</v>
      </c>
    </row>
    <row r="562" customFormat="1" spans="1:18">
      <c r="A562" s="113">
        <v>46191</v>
      </c>
      <c r="B562" s="91" t="str">
        <f>_xlfn.XLOOKUP(C562,'Product List'!B:B,'Product List'!I:I)</f>
        <v>MINI/MOE TV VIEWING CAGE</v>
      </c>
      <c r="C562" s="124" t="s">
        <v>50</v>
      </c>
      <c r="D562" s="125">
        <v>31441550</v>
      </c>
      <c r="E562" s="125">
        <v>125</v>
      </c>
      <c r="F562" s="125">
        <v>48.49</v>
      </c>
      <c r="G562" s="125">
        <f t="shared" si="16"/>
        <v>6061.25</v>
      </c>
      <c r="H562" s="86" t="s">
        <v>298</v>
      </c>
      <c r="I562" s="86" t="s">
        <v>92</v>
      </c>
      <c r="J562" s="86" t="s">
        <v>319</v>
      </c>
      <c r="K562" s="126">
        <v>46232</v>
      </c>
      <c r="L562" s="251">
        <v>46231</v>
      </c>
      <c r="M562" s="127">
        <f>_xlfn.XLOOKUP(C562,'Product List'!B:B,'Product List'!R:R)</f>
        <v>24.09</v>
      </c>
      <c r="N562" s="124">
        <f t="shared" si="17"/>
        <v>3011.25</v>
      </c>
      <c r="O562" s="124" cm="1">
        <f t="array" ref="O562">E562/_xlfn.XLOOKUP(1,('Case Pack'!$A$4:$A$962=C562)*('Case Pack'!$L$4:$L$962&gt;0)*('Case Pack'!$L$4:$L$962&lt;=A562),'Case Pack'!$D$4:$D$962,"未找到箱规")</f>
        <v>125</v>
      </c>
      <c r="P562" s="124" t="str">
        <f>IF(COUNTIF('PO Check'!A:A,D562)&gt;0,"Yes","No")</f>
        <v>Yes</v>
      </c>
      <c r="Q562" s="124" t="str" cm="1">
        <f t="array" ref="Q562">_xlfn.XLOOKUP(1,('Case Pack'!$A$4:$A$962=C562)*('Case Pack'!$L$4:$L$962&gt;0)*('Case Pack'!$L$4:$L$962&lt;=A562),'Case Pack'!$G$4:$G$962,"未找到箱型")</f>
        <v>S1</v>
      </c>
      <c r="R562" s="124">
        <f>ROUND(IFERROR(VLOOKUP(Q562,'Case Type'!A:H,8,0),0)*O562,2)</f>
        <v>9.25</v>
      </c>
    </row>
    <row r="563" customFormat="1" spans="1:18">
      <c r="A563" s="113">
        <v>46191</v>
      </c>
      <c r="B563" s="91" t="str">
        <f>_xlfn.XLOOKUP(C563,'Product List'!B:B,'Product List'!I:I)</f>
        <v>MMO-STARFISH CASTLE</v>
      </c>
      <c r="C563" s="124" t="s">
        <v>60</v>
      </c>
      <c r="D563" s="125">
        <v>31441550</v>
      </c>
      <c r="E563" s="125">
        <v>60</v>
      </c>
      <c r="F563" s="125">
        <v>5.32</v>
      </c>
      <c r="G563" s="125">
        <f t="shared" si="16"/>
        <v>319.2</v>
      </c>
      <c r="H563" s="86" t="s">
        <v>298</v>
      </c>
      <c r="I563" s="86" t="s">
        <v>92</v>
      </c>
      <c r="J563" s="86" t="s">
        <v>319</v>
      </c>
      <c r="K563" s="126">
        <v>46232</v>
      </c>
      <c r="L563" s="251">
        <v>46231</v>
      </c>
      <c r="M563" s="127">
        <f>_xlfn.XLOOKUP(C563,'Product List'!B:B,'Product List'!R:R)</f>
        <v>2.81</v>
      </c>
      <c r="N563" s="124">
        <f t="shared" si="17"/>
        <v>168.6</v>
      </c>
      <c r="O563" s="124" cm="1">
        <f t="array" ref="O563">E563/_xlfn.XLOOKUP(1,('Case Pack'!$A$4:$A$962=C563)*('Case Pack'!$L$4:$L$962&gt;0)*('Case Pack'!$L$4:$L$962&lt;=A563),'Case Pack'!$D$4:$D$962,"未找到箱规")</f>
        <v>3</v>
      </c>
      <c r="P563" s="124" t="str">
        <f>IF(COUNTIF('PO Check'!A:A,D563)&gt;0,"Yes","No")</f>
        <v>Yes</v>
      </c>
      <c r="Q563" s="124" t="str" cm="1">
        <f t="array" ref="Q563">_xlfn.XLOOKUP(1,('Case Pack'!$A$4:$A$962=C563)*('Case Pack'!$L$4:$L$962&gt;0)*('Case Pack'!$L$4:$L$962&lt;=A563),'Case Pack'!$G$4:$G$962,"未找到箱型")</f>
        <v>C</v>
      </c>
      <c r="R563" s="124">
        <f>ROUND(IFERROR(VLOOKUP(Q563,'Case Type'!A:H,8,0),0)*O563,2)</f>
        <v>0.47</v>
      </c>
    </row>
    <row r="564" customFormat="1" spans="1:18">
      <c r="A564" s="113">
        <v>46191</v>
      </c>
      <c r="B564" s="91" t="str">
        <f>_xlfn.XLOOKUP(C564,'Product List'!B:B,'Product List'!I:I)</f>
        <v>MMO-WAVE BRIDGE</v>
      </c>
      <c r="C564" s="124" t="s">
        <v>61</v>
      </c>
      <c r="D564" s="125">
        <v>31441550</v>
      </c>
      <c r="E564" s="125">
        <v>231</v>
      </c>
      <c r="F564" s="125">
        <v>4.84</v>
      </c>
      <c r="G564" s="125">
        <f t="shared" si="16"/>
        <v>1118.04</v>
      </c>
      <c r="H564" s="86" t="s">
        <v>298</v>
      </c>
      <c r="I564" s="86" t="s">
        <v>92</v>
      </c>
      <c r="J564" s="86" t="s">
        <v>319</v>
      </c>
      <c r="K564" s="126">
        <v>46232</v>
      </c>
      <c r="L564" s="251">
        <v>46231</v>
      </c>
      <c r="M564" s="127">
        <f>_xlfn.XLOOKUP(C564,'Product List'!B:B,'Product List'!R:R)</f>
        <v>2.79</v>
      </c>
      <c r="N564" s="124">
        <f t="shared" si="17"/>
        <v>644.49</v>
      </c>
      <c r="O564" s="124" cm="1">
        <f t="array" ref="O564">E564/_xlfn.XLOOKUP(1,('Case Pack'!$A$4:$A$962=C564)*('Case Pack'!$L$4:$L$962&gt;0)*('Case Pack'!$L$4:$L$962&lt;=A564),'Case Pack'!$D$4:$D$962,"未找到箱规")</f>
        <v>7</v>
      </c>
      <c r="P564" s="124" t="str">
        <f>IF(COUNTIF('PO Check'!A:A,D564)&gt;0,"Yes","No")</f>
        <v>Yes</v>
      </c>
      <c r="Q564" s="124" t="str" cm="1">
        <f t="array" ref="Q564">_xlfn.XLOOKUP(1,('Case Pack'!$A$4:$A$962=C564)*('Case Pack'!$L$4:$L$962&gt;0)*('Case Pack'!$L$4:$L$962&lt;=A564),'Case Pack'!$G$4:$G$962,"未找到箱型")</f>
        <v>C</v>
      </c>
      <c r="R564" s="124">
        <f>ROUND(IFERROR(VLOOKUP(Q564,'Case Type'!A:H,8,0),0)*O564,2)</f>
        <v>1.1</v>
      </c>
    </row>
    <row r="565" customFormat="1" spans="1:18">
      <c r="A565" s="113">
        <v>46191</v>
      </c>
      <c r="B565" s="91" t="str">
        <f>_xlfn.XLOOKUP(C565,'Product List'!B:B,'Product List'!I:I)</f>
        <v>MMO-BUBBLE WATER BOTTLE</v>
      </c>
      <c r="C565" s="124" t="s">
        <v>67</v>
      </c>
      <c r="D565" s="125">
        <v>31441550</v>
      </c>
      <c r="E565" s="125">
        <v>210</v>
      </c>
      <c r="F565" s="125">
        <v>4.35</v>
      </c>
      <c r="G565" s="125">
        <f t="shared" si="16"/>
        <v>913.5</v>
      </c>
      <c r="H565" s="86" t="s">
        <v>298</v>
      </c>
      <c r="I565" s="86" t="s">
        <v>92</v>
      </c>
      <c r="J565" s="86" t="s">
        <v>319</v>
      </c>
      <c r="K565" s="126">
        <v>46232</v>
      </c>
      <c r="L565" s="251">
        <v>46231</v>
      </c>
      <c r="M565" s="127">
        <f>_xlfn.XLOOKUP(C565,'Product List'!B:B,'Product List'!R:R)</f>
        <v>3.1</v>
      </c>
      <c r="N565" s="124">
        <f t="shared" si="17"/>
        <v>651</v>
      </c>
      <c r="O565" s="124" cm="1">
        <f t="array" ref="O565">E565/_xlfn.XLOOKUP(1,('Case Pack'!$A$4:$A$962=C565)*('Case Pack'!$L$4:$L$962&gt;0)*('Case Pack'!$L$4:$L$962&lt;=A565),'Case Pack'!$D$4:$D$962,"未找到箱规")</f>
        <v>5</v>
      </c>
      <c r="P565" s="124" t="str">
        <f>IF(COUNTIF('PO Check'!A:A,D565)&gt;0,"Yes","No")</f>
        <v>Yes</v>
      </c>
      <c r="Q565" s="124" t="str" cm="1">
        <f t="array" ref="Q565">_xlfn.XLOOKUP(1,('Case Pack'!$A$4:$A$962=C565)*('Case Pack'!$L$4:$L$962&gt;0)*('Case Pack'!$L$4:$L$962&lt;=A565),'Case Pack'!$G$4:$G$962,"未找到箱型")</f>
        <v>C</v>
      </c>
      <c r="R565" s="124">
        <f>ROUND(IFERROR(VLOOKUP(Q565,'Case Type'!A:H,8,0),0)*O565,2)</f>
        <v>0.79</v>
      </c>
    </row>
    <row r="566" customFormat="1" spans="1:18">
      <c r="A566" s="113">
        <v>46191</v>
      </c>
      <c r="B566" s="91" t="str">
        <f>_xlfn.XLOOKUP(C566,'Product List'!B:B,'Product List'!I:I)</f>
        <v>MMO-CLOUD WATER BOTTLE</v>
      </c>
      <c r="C566" s="124" t="s">
        <v>77</v>
      </c>
      <c r="D566" s="125">
        <v>31441550</v>
      </c>
      <c r="E566" s="125">
        <v>200</v>
      </c>
      <c r="F566" s="125">
        <v>1.32</v>
      </c>
      <c r="G566" s="125">
        <f t="shared" si="16"/>
        <v>264</v>
      </c>
      <c r="H566" s="86" t="s">
        <v>298</v>
      </c>
      <c r="I566" s="86" t="s">
        <v>92</v>
      </c>
      <c r="J566" s="86" t="s">
        <v>319</v>
      </c>
      <c r="K566" s="126">
        <v>46232</v>
      </c>
      <c r="L566" s="251">
        <v>46231</v>
      </c>
      <c r="M566" s="127">
        <f>_xlfn.XLOOKUP(C566,'Product List'!B:B,'Product List'!R:R)</f>
        <v>0.62</v>
      </c>
      <c r="N566" s="124">
        <f t="shared" si="17"/>
        <v>124</v>
      </c>
      <c r="O566" s="124" cm="1">
        <f t="array" ref="O566">E566/_xlfn.XLOOKUP(1,('Case Pack'!$A$4:$A$962=C566)*('Case Pack'!$L$4:$L$962&gt;0)*('Case Pack'!$L$4:$L$962&lt;=A566),'Case Pack'!$D$4:$D$962,"未找到箱规")</f>
        <v>4</v>
      </c>
      <c r="P566" s="124" t="str">
        <f>IF(COUNTIF('PO Check'!A:A,D566)&gt;0,"Yes","No")</f>
        <v>Yes</v>
      </c>
      <c r="Q566" s="124" t="str" cm="1">
        <f t="array" ref="Q566">_xlfn.XLOOKUP(1,('Case Pack'!$A$4:$A$962=C566)*('Case Pack'!$L$4:$L$962&gt;0)*('Case Pack'!$L$4:$L$962&lt;=A566),'Case Pack'!$G$4:$G$962,"未找到箱型")</f>
        <v>A</v>
      </c>
      <c r="R566" s="124">
        <f>ROUND(IFERROR(VLOOKUP(Q566,'Case Type'!A:H,8,0),0)*O566,2)</f>
        <v>0.44</v>
      </c>
    </row>
    <row r="567" customFormat="1" spans="1:18">
      <c r="A567" s="113">
        <v>46191</v>
      </c>
      <c r="B567" s="91" t="str">
        <f>_xlfn.XLOOKUP(C567,'Product List'!B:B,'Product List'!I:I)</f>
        <v>MINI/MOE RUFFLE BOWL</v>
      </c>
      <c r="C567" s="124" t="s">
        <v>78</v>
      </c>
      <c r="D567" s="125">
        <v>31441550</v>
      </c>
      <c r="E567" s="125">
        <v>144</v>
      </c>
      <c r="F567" s="125">
        <v>2.35</v>
      </c>
      <c r="G567" s="125">
        <f t="shared" si="16"/>
        <v>338.4</v>
      </c>
      <c r="H567" s="86" t="s">
        <v>298</v>
      </c>
      <c r="I567" s="86" t="s">
        <v>92</v>
      </c>
      <c r="J567" s="86" t="s">
        <v>319</v>
      </c>
      <c r="K567" s="126">
        <v>46232</v>
      </c>
      <c r="L567" s="251">
        <v>46231</v>
      </c>
      <c r="M567" s="127">
        <f>_xlfn.XLOOKUP(C567,'Product List'!B:B,'Product List'!R:R)</f>
        <v>1.34</v>
      </c>
      <c r="N567" s="124">
        <f t="shared" si="17"/>
        <v>192.96</v>
      </c>
      <c r="O567" s="124" cm="1">
        <f t="array" ref="O567">E567/_xlfn.XLOOKUP(1,('Case Pack'!$A$4:$A$962=C567)*('Case Pack'!$L$4:$L$962&gt;0)*('Case Pack'!$L$4:$L$962&lt;=A567),'Case Pack'!$D$4:$D$962,"未找到箱规")</f>
        <v>3</v>
      </c>
      <c r="P567" s="124" t="str">
        <f>IF(COUNTIF('PO Check'!A:A,D567)&gt;0,"Yes","No")</f>
        <v>Yes</v>
      </c>
      <c r="Q567" s="124" t="str" cm="1">
        <f t="array" ref="Q567">_xlfn.XLOOKUP(1,('Case Pack'!$A$4:$A$962=C567)*('Case Pack'!$L$4:$L$962&gt;0)*('Case Pack'!$L$4:$L$962&lt;=A567),'Case Pack'!$G$4:$G$962,"未找到箱型")</f>
        <v>B</v>
      </c>
      <c r="R567" s="124">
        <f>ROUND(IFERROR(VLOOKUP(Q567,'Case Type'!A:H,8,0),0)*O567,2)</f>
        <v>0.22</v>
      </c>
    </row>
    <row r="568" customFormat="1" spans="1:18">
      <c r="A568" s="113">
        <v>46191</v>
      </c>
      <c r="B568" s="91" t="str">
        <f>_xlfn.XLOOKUP(C568,'Product List'!B:B,'Product List'!I:I)</f>
        <v>MMO-COTTON NESTING BALLS</v>
      </c>
      <c r="C568" s="124" t="s">
        <v>84</v>
      </c>
      <c r="D568" s="125">
        <v>31441550</v>
      </c>
      <c r="E568" s="125">
        <v>32</v>
      </c>
      <c r="F568" s="125">
        <v>3.37</v>
      </c>
      <c r="G568" s="125">
        <f t="shared" si="16"/>
        <v>107.84</v>
      </c>
      <c r="H568" s="86" t="s">
        <v>298</v>
      </c>
      <c r="I568" s="86" t="s">
        <v>92</v>
      </c>
      <c r="J568" s="86" t="s">
        <v>319</v>
      </c>
      <c r="K568" s="126">
        <v>46232</v>
      </c>
      <c r="L568" s="251">
        <v>46231</v>
      </c>
      <c r="M568" s="127">
        <f>_xlfn.XLOOKUP(C568,'Product List'!B:B,'Product List'!R:R)</f>
        <v>1.64</v>
      </c>
      <c r="N568" s="124">
        <f t="shared" si="17"/>
        <v>52.48</v>
      </c>
      <c r="O568" s="124" cm="1">
        <f t="array" ref="O568">E568/_xlfn.XLOOKUP(1,('Case Pack'!$A$4:$A$962=C568)*('Case Pack'!$L$4:$L$962&gt;0)*('Case Pack'!$L$4:$L$962&lt;=A568),'Case Pack'!$D$4:$D$962,"未找到箱规")</f>
        <v>1</v>
      </c>
      <c r="P568" s="124" t="str">
        <f>IF(COUNTIF('PO Check'!A:A,D568)&gt;0,"Yes","No")</f>
        <v>Yes</v>
      </c>
      <c r="Q568" s="124" t="str" cm="1">
        <f t="array" ref="Q568">_xlfn.XLOOKUP(1,('Case Pack'!$A$4:$A$962=C568)*('Case Pack'!$L$4:$L$962&gt;0)*('Case Pack'!$L$4:$L$962&lt;=A568),'Case Pack'!$G$4:$G$962,"未找到箱型")</f>
        <v>A</v>
      </c>
      <c r="R568" s="124">
        <f>ROUND(IFERROR(VLOOKUP(Q568,'Case Type'!A:H,8,0),0)*O568,2)</f>
        <v>0.11</v>
      </c>
    </row>
    <row r="569" customFormat="1" spans="1:18">
      <c r="A569" s="113">
        <v>46191</v>
      </c>
      <c r="B569" s="91" t="str">
        <f>_xlfn.XLOOKUP(C569,'Product List'!B:B,'Product List'!I:I)</f>
        <v>MINI/MOE SILENT CRSTL RUN WHEEL LG 8.5-White</v>
      </c>
      <c r="C569" s="124" t="s">
        <v>29</v>
      </c>
      <c r="D569" s="125">
        <v>31441551</v>
      </c>
      <c r="E569" s="125">
        <v>200</v>
      </c>
      <c r="F569" s="125">
        <v>13.22</v>
      </c>
      <c r="G569" s="125">
        <f t="shared" si="16"/>
        <v>2644</v>
      </c>
      <c r="H569" s="86" t="s">
        <v>298</v>
      </c>
      <c r="I569" s="86" t="s">
        <v>92</v>
      </c>
      <c r="J569" s="86" t="s">
        <v>327</v>
      </c>
      <c r="K569" s="126">
        <v>46232</v>
      </c>
      <c r="L569" s="251">
        <v>46227</v>
      </c>
      <c r="M569" s="127">
        <f>_xlfn.XLOOKUP(C569,'Product List'!B:B,'Product List'!R:R)</f>
        <v>6.27</v>
      </c>
      <c r="N569" s="124">
        <f t="shared" si="17"/>
        <v>1254</v>
      </c>
      <c r="O569" s="124" cm="1">
        <f t="array" ref="O569">E569/_xlfn.XLOOKUP(1,('Case Pack'!$A$4:$A$962=C569)*('Case Pack'!$L$4:$L$962&gt;0)*('Case Pack'!$L$4:$L$962&lt;=A569),'Case Pack'!$D$4:$D$962,"未找到箱规")</f>
        <v>25</v>
      </c>
      <c r="P569" s="124" t="str">
        <f>IF(COUNTIF('PO Check'!A:A,D569)&gt;0,"Yes","No")</f>
        <v>Yes</v>
      </c>
      <c r="Q569" s="124" t="str" cm="1">
        <f t="array" ref="Q569">_xlfn.XLOOKUP(1,('Case Pack'!$A$4:$A$962=C569)*('Case Pack'!$L$4:$L$962&gt;0)*('Case Pack'!$L$4:$L$962&lt;=A569),'Case Pack'!$G$4:$G$962,"未找到箱型")</f>
        <v>C</v>
      </c>
      <c r="R569" s="124">
        <f>ROUND(IFERROR(VLOOKUP(Q569,'Case Type'!A:H,8,0),0)*O569,2)</f>
        <v>3.93</v>
      </c>
    </row>
    <row r="570" customFormat="1" ht="14.25" spans="1:18">
      <c r="A570" s="113">
        <v>46191</v>
      </c>
      <c r="B570" s="91" t="str">
        <f>_xlfn.XLOOKUP(C570,'Product List'!B:B,'Product List'!I:I)</f>
        <v>MMO-SHELL PEARL HAMSTER CHEW</v>
      </c>
      <c r="C570" s="265" t="s">
        <v>35</v>
      </c>
      <c r="D570" s="125">
        <v>31441551</v>
      </c>
      <c r="E570" s="125">
        <v>128</v>
      </c>
      <c r="F570" s="125">
        <v>1.61</v>
      </c>
      <c r="G570" s="125">
        <f t="shared" si="16"/>
        <v>206.08</v>
      </c>
      <c r="H570" s="86" t="s">
        <v>298</v>
      </c>
      <c r="I570" s="86" t="s">
        <v>92</v>
      </c>
      <c r="J570" s="86" t="s">
        <v>327</v>
      </c>
      <c r="K570" s="126">
        <v>46232</v>
      </c>
      <c r="L570" s="251">
        <v>46227</v>
      </c>
      <c r="M570" s="127">
        <f>_xlfn.XLOOKUP(C570,'Product List'!B:B,'Product List'!R:R)</f>
        <v>0.96</v>
      </c>
      <c r="N570" s="124">
        <f t="shared" si="17"/>
        <v>122.88</v>
      </c>
      <c r="O570" s="124" cm="1">
        <f t="array" ref="O570">E570/_xlfn.XLOOKUP(1,('Case Pack'!$A$4:$A$962=C570)*('Case Pack'!$L$4:$L$962&gt;0)*('Case Pack'!$L$4:$L$962&lt;=A570),'Case Pack'!$D$4:$D$962,"未找到箱规")</f>
        <v>2</v>
      </c>
      <c r="P570" s="124" t="str">
        <f>IF(COUNTIF('PO Check'!A:A,D570)&gt;0,"Yes","No")</f>
        <v>Yes</v>
      </c>
      <c r="Q570" s="124" t="str" cm="1">
        <f t="array" ref="Q570">_xlfn.XLOOKUP(1,('Case Pack'!$A$4:$A$962=C570)*('Case Pack'!$L$4:$L$962&gt;0)*('Case Pack'!$L$4:$L$962&lt;=A570),'Case Pack'!$G$4:$G$962,"未找到箱型")</f>
        <v>B</v>
      </c>
      <c r="R570" s="124">
        <f>ROUND(IFERROR(VLOOKUP(Q570,'Case Type'!A:H,8,0),0)*O570,2)</f>
        <v>0.15</v>
      </c>
    </row>
    <row r="571" customFormat="1" ht="14.25" spans="1:18">
      <c r="A571" s="113">
        <v>46191</v>
      </c>
      <c r="B571" s="91" t="str">
        <f>_xlfn.XLOOKUP(C571,'Product List'!B:B,'Product List'!I:I)</f>
        <v>MINI/MOE TV VIEWING CAGE</v>
      </c>
      <c r="C571" s="265" t="s">
        <v>50</v>
      </c>
      <c r="D571" s="125">
        <v>31441551</v>
      </c>
      <c r="E571" s="125">
        <v>226</v>
      </c>
      <c r="F571" s="125">
        <v>48.49</v>
      </c>
      <c r="G571" s="125">
        <f t="shared" si="16"/>
        <v>10958.74</v>
      </c>
      <c r="H571" s="86" t="s">
        <v>298</v>
      </c>
      <c r="I571" s="86" t="s">
        <v>92</v>
      </c>
      <c r="J571" s="86" t="s">
        <v>327</v>
      </c>
      <c r="K571" s="126">
        <v>46232</v>
      </c>
      <c r="L571" s="251">
        <v>46227</v>
      </c>
      <c r="M571" s="127">
        <f>_xlfn.XLOOKUP(C571,'Product List'!B:B,'Product List'!R:R)</f>
        <v>24.09</v>
      </c>
      <c r="N571" s="124">
        <f t="shared" si="17"/>
        <v>5444.34</v>
      </c>
      <c r="O571" s="124" cm="1">
        <f t="array" ref="O571">E571/_xlfn.XLOOKUP(1,('Case Pack'!$A$4:$A$962=C571)*('Case Pack'!$L$4:$L$962&gt;0)*('Case Pack'!$L$4:$L$962&lt;=A571),'Case Pack'!$D$4:$D$962,"未找到箱规")</f>
        <v>226</v>
      </c>
      <c r="P571" s="124" t="str">
        <f>IF(COUNTIF('PO Check'!A:A,D571)&gt;0,"Yes","No")</f>
        <v>Yes</v>
      </c>
      <c r="Q571" s="124" t="str" cm="1">
        <f t="array" ref="Q571">_xlfn.XLOOKUP(1,('Case Pack'!$A$4:$A$962=C571)*('Case Pack'!$L$4:$L$962&gt;0)*('Case Pack'!$L$4:$L$962&lt;=A571),'Case Pack'!$G$4:$G$962,"未找到箱型")</f>
        <v>S1</v>
      </c>
      <c r="R571" s="124">
        <f>ROUND(IFERROR(VLOOKUP(Q571,'Case Type'!A:H,8,0),0)*O571,2)</f>
        <v>16.72</v>
      </c>
    </row>
    <row r="572" customFormat="1" ht="14.25" spans="1:18">
      <c r="A572" s="113">
        <v>46191</v>
      </c>
      <c r="B572" s="91" t="str">
        <f>_xlfn.XLOOKUP(C572,'Product List'!B:B,'Product List'!I:I)</f>
        <v>MMO-STARFISH CASTLE</v>
      </c>
      <c r="C572" s="265" t="s">
        <v>60</v>
      </c>
      <c r="D572" s="125">
        <v>31441551</v>
      </c>
      <c r="E572" s="125">
        <v>180</v>
      </c>
      <c r="F572" s="125">
        <v>5.32</v>
      </c>
      <c r="G572" s="125">
        <f t="shared" si="16"/>
        <v>957.6</v>
      </c>
      <c r="H572" s="86" t="s">
        <v>298</v>
      </c>
      <c r="I572" s="86" t="s">
        <v>92</v>
      </c>
      <c r="J572" s="86" t="s">
        <v>327</v>
      </c>
      <c r="K572" s="126">
        <v>46232</v>
      </c>
      <c r="L572" s="251">
        <v>46227</v>
      </c>
      <c r="M572" s="127">
        <f>_xlfn.XLOOKUP(C572,'Product List'!B:B,'Product List'!R:R)</f>
        <v>2.81</v>
      </c>
      <c r="N572" s="124">
        <f t="shared" si="17"/>
        <v>505.8</v>
      </c>
      <c r="O572" s="124" cm="1">
        <f t="array" ref="O572">E572/_xlfn.XLOOKUP(1,('Case Pack'!$A$4:$A$962=C572)*('Case Pack'!$L$4:$L$962&gt;0)*('Case Pack'!$L$4:$L$962&lt;=A572),'Case Pack'!$D$4:$D$962,"未找到箱规")</f>
        <v>9</v>
      </c>
      <c r="P572" s="124" t="str">
        <f>IF(COUNTIF('PO Check'!A:A,D572)&gt;0,"Yes","No")</f>
        <v>Yes</v>
      </c>
      <c r="Q572" s="124" t="str" cm="1">
        <f t="array" ref="Q572">_xlfn.XLOOKUP(1,('Case Pack'!$A$4:$A$962=C572)*('Case Pack'!$L$4:$L$962&gt;0)*('Case Pack'!$L$4:$L$962&lt;=A572),'Case Pack'!$G$4:$G$962,"未找到箱型")</f>
        <v>C</v>
      </c>
      <c r="R572" s="124">
        <f>ROUND(IFERROR(VLOOKUP(Q572,'Case Type'!A:H,8,0),0)*O572,2)</f>
        <v>1.42</v>
      </c>
    </row>
    <row r="573" customFormat="1" spans="1:18">
      <c r="A573" s="113">
        <v>46191</v>
      </c>
      <c r="B573" s="91" t="str">
        <f>_xlfn.XLOOKUP(C573,'Product List'!B:B,'Product List'!I:I)</f>
        <v>MMO-WAVE BRIDGE</v>
      </c>
      <c r="C573" s="124" t="s">
        <v>61</v>
      </c>
      <c r="D573" s="125">
        <v>31441551</v>
      </c>
      <c r="E573" s="125">
        <v>429</v>
      </c>
      <c r="F573" s="125">
        <v>4.84</v>
      </c>
      <c r="G573" s="125">
        <f t="shared" si="16"/>
        <v>2076.36</v>
      </c>
      <c r="H573" s="86" t="s">
        <v>298</v>
      </c>
      <c r="I573" s="86" t="s">
        <v>92</v>
      </c>
      <c r="J573" s="86" t="s">
        <v>327</v>
      </c>
      <c r="K573" s="126">
        <v>46232</v>
      </c>
      <c r="L573" s="251">
        <v>46227</v>
      </c>
      <c r="M573" s="127">
        <f>_xlfn.XLOOKUP(C573,'Product List'!B:B,'Product List'!R:R)</f>
        <v>2.79</v>
      </c>
      <c r="N573" s="124">
        <f t="shared" si="17"/>
        <v>1196.91</v>
      </c>
      <c r="O573" s="124" cm="1">
        <f t="array" ref="O573">E573/_xlfn.XLOOKUP(1,('Case Pack'!$A$4:$A$962=C573)*('Case Pack'!$L$4:$L$962&gt;0)*('Case Pack'!$L$4:$L$962&lt;=A573),'Case Pack'!$D$4:$D$962,"未找到箱规")</f>
        <v>13</v>
      </c>
      <c r="P573" s="124" t="str">
        <f>IF(COUNTIF('PO Check'!A:A,D573)&gt;0,"Yes","No")</f>
        <v>Yes</v>
      </c>
      <c r="Q573" s="124" t="str" cm="1">
        <f t="array" ref="Q573">_xlfn.XLOOKUP(1,('Case Pack'!$A$4:$A$962=C573)*('Case Pack'!$L$4:$L$962&gt;0)*('Case Pack'!$L$4:$L$962&lt;=A573),'Case Pack'!$G$4:$G$962,"未找到箱型")</f>
        <v>C</v>
      </c>
      <c r="R573" s="124">
        <f>ROUND(IFERROR(VLOOKUP(Q573,'Case Type'!A:H,8,0),0)*O573,2)</f>
        <v>2.05</v>
      </c>
    </row>
    <row r="574" customFormat="1" ht="14.25" spans="1:18">
      <c r="A574" s="113">
        <v>46191</v>
      </c>
      <c r="B574" s="91" t="str">
        <f>_xlfn.XLOOKUP(C574,'Product List'!B:B,'Product List'!I:I)</f>
        <v>MINI/MOE BENDABLE BIRCHWOOD FENCE</v>
      </c>
      <c r="C574" s="265" t="s">
        <v>62</v>
      </c>
      <c r="D574" s="124">
        <v>31441551</v>
      </c>
      <c r="E574" s="125">
        <v>96</v>
      </c>
      <c r="F574" s="125">
        <v>5.01</v>
      </c>
      <c r="G574" s="125">
        <f t="shared" si="16"/>
        <v>480.96</v>
      </c>
      <c r="H574" s="86" t="s">
        <v>298</v>
      </c>
      <c r="I574" s="86" t="s">
        <v>92</v>
      </c>
      <c r="J574" s="86" t="s">
        <v>327</v>
      </c>
      <c r="K574" s="126">
        <v>46232</v>
      </c>
      <c r="L574" s="251">
        <v>46227</v>
      </c>
      <c r="M574" s="127">
        <f>_xlfn.XLOOKUP(C574,'Product List'!B:B,'Product List'!R:R)</f>
        <v>3.4</v>
      </c>
      <c r="N574" s="124">
        <f t="shared" si="17"/>
        <v>326.4</v>
      </c>
      <c r="O574" s="124" cm="1">
        <f t="array" ref="O574">E574/_xlfn.XLOOKUP(1,('Case Pack'!$A$4:$A$962=C574)*('Case Pack'!$L$4:$L$962&gt;0)*('Case Pack'!$L$4:$L$962&lt;=A574),'Case Pack'!$D$4:$D$962,"未找到箱规")</f>
        <v>3</v>
      </c>
      <c r="P574" s="124" t="str">
        <f>IF(COUNTIF('PO Check'!A:A,D574)&gt;0,"Yes","No")</f>
        <v>Yes</v>
      </c>
      <c r="Q574" s="124" t="str" cm="1">
        <f t="array" ref="Q574">_xlfn.XLOOKUP(1,('Case Pack'!$A$4:$A$962=C574)*('Case Pack'!$L$4:$L$962&gt;0)*('Case Pack'!$L$4:$L$962&lt;=A574),'Case Pack'!$G$4:$G$962,"未找到箱型")</f>
        <v>F</v>
      </c>
      <c r="R574" s="124">
        <f>ROUND(IFERROR(VLOOKUP(Q574,'Case Type'!A:H,8,0),0)*O574,2)</f>
        <v>0.11</v>
      </c>
    </row>
    <row r="575" customFormat="1" ht="14.25" spans="1:18">
      <c r="A575" s="113">
        <v>46191</v>
      </c>
      <c r="B575" s="91" t="str">
        <f>_xlfn.XLOOKUP(C575,'Product List'!B:B,'Product List'!I:I)</f>
        <v>MMO-BUBBLE WATER BOTTLE</v>
      </c>
      <c r="C575" s="265" t="s">
        <v>67</v>
      </c>
      <c r="D575" s="124">
        <v>31441551</v>
      </c>
      <c r="E575" s="125">
        <v>336</v>
      </c>
      <c r="F575" s="125">
        <v>4.35</v>
      </c>
      <c r="G575" s="125">
        <f t="shared" si="16"/>
        <v>1461.6</v>
      </c>
      <c r="H575" s="86" t="s">
        <v>298</v>
      </c>
      <c r="I575" s="86" t="s">
        <v>92</v>
      </c>
      <c r="J575" s="86" t="s">
        <v>327</v>
      </c>
      <c r="K575" s="126">
        <v>46232</v>
      </c>
      <c r="L575" s="251">
        <v>46227</v>
      </c>
      <c r="M575" s="127">
        <f>_xlfn.XLOOKUP(C575,'Product List'!B:B,'Product List'!R:R)</f>
        <v>3.1</v>
      </c>
      <c r="N575" s="124">
        <f t="shared" si="17"/>
        <v>1041.6</v>
      </c>
      <c r="O575" s="124" cm="1">
        <f t="array" ref="O575">E575/_xlfn.XLOOKUP(1,('Case Pack'!$A$4:$A$962=C575)*('Case Pack'!$L$4:$L$962&gt;0)*('Case Pack'!$L$4:$L$962&lt;=A575),'Case Pack'!$D$4:$D$962,"未找到箱规")</f>
        <v>8</v>
      </c>
      <c r="P575" s="124" t="str">
        <f>IF(COUNTIF('PO Check'!A:A,D575)&gt;0,"Yes","No")</f>
        <v>Yes</v>
      </c>
      <c r="Q575" s="124" t="str" cm="1">
        <f t="array" ref="Q575">_xlfn.XLOOKUP(1,('Case Pack'!$A$4:$A$962=C575)*('Case Pack'!$L$4:$L$962&gt;0)*('Case Pack'!$L$4:$L$962&lt;=A575),'Case Pack'!$G$4:$G$962,"未找到箱型")</f>
        <v>C</v>
      </c>
      <c r="R575" s="124">
        <f>ROUND(IFERROR(VLOOKUP(Q575,'Case Type'!A:H,8,0),0)*O575,2)</f>
        <v>1.26</v>
      </c>
    </row>
    <row r="576" customFormat="1" spans="1:18">
      <c r="A576" s="113">
        <v>46191</v>
      </c>
      <c r="B576" s="91" t="str">
        <f>_xlfn.XLOOKUP(C576,'Product List'!B:B,'Product List'!I:I)</f>
        <v>MMO-PAPER TWIST BLU/WHT</v>
      </c>
      <c r="C576" s="124" t="s">
        <v>68</v>
      </c>
      <c r="D576" s="124">
        <v>31441551</v>
      </c>
      <c r="E576" s="125">
        <v>150</v>
      </c>
      <c r="F576" s="125">
        <v>3.89</v>
      </c>
      <c r="G576" s="125">
        <f t="shared" si="16"/>
        <v>583.5</v>
      </c>
      <c r="H576" s="86" t="s">
        <v>298</v>
      </c>
      <c r="I576" s="86" t="s">
        <v>92</v>
      </c>
      <c r="J576" s="86" t="s">
        <v>327</v>
      </c>
      <c r="K576" s="126">
        <v>46232</v>
      </c>
      <c r="L576" s="251">
        <v>46227</v>
      </c>
      <c r="M576" s="127">
        <f>_xlfn.XLOOKUP(C576,'Product List'!B:B,'Product List'!R:R)</f>
        <v>1.98</v>
      </c>
      <c r="N576" s="124">
        <f t="shared" si="17"/>
        <v>297</v>
      </c>
      <c r="O576" s="124" cm="1">
        <f t="array" ref="O576">E576/_xlfn.XLOOKUP(1,('Case Pack'!$A$4:$A$962=C576)*('Case Pack'!$L$4:$L$962&gt;0)*('Case Pack'!$L$4:$L$962&lt;=A576),'Case Pack'!$D$4:$D$962,"未找到箱规")</f>
        <v>5</v>
      </c>
      <c r="P576" s="124" t="str">
        <f>IF(COUNTIF('PO Check'!A:A,D576)&gt;0,"Yes","No")</f>
        <v>Yes</v>
      </c>
      <c r="Q576" s="124" t="str" cm="1">
        <f t="array" ref="Q576">_xlfn.XLOOKUP(1,('Case Pack'!$A$4:$A$962=C576)*('Case Pack'!$L$4:$L$962&gt;0)*('Case Pack'!$L$4:$L$962&lt;=A576),'Case Pack'!$G$4:$G$962,"未找到箱型")</f>
        <v>A</v>
      </c>
      <c r="R576" s="124">
        <f>ROUND(IFERROR(VLOOKUP(Q576,'Case Type'!A:H,8,0),0)*O576,2)</f>
        <v>0.55</v>
      </c>
    </row>
    <row r="577" customFormat="1" spans="1:18">
      <c r="A577" s="113">
        <v>46191</v>
      </c>
      <c r="B577" s="91" t="str">
        <f>_xlfn.XLOOKUP(C577,'Product List'!B:B,'Product List'!I:I)</f>
        <v>MMO-CLOUD WATER BOTTLE</v>
      </c>
      <c r="C577" s="124" t="s">
        <v>77</v>
      </c>
      <c r="D577" s="124">
        <v>31441551</v>
      </c>
      <c r="E577" s="125">
        <v>400</v>
      </c>
      <c r="F577" s="125">
        <v>1.32</v>
      </c>
      <c r="G577" s="125">
        <f t="shared" si="16"/>
        <v>528</v>
      </c>
      <c r="H577" s="86" t="s">
        <v>298</v>
      </c>
      <c r="I577" s="86" t="s">
        <v>92</v>
      </c>
      <c r="J577" s="86" t="s">
        <v>327</v>
      </c>
      <c r="K577" s="126">
        <v>46232</v>
      </c>
      <c r="L577" s="251">
        <v>46227</v>
      </c>
      <c r="M577" s="127">
        <f>_xlfn.XLOOKUP(C577,'Product List'!B:B,'Product List'!R:R)</f>
        <v>0.62</v>
      </c>
      <c r="N577" s="124">
        <f t="shared" si="17"/>
        <v>248</v>
      </c>
      <c r="O577" s="124" cm="1">
        <f t="array" ref="O577">E577/_xlfn.XLOOKUP(1,('Case Pack'!$A$4:$A$962=C577)*('Case Pack'!$L$4:$L$962&gt;0)*('Case Pack'!$L$4:$L$962&lt;=A577),'Case Pack'!$D$4:$D$962,"未找到箱规")</f>
        <v>8</v>
      </c>
      <c r="P577" s="124" t="str">
        <f>IF(COUNTIF('PO Check'!A:A,D577)&gt;0,"Yes","No")</f>
        <v>Yes</v>
      </c>
      <c r="Q577" s="124" t="str" cm="1">
        <f t="array" ref="Q577">_xlfn.XLOOKUP(1,('Case Pack'!$A$4:$A$962=C577)*('Case Pack'!$L$4:$L$962&gt;0)*('Case Pack'!$L$4:$L$962&lt;=A577),'Case Pack'!$G$4:$G$962,"未找到箱型")</f>
        <v>A</v>
      </c>
      <c r="R577" s="124">
        <f>ROUND(IFERROR(VLOOKUP(Q577,'Case Type'!A:H,8,0),0)*O577,2)</f>
        <v>0.88</v>
      </c>
    </row>
    <row r="578" customFormat="1" spans="1:18">
      <c r="A578" s="113">
        <v>46191</v>
      </c>
      <c r="B578" s="91" t="str">
        <f>_xlfn.XLOOKUP(C578,'Product List'!B:B,'Product List'!I:I)</f>
        <v>MINI/MOE RUFFLE BOWL</v>
      </c>
      <c r="C578" s="124" t="s">
        <v>78</v>
      </c>
      <c r="D578" s="124">
        <v>31441551</v>
      </c>
      <c r="E578" s="125">
        <v>336</v>
      </c>
      <c r="F578" s="125">
        <v>2.35</v>
      </c>
      <c r="G578" s="125">
        <f t="shared" si="16"/>
        <v>789.6</v>
      </c>
      <c r="H578" s="86" t="s">
        <v>298</v>
      </c>
      <c r="I578" s="86" t="s">
        <v>92</v>
      </c>
      <c r="J578" s="86" t="s">
        <v>327</v>
      </c>
      <c r="K578" s="126">
        <v>46232</v>
      </c>
      <c r="L578" s="251">
        <v>46227</v>
      </c>
      <c r="M578" s="127">
        <f>_xlfn.XLOOKUP(C578,'Product List'!B:B,'Product List'!R:R)</f>
        <v>1.34</v>
      </c>
      <c r="N578" s="124">
        <f t="shared" si="17"/>
        <v>450.24</v>
      </c>
      <c r="O578" s="124" cm="1">
        <f t="array" ref="O578">E578/_xlfn.XLOOKUP(1,('Case Pack'!$A$4:$A$962=C578)*('Case Pack'!$L$4:$L$962&gt;0)*('Case Pack'!$L$4:$L$962&lt;=A578),'Case Pack'!$D$4:$D$962,"未找到箱规")</f>
        <v>7</v>
      </c>
      <c r="P578" s="124" t="str">
        <f>IF(COUNTIF('PO Check'!A:A,D578)&gt;0,"Yes","No")</f>
        <v>Yes</v>
      </c>
      <c r="Q578" s="124" t="str" cm="1">
        <f t="array" ref="Q578">_xlfn.XLOOKUP(1,('Case Pack'!$A$4:$A$962=C578)*('Case Pack'!$L$4:$L$962&gt;0)*('Case Pack'!$L$4:$L$962&lt;=A578),'Case Pack'!$G$4:$G$962,"未找到箱型")</f>
        <v>B</v>
      </c>
      <c r="R578" s="124">
        <f>ROUND(IFERROR(VLOOKUP(Q578,'Case Type'!A:H,8,0),0)*O578,2)</f>
        <v>0.51</v>
      </c>
    </row>
    <row r="579" customFormat="1" spans="1:18">
      <c r="A579" s="113">
        <v>46191</v>
      </c>
      <c r="B579" s="91" t="str">
        <f>_xlfn.XLOOKUP(C579,'Product List'!B:B,'Product List'!I:I)</f>
        <v>MMO-PAPER PEBBLES</v>
      </c>
      <c r="C579" s="124" t="s">
        <v>81</v>
      </c>
      <c r="D579" s="124">
        <v>31441551</v>
      </c>
      <c r="E579" s="125">
        <v>120</v>
      </c>
      <c r="F579" s="125">
        <v>5.81</v>
      </c>
      <c r="G579" s="125">
        <f t="shared" si="16"/>
        <v>697.2</v>
      </c>
      <c r="H579" s="86" t="s">
        <v>298</v>
      </c>
      <c r="I579" s="86" t="s">
        <v>92</v>
      </c>
      <c r="J579" s="86" t="s">
        <v>327</v>
      </c>
      <c r="K579" s="126">
        <v>46232</v>
      </c>
      <c r="L579" s="251">
        <v>46227</v>
      </c>
      <c r="M579" s="127">
        <f>_xlfn.XLOOKUP(C579,'Product List'!B:B,'Product List'!R:R)</f>
        <v>2.84</v>
      </c>
      <c r="N579" s="124">
        <f t="shared" si="17"/>
        <v>340.8</v>
      </c>
      <c r="O579" s="124" cm="1">
        <f t="array" ref="O579">E579/_xlfn.XLOOKUP(1,('Case Pack'!$A$4:$A$962=C579)*('Case Pack'!$L$4:$L$962&gt;0)*('Case Pack'!$L$4:$L$962&lt;=A579),'Case Pack'!$D$4:$D$962,"未找到箱规")</f>
        <v>10</v>
      </c>
      <c r="P579" s="124" t="str">
        <f>IF(COUNTIF('PO Check'!A:A,D579)&gt;0,"Yes","No")</f>
        <v>Yes</v>
      </c>
      <c r="Q579" s="124" t="str" cm="1">
        <f t="array" ref="Q579">_xlfn.XLOOKUP(1,('Case Pack'!$A$4:$A$962=C579)*('Case Pack'!$L$4:$L$962&gt;0)*('Case Pack'!$L$4:$L$962&lt;=A579),'Case Pack'!$G$4:$G$962,"未找到箱型")</f>
        <v>B</v>
      </c>
      <c r="R579" s="124">
        <f>ROUND(IFERROR(VLOOKUP(Q579,'Case Type'!A:H,8,0),0)*O579,2)</f>
        <v>0.73</v>
      </c>
    </row>
    <row r="580" customFormat="1" spans="1:18">
      <c r="A580" s="113">
        <v>46191</v>
      </c>
      <c r="B580" s="91" t="str">
        <f>_xlfn.XLOOKUP(C580,'Product List'!B:B,'Product List'!I:I)</f>
        <v>MMO-COTTON NESTING BALLS</v>
      </c>
      <c r="C580" s="124" t="s">
        <v>84</v>
      </c>
      <c r="D580" s="124">
        <v>31441551</v>
      </c>
      <c r="E580" s="125">
        <v>192</v>
      </c>
      <c r="F580" s="125">
        <v>3.37</v>
      </c>
      <c r="G580" s="125">
        <f t="shared" si="16"/>
        <v>647.04</v>
      </c>
      <c r="H580" s="86" t="s">
        <v>298</v>
      </c>
      <c r="I580" s="86" t="s">
        <v>92</v>
      </c>
      <c r="J580" s="86" t="s">
        <v>327</v>
      </c>
      <c r="K580" s="126">
        <v>46232</v>
      </c>
      <c r="L580" s="251">
        <v>46227</v>
      </c>
      <c r="M580" s="127">
        <f>_xlfn.XLOOKUP(C580,'Product List'!B:B,'Product List'!R:R)</f>
        <v>1.64</v>
      </c>
      <c r="N580" s="124">
        <f t="shared" si="17"/>
        <v>314.88</v>
      </c>
      <c r="O580" s="124" cm="1">
        <f t="array" ref="O580">E580/_xlfn.XLOOKUP(1,('Case Pack'!$A$4:$A$962=C580)*('Case Pack'!$L$4:$L$962&gt;0)*('Case Pack'!$L$4:$L$962&lt;=A580),'Case Pack'!$D$4:$D$962,"未找到箱规")</f>
        <v>6</v>
      </c>
      <c r="P580" s="124" t="str">
        <f>IF(COUNTIF('PO Check'!A:A,D580)&gt;0,"Yes","No")</f>
        <v>Yes</v>
      </c>
      <c r="Q580" s="124" t="str" cm="1">
        <f t="array" ref="Q580">_xlfn.XLOOKUP(1,('Case Pack'!$A$4:$A$962=C580)*('Case Pack'!$L$4:$L$962&gt;0)*('Case Pack'!$L$4:$L$962&lt;=A580),'Case Pack'!$G$4:$G$962,"未找到箱型")</f>
        <v>A</v>
      </c>
      <c r="R580" s="124">
        <f>ROUND(IFERROR(VLOOKUP(Q580,'Case Type'!A:H,8,0),0)*O580,2)</f>
        <v>0.66</v>
      </c>
    </row>
    <row r="581" customFormat="1" spans="1:18">
      <c r="A581" s="113">
        <v>46198</v>
      </c>
      <c r="B581" s="91" t="str">
        <f>_xlfn.XLOOKUP(C581,'Product List'!B:B,'Product List'!I:I)</f>
        <v>MMO-GREEN APPLE CHEW</v>
      </c>
      <c r="C581" s="124" t="s">
        <v>33</v>
      </c>
      <c r="D581" s="125">
        <v>31496998</v>
      </c>
      <c r="E581" s="125">
        <v>144</v>
      </c>
      <c r="F581" s="125">
        <v>1.53</v>
      </c>
      <c r="G581" s="125">
        <f t="shared" si="16"/>
        <v>220.32</v>
      </c>
      <c r="H581" s="86" t="s">
        <v>298</v>
      </c>
      <c r="I581" s="86" t="s">
        <v>92</v>
      </c>
      <c r="J581" s="86" t="s">
        <v>322</v>
      </c>
      <c r="K581" s="126">
        <v>46260</v>
      </c>
      <c r="L581" s="251">
        <v>46251</v>
      </c>
      <c r="M581" s="127">
        <f>_xlfn.XLOOKUP(C581,'Product List'!B:B,'Product List'!R:R)</f>
        <v>1.04</v>
      </c>
      <c r="N581" s="124">
        <f t="shared" si="17"/>
        <v>149.76</v>
      </c>
      <c r="O581" s="124" cm="1">
        <f t="array" ref="O581">E581/_xlfn.XLOOKUP(1,('Case Pack'!$A$4:$A$962=C581)*('Case Pack'!$L$4:$L$962&gt;0)*('Case Pack'!$L$4:$L$962&lt;=A581),'Case Pack'!$D$4:$D$962,"未找到箱规")</f>
        <v>3</v>
      </c>
      <c r="P581" s="124" t="str">
        <f>IF(COUNTIF('PO Check'!A:A,D581)&gt;0,"Yes","No")</f>
        <v>Yes</v>
      </c>
      <c r="Q581" s="124" t="str" cm="1">
        <f t="array" ref="Q581">_xlfn.XLOOKUP(1,('Case Pack'!$A$4:$A$962=C581)*('Case Pack'!$L$4:$L$962&gt;0)*('Case Pack'!$L$4:$L$962&lt;=A581),'Case Pack'!$G$4:$G$962,"未找到箱型")</f>
        <v>B</v>
      </c>
      <c r="R581" s="124">
        <f>ROUND(IFERROR(VLOOKUP(Q581,'Case Type'!A:H,8,0),0)*O581,2)</f>
        <v>0.22</v>
      </c>
    </row>
    <row r="582" customFormat="1" spans="1:18">
      <c r="A582" s="113">
        <v>46198</v>
      </c>
      <c r="B582" s="91" t="str">
        <f>_xlfn.XLOOKUP(C582,'Product List'!B:B,'Product List'!I:I)</f>
        <v>MMO-CAMP LUNCH BOX CHEW</v>
      </c>
      <c r="C582" s="124" t="s">
        <v>34</v>
      </c>
      <c r="D582" s="125">
        <v>31496998</v>
      </c>
      <c r="E582" s="125">
        <v>144</v>
      </c>
      <c r="F582" s="125">
        <v>2.48</v>
      </c>
      <c r="G582" s="125">
        <f t="shared" si="16"/>
        <v>357.12</v>
      </c>
      <c r="H582" s="86" t="s">
        <v>298</v>
      </c>
      <c r="I582" s="86" t="s">
        <v>92</v>
      </c>
      <c r="J582" s="86" t="s">
        <v>322</v>
      </c>
      <c r="K582" s="126">
        <v>46260</v>
      </c>
      <c r="L582" s="251">
        <v>46251</v>
      </c>
      <c r="M582" s="127">
        <f>_xlfn.XLOOKUP(C582,'Product List'!B:B,'Product List'!R:R)</f>
        <v>1.59</v>
      </c>
      <c r="N582" s="124">
        <f t="shared" si="17"/>
        <v>228.96</v>
      </c>
      <c r="O582" s="124" cm="1">
        <f t="array" ref="O582">E582/_xlfn.XLOOKUP(1,('Case Pack'!$A$4:$A$962=C582)*('Case Pack'!$L$4:$L$962&gt;0)*('Case Pack'!$L$4:$L$962&lt;=A582),'Case Pack'!$D$4:$D$962,"未找到箱规")</f>
        <v>2</v>
      </c>
      <c r="P582" s="124" t="str">
        <f>IF(COUNTIF('PO Check'!A:A,D582)&gt;0,"Yes","No")</f>
        <v>Yes</v>
      </c>
      <c r="Q582" s="124" t="str" cm="1">
        <f t="array" ref="Q582">_xlfn.XLOOKUP(1,('Case Pack'!$A$4:$A$962=C582)*('Case Pack'!$L$4:$L$962&gt;0)*('Case Pack'!$L$4:$L$962&lt;=A582),'Case Pack'!$G$4:$G$962,"未找到箱型")</f>
        <v>B</v>
      </c>
      <c r="R582" s="124">
        <f>ROUND(IFERROR(VLOOKUP(Q582,'Case Type'!A:H,8,0),0)*O582,2)</f>
        <v>0.15</v>
      </c>
    </row>
    <row r="583" customFormat="1" spans="1:18">
      <c r="A583" s="113">
        <v>46198</v>
      </c>
      <c r="B583" s="91" t="str">
        <f>_xlfn.XLOOKUP(C583,'Product List'!B:B,'Product List'!I:I)</f>
        <v>MMO-SHELL PEARL HAMSTER CHEW</v>
      </c>
      <c r="C583" s="124" t="s">
        <v>35</v>
      </c>
      <c r="D583" s="125">
        <v>31496998</v>
      </c>
      <c r="E583" s="125">
        <v>256</v>
      </c>
      <c r="F583" s="125">
        <v>1.61</v>
      </c>
      <c r="G583" s="125">
        <f t="shared" si="16"/>
        <v>412.16</v>
      </c>
      <c r="H583" s="86" t="s">
        <v>298</v>
      </c>
      <c r="I583" s="86" t="s">
        <v>92</v>
      </c>
      <c r="J583" s="86" t="s">
        <v>322</v>
      </c>
      <c r="K583" s="126">
        <v>46260</v>
      </c>
      <c r="L583" s="251">
        <v>46251</v>
      </c>
      <c r="M583" s="127">
        <f>_xlfn.XLOOKUP(C583,'Product List'!B:B,'Product List'!R:R)</f>
        <v>0.96</v>
      </c>
      <c r="N583" s="124">
        <f t="shared" si="17"/>
        <v>245.76</v>
      </c>
      <c r="O583" s="124" cm="1">
        <f t="array" ref="O583">E583/_xlfn.XLOOKUP(1,('Case Pack'!$A$4:$A$962=C583)*('Case Pack'!$L$4:$L$962&gt;0)*('Case Pack'!$L$4:$L$962&lt;=A583),'Case Pack'!$D$4:$D$962,"未找到箱规")</f>
        <v>4</v>
      </c>
      <c r="P583" s="124" t="str">
        <f>IF(COUNTIF('PO Check'!A:A,D583)&gt;0,"Yes","No")</f>
        <v>Yes</v>
      </c>
      <c r="Q583" s="124" t="str" cm="1">
        <f t="array" ref="Q583">_xlfn.XLOOKUP(1,('Case Pack'!$A$4:$A$962=C583)*('Case Pack'!$L$4:$L$962&gt;0)*('Case Pack'!$L$4:$L$962&lt;=A583),'Case Pack'!$G$4:$G$962,"未找到箱型")</f>
        <v>B</v>
      </c>
      <c r="R583" s="124">
        <f>ROUND(IFERROR(VLOOKUP(Q583,'Case Type'!A:H,8,0),0)*O583,2)</f>
        <v>0.29</v>
      </c>
    </row>
    <row r="584" customFormat="1" spans="1:18">
      <c r="A584" s="113">
        <v>46198</v>
      </c>
      <c r="B584" s="91" t="str">
        <f>_xlfn.XLOOKUP(C584,'Product List'!B:B,'Product List'!I:I)</f>
        <v>MINI/MOE TV VIEWING CAGE</v>
      </c>
      <c r="C584" s="124" t="s">
        <v>50</v>
      </c>
      <c r="D584" s="125">
        <v>31496998</v>
      </c>
      <c r="E584" s="125">
        <v>196</v>
      </c>
      <c r="F584" s="125">
        <v>48.49</v>
      </c>
      <c r="G584" s="125">
        <f t="shared" si="16"/>
        <v>9504.04</v>
      </c>
      <c r="H584" s="86" t="s">
        <v>298</v>
      </c>
      <c r="I584" s="86" t="s">
        <v>92</v>
      </c>
      <c r="J584" s="86" t="s">
        <v>322</v>
      </c>
      <c r="K584" s="126">
        <v>46260</v>
      </c>
      <c r="L584" s="251">
        <v>46251</v>
      </c>
      <c r="M584" s="127">
        <f>_xlfn.XLOOKUP(C584,'Product List'!B:B,'Product List'!R:R)</f>
        <v>24.09</v>
      </c>
      <c r="N584" s="124">
        <f t="shared" si="17"/>
        <v>4721.64</v>
      </c>
      <c r="O584" s="124" cm="1">
        <f t="array" ref="O584">E584/_xlfn.XLOOKUP(1,('Case Pack'!$A$4:$A$962=C584)*('Case Pack'!$L$4:$L$962&gt;0)*('Case Pack'!$L$4:$L$962&lt;=A584),'Case Pack'!$D$4:$D$962,"未找到箱规")</f>
        <v>196</v>
      </c>
      <c r="P584" s="124" t="str">
        <f>IF(COUNTIF('PO Check'!A:A,D584)&gt;0,"Yes","No")</f>
        <v>Yes</v>
      </c>
      <c r="Q584" s="124" t="str" cm="1">
        <f t="array" ref="Q584">_xlfn.XLOOKUP(1,('Case Pack'!$A$4:$A$962=C584)*('Case Pack'!$L$4:$L$962&gt;0)*('Case Pack'!$L$4:$L$962&lt;=A584),'Case Pack'!$G$4:$G$962,"未找到箱型")</f>
        <v>S1</v>
      </c>
      <c r="R584" s="124">
        <f>ROUND(IFERROR(VLOOKUP(Q584,'Case Type'!A:H,8,0),0)*O584,2)</f>
        <v>14.5</v>
      </c>
    </row>
    <row r="585" customFormat="1" spans="1:18">
      <c r="A585" s="113">
        <v>46198</v>
      </c>
      <c r="B585" s="91" t="str">
        <f>_xlfn.XLOOKUP(C585,'Product List'!B:B,'Product List'!I:I)</f>
        <v>MMO-STARFISH CASTLE</v>
      </c>
      <c r="C585" s="124" t="s">
        <v>60</v>
      </c>
      <c r="D585" s="125">
        <v>31496998</v>
      </c>
      <c r="E585" s="125">
        <v>140</v>
      </c>
      <c r="F585" s="125">
        <v>5.32</v>
      </c>
      <c r="G585" s="125">
        <f t="shared" si="16"/>
        <v>744.8</v>
      </c>
      <c r="H585" s="86" t="s">
        <v>298</v>
      </c>
      <c r="I585" s="86" t="s">
        <v>92</v>
      </c>
      <c r="J585" s="86" t="s">
        <v>322</v>
      </c>
      <c r="K585" s="126">
        <v>46260</v>
      </c>
      <c r="L585" s="251">
        <v>46251</v>
      </c>
      <c r="M585" s="127">
        <f>_xlfn.XLOOKUP(C585,'Product List'!B:B,'Product List'!R:R)</f>
        <v>2.81</v>
      </c>
      <c r="N585" s="124">
        <f t="shared" si="17"/>
        <v>393.4</v>
      </c>
      <c r="O585" s="124" cm="1">
        <f t="array" ref="O585">E585/_xlfn.XLOOKUP(1,('Case Pack'!$A$4:$A$962=C585)*('Case Pack'!$L$4:$L$962&gt;0)*('Case Pack'!$L$4:$L$962&lt;=A585),'Case Pack'!$D$4:$D$962,"未找到箱规")</f>
        <v>7</v>
      </c>
      <c r="P585" s="124" t="str">
        <f>IF(COUNTIF('PO Check'!A:A,D585)&gt;0,"Yes","No")</f>
        <v>Yes</v>
      </c>
      <c r="Q585" s="124" t="str" cm="1">
        <f t="array" ref="Q585">_xlfn.XLOOKUP(1,('Case Pack'!$A$4:$A$962=C585)*('Case Pack'!$L$4:$L$962&gt;0)*('Case Pack'!$L$4:$L$962&lt;=A585),'Case Pack'!$G$4:$G$962,"未找到箱型")</f>
        <v>C</v>
      </c>
      <c r="R585" s="124">
        <f>ROUND(IFERROR(VLOOKUP(Q585,'Case Type'!A:H,8,0),0)*O585,2)</f>
        <v>1.1</v>
      </c>
    </row>
    <row r="586" customFormat="1" spans="1:18">
      <c r="A586" s="113">
        <v>46198</v>
      </c>
      <c r="B586" s="91" t="str">
        <f>_xlfn.XLOOKUP(C586,'Product List'!B:B,'Product List'!I:I)</f>
        <v>MINI/MOE BENDABLE BIRCHWOOD FENCE</v>
      </c>
      <c r="C586" s="124" t="s">
        <v>62</v>
      </c>
      <c r="D586" s="125">
        <v>31496998</v>
      </c>
      <c r="E586" s="125">
        <v>64</v>
      </c>
      <c r="F586" s="125">
        <v>5.01</v>
      </c>
      <c r="G586" s="125">
        <f t="shared" si="16"/>
        <v>320.64</v>
      </c>
      <c r="H586" s="86" t="s">
        <v>298</v>
      </c>
      <c r="I586" s="86" t="s">
        <v>92</v>
      </c>
      <c r="J586" s="86" t="s">
        <v>322</v>
      </c>
      <c r="K586" s="126">
        <v>46260</v>
      </c>
      <c r="L586" s="251">
        <v>46251</v>
      </c>
      <c r="M586" s="127">
        <f>_xlfn.XLOOKUP(C586,'Product List'!B:B,'Product List'!R:R)</f>
        <v>3.4</v>
      </c>
      <c r="N586" s="124">
        <f t="shared" si="17"/>
        <v>217.6</v>
      </c>
      <c r="O586" s="124" cm="1">
        <f t="array" ref="O586">E586/_xlfn.XLOOKUP(1,('Case Pack'!$A$4:$A$962=C586)*('Case Pack'!$L$4:$L$962&gt;0)*('Case Pack'!$L$4:$L$962&lt;=A586),'Case Pack'!$D$4:$D$962,"未找到箱规")</f>
        <v>2</v>
      </c>
      <c r="P586" s="124" t="str">
        <f>IF(COUNTIF('PO Check'!A:A,D586)&gt;0,"Yes","No")</f>
        <v>Yes</v>
      </c>
      <c r="Q586" s="124" t="str" cm="1">
        <f t="array" ref="Q586">_xlfn.XLOOKUP(1,('Case Pack'!$A$4:$A$962=C586)*('Case Pack'!$L$4:$L$962&gt;0)*('Case Pack'!$L$4:$L$962&lt;=A586),'Case Pack'!$G$4:$G$962,"未找到箱型")</f>
        <v>F</v>
      </c>
      <c r="R586" s="124">
        <f>ROUND(IFERROR(VLOOKUP(Q586,'Case Type'!A:H,8,0),0)*O586,2)</f>
        <v>0.07</v>
      </c>
    </row>
    <row r="587" customFormat="1" spans="1:18">
      <c r="A587" s="113">
        <v>46198</v>
      </c>
      <c r="B587" s="91" t="str">
        <f>_xlfn.XLOOKUP(C587,'Product List'!B:B,'Product List'!I:I)</f>
        <v>MMO-BUBBLE WATER BOTTLE</v>
      </c>
      <c r="C587" s="124" t="s">
        <v>67</v>
      </c>
      <c r="D587" s="125">
        <v>31496998</v>
      </c>
      <c r="E587" s="125">
        <v>168</v>
      </c>
      <c r="F587" s="125">
        <v>4.35</v>
      </c>
      <c r="G587" s="125">
        <f t="shared" si="16"/>
        <v>730.8</v>
      </c>
      <c r="H587" s="86" t="s">
        <v>298</v>
      </c>
      <c r="I587" s="86" t="s">
        <v>92</v>
      </c>
      <c r="J587" s="86" t="s">
        <v>322</v>
      </c>
      <c r="K587" s="126">
        <v>46260</v>
      </c>
      <c r="L587" s="251">
        <v>46251</v>
      </c>
      <c r="M587" s="127">
        <f>_xlfn.XLOOKUP(C587,'Product List'!B:B,'Product List'!R:R)</f>
        <v>3.1</v>
      </c>
      <c r="N587" s="124">
        <f t="shared" si="17"/>
        <v>520.8</v>
      </c>
      <c r="O587" s="124" cm="1">
        <f t="array" ref="O587">E587/_xlfn.XLOOKUP(1,('Case Pack'!$A$4:$A$962=C587)*('Case Pack'!$L$4:$L$962&gt;0)*('Case Pack'!$L$4:$L$962&lt;=A587),'Case Pack'!$D$4:$D$962,"未找到箱规")</f>
        <v>4</v>
      </c>
      <c r="P587" s="124" t="str">
        <f>IF(COUNTIF('PO Check'!A:A,D587)&gt;0,"Yes","No")</f>
        <v>Yes</v>
      </c>
      <c r="Q587" s="124" t="str" cm="1">
        <f t="array" ref="Q587">_xlfn.XLOOKUP(1,('Case Pack'!$A$4:$A$962=C587)*('Case Pack'!$L$4:$L$962&gt;0)*('Case Pack'!$L$4:$L$962&lt;=A587),'Case Pack'!$G$4:$G$962,"未找到箱型")</f>
        <v>C</v>
      </c>
      <c r="R587" s="124">
        <f>ROUND(IFERROR(VLOOKUP(Q587,'Case Type'!A:H,8,0),0)*O587,2)</f>
        <v>0.63</v>
      </c>
    </row>
    <row r="588" customFormat="1" spans="1:18">
      <c r="A588" s="113">
        <v>46198</v>
      </c>
      <c r="B588" s="91" t="str">
        <f>_xlfn.XLOOKUP(C588,'Product List'!B:B,'Product List'!I:I)</f>
        <v>MMO-PAPER TWIST BLU/WHT</v>
      </c>
      <c r="C588" s="124" t="s">
        <v>68</v>
      </c>
      <c r="D588" s="125">
        <v>31496998</v>
      </c>
      <c r="E588" s="125">
        <v>150</v>
      </c>
      <c r="F588" s="125">
        <v>3.89</v>
      </c>
      <c r="G588" s="125">
        <f t="shared" si="16"/>
        <v>583.5</v>
      </c>
      <c r="H588" s="86" t="s">
        <v>298</v>
      </c>
      <c r="I588" s="86" t="s">
        <v>92</v>
      </c>
      <c r="J588" s="86" t="s">
        <v>322</v>
      </c>
      <c r="K588" s="126">
        <v>46260</v>
      </c>
      <c r="L588" s="251">
        <v>46251</v>
      </c>
      <c r="M588" s="127">
        <f>_xlfn.XLOOKUP(C588,'Product List'!B:B,'Product List'!R:R)</f>
        <v>1.98</v>
      </c>
      <c r="N588" s="124">
        <f t="shared" si="17"/>
        <v>297</v>
      </c>
      <c r="O588" s="124" cm="1">
        <f t="array" ref="O588">E588/_xlfn.XLOOKUP(1,('Case Pack'!$A$4:$A$962=C588)*('Case Pack'!$L$4:$L$962&gt;0)*('Case Pack'!$L$4:$L$962&lt;=A588),'Case Pack'!$D$4:$D$962,"未找到箱规")</f>
        <v>5</v>
      </c>
      <c r="P588" s="124" t="str">
        <f>IF(COUNTIF('PO Check'!A:A,D588)&gt;0,"Yes","No")</f>
        <v>Yes</v>
      </c>
      <c r="Q588" s="124" t="str" cm="1">
        <f t="array" ref="Q588">_xlfn.XLOOKUP(1,('Case Pack'!$A$4:$A$962=C588)*('Case Pack'!$L$4:$L$962&gt;0)*('Case Pack'!$L$4:$L$962&lt;=A588),'Case Pack'!$G$4:$G$962,"未找到箱型")</f>
        <v>A</v>
      </c>
      <c r="R588" s="124">
        <f>ROUND(IFERROR(VLOOKUP(Q588,'Case Type'!A:H,8,0),0)*O588,2)</f>
        <v>0.55</v>
      </c>
    </row>
    <row r="589" customFormat="1" spans="1:18">
      <c r="A589" s="113">
        <v>46198</v>
      </c>
      <c r="B589" s="91" t="str">
        <f>_xlfn.XLOOKUP(C589,'Product List'!B:B,'Product List'!I:I)</f>
        <v>MMO-CLOUD WATER BOTTLE</v>
      </c>
      <c r="C589" s="124" t="s">
        <v>77</v>
      </c>
      <c r="D589" s="125">
        <v>31496998</v>
      </c>
      <c r="E589" s="125">
        <v>100</v>
      </c>
      <c r="F589" s="125">
        <v>1.32</v>
      </c>
      <c r="G589" s="125">
        <f t="shared" si="16"/>
        <v>132</v>
      </c>
      <c r="H589" s="86" t="s">
        <v>298</v>
      </c>
      <c r="I589" s="86" t="s">
        <v>92</v>
      </c>
      <c r="J589" s="86" t="s">
        <v>322</v>
      </c>
      <c r="K589" s="126">
        <v>46260</v>
      </c>
      <c r="L589" s="251">
        <v>46251</v>
      </c>
      <c r="M589" s="127">
        <f>_xlfn.XLOOKUP(C589,'Product List'!B:B,'Product List'!R:R)</f>
        <v>0.62</v>
      </c>
      <c r="N589" s="124">
        <f t="shared" si="17"/>
        <v>62</v>
      </c>
      <c r="O589" s="124" cm="1">
        <f t="array" ref="O589">E589/_xlfn.XLOOKUP(1,('Case Pack'!$A$4:$A$962=C589)*('Case Pack'!$L$4:$L$962&gt;0)*('Case Pack'!$L$4:$L$962&lt;=A589),'Case Pack'!$D$4:$D$962,"未找到箱规")</f>
        <v>2</v>
      </c>
      <c r="P589" s="124" t="str">
        <f>IF(COUNTIF('PO Check'!A:A,D589)&gt;0,"Yes","No")</f>
        <v>Yes</v>
      </c>
      <c r="Q589" s="124" t="str" cm="1">
        <f t="array" ref="Q589">_xlfn.XLOOKUP(1,('Case Pack'!$A$4:$A$962=C589)*('Case Pack'!$L$4:$L$962&gt;0)*('Case Pack'!$L$4:$L$962&lt;=A589),'Case Pack'!$G$4:$G$962,"未找到箱型")</f>
        <v>A</v>
      </c>
      <c r="R589" s="124">
        <f>ROUND(IFERROR(VLOOKUP(Q589,'Case Type'!A:H,8,0),0)*O589,2)</f>
        <v>0.22</v>
      </c>
    </row>
    <row r="590" customFormat="1" spans="1:18">
      <c r="A590" s="113">
        <v>46198</v>
      </c>
      <c r="B590" s="91" t="str">
        <f>_xlfn.XLOOKUP(C590,'Product List'!B:B,'Product List'!I:I)</f>
        <v>MINI/MOE RUFFLE BOWL</v>
      </c>
      <c r="C590" s="124" t="s">
        <v>78</v>
      </c>
      <c r="D590" s="125">
        <v>31496998</v>
      </c>
      <c r="E590" s="125">
        <v>144</v>
      </c>
      <c r="F590" s="125">
        <v>2.35</v>
      </c>
      <c r="G590" s="125">
        <f t="shared" si="16"/>
        <v>338.4</v>
      </c>
      <c r="H590" s="86" t="s">
        <v>298</v>
      </c>
      <c r="I590" s="86" t="s">
        <v>92</v>
      </c>
      <c r="J590" s="86" t="s">
        <v>322</v>
      </c>
      <c r="K590" s="126">
        <v>46260</v>
      </c>
      <c r="L590" s="251">
        <v>46251</v>
      </c>
      <c r="M590" s="127">
        <f>_xlfn.XLOOKUP(C590,'Product List'!B:B,'Product List'!R:R)</f>
        <v>1.34</v>
      </c>
      <c r="N590" s="124">
        <f t="shared" si="17"/>
        <v>192.96</v>
      </c>
      <c r="O590" s="124" cm="1">
        <f t="array" ref="O590">E590/_xlfn.XLOOKUP(1,('Case Pack'!$A$4:$A$962=C590)*('Case Pack'!$L$4:$L$962&gt;0)*('Case Pack'!$L$4:$L$962&lt;=A590),'Case Pack'!$D$4:$D$962,"未找到箱规")</f>
        <v>3</v>
      </c>
      <c r="P590" s="124" t="str">
        <f>IF(COUNTIF('PO Check'!A:A,D590)&gt;0,"Yes","No")</f>
        <v>Yes</v>
      </c>
      <c r="Q590" s="124" t="str" cm="1">
        <f t="array" ref="Q590">_xlfn.XLOOKUP(1,('Case Pack'!$A$4:$A$962=C590)*('Case Pack'!$L$4:$L$962&gt;0)*('Case Pack'!$L$4:$L$962&lt;=A590),'Case Pack'!$G$4:$G$962,"未找到箱型")</f>
        <v>B</v>
      </c>
      <c r="R590" s="124">
        <f>ROUND(IFERROR(VLOOKUP(Q590,'Case Type'!A:H,8,0),0)*O590,2)</f>
        <v>0.22</v>
      </c>
    </row>
    <row r="591" customFormat="1" spans="1:18">
      <c r="A591" s="113">
        <v>46198</v>
      </c>
      <c r="B591" s="91" t="str">
        <f>_xlfn.XLOOKUP(C591,'Product List'!B:B,'Product List'!I:I)</f>
        <v>MMO-PAPER PEBBLES</v>
      </c>
      <c r="C591" s="124" t="s">
        <v>81</v>
      </c>
      <c r="D591" s="125">
        <v>31496998</v>
      </c>
      <c r="E591" s="125">
        <v>108</v>
      </c>
      <c r="F591" s="125">
        <v>5.81</v>
      </c>
      <c r="G591" s="125">
        <f t="shared" si="16"/>
        <v>627.48</v>
      </c>
      <c r="H591" s="86" t="s">
        <v>298</v>
      </c>
      <c r="I591" s="86" t="s">
        <v>92</v>
      </c>
      <c r="J591" s="86" t="s">
        <v>322</v>
      </c>
      <c r="K591" s="126">
        <v>46260</v>
      </c>
      <c r="L591" s="251">
        <v>46251</v>
      </c>
      <c r="M591" s="127">
        <f>_xlfn.XLOOKUP(C591,'Product List'!B:B,'Product List'!R:R)</f>
        <v>2.84</v>
      </c>
      <c r="N591" s="124">
        <f t="shared" si="17"/>
        <v>306.72</v>
      </c>
      <c r="O591" s="124" cm="1">
        <f t="array" ref="O591">E591/_xlfn.XLOOKUP(1,('Case Pack'!$A$4:$A$962=C591)*('Case Pack'!$L$4:$L$962&gt;0)*('Case Pack'!$L$4:$L$962&lt;=A591),'Case Pack'!$D$4:$D$962,"未找到箱规")</f>
        <v>9</v>
      </c>
      <c r="P591" s="124" t="str">
        <f>IF(COUNTIF('PO Check'!A:A,D591)&gt;0,"Yes","No")</f>
        <v>Yes</v>
      </c>
      <c r="Q591" s="124" t="str" cm="1">
        <f t="array" ref="Q591">_xlfn.XLOOKUP(1,('Case Pack'!$A$4:$A$962=C591)*('Case Pack'!$L$4:$L$962&gt;0)*('Case Pack'!$L$4:$L$962&lt;=A591),'Case Pack'!$G$4:$G$962,"未找到箱型")</f>
        <v>B</v>
      </c>
      <c r="R591" s="124">
        <f>ROUND(IFERROR(VLOOKUP(Q591,'Case Type'!A:H,8,0),0)*O591,2)</f>
        <v>0.66</v>
      </c>
    </row>
    <row r="592" customFormat="1" spans="1:18">
      <c r="A592" s="113">
        <v>46198</v>
      </c>
      <c r="B592" s="91" t="str">
        <f>_xlfn.XLOOKUP(C592,'Product List'!B:B,'Product List'!I:I)</f>
        <v>MMO-COTTON NESTING BALLS</v>
      </c>
      <c r="C592" s="124" t="s">
        <v>84</v>
      </c>
      <c r="D592" s="125">
        <v>31496998</v>
      </c>
      <c r="E592" s="125">
        <v>160</v>
      </c>
      <c r="F592" s="125">
        <v>3.37</v>
      </c>
      <c r="G592" s="125">
        <f t="shared" si="16"/>
        <v>539.2</v>
      </c>
      <c r="H592" s="86" t="s">
        <v>298</v>
      </c>
      <c r="I592" s="86" t="s">
        <v>92</v>
      </c>
      <c r="J592" s="86" t="s">
        <v>322</v>
      </c>
      <c r="K592" s="126">
        <v>46260</v>
      </c>
      <c r="L592" s="251">
        <v>46251</v>
      </c>
      <c r="M592" s="127">
        <f>_xlfn.XLOOKUP(C592,'Product List'!B:B,'Product List'!R:R)</f>
        <v>1.64</v>
      </c>
      <c r="N592" s="124">
        <f t="shared" si="17"/>
        <v>262.4</v>
      </c>
      <c r="O592" s="124" cm="1">
        <f t="array" ref="O592">E592/_xlfn.XLOOKUP(1,('Case Pack'!$A$4:$A$962=C592)*('Case Pack'!$L$4:$L$962&gt;0)*('Case Pack'!$L$4:$L$962&lt;=A592),'Case Pack'!$D$4:$D$962,"未找到箱规")</f>
        <v>5</v>
      </c>
      <c r="P592" s="124" t="str">
        <f>IF(COUNTIF('PO Check'!A:A,D592)&gt;0,"Yes","No")</f>
        <v>Yes</v>
      </c>
      <c r="Q592" s="124" t="str" cm="1">
        <f t="array" ref="Q592">_xlfn.XLOOKUP(1,('Case Pack'!$A$4:$A$962=C592)*('Case Pack'!$L$4:$L$962&gt;0)*('Case Pack'!$L$4:$L$962&lt;=A592),'Case Pack'!$G$4:$G$962,"未找到箱型")</f>
        <v>A</v>
      </c>
      <c r="R592" s="124">
        <f>ROUND(IFERROR(VLOOKUP(Q592,'Case Type'!A:H,8,0),0)*O592,2)</f>
        <v>0.55</v>
      </c>
    </row>
    <row r="593" customFormat="1" spans="1:18">
      <c r="A593" s="113">
        <v>46198</v>
      </c>
      <c r="B593" s="91" t="str">
        <f>_xlfn.XLOOKUP(C593,'Product List'!B:B,'Product List'!I:I)</f>
        <v>MMO-CAMP LUNCH BOX CHEW</v>
      </c>
      <c r="C593" s="108" t="s">
        <v>34</v>
      </c>
      <c r="D593" s="263">
        <v>31496999</v>
      </c>
      <c r="E593" s="125">
        <v>72</v>
      </c>
      <c r="F593" s="125">
        <v>2.48</v>
      </c>
      <c r="G593" s="125">
        <f t="shared" si="16"/>
        <v>178.56</v>
      </c>
      <c r="H593" s="86" t="s">
        <v>298</v>
      </c>
      <c r="I593" s="86" t="s">
        <v>92</v>
      </c>
      <c r="J593" s="86" t="s">
        <v>316</v>
      </c>
      <c r="K593" s="126">
        <v>46260</v>
      </c>
      <c r="L593" s="251">
        <v>46253</v>
      </c>
      <c r="M593" s="127">
        <f>_xlfn.XLOOKUP(C593,'Product List'!B:B,'Product List'!R:R)</f>
        <v>1.59</v>
      </c>
      <c r="N593" s="124">
        <f t="shared" si="17"/>
        <v>114.48</v>
      </c>
      <c r="O593" s="124" cm="1">
        <f t="array" ref="O593">E593/_xlfn.XLOOKUP(1,('Case Pack'!$A$4:$A$962=C593)*('Case Pack'!$L$4:$L$962&gt;0)*('Case Pack'!$L$4:$L$962&lt;=A593),'Case Pack'!$D$4:$D$962,"未找到箱规")</f>
        <v>1</v>
      </c>
      <c r="P593" s="124" t="str">
        <f>IF(COUNTIF('PO Check'!A:A,D593)&gt;0,"Yes","No")</f>
        <v>Yes</v>
      </c>
      <c r="Q593" s="124" t="str" cm="1">
        <f t="array" ref="Q593">_xlfn.XLOOKUP(1,('Case Pack'!$A$4:$A$962=C593)*('Case Pack'!$L$4:$L$962&gt;0)*('Case Pack'!$L$4:$L$962&lt;=A593),'Case Pack'!$G$4:$G$962,"未找到箱型")</f>
        <v>B</v>
      </c>
      <c r="R593" s="124">
        <f>ROUND(IFERROR(VLOOKUP(Q593,'Case Type'!A:H,8,0),0)*O593,2)</f>
        <v>0.07</v>
      </c>
    </row>
    <row r="594" customFormat="1" spans="1:18">
      <c r="A594" s="113">
        <v>46198</v>
      </c>
      <c r="B594" s="91" t="str">
        <f>_xlfn.XLOOKUP(C594,'Product List'!B:B,'Product List'!I:I)</f>
        <v>MMO-SHELL PEARL HAMSTER CHEW</v>
      </c>
      <c r="C594" s="108" t="s">
        <v>35</v>
      </c>
      <c r="D594" s="263">
        <v>31496999</v>
      </c>
      <c r="E594" s="125">
        <v>64</v>
      </c>
      <c r="F594" s="125">
        <v>1.61</v>
      </c>
      <c r="G594" s="125">
        <f t="shared" si="16"/>
        <v>103.04</v>
      </c>
      <c r="H594" s="86" t="s">
        <v>298</v>
      </c>
      <c r="I594" s="86" t="s">
        <v>92</v>
      </c>
      <c r="J594" s="86" t="s">
        <v>316</v>
      </c>
      <c r="K594" s="126">
        <v>46260</v>
      </c>
      <c r="L594" s="251">
        <v>46253</v>
      </c>
      <c r="M594" s="127">
        <f>_xlfn.XLOOKUP(C594,'Product List'!B:B,'Product List'!R:R)</f>
        <v>0.96</v>
      </c>
      <c r="N594" s="124">
        <f t="shared" si="17"/>
        <v>61.44</v>
      </c>
      <c r="O594" s="124" cm="1">
        <f t="array" ref="O594">E594/_xlfn.XLOOKUP(1,('Case Pack'!$A$4:$A$962=C594)*('Case Pack'!$L$4:$L$962&gt;0)*('Case Pack'!$L$4:$L$962&lt;=A594),'Case Pack'!$D$4:$D$962,"未找到箱规")</f>
        <v>1</v>
      </c>
      <c r="P594" s="124" t="str">
        <f>IF(COUNTIF('PO Check'!A:A,D594)&gt;0,"Yes","No")</f>
        <v>Yes</v>
      </c>
      <c r="Q594" s="124" t="str" cm="1">
        <f t="array" ref="Q594">_xlfn.XLOOKUP(1,('Case Pack'!$A$4:$A$962=C594)*('Case Pack'!$L$4:$L$962&gt;0)*('Case Pack'!$L$4:$L$962&lt;=A594),'Case Pack'!$G$4:$G$962,"未找到箱型")</f>
        <v>B</v>
      </c>
      <c r="R594" s="124">
        <f>ROUND(IFERROR(VLOOKUP(Q594,'Case Type'!A:H,8,0),0)*O594,2)</f>
        <v>0.07</v>
      </c>
    </row>
    <row r="595" customFormat="1" spans="1:18">
      <c r="A595" s="113">
        <v>46198</v>
      </c>
      <c r="B595" s="91" t="str">
        <f>_xlfn.XLOOKUP(C595,'Product List'!B:B,'Product List'!I:I)</f>
        <v>MINI/MOE TV VIEWING CAGE</v>
      </c>
      <c r="C595" s="108" t="s">
        <v>50</v>
      </c>
      <c r="D595" s="263">
        <v>31496999</v>
      </c>
      <c r="E595" s="125">
        <v>48</v>
      </c>
      <c r="F595" s="125">
        <v>48.49</v>
      </c>
      <c r="G595" s="125">
        <f t="shared" si="16"/>
        <v>2327.52</v>
      </c>
      <c r="H595" s="86" t="s">
        <v>298</v>
      </c>
      <c r="I595" s="86" t="s">
        <v>92</v>
      </c>
      <c r="J595" s="86" t="s">
        <v>316</v>
      </c>
      <c r="K595" s="126">
        <v>46260</v>
      </c>
      <c r="L595" s="251">
        <v>46253</v>
      </c>
      <c r="M595" s="127">
        <f>_xlfn.XLOOKUP(C595,'Product List'!B:B,'Product List'!R:R)</f>
        <v>24.09</v>
      </c>
      <c r="N595" s="124">
        <f t="shared" si="17"/>
        <v>1156.32</v>
      </c>
      <c r="O595" s="124" cm="1">
        <f t="array" ref="O595">E595/_xlfn.XLOOKUP(1,('Case Pack'!$A$4:$A$962=C595)*('Case Pack'!$L$4:$L$962&gt;0)*('Case Pack'!$L$4:$L$962&lt;=A595),'Case Pack'!$D$4:$D$962,"未找到箱规")</f>
        <v>48</v>
      </c>
      <c r="P595" s="124" t="str">
        <f>IF(COUNTIF('PO Check'!A:A,D595)&gt;0,"Yes","No")</f>
        <v>Yes</v>
      </c>
      <c r="Q595" s="124" t="str" cm="1">
        <f t="array" ref="Q595">_xlfn.XLOOKUP(1,('Case Pack'!$A$4:$A$962=C595)*('Case Pack'!$L$4:$L$962&gt;0)*('Case Pack'!$L$4:$L$962&lt;=A595),'Case Pack'!$G$4:$G$962,"未找到箱型")</f>
        <v>S1</v>
      </c>
      <c r="R595" s="124">
        <f>ROUND(IFERROR(VLOOKUP(Q595,'Case Type'!A:H,8,0),0)*O595,2)</f>
        <v>3.55</v>
      </c>
    </row>
    <row r="596" customFormat="1" spans="1:18">
      <c r="A596" s="113">
        <v>46198</v>
      </c>
      <c r="B596" s="91" t="str">
        <f>_xlfn.XLOOKUP(C596,'Product List'!B:B,'Product List'!I:I)</f>
        <v>MMO-STARFISH CASTLE</v>
      </c>
      <c r="C596" s="108" t="s">
        <v>60</v>
      </c>
      <c r="D596" s="263">
        <v>31496999</v>
      </c>
      <c r="E596" s="125">
        <v>60</v>
      </c>
      <c r="F596" s="125">
        <v>5.32</v>
      </c>
      <c r="G596" s="125">
        <f t="shared" si="16"/>
        <v>319.2</v>
      </c>
      <c r="H596" s="86" t="s">
        <v>298</v>
      </c>
      <c r="I596" s="86" t="s">
        <v>92</v>
      </c>
      <c r="J596" s="86" t="s">
        <v>316</v>
      </c>
      <c r="K596" s="126">
        <v>46260</v>
      </c>
      <c r="L596" s="251">
        <v>46253</v>
      </c>
      <c r="M596" s="127">
        <f>_xlfn.XLOOKUP(C596,'Product List'!B:B,'Product List'!R:R)</f>
        <v>2.81</v>
      </c>
      <c r="N596" s="124">
        <f t="shared" si="17"/>
        <v>168.6</v>
      </c>
      <c r="O596" s="124" cm="1">
        <f t="array" ref="O596">E596/_xlfn.XLOOKUP(1,('Case Pack'!$A$4:$A$962=C596)*('Case Pack'!$L$4:$L$962&gt;0)*('Case Pack'!$L$4:$L$962&lt;=A596),'Case Pack'!$D$4:$D$962,"未找到箱规")</f>
        <v>3</v>
      </c>
      <c r="P596" s="124" t="str">
        <f>IF(COUNTIF('PO Check'!A:A,D596)&gt;0,"Yes","No")</f>
        <v>Yes</v>
      </c>
      <c r="Q596" s="124" t="str" cm="1">
        <f t="array" ref="Q596">_xlfn.XLOOKUP(1,('Case Pack'!$A$4:$A$962=C596)*('Case Pack'!$L$4:$L$962&gt;0)*('Case Pack'!$L$4:$L$962&lt;=A596),'Case Pack'!$G$4:$G$962,"未找到箱型")</f>
        <v>C</v>
      </c>
      <c r="R596" s="124">
        <f>ROUND(IFERROR(VLOOKUP(Q596,'Case Type'!A:H,8,0),0)*O596,2)</f>
        <v>0.47</v>
      </c>
    </row>
    <row r="597" customFormat="1" spans="1:18">
      <c r="A597" s="113">
        <v>46198</v>
      </c>
      <c r="B597" s="91" t="str">
        <f>_xlfn.XLOOKUP(C597,'Product List'!B:B,'Product List'!I:I)</f>
        <v>MINI/MOE BENDABLE BIRCHWOOD FENCE</v>
      </c>
      <c r="C597" s="108" t="s">
        <v>62</v>
      </c>
      <c r="D597" s="263">
        <v>31496999</v>
      </c>
      <c r="E597" s="125">
        <v>32</v>
      </c>
      <c r="F597" s="125">
        <v>5.01</v>
      </c>
      <c r="G597" s="125">
        <f t="shared" si="16"/>
        <v>160.32</v>
      </c>
      <c r="H597" s="86" t="s">
        <v>298</v>
      </c>
      <c r="I597" s="86" t="s">
        <v>92</v>
      </c>
      <c r="J597" s="86" t="s">
        <v>316</v>
      </c>
      <c r="K597" s="126">
        <v>46260</v>
      </c>
      <c r="L597" s="251">
        <v>46253</v>
      </c>
      <c r="M597" s="127">
        <f>_xlfn.XLOOKUP(C597,'Product List'!B:B,'Product List'!R:R)</f>
        <v>3.4</v>
      </c>
      <c r="N597" s="124">
        <f t="shared" si="17"/>
        <v>108.8</v>
      </c>
      <c r="O597" s="124" cm="1">
        <f t="array" ref="O597">E597/_xlfn.XLOOKUP(1,('Case Pack'!$A$4:$A$962=C597)*('Case Pack'!$L$4:$L$962&gt;0)*('Case Pack'!$L$4:$L$962&lt;=A597),'Case Pack'!$D$4:$D$962,"未找到箱规")</f>
        <v>1</v>
      </c>
      <c r="P597" s="124" t="str">
        <f>IF(COUNTIF('PO Check'!A:A,D597)&gt;0,"Yes","No")</f>
        <v>Yes</v>
      </c>
      <c r="Q597" s="124" t="str" cm="1">
        <f t="array" ref="Q597">_xlfn.XLOOKUP(1,('Case Pack'!$A$4:$A$962=C597)*('Case Pack'!$L$4:$L$962&gt;0)*('Case Pack'!$L$4:$L$962&lt;=A597),'Case Pack'!$G$4:$G$962,"未找到箱型")</f>
        <v>F</v>
      </c>
      <c r="R597" s="124">
        <f>ROUND(IFERROR(VLOOKUP(Q597,'Case Type'!A:H,8,0),0)*O597,2)</f>
        <v>0.04</v>
      </c>
    </row>
    <row r="598" customFormat="1" spans="1:18">
      <c r="A598" s="113">
        <v>46198</v>
      </c>
      <c r="B598" s="91" t="str">
        <f>_xlfn.XLOOKUP(C598,'Product List'!B:B,'Product List'!I:I)</f>
        <v>MMO-PAPER TWIST BLU/WHT</v>
      </c>
      <c r="C598" s="108" t="s">
        <v>68</v>
      </c>
      <c r="D598" s="263">
        <v>31496999</v>
      </c>
      <c r="E598" s="125">
        <v>90</v>
      </c>
      <c r="F598" s="125">
        <v>3.89</v>
      </c>
      <c r="G598" s="125">
        <f t="shared" si="16"/>
        <v>350.1</v>
      </c>
      <c r="H598" s="86" t="s">
        <v>298</v>
      </c>
      <c r="I598" s="86" t="s">
        <v>92</v>
      </c>
      <c r="J598" s="86" t="s">
        <v>316</v>
      </c>
      <c r="K598" s="126">
        <v>46260</v>
      </c>
      <c r="L598" s="251">
        <v>46253</v>
      </c>
      <c r="M598" s="127">
        <f>_xlfn.XLOOKUP(C598,'Product List'!B:B,'Product List'!R:R)</f>
        <v>1.98</v>
      </c>
      <c r="N598" s="124">
        <f t="shared" si="17"/>
        <v>178.2</v>
      </c>
      <c r="O598" s="124" cm="1">
        <f t="array" ref="O598">E598/_xlfn.XLOOKUP(1,('Case Pack'!$A$4:$A$962=C598)*('Case Pack'!$L$4:$L$962&gt;0)*('Case Pack'!$L$4:$L$962&lt;=A598),'Case Pack'!$D$4:$D$962,"未找到箱规")</f>
        <v>3</v>
      </c>
      <c r="P598" s="124" t="str">
        <f>IF(COUNTIF('PO Check'!A:A,D598)&gt;0,"Yes","No")</f>
        <v>Yes</v>
      </c>
      <c r="Q598" s="124" t="str" cm="1">
        <f t="array" ref="Q598">_xlfn.XLOOKUP(1,('Case Pack'!$A$4:$A$962=C598)*('Case Pack'!$L$4:$L$962&gt;0)*('Case Pack'!$L$4:$L$962&lt;=A598),'Case Pack'!$G$4:$G$962,"未找到箱型")</f>
        <v>A</v>
      </c>
      <c r="R598" s="124">
        <f>ROUND(IFERROR(VLOOKUP(Q598,'Case Type'!A:H,8,0),0)*O598,2)</f>
        <v>0.33</v>
      </c>
    </row>
    <row r="599" customFormat="1" spans="1:18">
      <c r="A599" s="113">
        <v>46198</v>
      </c>
      <c r="B599" s="91" t="str">
        <f>_xlfn.XLOOKUP(C599,'Product List'!B:B,'Product List'!I:I)</f>
        <v>MMO-PAPER PEBBLES</v>
      </c>
      <c r="C599" s="108" t="s">
        <v>81</v>
      </c>
      <c r="D599" s="263">
        <v>31496999</v>
      </c>
      <c r="E599" s="125">
        <v>72</v>
      </c>
      <c r="F599" s="125">
        <v>5.81</v>
      </c>
      <c r="G599" s="125">
        <f t="shared" si="16"/>
        <v>418.32</v>
      </c>
      <c r="H599" s="86" t="s">
        <v>298</v>
      </c>
      <c r="I599" s="86" t="s">
        <v>92</v>
      </c>
      <c r="J599" s="86" t="s">
        <v>316</v>
      </c>
      <c r="K599" s="126">
        <v>46260</v>
      </c>
      <c r="L599" s="251">
        <v>46253</v>
      </c>
      <c r="M599" s="127">
        <f>_xlfn.XLOOKUP(C599,'Product List'!B:B,'Product List'!R:R)</f>
        <v>2.84</v>
      </c>
      <c r="N599" s="124">
        <f t="shared" si="17"/>
        <v>204.48</v>
      </c>
      <c r="O599" s="124" cm="1">
        <f t="array" ref="O599">E599/_xlfn.XLOOKUP(1,('Case Pack'!$A$4:$A$962=C599)*('Case Pack'!$L$4:$L$962&gt;0)*('Case Pack'!$L$4:$L$962&lt;=A599),'Case Pack'!$D$4:$D$962,"未找到箱规")</f>
        <v>6</v>
      </c>
      <c r="P599" s="124" t="str">
        <f>IF(COUNTIF('PO Check'!A:A,D599)&gt;0,"Yes","No")</f>
        <v>Yes</v>
      </c>
      <c r="Q599" s="124" t="str" cm="1">
        <f t="array" ref="Q599">_xlfn.XLOOKUP(1,('Case Pack'!$A$4:$A$962=C599)*('Case Pack'!$L$4:$L$962&gt;0)*('Case Pack'!$L$4:$L$962&lt;=A599),'Case Pack'!$G$4:$G$962,"未找到箱型")</f>
        <v>B</v>
      </c>
      <c r="R599" s="124">
        <f>ROUND(IFERROR(VLOOKUP(Q599,'Case Type'!A:H,8,0),0)*O599,2)</f>
        <v>0.44</v>
      </c>
    </row>
    <row r="600" customFormat="1" spans="1:18">
      <c r="A600" s="113">
        <v>46198</v>
      </c>
      <c r="B600" s="91" t="str">
        <f>_xlfn.XLOOKUP(C600,'Product List'!B:B,'Product List'!I:I)</f>
        <v>MMO-COTTON NESTING BALLS</v>
      </c>
      <c r="C600" s="108" t="s">
        <v>84</v>
      </c>
      <c r="D600" s="263">
        <v>31496999</v>
      </c>
      <c r="E600" s="125">
        <v>96</v>
      </c>
      <c r="F600" s="125">
        <v>3.37</v>
      </c>
      <c r="G600" s="125">
        <f t="shared" si="16"/>
        <v>323.52</v>
      </c>
      <c r="H600" s="86" t="s">
        <v>298</v>
      </c>
      <c r="I600" s="86" t="s">
        <v>92</v>
      </c>
      <c r="J600" s="86" t="s">
        <v>316</v>
      </c>
      <c r="K600" s="126">
        <v>46260</v>
      </c>
      <c r="L600" s="251">
        <v>46253</v>
      </c>
      <c r="M600" s="127">
        <f>_xlfn.XLOOKUP(C600,'Product List'!B:B,'Product List'!R:R)</f>
        <v>1.64</v>
      </c>
      <c r="N600" s="124">
        <f t="shared" si="17"/>
        <v>157.44</v>
      </c>
      <c r="O600" s="124" cm="1">
        <f t="array" ref="O600">E600/_xlfn.XLOOKUP(1,('Case Pack'!$A$4:$A$962=C600)*('Case Pack'!$L$4:$L$962&gt;0)*('Case Pack'!$L$4:$L$962&lt;=A600),'Case Pack'!$D$4:$D$962,"未找到箱规")</f>
        <v>3</v>
      </c>
      <c r="P600" s="124" t="str">
        <f>IF(COUNTIF('PO Check'!A:A,D600)&gt;0,"Yes","No")</f>
        <v>Yes</v>
      </c>
      <c r="Q600" s="124" t="str" cm="1">
        <f t="array" ref="Q600">_xlfn.XLOOKUP(1,('Case Pack'!$A$4:$A$962=C600)*('Case Pack'!$L$4:$L$962&gt;0)*('Case Pack'!$L$4:$L$962&lt;=A600),'Case Pack'!$G$4:$G$962,"未找到箱型")</f>
        <v>A</v>
      </c>
      <c r="R600" s="124">
        <f>ROUND(IFERROR(VLOOKUP(Q600,'Case Type'!A:H,8,0),0)*O600,2)</f>
        <v>0.33</v>
      </c>
    </row>
    <row r="601" customFormat="1" spans="1:18">
      <c r="A601" s="113">
        <v>46198</v>
      </c>
      <c r="B601" s="91" t="str">
        <f>_xlfn.XLOOKUP(C601,'Product List'!B:B,'Product List'!I:I)</f>
        <v>MMO-GREEN APPLE CHEW</v>
      </c>
      <c r="C601" s="124" t="s">
        <v>33</v>
      </c>
      <c r="D601" s="125">
        <v>31497000</v>
      </c>
      <c r="E601" s="125">
        <v>48</v>
      </c>
      <c r="F601" s="125">
        <v>1.53</v>
      </c>
      <c r="G601" s="125">
        <f t="shared" si="16"/>
        <v>73.44</v>
      </c>
      <c r="H601" s="86" t="s">
        <v>298</v>
      </c>
      <c r="I601" s="86" t="s">
        <v>92</v>
      </c>
      <c r="J601" s="86" t="s">
        <v>317</v>
      </c>
      <c r="K601" s="126">
        <v>46253</v>
      </c>
      <c r="L601" s="251">
        <v>46253</v>
      </c>
      <c r="M601" s="127">
        <f>_xlfn.XLOOKUP(C601,'Product List'!B:B,'Product List'!R:R)</f>
        <v>1.04</v>
      </c>
      <c r="N601" s="124">
        <f t="shared" si="17"/>
        <v>49.92</v>
      </c>
      <c r="O601" s="124" cm="1">
        <f t="array" ref="O601">E601/_xlfn.XLOOKUP(1,('Case Pack'!$A$4:$A$962=C601)*('Case Pack'!$L$4:$L$962&gt;0)*('Case Pack'!$L$4:$L$962&lt;=A601),'Case Pack'!$D$4:$D$962,"未找到箱规")</f>
        <v>1</v>
      </c>
      <c r="P601" s="124" t="str">
        <f>IF(COUNTIF('PO Check'!A:A,D601)&gt;0,"Yes","No")</f>
        <v>Yes</v>
      </c>
      <c r="Q601" s="124" t="str" cm="1">
        <f t="array" ref="Q601">_xlfn.XLOOKUP(1,('Case Pack'!$A$4:$A$962=C601)*('Case Pack'!$L$4:$L$962&gt;0)*('Case Pack'!$L$4:$L$962&lt;=A601),'Case Pack'!$G$4:$G$962,"未找到箱型")</f>
        <v>B</v>
      </c>
      <c r="R601" s="124">
        <f>ROUND(IFERROR(VLOOKUP(Q601,'Case Type'!A:H,8,0),0)*O601,2)</f>
        <v>0.07</v>
      </c>
    </row>
    <row r="602" customFormat="1" spans="1:18">
      <c r="A602" s="113">
        <v>46198</v>
      </c>
      <c r="B602" s="91" t="str">
        <f>_xlfn.XLOOKUP(C602,'Product List'!B:B,'Product List'!I:I)</f>
        <v>MMO-SHELL PEARL HAMSTER CHEW</v>
      </c>
      <c r="C602" s="124" t="s">
        <v>35</v>
      </c>
      <c r="D602" s="125">
        <v>31497000</v>
      </c>
      <c r="E602" s="125">
        <v>64</v>
      </c>
      <c r="F602" s="125">
        <v>1.61</v>
      </c>
      <c r="G602" s="125">
        <f t="shared" si="16"/>
        <v>103.04</v>
      </c>
      <c r="H602" s="86" t="s">
        <v>298</v>
      </c>
      <c r="I602" s="86" t="s">
        <v>92</v>
      </c>
      <c r="J602" s="86" t="s">
        <v>317</v>
      </c>
      <c r="K602" s="126">
        <v>46253</v>
      </c>
      <c r="L602" s="251">
        <v>46253</v>
      </c>
      <c r="M602" s="127">
        <f>_xlfn.XLOOKUP(C602,'Product List'!B:B,'Product List'!R:R)</f>
        <v>0.96</v>
      </c>
      <c r="N602" s="124">
        <f t="shared" si="17"/>
        <v>61.44</v>
      </c>
      <c r="O602" s="124" cm="1">
        <f t="array" ref="O602">E602/_xlfn.XLOOKUP(1,('Case Pack'!$A$4:$A$962=C602)*('Case Pack'!$L$4:$L$962&gt;0)*('Case Pack'!$L$4:$L$962&lt;=A602),'Case Pack'!$D$4:$D$962,"未找到箱规")</f>
        <v>1</v>
      </c>
      <c r="P602" s="124" t="str">
        <f>IF(COUNTIF('PO Check'!A:A,D602)&gt;0,"Yes","No")</f>
        <v>Yes</v>
      </c>
      <c r="Q602" s="124" t="str" cm="1">
        <f t="array" ref="Q602">_xlfn.XLOOKUP(1,('Case Pack'!$A$4:$A$962=C602)*('Case Pack'!$L$4:$L$962&gt;0)*('Case Pack'!$L$4:$L$962&lt;=A602),'Case Pack'!$G$4:$G$962,"未找到箱型")</f>
        <v>B</v>
      </c>
      <c r="R602" s="124">
        <f>ROUND(IFERROR(VLOOKUP(Q602,'Case Type'!A:H,8,0),0)*O602,2)</f>
        <v>0.07</v>
      </c>
    </row>
    <row r="603" customFormat="1" spans="1:18">
      <c r="A603" s="113">
        <v>46198</v>
      </c>
      <c r="B603" s="91" t="str">
        <f>_xlfn.XLOOKUP(C603,'Product List'!B:B,'Product List'!I:I)</f>
        <v>MINI/MOE TV VIEWING CAGE</v>
      </c>
      <c r="C603" s="124" t="s">
        <v>50</v>
      </c>
      <c r="D603" s="125">
        <v>31497000</v>
      </c>
      <c r="E603" s="125">
        <v>57</v>
      </c>
      <c r="F603" s="125">
        <v>48.49</v>
      </c>
      <c r="G603" s="125">
        <f t="shared" si="16"/>
        <v>2763.93</v>
      </c>
      <c r="H603" s="86" t="s">
        <v>298</v>
      </c>
      <c r="I603" s="86" t="s">
        <v>92</v>
      </c>
      <c r="J603" s="86" t="s">
        <v>317</v>
      </c>
      <c r="K603" s="126">
        <v>46253</v>
      </c>
      <c r="L603" s="251">
        <v>46253</v>
      </c>
      <c r="M603" s="127">
        <f>_xlfn.XLOOKUP(C603,'Product List'!B:B,'Product List'!R:R)</f>
        <v>24.09</v>
      </c>
      <c r="N603" s="124">
        <f t="shared" si="17"/>
        <v>1373.13</v>
      </c>
      <c r="O603" s="124" cm="1">
        <f t="array" ref="O603">E603/_xlfn.XLOOKUP(1,('Case Pack'!$A$4:$A$962=C603)*('Case Pack'!$L$4:$L$962&gt;0)*('Case Pack'!$L$4:$L$962&lt;=A603),'Case Pack'!$D$4:$D$962,"未找到箱规")</f>
        <v>57</v>
      </c>
      <c r="P603" s="124" t="str">
        <f>IF(COUNTIF('PO Check'!A:A,D603)&gt;0,"Yes","No")</f>
        <v>Yes</v>
      </c>
      <c r="Q603" s="124" t="str" cm="1">
        <f t="array" ref="Q603">_xlfn.XLOOKUP(1,('Case Pack'!$A$4:$A$962=C603)*('Case Pack'!$L$4:$L$962&gt;0)*('Case Pack'!$L$4:$L$962&lt;=A603),'Case Pack'!$G$4:$G$962,"未找到箱型")</f>
        <v>S1</v>
      </c>
      <c r="R603" s="124">
        <f>ROUND(IFERROR(VLOOKUP(Q603,'Case Type'!A:H,8,0),0)*O603,2)</f>
        <v>4.22</v>
      </c>
    </row>
    <row r="604" customFormat="1" spans="1:18">
      <c r="A604" s="113">
        <v>46198</v>
      </c>
      <c r="B604" s="91" t="str">
        <f>_xlfn.XLOOKUP(C604,'Product List'!B:B,'Product List'!I:I)</f>
        <v>MMO-STARFISH CASTLE</v>
      </c>
      <c r="C604" s="124" t="s">
        <v>60</v>
      </c>
      <c r="D604" s="125">
        <v>31497000</v>
      </c>
      <c r="E604" s="125">
        <v>40</v>
      </c>
      <c r="F604" s="125">
        <v>5.32</v>
      </c>
      <c r="G604" s="125">
        <f t="shared" si="16"/>
        <v>212.8</v>
      </c>
      <c r="H604" s="86" t="s">
        <v>298</v>
      </c>
      <c r="I604" s="86" t="s">
        <v>92</v>
      </c>
      <c r="J604" s="86" t="s">
        <v>317</v>
      </c>
      <c r="K604" s="126">
        <v>46253</v>
      </c>
      <c r="L604" s="251">
        <v>46253</v>
      </c>
      <c r="M604" s="127">
        <f>_xlfn.XLOOKUP(C604,'Product List'!B:B,'Product List'!R:R)</f>
        <v>2.81</v>
      </c>
      <c r="N604" s="124">
        <f t="shared" si="17"/>
        <v>112.4</v>
      </c>
      <c r="O604" s="124" cm="1">
        <f t="array" ref="O604">E604/_xlfn.XLOOKUP(1,('Case Pack'!$A$4:$A$962=C604)*('Case Pack'!$L$4:$L$962&gt;0)*('Case Pack'!$L$4:$L$962&lt;=A604),'Case Pack'!$D$4:$D$962,"未找到箱规")</f>
        <v>2</v>
      </c>
      <c r="P604" s="124" t="str">
        <f>IF(COUNTIF('PO Check'!A:A,D604)&gt;0,"Yes","No")</f>
        <v>Yes</v>
      </c>
      <c r="Q604" s="124" t="str" cm="1">
        <f t="array" ref="Q604">_xlfn.XLOOKUP(1,('Case Pack'!$A$4:$A$962=C604)*('Case Pack'!$L$4:$L$962&gt;0)*('Case Pack'!$L$4:$L$962&lt;=A604),'Case Pack'!$G$4:$G$962,"未找到箱型")</f>
        <v>C</v>
      </c>
      <c r="R604" s="124">
        <f>ROUND(IFERROR(VLOOKUP(Q604,'Case Type'!A:H,8,0),0)*O604,2)</f>
        <v>0.31</v>
      </c>
    </row>
    <row r="605" customFormat="1" spans="1:18">
      <c r="A605" s="113">
        <v>46198</v>
      </c>
      <c r="B605" s="91" t="str">
        <f>_xlfn.XLOOKUP(C605,'Product List'!B:B,'Product List'!I:I)</f>
        <v>MINI/MOE BENDABLE BIRCHWOOD FENCE</v>
      </c>
      <c r="C605" s="124" t="s">
        <v>62</v>
      </c>
      <c r="D605" s="125">
        <v>31497000</v>
      </c>
      <c r="E605" s="125">
        <v>96</v>
      </c>
      <c r="F605" s="125">
        <v>5.01</v>
      </c>
      <c r="G605" s="125">
        <f t="shared" si="16"/>
        <v>480.96</v>
      </c>
      <c r="H605" s="86" t="s">
        <v>298</v>
      </c>
      <c r="I605" s="86" t="s">
        <v>92</v>
      </c>
      <c r="J605" s="86" t="s">
        <v>317</v>
      </c>
      <c r="K605" s="126">
        <v>46253</v>
      </c>
      <c r="L605" s="251">
        <v>46253</v>
      </c>
      <c r="M605" s="127">
        <f>_xlfn.XLOOKUP(C605,'Product List'!B:B,'Product List'!R:R)</f>
        <v>3.4</v>
      </c>
      <c r="N605" s="124">
        <f t="shared" si="17"/>
        <v>326.4</v>
      </c>
      <c r="O605" s="124" cm="1">
        <f t="array" ref="O605">E605/_xlfn.XLOOKUP(1,('Case Pack'!$A$4:$A$962=C605)*('Case Pack'!$L$4:$L$962&gt;0)*('Case Pack'!$L$4:$L$962&lt;=A605),'Case Pack'!$D$4:$D$962,"未找到箱规")</f>
        <v>3</v>
      </c>
      <c r="P605" s="124" t="str">
        <f>IF(COUNTIF('PO Check'!A:A,D605)&gt;0,"Yes","No")</f>
        <v>Yes</v>
      </c>
      <c r="Q605" s="124" t="str" cm="1">
        <f t="array" ref="Q605">_xlfn.XLOOKUP(1,('Case Pack'!$A$4:$A$962=C605)*('Case Pack'!$L$4:$L$962&gt;0)*('Case Pack'!$L$4:$L$962&lt;=A605),'Case Pack'!$G$4:$G$962,"未找到箱型")</f>
        <v>F</v>
      </c>
      <c r="R605" s="124">
        <f>ROUND(IFERROR(VLOOKUP(Q605,'Case Type'!A:H,8,0),0)*O605,2)</f>
        <v>0.11</v>
      </c>
    </row>
    <row r="606" customFormat="1" spans="1:18">
      <c r="A606" s="113">
        <v>46198</v>
      </c>
      <c r="B606" s="91" t="str">
        <f>_xlfn.XLOOKUP(C606,'Product List'!B:B,'Product List'!I:I)</f>
        <v>MMO-BUBBLE WATER BOTTLE</v>
      </c>
      <c r="C606" s="124" t="s">
        <v>67</v>
      </c>
      <c r="D606" s="125">
        <v>31497000</v>
      </c>
      <c r="E606" s="125">
        <v>42</v>
      </c>
      <c r="F606" s="125">
        <v>4.35</v>
      </c>
      <c r="G606" s="125">
        <f t="shared" si="16"/>
        <v>182.7</v>
      </c>
      <c r="H606" s="86" t="s">
        <v>298</v>
      </c>
      <c r="I606" s="86" t="s">
        <v>92</v>
      </c>
      <c r="J606" s="86" t="s">
        <v>317</v>
      </c>
      <c r="K606" s="126">
        <v>46253</v>
      </c>
      <c r="L606" s="251">
        <v>46253</v>
      </c>
      <c r="M606" s="127">
        <f>_xlfn.XLOOKUP(C606,'Product List'!B:B,'Product List'!R:R)</f>
        <v>3.1</v>
      </c>
      <c r="N606" s="124">
        <f t="shared" si="17"/>
        <v>130.2</v>
      </c>
      <c r="O606" s="124" cm="1">
        <f t="array" ref="O606">E606/_xlfn.XLOOKUP(1,('Case Pack'!$A$4:$A$962=C606)*('Case Pack'!$L$4:$L$962&gt;0)*('Case Pack'!$L$4:$L$962&lt;=A606),'Case Pack'!$D$4:$D$962,"未找到箱规")</f>
        <v>1</v>
      </c>
      <c r="P606" s="124" t="str">
        <f>IF(COUNTIF('PO Check'!A:A,D606)&gt;0,"Yes","No")</f>
        <v>Yes</v>
      </c>
      <c r="Q606" s="124" t="str" cm="1">
        <f t="array" ref="Q606">_xlfn.XLOOKUP(1,('Case Pack'!$A$4:$A$962=C606)*('Case Pack'!$L$4:$L$962&gt;0)*('Case Pack'!$L$4:$L$962&lt;=A606),'Case Pack'!$G$4:$G$962,"未找到箱型")</f>
        <v>C</v>
      </c>
      <c r="R606" s="124">
        <f>ROUND(IFERROR(VLOOKUP(Q606,'Case Type'!A:H,8,0),0)*O606,2)</f>
        <v>0.16</v>
      </c>
    </row>
    <row r="607" customFormat="1" spans="1:18">
      <c r="A607" s="113">
        <v>46198</v>
      </c>
      <c r="B607" s="91" t="str">
        <f>_xlfn.XLOOKUP(C607,'Product List'!B:B,'Product List'!I:I)</f>
        <v>MMO-PAPER TWIST BLU/WHT</v>
      </c>
      <c r="C607" s="124" t="s">
        <v>68</v>
      </c>
      <c r="D607" s="125">
        <v>31497000</v>
      </c>
      <c r="E607" s="125">
        <v>150</v>
      </c>
      <c r="F607" s="125">
        <v>3.89</v>
      </c>
      <c r="G607" s="125">
        <f t="shared" si="16"/>
        <v>583.5</v>
      </c>
      <c r="H607" s="86" t="s">
        <v>298</v>
      </c>
      <c r="I607" s="86" t="s">
        <v>92</v>
      </c>
      <c r="J607" s="86" t="s">
        <v>317</v>
      </c>
      <c r="K607" s="126">
        <v>46253</v>
      </c>
      <c r="L607" s="251">
        <v>46253</v>
      </c>
      <c r="M607" s="127">
        <f>_xlfn.XLOOKUP(C607,'Product List'!B:B,'Product List'!R:R)</f>
        <v>1.98</v>
      </c>
      <c r="N607" s="124">
        <f t="shared" si="17"/>
        <v>297</v>
      </c>
      <c r="O607" s="124" cm="1">
        <f t="array" ref="O607">E607/_xlfn.XLOOKUP(1,('Case Pack'!$A$4:$A$962=C607)*('Case Pack'!$L$4:$L$962&gt;0)*('Case Pack'!$L$4:$L$962&lt;=A607),'Case Pack'!$D$4:$D$962,"未找到箱规")</f>
        <v>5</v>
      </c>
      <c r="P607" s="124" t="str">
        <f>IF(COUNTIF('PO Check'!A:A,D607)&gt;0,"Yes","No")</f>
        <v>Yes</v>
      </c>
      <c r="Q607" s="124" t="str" cm="1">
        <f t="array" ref="Q607">_xlfn.XLOOKUP(1,('Case Pack'!$A$4:$A$962=C607)*('Case Pack'!$L$4:$L$962&gt;0)*('Case Pack'!$L$4:$L$962&lt;=A607),'Case Pack'!$G$4:$G$962,"未找到箱型")</f>
        <v>A</v>
      </c>
      <c r="R607" s="124">
        <f>ROUND(IFERROR(VLOOKUP(Q607,'Case Type'!A:H,8,0),0)*O607,2)</f>
        <v>0.55</v>
      </c>
    </row>
    <row r="608" customFormat="1" spans="1:18">
      <c r="A608" s="113">
        <v>46198</v>
      </c>
      <c r="B608" s="91" t="str">
        <f>_xlfn.XLOOKUP(C608,'Product List'!B:B,'Product List'!I:I)</f>
        <v>MINI/MOE RUFFLE BOWL</v>
      </c>
      <c r="C608" s="124" t="s">
        <v>78</v>
      </c>
      <c r="D608" s="125">
        <v>31497000</v>
      </c>
      <c r="E608" s="125">
        <v>48</v>
      </c>
      <c r="F608" s="125">
        <v>2.35</v>
      </c>
      <c r="G608" s="125">
        <f t="shared" si="16"/>
        <v>112.8</v>
      </c>
      <c r="H608" s="86" t="s">
        <v>298</v>
      </c>
      <c r="I608" s="86" t="s">
        <v>92</v>
      </c>
      <c r="J608" s="86" t="s">
        <v>317</v>
      </c>
      <c r="K608" s="126">
        <v>46253</v>
      </c>
      <c r="L608" s="251">
        <v>46253</v>
      </c>
      <c r="M608" s="127">
        <f>_xlfn.XLOOKUP(C608,'Product List'!B:B,'Product List'!R:R)</f>
        <v>1.34</v>
      </c>
      <c r="N608" s="124">
        <f t="shared" si="17"/>
        <v>64.32</v>
      </c>
      <c r="O608" s="124" cm="1">
        <f t="array" ref="O608">E608/_xlfn.XLOOKUP(1,('Case Pack'!$A$4:$A$962=C608)*('Case Pack'!$L$4:$L$962&gt;0)*('Case Pack'!$L$4:$L$962&lt;=A608),'Case Pack'!$D$4:$D$962,"未找到箱规")</f>
        <v>1</v>
      </c>
      <c r="P608" s="124" t="str">
        <f>IF(COUNTIF('PO Check'!A:A,D608)&gt;0,"Yes","No")</f>
        <v>Yes</v>
      </c>
      <c r="Q608" s="124" t="str" cm="1">
        <f t="array" ref="Q608">_xlfn.XLOOKUP(1,('Case Pack'!$A$4:$A$962=C608)*('Case Pack'!$L$4:$L$962&gt;0)*('Case Pack'!$L$4:$L$962&lt;=A608),'Case Pack'!$G$4:$G$962,"未找到箱型")</f>
        <v>B</v>
      </c>
      <c r="R608" s="124">
        <f>ROUND(IFERROR(VLOOKUP(Q608,'Case Type'!A:H,8,0),0)*O608,2)</f>
        <v>0.07</v>
      </c>
    </row>
    <row r="609" customFormat="1" spans="1:18">
      <c r="A609" s="113">
        <v>46198</v>
      </c>
      <c r="B609" s="91" t="str">
        <f>_xlfn.XLOOKUP(C609,'Product List'!B:B,'Product List'!I:I)</f>
        <v>MMO-PAPER PEBBLES</v>
      </c>
      <c r="C609" s="124" t="s">
        <v>81</v>
      </c>
      <c r="D609" s="125">
        <v>31497000</v>
      </c>
      <c r="E609" s="125">
        <v>108</v>
      </c>
      <c r="F609" s="125">
        <v>5.81</v>
      </c>
      <c r="G609" s="125">
        <f t="shared" si="16"/>
        <v>627.48</v>
      </c>
      <c r="H609" s="86" t="s">
        <v>298</v>
      </c>
      <c r="I609" s="86" t="s">
        <v>92</v>
      </c>
      <c r="J609" s="86" t="s">
        <v>317</v>
      </c>
      <c r="K609" s="126">
        <v>46253</v>
      </c>
      <c r="L609" s="251">
        <v>46253</v>
      </c>
      <c r="M609" s="127">
        <f>_xlfn.XLOOKUP(C609,'Product List'!B:B,'Product List'!R:R)</f>
        <v>2.84</v>
      </c>
      <c r="N609" s="124">
        <f t="shared" si="17"/>
        <v>306.72</v>
      </c>
      <c r="O609" s="124" cm="1">
        <f t="array" ref="O609">E609/_xlfn.XLOOKUP(1,('Case Pack'!$A$4:$A$962=C609)*('Case Pack'!$L$4:$L$962&gt;0)*('Case Pack'!$L$4:$L$962&lt;=A609),'Case Pack'!$D$4:$D$962,"未找到箱规")</f>
        <v>9</v>
      </c>
      <c r="P609" s="124" t="str">
        <f>IF(COUNTIF('PO Check'!A:A,D609)&gt;0,"Yes","No")</f>
        <v>Yes</v>
      </c>
      <c r="Q609" s="124" t="str" cm="1">
        <f t="array" ref="Q609">_xlfn.XLOOKUP(1,('Case Pack'!$A$4:$A$962=C609)*('Case Pack'!$L$4:$L$962&gt;0)*('Case Pack'!$L$4:$L$962&lt;=A609),'Case Pack'!$G$4:$G$962,"未找到箱型")</f>
        <v>B</v>
      </c>
      <c r="R609" s="124">
        <f>ROUND(IFERROR(VLOOKUP(Q609,'Case Type'!A:H,8,0),0)*O609,2)</f>
        <v>0.66</v>
      </c>
    </row>
    <row r="610" customFormat="1" spans="1:18">
      <c r="A610" s="113">
        <v>46198</v>
      </c>
      <c r="B610" s="91" t="str">
        <f>_xlfn.XLOOKUP(C610,'Product List'!B:B,'Product List'!I:I)</f>
        <v>MMO-COTTON NESTING BALLS</v>
      </c>
      <c r="C610" s="124" t="s">
        <v>84</v>
      </c>
      <c r="D610" s="125">
        <v>31497000</v>
      </c>
      <c r="E610" s="125">
        <v>96</v>
      </c>
      <c r="F610" s="125">
        <v>3.37</v>
      </c>
      <c r="G610" s="125">
        <f t="shared" ref="G610:G673" si="18">E610*F610</f>
        <v>323.52</v>
      </c>
      <c r="H610" s="86" t="s">
        <v>298</v>
      </c>
      <c r="I610" s="86" t="s">
        <v>92</v>
      </c>
      <c r="J610" s="86" t="s">
        <v>317</v>
      </c>
      <c r="K610" s="126">
        <v>46253</v>
      </c>
      <c r="L610" s="251">
        <v>46253</v>
      </c>
      <c r="M610" s="127">
        <f>_xlfn.XLOOKUP(C610,'Product List'!B:B,'Product List'!R:R)</f>
        <v>1.64</v>
      </c>
      <c r="N610" s="124">
        <f t="shared" ref="N610:N673" si="19">M610*E610</f>
        <v>157.44</v>
      </c>
      <c r="O610" s="124" cm="1">
        <f t="array" ref="O610">E610/_xlfn.XLOOKUP(1,('Case Pack'!$A$4:$A$962=C610)*('Case Pack'!$L$4:$L$962&gt;0)*('Case Pack'!$L$4:$L$962&lt;=A610),'Case Pack'!$D$4:$D$962,"未找到箱规")</f>
        <v>3</v>
      </c>
      <c r="P610" s="124" t="str">
        <f>IF(COUNTIF('PO Check'!A:A,D610)&gt;0,"Yes","No")</f>
        <v>Yes</v>
      </c>
      <c r="Q610" s="124" t="str" cm="1">
        <f t="array" ref="Q610">_xlfn.XLOOKUP(1,('Case Pack'!$A$4:$A$962=C610)*('Case Pack'!$L$4:$L$962&gt;0)*('Case Pack'!$L$4:$L$962&lt;=A610),'Case Pack'!$G$4:$G$962,"未找到箱型")</f>
        <v>A</v>
      </c>
      <c r="R610" s="124">
        <f>ROUND(IFERROR(VLOOKUP(Q610,'Case Type'!A:H,8,0),0)*O610,2)</f>
        <v>0.33</v>
      </c>
    </row>
    <row r="611" customFormat="1" spans="1:18">
      <c r="A611" s="113">
        <v>46198</v>
      </c>
      <c r="B611" s="91" t="str">
        <f>_xlfn.XLOOKUP(C611,'Product List'!B:B,'Product List'!I:I)</f>
        <v>MMO-GREEN APPLE CHEW</v>
      </c>
      <c r="C611" s="124" t="s">
        <v>33</v>
      </c>
      <c r="D611" s="125">
        <v>31497001</v>
      </c>
      <c r="E611" s="125">
        <v>144</v>
      </c>
      <c r="F611" s="125">
        <v>1.53</v>
      </c>
      <c r="G611" s="125">
        <f t="shared" si="18"/>
        <v>220.32</v>
      </c>
      <c r="H611" s="86" t="s">
        <v>298</v>
      </c>
      <c r="I611" s="86" t="s">
        <v>92</v>
      </c>
      <c r="J611" s="86" t="s">
        <v>327</v>
      </c>
      <c r="K611" s="126">
        <v>46265</v>
      </c>
      <c r="L611" s="251">
        <v>46253</v>
      </c>
      <c r="M611" s="127">
        <f>_xlfn.XLOOKUP(C611,'Product List'!B:B,'Product List'!R:R)</f>
        <v>1.04</v>
      </c>
      <c r="N611" s="124">
        <f t="shared" si="19"/>
        <v>149.76</v>
      </c>
      <c r="O611" s="124" cm="1">
        <f t="array" ref="O611">E611/_xlfn.XLOOKUP(1,('Case Pack'!$A$4:$A$962=C611)*('Case Pack'!$L$4:$L$962&gt;0)*('Case Pack'!$L$4:$L$962&lt;=A611),'Case Pack'!$D$4:$D$962,"未找到箱规")</f>
        <v>3</v>
      </c>
      <c r="P611" s="124" t="str">
        <f>IF(COUNTIF('PO Check'!A:A,D611)&gt;0,"Yes","No")</f>
        <v>Yes</v>
      </c>
      <c r="Q611" s="124" t="str" cm="1">
        <f t="array" ref="Q611">_xlfn.XLOOKUP(1,('Case Pack'!$A$4:$A$962=C611)*('Case Pack'!$L$4:$L$962&gt;0)*('Case Pack'!$L$4:$L$962&lt;=A611),'Case Pack'!$G$4:$G$962,"未找到箱型")</f>
        <v>B</v>
      </c>
      <c r="R611" s="124">
        <f>ROUND(IFERROR(VLOOKUP(Q611,'Case Type'!A:H,8,0),0)*O611,2)</f>
        <v>0.22</v>
      </c>
    </row>
    <row r="612" customFormat="1" spans="1:18">
      <c r="A612" s="113">
        <v>46198</v>
      </c>
      <c r="B612" s="91" t="str">
        <f>_xlfn.XLOOKUP(C612,'Product List'!B:B,'Product List'!I:I)</f>
        <v>MMO-CAMP LUNCH BOX CHEW</v>
      </c>
      <c r="C612" s="124" t="s">
        <v>34</v>
      </c>
      <c r="D612" s="125">
        <v>31497001</v>
      </c>
      <c r="E612" s="125">
        <v>144</v>
      </c>
      <c r="F612" s="125">
        <v>2.48</v>
      </c>
      <c r="G612" s="125">
        <f t="shared" si="18"/>
        <v>357.12</v>
      </c>
      <c r="H612" s="86" t="s">
        <v>298</v>
      </c>
      <c r="I612" s="86" t="s">
        <v>92</v>
      </c>
      <c r="J612" s="86" t="s">
        <v>327</v>
      </c>
      <c r="K612" s="126">
        <v>46265</v>
      </c>
      <c r="L612" s="251">
        <v>46253</v>
      </c>
      <c r="M612" s="127">
        <f>_xlfn.XLOOKUP(C612,'Product List'!B:B,'Product List'!R:R)</f>
        <v>1.59</v>
      </c>
      <c r="N612" s="124">
        <f t="shared" si="19"/>
        <v>228.96</v>
      </c>
      <c r="O612" s="124" cm="1">
        <f t="array" ref="O612">E612/_xlfn.XLOOKUP(1,('Case Pack'!$A$4:$A$962=C612)*('Case Pack'!$L$4:$L$962&gt;0)*('Case Pack'!$L$4:$L$962&lt;=A612),'Case Pack'!$D$4:$D$962,"未找到箱规")</f>
        <v>2</v>
      </c>
      <c r="P612" s="124" t="str">
        <f>IF(COUNTIF('PO Check'!A:A,D612)&gt;0,"Yes","No")</f>
        <v>Yes</v>
      </c>
      <c r="Q612" s="124" t="str" cm="1">
        <f t="array" ref="Q612">_xlfn.XLOOKUP(1,('Case Pack'!$A$4:$A$962=C612)*('Case Pack'!$L$4:$L$962&gt;0)*('Case Pack'!$L$4:$L$962&lt;=A612),'Case Pack'!$G$4:$G$962,"未找到箱型")</f>
        <v>B</v>
      </c>
      <c r="R612" s="124">
        <f>ROUND(IFERROR(VLOOKUP(Q612,'Case Type'!A:H,8,0),0)*O612,2)</f>
        <v>0.15</v>
      </c>
    </row>
    <row r="613" customFormat="1" spans="1:18">
      <c r="A613" s="113">
        <v>46198</v>
      </c>
      <c r="B613" s="91" t="str">
        <f>_xlfn.XLOOKUP(C613,'Product List'!B:B,'Product List'!I:I)</f>
        <v>MMO-SHELL PEARL HAMSTER CHEW</v>
      </c>
      <c r="C613" s="124" t="s">
        <v>35</v>
      </c>
      <c r="D613" s="125">
        <v>31497001</v>
      </c>
      <c r="E613" s="125">
        <v>64</v>
      </c>
      <c r="F613" s="125">
        <v>1.61</v>
      </c>
      <c r="G613" s="125">
        <f t="shared" si="18"/>
        <v>103.04</v>
      </c>
      <c r="H613" s="86" t="s">
        <v>298</v>
      </c>
      <c r="I613" s="86" t="s">
        <v>92</v>
      </c>
      <c r="J613" s="86" t="s">
        <v>327</v>
      </c>
      <c r="K613" s="126">
        <v>46265</v>
      </c>
      <c r="L613" s="251">
        <v>46253</v>
      </c>
      <c r="M613" s="127">
        <f>_xlfn.XLOOKUP(C613,'Product List'!B:B,'Product List'!R:R)</f>
        <v>0.96</v>
      </c>
      <c r="N613" s="124">
        <f t="shared" si="19"/>
        <v>61.44</v>
      </c>
      <c r="O613" s="124" cm="1">
        <f t="array" ref="O613">E613/_xlfn.XLOOKUP(1,('Case Pack'!$A$4:$A$962=C613)*('Case Pack'!$L$4:$L$962&gt;0)*('Case Pack'!$L$4:$L$962&lt;=A613),'Case Pack'!$D$4:$D$962,"未找到箱规")</f>
        <v>1</v>
      </c>
      <c r="P613" s="124" t="str">
        <f>IF(COUNTIF('PO Check'!A:A,D613)&gt;0,"Yes","No")</f>
        <v>Yes</v>
      </c>
      <c r="Q613" s="124" t="str" cm="1">
        <f t="array" ref="Q613">_xlfn.XLOOKUP(1,('Case Pack'!$A$4:$A$962=C613)*('Case Pack'!$L$4:$L$962&gt;0)*('Case Pack'!$L$4:$L$962&lt;=A613),'Case Pack'!$G$4:$G$962,"未找到箱型")</f>
        <v>B</v>
      </c>
      <c r="R613" s="124">
        <f>ROUND(IFERROR(VLOOKUP(Q613,'Case Type'!A:H,8,0),0)*O613,2)</f>
        <v>0.07</v>
      </c>
    </row>
    <row r="614" customFormat="1" spans="1:18">
      <c r="A614" s="113">
        <v>46198</v>
      </c>
      <c r="B614" s="91" t="str">
        <f>_xlfn.XLOOKUP(C614,'Product List'!B:B,'Product List'!I:I)</f>
        <v>MINI/MOE TV VIEWING CAGE</v>
      </c>
      <c r="C614" s="124" t="s">
        <v>50</v>
      </c>
      <c r="D614" s="125">
        <v>31497001</v>
      </c>
      <c r="E614" s="125">
        <v>171</v>
      </c>
      <c r="F614" s="125">
        <v>48.49</v>
      </c>
      <c r="G614" s="125">
        <f t="shared" si="18"/>
        <v>8291.79</v>
      </c>
      <c r="H614" s="86" t="s">
        <v>298</v>
      </c>
      <c r="I614" s="86" t="s">
        <v>92</v>
      </c>
      <c r="J614" s="86" t="s">
        <v>327</v>
      </c>
      <c r="K614" s="126">
        <v>46265</v>
      </c>
      <c r="L614" s="251">
        <v>46253</v>
      </c>
      <c r="M614" s="127">
        <f>_xlfn.XLOOKUP(C614,'Product List'!B:B,'Product List'!R:R)</f>
        <v>24.09</v>
      </c>
      <c r="N614" s="124">
        <f t="shared" si="19"/>
        <v>4119.39</v>
      </c>
      <c r="O614" s="124" cm="1">
        <f t="array" ref="O614">E614/_xlfn.XLOOKUP(1,('Case Pack'!$A$4:$A$962=C614)*('Case Pack'!$L$4:$L$962&gt;0)*('Case Pack'!$L$4:$L$962&lt;=A614),'Case Pack'!$D$4:$D$962,"未找到箱规")</f>
        <v>171</v>
      </c>
      <c r="P614" s="124" t="str">
        <f>IF(COUNTIF('PO Check'!A:A,D614)&gt;0,"Yes","No")</f>
        <v>Yes</v>
      </c>
      <c r="Q614" s="124" t="str" cm="1">
        <f t="array" ref="Q614">_xlfn.XLOOKUP(1,('Case Pack'!$A$4:$A$962=C614)*('Case Pack'!$L$4:$L$962&gt;0)*('Case Pack'!$L$4:$L$962&lt;=A614),'Case Pack'!$G$4:$G$962,"未找到箱型")</f>
        <v>S1</v>
      </c>
      <c r="R614" s="124">
        <f>ROUND(IFERROR(VLOOKUP(Q614,'Case Type'!A:H,8,0),0)*O614,2)</f>
        <v>12.65</v>
      </c>
    </row>
    <row r="615" customFormat="1" spans="1:18">
      <c r="A615" s="113">
        <v>46198</v>
      </c>
      <c r="B615" s="91" t="str">
        <f>_xlfn.XLOOKUP(C615,'Product List'!B:B,'Product List'!I:I)</f>
        <v>MMO-STARFISH CASTLE</v>
      </c>
      <c r="C615" s="124" t="s">
        <v>60</v>
      </c>
      <c r="D615" s="125">
        <v>31497001</v>
      </c>
      <c r="E615" s="125">
        <v>220</v>
      </c>
      <c r="F615" s="125">
        <v>5.32</v>
      </c>
      <c r="G615" s="125">
        <f t="shared" si="18"/>
        <v>1170.4</v>
      </c>
      <c r="H615" s="86" t="s">
        <v>298</v>
      </c>
      <c r="I615" s="86" t="s">
        <v>92</v>
      </c>
      <c r="J615" s="86" t="s">
        <v>327</v>
      </c>
      <c r="K615" s="126">
        <v>46265</v>
      </c>
      <c r="L615" s="251">
        <v>46253</v>
      </c>
      <c r="M615" s="127">
        <f>_xlfn.XLOOKUP(C615,'Product List'!B:B,'Product List'!R:R)</f>
        <v>2.81</v>
      </c>
      <c r="N615" s="124">
        <f t="shared" si="19"/>
        <v>618.2</v>
      </c>
      <c r="O615" s="124" cm="1">
        <f t="array" ref="O615">E615/_xlfn.XLOOKUP(1,('Case Pack'!$A$4:$A$962=C615)*('Case Pack'!$L$4:$L$962&gt;0)*('Case Pack'!$L$4:$L$962&lt;=A615),'Case Pack'!$D$4:$D$962,"未找到箱规")</f>
        <v>11</v>
      </c>
      <c r="P615" s="124" t="str">
        <f>IF(COUNTIF('PO Check'!A:A,D615)&gt;0,"Yes","No")</f>
        <v>Yes</v>
      </c>
      <c r="Q615" s="124" t="str" cm="1">
        <f t="array" ref="Q615">_xlfn.XLOOKUP(1,('Case Pack'!$A$4:$A$962=C615)*('Case Pack'!$L$4:$L$962&gt;0)*('Case Pack'!$L$4:$L$962&lt;=A615),'Case Pack'!$G$4:$G$962,"未找到箱型")</f>
        <v>C</v>
      </c>
      <c r="R615" s="124">
        <f>ROUND(IFERROR(VLOOKUP(Q615,'Case Type'!A:H,8,0),0)*O615,2)</f>
        <v>1.73</v>
      </c>
    </row>
    <row r="616" customFormat="1" spans="1:18">
      <c r="A616" s="113">
        <v>46198</v>
      </c>
      <c r="B616" s="91" t="str">
        <f>_xlfn.XLOOKUP(C616,'Product List'!B:B,'Product List'!I:I)</f>
        <v>MINI/MOE BENDABLE BIRCHWOOD FENCE</v>
      </c>
      <c r="C616" s="124" t="s">
        <v>62</v>
      </c>
      <c r="D616" s="125">
        <v>31497001</v>
      </c>
      <c r="E616" s="125">
        <v>128</v>
      </c>
      <c r="F616" s="125">
        <v>5.01</v>
      </c>
      <c r="G616" s="125">
        <f t="shared" si="18"/>
        <v>641.28</v>
      </c>
      <c r="H616" s="86" t="s">
        <v>298</v>
      </c>
      <c r="I616" s="86" t="s">
        <v>92</v>
      </c>
      <c r="J616" s="86" t="s">
        <v>327</v>
      </c>
      <c r="K616" s="126">
        <v>46265</v>
      </c>
      <c r="L616" s="251">
        <v>46253</v>
      </c>
      <c r="M616" s="127">
        <f>_xlfn.XLOOKUP(C616,'Product List'!B:B,'Product List'!R:R)</f>
        <v>3.4</v>
      </c>
      <c r="N616" s="124">
        <f t="shared" si="19"/>
        <v>435.2</v>
      </c>
      <c r="O616" s="124" cm="1">
        <f t="array" ref="O616">E616/_xlfn.XLOOKUP(1,('Case Pack'!$A$4:$A$962=C616)*('Case Pack'!$L$4:$L$962&gt;0)*('Case Pack'!$L$4:$L$962&lt;=A616),'Case Pack'!$D$4:$D$962,"未找到箱规")</f>
        <v>4</v>
      </c>
      <c r="P616" s="124" t="str">
        <f>IF(COUNTIF('PO Check'!A:A,D616)&gt;0,"Yes","No")</f>
        <v>Yes</v>
      </c>
      <c r="Q616" s="124" t="str" cm="1">
        <f t="array" ref="Q616">_xlfn.XLOOKUP(1,('Case Pack'!$A$4:$A$962=C616)*('Case Pack'!$L$4:$L$962&gt;0)*('Case Pack'!$L$4:$L$962&lt;=A616),'Case Pack'!$G$4:$G$962,"未找到箱型")</f>
        <v>F</v>
      </c>
      <c r="R616" s="124">
        <f>ROUND(IFERROR(VLOOKUP(Q616,'Case Type'!A:H,8,0),0)*O616,2)</f>
        <v>0.15</v>
      </c>
    </row>
    <row r="617" customFormat="1" spans="1:18">
      <c r="A617" s="113">
        <v>46198</v>
      </c>
      <c r="B617" s="91" t="str">
        <f>_xlfn.XLOOKUP(C617,'Product List'!B:B,'Product List'!I:I)</f>
        <v>MMO-BUBBLE WATER BOTTLE</v>
      </c>
      <c r="C617" s="124" t="s">
        <v>67</v>
      </c>
      <c r="D617" s="125">
        <v>31497001</v>
      </c>
      <c r="E617" s="125">
        <v>210</v>
      </c>
      <c r="F617" s="125">
        <v>4.35</v>
      </c>
      <c r="G617" s="125">
        <f t="shared" si="18"/>
        <v>913.5</v>
      </c>
      <c r="H617" s="86" t="s">
        <v>298</v>
      </c>
      <c r="I617" s="86" t="s">
        <v>92</v>
      </c>
      <c r="J617" s="86" t="s">
        <v>327</v>
      </c>
      <c r="K617" s="126">
        <v>46265</v>
      </c>
      <c r="L617" s="251">
        <v>46253</v>
      </c>
      <c r="M617" s="127">
        <f>_xlfn.XLOOKUP(C617,'Product List'!B:B,'Product List'!R:R)</f>
        <v>3.1</v>
      </c>
      <c r="N617" s="124">
        <f t="shared" si="19"/>
        <v>651</v>
      </c>
      <c r="O617" s="124" cm="1">
        <f t="array" ref="O617">E617/_xlfn.XLOOKUP(1,('Case Pack'!$A$4:$A$962=C617)*('Case Pack'!$L$4:$L$962&gt;0)*('Case Pack'!$L$4:$L$962&lt;=A617),'Case Pack'!$D$4:$D$962,"未找到箱规")</f>
        <v>5</v>
      </c>
      <c r="P617" s="124" t="str">
        <f>IF(COUNTIF('PO Check'!A:A,D617)&gt;0,"Yes","No")</f>
        <v>Yes</v>
      </c>
      <c r="Q617" s="124" t="str" cm="1">
        <f t="array" ref="Q617">_xlfn.XLOOKUP(1,('Case Pack'!$A$4:$A$962=C617)*('Case Pack'!$L$4:$L$962&gt;0)*('Case Pack'!$L$4:$L$962&lt;=A617),'Case Pack'!$G$4:$G$962,"未找到箱型")</f>
        <v>C</v>
      </c>
      <c r="R617" s="124">
        <f>ROUND(IFERROR(VLOOKUP(Q617,'Case Type'!A:H,8,0),0)*O617,2)</f>
        <v>0.79</v>
      </c>
    </row>
    <row r="618" customFormat="1" spans="1:18">
      <c r="A618" s="113">
        <v>46198</v>
      </c>
      <c r="B618" s="91" t="str">
        <f>_xlfn.XLOOKUP(C618,'Product List'!B:B,'Product List'!I:I)</f>
        <v>MMO-PAPER TWIST BLU/WHT</v>
      </c>
      <c r="C618" s="124" t="s">
        <v>68</v>
      </c>
      <c r="D618" s="125">
        <v>31497001</v>
      </c>
      <c r="E618" s="125">
        <v>210</v>
      </c>
      <c r="F618" s="125">
        <v>3.89</v>
      </c>
      <c r="G618" s="125">
        <f t="shared" si="18"/>
        <v>816.9</v>
      </c>
      <c r="H618" s="86" t="s">
        <v>298</v>
      </c>
      <c r="I618" s="86" t="s">
        <v>92</v>
      </c>
      <c r="J618" s="86" t="s">
        <v>327</v>
      </c>
      <c r="K618" s="126">
        <v>46265</v>
      </c>
      <c r="L618" s="251">
        <v>46253</v>
      </c>
      <c r="M618" s="127">
        <f>_xlfn.XLOOKUP(C618,'Product List'!B:B,'Product List'!R:R)</f>
        <v>1.98</v>
      </c>
      <c r="N618" s="124">
        <f t="shared" si="19"/>
        <v>415.8</v>
      </c>
      <c r="O618" s="124" cm="1">
        <f t="array" ref="O618">E618/_xlfn.XLOOKUP(1,('Case Pack'!$A$4:$A$962=C618)*('Case Pack'!$L$4:$L$962&gt;0)*('Case Pack'!$L$4:$L$962&lt;=A618),'Case Pack'!$D$4:$D$962,"未找到箱规")</f>
        <v>7</v>
      </c>
      <c r="P618" s="124" t="str">
        <f>IF(COUNTIF('PO Check'!A:A,D618)&gt;0,"Yes","No")</f>
        <v>Yes</v>
      </c>
      <c r="Q618" s="124" t="str" cm="1">
        <f t="array" ref="Q618">_xlfn.XLOOKUP(1,('Case Pack'!$A$4:$A$962=C618)*('Case Pack'!$L$4:$L$962&gt;0)*('Case Pack'!$L$4:$L$962&lt;=A618),'Case Pack'!$G$4:$G$962,"未找到箱型")</f>
        <v>A</v>
      </c>
      <c r="R618" s="124">
        <f>ROUND(IFERROR(VLOOKUP(Q618,'Case Type'!A:H,8,0),0)*O618,2)</f>
        <v>0.77</v>
      </c>
    </row>
    <row r="619" customFormat="1" ht="14.25" spans="1:18">
      <c r="A619" s="113">
        <v>46198</v>
      </c>
      <c r="B619" s="91" t="str">
        <f>_xlfn.XLOOKUP(C619,'Product List'!B:B,'Product List'!I:I)</f>
        <v>MMO-CLOUD WATER BOTTLE</v>
      </c>
      <c r="C619" s="265" t="s">
        <v>77</v>
      </c>
      <c r="D619" s="125">
        <v>31497001</v>
      </c>
      <c r="E619" s="125">
        <v>150</v>
      </c>
      <c r="F619" s="125">
        <v>1.32</v>
      </c>
      <c r="G619" s="125">
        <f t="shared" si="18"/>
        <v>198</v>
      </c>
      <c r="H619" s="86" t="s">
        <v>298</v>
      </c>
      <c r="I619" s="86" t="s">
        <v>92</v>
      </c>
      <c r="J619" s="86" t="s">
        <v>327</v>
      </c>
      <c r="K619" s="126">
        <v>46265</v>
      </c>
      <c r="L619" s="251">
        <v>46253</v>
      </c>
      <c r="M619" s="127">
        <f>_xlfn.XLOOKUP(C619,'Product List'!B:B,'Product List'!R:R)</f>
        <v>0.62</v>
      </c>
      <c r="N619" s="124">
        <f t="shared" si="19"/>
        <v>93</v>
      </c>
      <c r="O619" s="124" cm="1">
        <f t="array" ref="O619">E619/_xlfn.XLOOKUP(1,('Case Pack'!$A$4:$A$962=C619)*('Case Pack'!$L$4:$L$962&gt;0)*('Case Pack'!$L$4:$L$962&lt;=A619),'Case Pack'!$D$4:$D$962,"未找到箱规")</f>
        <v>3</v>
      </c>
      <c r="P619" s="124" t="str">
        <f>IF(COUNTIF('PO Check'!A:A,D619)&gt;0,"Yes","No")</f>
        <v>Yes</v>
      </c>
      <c r="Q619" s="124" t="str" cm="1">
        <f t="array" ref="Q619">_xlfn.XLOOKUP(1,('Case Pack'!$A$4:$A$962=C619)*('Case Pack'!$L$4:$L$962&gt;0)*('Case Pack'!$L$4:$L$962&lt;=A619),'Case Pack'!$G$4:$G$962,"未找到箱型")</f>
        <v>A</v>
      </c>
      <c r="R619" s="124">
        <f>ROUND(IFERROR(VLOOKUP(Q619,'Case Type'!A:H,8,0),0)*O619,2)</f>
        <v>0.33</v>
      </c>
    </row>
    <row r="620" customFormat="1" ht="14.25" spans="1:18">
      <c r="A620" s="113">
        <v>46198</v>
      </c>
      <c r="B620" s="91" t="str">
        <f>_xlfn.XLOOKUP(C620,'Product List'!B:B,'Product List'!I:I)</f>
        <v>MINI/MOE RUFFLE BOWL</v>
      </c>
      <c r="C620" s="265" t="s">
        <v>78</v>
      </c>
      <c r="D620" s="125">
        <v>31497001</v>
      </c>
      <c r="E620" s="125">
        <v>192</v>
      </c>
      <c r="F620" s="125">
        <v>2.35</v>
      </c>
      <c r="G620" s="125">
        <f t="shared" si="18"/>
        <v>451.2</v>
      </c>
      <c r="H620" s="86" t="s">
        <v>298</v>
      </c>
      <c r="I620" s="86" t="s">
        <v>92</v>
      </c>
      <c r="J620" s="86" t="s">
        <v>327</v>
      </c>
      <c r="K620" s="126">
        <v>46265</v>
      </c>
      <c r="L620" s="251">
        <v>46253</v>
      </c>
      <c r="M620" s="127">
        <f>_xlfn.XLOOKUP(C620,'Product List'!B:B,'Product List'!R:R)</f>
        <v>1.34</v>
      </c>
      <c r="N620" s="124">
        <f t="shared" si="19"/>
        <v>257.28</v>
      </c>
      <c r="O620" s="124" cm="1">
        <f t="array" ref="O620">E620/_xlfn.XLOOKUP(1,('Case Pack'!$A$4:$A$962=C620)*('Case Pack'!$L$4:$L$962&gt;0)*('Case Pack'!$L$4:$L$962&lt;=A620),'Case Pack'!$D$4:$D$962,"未找到箱规")</f>
        <v>4</v>
      </c>
      <c r="P620" s="124" t="str">
        <f>IF(COUNTIF('PO Check'!A:A,D620)&gt;0,"Yes","No")</f>
        <v>Yes</v>
      </c>
      <c r="Q620" s="124" t="str" cm="1">
        <f t="array" ref="Q620">_xlfn.XLOOKUP(1,('Case Pack'!$A$4:$A$962=C620)*('Case Pack'!$L$4:$L$962&gt;0)*('Case Pack'!$L$4:$L$962&lt;=A620),'Case Pack'!$G$4:$G$962,"未找到箱型")</f>
        <v>B</v>
      </c>
      <c r="R620" s="124">
        <f>ROUND(IFERROR(VLOOKUP(Q620,'Case Type'!A:H,8,0),0)*O620,2)</f>
        <v>0.29</v>
      </c>
    </row>
    <row r="621" customFormat="1" ht="14.25" spans="1:18">
      <c r="A621" s="113">
        <v>46198</v>
      </c>
      <c r="B621" s="91" t="str">
        <f>_xlfn.XLOOKUP(C621,'Product List'!B:B,'Product List'!I:I)</f>
        <v>MMO-PAPER PEBBLES</v>
      </c>
      <c r="C621" s="265" t="s">
        <v>81</v>
      </c>
      <c r="D621" s="125">
        <v>31497001</v>
      </c>
      <c r="E621" s="125">
        <v>132</v>
      </c>
      <c r="F621" s="125">
        <v>5.81</v>
      </c>
      <c r="G621" s="125">
        <f t="shared" si="18"/>
        <v>766.92</v>
      </c>
      <c r="H621" s="86" t="s">
        <v>298</v>
      </c>
      <c r="I621" s="86" t="s">
        <v>92</v>
      </c>
      <c r="J621" s="86" t="s">
        <v>327</v>
      </c>
      <c r="K621" s="126">
        <v>46265</v>
      </c>
      <c r="L621" s="251">
        <v>46253</v>
      </c>
      <c r="M621" s="127">
        <f>_xlfn.XLOOKUP(C621,'Product List'!B:B,'Product List'!R:R)</f>
        <v>2.84</v>
      </c>
      <c r="N621" s="124">
        <f t="shared" si="19"/>
        <v>374.88</v>
      </c>
      <c r="O621" s="124" cm="1">
        <f t="array" ref="O621">E621/_xlfn.XLOOKUP(1,('Case Pack'!$A$4:$A$962=C621)*('Case Pack'!$L$4:$L$962&gt;0)*('Case Pack'!$L$4:$L$962&lt;=A621),'Case Pack'!$D$4:$D$962,"未找到箱规")</f>
        <v>11</v>
      </c>
      <c r="P621" s="124" t="str">
        <f>IF(COUNTIF('PO Check'!A:A,D621)&gt;0,"Yes","No")</f>
        <v>Yes</v>
      </c>
      <c r="Q621" s="124" t="str" cm="1">
        <f t="array" ref="Q621">_xlfn.XLOOKUP(1,('Case Pack'!$A$4:$A$962=C621)*('Case Pack'!$L$4:$L$962&gt;0)*('Case Pack'!$L$4:$L$962&lt;=A621),'Case Pack'!$G$4:$G$962,"未找到箱型")</f>
        <v>B</v>
      </c>
      <c r="R621" s="124">
        <f>ROUND(IFERROR(VLOOKUP(Q621,'Case Type'!A:H,8,0),0)*O621,2)</f>
        <v>0.81</v>
      </c>
    </row>
    <row r="622" customFormat="1" ht="14.25" spans="1:18">
      <c r="A622" s="113">
        <v>46198</v>
      </c>
      <c r="B622" s="91" t="str">
        <f>_xlfn.XLOOKUP(C622,'Product List'!B:B,'Product List'!I:I)</f>
        <v>MMO-COTTON NESTING BALLS</v>
      </c>
      <c r="C622" s="265" t="s">
        <v>84</v>
      </c>
      <c r="D622" s="125">
        <v>31497001</v>
      </c>
      <c r="E622" s="125">
        <v>128</v>
      </c>
      <c r="F622" s="125">
        <v>3.37</v>
      </c>
      <c r="G622" s="125">
        <f t="shared" si="18"/>
        <v>431.36</v>
      </c>
      <c r="H622" s="86" t="s">
        <v>298</v>
      </c>
      <c r="I622" s="86" t="s">
        <v>92</v>
      </c>
      <c r="J622" s="86" t="s">
        <v>327</v>
      </c>
      <c r="K622" s="126">
        <v>46265</v>
      </c>
      <c r="L622" s="251">
        <v>46253</v>
      </c>
      <c r="M622" s="127">
        <f>_xlfn.XLOOKUP(C622,'Product List'!B:B,'Product List'!R:R)</f>
        <v>1.64</v>
      </c>
      <c r="N622" s="124">
        <f t="shared" si="19"/>
        <v>209.92</v>
      </c>
      <c r="O622" s="124" cm="1">
        <f t="array" ref="O622">E622/_xlfn.XLOOKUP(1,('Case Pack'!$A$4:$A$962=C622)*('Case Pack'!$L$4:$L$962&gt;0)*('Case Pack'!$L$4:$L$962&lt;=A622),'Case Pack'!$D$4:$D$962,"未找到箱规")</f>
        <v>4</v>
      </c>
      <c r="P622" s="124" t="str">
        <f>IF(COUNTIF('PO Check'!A:A,D622)&gt;0,"Yes","No")</f>
        <v>Yes</v>
      </c>
      <c r="Q622" s="124" t="str" cm="1">
        <f t="array" ref="Q622">_xlfn.XLOOKUP(1,('Case Pack'!$A$4:$A$962=C622)*('Case Pack'!$L$4:$L$962&gt;0)*('Case Pack'!$L$4:$L$962&lt;=A622),'Case Pack'!$G$4:$G$962,"未找到箱型")</f>
        <v>A</v>
      </c>
      <c r="R622" s="124">
        <f>ROUND(IFERROR(VLOOKUP(Q622,'Case Type'!A:H,8,0),0)*O622,2)</f>
        <v>0.44</v>
      </c>
    </row>
    <row r="623" customFormat="1" spans="1:18">
      <c r="A623" s="113">
        <v>46209</v>
      </c>
      <c r="B623" s="91" t="str">
        <f>_xlfn.XLOOKUP(C623,'Product List'!B:B,'Product List'!I:I)</f>
        <v>MINI/MOE IVY BURROWING BOX</v>
      </c>
      <c r="C623" s="131" t="s">
        <v>49</v>
      </c>
      <c r="D623" s="266" t="s">
        <v>347</v>
      </c>
      <c r="E623" s="132">
        <v>8</v>
      </c>
      <c r="F623" s="125">
        <v>0</v>
      </c>
      <c r="G623" s="125">
        <f t="shared" si="18"/>
        <v>0</v>
      </c>
      <c r="H623" s="86" t="s">
        <v>348</v>
      </c>
      <c r="I623" s="86" t="s">
        <v>92</v>
      </c>
      <c r="J623" s="86" t="s">
        <v>348</v>
      </c>
      <c r="K623" s="126">
        <v>46209</v>
      </c>
      <c r="L623" s="126">
        <v>46209</v>
      </c>
      <c r="M623" s="127">
        <f>_xlfn.XLOOKUP(C623,'Product List'!B:B,'Product List'!R:R)</f>
        <v>7.16</v>
      </c>
      <c r="N623" s="124">
        <f t="shared" si="19"/>
        <v>57.28</v>
      </c>
      <c r="O623" s="124" cm="1">
        <f t="array" ref="O623">E623/_xlfn.XLOOKUP(1,('Case Pack'!$A$4:$A$962=C623)*('Case Pack'!$L$4:$L$962&gt;0)*('Case Pack'!$L$4:$L$962&lt;=A623),'Case Pack'!$D$4:$D$962,"未找到箱规")</f>
        <v>2</v>
      </c>
      <c r="P623" s="124" t="str">
        <f>IF(COUNTIF('PO Check'!A:A,D623)&gt;0,"Yes","No")</f>
        <v>No</v>
      </c>
      <c r="Q623" s="124" t="str" cm="1">
        <f t="array" ref="Q623">_xlfn.XLOOKUP(1,('Case Pack'!$A$4:$A$962=C623)*('Case Pack'!$L$4:$L$962&gt;0)*('Case Pack'!$L$4:$L$962&lt;=A623),'Case Pack'!$G$4:$G$962,"未找到箱型")</f>
        <v>D</v>
      </c>
      <c r="R623" s="124">
        <f>ROUND(IFERROR(VLOOKUP(Q623,'Case Type'!A:H,8,0),0)*O623,2)</f>
        <v>0.18</v>
      </c>
    </row>
    <row r="624" customFormat="1" spans="1:18">
      <c r="A624" s="113">
        <v>46209</v>
      </c>
      <c r="B624" s="91" t="str">
        <f>_xlfn.XLOOKUP(C624,'Product List'!B:B,'Product List'!I:I)</f>
        <v>MMO-BUBBLE WATER BOTTLE</v>
      </c>
      <c r="C624" s="131" t="s">
        <v>67</v>
      </c>
      <c r="D624" s="266" t="s">
        <v>347</v>
      </c>
      <c r="E624" s="132">
        <v>42</v>
      </c>
      <c r="F624" s="125">
        <v>0</v>
      </c>
      <c r="G624" s="125">
        <f t="shared" si="18"/>
        <v>0</v>
      </c>
      <c r="H624" s="86" t="s">
        <v>348</v>
      </c>
      <c r="I624" s="86" t="s">
        <v>92</v>
      </c>
      <c r="J624" s="86" t="s">
        <v>348</v>
      </c>
      <c r="K624" s="126">
        <v>46209</v>
      </c>
      <c r="L624" s="126">
        <v>46209</v>
      </c>
      <c r="M624" s="127">
        <f>_xlfn.XLOOKUP(C624,'Product List'!B:B,'Product List'!R:R)</f>
        <v>3.1</v>
      </c>
      <c r="N624" s="124">
        <f t="shared" si="19"/>
        <v>130.2</v>
      </c>
      <c r="O624" s="124" cm="1">
        <f t="array" ref="O624">E624/_xlfn.XLOOKUP(1,('Case Pack'!$A$4:$A$962=C624)*('Case Pack'!$L$4:$L$962&gt;0)*('Case Pack'!$L$4:$L$962&lt;=A624),'Case Pack'!$D$4:$D$962,"未找到箱规")</f>
        <v>1</v>
      </c>
      <c r="P624" s="124" t="str">
        <f>IF(COUNTIF('PO Check'!A:A,D624)&gt;0,"Yes","No")</f>
        <v>No</v>
      </c>
      <c r="Q624" s="124" t="str" cm="1">
        <f t="array" ref="Q624">_xlfn.XLOOKUP(1,('Case Pack'!$A$4:$A$962=C624)*('Case Pack'!$L$4:$L$962&gt;0)*('Case Pack'!$L$4:$L$962&lt;=A624),'Case Pack'!$G$4:$G$962,"未找到箱型")</f>
        <v>C</v>
      </c>
      <c r="R624" s="124">
        <f>ROUND(IFERROR(VLOOKUP(Q624,'Case Type'!A:H,8,0),0)*O624,2)</f>
        <v>0.16</v>
      </c>
    </row>
    <row r="625" customFormat="1" spans="1:18">
      <c r="A625" s="113">
        <v>46209</v>
      </c>
      <c r="B625" s="91" t="str">
        <f>_xlfn.XLOOKUP(C625,'Product List'!B:B,'Product List'!I:I)</f>
        <v>Forest Series Hamster Chew Toy &amp; Treat</v>
      </c>
      <c r="C625" s="131" t="s">
        <v>72</v>
      </c>
      <c r="D625" s="266" t="s">
        <v>347</v>
      </c>
      <c r="E625" s="132">
        <v>60</v>
      </c>
      <c r="F625" s="125">
        <v>0</v>
      </c>
      <c r="G625" s="125">
        <f t="shared" si="18"/>
        <v>0</v>
      </c>
      <c r="H625" s="86" t="s">
        <v>348</v>
      </c>
      <c r="I625" s="86" t="s">
        <v>92</v>
      </c>
      <c r="J625" s="86" t="s">
        <v>348</v>
      </c>
      <c r="K625" s="126">
        <v>46209</v>
      </c>
      <c r="L625" s="126">
        <v>46209</v>
      </c>
      <c r="M625" s="127">
        <f>_xlfn.XLOOKUP(C625,'Product List'!B:B,'Product List'!R:R)</f>
        <v>2.14</v>
      </c>
      <c r="N625" s="124">
        <f t="shared" si="19"/>
        <v>128.4</v>
      </c>
      <c r="O625" s="124" cm="1">
        <f t="array" ref="O625">E625/_xlfn.XLOOKUP(1,('Case Pack'!$A$4:$A$962=C625)*('Case Pack'!$L$4:$L$962&gt;0)*('Case Pack'!$L$4:$L$962&lt;=A625),'Case Pack'!$D$4:$D$962,"未找到箱规")</f>
        <v>1</v>
      </c>
      <c r="P625" s="124" t="str">
        <f>IF(COUNTIF('PO Check'!A:A,D625)&gt;0,"Yes","No")</f>
        <v>No</v>
      </c>
      <c r="Q625" s="124" t="str" cm="1">
        <f t="array" ref="Q625">_xlfn.XLOOKUP(1,('Case Pack'!$A$4:$A$962=C625)*('Case Pack'!$L$4:$L$962&gt;0)*('Case Pack'!$L$4:$L$962&lt;=A625),'Case Pack'!$G$4:$G$962,"未找到箱型")</f>
        <v>B</v>
      </c>
      <c r="R625" s="124">
        <f>ROUND(IFERROR(VLOOKUP(Q625,'Case Type'!A:H,8,0),0)*O625,2)</f>
        <v>0.07</v>
      </c>
    </row>
    <row r="626" customFormat="1" spans="1:18">
      <c r="A626" s="113">
        <v>46209</v>
      </c>
      <c r="B626" s="91" t="str">
        <f>_xlfn.XLOOKUP(C626,'Product List'!B:B,'Product List'!I:I)</f>
        <v>MINI/MOE SILENT CRSTL RUN WHEEL XL 11.5 1EA</v>
      </c>
      <c r="C626" s="131" t="s">
        <v>76</v>
      </c>
      <c r="D626" s="266" t="s">
        <v>347</v>
      </c>
      <c r="E626" s="132">
        <v>6</v>
      </c>
      <c r="F626" s="125">
        <v>0</v>
      </c>
      <c r="G626" s="125">
        <f t="shared" si="18"/>
        <v>0</v>
      </c>
      <c r="H626" s="86" t="s">
        <v>348</v>
      </c>
      <c r="I626" s="86" t="s">
        <v>92</v>
      </c>
      <c r="J626" s="86" t="s">
        <v>348</v>
      </c>
      <c r="K626" s="126">
        <v>46209</v>
      </c>
      <c r="L626" s="126">
        <v>46209</v>
      </c>
      <c r="M626" s="127">
        <f>_xlfn.XLOOKUP(C626,'Product List'!B:B,'Product List'!R:R)</f>
        <v>10.42</v>
      </c>
      <c r="N626" s="124">
        <f t="shared" si="19"/>
        <v>62.52</v>
      </c>
      <c r="O626" s="124" cm="1">
        <f t="array" ref="O626">E626/_xlfn.XLOOKUP(1,('Case Pack'!$A$4:$A$962=C626)*('Case Pack'!$L$4:$L$962&gt;0)*('Case Pack'!$L$4:$L$962&lt;=A626),'Case Pack'!$D$4:$D$962,"未找到箱规")</f>
        <v>2</v>
      </c>
      <c r="P626" s="124" t="str">
        <f>IF(COUNTIF('PO Check'!A:A,D626)&gt;0,"Yes","No")</f>
        <v>No</v>
      </c>
      <c r="Q626" s="124" t="str" cm="1">
        <f t="array" ref="Q626">_xlfn.XLOOKUP(1,('Case Pack'!$A$4:$A$962=C626)*('Case Pack'!$L$4:$L$962&gt;0)*('Case Pack'!$L$4:$L$962&lt;=A626),'Case Pack'!$G$4:$G$962,"未找到箱型")</f>
        <v>C</v>
      </c>
      <c r="R626" s="124">
        <f>ROUND(IFERROR(VLOOKUP(Q626,'Case Type'!A:H,8,0),0)*O626,2)</f>
        <v>0.31</v>
      </c>
    </row>
    <row r="627" customFormat="1" spans="1:18">
      <c r="A627" s="113">
        <v>46209</v>
      </c>
      <c r="B627" s="91" t="str">
        <f>_xlfn.XLOOKUP(C627,'Product List'!B:B,'Product List'!I:I)</f>
        <v>MINI/MOE TV VIEWING CAGE</v>
      </c>
      <c r="C627" s="131" t="s">
        <v>50</v>
      </c>
      <c r="D627" s="266" t="s">
        <v>347</v>
      </c>
      <c r="E627" s="132">
        <v>6</v>
      </c>
      <c r="F627" s="125">
        <v>0</v>
      </c>
      <c r="G627" s="125">
        <f t="shared" si="18"/>
        <v>0</v>
      </c>
      <c r="H627" s="86" t="s">
        <v>348</v>
      </c>
      <c r="I627" s="86" t="s">
        <v>92</v>
      </c>
      <c r="J627" s="86" t="s">
        <v>348</v>
      </c>
      <c r="K627" s="126">
        <v>46209</v>
      </c>
      <c r="L627" s="126">
        <v>46209</v>
      </c>
      <c r="M627" s="127">
        <f>_xlfn.XLOOKUP(C627,'Product List'!B:B,'Product List'!R:R)</f>
        <v>24.09</v>
      </c>
      <c r="N627" s="124">
        <f t="shared" si="19"/>
        <v>144.54</v>
      </c>
      <c r="O627" s="124" cm="1">
        <f t="array" ref="O627">E627/_xlfn.XLOOKUP(1,('Case Pack'!$A$4:$A$962=C627)*('Case Pack'!$L$4:$L$962&gt;0)*('Case Pack'!$L$4:$L$962&lt;=A627),'Case Pack'!$D$4:$D$962,"未找到箱规")</f>
        <v>6</v>
      </c>
      <c r="P627" s="124" t="str">
        <f>IF(COUNTIF('PO Check'!A:A,D627)&gt;0,"Yes","No")</f>
        <v>No</v>
      </c>
      <c r="Q627" s="124" t="str" cm="1">
        <f t="array" ref="Q627">_xlfn.XLOOKUP(1,('Case Pack'!$A$4:$A$962=C627)*('Case Pack'!$L$4:$L$962&gt;0)*('Case Pack'!$L$4:$L$962&lt;=A627),'Case Pack'!$G$4:$G$962,"未找到箱型")</f>
        <v>S1</v>
      </c>
      <c r="R627" s="124">
        <f>ROUND(IFERROR(VLOOKUP(Q627,'Case Type'!A:H,8,0),0)*O627,2)</f>
        <v>0.44</v>
      </c>
    </row>
    <row r="628" customFormat="1" spans="1:18">
      <c r="A628" s="113">
        <v>46209</v>
      </c>
      <c r="B628" s="91" t="str">
        <f>_xlfn.XLOOKUP(C628,'Product List'!B:B,'Product List'!I:I)</f>
        <v>MINI/MOE SILENT CRSTL RUN WHEEL LG 8.5-Green</v>
      </c>
      <c r="C628" s="131" t="s">
        <v>28</v>
      </c>
      <c r="D628" s="266" t="s">
        <v>347</v>
      </c>
      <c r="E628" s="132">
        <v>8</v>
      </c>
      <c r="F628" s="125">
        <v>0</v>
      </c>
      <c r="G628" s="125">
        <f t="shared" si="18"/>
        <v>0</v>
      </c>
      <c r="H628" s="86" t="s">
        <v>348</v>
      </c>
      <c r="I628" s="86" t="s">
        <v>92</v>
      </c>
      <c r="J628" s="86" t="s">
        <v>348</v>
      </c>
      <c r="K628" s="126">
        <v>46209</v>
      </c>
      <c r="L628" s="126">
        <v>46209</v>
      </c>
      <c r="M628" s="127">
        <f>_xlfn.XLOOKUP(C628,'Product List'!B:B,'Product List'!R:R)</f>
        <v>6.27</v>
      </c>
      <c r="N628" s="124">
        <f t="shared" si="19"/>
        <v>50.16</v>
      </c>
      <c r="O628" s="124" cm="1">
        <f t="array" ref="O628">E628/_xlfn.XLOOKUP(1,('Case Pack'!$A$4:$A$962=C628)*('Case Pack'!$L$4:$L$962&gt;0)*('Case Pack'!$L$4:$L$962&lt;=A628),'Case Pack'!$D$4:$D$962,"未找到箱规")</f>
        <v>1</v>
      </c>
      <c r="P628" s="124" t="str">
        <f>IF(COUNTIF('PO Check'!A:A,D628)&gt;0,"Yes","No")</f>
        <v>No</v>
      </c>
      <c r="Q628" s="124" t="str" cm="1">
        <f t="array" ref="Q628">_xlfn.XLOOKUP(1,('Case Pack'!$A$4:$A$962=C628)*('Case Pack'!$L$4:$L$962&gt;0)*('Case Pack'!$L$4:$L$962&lt;=A628),'Case Pack'!$G$4:$G$962,"未找到箱型")</f>
        <v>C</v>
      </c>
      <c r="R628" s="124">
        <f>ROUND(IFERROR(VLOOKUP(Q628,'Case Type'!A:H,8,0),0)*O628,2)</f>
        <v>0.16</v>
      </c>
    </row>
    <row r="629" customFormat="1" spans="1:18">
      <c r="A629" s="113">
        <v>46209</v>
      </c>
      <c r="B629" s="91" t="str">
        <f>_xlfn.XLOOKUP(C629,'Product List'!B:B,'Product List'!I:I)</f>
        <v>MINI/MOE TULIP WATER BOTTLE</v>
      </c>
      <c r="C629" s="131" t="s">
        <v>52</v>
      </c>
      <c r="D629" s="266" t="s">
        <v>347</v>
      </c>
      <c r="E629" s="132">
        <v>60</v>
      </c>
      <c r="F629" s="125">
        <v>0</v>
      </c>
      <c r="G629" s="125">
        <f t="shared" si="18"/>
        <v>0</v>
      </c>
      <c r="H629" s="86" t="s">
        <v>348</v>
      </c>
      <c r="I629" s="86" t="s">
        <v>92</v>
      </c>
      <c r="J629" s="86" t="s">
        <v>348</v>
      </c>
      <c r="K629" s="126">
        <v>46209</v>
      </c>
      <c r="L629" s="126">
        <v>46209</v>
      </c>
      <c r="M629" s="127">
        <f>_xlfn.XLOOKUP(C629,'Product List'!B:B,'Product List'!R:R)</f>
        <v>0.73</v>
      </c>
      <c r="N629" s="124">
        <f t="shared" si="19"/>
        <v>43.8</v>
      </c>
      <c r="O629" s="124" cm="1">
        <f t="array" ref="O629">E629/_xlfn.XLOOKUP(1,('Case Pack'!$A$4:$A$962=C629)*('Case Pack'!$L$4:$L$962&gt;0)*('Case Pack'!$L$4:$L$962&lt;=A629),'Case Pack'!$D$4:$D$962,"未找到箱规")</f>
        <v>1</v>
      </c>
      <c r="P629" s="124" t="str">
        <f>IF(COUNTIF('PO Check'!A:A,D629)&gt;0,"Yes","No")</f>
        <v>No</v>
      </c>
      <c r="Q629" s="124" t="str" cm="1">
        <f t="array" ref="Q629">_xlfn.XLOOKUP(1,('Case Pack'!$A$4:$A$962=C629)*('Case Pack'!$L$4:$L$962&gt;0)*('Case Pack'!$L$4:$L$962&lt;=A629),'Case Pack'!$G$4:$G$962,"未找到箱型")</f>
        <v>C</v>
      </c>
      <c r="R629" s="124">
        <f>ROUND(IFERROR(VLOOKUP(Q629,'Case Type'!A:H,8,0),0)*O629,2)</f>
        <v>0.16</v>
      </c>
    </row>
    <row r="630" customFormat="1" spans="1:18">
      <c r="A630" s="113">
        <v>46209</v>
      </c>
      <c r="B630" s="91" t="str">
        <f>_xlfn.XLOOKUP(C630,'Product List'!B:B,'Product List'!I:I)</f>
        <v>Tree Stump Hide</v>
      </c>
      <c r="C630" s="131" t="s">
        <v>54</v>
      </c>
      <c r="D630" s="266" t="s">
        <v>347</v>
      </c>
      <c r="E630" s="132">
        <v>24</v>
      </c>
      <c r="F630" s="125">
        <v>0</v>
      </c>
      <c r="G630" s="125">
        <f t="shared" si="18"/>
        <v>0</v>
      </c>
      <c r="H630" s="86" t="s">
        <v>348</v>
      </c>
      <c r="I630" s="86" t="s">
        <v>92</v>
      </c>
      <c r="J630" s="86" t="s">
        <v>348</v>
      </c>
      <c r="K630" s="126">
        <v>46209</v>
      </c>
      <c r="L630" s="126">
        <v>46209</v>
      </c>
      <c r="M630" s="127">
        <f>_xlfn.XLOOKUP(C630,'Product List'!B:B,'Product List'!R:R)</f>
        <v>2.67</v>
      </c>
      <c r="N630" s="124">
        <f t="shared" si="19"/>
        <v>64.08</v>
      </c>
      <c r="O630" s="124" cm="1">
        <f t="array" ref="O630">E630/_xlfn.XLOOKUP(1,('Case Pack'!$A$4:$A$962=C630)*('Case Pack'!$L$4:$L$962&gt;0)*('Case Pack'!$L$4:$L$962&lt;=A630),'Case Pack'!$D$4:$D$962,"未找到箱规")</f>
        <v>1</v>
      </c>
      <c r="P630" s="124" t="str">
        <f>IF(COUNTIF('PO Check'!A:A,D630)&gt;0,"Yes","No")</f>
        <v>No</v>
      </c>
      <c r="Q630" s="124" t="str" cm="1">
        <f t="array" ref="Q630">_xlfn.XLOOKUP(1,('Case Pack'!$A$4:$A$962=C630)*('Case Pack'!$L$4:$L$962&gt;0)*('Case Pack'!$L$4:$L$962&lt;=A630),'Case Pack'!$G$4:$G$962,"未找到箱型")</f>
        <v>B</v>
      </c>
      <c r="R630" s="124">
        <f>ROUND(IFERROR(VLOOKUP(Q630,'Case Type'!A:H,8,0),0)*O630,2)</f>
        <v>0.07</v>
      </c>
    </row>
    <row r="631" customFormat="1" spans="1:18">
      <c r="A631" s="113">
        <v>46209</v>
      </c>
      <c r="B631" s="91" t="str">
        <f>_xlfn.XLOOKUP(C631,'Product List'!B:B,'Product List'!I:I)</f>
        <v>MMO-STARFISH CASTLE</v>
      </c>
      <c r="C631" s="131" t="s">
        <v>60</v>
      </c>
      <c r="D631" s="266" t="s">
        <v>347</v>
      </c>
      <c r="E631" s="132">
        <v>20</v>
      </c>
      <c r="F631" s="125">
        <v>0</v>
      </c>
      <c r="G631" s="125">
        <f t="shared" si="18"/>
        <v>0</v>
      </c>
      <c r="H631" s="86" t="s">
        <v>348</v>
      </c>
      <c r="I631" s="86" t="s">
        <v>92</v>
      </c>
      <c r="J631" s="86" t="s">
        <v>348</v>
      </c>
      <c r="K631" s="126">
        <v>46209</v>
      </c>
      <c r="L631" s="126">
        <v>46209</v>
      </c>
      <c r="M631" s="127">
        <f>_xlfn.XLOOKUP(C631,'Product List'!B:B,'Product List'!R:R)</f>
        <v>2.81</v>
      </c>
      <c r="N631" s="124">
        <f t="shared" si="19"/>
        <v>56.2</v>
      </c>
      <c r="O631" s="124" cm="1">
        <f t="array" ref="O631">E631/_xlfn.XLOOKUP(1,('Case Pack'!$A$4:$A$962=C631)*('Case Pack'!$L$4:$L$962&gt;0)*('Case Pack'!$L$4:$L$962&lt;=A631),'Case Pack'!$D$4:$D$962,"未找到箱规")</f>
        <v>1</v>
      </c>
      <c r="P631" s="124" t="str">
        <f>IF(COUNTIF('PO Check'!A:A,D631)&gt;0,"Yes","No")</f>
        <v>No</v>
      </c>
      <c r="Q631" s="124" t="str" cm="1">
        <f t="array" ref="Q631">_xlfn.XLOOKUP(1,('Case Pack'!$A$4:$A$962=C631)*('Case Pack'!$L$4:$L$962&gt;0)*('Case Pack'!$L$4:$L$962&lt;=A631),'Case Pack'!$G$4:$G$962,"未找到箱型")</f>
        <v>C</v>
      </c>
      <c r="R631" s="124">
        <f>ROUND(IFERROR(VLOOKUP(Q631,'Case Type'!A:H,8,0),0)*O631,2)</f>
        <v>0.16</v>
      </c>
    </row>
    <row r="632" customFormat="1" spans="1:18">
      <c r="A632" s="113">
        <v>46210</v>
      </c>
      <c r="B632" s="91" t="str">
        <f>_xlfn.XLOOKUP(C632,'Product List'!B:B,'Product List'!I:I)</f>
        <v>MMO-SHELL PEARL HAMSTER CHEW</v>
      </c>
      <c r="C632" s="131" t="s">
        <v>35</v>
      </c>
      <c r="D632" s="132">
        <v>31577968</v>
      </c>
      <c r="E632" s="132">
        <v>64</v>
      </c>
      <c r="F632" s="132">
        <v>1.61</v>
      </c>
      <c r="G632" s="125">
        <f t="shared" si="18"/>
        <v>103.04</v>
      </c>
      <c r="H632" s="86" t="s">
        <v>298</v>
      </c>
      <c r="I632" s="86" t="s">
        <v>92</v>
      </c>
      <c r="J632" s="86" t="s">
        <v>322</v>
      </c>
      <c r="K632" s="267">
        <v>46247</v>
      </c>
      <c r="L632" s="126">
        <v>46238</v>
      </c>
      <c r="M632" s="127">
        <f>_xlfn.XLOOKUP(C632,'Product List'!B:B,'Product List'!R:R)</f>
        <v>0.96</v>
      </c>
      <c r="N632" s="124">
        <f t="shared" si="19"/>
        <v>61.44</v>
      </c>
      <c r="O632" s="124" cm="1">
        <f t="array" ref="O632">E632/_xlfn.XLOOKUP(1,('Case Pack'!$A$4:$A$962=C632)*('Case Pack'!$L$4:$L$962&gt;0)*('Case Pack'!$L$4:$L$962&lt;=A632),'Case Pack'!$D$4:$D$962,"未找到箱规")</f>
        <v>1</v>
      </c>
      <c r="P632" s="124" t="str">
        <f>IF(COUNTIF('PO Check'!A:A,D632)&gt;0,"Yes","No")</f>
        <v>Yes</v>
      </c>
      <c r="Q632" s="124" t="str" cm="1">
        <f t="array" ref="Q632">_xlfn.XLOOKUP(1,('Case Pack'!$A$4:$A$962=C632)*('Case Pack'!$L$4:$L$962&gt;0)*('Case Pack'!$L$4:$L$962&lt;=A632),'Case Pack'!$G$4:$G$962,"未找到箱型")</f>
        <v>B</v>
      </c>
      <c r="R632" s="124">
        <f>ROUND(IFERROR(VLOOKUP(Q632,'Case Type'!A:H,8,0),0)*O632,2)</f>
        <v>0.07</v>
      </c>
    </row>
    <row r="633" customFormat="1" spans="1:18">
      <c r="A633" s="113">
        <v>46210</v>
      </c>
      <c r="B633" s="91" t="str">
        <f>_xlfn.XLOOKUP(C633,'Product List'!B:B,'Product List'!I:I)</f>
        <v>MINI/MOE TV VIEWING CAGE</v>
      </c>
      <c r="C633" s="131" t="s">
        <v>50</v>
      </c>
      <c r="D633" s="132">
        <v>31577968</v>
      </c>
      <c r="E633" s="132">
        <v>117</v>
      </c>
      <c r="F633" s="132">
        <v>48.49</v>
      </c>
      <c r="G633" s="125">
        <f t="shared" si="18"/>
        <v>5673.33</v>
      </c>
      <c r="H633" s="86" t="s">
        <v>298</v>
      </c>
      <c r="I633" s="86" t="s">
        <v>92</v>
      </c>
      <c r="J633" s="86" t="s">
        <v>322</v>
      </c>
      <c r="K633" s="267">
        <v>46247</v>
      </c>
      <c r="L633" s="126">
        <v>46238</v>
      </c>
      <c r="M633" s="127">
        <f>_xlfn.XLOOKUP(C633,'Product List'!B:B,'Product List'!R:R)</f>
        <v>24.09</v>
      </c>
      <c r="N633" s="124">
        <f t="shared" si="19"/>
        <v>2818.53</v>
      </c>
      <c r="O633" s="124" cm="1">
        <f t="array" ref="O633">E633/_xlfn.XLOOKUP(1,('Case Pack'!$A$4:$A$962=C633)*('Case Pack'!$L$4:$L$962&gt;0)*('Case Pack'!$L$4:$L$962&lt;=A633),'Case Pack'!$D$4:$D$962,"未找到箱规")</f>
        <v>117</v>
      </c>
      <c r="P633" s="124" t="str">
        <f>IF(COUNTIF('PO Check'!A:A,D633)&gt;0,"Yes","No")</f>
        <v>Yes</v>
      </c>
      <c r="Q633" s="124" t="str" cm="1">
        <f t="array" ref="Q633">_xlfn.XLOOKUP(1,('Case Pack'!$A$4:$A$962=C633)*('Case Pack'!$L$4:$L$962&gt;0)*('Case Pack'!$L$4:$L$962&lt;=A633),'Case Pack'!$G$4:$G$962,"未找到箱型")</f>
        <v>S1</v>
      </c>
      <c r="R633" s="124">
        <f>ROUND(IFERROR(VLOOKUP(Q633,'Case Type'!A:H,8,0),0)*O633,2)</f>
        <v>8.66</v>
      </c>
    </row>
    <row r="634" customFormat="1" spans="1:18">
      <c r="A634" s="113">
        <v>46210</v>
      </c>
      <c r="B634" s="91" t="str">
        <f>_xlfn.XLOOKUP(C634,'Product List'!B:B,'Product List'!I:I)</f>
        <v>MMO-STARFISH CASTLE</v>
      </c>
      <c r="C634" s="131" t="s">
        <v>60</v>
      </c>
      <c r="D634" s="132">
        <v>31577968</v>
      </c>
      <c r="E634" s="132">
        <v>40</v>
      </c>
      <c r="F634" s="132">
        <v>5.32</v>
      </c>
      <c r="G634" s="125">
        <f t="shared" si="18"/>
        <v>212.8</v>
      </c>
      <c r="H634" s="86" t="s">
        <v>298</v>
      </c>
      <c r="I634" s="86" t="s">
        <v>92</v>
      </c>
      <c r="J634" s="86" t="s">
        <v>322</v>
      </c>
      <c r="K634" s="267">
        <v>46247</v>
      </c>
      <c r="L634" s="126">
        <v>46238</v>
      </c>
      <c r="M634" s="127">
        <f>_xlfn.XLOOKUP(C634,'Product List'!B:B,'Product List'!R:R)</f>
        <v>2.81</v>
      </c>
      <c r="N634" s="124">
        <f t="shared" si="19"/>
        <v>112.4</v>
      </c>
      <c r="O634" s="124" cm="1">
        <f t="array" ref="O634">E634/_xlfn.XLOOKUP(1,('Case Pack'!$A$4:$A$962=C634)*('Case Pack'!$L$4:$L$962&gt;0)*('Case Pack'!$L$4:$L$962&lt;=A634),'Case Pack'!$D$4:$D$962,"未找到箱规")</f>
        <v>2</v>
      </c>
      <c r="P634" s="124" t="str">
        <f>IF(COUNTIF('PO Check'!A:A,D634)&gt;0,"Yes","No")</f>
        <v>Yes</v>
      </c>
      <c r="Q634" s="124" t="str" cm="1">
        <f t="array" ref="Q634">_xlfn.XLOOKUP(1,('Case Pack'!$A$4:$A$962=C634)*('Case Pack'!$L$4:$L$962&gt;0)*('Case Pack'!$L$4:$L$962&lt;=A634),'Case Pack'!$G$4:$G$962,"未找到箱型")</f>
        <v>C</v>
      </c>
      <c r="R634" s="124">
        <f>ROUND(IFERROR(VLOOKUP(Q634,'Case Type'!A:H,8,0),0)*O634,2)</f>
        <v>0.31</v>
      </c>
    </row>
    <row r="635" customFormat="1" spans="1:18">
      <c r="A635" s="113">
        <v>46210</v>
      </c>
      <c r="B635" s="91" t="str">
        <f>_xlfn.XLOOKUP(C635,'Product List'!B:B,'Product List'!I:I)</f>
        <v>MMO-BUBBLE WATER BOTTLE</v>
      </c>
      <c r="C635" s="131" t="s">
        <v>67</v>
      </c>
      <c r="D635" s="132">
        <v>31577968</v>
      </c>
      <c r="E635" s="132">
        <v>84</v>
      </c>
      <c r="F635" s="132">
        <v>4.35</v>
      </c>
      <c r="G635" s="125">
        <f t="shared" si="18"/>
        <v>365.4</v>
      </c>
      <c r="H635" s="86" t="s">
        <v>298</v>
      </c>
      <c r="I635" s="86" t="s">
        <v>92</v>
      </c>
      <c r="J635" s="86" t="s">
        <v>322</v>
      </c>
      <c r="K635" s="267">
        <v>46247</v>
      </c>
      <c r="L635" s="126">
        <v>46238</v>
      </c>
      <c r="M635" s="127">
        <f>_xlfn.XLOOKUP(C635,'Product List'!B:B,'Product List'!R:R)</f>
        <v>3.1</v>
      </c>
      <c r="N635" s="124">
        <f t="shared" si="19"/>
        <v>260.4</v>
      </c>
      <c r="O635" s="124" cm="1">
        <f t="array" ref="O635">E635/_xlfn.XLOOKUP(1,('Case Pack'!$A$4:$A$962=C635)*('Case Pack'!$L$4:$L$962&gt;0)*('Case Pack'!$L$4:$L$962&lt;=A635),'Case Pack'!$D$4:$D$962,"未找到箱规")</f>
        <v>2</v>
      </c>
      <c r="P635" s="124" t="str">
        <f>IF(COUNTIF('PO Check'!A:A,D635)&gt;0,"Yes","No")</f>
        <v>Yes</v>
      </c>
      <c r="Q635" s="124" t="str" cm="1">
        <f t="array" ref="Q635">_xlfn.XLOOKUP(1,('Case Pack'!$A$4:$A$962=C635)*('Case Pack'!$L$4:$L$962&gt;0)*('Case Pack'!$L$4:$L$962&lt;=A635),'Case Pack'!$G$4:$G$962,"未找到箱型")</f>
        <v>C</v>
      </c>
      <c r="R635" s="124">
        <f>ROUND(IFERROR(VLOOKUP(Q635,'Case Type'!A:H,8,0),0)*O635,2)</f>
        <v>0.31</v>
      </c>
    </row>
    <row r="636" customFormat="1" spans="1:18">
      <c r="A636" s="113">
        <v>46210</v>
      </c>
      <c r="B636" s="91" t="str">
        <f>_xlfn.XLOOKUP(C636,'Product List'!B:B,'Product List'!I:I)</f>
        <v>MMO-CLOUD WATER BOTTLE</v>
      </c>
      <c r="C636" s="131" t="s">
        <v>77</v>
      </c>
      <c r="D636" s="132">
        <v>31577968</v>
      </c>
      <c r="E636" s="132">
        <v>50</v>
      </c>
      <c r="F636" s="132">
        <v>1.32</v>
      </c>
      <c r="G636" s="125">
        <f t="shared" si="18"/>
        <v>66</v>
      </c>
      <c r="H636" s="86" t="s">
        <v>298</v>
      </c>
      <c r="I636" s="86" t="s">
        <v>92</v>
      </c>
      <c r="J636" s="86" t="s">
        <v>322</v>
      </c>
      <c r="K636" s="267">
        <v>46247</v>
      </c>
      <c r="L636" s="126">
        <v>46238</v>
      </c>
      <c r="M636" s="127">
        <f>_xlfn.XLOOKUP(C636,'Product List'!B:B,'Product List'!R:R)</f>
        <v>0.62</v>
      </c>
      <c r="N636" s="124">
        <f t="shared" si="19"/>
        <v>31</v>
      </c>
      <c r="O636" s="124" cm="1">
        <f t="array" ref="O636">E636/_xlfn.XLOOKUP(1,('Case Pack'!$A$4:$A$962=C636)*('Case Pack'!$L$4:$L$962&gt;0)*('Case Pack'!$L$4:$L$962&lt;=A636),'Case Pack'!$D$4:$D$962,"未找到箱规")</f>
        <v>1</v>
      </c>
      <c r="P636" s="124" t="str">
        <f>IF(COUNTIF('PO Check'!A:A,D636)&gt;0,"Yes","No")</f>
        <v>Yes</v>
      </c>
      <c r="Q636" s="124" t="str" cm="1">
        <f t="array" ref="Q636">_xlfn.XLOOKUP(1,('Case Pack'!$A$4:$A$962=C636)*('Case Pack'!$L$4:$L$962&gt;0)*('Case Pack'!$L$4:$L$962&lt;=A636),'Case Pack'!$G$4:$G$962,"未找到箱型")</f>
        <v>A</v>
      </c>
      <c r="R636" s="124">
        <f>ROUND(IFERROR(VLOOKUP(Q636,'Case Type'!A:H,8,0),0)*O636,2)</f>
        <v>0.11</v>
      </c>
    </row>
    <row r="637" customFormat="1" spans="1:18">
      <c r="A637" s="113">
        <v>46210</v>
      </c>
      <c r="B637" s="91" t="str">
        <f>_xlfn.XLOOKUP(C637,'Product List'!B:B,'Product List'!I:I)</f>
        <v>MINI/MOE RUFFLE BOWL</v>
      </c>
      <c r="C637" s="131" t="s">
        <v>78</v>
      </c>
      <c r="D637" s="132">
        <v>31577968</v>
      </c>
      <c r="E637" s="132">
        <v>96</v>
      </c>
      <c r="F637" s="132">
        <v>2.35</v>
      </c>
      <c r="G637" s="125">
        <f t="shared" si="18"/>
        <v>225.6</v>
      </c>
      <c r="H637" s="86" t="s">
        <v>298</v>
      </c>
      <c r="I637" s="86" t="s">
        <v>92</v>
      </c>
      <c r="J637" s="86" t="s">
        <v>322</v>
      </c>
      <c r="K637" s="267">
        <v>46247</v>
      </c>
      <c r="L637" s="126">
        <v>46238</v>
      </c>
      <c r="M637" s="127">
        <f>_xlfn.XLOOKUP(C637,'Product List'!B:B,'Product List'!R:R)</f>
        <v>1.34</v>
      </c>
      <c r="N637" s="124">
        <f t="shared" si="19"/>
        <v>128.64</v>
      </c>
      <c r="O637" s="124" cm="1">
        <f t="array" ref="O637">E637/_xlfn.XLOOKUP(1,('Case Pack'!$A$4:$A$962=C637)*('Case Pack'!$L$4:$L$962&gt;0)*('Case Pack'!$L$4:$L$962&lt;=A637),'Case Pack'!$D$4:$D$962,"未找到箱规")</f>
        <v>2</v>
      </c>
      <c r="P637" s="124" t="str">
        <f>IF(COUNTIF('PO Check'!A:A,D637)&gt;0,"Yes","No")</f>
        <v>Yes</v>
      </c>
      <c r="Q637" s="124" t="str" cm="1">
        <f t="array" ref="Q637">_xlfn.XLOOKUP(1,('Case Pack'!$A$4:$A$962=C637)*('Case Pack'!$L$4:$L$962&gt;0)*('Case Pack'!$L$4:$L$962&lt;=A637),'Case Pack'!$G$4:$G$962,"未找到箱型")</f>
        <v>B</v>
      </c>
      <c r="R637" s="124">
        <f>ROUND(IFERROR(VLOOKUP(Q637,'Case Type'!A:H,8,0),0)*O637,2)</f>
        <v>0.15</v>
      </c>
    </row>
    <row r="638" customFormat="1" spans="1:18">
      <c r="A638" s="113">
        <v>46210</v>
      </c>
      <c r="B638" s="91" t="str">
        <f>_xlfn.XLOOKUP(C638,'Product List'!B:B,'Product List'!I:I)</f>
        <v>MMO-PAPER PEBBLES</v>
      </c>
      <c r="C638" s="131" t="s">
        <v>81</v>
      </c>
      <c r="D638" s="132">
        <v>31577968</v>
      </c>
      <c r="E638" s="132">
        <v>12</v>
      </c>
      <c r="F638" s="132">
        <v>5.81</v>
      </c>
      <c r="G638" s="125">
        <f t="shared" si="18"/>
        <v>69.72</v>
      </c>
      <c r="H638" s="86" t="s">
        <v>298</v>
      </c>
      <c r="I638" s="86" t="s">
        <v>92</v>
      </c>
      <c r="J638" s="86" t="s">
        <v>322</v>
      </c>
      <c r="K638" s="267">
        <v>46247</v>
      </c>
      <c r="L638" s="126">
        <v>46238</v>
      </c>
      <c r="M638" s="127">
        <f>_xlfn.XLOOKUP(C638,'Product List'!B:B,'Product List'!R:R)</f>
        <v>2.84</v>
      </c>
      <c r="N638" s="124">
        <f t="shared" si="19"/>
        <v>34.08</v>
      </c>
      <c r="O638" s="124" cm="1">
        <f t="array" ref="O638">E638/_xlfn.XLOOKUP(1,('Case Pack'!$A$4:$A$962=C638)*('Case Pack'!$L$4:$L$962&gt;0)*('Case Pack'!$L$4:$L$962&lt;=A638),'Case Pack'!$D$4:$D$962,"未找到箱规")</f>
        <v>1</v>
      </c>
      <c r="P638" s="124" t="str">
        <f>IF(COUNTIF('PO Check'!A:A,D638)&gt;0,"Yes","No")</f>
        <v>Yes</v>
      </c>
      <c r="Q638" s="124" t="str" cm="1">
        <f t="array" ref="Q638">_xlfn.XLOOKUP(1,('Case Pack'!$A$4:$A$962=C638)*('Case Pack'!$L$4:$L$962&gt;0)*('Case Pack'!$L$4:$L$962&lt;=A638),'Case Pack'!$G$4:$G$962,"未找到箱型")</f>
        <v>B</v>
      </c>
      <c r="R638" s="124">
        <f>ROUND(IFERROR(VLOOKUP(Q638,'Case Type'!A:H,8,0),0)*O638,2)</f>
        <v>0.07</v>
      </c>
    </row>
    <row r="639" customFormat="1" spans="1:18">
      <c r="A639" s="113">
        <v>46210</v>
      </c>
      <c r="B639" s="91" t="str">
        <f>_xlfn.XLOOKUP(C639,'Product List'!B:B,'Product List'!I:I)</f>
        <v>MMO-GREEN APPLE CHEW</v>
      </c>
      <c r="C639" s="131" t="s">
        <v>33</v>
      </c>
      <c r="D639" s="132">
        <v>31577969</v>
      </c>
      <c r="E639" s="132">
        <v>96</v>
      </c>
      <c r="F639" s="132">
        <v>1.53</v>
      </c>
      <c r="G639" s="125">
        <f t="shared" si="18"/>
        <v>146.88</v>
      </c>
      <c r="H639" s="86" t="s">
        <v>298</v>
      </c>
      <c r="I639" s="86" t="s">
        <v>92</v>
      </c>
      <c r="J639" s="86" t="s">
        <v>323</v>
      </c>
      <c r="K639" s="267">
        <v>46247</v>
      </c>
      <c r="L639" s="126">
        <v>46239</v>
      </c>
      <c r="M639" s="127">
        <f>_xlfn.XLOOKUP(C639,'Product List'!B:B,'Product List'!R:R)</f>
        <v>1.04</v>
      </c>
      <c r="N639" s="124">
        <f t="shared" si="19"/>
        <v>99.84</v>
      </c>
      <c r="O639" s="124" cm="1">
        <f t="array" ref="O639">E639/_xlfn.XLOOKUP(1,('Case Pack'!$A$4:$A$962=C639)*('Case Pack'!$L$4:$L$962&gt;0)*('Case Pack'!$L$4:$L$962&lt;=A639),'Case Pack'!$D$4:$D$962,"未找到箱规")</f>
        <v>2</v>
      </c>
      <c r="P639" s="124" t="str">
        <f>IF(COUNTIF('PO Check'!A:A,D639)&gt;0,"Yes","No")</f>
        <v>Yes</v>
      </c>
      <c r="Q639" s="124" t="str" cm="1">
        <f t="array" ref="Q639">_xlfn.XLOOKUP(1,('Case Pack'!$A$4:$A$962=C639)*('Case Pack'!$L$4:$L$962&gt;0)*('Case Pack'!$L$4:$L$962&lt;=A639),'Case Pack'!$G$4:$G$962,"未找到箱型")</f>
        <v>B</v>
      </c>
      <c r="R639" s="124">
        <f>ROUND(IFERROR(VLOOKUP(Q639,'Case Type'!A:H,8,0),0)*O639,2)</f>
        <v>0.15</v>
      </c>
    </row>
    <row r="640" customFormat="1" spans="1:18">
      <c r="A640" s="113">
        <v>46210</v>
      </c>
      <c r="B640" s="91" t="str">
        <f>_xlfn.XLOOKUP(C640,'Product List'!B:B,'Product List'!I:I)</f>
        <v>MMO-CAMP LUNCH BOX CHEW</v>
      </c>
      <c r="C640" s="131" t="s">
        <v>34</v>
      </c>
      <c r="D640" s="132">
        <v>31577969</v>
      </c>
      <c r="E640" s="132">
        <v>72</v>
      </c>
      <c r="F640" s="132">
        <v>2.48</v>
      </c>
      <c r="G640" s="125">
        <f t="shared" si="18"/>
        <v>178.56</v>
      </c>
      <c r="H640" s="86" t="s">
        <v>298</v>
      </c>
      <c r="I640" s="86" t="s">
        <v>92</v>
      </c>
      <c r="J640" s="86" t="s">
        <v>323</v>
      </c>
      <c r="K640" s="267">
        <v>46247</v>
      </c>
      <c r="L640" s="126">
        <v>46239</v>
      </c>
      <c r="M640" s="127">
        <f>_xlfn.XLOOKUP(C640,'Product List'!B:B,'Product List'!R:R)</f>
        <v>1.59</v>
      </c>
      <c r="N640" s="124">
        <f t="shared" si="19"/>
        <v>114.48</v>
      </c>
      <c r="O640" s="124" cm="1">
        <f t="array" ref="O640">E640/_xlfn.XLOOKUP(1,('Case Pack'!$A$4:$A$962=C640)*('Case Pack'!$L$4:$L$962&gt;0)*('Case Pack'!$L$4:$L$962&lt;=A640),'Case Pack'!$D$4:$D$962,"未找到箱规")</f>
        <v>1</v>
      </c>
      <c r="P640" s="124" t="str">
        <f>IF(COUNTIF('PO Check'!A:A,D640)&gt;0,"Yes","No")</f>
        <v>Yes</v>
      </c>
      <c r="Q640" s="124" t="str" cm="1">
        <f t="array" ref="Q640">_xlfn.XLOOKUP(1,('Case Pack'!$A$4:$A$962=C640)*('Case Pack'!$L$4:$L$962&gt;0)*('Case Pack'!$L$4:$L$962&lt;=A640),'Case Pack'!$G$4:$G$962,"未找到箱型")</f>
        <v>B</v>
      </c>
      <c r="R640" s="124">
        <f>ROUND(IFERROR(VLOOKUP(Q640,'Case Type'!A:H,8,0),0)*O640,2)</f>
        <v>0.07</v>
      </c>
    </row>
    <row r="641" customFormat="1" spans="1:18">
      <c r="A641" s="113">
        <v>46210</v>
      </c>
      <c r="B641" s="91" t="str">
        <f>_xlfn.XLOOKUP(C641,'Product List'!B:B,'Product List'!I:I)</f>
        <v>MINI/MOE TV VIEWING CAGE</v>
      </c>
      <c r="C641" s="131" t="s">
        <v>50</v>
      </c>
      <c r="D641" s="132">
        <v>31577969</v>
      </c>
      <c r="E641" s="132">
        <v>159</v>
      </c>
      <c r="F641" s="132">
        <v>48.49</v>
      </c>
      <c r="G641" s="125">
        <f t="shared" si="18"/>
        <v>7709.91</v>
      </c>
      <c r="H641" s="86" t="s">
        <v>298</v>
      </c>
      <c r="I641" s="86" t="s">
        <v>92</v>
      </c>
      <c r="J641" s="86" t="s">
        <v>323</v>
      </c>
      <c r="K641" s="267">
        <v>46247</v>
      </c>
      <c r="L641" s="126">
        <v>46239</v>
      </c>
      <c r="M641" s="127">
        <f>_xlfn.XLOOKUP(C641,'Product List'!B:B,'Product List'!R:R)</f>
        <v>24.09</v>
      </c>
      <c r="N641" s="124">
        <f t="shared" si="19"/>
        <v>3830.31</v>
      </c>
      <c r="O641" s="124" cm="1">
        <f t="array" ref="O641">E641/_xlfn.XLOOKUP(1,('Case Pack'!$A$4:$A$962=C641)*('Case Pack'!$L$4:$L$962&gt;0)*('Case Pack'!$L$4:$L$962&lt;=A641),'Case Pack'!$D$4:$D$962,"未找到箱规")</f>
        <v>159</v>
      </c>
      <c r="P641" s="124" t="str">
        <f>IF(COUNTIF('PO Check'!A:A,D641)&gt;0,"Yes","No")</f>
        <v>Yes</v>
      </c>
      <c r="Q641" s="124" t="str" cm="1">
        <f t="array" ref="Q641">_xlfn.XLOOKUP(1,('Case Pack'!$A$4:$A$962=C641)*('Case Pack'!$L$4:$L$962&gt;0)*('Case Pack'!$L$4:$L$962&lt;=A641),'Case Pack'!$G$4:$G$962,"未找到箱型")</f>
        <v>S1</v>
      </c>
      <c r="R641" s="124">
        <f>ROUND(IFERROR(VLOOKUP(Q641,'Case Type'!A:H,8,0),0)*O641,2)</f>
        <v>11.77</v>
      </c>
    </row>
    <row r="642" customFormat="1" spans="1:18">
      <c r="A642" s="113">
        <v>46210</v>
      </c>
      <c r="B642" s="91" t="str">
        <f>_xlfn.XLOOKUP(C642,'Product List'!B:B,'Product List'!I:I)</f>
        <v>MMO-BUBBLE WATER BOTTLE</v>
      </c>
      <c r="C642" s="131" t="s">
        <v>67</v>
      </c>
      <c r="D642" s="132">
        <v>31577969</v>
      </c>
      <c r="E642" s="132">
        <v>126</v>
      </c>
      <c r="F642" s="132">
        <v>4.35</v>
      </c>
      <c r="G642" s="125">
        <f t="shared" si="18"/>
        <v>548.1</v>
      </c>
      <c r="H642" s="86" t="s">
        <v>298</v>
      </c>
      <c r="I642" s="86" t="s">
        <v>92</v>
      </c>
      <c r="J642" s="86" t="s">
        <v>323</v>
      </c>
      <c r="K642" s="267">
        <v>46247</v>
      </c>
      <c r="L642" s="126">
        <v>46239</v>
      </c>
      <c r="M642" s="127">
        <f>_xlfn.XLOOKUP(C642,'Product List'!B:B,'Product List'!R:R)</f>
        <v>3.1</v>
      </c>
      <c r="N642" s="124">
        <f t="shared" si="19"/>
        <v>390.6</v>
      </c>
      <c r="O642" s="124" cm="1">
        <f t="array" ref="O642">E642/_xlfn.XLOOKUP(1,('Case Pack'!$A$4:$A$962=C642)*('Case Pack'!$L$4:$L$962&gt;0)*('Case Pack'!$L$4:$L$962&lt;=A642),'Case Pack'!$D$4:$D$962,"未找到箱规")</f>
        <v>3</v>
      </c>
      <c r="P642" s="124" t="str">
        <f>IF(COUNTIF('PO Check'!A:A,D642)&gt;0,"Yes","No")</f>
        <v>Yes</v>
      </c>
      <c r="Q642" s="124" t="str" cm="1">
        <f t="array" ref="Q642">_xlfn.XLOOKUP(1,('Case Pack'!$A$4:$A$962=C642)*('Case Pack'!$L$4:$L$962&gt;0)*('Case Pack'!$L$4:$L$962&lt;=A642),'Case Pack'!$G$4:$G$962,"未找到箱型")</f>
        <v>C</v>
      </c>
      <c r="R642" s="124">
        <f>ROUND(IFERROR(VLOOKUP(Q642,'Case Type'!A:H,8,0),0)*O642,2)</f>
        <v>0.47</v>
      </c>
    </row>
    <row r="643" customFormat="1" spans="1:18">
      <c r="A643" s="113">
        <v>46210</v>
      </c>
      <c r="B643" s="91" t="str">
        <f>_xlfn.XLOOKUP(C643,'Product List'!B:B,'Product List'!I:I)</f>
        <v>MMO-PAPER TWIST BLU/WHT</v>
      </c>
      <c r="C643" s="131" t="s">
        <v>68</v>
      </c>
      <c r="D643" s="132">
        <v>31577969</v>
      </c>
      <c r="E643" s="132">
        <v>90</v>
      </c>
      <c r="F643" s="132">
        <v>3.89</v>
      </c>
      <c r="G643" s="125">
        <f t="shared" si="18"/>
        <v>350.1</v>
      </c>
      <c r="H643" s="86" t="s">
        <v>298</v>
      </c>
      <c r="I643" s="86" t="s">
        <v>92</v>
      </c>
      <c r="J643" s="86" t="s">
        <v>323</v>
      </c>
      <c r="K643" s="267">
        <v>46247</v>
      </c>
      <c r="L643" s="126">
        <v>46239</v>
      </c>
      <c r="M643" s="127">
        <f>_xlfn.XLOOKUP(C643,'Product List'!B:B,'Product List'!R:R)</f>
        <v>1.98</v>
      </c>
      <c r="N643" s="124">
        <f t="shared" si="19"/>
        <v>178.2</v>
      </c>
      <c r="O643" s="124" cm="1">
        <f t="array" ref="O643">E643/_xlfn.XLOOKUP(1,('Case Pack'!$A$4:$A$962=C643)*('Case Pack'!$L$4:$L$962&gt;0)*('Case Pack'!$L$4:$L$962&lt;=A643),'Case Pack'!$D$4:$D$962,"未找到箱规")</f>
        <v>3</v>
      </c>
      <c r="P643" s="124" t="str">
        <f>IF(COUNTIF('PO Check'!A:A,D643)&gt;0,"Yes","No")</f>
        <v>Yes</v>
      </c>
      <c r="Q643" s="124" t="str" cm="1">
        <f t="array" ref="Q643">_xlfn.XLOOKUP(1,('Case Pack'!$A$4:$A$962=C643)*('Case Pack'!$L$4:$L$962&gt;0)*('Case Pack'!$L$4:$L$962&lt;=A643),'Case Pack'!$G$4:$G$962,"未找到箱型")</f>
        <v>A</v>
      </c>
      <c r="R643" s="124">
        <f>ROUND(IFERROR(VLOOKUP(Q643,'Case Type'!A:H,8,0),0)*O643,2)</f>
        <v>0.33</v>
      </c>
    </row>
    <row r="644" customFormat="1" spans="1:18">
      <c r="A644" s="113">
        <v>46210</v>
      </c>
      <c r="B644" s="91" t="str">
        <f>_xlfn.XLOOKUP(C644,'Product List'!B:B,'Product List'!I:I)</f>
        <v>MMO-CLOUD WATER BOTTLE</v>
      </c>
      <c r="C644" s="131" t="s">
        <v>77</v>
      </c>
      <c r="D644" s="132">
        <v>31577969</v>
      </c>
      <c r="E644" s="132">
        <v>50</v>
      </c>
      <c r="F644" s="132">
        <v>1.32</v>
      </c>
      <c r="G644" s="125">
        <f t="shared" si="18"/>
        <v>66</v>
      </c>
      <c r="H644" s="86" t="s">
        <v>298</v>
      </c>
      <c r="I644" s="86" t="s">
        <v>92</v>
      </c>
      <c r="J644" s="86" t="s">
        <v>323</v>
      </c>
      <c r="K644" s="267">
        <v>46247</v>
      </c>
      <c r="L644" s="126">
        <v>46239</v>
      </c>
      <c r="M644" s="127">
        <f>_xlfn.XLOOKUP(C644,'Product List'!B:B,'Product List'!R:R)</f>
        <v>0.62</v>
      </c>
      <c r="N644" s="124">
        <f t="shared" si="19"/>
        <v>31</v>
      </c>
      <c r="O644" s="124" cm="1">
        <f t="array" ref="O644">E644/_xlfn.XLOOKUP(1,('Case Pack'!$A$4:$A$962=C644)*('Case Pack'!$L$4:$L$962&gt;0)*('Case Pack'!$L$4:$L$962&lt;=A644),'Case Pack'!$D$4:$D$962,"未找到箱规")</f>
        <v>1</v>
      </c>
      <c r="P644" s="124" t="str">
        <f>IF(COUNTIF('PO Check'!A:A,D644)&gt;0,"Yes","No")</f>
        <v>Yes</v>
      </c>
      <c r="Q644" s="124" t="str" cm="1">
        <f t="array" ref="Q644">_xlfn.XLOOKUP(1,('Case Pack'!$A$4:$A$962=C644)*('Case Pack'!$L$4:$L$962&gt;0)*('Case Pack'!$L$4:$L$962&lt;=A644),'Case Pack'!$G$4:$G$962,"未找到箱型")</f>
        <v>A</v>
      </c>
      <c r="R644" s="124">
        <f>ROUND(IFERROR(VLOOKUP(Q644,'Case Type'!A:H,8,0),0)*O644,2)</f>
        <v>0.11</v>
      </c>
    </row>
    <row r="645" customFormat="1" spans="1:18">
      <c r="A645" s="113">
        <v>46210</v>
      </c>
      <c r="B645" s="91" t="str">
        <f>_xlfn.XLOOKUP(C645,'Product List'!B:B,'Product List'!I:I)</f>
        <v>MINI/MOE RUFFLE BOWL</v>
      </c>
      <c r="C645" s="131" t="s">
        <v>78</v>
      </c>
      <c r="D645" s="132">
        <v>31577969</v>
      </c>
      <c r="E645" s="132">
        <v>48</v>
      </c>
      <c r="F645" s="132">
        <v>2.35</v>
      </c>
      <c r="G645" s="125">
        <f t="shared" si="18"/>
        <v>112.8</v>
      </c>
      <c r="H645" s="86" t="s">
        <v>298</v>
      </c>
      <c r="I645" s="86" t="s">
        <v>92</v>
      </c>
      <c r="J645" s="86" t="s">
        <v>323</v>
      </c>
      <c r="K645" s="267">
        <v>46247</v>
      </c>
      <c r="L645" s="126">
        <v>46239</v>
      </c>
      <c r="M645" s="127">
        <f>_xlfn.XLOOKUP(C645,'Product List'!B:B,'Product List'!R:R)</f>
        <v>1.34</v>
      </c>
      <c r="N645" s="124">
        <f t="shared" si="19"/>
        <v>64.32</v>
      </c>
      <c r="O645" s="124" cm="1">
        <f t="array" ref="O645">E645/_xlfn.XLOOKUP(1,('Case Pack'!$A$4:$A$962=C645)*('Case Pack'!$L$4:$L$962&gt;0)*('Case Pack'!$L$4:$L$962&lt;=A645),'Case Pack'!$D$4:$D$962,"未找到箱规")</f>
        <v>1</v>
      </c>
      <c r="P645" s="124" t="str">
        <f>IF(COUNTIF('PO Check'!A:A,D645)&gt;0,"Yes","No")</f>
        <v>Yes</v>
      </c>
      <c r="Q645" s="124" t="str" cm="1">
        <f t="array" ref="Q645">_xlfn.XLOOKUP(1,('Case Pack'!$A$4:$A$962=C645)*('Case Pack'!$L$4:$L$962&gt;0)*('Case Pack'!$L$4:$L$962&lt;=A645),'Case Pack'!$G$4:$G$962,"未找到箱型")</f>
        <v>B</v>
      </c>
      <c r="R645" s="124">
        <f>ROUND(IFERROR(VLOOKUP(Q645,'Case Type'!A:H,8,0),0)*O645,2)</f>
        <v>0.07</v>
      </c>
    </row>
    <row r="646" customFormat="1" spans="1:18">
      <c r="A646" s="113">
        <v>46210</v>
      </c>
      <c r="B646" s="91" t="str">
        <f>_xlfn.XLOOKUP(C646,'Product List'!B:B,'Product List'!I:I)</f>
        <v>MMO-PAPER PEBBLES</v>
      </c>
      <c r="C646" s="131" t="s">
        <v>81</v>
      </c>
      <c r="D646" s="132">
        <v>31577969</v>
      </c>
      <c r="E646" s="132">
        <v>96</v>
      </c>
      <c r="F646" s="132">
        <v>5.81</v>
      </c>
      <c r="G646" s="125">
        <f t="shared" si="18"/>
        <v>557.76</v>
      </c>
      <c r="H646" s="86" t="s">
        <v>298</v>
      </c>
      <c r="I646" s="86" t="s">
        <v>92</v>
      </c>
      <c r="J646" s="86" t="s">
        <v>323</v>
      </c>
      <c r="K646" s="267">
        <v>46247</v>
      </c>
      <c r="L646" s="126">
        <v>46239</v>
      </c>
      <c r="M646" s="127">
        <f>_xlfn.XLOOKUP(C646,'Product List'!B:B,'Product List'!R:R)</f>
        <v>2.84</v>
      </c>
      <c r="N646" s="124">
        <f t="shared" si="19"/>
        <v>272.64</v>
      </c>
      <c r="O646" s="124" cm="1">
        <f t="array" ref="O646">E646/_xlfn.XLOOKUP(1,('Case Pack'!$A$4:$A$962=C646)*('Case Pack'!$L$4:$L$962&gt;0)*('Case Pack'!$L$4:$L$962&lt;=A646),'Case Pack'!$D$4:$D$962,"未找到箱规")</f>
        <v>8</v>
      </c>
      <c r="P646" s="124" t="str">
        <f>IF(COUNTIF('PO Check'!A:A,D646)&gt;0,"Yes","No")</f>
        <v>Yes</v>
      </c>
      <c r="Q646" s="124" t="str" cm="1">
        <f t="array" ref="Q646">_xlfn.XLOOKUP(1,('Case Pack'!$A$4:$A$962=C646)*('Case Pack'!$L$4:$L$962&gt;0)*('Case Pack'!$L$4:$L$962&lt;=A646),'Case Pack'!$G$4:$G$962,"未找到箱型")</f>
        <v>B</v>
      </c>
      <c r="R646" s="124">
        <f>ROUND(IFERROR(VLOOKUP(Q646,'Case Type'!A:H,8,0),0)*O646,2)</f>
        <v>0.59</v>
      </c>
    </row>
    <row r="647" customFormat="1" spans="1:18">
      <c r="A647" s="113">
        <v>46210</v>
      </c>
      <c r="B647" s="91" t="str">
        <f>_xlfn.XLOOKUP(C647,'Product List'!B:B,'Product List'!I:I)</f>
        <v>MMO-COTTON NESTING BALLS</v>
      </c>
      <c r="C647" s="131" t="s">
        <v>84</v>
      </c>
      <c r="D647" s="132">
        <v>31577969</v>
      </c>
      <c r="E647" s="132">
        <v>160</v>
      </c>
      <c r="F647" s="132">
        <v>3.37</v>
      </c>
      <c r="G647" s="125">
        <f t="shared" si="18"/>
        <v>539.2</v>
      </c>
      <c r="H647" s="86" t="s">
        <v>298</v>
      </c>
      <c r="I647" s="86" t="s">
        <v>92</v>
      </c>
      <c r="J647" s="86" t="s">
        <v>323</v>
      </c>
      <c r="K647" s="267">
        <v>46247</v>
      </c>
      <c r="L647" s="126">
        <v>46239</v>
      </c>
      <c r="M647" s="127">
        <f>_xlfn.XLOOKUP(C647,'Product List'!B:B,'Product List'!R:R)</f>
        <v>1.64</v>
      </c>
      <c r="N647" s="124">
        <f t="shared" si="19"/>
        <v>262.4</v>
      </c>
      <c r="O647" s="124" cm="1">
        <f t="array" ref="O647">E647/_xlfn.XLOOKUP(1,('Case Pack'!$A$4:$A$962=C647)*('Case Pack'!$L$4:$L$962&gt;0)*('Case Pack'!$L$4:$L$962&lt;=A647),'Case Pack'!$D$4:$D$962,"未找到箱规")</f>
        <v>5</v>
      </c>
      <c r="P647" s="124" t="str">
        <f>IF(COUNTIF('PO Check'!A:A,D647)&gt;0,"Yes","No")</f>
        <v>Yes</v>
      </c>
      <c r="Q647" s="124" t="str" cm="1">
        <f t="array" ref="Q647">_xlfn.XLOOKUP(1,('Case Pack'!$A$4:$A$962=C647)*('Case Pack'!$L$4:$L$962&gt;0)*('Case Pack'!$L$4:$L$962&lt;=A647),'Case Pack'!$G$4:$G$962,"未找到箱型")</f>
        <v>A</v>
      </c>
      <c r="R647" s="124">
        <f>ROUND(IFERROR(VLOOKUP(Q647,'Case Type'!A:H,8,0),0)*O647,2)</f>
        <v>0.55</v>
      </c>
    </row>
    <row r="648" customFormat="1" spans="1:18">
      <c r="A648" s="113">
        <v>46210</v>
      </c>
      <c r="B648" s="91" t="str">
        <f>_xlfn.XLOOKUP(C648,'Product List'!B:B,'Product List'!I:I)</f>
        <v>MMO-SHELL PEARL HAMSTER CHEW</v>
      </c>
      <c r="C648" s="131" t="s">
        <v>35</v>
      </c>
      <c r="D648" s="132">
        <v>31577970</v>
      </c>
      <c r="E648" s="132">
        <v>64</v>
      </c>
      <c r="F648" s="132">
        <v>1.61</v>
      </c>
      <c r="G648" s="125">
        <f t="shared" si="18"/>
        <v>103.04</v>
      </c>
      <c r="H648" s="99" t="s">
        <v>298</v>
      </c>
      <c r="I648" s="86" t="s">
        <v>92</v>
      </c>
      <c r="J648" s="86" t="s">
        <v>317</v>
      </c>
      <c r="K648" s="267">
        <v>46245</v>
      </c>
      <c r="L648" s="126">
        <v>46246</v>
      </c>
      <c r="M648" s="127">
        <f>_xlfn.XLOOKUP(C648,'Product List'!B:B,'Product List'!R:R)</f>
        <v>0.96</v>
      </c>
      <c r="N648" s="124">
        <f t="shared" si="19"/>
        <v>61.44</v>
      </c>
      <c r="O648" s="124" cm="1">
        <f t="array" ref="O648">E648/_xlfn.XLOOKUP(1,('Case Pack'!$A$4:$A$962=C648)*('Case Pack'!$L$4:$L$962&gt;0)*('Case Pack'!$L$4:$L$962&lt;=A648),'Case Pack'!$D$4:$D$962,"未找到箱规")</f>
        <v>1</v>
      </c>
      <c r="P648" s="124" t="str">
        <f>IF(COUNTIF('PO Check'!A:A,D648)&gt;0,"Yes","No")</f>
        <v>Yes</v>
      </c>
      <c r="Q648" s="124" t="str" cm="1">
        <f t="array" ref="Q648">_xlfn.XLOOKUP(1,('Case Pack'!$A$4:$A$962=C648)*('Case Pack'!$L$4:$L$962&gt;0)*('Case Pack'!$L$4:$L$962&lt;=A648),'Case Pack'!$G$4:$G$962,"未找到箱型")</f>
        <v>B</v>
      </c>
      <c r="R648" s="124">
        <f>ROUND(IFERROR(VLOOKUP(Q648,'Case Type'!A:H,8,0),0)*O648,2)</f>
        <v>0.07</v>
      </c>
    </row>
    <row r="649" customFormat="1" spans="1:18">
      <c r="A649" s="113">
        <v>46210</v>
      </c>
      <c r="B649" s="91" t="str">
        <f>_xlfn.XLOOKUP(C649,'Product List'!B:B,'Product List'!I:I)</f>
        <v>MINI/MOE TV VIEWING CAGE</v>
      </c>
      <c r="C649" s="131" t="s">
        <v>50</v>
      </c>
      <c r="D649" s="132">
        <v>31577970</v>
      </c>
      <c r="E649" s="132">
        <v>77</v>
      </c>
      <c r="F649" s="132">
        <v>48.49</v>
      </c>
      <c r="G649" s="125">
        <f t="shared" si="18"/>
        <v>3733.73</v>
      </c>
      <c r="H649" s="99" t="s">
        <v>298</v>
      </c>
      <c r="I649" s="86" t="s">
        <v>92</v>
      </c>
      <c r="J649" s="86" t="s">
        <v>317</v>
      </c>
      <c r="K649" s="267">
        <v>46245</v>
      </c>
      <c r="L649" s="126">
        <v>46246</v>
      </c>
      <c r="M649" s="127">
        <f>_xlfn.XLOOKUP(C649,'Product List'!B:B,'Product List'!R:R)</f>
        <v>24.09</v>
      </c>
      <c r="N649" s="124">
        <f t="shared" si="19"/>
        <v>1854.93</v>
      </c>
      <c r="O649" s="124" cm="1">
        <f t="array" ref="O649">E649/_xlfn.XLOOKUP(1,('Case Pack'!$A$4:$A$962=C649)*('Case Pack'!$L$4:$L$962&gt;0)*('Case Pack'!$L$4:$L$962&lt;=A649),'Case Pack'!$D$4:$D$962,"未找到箱规")</f>
        <v>77</v>
      </c>
      <c r="P649" s="124" t="str">
        <f>IF(COUNTIF('PO Check'!A:A,D649)&gt;0,"Yes","No")</f>
        <v>Yes</v>
      </c>
      <c r="Q649" s="124" t="str" cm="1">
        <f t="array" ref="Q649">_xlfn.XLOOKUP(1,('Case Pack'!$A$4:$A$962=C649)*('Case Pack'!$L$4:$L$962&gt;0)*('Case Pack'!$L$4:$L$962&lt;=A649),'Case Pack'!$G$4:$G$962,"未找到箱型")</f>
        <v>S1</v>
      </c>
      <c r="R649" s="124">
        <f>ROUND(IFERROR(VLOOKUP(Q649,'Case Type'!A:H,8,0),0)*O649,2)</f>
        <v>5.7</v>
      </c>
    </row>
    <row r="650" customFormat="1" spans="1:18">
      <c r="A650" s="113">
        <v>46210</v>
      </c>
      <c r="B650" s="91" t="str">
        <f>_xlfn.XLOOKUP(C650,'Product List'!B:B,'Product List'!I:I)</f>
        <v>MMO-STARFISH CASTLE</v>
      </c>
      <c r="C650" s="131" t="s">
        <v>60</v>
      </c>
      <c r="D650" s="132">
        <v>31577970</v>
      </c>
      <c r="E650" s="132">
        <v>20</v>
      </c>
      <c r="F650" s="132">
        <v>5.32</v>
      </c>
      <c r="G650" s="125">
        <f t="shared" si="18"/>
        <v>106.4</v>
      </c>
      <c r="H650" s="99" t="s">
        <v>298</v>
      </c>
      <c r="I650" s="86" t="s">
        <v>92</v>
      </c>
      <c r="J650" s="86" t="s">
        <v>317</v>
      </c>
      <c r="K650" s="267">
        <v>46245</v>
      </c>
      <c r="L650" s="126">
        <v>46246</v>
      </c>
      <c r="M650" s="127">
        <f>_xlfn.XLOOKUP(C650,'Product List'!B:B,'Product List'!R:R)</f>
        <v>2.81</v>
      </c>
      <c r="N650" s="124">
        <f t="shared" si="19"/>
        <v>56.2</v>
      </c>
      <c r="O650" s="124" cm="1">
        <f t="array" ref="O650">E650/_xlfn.XLOOKUP(1,('Case Pack'!$A$4:$A$962=C650)*('Case Pack'!$L$4:$L$962&gt;0)*('Case Pack'!$L$4:$L$962&lt;=A650),'Case Pack'!$D$4:$D$962,"未找到箱规")</f>
        <v>1</v>
      </c>
      <c r="P650" s="124" t="str">
        <f>IF(COUNTIF('PO Check'!A:A,D650)&gt;0,"Yes","No")</f>
        <v>Yes</v>
      </c>
      <c r="Q650" s="124" t="str" cm="1">
        <f t="array" ref="Q650">_xlfn.XLOOKUP(1,('Case Pack'!$A$4:$A$962=C650)*('Case Pack'!$L$4:$L$962&gt;0)*('Case Pack'!$L$4:$L$962&lt;=A650),'Case Pack'!$G$4:$G$962,"未找到箱型")</f>
        <v>C</v>
      </c>
      <c r="R650" s="124">
        <f>ROUND(IFERROR(VLOOKUP(Q650,'Case Type'!A:H,8,0),0)*O650,2)</f>
        <v>0.16</v>
      </c>
    </row>
    <row r="651" customFormat="1" spans="1:18">
      <c r="A651" s="113">
        <v>46210</v>
      </c>
      <c r="B651" s="91" t="str">
        <f>_xlfn.XLOOKUP(C651,'Product List'!B:B,'Product List'!I:I)</f>
        <v>MINI/MOE BENDABLE BIRCHWOOD FENCE</v>
      </c>
      <c r="C651" s="131" t="s">
        <v>62</v>
      </c>
      <c r="D651" s="132">
        <v>31577970</v>
      </c>
      <c r="E651" s="132">
        <v>32</v>
      </c>
      <c r="F651" s="132">
        <v>5.01</v>
      </c>
      <c r="G651" s="125">
        <f t="shared" si="18"/>
        <v>160.32</v>
      </c>
      <c r="H651" s="99" t="s">
        <v>298</v>
      </c>
      <c r="I651" s="86" t="s">
        <v>92</v>
      </c>
      <c r="J651" s="86" t="s">
        <v>317</v>
      </c>
      <c r="K651" s="267">
        <v>46245</v>
      </c>
      <c r="L651" s="126">
        <v>46246</v>
      </c>
      <c r="M651" s="127">
        <f>_xlfn.XLOOKUP(C651,'Product List'!B:B,'Product List'!R:R)</f>
        <v>3.4</v>
      </c>
      <c r="N651" s="124">
        <f t="shared" si="19"/>
        <v>108.8</v>
      </c>
      <c r="O651" s="124" cm="1">
        <f t="array" ref="O651">E651/_xlfn.XLOOKUP(1,('Case Pack'!$A$4:$A$962=C651)*('Case Pack'!$L$4:$L$962&gt;0)*('Case Pack'!$L$4:$L$962&lt;=A651),'Case Pack'!$D$4:$D$962,"未找到箱规")</f>
        <v>1</v>
      </c>
      <c r="P651" s="124" t="str">
        <f>IF(COUNTIF('PO Check'!A:A,D651)&gt;0,"Yes","No")</f>
        <v>Yes</v>
      </c>
      <c r="Q651" s="124" t="str" cm="1">
        <f t="array" ref="Q651">_xlfn.XLOOKUP(1,('Case Pack'!$A$4:$A$962=C651)*('Case Pack'!$L$4:$L$962&gt;0)*('Case Pack'!$L$4:$L$962&lt;=A651),'Case Pack'!$G$4:$G$962,"未找到箱型")</f>
        <v>F</v>
      </c>
      <c r="R651" s="124">
        <f>ROUND(IFERROR(VLOOKUP(Q651,'Case Type'!A:H,8,0),0)*O651,2)</f>
        <v>0.04</v>
      </c>
    </row>
    <row r="652" customFormat="1" spans="1:18">
      <c r="A652" s="113">
        <v>46210</v>
      </c>
      <c r="B652" s="91" t="str">
        <f>_xlfn.XLOOKUP(C652,'Product List'!B:B,'Product List'!I:I)</f>
        <v>MMO-BUBBLE WATER BOTTLE</v>
      </c>
      <c r="C652" s="131" t="s">
        <v>67</v>
      </c>
      <c r="D652" s="132">
        <v>31577970</v>
      </c>
      <c r="E652" s="132">
        <v>126</v>
      </c>
      <c r="F652" s="132">
        <v>4.35</v>
      </c>
      <c r="G652" s="125">
        <f t="shared" si="18"/>
        <v>548.1</v>
      </c>
      <c r="H652" s="99" t="s">
        <v>298</v>
      </c>
      <c r="I652" s="86" t="s">
        <v>92</v>
      </c>
      <c r="J652" s="86" t="s">
        <v>317</v>
      </c>
      <c r="K652" s="267">
        <v>46245</v>
      </c>
      <c r="L652" s="126">
        <v>46246</v>
      </c>
      <c r="M652" s="127">
        <f>_xlfn.XLOOKUP(C652,'Product List'!B:B,'Product List'!R:R)</f>
        <v>3.1</v>
      </c>
      <c r="N652" s="124">
        <f t="shared" si="19"/>
        <v>390.6</v>
      </c>
      <c r="O652" s="124" cm="1">
        <f t="array" ref="O652">E652/_xlfn.XLOOKUP(1,('Case Pack'!$A$4:$A$962=C652)*('Case Pack'!$L$4:$L$962&gt;0)*('Case Pack'!$L$4:$L$962&lt;=A652),'Case Pack'!$D$4:$D$962,"未找到箱规")</f>
        <v>3</v>
      </c>
      <c r="P652" s="124" t="str">
        <f>IF(COUNTIF('PO Check'!A:A,D652)&gt;0,"Yes","No")</f>
        <v>Yes</v>
      </c>
      <c r="Q652" s="124" t="str" cm="1">
        <f t="array" ref="Q652">_xlfn.XLOOKUP(1,('Case Pack'!$A$4:$A$962=C652)*('Case Pack'!$L$4:$L$962&gt;0)*('Case Pack'!$L$4:$L$962&lt;=A652),'Case Pack'!$G$4:$G$962,"未找到箱型")</f>
        <v>C</v>
      </c>
      <c r="R652" s="124">
        <f>ROUND(IFERROR(VLOOKUP(Q652,'Case Type'!A:H,8,0),0)*O652,2)</f>
        <v>0.47</v>
      </c>
    </row>
    <row r="653" customFormat="1" spans="1:18">
      <c r="A653" s="113">
        <v>46210</v>
      </c>
      <c r="B653" s="91" t="str">
        <f>_xlfn.XLOOKUP(C653,'Product List'!B:B,'Product List'!I:I)</f>
        <v>MMO-CLOUD WATER BOTTLE</v>
      </c>
      <c r="C653" s="131" t="s">
        <v>77</v>
      </c>
      <c r="D653" s="132">
        <v>31577970</v>
      </c>
      <c r="E653" s="132">
        <v>150</v>
      </c>
      <c r="F653" s="132">
        <v>1.32</v>
      </c>
      <c r="G653" s="125">
        <f t="shared" si="18"/>
        <v>198</v>
      </c>
      <c r="H653" s="99" t="s">
        <v>298</v>
      </c>
      <c r="I653" s="86" t="s">
        <v>92</v>
      </c>
      <c r="J653" s="86" t="s">
        <v>317</v>
      </c>
      <c r="K653" s="267">
        <v>46245</v>
      </c>
      <c r="L653" s="126">
        <v>46246</v>
      </c>
      <c r="M653" s="127">
        <f>_xlfn.XLOOKUP(C653,'Product List'!B:B,'Product List'!R:R)</f>
        <v>0.62</v>
      </c>
      <c r="N653" s="124">
        <f t="shared" si="19"/>
        <v>93</v>
      </c>
      <c r="O653" s="124" cm="1">
        <f t="array" ref="O653">E653/_xlfn.XLOOKUP(1,('Case Pack'!$A$4:$A$962=C653)*('Case Pack'!$L$4:$L$962&gt;0)*('Case Pack'!$L$4:$L$962&lt;=A653),'Case Pack'!$D$4:$D$962,"未找到箱规")</f>
        <v>3</v>
      </c>
      <c r="P653" s="124" t="str">
        <f>IF(COUNTIF('PO Check'!A:A,D653)&gt;0,"Yes","No")</f>
        <v>Yes</v>
      </c>
      <c r="Q653" s="124" t="str" cm="1">
        <f t="array" ref="Q653">_xlfn.XLOOKUP(1,('Case Pack'!$A$4:$A$962=C653)*('Case Pack'!$L$4:$L$962&gt;0)*('Case Pack'!$L$4:$L$962&lt;=A653),'Case Pack'!$G$4:$G$962,"未找到箱型")</f>
        <v>A</v>
      </c>
      <c r="R653" s="124">
        <f>ROUND(IFERROR(VLOOKUP(Q653,'Case Type'!A:H,8,0),0)*O653,2)</f>
        <v>0.33</v>
      </c>
    </row>
    <row r="654" customFormat="1" spans="1:18">
      <c r="A654" s="113">
        <v>46210</v>
      </c>
      <c r="B654" s="91" t="str">
        <f>_xlfn.XLOOKUP(C654,'Product List'!B:B,'Product List'!I:I)</f>
        <v>MINI/MOE RUFFLE BOWL</v>
      </c>
      <c r="C654" s="131" t="s">
        <v>78</v>
      </c>
      <c r="D654" s="132">
        <v>31577970</v>
      </c>
      <c r="E654" s="132">
        <v>48</v>
      </c>
      <c r="F654" s="132">
        <v>2.35</v>
      </c>
      <c r="G654" s="125">
        <f t="shared" si="18"/>
        <v>112.8</v>
      </c>
      <c r="H654" s="99" t="s">
        <v>298</v>
      </c>
      <c r="I654" s="86" t="s">
        <v>92</v>
      </c>
      <c r="J654" s="86" t="s">
        <v>317</v>
      </c>
      <c r="K654" s="267">
        <v>46245</v>
      </c>
      <c r="L654" s="126">
        <v>46246</v>
      </c>
      <c r="M654" s="127">
        <f>_xlfn.XLOOKUP(C654,'Product List'!B:B,'Product List'!R:R)</f>
        <v>1.34</v>
      </c>
      <c r="N654" s="124">
        <f t="shared" si="19"/>
        <v>64.32</v>
      </c>
      <c r="O654" s="124" cm="1">
        <f t="array" ref="O654">E654/_xlfn.XLOOKUP(1,('Case Pack'!$A$4:$A$962=C654)*('Case Pack'!$L$4:$L$962&gt;0)*('Case Pack'!$L$4:$L$962&lt;=A654),'Case Pack'!$D$4:$D$962,"未找到箱规")</f>
        <v>1</v>
      </c>
      <c r="P654" s="124" t="str">
        <f>IF(COUNTIF('PO Check'!A:A,D654)&gt;0,"Yes","No")</f>
        <v>Yes</v>
      </c>
      <c r="Q654" s="124" t="str" cm="1">
        <f t="array" ref="Q654">_xlfn.XLOOKUP(1,('Case Pack'!$A$4:$A$962=C654)*('Case Pack'!$L$4:$L$962&gt;0)*('Case Pack'!$L$4:$L$962&lt;=A654),'Case Pack'!$G$4:$G$962,"未找到箱型")</f>
        <v>B</v>
      </c>
      <c r="R654" s="124">
        <f>ROUND(IFERROR(VLOOKUP(Q654,'Case Type'!A:H,8,0),0)*O654,2)</f>
        <v>0.07</v>
      </c>
    </row>
    <row r="655" customFormat="1" spans="1:18">
      <c r="A655" s="113">
        <v>46210</v>
      </c>
      <c r="B655" s="91" t="str">
        <f>_xlfn.XLOOKUP(C655,'Product List'!B:B,'Product List'!I:I)</f>
        <v>MMO-PAPER PEBBLES</v>
      </c>
      <c r="C655" s="131" t="s">
        <v>81</v>
      </c>
      <c r="D655" s="132">
        <v>31577970</v>
      </c>
      <c r="E655" s="132">
        <v>12</v>
      </c>
      <c r="F655" s="132">
        <v>5.81</v>
      </c>
      <c r="G655" s="125">
        <f t="shared" si="18"/>
        <v>69.72</v>
      </c>
      <c r="H655" s="99" t="s">
        <v>298</v>
      </c>
      <c r="I655" s="86" t="s">
        <v>92</v>
      </c>
      <c r="J655" s="86" t="s">
        <v>317</v>
      </c>
      <c r="K655" s="267">
        <v>46245</v>
      </c>
      <c r="L655" s="126">
        <v>46246</v>
      </c>
      <c r="M655" s="127">
        <f>_xlfn.XLOOKUP(C655,'Product List'!B:B,'Product List'!R:R)</f>
        <v>2.84</v>
      </c>
      <c r="N655" s="124">
        <f t="shared" si="19"/>
        <v>34.08</v>
      </c>
      <c r="O655" s="124" cm="1">
        <f t="array" ref="O655">E655/_xlfn.XLOOKUP(1,('Case Pack'!$A$4:$A$962=C655)*('Case Pack'!$L$4:$L$962&gt;0)*('Case Pack'!$L$4:$L$962&lt;=A655),'Case Pack'!$D$4:$D$962,"未找到箱规")</f>
        <v>1</v>
      </c>
      <c r="P655" s="124" t="str">
        <f>IF(COUNTIF('PO Check'!A:A,D655)&gt;0,"Yes","No")</f>
        <v>Yes</v>
      </c>
      <c r="Q655" s="124" t="str" cm="1">
        <f t="array" ref="Q655">_xlfn.XLOOKUP(1,('Case Pack'!$A$4:$A$962=C655)*('Case Pack'!$L$4:$L$962&gt;0)*('Case Pack'!$L$4:$L$962&lt;=A655),'Case Pack'!$G$4:$G$962,"未找到箱型")</f>
        <v>B</v>
      </c>
      <c r="R655" s="124">
        <f>ROUND(IFERROR(VLOOKUP(Q655,'Case Type'!A:H,8,0),0)*O655,2)</f>
        <v>0.07</v>
      </c>
    </row>
    <row r="656" customFormat="1" spans="1:18">
      <c r="A656" s="113">
        <v>46210</v>
      </c>
      <c r="B656" s="91" t="str">
        <f>_xlfn.XLOOKUP(C656,'Product List'!B:B,'Product List'!I:I)</f>
        <v>MINI/MOE TV VIEWING CAGE</v>
      </c>
      <c r="C656" s="131" t="s">
        <v>50</v>
      </c>
      <c r="D656" s="132">
        <v>31577971</v>
      </c>
      <c r="E656" s="132">
        <v>81</v>
      </c>
      <c r="F656" s="132">
        <v>48.49</v>
      </c>
      <c r="G656" s="125">
        <f t="shared" si="18"/>
        <v>3927.69</v>
      </c>
      <c r="H656" s="86" t="s">
        <v>298</v>
      </c>
      <c r="I656" s="86" t="s">
        <v>92</v>
      </c>
      <c r="J656" s="86" t="s">
        <v>327</v>
      </c>
      <c r="K656" s="267">
        <v>46250</v>
      </c>
      <c r="L656" s="126">
        <v>46238</v>
      </c>
      <c r="M656" s="127">
        <f>_xlfn.XLOOKUP(C656,'Product List'!B:B,'Product List'!R:R)</f>
        <v>24.09</v>
      </c>
      <c r="N656" s="124">
        <f t="shared" si="19"/>
        <v>1951.29</v>
      </c>
      <c r="O656" s="124" cm="1">
        <f t="array" ref="O656">E656/_xlfn.XLOOKUP(1,('Case Pack'!$A$4:$A$962=C656)*('Case Pack'!$L$4:$L$962&gt;0)*('Case Pack'!$L$4:$L$962&lt;=A656),'Case Pack'!$D$4:$D$962,"未找到箱规")</f>
        <v>81</v>
      </c>
      <c r="P656" s="124" t="str">
        <f>IF(COUNTIF('PO Check'!A:A,D656)&gt;0,"Yes","No")</f>
        <v>Yes</v>
      </c>
      <c r="Q656" s="124" t="str" cm="1">
        <f t="array" ref="Q656">_xlfn.XLOOKUP(1,('Case Pack'!$A$4:$A$962=C656)*('Case Pack'!$L$4:$L$962&gt;0)*('Case Pack'!$L$4:$L$962&lt;=A656),'Case Pack'!$G$4:$G$962,"未找到箱型")</f>
        <v>S1</v>
      </c>
      <c r="R656" s="124">
        <f>ROUND(IFERROR(VLOOKUP(Q656,'Case Type'!A:H,8,0),0)*O656,2)</f>
        <v>5.99</v>
      </c>
    </row>
    <row r="657" customFormat="1" spans="1:18">
      <c r="A657" s="113">
        <v>46210</v>
      </c>
      <c r="B657" s="91" t="str">
        <f>_xlfn.XLOOKUP(C657,'Product List'!B:B,'Product List'!I:I)</f>
        <v>MMO-STARFISH CASTLE</v>
      </c>
      <c r="C657" s="131" t="s">
        <v>60</v>
      </c>
      <c r="D657" s="132">
        <v>31577971</v>
      </c>
      <c r="E657" s="132">
        <v>20</v>
      </c>
      <c r="F657" s="132">
        <v>5.32</v>
      </c>
      <c r="G657" s="125">
        <f t="shared" si="18"/>
        <v>106.4</v>
      </c>
      <c r="H657" s="86" t="s">
        <v>298</v>
      </c>
      <c r="I657" s="86" t="s">
        <v>92</v>
      </c>
      <c r="J657" s="86" t="s">
        <v>327</v>
      </c>
      <c r="K657" s="267">
        <v>46250</v>
      </c>
      <c r="L657" s="126">
        <v>46238</v>
      </c>
      <c r="M657" s="127">
        <f>_xlfn.XLOOKUP(C657,'Product List'!B:B,'Product List'!R:R)</f>
        <v>2.81</v>
      </c>
      <c r="N657" s="124">
        <f t="shared" si="19"/>
        <v>56.2</v>
      </c>
      <c r="O657" s="124" cm="1">
        <f t="array" ref="O657">E657/_xlfn.XLOOKUP(1,('Case Pack'!$A$4:$A$962=C657)*('Case Pack'!$L$4:$L$962&gt;0)*('Case Pack'!$L$4:$L$962&lt;=A657),'Case Pack'!$D$4:$D$962,"未找到箱规")</f>
        <v>1</v>
      </c>
      <c r="P657" s="124" t="str">
        <f>IF(COUNTIF('PO Check'!A:A,D657)&gt;0,"Yes","No")</f>
        <v>Yes</v>
      </c>
      <c r="Q657" s="124" t="str" cm="1">
        <f t="array" ref="Q657">_xlfn.XLOOKUP(1,('Case Pack'!$A$4:$A$962=C657)*('Case Pack'!$L$4:$L$962&gt;0)*('Case Pack'!$L$4:$L$962&lt;=A657),'Case Pack'!$G$4:$G$962,"未找到箱型")</f>
        <v>C</v>
      </c>
      <c r="R657" s="124">
        <f>ROUND(IFERROR(VLOOKUP(Q657,'Case Type'!A:H,8,0),0)*O657,2)</f>
        <v>0.16</v>
      </c>
    </row>
    <row r="658" customFormat="1" spans="1:18">
      <c r="A658" s="113">
        <v>46210</v>
      </c>
      <c r="B658" s="91" t="str">
        <f>_xlfn.XLOOKUP(C658,'Product List'!B:B,'Product List'!I:I)</f>
        <v>MINI/MOE BENDABLE BIRCHWOOD FENCE</v>
      </c>
      <c r="C658" s="131" t="s">
        <v>62</v>
      </c>
      <c r="D658" s="132">
        <v>31577971</v>
      </c>
      <c r="E658" s="132">
        <v>32</v>
      </c>
      <c r="F658" s="132">
        <v>5.01</v>
      </c>
      <c r="G658" s="125">
        <f t="shared" si="18"/>
        <v>160.32</v>
      </c>
      <c r="H658" s="86" t="s">
        <v>298</v>
      </c>
      <c r="I658" s="86" t="s">
        <v>92</v>
      </c>
      <c r="J658" s="86" t="s">
        <v>327</v>
      </c>
      <c r="K658" s="267">
        <v>46250</v>
      </c>
      <c r="L658" s="126">
        <v>46238</v>
      </c>
      <c r="M658" s="127">
        <f>_xlfn.XLOOKUP(C658,'Product List'!B:B,'Product List'!R:R)</f>
        <v>3.4</v>
      </c>
      <c r="N658" s="124">
        <f t="shared" si="19"/>
        <v>108.8</v>
      </c>
      <c r="O658" s="124" cm="1">
        <f t="array" ref="O658">E658/_xlfn.XLOOKUP(1,('Case Pack'!$A$4:$A$962=C658)*('Case Pack'!$L$4:$L$962&gt;0)*('Case Pack'!$L$4:$L$962&lt;=A658),'Case Pack'!$D$4:$D$962,"未找到箱规")</f>
        <v>1</v>
      </c>
      <c r="P658" s="124" t="str">
        <f>IF(COUNTIF('PO Check'!A:A,D658)&gt;0,"Yes","No")</f>
        <v>Yes</v>
      </c>
      <c r="Q658" s="124" t="str" cm="1">
        <f t="array" ref="Q658">_xlfn.XLOOKUP(1,('Case Pack'!$A$4:$A$962=C658)*('Case Pack'!$L$4:$L$962&gt;0)*('Case Pack'!$L$4:$L$962&lt;=A658),'Case Pack'!$G$4:$G$962,"未找到箱型")</f>
        <v>F</v>
      </c>
      <c r="R658" s="124">
        <f>ROUND(IFERROR(VLOOKUP(Q658,'Case Type'!A:H,8,0),0)*O658,2)</f>
        <v>0.04</v>
      </c>
    </row>
    <row r="659" customFormat="1" spans="1:18">
      <c r="A659" s="113">
        <v>46210</v>
      </c>
      <c r="B659" s="91" t="str">
        <f>_xlfn.XLOOKUP(C659,'Product List'!B:B,'Product List'!I:I)</f>
        <v>D. MMO-COTTAGE VIEW CAGE</v>
      </c>
      <c r="C659" s="131" t="s">
        <v>64</v>
      </c>
      <c r="D659" s="132">
        <v>31577971</v>
      </c>
      <c r="E659" s="132">
        <v>1</v>
      </c>
      <c r="F659" s="132">
        <v>70.28</v>
      </c>
      <c r="G659" s="125">
        <f t="shared" si="18"/>
        <v>70.28</v>
      </c>
      <c r="H659" s="86" t="s">
        <v>298</v>
      </c>
      <c r="I659" s="86" t="s">
        <v>92</v>
      </c>
      <c r="J659" s="86" t="s">
        <v>327</v>
      </c>
      <c r="K659" s="267">
        <v>46250</v>
      </c>
      <c r="L659" s="126">
        <v>46238</v>
      </c>
      <c r="M659" s="127">
        <f>_xlfn.XLOOKUP(C659,'Product List'!B:B,'Product List'!R:R)</f>
        <v>28.56</v>
      </c>
      <c r="N659" s="124">
        <f t="shared" si="19"/>
        <v>28.56</v>
      </c>
      <c r="O659" s="124" cm="1">
        <f t="array" ref="O659">E659/_xlfn.XLOOKUP(1,('Case Pack'!$A$4:$A$962=C659)*('Case Pack'!$L$4:$L$962&gt;0)*('Case Pack'!$L$4:$L$962&lt;=A659),'Case Pack'!$D$4:$D$962,"未找到箱规")</f>
        <v>1</v>
      </c>
      <c r="P659" s="124" t="str">
        <f>IF(COUNTIF('PO Check'!A:A,D659)&gt;0,"Yes","No")</f>
        <v>Yes</v>
      </c>
      <c r="Q659" s="124" t="str" cm="1">
        <f t="array" ref="Q659">_xlfn.XLOOKUP(1,('Case Pack'!$A$4:$A$962=C659)*('Case Pack'!$L$4:$L$962&gt;0)*('Case Pack'!$L$4:$L$962&lt;=A659),'Case Pack'!$G$4:$G$962,"未找到箱型")</f>
        <v>S3</v>
      </c>
      <c r="R659" s="124">
        <f>ROUND(IFERROR(VLOOKUP(Q659,'Case Type'!A:H,8,0),0)*O659,2)</f>
        <v>0.14</v>
      </c>
    </row>
    <row r="660" customFormat="1" spans="1:18">
      <c r="A660" s="113">
        <v>46211</v>
      </c>
      <c r="B660" s="91" t="str">
        <f>_xlfn.XLOOKUP(C660,'Product List'!B:B,'Product List'!I:I)</f>
        <v>MINI/MOE TV VIEWING CAGE</v>
      </c>
      <c r="C660" s="131" t="s">
        <v>50</v>
      </c>
      <c r="D660" s="132">
        <v>31583554</v>
      </c>
      <c r="E660" s="132">
        <v>47</v>
      </c>
      <c r="F660" s="131">
        <v>48.49</v>
      </c>
      <c r="G660" s="125">
        <f t="shared" si="18"/>
        <v>2279.03</v>
      </c>
      <c r="H660" s="86" t="s">
        <v>298</v>
      </c>
      <c r="I660" s="86" t="s">
        <v>92</v>
      </c>
      <c r="J660" s="86" t="s">
        <v>319</v>
      </c>
      <c r="K660" s="267">
        <v>46246</v>
      </c>
      <c r="L660" s="126">
        <v>46240</v>
      </c>
      <c r="M660" s="127">
        <f>_xlfn.XLOOKUP(C660,'Product List'!B:B,'Product List'!R:R)</f>
        <v>24.09</v>
      </c>
      <c r="N660" s="124">
        <f t="shared" si="19"/>
        <v>1132.23</v>
      </c>
      <c r="O660" s="124" cm="1">
        <f t="array" ref="O660">E660/_xlfn.XLOOKUP(1,('Case Pack'!$A$4:$A$962=C660)*('Case Pack'!$L$4:$L$962&gt;0)*('Case Pack'!$L$4:$L$962&lt;=A660),'Case Pack'!$D$4:$D$962,"未找到箱规")</f>
        <v>47</v>
      </c>
      <c r="P660" s="124" t="str">
        <f>IF(COUNTIF('PO Check'!A:A,D660)&gt;0,"Yes","No")</f>
        <v>Yes</v>
      </c>
      <c r="Q660" s="124" t="str" cm="1">
        <f t="array" ref="Q660">_xlfn.XLOOKUP(1,('Case Pack'!$A$4:$A$962=C660)*('Case Pack'!$L$4:$L$962&gt;0)*('Case Pack'!$L$4:$L$962&lt;=A660),'Case Pack'!$G$4:$G$962,"未找到箱型")</f>
        <v>S1</v>
      </c>
      <c r="R660" s="124">
        <f>ROUND(IFERROR(VLOOKUP(Q660,'Case Type'!A:H,8,0),0)*O660,2)</f>
        <v>3.48</v>
      </c>
    </row>
    <row r="661" customFormat="1" spans="1:18">
      <c r="A661" s="113">
        <v>46211</v>
      </c>
      <c r="B661" s="91" t="str">
        <f>_xlfn.XLOOKUP(C661,'Product List'!B:B,'Product List'!I:I)</f>
        <v>MINI/MOE BENDABLE BIRCHWOOD FENCE</v>
      </c>
      <c r="C661" s="131" t="s">
        <v>62</v>
      </c>
      <c r="D661" s="132">
        <v>31583554</v>
      </c>
      <c r="E661" s="132">
        <v>96</v>
      </c>
      <c r="F661" s="131">
        <v>5.01</v>
      </c>
      <c r="G661" s="125">
        <f t="shared" si="18"/>
        <v>480.96</v>
      </c>
      <c r="H661" s="86" t="s">
        <v>298</v>
      </c>
      <c r="I661" s="86" t="s">
        <v>92</v>
      </c>
      <c r="J661" s="86" t="s">
        <v>319</v>
      </c>
      <c r="K661" s="267">
        <v>46246</v>
      </c>
      <c r="L661" s="126">
        <v>46240</v>
      </c>
      <c r="M661" s="127">
        <f>_xlfn.XLOOKUP(C661,'Product List'!B:B,'Product List'!R:R)</f>
        <v>3.4</v>
      </c>
      <c r="N661" s="124">
        <f t="shared" si="19"/>
        <v>326.4</v>
      </c>
      <c r="O661" s="124" cm="1">
        <f t="array" ref="O661">E661/_xlfn.XLOOKUP(1,('Case Pack'!$A$4:$A$962=C661)*('Case Pack'!$L$4:$L$962&gt;0)*('Case Pack'!$L$4:$L$962&lt;=A661),'Case Pack'!$D$4:$D$962,"未找到箱规")</f>
        <v>3</v>
      </c>
      <c r="P661" s="124" t="str">
        <f>IF(COUNTIF('PO Check'!A:A,D661)&gt;0,"Yes","No")</f>
        <v>Yes</v>
      </c>
      <c r="Q661" s="124" t="str" cm="1">
        <f t="array" ref="Q661">_xlfn.XLOOKUP(1,('Case Pack'!$A$4:$A$962=C661)*('Case Pack'!$L$4:$L$962&gt;0)*('Case Pack'!$L$4:$L$962&lt;=A661),'Case Pack'!$G$4:$G$962,"未找到箱型")</f>
        <v>F</v>
      </c>
      <c r="R661" s="124">
        <f>ROUND(IFERROR(VLOOKUP(Q661,'Case Type'!A:H,8,0),0)*O661,2)</f>
        <v>0.11</v>
      </c>
    </row>
    <row r="662" customFormat="1" spans="1:18">
      <c r="A662" s="113">
        <v>46211</v>
      </c>
      <c r="B662" s="91" t="str">
        <f>_xlfn.XLOOKUP(C662,'Product List'!B:B,'Product List'!I:I)</f>
        <v>MINI/MOE RUFFLE BOWL</v>
      </c>
      <c r="C662" s="131" t="s">
        <v>78</v>
      </c>
      <c r="D662" s="132">
        <v>31583554</v>
      </c>
      <c r="E662" s="132">
        <v>48</v>
      </c>
      <c r="F662" s="131">
        <v>2.35</v>
      </c>
      <c r="G662" s="125">
        <f t="shared" si="18"/>
        <v>112.8</v>
      </c>
      <c r="H662" s="86" t="s">
        <v>298</v>
      </c>
      <c r="I662" s="86" t="s">
        <v>92</v>
      </c>
      <c r="J662" s="86" t="s">
        <v>319</v>
      </c>
      <c r="K662" s="267">
        <v>46246</v>
      </c>
      <c r="L662" s="126">
        <v>46240</v>
      </c>
      <c r="M662" s="127">
        <f>_xlfn.XLOOKUP(C662,'Product List'!B:B,'Product List'!R:R)</f>
        <v>1.34</v>
      </c>
      <c r="N662" s="124">
        <f t="shared" si="19"/>
        <v>64.32</v>
      </c>
      <c r="O662" s="124" cm="1">
        <f t="array" ref="O662">E662/_xlfn.XLOOKUP(1,('Case Pack'!$A$4:$A$962=C662)*('Case Pack'!$L$4:$L$962&gt;0)*('Case Pack'!$L$4:$L$962&lt;=A662),'Case Pack'!$D$4:$D$962,"未找到箱规")</f>
        <v>1</v>
      </c>
      <c r="P662" s="124" t="str">
        <f>IF(COUNTIF('PO Check'!A:A,D662)&gt;0,"Yes","No")</f>
        <v>Yes</v>
      </c>
      <c r="Q662" s="124" t="str" cm="1">
        <f t="array" ref="Q662">_xlfn.XLOOKUP(1,('Case Pack'!$A$4:$A$962=C662)*('Case Pack'!$L$4:$L$962&gt;0)*('Case Pack'!$L$4:$L$962&lt;=A662),'Case Pack'!$G$4:$G$962,"未找到箱型")</f>
        <v>B</v>
      </c>
      <c r="R662" s="124">
        <f>ROUND(IFERROR(VLOOKUP(Q662,'Case Type'!A:H,8,0),0)*O662,2)</f>
        <v>0.07</v>
      </c>
    </row>
    <row r="663" customFormat="1" spans="1:18">
      <c r="A663" s="113">
        <v>46211</v>
      </c>
      <c r="B663" s="91" t="str">
        <f>_xlfn.XLOOKUP(C663,'Product List'!B:B,'Product List'!I:I)</f>
        <v>MMO-PAPER PEBBLES</v>
      </c>
      <c r="C663" s="131" t="s">
        <v>81</v>
      </c>
      <c r="D663" s="132">
        <v>31583554</v>
      </c>
      <c r="E663" s="132">
        <v>24</v>
      </c>
      <c r="F663" s="131">
        <v>5.81</v>
      </c>
      <c r="G663" s="125">
        <f t="shared" si="18"/>
        <v>139.44</v>
      </c>
      <c r="H663" s="86" t="s">
        <v>298</v>
      </c>
      <c r="I663" s="86" t="s">
        <v>92</v>
      </c>
      <c r="J663" s="86" t="s">
        <v>319</v>
      </c>
      <c r="K663" s="267">
        <v>46246</v>
      </c>
      <c r="L663" s="126">
        <v>46240</v>
      </c>
      <c r="M663" s="127">
        <f>_xlfn.XLOOKUP(C663,'Product List'!B:B,'Product List'!R:R)</f>
        <v>2.84</v>
      </c>
      <c r="N663" s="124">
        <f t="shared" si="19"/>
        <v>68.16</v>
      </c>
      <c r="O663" s="124" cm="1">
        <f t="array" ref="O663">E663/_xlfn.XLOOKUP(1,('Case Pack'!$A$4:$A$962=C663)*('Case Pack'!$L$4:$L$962&gt;0)*('Case Pack'!$L$4:$L$962&lt;=A663),'Case Pack'!$D$4:$D$962,"未找到箱规")</f>
        <v>2</v>
      </c>
      <c r="P663" s="124" t="str">
        <f>IF(COUNTIF('PO Check'!A:A,D663)&gt;0,"Yes","No")</f>
        <v>Yes</v>
      </c>
      <c r="Q663" s="124" t="str" cm="1">
        <f t="array" ref="Q663">_xlfn.XLOOKUP(1,('Case Pack'!$A$4:$A$962=C663)*('Case Pack'!$L$4:$L$962&gt;0)*('Case Pack'!$L$4:$L$962&lt;=A663),'Case Pack'!$G$4:$G$962,"未找到箱型")</f>
        <v>B</v>
      </c>
      <c r="R663" s="124">
        <f>ROUND(IFERROR(VLOOKUP(Q663,'Case Type'!A:H,8,0),0)*O663,2)</f>
        <v>0.15</v>
      </c>
    </row>
    <row r="664" customFormat="1" spans="1:18">
      <c r="A664" s="113">
        <v>46219</v>
      </c>
      <c r="B664" s="91" t="str">
        <f>_xlfn.XLOOKUP(C664,'Product List'!B:B,'Product List'!I:I)</f>
        <v>MINI &amp; MOE MAG CONECT WTR BTL 4 OZ</v>
      </c>
      <c r="C664" s="94" t="s">
        <v>37</v>
      </c>
      <c r="D664" s="132">
        <v>454348660</v>
      </c>
      <c r="E664" s="132">
        <v>756</v>
      </c>
      <c r="F664" s="132">
        <v>2.66</v>
      </c>
      <c r="G664" s="125">
        <f t="shared" si="18"/>
        <v>2010.96</v>
      </c>
      <c r="H664" s="86" t="s">
        <v>328</v>
      </c>
      <c r="I664" s="86" t="s">
        <v>92</v>
      </c>
      <c r="J664" s="86" t="s">
        <v>349</v>
      </c>
      <c r="K664" s="267">
        <v>46236</v>
      </c>
      <c r="L664" s="267">
        <v>46239</v>
      </c>
      <c r="M664" s="127">
        <f>_xlfn.XLOOKUP(C664,'Product List'!B:B,'Product List'!R:R)</f>
        <v>1.89</v>
      </c>
      <c r="N664" s="124">
        <f t="shared" si="19"/>
        <v>1428.84</v>
      </c>
      <c r="O664" s="124" cm="1">
        <f t="array" ref="O664">E664/_xlfn.XLOOKUP(1,('Case Pack'!$A$4:$A$962=C664)*('Case Pack'!$L$4:$L$962&gt;0)*('Case Pack'!$L$4:$L$962&lt;=A664),'Case Pack'!$D$4:$D$962,"未找到箱规")</f>
        <v>14</v>
      </c>
      <c r="P664" s="124" t="str">
        <f>IF(COUNTIF('PO Check'!A:A,D664)&gt;0,"Yes","No")</f>
        <v>Yes</v>
      </c>
      <c r="Q664" s="124" t="str" cm="1">
        <f t="array" ref="Q664">_xlfn.XLOOKUP(1,('Case Pack'!$A$4:$A$962=C664)*('Case Pack'!$L$4:$L$962&gt;0)*('Case Pack'!$L$4:$L$962&lt;=A664),'Case Pack'!$G$4:$G$962,"未找到箱型")</f>
        <v>A</v>
      </c>
      <c r="R664" s="124">
        <f>ROUND(IFERROR(VLOOKUP(Q664,'Case Type'!A:H,8,0),0)*O664,2)</f>
        <v>1.54</v>
      </c>
    </row>
    <row r="665" customFormat="1" spans="1:18">
      <c r="A665" s="113">
        <v>46219</v>
      </c>
      <c r="B665" s="91" t="str">
        <f>_xlfn.XLOOKUP(C665,'Product List'!B:B,'Product List'!I:I)</f>
        <v>MINI &amp; MOE WOODEN BRIDGE</v>
      </c>
      <c r="C665" s="94" t="s">
        <v>44</v>
      </c>
      <c r="D665" s="132">
        <v>454348660</v>
      </c>
      <c r="E665" s="132">
        <v>864</v>
      </c>
      <c r="F665" s="132">
        <v>3.01</v>
      </c>
      <c r="G665" s="125">
        <f t="shared" si="18"/>
        <v>2600.64</v>
      </c>
      <c r="H665" s="86" t="s">
        <v>328</v>
      </c>
      <c r="I665" s="86" t="s">
        <v>92</v>
      </c>
      <c r="J665" s="86" t="s">
        <v>349</v>
      </c>
      <c r="K665" s="267">
        <v>46236</v>
      </c>
      <c r="L665" s="267">
        <v>46239</v>
      </c>
      <c r="M665" s="127">
        <f>_xlfn.XLOOKUP(C665,'Product List'!B:B,'Product List'!R:R)</f>
        <v>1.83</v>
      </c>
      <c r="N665" s="124">
        <f t="shared" si="19"/>
        <v>1581.12</v>
      </c>
      <c r="O665" s="124" cm="1">
        <f t="array" ref="O665">E665/_xlfn.XLOOKUP(1,('Case Pack'!$A$4:$A$962=C665)*('Case Pack'!$L$4:$L$962&gt;0)*('Case Pack'!$L$4:$L$962&lt;=A665),'Case Pack'!$D$4:$D$962,"未找到箱规")</f>
        <v>18</v>
      </c>
      <c r="P665" s="124" t="str">
        <f>IF(COUNTIF('PO Check'!A:A,D665)&gt;0,"Yes","No")</f>
        <v>Yes</v>
      </c>
      <c r="Q665" s="124" t="str" cm="1">
        <f t="array" ref="Q665">_xlfn.XLOOKUP(1,('Case Pack'!$A$4:$A$962=C665)*('Case Pack'!$L$4:$L$962&gt;0)*('Case Pack'!$L$4:$L$962&lt;=A665),'Case Pack'!$G$4:$G$962,"未找到箱型")</f>
        <v>A</v>
      </c>
      <c r="R665" s="124">
        <f>ROUND(IFERROR(VLOOKUP(Q665,'Case Type'!A:H,8,0),0)*O665,2)</f>
        <v>1.98</v>
      </c>
    </row>
    <row r="666" customFormat="1" spans="1:18">
      <c r="A666" s="113">
        <v>46219</v>
      </c>
      <c r="B666" s="91" t="str">
        <f>_xlfn.XLOOKUP(C666,'Product List'!B:B,'Product List'!I:I)</f>
        <v>MINI &amp; MOE GARDEN DECOR CHEW</v>
      </c>
      <c r="C666" s="94" t="s">
        <v>45</v>
      </c>
      <c r="D666" s="132">
        <v>454348660</v>
      </c>
      <c r="E666" s="132">
        <v>810</v>
      </c>
      <c r="F666" s="132">
        <v>3.23</v>
      </c>
      <c r="G666" s="125">
        <f t="shared" si="18"/>
        <v>2616.3</v>
      </c>
      <c r="H666" s="86" t="s">
        <v>328</v>
      </c>
      <c r="I666" s="86" t="s">
        <v>92</v>
      </c>
      <c r="J666" s="86" t="s">
        <v>349</v>
      </c>
      <c r="K666" s="267">
        <v>46236</v>
      </c>
      <c r="L666" s="267">
        <v>46239</v>
      </c>
      <c r="M666" s="127">
        <f>_xlfn.XLOOKUP(C666,'Product List'!B:B,'Product List'!R:R)</f>
        <v>2.35</v>
      </c>
      <c r="N666" s="124">
        <f t="shared" si="19"/>
        <v>1903.5</v>
      </c>
      <c r="O666" s="124" cm="1">
        <f t="array" ref="O666">E666/_xlfn.XLOOKUP(1,('Case Pack'!$A$4:$A$962=C666)*('Case Pack'!$L$4:$L$962&gt;0)*('Case Pack'!$L$4:$L$962&lt;=A666),'Case Pack'!$D$4:$D$962,"未找到箱规")</f>
        <v>18</v>
      </c>
      <c r="P666" s="124" t="str">
        <f>IF(COUNTIF('PO Check'!A:A,D666)&gt;0,"Yes","No")</f>
        <v>Yes</v>
      </c>
      <c r="Q666" s="124" t="str" cm="1">
        <f t="array" ref="Q666">_xlfn.XLOOKUP(1,('Case Pack'!$A$4:$A$962=C666)*('Case Pack'!$L$4:$L$962&gt;0)*('Case Pack'!$L$4:$L$962&lt;=A666),'Case Pack'!$G$4:$G$962,"未找到箱型")</f>
        <v>B</v>
      </c>
      <c r="R666" s="124">
        <f>ROUND(IFERROR(VLOOKUP(Q666,'Case Type'!A:H,8,0),0)*O666,2)</f>
        <v>1.32</v>
      </c>
    </row>
    <row r="667" customFormat="1" spans="1:18">
      <c r="A667" s="113">
        <v>46219</v>
      </c>
      <c r="B667" s="91" t="str">
        <f>_xlfn.XLOOKUP(C667,'Product List'!B:B,'Product List'!I:I)</f>
        <v>MINI &amp; MOE TREE DECOR CHEW</v>
      </c>
      <c r="C667" s="94" t="s">
        <v>47</v>
      </c>
      <c r="D667" s="132">
        <v>454348660</v>
      </c>
      <c r="E667" s="132">
        <v>784</v>
      </c>
      <c r="F667" s="132">
        <v>3.53</v>
      </c>
      <c r="G667" s="125">
        <f t="shared" si="18"/>
        <v>2767.52</v>
      </c>
      <c r="H667" s="86" t="s">
        <v>328</v>
      </c>
      <c r="I667" s="86" t="s">
        <v>92</v>
      </c>
      <c r="J667" s="86" t="s">
        <v>349</v>
      </c>
      <c r="K667" s="267">
        <v>46236</v>
      </c>
      <c r="L667" s="267">
        <v>46239</v>
      </c>
      <c r="M667" s="127">
        <f>_xlfn.XLOOKUP(C667,'Product List'!B:B,'Product List'!R:R)</f>
        <v>3.1</v>
      </c>
      <c r="N667" s="124">
        <f t="shared" si="19"/>
        <v>2430.4</v>
      </c>
      <c r="O667" s="124" cm="1">
        <f t="array" ref="O667">E667/_xlfn.XLOOKUP(1,('Case Pack'!$A$4:$A$962=C667)*('Case Pack'!$L$4:$L$962&gt;0)*('Case Pack'!$L$4:$L$962&lt;=A667),'Case Pack'!$D$4:$D$962,"未找到箱规")</f>
        <v>28</v>
      </c>
      <c r="P667" s="124" t="str">
        <f>IF(COUNTIF('PO Check'!A:A,D667)&gt;0,"Yes","No")</f>
        <v>Yes</v>
      </c>
      <c r="Q667" s="124" t="str" cm="1">
        <f t="array" ref="Q667">_xlfn.XLOOKUP(1,('Case Pack'!$A$4:$A$962=C667)*('Case Pack'!$L$4:$L$962&gt;0)*('Case Pack'!$L$4:$L$962&lt;=A667),'Case Pack'!$G$4:$G$962,"未找到箱型")</f>
        <v>B</v>
      </c>
      <c r="R667" s="124">
        <f>ROUND(IFERROR(VLOOKUP(Q667,'Case Type'!A:H,8,0),0)*O667,2)</f>
        <v>2.06</v>
      </c>
    </row>
    <row r="668" customFormat="1" spans="1:18">
      <c r="A668" s="113">
        <v>46219</v>
      </c>
      <c r="B668" s="91" t="str">
        <f>_xlfn.XLOOKUP(C668,'Product List'!B:B,'Product List'!I:I)</f>
        <v>MINI/MOE TV VIEWING CAGE</v>
      </c>
      <c r="C668" s="94" t="s">
        <v>50</v>
      </c>
      <c r="D668" s="132">
        <v>454348660</v>
      </c>
      <c r="E668" s="132">
        <v>94</v>
      </c>
      <c r="F668" s="132">
        <v>45.87</v>
      </c>
      <c r="G668" s="125">
        <f t="shared" si="18"/>
        <v>4311.78</v>
      </c>
      <c r="H668" s="86" t="s">
        <v>328</v>
      </c>
      <c r="I668" s="86" t="s">
        <v>92</v>
      </c>
      <c r="J668" s="86" t="s">
        <v>349</v>
      </c>
      <c r="K668" s="267">
        <v>46236</v>
      </c>
      <c r="L668" s="267">
        <v>46239</v>
      </c>
      <c r="M668" s="127">
        <f>_xlfn.XLOOKUP(C668,'Product List'!B:B,'Product List'!R:R)</f>
        <v>24.09</v>
      </c>
      <c r="N668" s="124">
        <f t="shared" si="19"/>
        <v>2264.46</v>
      </c>
      <c r="O668" s="124" cm="1">
        <f t="array" ref="O668">E668/_xlfn.XLOOKUP(1,('Case Pack'!$A$4:$A$962=C668)*('Case Pack'!$L$4:$L$962&gt;0)*('Case Pack'!$L$4:$L$962&lt;=A668),'Case Pack'!$D$4:$D$962,"未找到箱规")</f>
        <v>94</v>
      </c>
      <c r="P668" s="124" t="str">
        <f>IF(COUNTIF('PO Check'!A:A,D668)&gt;0,"Yes","No")</f>
        <v>Yes</v>
      </c>
      <c r="Q668" s="124" t="str" cm="1">
        <f t="array" ref="Q668">_xlfn.XLOOKUP(1,('Case Pack'!$A$4:$A$962=C668)*('Case Pack'!$L$4:$L$962&gt;0)*('Case Pack'!$L$4:$L$962&lt;=A668),'Case Pack'!$G$4:$G$962,"未找到箱型")</f>
        <v>S1</v>
      </c>
      <c r="R668" s="124">
        <f>ROUND(IFERROR(VLOOKUP(Q668,'Case Type'!A:H,8,0),0)*O668,2)</f>
        <v>6.96</v>
      </c>
    </row>
    <row r="669" customFormat="1" spans="1:18">
      <c r="A669" s="113">
        <v>46219</v>
      </c>
      <c r="B669" s="91" t="str">
        <f>_xlfn.XLOOKUP(C669,'Product List'!B:B,'Product List'!I:I)</f>
        <v>MINI &amp; MOE COTTAGE HIDE</v>
      </c>
      <c r="C669" s="94" t="s">
        <v>53</v>
      </c>
      <c r="D669" s="132">
        <v>454348660</v>
      </c>
      <c r="E669" s="132">
        <v>672</v>
      </c>
      <c r="F669" s="132">
        <v>6.28</v>
      </c>
      <c r="G669" s="125">
        <f t="shared" si="18"/>
        <v>4220.16</v>
      </c>
      <c r="H669" s="86" t="s">
        <v>328</v>
      </c>
      <c r="I669" s="86" t="s">
        <v>92</v>
      </c>
      <c r="J669" s="86" t="s">
        <v>349</v>
      </c>
      <c r="K669" s="267">
        <v>46236</v>
      </c>
      <c r="L669" s="267">
        <v>46239</v>
      </c>
      <c r="M669" s="127">
        <f>_xlfn.XLOOKUP(C669,'Product List'!B:B,'Product List'!R:R)</f>
        <v>3.61</v>
      </c>
      <c r="N669" s="124">
        <f t="shared" si="19"/>
        <v>2425.92</v>
      </c>
      <c r="O669" s="124" cm="1">
        <f t="array" ref="O669">E669/_xlfn.XLOOKUP(1,('Case Pack'!$A$4:$A$962=C669)*('Case Pack'!$L$4:$L$962&gt;0)*('Case Pack'!$L$4:$L$962&lt;=A669),'Case Pack'!$D$4:$D$962,"未找到箱规")</f>
        <v>28</v>
      </c>
      <c r="P669" s="124" t="str">
        <f>IF(COUNTIF('PO Check'!A:A,D669)&gt;0,"Yes","No")</f>
        <v>Yes</v>
      </c>
      <c r="Q669" s="124" t="str" cm="1">
        <f t="array" ref="Q669">_xlfn.XLOOKUP(1,('Case Pack'!$A$4:$A$962=C669)*('Case Pack'!$L$4:$L$962&gt;0)*('Case Pack'!$L$4:$L$962&lt;=A669),'Case Pack'!$G$4:$G$962,"未找到箱型")</f>
        <v>C</v>
      </c>
      <c r="R669" s="124">
        <f>ROUND(IFERROR(VLOOKUP(Q669,'Case Type'!A:H,8,0),0)*O669,2)</f>
        <v>4.4</v>
      </c>
    </row>
    <row r="670" customFormat="1" spans="1:18">
      <c r="A670" s="113">
        <v>46219</v>
      </c>
      <c r="B670" s="91" t="str">
        <f>_xlfn.XLOOKUP(C670,'Product List'!B:B,'Product List'!I:I)</f>
        <v>MINI/MOE CAMPING TENT HIDE</v>
      </c>
      <c r="C670" s="94" t="s">
        <v>73</v>
      </c>
      <c r="D670" s="132">
        <v>454348660</v>
      </c>
      <c r="E670" s="132">
        <v>720</v>
      </c>
      <c r="F670" s="132">
        <v>3.35</v>
      </c>
      <c r="G670" s="125">
        <f t="shared" si="18"/>
        <v>2412</v>
      </c>
      <c r="H670" s="86" t="s">
        <v>328</v>
      </c>
      <c r="I670" s="86" t="s">
        <v>92</v>
      </c>
      <c r="J670" s="86" t="s">
        <v>349</v>
      </c>
      <c r="K670" s="267">
        <v>46236</v>
      </c>
      <c r="L670" s="267">
        <v>46239</v>
      </c>
      <c r="M670" s="127">
        <f>_xlfn.XLOOKUP(C670,'Product List'!B:B,'Product List'!R:R)</f>
        <v>1.96</v>
      </c>
      <c r="N670" s="124">
        <f t="shared" si="19"/>
        <v>1411.2</v>
      </c>
      <c r="O670" s="124" cm="1">
        <f t="array" ref="O670">E670/_xlfn.XLOOKUP(1,('Case Pack'!$A$4:$A$962=C670)*('Case Pack'!$L$4:$L$962&gt;0)*('Case Pack'!$L$4:$L$962&lt;=A670),'Case Pack'!$D$4:$D$962,"未找到箱规")</f>
        <v>60</v>
      </c>
      <c r="P670" s="124" t="str">
        <f>IF(COUNTIF('PO Check'!A:A,D670)&gt;0,"Yes","No")</f>
        <v>Yes</v>
      </c>
      <c r="Q670" s="124" t="str" cm="1">
        <f t="array" ref="Q670">_xlfn.XLOOKUP(1,('Case Pack'!$A$4:$A$962=C670)*('Case Pack'!$L$4:$L$962&gt;0)*('Case Pack'!$L$4:$L$962&lt;=A670),'Case Pack'!$G$4:$G$962,"未找到箱型")</f>
        <v>B</v>
      </c>
      <c r="R670" s="124">
        <f>ROUND(IFERROR(VLOOKUP(Q670,'Case Type'!A:H,8,0),0)*O670,2)</f>
        <v>4.4</v>
      </c>
    </row>
    <row r="671" customFormat="1" spans="1:18">
      <c r="A671" s="113">
        <v>46219</v>
      </c>
      <c r="B671" s="91" t="str">
        <f>_xlfn.XLOOKUP(C671,'Product List'!B:B,'Product List'!I:I)</f>
        <v>MINI &amp; MOE MAG CONECT WTR BTL 4 OZ</v>
      </c>
      <c r="C671" s="94" t="s">
        <v>37</v>
      </c>
      <c r="D671" s="132">
        <v>454348661</v>
      </c>
      <c r="E671" s="132">
        <v>540</v>
      </c>
      <c r="F671" s="132">
        <v>2.66</v>
      </c>
      <c r="G671" s="125">
        <f t="shared" si="18"/>
        <v>1436.4</v>
      </c>
      <c r="H671" s="86" t="s">
        <v>328</v>
      </c>
      <c r="I671" s="86" t="s">
        <v>92</v>
      </c>
      <c r="J671" s="86" t="s">
        <v>350</v>
      </c>
      <c r="K671" s="267">
        <v>46236</v>
      </c>
      <c r="L671" s="267">
        <v>46239</v>
      </c>
      <c r="M671" s="127">
        <f>_xlfn.XLOOKUP(C671,'Product List'!B:B,'Product List'!R:R)</f>
        <v>1.89</v>
      </c>
      <c r="N671" s="124">
        <f t="shared" si="19"/>
        <v>1020.6</v>
      </c>
      <c r="O671" s="124" cm="1">
        <f t="array" ref="O671">E671/_xlfn.XLOOKUP(1,('Case Pack'!$A$4:$A$962=C671)*('Case Pack'!$L$4:$L$962&gt;0)*('Case Pack'!$L$4:$L$962&lt;=A671),'Case Pack'!$D$4:$D$962,"未找到箱规")</f>
        <v>10</v>
      </c>
      <c r="P671" s="124" t="str">
        <f>IF(COUNTIF('PO Check'!A:A,D671)&gt;0,"Yes","No")</f>
        <v>Yes</v>
      </c>
      <c r="Q671" s="124" t="str" cm="1">
        <f t="array" ref="Q671">_xlfn.XLOOKUP(1,('Case Pack'!$A$4:$A$962=C671)*('Case Pack'!$L$4:$L$962&gt;0)*('Case Pack'!$L$4:$L$962&lt;=A671),'Case Pack'!$G$4:$G$962,"未找到箱型")</f>
        <v>A</v>
      </c>
      <c r="R671" s="124">
        <f>ROUND(IFERROR(VLOOKUP(Q671,'Case Type'!A:H,8,0),0)*O671,2)</f>
        <v>1.1</v>
      </c>
    </row>
    <row r="672" customFormat="1" spans="1:18">
      <c r="A672" s="113">
        <v>46219</v>
      </c>
      <c r="B672" s="91" t="str">
        <f>_xlfn.XLOOKUP(C672,'Product List'!B:B,'Product List'!I:I)</f>
        <v>MINI &amp; MOE WOODEN BRIDGE</v>
      </c>
      <c r="C672" s="94" t="s">
        <v>44</v>
      </c>
      <c r="D672" s="132">
        <v>454348661</v>
      </c>
      <c r="E672" s="132">
        <v>720</v>
      </c>
      <c r="F672" s="132">
        <v>3.01</v>
      </c>
      <c r="G672" s="125">
        <f t="shared" si="18"/>
        <v>2167.2</v>
      </c>
      <c r="H672" s="86" t="s">
        <v>328</v>
      </c>
      <c r="I672" s="86" t="s">
        <v>92</v>
      </c>
      <c r="J672" s="86" t="s">
        <v>350</v>
      </c>
      <c r="K672" s="267">
        <v>46236</v>
      </c>
      <c r="L672" s="267">
        <v>46239</v>
      </c>
      <c r="M672" s="127">
        <f>_xlfn.XLOOKUP(C672,'Product List'!B:B,'Product List'!R:R)</f>
        <v>1.83</v>
      </c>
      <c r="N672" s="124">
        <f t="shared" si="19"/>
        <v>1317.6</v>
      </c>
      <c r="O672" s="124" cm="1">
        <f t="array" ref="O672">E672/_xlfn.XLOOKUP(1,('Case Pack'!$A$4:$A$962=C672)*('Case Pack'!$L$4:$L$962&gt;0)*('Case Pack'!$L$4:$L$962&lt;=A672),'Case Pack'!$D$4:$D$962,"未找到箱规")</f>
        <v>15</v>
      </c>
      <c r="P672" s="124" t="str">
        <f>IF(COUNTIF('PO Check'!A:A,D672)&gt;0,"Yes","No")</f>
        <v>Yes</v>
      </c>
      <c r="Q672" s="124" t="str" cm="1">
        <f t="array" ref="Q672">_xlfn.XLOOKUP(1,('Case Pack'!$A$4:$A$962=C672)*('Case Pack'!$L$4:$L$962&gt;0)*('Case Pack'!$L$4:$L$962&lt;=A672),'Case Pack'!$G$4:$G$962,"未找到箱型")</f>
        <v>A</v>
      </c>
      <c r="R672" s="124">
        <f>ROUND(IFERROR(VLOOKUP(Q672,'Case Type'!A:H,8,0),0)*O672,2)</f>
        <v>1.65</v>
      </c>
    </row>
    <row r="673" customFormat="1" spans="1:18">
      <c r="A673" s="113">
        <v>46219</v>
      </c>
      <c r="B673" s="91" t="str">
        <f>_xlfn.XLOOKUP(C673,'Product List'!B:B,'Product List'!I:I)</f>
        <v>MINI &amp; MOE GARDEN DECOR CHEW</v>
      </c>
      <c r="C673" s="94" t="s">
        <v>45</v>
      </c>
      <c r="D673" s="132">
        <v>454348661</v>
      </c>
      <c r="E673" s="132">
        <v>585</v>
      </c>
      <c r="F673" s="132">
        <v>3.23</v>
      </c>
      <c r="G673" s="125">
        <f t="shared" si="18"/>
        <v>1889.55</v>
      </c>
      <c r="H673" s="86" t="s">
        <v>328</v>
      </c>
      <c r="I673" s="86" t="s">
        <v>92</v>
      </c>
      <c r="J673" s="86" t="s">
        <v>350</v>
      </c>
      <c r="K673" s="267">
        <v>46236</v>
      </c>
      <c r="L673" s="267">
        <v>46239</v>
      </c>
      <c r="M673" s="127">
        <f>_xlfn.XLOOKUP(C673,'Product List'!B:B,'Product List'!R:R)</f>
        <v>2.35</v>
      </c>
      <c r="N673" s="124">
        <f t="shared" si="19"/>
        <v>1374.75</v>
      </c>
      <c r="O673" s="124" cm="1">
        <f t="array" ref="O673">E673/_xlfn.XLOOKUP(1,('Case Pack'!$A$4:$A$962=C673)*('Case Pack'!$L$4:$L$962&gt;0)*('Case Pack'!$L$4:$L$962&lt;=A673),'Case Pack'!$D$4:$D$962,"未找到箱规")</f>
        <v>13</v>
      </c>
      <c r="P673" s="124" t="str">
        <f>IF(COUNTIF('PO Check'!A:A,D673)&gt;0,"Yes","No")</f>
        <v>Yes</v>
      </c>
      <c r="Q673" s="124" t="str" cm="1">
        <f t="array" ref="Q673">_xlfn.XLOOKUP(1,('Case Pack'!$A$4:$A$962=C673)*('Case Pack'!$L$4:$L$962&gt;0)*('Case Pack'!$L$4:$L$962&lt;=A673),'Case Pack'!$G$4:$G$962,"未找到箱型")</f>
        <v>B</v>
      </c>
      <c r="R673" s="124">
        <f>ROUND(IFERROR(VLOOKUP(Q673,'Case Type'!A:H,8,0),0)*O673,2)</f>
        <v>0.95</v>
      </c>
    </row>
    <row r="674" customFormat="1" spans="1:18">
      <c r="A674" s="113">
        <v>46219</v>
      </c>
      <c r="B674" s="91" t="str">
        <f>_xlfn.XLOOKUP(C674,'Product List'!B:B,'Product List'!I:I)</f>
        <v>MINI &amp; MOE TREE DECOR CHEW</v>
      </c>
      <c r="C674" s="94" t="s">
        <v>47</v>
      </c>
      <c r="D674" s="132">
        <v>454348661</v>
      </c>
      <c r="E674" s="132">
        <v>588</v>
      </c>
      <c r="F674" s="132">
        <v>3.53</v>
      </c>
      <c r="G674" s="125">
        <f t="shared" ref="G674:G737" si="20">E674*F674</f>
        <v>2075.64</v>
      </c>
      <c r="H674" s="86" t="s">
        <v>328</v>
      </c>
      <c r="I674" s="86" t="s">
        <v>92</v>
      </c>
      <c r="J674" s="86" t="s">
        <v>350</v>
      </c>
      <c r="K674" s="267">
        <v>46236</v>
      </c>
      <c r="L674" s="267">
        <v>46239</v>
      </c>
      <c r="M674" s="127">
        <f>_xlfn.XLOOKUP(C674,'Product List'!B:B,'Product List'!R:R)</f>
        <v>3.1</v>
      </c>
      <c r="N674" s="124">
        <f t="shared" ref="N674:N737" si="21">M674*E674</f>
        <v>1822.8</v>
      </c>
      <c r="O674" s="124" cm="1">
        <f t="array" ref="O674">E674/_xlfn.XLOOKUP(1,('Case Pack'!$A$4:$A$962=C674)*('Case Pack'!$L$4:$L$962&gt;0)*('Case Pack'!$L$4:$L$962&lt;=A674),'Case Pack'!$D$4:$D$962,"未找到箱规")</f>
        <v>21</v>
      </c>
      <c r="P674" s="124" t="str">
        <f>IF(COUNTIF('PO Check'!A:A,D674)&gt;0,"Yes","No")</f>
        <v>Yes</v>
      </c>
      <c r="Q674" s="124" t="str" cm="1">
        <f t="array" ref="Q674">_xlfn.XLOOKUP(1,('Case Pack'!$A$4:$A$962=C674)*('Case Pack'!$L$4:$L$962&gt;0)*('Case Pack'!$L$4:$L$962&lt;=A674),'Case Pack'!$G$4:$G$962,"未找到箱型")</f>
        <v>B</v>
      </c>
      <c r="R674" s="124">
        <f>ROUND(IFERROR(VLOOKUP(Q674,'Case Type'!A:H,8,0),0)*O674,2)</f>
        <v>1.54</v>
      </c>
    </row>
    <row r="675" customFormat="1" spans="1:18">
      <c r="A675" s="113">
        <v>46219</v>
      </c>
      <c r="B675" s="91" t="str">
        <f>_xlfn.XLOOKUP(C675,'Product List'!B:B,'Product List'!I:I)</f>
        <v>MINI &amp; MOE COTTAGE HIDE</v>
      </c>
      <c r="C675" s="94" t="s">
        <v>53</v>
      </c>
      <c r="D675" s="132">
        <v>454348661</v>
      </c>
      <c r="E675" s="132">
        <v>576</v>
      </c>
      <c r="F675" s="132">
        <v>6.28</v>
      </c>
      <c r="G675" s="125">
        <f t="shared" si="20"/>
        <v>3617.28</v>
      </c>
      <c r="H675" s="86" t="s">
        <v>328</v>
      </c>
      <c r="I675" s="86" t="s">
        <v>92</v>
      </c>
      <c r="J675" s="86" t="s">
        <v>350</v>
      </c>
      <c r="K675" s="267">
        <v>46236</v>
      </c>
      <c r="L675" s="267">
        <v>46239</v>
      </c>
      <c r="M675" s="127">
        <f>_xlfn.XLOOKUP(C675,'Product List'!B:B,'Product List'!R:R)</f>
        <v>3.61</v>
      </c>
      <c r="N675" s="124">
        <f t="shared" si="21"/>
        <v>2079.36</v>
      </c>
      <c r="O675" s="124" cm="1">
        <f t="array" ref="O675">E675/_xlfn.XLOOKUP(1,('Case Pack'!$A$4:$A$962=C675)*('Case Pack'!$L$4:$L$962&gt;0)*('Case Pack'!$L$4:$L$962&lt;=A675),'Case Pack'!$D$4:$D$962,"未找到箱规")</f>
        <v>24</v>
      </c>
      <c r="P675" s="124" t="str">
        <f>IF(COUNTIF('PO Check'!A:A,D675)&gt;0,"Yes","No")</f>
        <v>Yes</v>
      </c>
      <c r="Q675" s="124" t="str" cm="1">
        <f t="array" ref="Q675">_xlfn.XLOOKUP(1,('Case Pack'!$A$4:$A$962=C675)*('Case Pack'!$L$4:$L$962&gt;0)*('Case Pack'!$L$4:$L$962&lt;=A675),'Case Pack'!$G$4:$G$962,"未找到箱型")</f>
        <v>C</v>
      </c>
      <c r="R675" s="124">
        <f>ROUND(IFERROR(VLOOKUP(Q675,'Case Type'!A:H,8,0),0)*O675,2)</f>
        <v>3.78</v>
      </c>
    </row>
    <row r="676" customFormat="1" spans="1:18">
      <c r="A676" s="113">
        <v>46219</v>
      </c>
      <c r="B676" s="91" t="str">
        <f>_xlfn.XLOOKUP(C676,'Product List'!B:B,'Product List'!I:I)</f>
        <v>MINI/MOE CAMPING TENT HIDE</v>
      </c>
      <c r="C676" s="94" t="s">
        <v>73</v>
      </c>
      <c r="D676" s="132">
        <v>454348661</v>
      </c>
      <c r="E676" s="132">
        <v>576</v>
      </c>
      <c r="F676" s="132">
        <v>3.35</v>
      </c>
      <c r="G676" s="125">
        <f t="shared" si="20"/>
        <v>1929.6</v>
      </c>
      <c r="H676" s="86" t="s">
        <v>328</v>
      </c>
      <c r="I676" s="86" t="s">
        <v>92</v>
      </c>
      <c r="J676" s="86" t="s">
        <v>350</v>
      </c>
      <c r="K676" s="267">
        <v>46236</v>
      </c>
      <c r="L676" s="267">
        <v>46239</v>
      </c>
      <c r="M676" s="127">
        <f>_xlfn.XLOOKUP(C676,'Product List'!B:B,'Product List'!R:R)</f>
        <v>1.96</v>
      </c>
      <c r="N676" s="124">
        <f t="shared" si="21"/>
        <v>1128.96</v>
      </c>
      <c r="O676" s="124" cm="1">
        <f t="array" ref="O676">E676/_xlfn.XLOOKUP(1,('Case Pack'!$A$4:$A$962=C676)*('Case Pack'!$L$4:$L$962&gt;0)*('Case Pack'!$L$4:$L$962&lt;=A676),'Case Pack'!$D$4:$D$962,"未找到箱规")</f>
        <v>48</v>
      </c>
      <c r="P676" s="124" t="str">
        <f>IF(COUNTIF('PO Check'!A:A,D676)&gt;0,"Yes","No")</f>
        <v>Yes</v>
      </c>
      <c r="Q676" s="124" t="str" cm="1">
        <f t="array" ref="Q676">_xlfn.XLOOKUP(1,('Case Pack'!$A$4:$A$962=C676)*('Case Pack'!$L$4:$L$962&gt;0)*('Case Pack'!$L$4:$L$962&lt;=A676),'Case Pack'!$G$4:$G$962,"未找到箱型")</f>
        <v>B</v>
      </c>
      <c r="R676" s="124">
        <f>ROUND(IFERROR(VLOOKUP(Q676,'Case Type'!A:H,8,0),0)*O676,2)</f>
        <v>3.52</v>
      </c>
    </row>
    <row r="677" customFormat="1" spans="1:18">
      <c r="A677" s="113">
        <v>46219</v>
      </c>
      <c r="B677" s="91" t="str">
        <f>_xlfn.XLOOKUP(C677,'Product List'!B:B,'Product List'!I:I)</f>
        <v>MINI &amp; MOE MAG CONECT WTR BTL 4 OZ</v>
      </c>
      <c r="C677" s="94" t="s">
        <v>37</v>
      </c>
      <c r="D677" s="132">
        <v>454348662</v>
      </c>
      <c r="E677" s="132">
        <v>972</v>
      </c>
      <c r="F677" s="132">
        <v>2.66</v>
      </c>
      <c r="G677" s="125">
        <f t="shared" si="20"/>
        <v>2585.52</v>
      </c>
      <c r="H677" s="86" t="s">
        <v>328</v>
      </c>
      <c r="I677" s="86" t="s">
        <v>92</v>
      </c>
      <c r="J677" s="86" t="s">
        <v>351</v>
      </c>
      <c r="K677" s="267">
        <v>46236</v>
      </c>
      <c r="L677" s="267">
        <v>46234</v>
      </c>
      <c r="M677" s="127">
        <f>_xlfn.XLOOKUP(C677,'Product List'!B:B,'Product List'!R:R)</f>
        <v>1.89</v>
      </c>
      <c r="N677" s="124">
        <f t="shared" si="21"/>
        <v>1837.08</v>
      </c>
      <c r="O677" s="124" cm="1">
        <f t="array" ref="O677">E677/_xlfn.XLOOKUP(1,('Case Pack'!$A$4:$A$962=C677)*('Case Pack'!$L$4:$L$962&gt;0)*('Case Pack'!$L$4:$L$962&lt;=A677),'Case Pack'!$D$4:$D$962,"未找到箱规")</f>
        <v>18</v>
      </c>
      <c r="P677" s="124" t="str">
        <f>IF(COUNTIF('PO Check'!A:A,D677)&gt;0,"Yes","No")</f>
        <v>Yes</v>
      </c>
      <c r="Q677" s="124" t="str" cm="1">
        <f t="array" ref="Q677">_xlfn.XLOOKUP(1,('Case Pack'!$A$4:$A$962=C677)*('Case Pack'!$L$4:$L$962&gt;0)*('Case Pack'!$L$4:$L$962&lt;=A677),'Case Pack'!$G$4:$G$962,"未找到箱型")</f>
        <v>A</v>
      </c>
      <c r="R677" s="124">
        <f>ROUND(IFERROR(VLOOKUP(Q677,'Case Type'!A:H,8,0),0)*O677,2)</f>
        <v>1.98</v>
      </c>
    </row>
    <row r="678" customFormat="1" spans="1:18">
      <c r="A678" s="113">
        <v>46219</v>
      </c>
      <c r="B678" s="91" t="str">
        <f>_xlfn.XLOOKUP(C678,'Product List'!B:B,'Product List'!I:I)</f>
        <v>MINI &amp; MOE WOODEN BRIDGE</v>
      </c>
      <c r="C678" s="94" t="s">
        <v>44</v>
      </c>
      <c r="D678" s="132">
        <v>454348662</v>
      </c>
      <c r="E678" s="132">
        <v>1296</v>
      </c>
      <c r="F678" s="132">
        <v>3.01</v>
      </c>
      <c r="G678" s="125">
        <f t="shared" si="20"/>
        <v>3900.96</v>
      </c>
      <c r="H678" s="86" t="s">
        <v>328</v>
      </c>
      <c r="I678" s="86" t="s">
        <v>92</v>
      </c>
      <c r="J678" s="86" t="s">
        <v>351</v>
      </c>
      <c r="K678" s="267">
        <v>46236</v>
      </c>
      <c r="L678" s="267">
        <v>46234</v>
      </c>
      <c r="M678" s="127">
        <f>_xlfn.XLOOKUP(C678,'Product List'!B:B,'Product List'!R:R)</f>
        <v>1.83</v>
      </c>
      <c r="N678" s="124">
        <f t="shared" si="21"/>
        <v>2371.68</v>
      </c>
      <c r="O678" s="124" cm="1">
        <f t="array" ref="O678">E678/_xlfn.XLOOKUP(1,('Case Pack'!$A$4:$A$962=C678)*('Case Pack'!$L$4:$L$962&gt;0)*('Case Pack'!$L$4:$L$962&lt;=A678),'Case Pack'!$D$4:$D$962,"未找到箱规")</f>
        <v>27</v>
      </c>
      <c r="P678" s="124" t="str">
        <f>IF(COUNTIF('PO Check'!A:A,D678)&gt;0,"Yes","No")</f>
        <v>Yes</v>
      </c>
      <c r="Q678" s="124" t="str" cm="1">
        <f t="array" ref="Q678">_xlfn.XLOOKUP(1,('Case Pack'!$A$4:$A$962=C678)*('Case Pack'!$L$4:$L$962&gt;0)*('Case Pack'!$L$4:$L$962&lt;=A678),'Case Pack'!$G$4:$G$962,"未找到箱型")</f>
        <v>A</v>
      </c>
      <c r="R678" s="124">
        <f>ROUND(IFERROR(VLOOKUP(Q678,'Case Type'!A:H,8,0),0)*O678,2)</f>
        <v>2.97</v>
      </c>
    </row>
    <row r="679" customFormat="1" spans="1:18">
      <c r="A679" s="113">
        <v>46219</v>
      </c>
      <c r="B679" s="91" t="str">
        <f>_xlfn.XLOOKUP(C679,'Product List'!B:B,'Product List'!I:I)</f>
        <v>MINI &amp; MOE GARDEN DECOR CHEW</v>
      </c>
      <c r="C679" s="94" t="s">
        <v>45</v>
      </c>
      <c r="D679" s="132">
        <v>454348662</v>
      </c>
      <c r="E679" s="132">
        <v>1080</v>
      </c>
      <c r="F679" s="132">
        <v>3.23</v>
      </c>
      <c r="G679" s="125">
        <f t="shared" si="20"/>
        <v>3488.4</v>
      </c>
      <c r="H679" s="86" t="s">
        <v>328</v>
      </c>
      <c r="I679" s="86" t="s">
        <v>92</v>
      </c>
      <c r="J679" s="86" t="s">
        <v>351</v>
      </c>
      <c r="K679" s="267">
        <v>46236</v>
      </c>
      <c r="L679" s="267">
        <v>46234</v>
      </c>
      <c r="M679" s="127">
        <f>_xlfn.XLOOKUP(C679,'Product List'!B:B,'Product List'!R:R)</f>
        <v>2.35</v>
      </c>
      <c r="N679" s="124">
        <f t="shared" si="21"/>
        <v>2538</v>
      </c>
      <c r="O679" s="124" cm="1">
        <f t="array" ref="O679">E679/_xlfn.XLOOKUP(1,('Case Pack'!$A$4:$A$962=C679)*('Case Pack'!$L$4:$L$962&gt;0)*('Case Pack'!$L$4:$L$962&lt;=A679),'Case Pack'!$D$4:$D$962,"未找到箱规")</f>
        <v>24</v>
      </c>
      <c r="P679" s="124" t="str">
        <f>IF(COUNTIF('PO Check'!A:A,D679)&gt;0,"Yes","No")</f>
        <v>Yes</v>
      </c>
      <c r="Q679" s="124" t="str" cm="1">
        <f t="array" ref="Q679">_xlfn.XLOOKUP(1,('Case Pack'!$A$4:$A$962=C679)*('Case Pack'!$L$4:$L$962&gt;0)*('Case Pack'!$L$4:$L$962&lt;=A679),'Case Pack'!$G$4:$G$962,"未找到箱型")</f>
        <v>B</v>
      </c>
      <c r="R679" s="124">
        <f>ROUND(IFERROR(VLOOKUP(Q679,'Case Type'!A:H,8,0),0)*O679,2)</f>
        <v>1.76</v>
      </c>
    </row>
    <row r="680" customFormat="1" spans="1:18">
      <c r="A680" s="113">
        <v>46219</v>
      </c>
      <c r="B680" s="91" t="str">
        <f>_xlfn.XLOOKUP(C680,'Product List'!B:B,'Product List'!I:I)</f>
        <v>MINI &amp; MOE TREE DECOR CHEW</v>
      </c>
      <c r="C680" s="94" t="s">
        <v>47</v>
      </c>
      <c r="D680" s="132">
        <v>454348662</v>
      </c>
      <c r="E680" s="132">
        <v>1064</v>
      </c>
      <c r="F680" s="132">
        <v>3.53</v>
      </c>
      <c r="G680" s="125">
        <f t="shared" si="20"/>
        <v>3755.92</v>
      </c>
      <c r="H680" s="86" t="s">
        <v>328</v>
      </c>
      <c r="I680" s="86" t="s">
        <v>92</v>
      </c>
      <c r="J680" s="86" t="s">
        <v>351</v>
      </c>
      <c r="K680" s="267">
        <v>46236</v>
      </c>
      <c r="L680" s="267">
        <v>46234</v>
      </c>
      <c r="M680" s="127">
        <f>_xlfn.XLOOKUP(C680,'Product List'!B:B,'Product List'!R:R)</f>
        <v>3.1</v>
      </c>
      <c r="N680" s="124">
        <f t="shared" si="21"/>
        <v>3298.4</v>
      </c>
      <c r="O680" s="124" cm="1">
        <f t="array" ref="O680">E680/_xlfn.XLOOKUP(1,('Case Pack'!$A$4:$A$962=C680)*('Case Pack'!$L$4:$L$962&gt;0)*('Case Pack'!$L$4:$L$962&lt;=A680),'Case Pack'!$D$4:$D$962,"未找到箱规")</f>
        <v>38</v>
      </c>
      <c r="P680" s="124" t="str">
        <f>IF(COUNTIF('PO Check'!A:A,D680)&gt;0,"Yes","No")</f>
        <v>Yes</v>
      </c>
      <c r="Q680" s="124" t="str" cm="1">
        <f t="array" ref="Q680">_xlfn.XLOOKUP(1,('Case Pack'!$A$4:$A$962=C680)*('Case Pack'!$L$4:$L$962&gt;0)*('Case Pack'!$L$4:$L$962&lt;=A680),'Case Pack'!$G$4:$G$962,"未找到箱型")</f>
        <v>B</v>
      </c>
      <c r="R680" s="124">
        <f>ROUND(IFERROR(VLOOKUP(Q680,'Case Type'!A:H,8,0),0)*O680,2)</f>
        <v>2.79</v>
      </c>
    </row>
    <row r="681" customFormat="1" spans="1:18">
      <c r="A681" s="113">
        <v>46219</v>
      </c>
      <c r="B681" s="91" t="str">
        <f>_xlfn.XLOOKUP(C681,'Product List'!B:B,'Product List'!I:I)</f>
        <v>MINI/MOE TV VIEWING CAGE</v>
      </c>
      <c r="C681" s="94" t="s">
        <v>50</v>
      </c>
      <c r="D681" s="132">
        <v>454348662</v>
      </c>
      <c r="E681" s="132">
        <v>446</v>
      </c>
      <c r="F681" s="132">
        <v>45.87</v>
      </c>
      <c r="G681" s="125">
        <f t="shared" si="20"/>
        <v>20458.02</v>
      </c>
      <c r="H681" s="86" t="s">
        <v>328</v>
      </c>
      <c r="I681" s="86" t="s">
        <v>92</v>
      </c>
      <c r="J681" s="86" t="s">
        <v>351</v>
      </c>
      <c r="K681" s="267">
        <v>46236</v>
      </c>
      <c r="L681" s="267">
        <v>46234</v>
      </c>
      <c r="M681" s="127">
        <f>_xlfn.XLOOKUP(C681,'Product List'!B:B,'Product List'!R:R)</f>
        <v>24.09</v>
      </c>
      <c r="N681" s="124">
        <f t="shared" si="21"/>
        <v>10744.14</v>
      </c>
      <c r="O681" s="124" cm="1">
        <f t="array" ref="O681">E681/_xlfn.XLOOKUP(1,('Case Pack'!$A$4:$A$962=C681)*('Case Pack'!$L$4:$L$962&gt;0)*('Case Pack'!$L$4:$L$962&lt;=A681),'Case Pack'!$D$4:$D$962,"未找到箱规")</f>
        <v>446</v>
      </c>
      <c r="P681" s="124" t="str">
        <f>IF(COUNTIF('PO Check'!A:A,D681)&gt;0,"Yes","No")</f>
        <v>Yes</v>
      </c>
      <c r="Q681" s="124" t="str" cm="1">
        <f t="array" ref="Q681">_xlfn.XLOOKUP(1,('Case Pack'!$A$4:$A$962=C681)*('Case Pack'!$L$4:$L$962&gt;0)*('Case Pack'!$L$4:$L$962&lt;=A681),'Case Pack'!$G$4:$G$962,"未找到箱型")</f>
        <v>S1</v>
      </c>
      <c r="R681" s="124">
        <f>ROUND(IFERROR(VLOOKUP(Q681,'Case Type'!A:H,8,0),0)*O681,2)</f>
        <v>33.01</v>
      </c>
    </row>
    <row r="682" customFormat="1" spans="1:18">
      <c r="A682" s="113">
        <v>46219</v>
      </c>
      <c r="B682" s="91" t="str">
        <f>_xlfn.XLOOKUP(C682,'Product List'!B:B,'Product List'!I:I)</f>
        <v>MINI &amp; MOE COTTAGE HIDE</v>
      </c>
      <c r="C682" s="94" t="s">
        <v>53</v>
      </c>
      <c r="D682" s="132">
        <v>454348662</v>
      </c>
      <c r="E682" s="132">
        <v>1152</v>
      </c>
      <c r="F682" s="132">
        <v>6.28</v>
      </c>
      <c r="G682" s="125">
        <f t="shared" si="20"/>
        <v>7234.56</v>
      </c>
      <c r="H682" s="86" t="s">
        <v>328</v>
      </c>
      <c r="I682" s="86" t="s">
        <v>92</v>
      </c>
      <c r="J682" s="86" t="s">
        <v>351</v>
      </c>
      <c r="K682" s="267">
        <v>46236</v>
      </c>
      <c r="L682" s="267">
        <v>46234</v>
      </c>
      <c r="M682" s="127">
        <f>_xlfn.XLOOKUP(C682,'Product List'!B:B,'Product List'!R:R)</f>
        <v>3.61</v>
      </c>
      <c r="N682" s="124">
        <f t="shared" si="21"/>
        <v>4158.72</v>
      </c>
      <c r="O682" s="124" cm="1">
        <f t="array" ref="O682">E682/_xlfn.XLOOKUP(1,('Case Pack'!$A$4:$A$962=C682)*('Case Pack'!$L$4:$L$962&gt;0)*('Case Pack'!$L$4:$L$962&lt;=A682),'Case Pack'!$D$4:$D$962,"未找到箱规")</f>
        <v>48</v>
      </c>
      <c r="P682" s="124" t="str">
        <f>IF(COUNTIF('PO Check'!A:A,D682)&gt;0,"Yes","No")</f>
        <v>Yes</v>
      </c>
      <c r="Q682" s="124" t="str" cm="1">
        <f t="array" ref="Q682">_xlfn.XLOOKUP(1,('Case Pack'!$A$4:$A$962=C682)*('Case Pack'!$L$4:$L$962&gt;0)*('Case Pack'!$L$4:$L$962&lt;=A682),'Case Pack'!$G$4:$G$962,"未找到箱型")</f>
        <v>C</v>
      </c>
      <c r="R682" s="124">
        <f>ROUND(IFERROR(VLOOKUP(Q682,'Case Type'!A:H,8,0),0)*O682,2)</f>
        <v>7.55</v>
      </c>
    </row>
    <row r="683" customFormat="1" spans="1:18">
      <c r="A683" s="113">
        <v>46219</v>
      </c>
      <c r="B683" s="91" t="str">
        <f>_xlfn.XLOOKUP(C683,'Product List'!B:B,'Product List'!I:I)</f>
        <v>MINI/MOE CAMPING TENT HIDE</v>
      </c>
      <c r="C683" s="94" t="s">
        <v>73</v>
      </c>
      <c r="D683" s="132">
        <v>454348662</v>
      </c>
      <c r="E683" s="132">
        <v>1152</v>
      </c>
      <c r="F683" s="132">
        <v>3.35</v>
      </c>
      <c r="G683" s="125">
        <f t="shared" si="20"/>
        <v>3859.2</v>
      </c>
      <c r="H683" s="86" t="s">
        <v>328</v>
      </c>
      <c r="I683" s="86" t="s">
        <v>92</v>
      </c>
      <c r="J683" s="86" t="s">
        <v>351</v>
      </c>
      <c r="K683" s="267">
        <v>46236</v>
      </c>
      <c r="L683" s="267">
        <v>46234</v>
      </c>
      <c r="M683" s="127">
        <f>_xlfn.XLOOKUP(C683,'Product List'!B:B,'Product List'!R:R)</f>
        <v>1.96</v>
      </c>
      <c r="N683" s="124">
        <f t="shared" si="21"/>
        <v>2257.92</v>
      </c>
      <c r="O683" s="124" cm="1">
        <f t="array" ref="O683">E683/_xlfn.XLOOKUP(1,('Case Pack'!$A$4:$A$962=C683)*('Case Pack'!$L$4:$L$962&gt;0)*('Case Pack'!$L$4:$L$962&lt;=A683),'Case Pack'!$D$4:$D$962,"未找到箱规")</f>
        <v>96</v>
      </c>
      <c r="P683" s="124" t="str">
        <f>IF(COUNTIF('PO Check'!A:A,D683)&gt;0,"Yes","No")</f>
        <v>Yes</v>
      </c>
      <c r="Q683" s="124" t="str" cm="1">
        <f t="array" ref="Q683">_xlfn.XLOOKUP(1,('Case Pack'!$A$4:$A$962=C683)*('Case Pack'!$L$4:$L$962&gt;0)*('Case Pack'!$L$4:$L$962&lt;=A683),'Case Pack'!$G$4:$G$962,"未找到箱型")</f>
        <v>B</v>
      </c>
      <c r="R683" s="124">
        <f>ROUND(IFERROR(VLOOKUP(Q683,'Case Type'!A:H,8,0),0)*O683,2)</f>
        <v>7.05</v>
      </c>
    </row>
    <row r="684" customFormat="1" spans="1:18">
      <c r="A684" s="113">
        <v>46219</v>
      </c>
      <c r="B684" s="91" t="str">
        <f>_xlfn.XLOOKUP(C684,'Product List'!B:B,'Product List'!I:I)</f>
        <v>MINI/MOE TV VIEWING CAGE</v>
      </c>
      <c r="C684" s="94" t="s">
        <v>50</v>
      </c>
      <c r="D684" s="268">
        <v>454348663</v>
      </c>
      <c r="E684" s="132">
        <v>699</v>
      </c>
      <c r="F684" s="132">
        <v>45.87</v>
      </c>
      <c r="G684" s="125">
        <f t="shared" si="20"/>
        <v>32063.13</v>
      </c>
      <c r="H684" s="86" t="s">
        <v>328</v>
      </c>
      <c r="I684" s="86" t="s">
        <v>92</v>
      </c>
      <c r="J684" s="86" t="s">
        <v>352</v>
      </c>
      <c r="K684" s="267">
        <v>46234</v>
      </c>
      <c r="L684" s="267">
        <v>46230</v>
      </c>
      <c r="M684" s="127">
        <f>_xlfn.XLOOKUP(C684,'Product List'!B:B,'Product List'!R:R)</f>
        <v>24.09</v>
      </c>
      <c r="N684" s="124">
        <f t="shared" si="21"/>
        <v>16838.91</v>
      </c>
      <c r="O684" s="124" cm="1">
        <f t="array" ref="O684">E684/_xlfn.XLOOKUP(1,('Case Pack'!$A$4:$A$962=C684)*('Case Pack'!$L$4:$L$962&gt;0)*('Case Pack'!$L$4:$L$962&lt;=A684),'Case Pack'!$D$4:$D$962,"未找到箱规")</f>
        <v>699</v>
      </c>
      <c r="P684" s="124" t="str">
        <f>IF(COUNTIF('PO Check'!A:A,D684)&gt;0,"Yes","No")</f>
        <v>Yes</v>
      </c>
      <c r="Q684" s="124" t="str" cm="1">
        <f t="array" ref="Q684">_xlfn.XLOOKUP(1,('Case Pack'!$A$4:$A$962=C684)*('Case Pack'!$L$4:$L$962&gt;0)*('Case Pack'!$L$4:$L$962&lt;=A684),'Case Pack'!$G$4:$G$962,"未找到箱型")</f>
        <v>S1</v>
      </c>
      <c r="R684" s="124">
        <f>ROUND(IFERROR(VLOOKUP(Q684,'Case Type'!A:H,8,0),0)*O684,2)</f>
        <v>51.73</v>
      </c>
    </row>
    <row r="685" customFormat="1" spans="1:18">
      <c r="A685" s="113">
        <v>46219</v>
      </c>
      <c r="B685" s="91" t="str">
        <f>_xlfn.XLOOKUP(C685,'Product List'!B:B,'Product List'!I:I)</f>
        <v>MINI &amp; MOE MAG CONECT WTR BTL 4 OZ</v>
      </c>
      <c r="C685" s="94" t="s">
        <v>37</v>
      </c>
      <c r="D685" s="132">
        <v>454348664</v>
      </c>
      <c r="E685" s="132">
        <v>1188</v>
      </c>
      <c r="F685" s="132">
        <v>2.66</v>
      </c>
      <c r="G685" s="125">
        <f t="shared" si="20"/>
        <v>3160.08</v>
      </c>
      <c r="H685" s="86" t="s">
        <v>328</v>
      </c>
      <c r="I685" s="86" t="s">
        <v>92</v>
      </c>
      <c r="J685" s="86" t="s">
        <v>352</v>
      </c>
      <c r="K685" s="267">
        <v>46234</v>
      </c>
      <c r="L685" s="267">
        <v>46233</v>
      </c>
      <c r="M685" s="127">
        <f>_xlfn.XLOOKUP(C685,'Product List'!B:B,'Product List'!R:R)</f>
        <v>1.89</v>
      </c>
      <c r="N685" s="124">
        <f t="shared" si="21"/>
        <v>2245.32</v>
      </c>
      <c r="O685" s="124" cm="1">
        <f t="array" ref="O685">E685/_xlfn.XLOOKUP(1,('Case Pack'!$A$4:$A$962=C685)*('Case Pack'!$L$4:$L$962&gt;0)*('Case Pack'!$L$4:$L$962&lt;=A685),'Case Pack'!$D$4:$D$962,"未找到箱规")</f>
        <v>22</v>
      </c>
      <c r="P685" s="124" t="str">
        <f>IF(COUNTIF('PO Check'!A:A,D685)&gt;0,"Yes","No")</f>
        <v>Yes</v>
      </c>
      <c r="Q685" s="124" t="str" cm="1">
        <f t="array" ref="Q685">_xlfn.XLOOKUP(1,('Case Pack'!$A$4:$A$962=C685)*('Case Pack'!$L$4:$L$962&gt;0)*('Case Pack'!$L$4:$L$962&lt;=A685),'Case Pack'!$G$4:$G$962,"未找到箱型")</f>
        <v>A</v>
      </c>
      <c r="R685" s="124">
        <f>ROUND(IFERROR(VLOOKUP(Q685,'Case Type'!A:H,8,0),0)*O685,2)</f>
        <v>2.42</v>
      </c>
    </row>
    <row r="686" customFormat="1" spans="1:18">
      <c r="A686" s="113">
        <v>46219</v>
      </c>
      <c r="B686" s="91" t="str">
        <f>_xlfn.XLOOKUP(C686,'Product List'!B:B,'Product List'!I:I)</f>
        <v>MINI &amp; MOE WOODEN BRIDGE</v>
      </c>
      <c r="C686" s="94" t="s">
        <v>44</v>
      </c>
      <c r="D686" s="132">
        <v>454348664</v>
      </c>
      <c r="E686" s="132">
        <v>1440</v>
      </c>
      <c r="F686" s="132">
        <v>3.01</v>
      </c>
      <c r="G686" s="125">
        <f t="shared" si="20"/>
        <v>4334.4</v>
      </c>
      <c r="H686" s="86" t="s">
        <v>328</v>
      </c>
      <c r="I686" s="86" t="s">
        <v>92</v>
      </c>
      <c r="J686" s="86" t="s">
        <v>352</v>
      </c>
      <c r="K686" s="267">
        <v>46234</v>
      </c>
      <c r="L686" s="267">
        <v>46233</v>
      </c>
      <c r="M686" s="127">
        <f>_xlfn.XLOOKUP(C686,'Product List'!B:B,'Product List'!R:R)</f>
        <v>1.83</v>
      </c>
      <c r="N686" s="124">
        <f t="shared" si="21"/>
        <v>2635.2</v>
      </c>
      <c r="O686" s="124" cm="1">
        <f t="array" ref="O686">E686/_xlfn.XLOOKUP(1,('Case Pack'!$A$4:$A$962=C686)*('Case Pack'!$L$4:$L$962&gt;0)*('Case Pack'!$L$4:$L$962&lt;=A686),'Case Pack'!$D$4:$D$962,"未找到箱规")</f>
        <v>30</v>
      </c>
      <c r="P686" s="124" t="str">
        <f>IF(COUNTIF('PO Check'!A:A,D686)&gt;0,"Yes","No")</f>
        <v>Yes</v>
      </c>
      <c r="Q686" s="124" t="str" cm="1">
        <f t="array" ref="Q686">_xlfn.XLOOKUP(1,('Case Pack'!$A$4:$A$962=C686)*('Case Pack'!$L$4:$L$962&gt;0)*('Case Pack'!$L$4:$L$962&lt;=A686),'Case Pack'!$G$4:$G$962,"未找到箱型")</f>
        <v>A</v>
      </c>
      <c r="R686" s="124">
        <f>ROUND(IFERROR(VLOOKUP(Q686,'Case Type'!A:H,8,0),0)*O686,2)</f>
        <v>3.3</v>
      </c>
    </row>
    <row r="687" customFormat="1" spans="1:18">
      <c r="A687" s="113">
        <v>46219</v>
      </c>
      <c r="B687" s="91" t="str">
        <f>_xlfn.XLOOKUP(C687,'Product List'!B:B,'Product List'!I:I)</f>
        <v>MINI &amp; MOE GARDEN DECOR CHEW</v>
      </c>
      <c r="C687" s="94" t="s">
        <v>45</v>
      </c>
      <c r="D687" s="132">
        <v>454348664</v>
      </c>
      <c r="E687" s="132">
        <v>1260</v>
      </c>
      <c r="F687" s="132">
        <v>3.23</v>
      </c>
      <c r="G687" s="125">
        <f t="shared" si="20"/>
        <v>4069.8</v>
      </c>
      <c r="H687" s="86" t="s">
        <v>328</v>
      </c>
      <c r="I687" s="86" t="s">
        <v>92</v>
      </c>
      <c r="J687" s="86" t="s">
        <v>352</v>
      </c>
      <c r="K687" s="267">
        <v>46234</v>
      </c>
      <c r="L687" s="267">
        <v>46233</v>
      </c>
      <c r="M687" s="127">
        <f>_xlfn.XLOOKUP(C687,'Product List'!B:B,'Product List'!R:R)</f>
        <v>2.35</v>
      </c>
      <c r="N687" s="124">
        <f t="shared" si="21"/>
        <v>2961</v>
      </c>
      <c r="O687" s="124" cm="1">
        <f t="array" ref="O687">E687/_xlfn.XLOOKUP(1,('Case Pack'!$A$4:$A$962=C687)*('Case Pack'!$L$4:$L$962&gt;0)*('Case Pack'!$L$4:$L$962&lt;=A687),'Case Pack'!$D$4:$D$962,"未找到箱规")</f>
        <v>28</v>
      </c>
      <c r="P687" s="124" t="str">
        <f>IF(COUNTIF('PO Check'!A:A,D687)&gt;0,"Yes","No")</f>
        <v>Yes</v>
      </c>
      <c r="Q687" s="124" t="str" cm="1">
        <f t="array" ref="Q687">_xlfn.XLOOKUP(1,('Case Pack'!$A$4:$A$962=C687)*('Case Pack'!$L$4:$L$962&gt;0)*('Case Pack'!$L$4:$L$962&lt;=A687),'Case Pack'!$G$4:$G$962,"未找到箱型")</f>
        <v>B</v>
      </c>
      <c r="R687" s="124">
        <f>ROUND(IFERROR(VLOOKUP(Q687,'Case Type'!A:H,8,0),0)*O687,2)</f>
        <v>2.06</v>
      </c>
    </row>
    <row r="688" customFormat="1" spans="1:18">
      <c r="A688" s="113">
        <v>46219</v>
      </c>
      <c r="B688" s="91" t="str">
        <f>_xlfn.XLOOKUP(C688,'Product List'!B:B,'Product List'!I:I)</f>
        <v>MINI &amp; MOE TREE DECOR CHEW</v>
      </c>
      <c r="C688" s="94" t="s">
        <v>47</v>
      </c>
      <c r="D688" s="132">
        <v>454348664</v>
      </c>
      <c r="E688" s="132">
        <v>1260</v>
      </c>
      <c r="F688" s="132">
        <v>3.53</v>
      </c>
      <c r="G688" s="125">
        <f t="shared" si="20"/>
        <v>4447.8</v>
      </c>
      <c r="H688" s="86" t="s">
        <v>328</v>
      </c>
      <c r="I688" s="86" t="s">
        <v>92</v>
      </c>
      <c r="J688" s="86" t="s">
        <v>352</v>
      </c>
      <c r="K688" s="267">
        <v>46234</v>
      </c>
      <c r="L688" s="267">
        <v>46233</v>
      </c>
      <c r="M688" s="127">
        <f>_xlfn.XLOOKUP(C688,'Product List'!B:B,'Product List'!R:R)</f>
        <v>3.1</v>
      </c>
      <c r="N688" s="124">
        <f t="shared" si="21"/>
        <v>3906</v>
      </c>
      <c r="O688" s="124" cm="1">
        <f t="array" ref="O688">E688/_xlfn.XLOOKUP(1,('Case Pack'!$A$4:$A$962=C688)*('Case Pack'!$L$4:$L$962&gt;0)*('Case Pack'!$L$4:$L$962&lt;=A688),'Case Pack'!$D$4:$D$962,"未找到箱规")</f>
        <v>45</v>
      </c>
      <c r="P688" s="124" t="str">
        <f>IF(COUNTIF('PO Check'!A:A,D688)&gt;0,"Yes","No")</f>
        <v>Yes</v>
      </c>
      <c r="Q688" s="124" t="str" cm="1">
        <f t="array" ref="Q688">_xlfn.XLOOKUP(1,('Case Pack'!$A$4:$A$962=C688)*('Case Pack'!$L$4:$L$962&gt;0)*('Case Pack'!$L$4:$L$962&lt;=A688),'Case Pack'!$G$4:$G$962,"未找到箱型")</f>
        <v>B</v>
      </c>
      <c r="R688" s="124">
        <f>ROUND(IFERROR(VLOOKUP(Q688,'Case Type'!A:H,8,0),0)*O688,2)</f>
        <v>3.3</v>
      </c>
    </row>
    <row r="689" customFormat="1" spans="1:18">
      <c r="A689" s="113">
        <v>46219</v>
      </c>
      <c r="B689" s="91" t="str">
        <f>_xlfn.XLOOKUP(C689,'Product List'!B:B,'Product List'!I:I)</f>
        <v>MINI &amp; MOE COTTAGE HIDE</v>
      </c>
      <c r="C689" s="94" t="s">
        <v>53</v>
      </c>
      <c r="D689" s="132">
        <v>454348664</v>
      </c>
      <c r="E689" s="132">
        <v>1152</v>
      </c>
      <c r="F689" s="132">
        <v>6.28</v>
      </c>
      <c r="G689" s="125">
        <f t="shared" si="20"/>
        <v>7234.56</v>
      </c>
      <c r="H689" s="86" t="s">
        <v>328</v>
      </c>
      <c r="I689" s="86" t="s">
        <v>92</v>
      </c>
      <c r="J689" s="86" t="s">
        <v>352</v>
      </c>
      <c r="K689" s="267">
        <v>46234</v>
      </c>
      <c r="L689" s="267">
        <v>46233</v>
      </c>
      <c r="M689" s="127">
        <f>_xlfn.XLOOKUP(C689,'Product List'!B:B,'Product List'!R:R)</f>
        <v>3.61</v>
      </c>
      <c r="N689" s="124">
        <f t="shared" si="21"/>
        <v>4158.72</v>
      </c>
      <c r="O689" s="124" cm="1">
        <f t="array" ref="O689">E689/_xlfn.XLOOKUP(1,('Case Pack'!$A$4:$A$962=C689)*('Case Pack'!$L$4:$L$962&gt;0)*('Case Pack'!$L$4:$L$962&lt;=A689),'Case Pack'!$D$4:$D$962,"未找到箱规")</f>
        <v>48</v>
      </c>
      <c r="P689" s="124" t="str">
        <f>IF(COUNTIF('PO Check'!A:A,D689)&gt;0,"Yes","No")</f>
        <v>Yes</v>
      </c>
      <c r="Q689" s="124" t="str" cm="1">
        <f t="array" ref="Q689">_xlfn.XLOOKUP(1,('Case Pack'!$A$4:$A$962=C689)*('Case Pack'!$L$4:$L$962&gt;0)*('Case Pack'!$L$4:$L$962&lt;=A689),'Case Pack'!$G$4:$G$962,"未找到箱型")</f>
        <v>C</v>
      </c>
      <c r="R689" s="124">
        <f>ROUND(IFERROR(VLOOKUP(Q689,'Case Type'!A:H,8,0),0)*O689,2)</f>
        <v>7.55</v>
      </c>
    </row>
    <row r="690" customFormat="1" spans="1:18">
      <c r="A690" s="113">
        <v>46219</v>
      </c>
      <c r="B690" s="91" t="str">
        <f>_xlfn.XLOOKUP(C690,'Product List'!B:B,'Product List'!I:I)</f>
        <v>MINI/MOE CAMPING TENT HIDE</v>
      </c>
      <c r="C690" s="94" t="s">
        <v>73</v>
      </c>
      <c r="D690" s="132">
        <v>454348664</v>
      </c>
      <c r="E690" s="132">
        <v>1296</v>
      </c>
      <c r="F690" s="132">
        <v>3.35</v>
      </c>
      <c r="G690" s="125">
        <f t="shared" si="20"/>
        <v>4341.6</v>
      </c>
      <c r="H690" s="86" t="s">
        <v>328</v>
      </c>
      <c r="I690" s="86" t="s">
        <v>92</v>
      </c>
      <c r="J690" s="86" t="s">
        <v>352</v>
      </c>
      <c r="K690" s="267">
        <v>46234</v>
      </c>
      <c r="L690" s="267">
        <v>46233</v>
      </c>
      <c r="M690" s="127">
        <f>_xlfn.XLOOKUP(C690,'Product List'!B:B,'Product List'!R:R)</f>
        <v>1.96</v>
      </c>
      <c r="N690" s="124">
        <f t="shared" si="21"/>
        <v>2540.16</v>
      </c>
      <c r="O690" s="124" cm="1">
        <f t="array" ref="O690">E690/_xlfn.XLOOKUP(1,('Case Pack'!$A$4:$A$962=C690)*('Case Pack'!$L$4:$L$962&gt;0)*('Case Pack'!$L$4:$L$962&lt;=A690),'Case Pack'!$D$4:$D$962,"未找到箱规")</f>
        <v>108</v>
      </c>
      <c r="P690" s="124" t="str">
        <f>IF(COUNTIF('PO Check'!A:A,D690)&gt;0,"Yes","No")</f>
        <v>Yes</v>
      </c>
      <c r="Q690" s="124" t="str" cm="1">
        <f t="array" ref="Q690">_xlfn.XLOOKUP(1,('Case Pack'!$A$4:$A$962=C690)*('Case Pack'!$L$4:$L$962&gt;0)*('Case Pack'!$L$4:$L$962&lt;=A690),'Case Pack'!$G$4:$G$962,"未找到箱型")</f>
        <v>B</v>
      </c>
      <c r="R690" s="124">
        <f>ROUND(IFERROR(VLOOKUP(Q690,'Case Type'!A:H,8,0),0)*O690,2)</f>
        <v>7.93</v>
      </c>
    </row>
    <row r="691" customFormat="1" spans="1:18">
      <c r="A691" s="113">
        <v>46219</v>
      </c>
      <c r="B691" s="91" t="str">
        <f>_xlfn.XLOOKUP(C691,'Product List'!B:B,'Product List'!I:I)</f>
        <v>MINI/MOE TV VIEWING CAGE</v>
      </c>
      <c r="C691" s="94" t="s">
        <v>50</v>
      </c>
      <c r="D691" s="268">
        <v>454348665</v>
      </c>
      <c r="E691" s="132">
        <v>633</v>
      </c>
      <c r="F691" s="132">
        <v>45.87</v>
      </c>
      <c r="G691" s="125">
        <f t="shared" si="20"/>
        <v>29035.71</v>
      </c>
      <c r="H691" s="86" t="s">
        <v>328</v>
      </c>
      <c r="I691" s="86" t="s">
        <v>92</v>
      </c>
      <c r="J691" s="86" t="s">
        <v>353</v>
      </c>
      <c r="K691" s="267">
        <v>46235</v>
      </c>
      <c r="L691" s="267">
        <v>46230</v>
      </c>
      <c r="M691" s="127">
        <f>_xlfn.XLOOKUP(C691,'Product List'!B:B,'Product List'!R:R)</f>
        <v>24.09</v>
      </c>
      <c r="N691" s="124">
        <f t="shared" si="21"/>
        <v>15248.97</v>
      </c>
      <c r="O691" s="124" cm="1">
        <f t="array" ref="O691">E691/_xlfn.XLOOKUP(1,('Case Pack'!$A$4:$A$962=C691)*('Case Pack'!$L$4:$L$962&gt;0)*('Case Pack'!$L$4:$L$962&lt;=A691),'Case Pack'!$D$4:$D$962,"未找到箱规")</f>
        <v>633</v>
      </c>
      <c r="P691" s="124" t="str">
        <f>IF(COUNTIF('PO Check'!A:A,D691)&gt;0,"Yes","No")</f>
        <v>Yes</v>
      </c>
      <c r="Q691" s="124" t="str" cm="1">
        <f t="array" ref="Q691">_xlfn.XLOOKUP(1,('Case Pack'!$A$4:$A$962=C691)*('Case Pack'!$L$4:$L$962&gt;0)*('Case Pack'!$L$4:$L$962&lt;=A691),'Case Pack'!$G$4:$G$962,"未找到箱型")</f>
        <v>S1</v>
      </c>
      <c r="R691" s="124">
        <f>ROUND(IFERROR(VLOOKUP(Q691,'Case Type'!A:H,8,0),0)*O691,2)</f>
        <v>46.84</v>
      </c>
    </row>
    <row r="692" customFormat="1" spans="1:18">
      <c r="A692" s="113">
        <v>46219</v>
      </c>
      <c r="B692" s="91" t="str">
        <f>_xlfn.XLOOKUP(C692,'Product List'!B:B,'Product List'!I:I)</f>
        <v>MINI &amp; MOE MAG CONECT WTR BTL 4 OZ</v>
      </c>
      <c r="C692" s="94" t="s">
        <v>37</v>
      </c>
      <c r="D692" s="132">
        <v>454348666</v>
      </c>
      <c r="E692" s="132">
        <v>1188</v>
      </c>
      <c r="F692" s="132">
        <v>2.66</v>
      </c>
      <c r="G692" s="125">
        <f t="shared" si="20"/>
        <v>3160.08</v>
      </c>
      <c r="H692" s="86" t="s">
        <v>328</v>
      </c>
      <c r="I692" s="86" t="s">
        <v>92</v>
      </c>
      <c r="J692" s="86" t="s">
        <v>353</v>
      </c>
      <c r="K692" s="267">
        <v>46235</v>
      </c>
      <c r="L692" s="267">
        <v>46239</v>
      </c>
      <c r="M692" s="127">
        <f>_xlfn.XLOOKUP(C692,'Product List'!B:B,'Product List'!R:R)</f>
        <v>1.89</v>
      </c>
      <c r="N692" s="124">
        <f t="shared" si="21"/>
        <v>2245.32</v>
      </c>
      <c r="O692" s="124" cm="1">
        <f t="array" ref="O692">E692/_xlfn.XLOOKUP(1,('Case Pack'!$A$4:$A$962=C692)*('Case Pack'!$L$4:$L$962&gt;0)*('Case Pack'!$L$4:$L$962&lt;=A692),'Case Pack'!$D$4:$D$962,"未找到箱规")</f>
        <v>22</v>
      </c>
      <c r="P692" s="124" t="str">
        <f>IF(COUNTIF('PO Check'!A:A,D692)&gt;0,"Yes","No")</f>
        <v>Yes</v>
      </c>
      <c r="Q692" s="124" t="str" cm="1">
        <f t="array" ref="Q692">_xlfn.XLOOKUP(1,('Case Pack'!$A$4:$A$962=C692)*('Case Pack'!$L$4:$L$962&gt;0)*('Case Pack'!$L$4:$L$962&lt;=A692),'Case Pack'!$G$4:$G$962,"未找到箱型")</f>
        <v>A</v>
      </c>
      <c r="R692" s="124">
        <f>ROUND(IFERROR(VLOOKUP(Q692,'Case Type'!A:H,8,0),0)*O692,2)</f>
        <v>2.42</v>
      </c>
    </row>
    <row r="693" customFormat="1" spans="1:18">
      <c r="A693" s="113">
        <v>46219</v>
      </c>
      <c r="B693" s="91" t="str">
        <f>_xlfn.XLOOKUP(C693,'Product List'!B:B,'Product List'!I:I)</f>
        <v>MINI &amp; MOE WOODEN BRIDGE</v>
      </c>
      <c r="C693" s="94" t="s">
        <v>44</v>
      </c>
      <c r="D693" s="132">
        <v>454348666</v>
      </c>
      <c r="E693" s="132">
        <v>1440</v>
      </c>
      <c r="F693" s="132">
        <v>3.01</v>
      </c>
      <c r="G693" s="125">
        <f t="shared" si="20"/>
        <v>4334.4</v>
      </c>
      <c r="H693" s="86" t="s">
        <v>328</v>
      </c>
      <c r="I693" s="86" t="s">
        <v>92</v>
      </c>
      <c r="J693" s="86" t="s">
        <v>353</v>
      </c>
      <c r="K693" s="267">
        <v>46235</v>
      </c>
      <c r="L693" s="267">
        <v>46239</v>
      </c>
      <c r="M693" s="127">
        <f>_xlfn.XLOOKUP(C693,'Product List'!B:B,'Product List'!R:R)</f>
        <v>1.83</v>
      </c>
      <c r="N693" s="124">
        <f t="shared" si="21"/>
        <v>2635.2</v>
      </c>
      <c r="O693" s="124" cm="1">
        <f t="array" ref="O693">E693/_xlfn.XLOOKUP(1,('Case Pack'!$A$4:$A$962=C693)*('Case Pack'!$L$4:$L$962&gt;0)*('Case Pack'!$L$4:$L$962&lt;=A693),'Case Pack'!$D$4:$D$962,"未找到箱规")</f>
        <v>30</v>
      </c>
      <c r="P693" s="124" t="str">
        <f>IF(COUNTIF('PO Check'!A:A,D693)&gt;0,"Yes","No")</f>
        <v>Yes</v>
      </c>
      <c r="Q693" s="124" t="str" cm="1">
        <f t="array" ref="Q693">_xlfn.XLOOKUP(1,('Case Pack'!$A$4:$A$962=C693)*('Case Pack'!$L$4:$L$962&gt;0)*('Case Pack'!$L$4:$L$962&lt;=A693),'Case Pack'!$G$4:$G$962,"未找到箱型")</f>
        <v>A</v>
      </c>
      <c r="R693" s="124">
        <f>ROUND(IFERROR(VLOOKUP(Q693,'Case Type'!A:H,8,0),0)*O693,2)</f>
        <v>3.3</v>
      </c>
    </row>
    <row r="694" customFormat="1" spans="1:18">
      <c r="A694" s="113">
        <v>46219</v>
      </c>
      <c r="B694" s="91" t="str">
        <f>_xlfn.XLOOKUP(C694,'Product List'!B:B,'Product List'!I:I)</f>
        <v>MINI &amp; MOE GARDEN DECOR CHEW</v>
      </c>
      <c r="C694" s="94" t="s">
        <v>45</v>
      </c>
      <c r="D694" s="132">
        <v>454348666</v>
      </c>
      <c r="E694" s="132">
        <v>1260</v>
      </c>
      <c r="F694" s="132">
        <v>3.23</v>
      </c>
      <c r="G694" s="125">
        <f t="shared" si="20"/>
        <v>4069.8</v>
      </c>
      <c r="H694" s="86" t="s">
        <v>328</v>
      </c>
      <c r="I694" s="86" t="s">
        <v>92</v>
      </c>
      <c r="J694" s="86" t="s">
        <v>353</v>
      </c>
      <c r="K694" s="267">
        <v>46235</v>
      </c>
      <c r="L694" s="267">
        <v>46239</v>
      </c>
      <c r="M694" s="127">
        <f>_xlfn.XLOOKUP(C694,'Product List'!B:B,'Product List'!R:R)</f>
        <v>2.35</v>
      </c>
      <c r="N694" s="124">
        <f t="shared" si="21"/>
        <v>2961</v>
      </c>
      <c r="O694" s="124" cm="1">
        <f t="array" ref="O694">E694/_xlfn.XLOOKUP(1,('Case Pack'!$A$4:$A$962=C694)*('Case Pack'!$L$4:$L$962&gt;0)*('Case Pack'!$L$4:$L$962&lt;=A694),'Case Pack'!$D$4:$D$962,"未找到箱规")</f>
        <v>28</v>
      </c>
      <c r="P694" s="124" t="str">
        <f>IF(COUNTIF('PO Check'!A:A,D694)&gt;0,"Yes","No")</f>
        <v>Yes</v>
      </c>
      <c r="Q694" s="124" t="str" cm="1">
        <f t="array" ref="Q694">_xlfn.XLOOKUP(1,('Case Pack'!$A$4:$A$962=C694)*('Case Pack'!$L$4:$L$962&gt;0)*('Case Pack'!$L$4:$L$962&lt;=A694),'Case Pack'!$G$4:$G$962,"未找到箱型")</f>
        <v>B</v>
      </c>
      <c r="R694" s="124">
        <f>ROUND(IFERROR(VLOOKUP(Q694,'Case Type'!A:H,8,0),0)*O694,2)</f>
        <v>2.06</v>
      </c>
    </row>
    <row r="695" customFormat="1" spans="1:18">
      <c r="A695" s="113">
        <v>46219</v>
      </c>
      <c r="B695" s="91" t="str">
        <f>_xlfn.XLOOKUP(C695,'Product List'!B:B,'Product List'!I:I)</f>
        <v>MINI &amp; MOE TREE DECOR CHEW</v>
      </c>
      <c r="C695" s="94" t="s">
        <v>47</v>
      </c>
      <c r="D695" s="132">
        <v>454348666</v>
      </c>
      <c r="E695" s="132">
        <v>1260</v>
      </c>
      <c r="F695" s="132">
        <v>3.53</v>
      </c>
      <c r="G695" s="125">
        <f t="shared" si="20"/>
        <v>4447.8</v>
      </c>
      <c r="H695" s="86" t="s">
        <v>328</v>
      </c>
      <c r="I695" s="86" t="s">
        <v>92</v>
      </c>
      <c r="J695" s="86" t="s">
        <v>353</v>
      </c>
      <c r="K695" s="267">
        <v>46235</v>
      </c>
      <c r="L695" s="267">
        <v>46239</v>
      </c>
      <c r="M695" s="127">
        <f>_xlfn.XLOOKUP(C695,'Product List'!B:B,'Product List'!R:R)</f>
        <v>3.1</v>
      </c>
      <c r="N695" s="124">
        <f t="shared" si="21"/>
        <v>3906</v>
      </c>
      <c r="O695" s="124" cm="1">
        <f t="array" ref="O695">E695/_xlfn.XLOOKUP(1,('Case Pack'!$A$4:$A$962=C695)*('Case Pack'!$L$4:$L$962&gt;0)*('Case Pack'!$L$4:$L$962&lt;=A695),'Case Pack'!$D$4:$D$962,"未找到箱规")</f>
        <v>45</v>
      </c>
      <c r="P695" s="124" t="str">
        <f>IF(COUNTIF('PO Check'!A:A,D695)&gt;0,"Yes","No")</f>
        <v>Yes</v>
      </c>
      <c r="Q695" s="124" t="str" cm="1">
        <f t="array" ref="Q695">_xlfn.XLOOKUP(1,('Case Pack'!$A$4:$A$962=C695)*('Case Pack'!$L$4:$L$962&gt;0)*('Case Pack'!$L$4:$L$962&lt;=A695),'Case Pack'!$G$4:$G$962,"未找到箱型")</f>
        <v>B</v>
      </c>
      <c r="R695" s="124">
        <f>ROUND(IFERROR(VLOOKUP(Q695,'Case Type'!A:H,8,0),0)*O695,2)</f>
        <v>3.3</v>
      </c>
    </row>
    <row r="696" customFormat="1" spans="1:18">
      <c r="A696" s="113">
        <v>46219</v>
      </c>
      <c r="B696" s="91" t="str">
        <f>_xlfn.XLOOKUP(C696,'Product List'!B:B,'Product List'!I:I)</f>
        <v>MINI &amp; MOE COTTAGE HIDE</v>
      </c>
      <c r="C696" s="94" t="s">
        <v>53</v>
      </c>
      <c r="D696" s="132">
        <v>454348666</v>
      </c>
      <c r="E696" s="132">
        <v>1152</v>
      </c>
      <c r="F696" s="132">
        <v>6.28</v>
      </c>
      <c r="G696" s="125">
        <f t="shared" si="20"/>
        <v>7234.56</v>
      </c>
      <c r="H696" s="86" t="s">
        <v>328</v>
      </c>
      <c r="I696" s="86" t="s">
        <v>92</v>
      </c>
      <c r="J696" s="86" t="s">
        <v>353</v>
      </c>
      <c r="K696" s="267">
        <v>46235</v>
      </c>
      <c r="L696" s="267">
        <v>46239</v>
      </c>
      <c r="M696" s="127">
        <f>_xlfn.XLOOKUP(C696,'Product List'!B:B,'Product List'!R:R)</f>
        <v>3.61</v>
      </c>
      <c r="N696" s="124">
        <f t="shared" si="21"/>
        <v>4158.72</v>
      </c>
      <c r="O696" s="124" cm="1">
        <f t="array" ref="O696">E696/_xlfn.XLOOKUP(1,('Case Pack'!$A$4:$A$962=C696)*('Case Pack'!$L$4:$L$962&gt;0)*('Case Pack'!$L$4:$L$962&lt;=A696),'Case Pack'!$D$4:$D$962,"未找到箱规")</f>
        <v>48</v>
      </c>
      <c r="P696" s="124" t="str">
        <f>IF(COUNTIF('PO Check'!A:A,D696)&gt;0,"Yes","No")</f>
        <v>Yes</v>
      </c>
      <c r="Q696" s="124" t="str" cm="1">
        <f t="array" ref="Q696">_xlfn.XLOOKUP(1,('Case Pack'!$A$4:$A$962=C696)*('Case Pack'!$L$4:$L$962&gt;0)*('Case Pack'!$L$4:$L$962&lt;=A696),'Case Pack'!$G$4:$G$962,"未找到箱型")</f>
        <v>C</v>
      </c>
      <c r="R696" s="124">
        <f>ROUND(IFERROR(VLOOKUP(Q696,'Case Type'!A:H,8,0),0)*O696,2)</f>
        <v>7.55</v>
      </c>
    </row>
    <row r="697" customFormat="1" spans="1:18">
      <c r="A697" s="113">
        <v>46219</v>
      </c>
      <c r="B697" s="91" t="str">
        <f>_xlfn.XLOOKUP(C697,'Product List'!B:B,'Product List'!I:I)</f>
        <v>MINI/MOE CAMPING TENT HIDE</v>
      </c>
      <c r="C697" s="94" t="s">
        <v>73</v>
      </c>
      <c r="D697" s="132">
        <v>454348666</v>
      </c>
      <c r="E697" s="132">
        <v>1296</v>
      </c>
      <c r="F697" s="132">
        <v>3.35</v>
      </c>
      <c r="G697" s="125">
        <f t="shared" si="20"/>
        <v>4341.6</v>
      </c>
      <c r="H697" s="86" t="s">
        <v>328</v>
      </c>
      <c r="I697" s="86" t="s">
        <v>92</v>
      </c>
      <c r="J697" s="86" t="s">
        <v>353</v>
      </c>
      <c r="K697" s="267">
        <v>46235</v>
      </c>
      <c r="L697" s="267">
        <v>46239</v>
      </c>
      <c r="M697" s="127">
        <f>_xlfn.XLOOKUP(C697,'Product List'!B:B,'Product List'!R:R)</f>
        <v>1.96</v>
      </c>
      <c r="N697" s="124">
        <f t="shared" si="21"/>
        <v>2540.16</v>
      </c>
      <c r="O697" s="124" cm="1">
        <f t="array" ref="O697">E697/_xlfn.XLOOKUP(1,('Case Pack'!$A$4:$A$962=C697)*('Case Pack'!$L$4:$L$962&gt;0)*('Case Pack'!$L$4:$L$962&lt;=A697),'Case Pack'!$D$4:$D$962,"未找到箱规")</f>
        <v>108</v>
      </c>
      <c r="P697" s="124" t="str">
        <f>IF(COUNTIF('PO Check'!A:A,D697)&gt;0,"Yes","No")</f>
        <v>Yes</v>
      </c>
      <c r="Q697" s="124" t="str" cm="1">
        <f t="array" ref="Q697">_xlfn.XLOOKUP(1,('Case Pack'!$A$4:$A$962=C697)*('Case Pack'!$L$4:$L$962&gt;0)*('Case Pack'!$L$4:$L$962&lt;=A697),'Case Pack'!$G$4:$G$962,"未找到箱型")</f>
        <v>B</v>
      </c>
      <c r="R697" s="124">
        <f>ROUND(IFERROR(VLOOKUP(Q697,'Case Type'!A:H,8,0),0)*O697,2)</f>
        <v>7.93</v>
      </c>
    </row>
    <row r="698" customFormat="1" spans="1:18">
      <c r="A698" s="113">
        <v>46219</v>
      </c>
      <c r="B698" s="91" t="str">
        <f>_xlfn.XLOOKUP(C698,'Product List'!B:B,'Product List'!I:I)</f>
        <v>MINI &amp; MOE MAG CONECT WTR BTL 4 OZ</v>
      </c>
      <c r="C698" s="94" t="s">
        <v>37</v>
      </c>
      <c r="D698" s="132">
        <v>454348667</v>
      </c>
      <c r="E698" s="132">
        <v>540</v>
      </c>
      <c r="F698" s="132">
        <v>2.66</v>
      </c>
      <c r="G698" s="125">
        <f t="shared" si="20"/>
        <v>1436.4</v>
      </c>
      <c r="H698" s="86" t="s">
        <v>328</v>
      </c>
      <c r="I698" s="86" t="s">
        <v>92</v>
      </c>
      <c r="J698" s="86" t="s">
        <v>354</v>
      </c>
      <c r="K698" s="267">
        <v>46235</v>
      </c>
      <c r="L698" s="267">
        <v>46239</v>
      </c>
      <c r="M698" s="127">
        <f>_xlfn.XLOOKUP(C698,'Product List'!B:B,'Product List'!R:R)</f>
        <v>1.89</v>
      </c>
      <c r="N698" s="124">
        <f t="shared" si="21"/>
        <v>1020.6</v>
      </c>
      <c r="O698" s="124" cm="1">
        <f t="array" ref="O698">E698/_xlfn.XLOOKUP(1,('Case Pack'!$A$4:$A$962=C698)*('Case Pack'!$L$4:$L$962&gt;0)*('Case Pack'!$L$4:$L$962&lt;=A698),'Case Pack'!$D$4:$D$962,"未找到箱规")</f>
        <v>10</v>
      </c>
      <c r="P698" s="124" t="str">
        <f>IF(COUNTIF('PO Check'!A:A,D698)&gt;0,"Yes","No")</f>
        <v>Yes</v>
      </c>
      <c r="Q698" s="124" t="str" cm="1">
        <f t="array" ref="Q698">_xlfn.XLOOKUP(1,('Case Pack'!$A$4:$A$962=C698)*('Case Pack'!$L$4:$L$962&gt;0)*('Case Pack'!$L$4:$L$962&lt;=A698),'Case Pack'!$G$4:$G$962,"未找到箱型")</f>
        <v>A</v>
      </c>
      <c r="R698" s="124">
        <f>ROUND(IFERROR(VLOOKUP(Q698,'Case Type'!A:H,8,0),0)*O698,2)</f>
        <v>1.1</v>
      </c>
    </row>
    <row r="699" customFormat="1" spans="1:18">
      <c r="A699" s="113">
        <v>46219</v>
      </c>
      <c r="B699" s="91" t="str">
        <f>_xlfn.XLOOKUP(C699,'Product List'!B:B,'Product List'!I:I)</f>
        <v>MINI &amp; MOE WOODEN BRIDGE</v>
      </c>
      <c r="C699" s="94" t="s">
        <v>44</v>
      </c>
      <c r="D699" s="132">
        <v>454348667</v>
      </c>
      <c r="E699" s="132">
        <v>576</v>
      </c>
      <c r="F699" s="132">
        <v>3.01</v>
      </c>
      <c r="G699" s="125">
        <f t="shared" si="20"/>
        <v>1733.76</v>
      </c>
      <c r="H699" s="86" t="s">
        <v>328</v>
      </c>
      <c r="I699" s="86" t="s">
        <v>92</v>
      </c>
      <c r="J699" s="86" t="s">
        <v>354</v>
      </c>
      <c r="K699" s="267">
        <v>46235</v>
      </c>
      <c r="L699" s="267">
        <v>46239</v>
      </c>
      <c r="M699" s="127">
        <f>_xlfn.XLOOKUP(C699,'Product List'!B:B,'Product List'!R:R)</f>
        <v>1.83</v>
      </c>
      <c r="N699" s="124">
        <f t="shared" si="21"/>
        <v>1054.08</v>
      </c>
      <c r="O699" s="124" cm="1">
        <f t="array" ref="O699">E699/_xlfn.XLOOKUP(1,('Case Pack'!$A$4:$A$962=C699)*('Case Pack'!$L$4:$L$962&gt;0)*('Case Pack'!$L$4:$L$962&lt;=A699),'Case Pack'!$D$4:$D$962,"未找到箱规")</f>
        <v>12</v>
      </c>
      <c r="P699" s="124" t="str">
        <f>IF(COUNTIF('PO Check'!A:A,D699)&gt;0,"Yes","No")</f>
        <v>Yes</v>
      </c>
      <c r="Q699" s="124" t="str" cm="1">
        <f t="array" ref="Q699">_xlfn.XLOOKUP(1,('Case Pack'!$A$4:$A$962=C699)*('Case Pack'!$L$4:$L$962&gt;0)*('Case Pack'!$L$4:$L$962&lt;=A699),'Case Pack'!$G$4:$G$962,"未找到箱型")</f>
        <v>A</v>
      </c>
      <c r="R699" s="124">
        <f>ROUND(IFERROR(VLOOKUP(Q699,'Case Type'!A:H,8,0),0)*O699,2)</f>
        <v>1.32</v>
      </c>
    </row>
    <row r="700" customFormat="1" spans="1:18">
      <c r="A700" s="113">
        <v>46219</v>
      </c>
      <c r="B700" s="91" t="str">
        <f>_xlfn.XLOOKUP(C700,'Product List'!B:B,'Product List'!I:I)</f>
        <v>MINI &amp; MOE GARDEN DECOR CHEW</v>
      </c>
      <c r="C700" s="94" t="s">
        <v>45</v>
      </c>
      <c r="D700" s="132">
        <v>454348667</v>
      </c>
      <c r="E700" s="132">
        <v>585</v>
      </c>
      <c r="F700" s="132">
        <v>3.23</v>
      </c>
      <c r="G700" s="125">
        <f t="shared" si="20"/>
        <v>1889.55</v>
      </c>
      <c r="H700" s="86" t="s">
        <v>328</v>
      </c>
      <c r="I700" s="86" t="s">
        <v>92</v>
      </c>
      <c r="J700" s="86" t="s">
        <v>354</v>
      </c>
      <c r="K700" s="267">
        <v>46235</v>
      </c>
      <c r="L700" s="267">
        <v>46239</v>
      </c>
      <c r="M700" s="127">
        <f>_xlfn.XLOOKUP(C700,'Product List'!B:B,'Product List'!R:R)</f>
        <v>2.35</v>
      </c>
      <c r="N700" s="124">
        <f t="shared" si="21"/>
        <v>1374.75</v>
      </c>
      <c r="O700" s="124" cm="1">
        <f t="array" ref="O700">E700/_xlfn.XLOOKUP(1,('Case Pack'!$A$4:$A$962=C700)*('Case Pack'!$L$4:$L$962&gt;0)*('Case Pack'!$L$4:$L$962&lt;=A700),'Case Pack'!$D$4:$D$962,"未找到箱规")</f>
        <v>13</v>
      </c>
      <c r="P700" s="124" t="str">
        <f>IF(COUNTIF('PO Check'!A:A,D700)&gt;0,"Yes","No")</f>
        <v>Yes</v>
      </c>
      <c r="Q700" s="124" t="str" cm="1">
        <f t="array" ref="Q700">_xlfn.XLOOKUP(1,('Case Pack'!$A$4:$A$962=C700)*('Case Pack'!$L$4:$L$962&gt;0)*('Case Pack'!$L$4:$L$962&lt;=A700),'Case Pack'!$G$4:$G$962,"未找到箱型")</f>
        <v>B</v>
      </c>
      <c r="R700" s="124">
        <f>ROUND(IFERROR(VLOOKUP(Q700,'Case Type'!A:H,8,0),0)*O700,2)</f>
        <v>0.95</v>
      </c>
    </row>
    <row r="701" customFormat="1" spans="1:18">
      <c r="A701" s="113">
        <v>46219</v>
      </c>
      <c r="B701" s="91" t="str">
        <f>_xlfn.XLOOKUP(C701,'Product List'!B:B,'Product List'!I:I)</f>
        <v>MINI &amp; MOE TREE DECOR CHEW</v>
      </c>
      <c r="C701" s="94" t="s">
        <v>47</v>
      </c>
      <c r="D701" s="132">
        <v>454348667</v>
      </c>
      <c r="E701" s="132">
        <v>588</v>
      </c>
      <c r="F701" s="132">
        <v>3.53</v>
      </c>
      <c r="G701" s="125">
        <f t="shared" si="20"/>
        <v>2075.64</v>
      </c>
      <c r="H701" s="86" t="s">
        <v>328</v>
      </c>
      <c r="I701" s="86" t="s">
        <v>92</v>
      </c>
      <c r="J701" s="86" t="s">
        <v>354</v>
      </c>
      <c r="K701" s="267">
        <v>46235</v>
      </c>
      <c r="L701" s="267">
        <v>46239</v>
      </c>
      <c r="M701" s="127">
        <f>_xlfn.XLOOKUP(C701,'Product List'!B:B,'Product List'!R:R)</f>
        <v>3.1</v>
      </c>
      <c r="N701" s="124">
        <f t="shared" si="21"/>
        <v>1822.8</v>
      </c>
      <c r="O701" s="124" cm="1">
        <f t="array" ref="O701">E701/_xlfn.XLOOKUP(1,('Case Pack'!$A$4:$A$962=C701)*('Case Pack'!$L$4:$L$962&gt;0)*('Case Pack'!$L$4:$L$962&lt;=A701),'Case Pack'!$D$4:$D$962,"未找到箱规")</f>
        <v>21</v>
      </c>
      <c r="P701" s="124" t="str">
        <f>IF(COUNTIF('PO Check'!A:A,D701)&gt;0,"Yes","No")</f>
        <v>Yes</v>
      </c>
      <c r="Q701" s="124" t="str" cm="1">
        <f t="array" ref="Q701">_xlfn.XLOOKUP(1,('Case Pack'!$A$4:$A$962=C701)*('Case Pack'!$L$4:$L$962&gt;0)*('Case Pack'!$L$4:$L$962&lt;=A701),'Case Pack'!$G$4:$G$962,"未找到箱型")</f>
        <v>B</v>
      </c>
      <c r="R701" s="124">
        <f>ROUND(IFERROR(VLOOKUP(Q701,'Case Type'!A:H,8,0),0)*O701,2)</f>
        <v>1.54</v>
      </c>
    </row>
    <row r="702" customFormat="1" spans="1:18">
      <c r="A702" s="113">
        <v>46219</v>
      </c>
      <c r="B702" s="91" t="str">
        <f>_xlfn.XLOOKUP(C702,'Product List'!B:B,'Product List'!I:I)</f>
        <v>MINI &amp; MOE COTTAGE HIDE</v>
      </c>
      <c r="C702" s="94" t="s">
        <v>53</v>
      </c>
      <c r="D702" s="132">
        <v>454348667</v>
      </c>
      <c r="E702" s="132">
        <v>576</v>
      </c>
      <c r="F702" s="132">
        <v>6.28</v>
      </c>
      <c r="G702" s="125">
        <f t="shared" si="20"/>
        <v>3617.28</v>
      </c>
      <c r="H702" s="86" t="s">
        <v>328</v>
      </c>
      <c r="I702" s="86" t="s">
        <v>92</v>
      </c>
      <c r="J702" s="86" t="s">
        <v>354</v>
      </c>
      <c r="K702" s="267">
        <v>46235</v>
      </c>
      <c r="L702" s="267">
        <v>46239</v>
      </c>
      <c r="M702" s="127">
        <f>_xlfn.XLOOKUP(C702,'Product List'!B:B,'Product List'!R:R)</f>
        <v>3.61</v>
      </c>
      <c r="N702" s="124">
        <f t="shared" si="21"/>
        <v>2079.36</v>
      </c>
      <c r="O702" s="124" cm="1">
        <f t="array" ref="O702">E702/_xlfn.XLOOKUP(1,('Case Pack'!$A$4:$A$962=C702)*('Case Pack'!$L$4:$L$962&gt;0)*('Case Pack'!$L$4:$L$962&lt;=A702),'Case Pack'!$D$4:$D$962,"未找到箱规")</f>
        <v>24</v>
      </c>
      <c r="P702" s="124" t="str">
        <f>IF(COUNTIF('PO Check'!A:A,D702)&gt;0,"Yes","No")</f>
        <v>Yes</v>
      </c>
      <c r="Q702" s="124" t="str" cm="1">
        <f t="array" ref="Q702">_xlfn.XLOOKUP(1,('Case Pack'!$A$4:$A$962=C702)*('Case Pack'!$L$4:$L$962&gt;0)*('Case Pack'!$L$4:$L$962&lt;=A702),'Case Pack'!$G$4:$G$962,"未找到箱型")</f>
        <v>C</v>
      </c>
      <c r="R702" s="124">
        <f>ROUND(IFERROR(VLOOKUP(Q702,'Case Type'!A:H,8,0),0)*O702,2)</f>
        <v>3.78</v>
      </c>
    </row>
    <row r="703" customFormat="1" spans="1:18">
      <c r="A703" s="113">
        <v>46219</v>
      </c>
      <c r="B703" s="91" t="str">
        <f>_xlfn.XLOOKUP(C703,'Product List'!B:B,'Product List'!I:I)</f>
        <v>MINI/MOE CAMPING TENT HIDE</v>
      </c>
      <c r="C703" s="94" t="s">
        <v>73</v>
      </c>
      <c r="D703" s="132">
        <v>454348667</v>
      </c>
      <c r="E703" s="132">
        <v>576</v>
      </c>
      <c r="F703" s="132">
        <v>3.35</v>
      </c>
      <c r="G703" s="125">
        <f t="shared" si="20"/>
        <v>1929.6</v>
      </c>
      <c r="H703" s="86" t="s">
        <v>328</v>
      </c>
      <c r="I703" s="86" t="s">
        <v>92</v>
      </c>
      <c r="J703" s="86" t="s">
        <v>354</v>
      </c>
      <c r="K703" s="267">
        <v>46235</v>
      </c>
      <c r="L703" s="267">
        <v>46239</v>
      </c>
      <c r="M703" s="127">
        <f>_xlfn.XLOOKUP(C703,'Product List'!B:B,'Product List'!R:R)</f>
        <v>1.96</v>
      </c>
      <c r="N703" s="124">
        <f t="shared" si="21"/>
        <v>1128.96</v>
      </c>
      <c r="O703" s="124" cm="1">
        <f t="array" ref="O703">E703/_xlfn.XLOOKUP(1,('Case Pack'!$A$4:$A$962=C703)*('Case Pack'!$L$4:$L$962&gt;0)*('Case Pack'!$L$4:$L$962&lt;=A703),'Case Pack'!$D$4:$D$962,"未找到箱规")</f>
        <v>48</v>
      </c>
      <c r="P703" s="124" t="str">
        <f>IF(COUNTIF('PO Check'!A:A,D703)&gt;0,"Yes","No")</f>
        <v>Yes</v>
      </c>
      <c r="Q703" s="124" t="str" cm="1">
        <f t="array" ref="Q703">_xlfn.XLOOKUP(1,('Case Pack'!$A$4:$A$962=C703)*('Case Pack'!$L$4:$L$962&gt;0)*('Case Pack'!$L$4:$L$962&lt;=A703),'Case Pack'!$G$4:$G$962,"未找到箱型")</f>
        <v>B</v>
      </c>
      <c r="R703" s="124">
        <f>ROUND(IFERROR(VLOOKUP(Q703,'Case Type'!A:H,8,0),0)*O703,2)</f>
        <v>3.52</v>
      </c>
    </row>
    <row r="704" customFormat="1" spans="1:18">
      <c r="A704" s="113">
        <v>46230</v>
      </c>
      <c r="B704" s="91" t="str">
        <f>_xlfn.XLOOKUP(C704,'Product List'!B:B,'Product List'!I:I)</f>
        <v>MINI/MOE SILENT CRSTL RUN WHEEL LG 8.5-Green</v>
      </c>
      <c r="C704" s="94" t="s">
        <v>28</v>
      </c>
      <c r="D704" s="132" t="s">
        <v>355</v>
      </c>
      <c r="E704" s="132">
        <v>24</v>
      </c>
      <c r="F704" s="132">
        <v>12.63</v>
      </c>
      <c r="G704" s="125">
        <f t="shared" si="20"/>
        <v>303.12</v>
      </c>
      <c r="H704" s="131" t="s">
        <v>306</v>
      </c>
      <c r="I704" s="86" t="s">
        <v>92</v>
      </c>
      <c r="J704" s="86" t="s">
        <v>307</v>
      </c>
      <c r="K704" s="267">
        <v>46251</v>
      </c>
      <c r="L704" s="267">
        <v>46241</v>
      </c>
      <c r="M704" s="127">
        <f>_xlfn.XLOOKUP(C704,'Product List'!B:B,'Product List'!R:R)</f>
        <v>6.27</v>
      </c>
      <c r="N704" s="124">
        <f t="shared" si="21"/>
        <v>150.48</v>
      </c>
      <c r="O704" s="124" cm="1">
        <f t="array" ref="O704">E704/_xlfn.XLOOKUP(1,('Case Pack'!$A$4:$A$962=C704)*('Case Pack'!$L$4:$L$962&gt;0)*('Case Pack'!$L$4:$L$962&lt;=A704),'Case Pack'!$D$4:$D$962,"未找到箱规")</f>
        <v>3</v>
      </c>
      <c r="P704" s="124" t="str">
        <f>IF(COUNTIF('PO Check'!A:A,D704)&gt;0,"Yes","No")</f>
        <v>Yes</v>
      </c>
      <c r="Q704" s="124" t="str" cm="1">
        <f t="array" ref="Q704">_xlfn.XLOOKUP(1,('Case Pack'!$A$4:$A$962=C704)*('Case Pack'!$L$4:$L$962&gt;0)*('Case Pack'!$L$4:$L$962&lt;=A704),'Case Pack'!$G$4:$G$962,"未找到箱型")</f>
        <v>C</v>
      </c>
      <c r="R704" s="124">
        <f>ROUND(IFERROR(VLOOKUP(Q704,'Case Type'!A:H,8,0),0)*O704,2)</f>
        <v>0.47</v>
      </c>
    </row>
    <row r="705" customFormat="1" spans="1:18">
      <c r="A705" s="113">
        <v>46230</v>
      </c>
      <c r="B705" s="91" t="str">
        <f>_xlfn.XLOOKUP(C705,'Product List'!B:B,'Product List'!I:I)</f>
        <v>MINI/MOE MUSHROOM CABIN</v>
      </c>
      <c r="C705" s="94" t="s">
        <v>39</v>
      </c>
      <c r="D705" s="132" t="s">
        <v>355</v>
      </c>
      <c r="E705" s="132">
        <v>64</v>
      </c>
      <c r="F705" s="132">
        <v>6.98</v>
      </c>
      <c r="G705" s="125">
        <f t="shared" si="20"/>
        <v>446.72</v>
      </c>
      <c r="H705" s="131" t="s">
        <v>306</v>
      </c>
      <c r="I705" s="86" t="s">
        <v>92</v>
      </c>
      <c r="J705" s="86" t="s">
        <v>307</v>
      </c>
      <c r="K705" s="267">
        <v>46251</v>
      </c>
      <c r="L705" s="267">
        <v>46241</v>
      </c>
      <c r="M705" s="127">
        <f>_xlfn.XLOOKUP(C705,'Product List'!B:B,'Product List'!R:R)</f>
        <v>3.2</v>
      </c>
      <c r="N705" s="124">
        <f t="shared" si="21"/>
        <v>204.8</v>
      </c>
      <c r="O705" s="124" cm="1">
        <f t="array" ref="O705">E705/_xlfn.XLOOKUP(1,('Case Pack'!$A$4:$A$962=C705)*('Case Pack'!$L$4:$L$962&gt;0)*('Case Pack'!$L$4:$L$962&lt;=A705),'Case Pack'!$D$4:$D$962,"未找到箱规")</f>
        <v>4</v>
      </c>
      <c r="P705" s="124" t="str">
        <f>IF(COUNTIF('PO Check'!A:A,D705)&gt;0,"Yes","No")</f>
        <v>Yes</v>
      </c>
      <c r="Q705" s="124" t="str" cm="1">
        <f t="array" ref="Q705">_xlfn.XLOOKUP(1,('Case Pack'!$A$4:$A$962=C705)*('Case Pack'!$L$4:$L$962&gt;0)*('Case Pack'!$L$4:$L$962&lt;=A705),'Case Pack'!$G$4:$G$962,"未找到箱型")</f>
        <v>C</v>
      </c>
      <c r="R705" s="124">
        <f>ROUND(IFERROR(VLOOKUP(Q705,'Case Type'!A:H,8,0),0)*O705,2)</f>
        <v>0.63</v>
      </c>
    </row>
    <row r="706" customFormat="1" spans="1:18">
      <c r="A706" s="113">
        <v>46230</v>
      </c>
      <c r="B706" s="91" t="str">
        <f>_xlfn.XLOOKUP(C706,'Product List'!B:B,'Product List'!I:I)</f>
        <v>MINI/MOE TREEHOUSE CABIN</v>
      </c>
      <c r="C706" s="94" t="s">
        <v>41</v>
      </c>
      <c r="D706" s="132" t="s">
        <v>355</v>
      </c>
      <c r="E706" s="132">
        <v>30</v>
      </c>
      <c r="F706" s="132">
        <v>4.28</v>
      </c>
      <c r="G706" s="125">
        <f t="shared" si="20"/>
        <v>128.4</v>
      </c>
      <c r="H706" s="131" t="s">
        <v>306</v>
      </c>
      <c r="I706" s="86" t="s">
        <v>92</v>
      </c>
      <c r="J706" s="86" t="s">
        <v>307</v>
      </c>
      <c r="K706" s="267">
        <v>46251</v>
      </c>
      <c r="L706" s="267">
        <v>46241</v>
      </c>
      <c r="M706" s="127">
        <f>_xlfn.XLOOKUP(C706,'Product List'!B:B,'Product List'!R:R)</f>
        <v>2.07</v>
      </c>
      <c r="N706" s="124">
        <f t="shared" si="21"/>
        <v>62.1</v>
      </c>
      <c r="O706" s="124" cm="1">
        <f t="array" ref="O706">E706/_xlfn.XLOOKUP(1,('Case Pack'!$A$4:$A$962=C706)*('Case Pack'!$L$4:$L$962&gt;0)*('Case Pack'!$L$4:$L$962&lt;=A706),'Case Pack'!$D$4:$D$962,"未找到箱规")</f>
        <v>1</v>
      </c>
      <c r="P706" s="124" t="str">
        <f>IF(COUNTIF('PO Check'!A:A,D706)&gt;0,"Yes","No")</f>
        <v>Yes</v>
      </c>
      <c r="Q706" s="124" t="str" cm="1">
        <f t="array" ref="Q706">_xlfn.XLOOKUP(1,('Case Pack'!$A$4:$A$962=C706)*('Case Pack'!$L$4:$L$962&gt;0)*('Case Pack'!$L$4:$L$962&lt;=A706),'Case Pack'!$G$4:$G$962,"未找到箱型")</f>
        <v>C</v>
      </c>
      <c r="R706" s="124">
        <f>ROUND(IFERROR(VLOOKUP(Q706,'Case Type'!A:H,8,0),0)*O706,2)</f>
        <v>0.16</v>
      </c>
    </row>
    <row r="707" customFormat="1" spans="1:18">
      <c r="A707" s="113">
        <v>46230</v>
      </c>
      <c r="B707" s="91" t="str">
        <f>_xlfn.XLOOKUP(C707,'Product List'!B:B,'Product List'!I:I)</f>
        <v>MINI/MOE GARDEN TEAPOT</v>
      </c>
      <c r="C707" s="94" t="s">
        <v>43</v>
      </c>
      <c r="D707" s="132" t="s">
        <v>355</v>
      </c>
      <c r="E707" s="132">
        <v>60</v>
      </c>
      <c r="F707" s="132">
        <v>4.61</v>
      </c>
      <c r="G707" s="125">
        <f t="shared" si="20"/>
        <v>276.6</v>
      </c>
      <c r="H707" s="131" t="s">
        <v>306</v>
      </c>
      <c r="I707" s="86" t="s">
        <v>92</v>
      </c>
      <c r="J707" s="86" t="s">
        <v>307</v>
      </c>
      <c r="K707" s="267">
        <v>46251</v>
      </c>
      <c r="L707" s="267">
        <v>46241</v>
      </c>
      <c r="M707" s="127">
        <f>_xlfn.XLOOKUP(C707,'Product List'!B:B,'Product List'!R:R)</f>
        <v>2.25</v>
      </c>
      <c r="N707" s="124">
        <f t="shared" si="21"/>
        <v>135</v>
      </c>
      <c r="O707" s="124" cm="1">
        <f t="array" ref="O707">E707/_xlfn.XLOOKUP(1,('Case Pack'!$A$4:$A$962=C707)*('Case Pack'!$L$4:$L$962&gt;0)*('Case Pack'!$L$4:$L$962&lt;=A707),'Case Pack'!$D$4:$D$962,"未找到箱规")</f>
        <v>2</v>
      </c>
      <c r="P707" s="124" t="str">
        <f>IF(COUNTIF('PO Check'!A:A,D707)&gt;0,"Yes","No")</f>
        <v>Yes</v>
      </c>
      <c r="Q707" s="124" t="str" cm="1">
        <f t="array" ref="Q707">_xlfn.XLOOKUP(1,('Case Pack'!$A$4:$A$962=C707)*('Case Pack'!$L$4:$L$962&gt;0)*('Case Pack'!$L$4:$L$962&lt;=A707),'Case Pack'!$G$4:$G$962,"未找到箱型")</f>
        <v>C</v>
      </c>
      <c r="R707" s="124">
        <f>ROUND(IFERROR(VLOOKUP(Q707,'Case Type'!A:H,8,0),0)*O707,2)</f>
        <v>0.31</v>
      </c>
    </row>
    <row r="708" customFormat="1" spans="1:18">
      <c r="A708" s="113">
        <v>46230</v>
      </c>
      <c r="B708" s="91" t="str">
        <f>_xlfn.XLOOKUP(C708,'Product List'!B:B,'Product List'!I:I)</f>
        <v>MINI/MOE TULIP WATER BOTTLE</v>
      </c>
      <c r="C708" s="94" t="s">
        <v>52</v>
      </c>
      <c r="D708" s="132" t="s">
        <v>355</v>
      </c>
      <c r="E708" s="132">
        <v>120</v>
      </c>
      <c r="F708" s="132">
        <v>1.7</v>
      </c>
      <c r="G708" s="125">
        <f t="shared" si="20"/>
        <v>204</v>
      </c>
      <c r="H708" s="131" t="s">
        <v>306</v>
      </c>
      <c r="I708" s="86" t="s">
        <v>92</v>
      </c>
      <c r="J708" s="86" t="s">
        <v>307</v>
      </c>
      <c r="K708" s="267">
        <v>46251</v>
      </c>
      <c r="L708" s="267">
        <v>46241</v>
      </c>
      <c r="M708" s="127">
        <f>_xlfn.XLOOKUP(C708,'Product List'!B:B,'Product List'!R:R)</f>
        <v>0.73</v>
      </c>
      <c r="N708" s="124">
        <f t="shared" si="21"/>
        <v>87.6</v>
      </c>
      <c r="O708" s="124" cm="1">
        <f t="array" ref="O708">E708/_xlfn.XLOOKUP(1,('Case Pack'!$A$4:$A$962=C708)*('Case Pack'!$L$4:$L$962&gt;0)*('Case Pack'!$L$4:$L$962&lt;=A708),'Case Pack'!$D$4:$D$962,"未找到箱规")</f>
        <v>2</v>
      </c>
      <c r="P708" s="124" t="str">
        <f>IF(COUNTIF('PO Check'!A:A,D708)&gt;0,"Yes","No")</f>
        <v>Yes</v>
      </c>
      <c r="Q708" s="124" t="str" cm="1">
        <f t="array" ref="Q708">_xlfn.XLOOKUP(1,('Case Pack'!$A$4:$A$962=C708)*('Case Pack'!$L$4:$L$962&gt;0)*('Case Pack'!$L$4:$L$962&lt;=A708),'Case Pack'!$G$4:$G$962,"未找到箱型")</f>
        <v>C</v>
      </c>
      <c r="R708" s="124">
        <f>ROUND(IFERROR(VLOOKUP(Q708,'Case Type'!A:H,8,0),0)*O708,2)</f>
        <v>0.31</v>
      </c>
    </row>
    <row r="709" customFormat="1" spans="1:18">
      <c r="A709" s="113">
        <v>46230</v>
      </c>
      <c r="B709" s="91" t="str">
        <f>_xlfn.XLOOKUP(C709,'Product List'!B:B,'Product List'!I:I)</f>
        <v>MINI/MOE CAMPING TENT HIDE</v>
      </c>
      <c r="C709" s="94" t="s">
        <v>73</v>
      </c>
      <c r="D709" s="132" t="s">
        <v>355</v>
      </c>
      <c r="E709" s="132">
        <v>60</v>
      </c>
      <c r="F709" s="132">
        <v>3.36</v>
      </c>
      <c r="G709" s="125">
        <f t="shared" si="20"/>
        <v>201.6</v>
      </c>
      <c r="H709" s="131" t="s">
        <v>306</v>
      </c>
      <c r="I709" s="86" t="s">
        <v>92</v>
      </c>
      <c r="J709" s="86" t="s">
        <v>307</v>
      </c>
      <c r="K709" s="267">
        <v>46251</v>
      </c>
      <c r="L709" s="267">
        <v>46241</v>
      </c>
      <c r="M709" s="127">
        <f>_xlfn.XLOOKUP(C709,'Product List'!B:B,'Product List'!R:R)</f>
        <v>1.96</v>
      </c>
      <c r="N709" s="124">
        <f t="shared" si="21"/>
        <v>117.6</v>
      </c>
      <c r="O709" s="124" cm="1">
        <f t="array" ref="O709">E709/_xlfn.XLOOKUP(1,('Case Pack'!$A$4:$A$962=C709)*('Case Pack'!$L$4:$L$962&gt;0)*('Case Pack'!$L$4:$L$962&lt;=A709),'Case Pack'!$D$4:$D$962,"未找到箱规")</f>
        <v>5</v>
      </c>
      <c r="P709" s="124" t="str">
        <f>IF(COUNTIF('PO Check'!A:A,D709)&gt;0,"Yes","No")</f>
        <v>Yes</v>
      </c>
      <c r="Q709" s="124" t="str" cm="1">
        <f t="array" ref="Q709">_xlfn.XLOOKUP(1,('Case Pack'!$A$4:$A$962=C709)*('Case Pack'!$L$4:$L$962&gt;0)*('Case Pack'!$L$4:$L$962&lt;=A709),'Case Pack'!$G$4:$G$962,"未找到箱型")</f>
        <v>B</v>
      </c>
      <c r="R709" s="124">
        <f>ROUND(IFERROR(VLOOKUP(Q709,'Case Type'!A:H,8,0),0)*O709,2)</f>
        <v>0.37</v>
      </c>
    </row>
    <row r="710" customFormat="1" spans="1:18">
      <c r="A710" s="113">
        <v>46230</v>
      </c>
      <c r="B710" s="91" t="str">
        <f>_xlfn.XLOOKUP(C710,'Product List'!B:B,'Product List'!I:I)</f>
        <v>MINI/MOE WOODLAND POTTY</v>
      </c>
      <c r="C710" s="94" t="s">
        <v>79</v>
      </c>
      <c r="D710" s="132" t="s">
        <v>355</v>
      </c>
      <c r="E710" s="132">
        <v>36</v>
      </c>
      <c r="F710" s="132">
        <v>2.61</v>
      </c>
      <c r="G710" s="125">
        <f t="shared" si="20"/>
        <v>93.96</v>
      </c>
      <c r="H710" s="131" t="s">
        <v>306</v>
      </c>
      <c r="I710" s="86" t="s">
        <v>92</v>
      </c>
      <c r="J710" s="86" t="s">
        <v>307</v>
      </c>
      <c r="K710" s="267">
        <v>46251</v>
      </c>
      <c r="L710" s="267">
        <v>46241</v>
      </c>
      <c r="M710" s="127">
        <f>_xlfn.XLOOKUP(C710,'Product List'!B:B,'Product List'!R:R)</f>
        <v>1.19</v>
      </c>
      <c r="N710" s="124">
        <f t="shared" si="21"/>
        <v>42.84</v>
      </c>
      <c r="O710" s="124" cm="1">
        <f t="array" ref="O710">E710/_xlfn.XLOOKUP(1,('Case Pack'!$A$4:$A$962=C710)*('Case Pack'!$L$4:$L$962&gt;0)*('Case Pack'!$L$4:$L$962&lt;=A710),'Case Pack'!$D$4:$D$962,"未找到箱规")</f>
        <v>1</v>
      </c>
      <c r="P710" s="124" t="str">
        <f>IF(COUNTIF('PO Check'!A:A,D710)&gt;0,"Yes","No")</f>
        <v>Yes</v>
      </c>
      <c r="Q710" s="124" t="str" cm="1">
        <f t="array" ref="Q710">_xlfn.XLOOKUP(1,('Case Pack'!$A$4:$A$962=C710)*('Case Pack'!$L$4:$L$962&gt;0)*('Case Pack'!$L$4:$L$962&lt;=A710),'Case Pack'!$G$4:$G$962,"未找到箱型")</f>
        <v>C</v>
      </c>
      <c r="R710" s="124">
        <f>ROUND(IFERROR(VLOOKUP(Q710,'Case Type'!A:H,8,0),0)*O710,2)</f>
        <v>0.16</v>
      </c>
    </row>
    <row r="711" customFormat="1" spans="1:18">
      <c r="A711" s="113">
        <v>46230</v>
      </c>
      <c r="B711" s="91" t="str">
        <f>_xlfn.XLOOKUP(C711,'Product List'!B:B,'Product List'!I:I)</f>
        <v>MINI/MOE MUSHROOM CABIN</v>
      </c>
      <c r="C711" s="94" t="s">
        <v>39</v>
      </c>
      <c r="D711" s="132" t="s">
        <v>356</v>
      </c>
      <c r="E711" s="132">
        <v>16</v>
      </c>
      <c r="F711" s="132">
        <v>6.98</v>
      </c>
      <c r="G711" s="125">
        <f t="shared" si="20"/>
        <v>111.68</v>
      </c>
      <c r="H711" s="131" t="s">
        <v>306</v>
      </c>
      <c r="I711" s="86" t="s">
        <v>92</v>
      </c>
      <c r="J711" s="86" t="s">
        <v>313</v>
      </c>
      <c r="K711" s="267">
        <v>46251</v>
      </c>
      <c r="L711" s="267">
        <v>46241</v>
      </c>
      <c r="M711" s="127">
        <f>_xlfn.XLOOKUP(C711,'Product List'!B:B,'Product List'!R:R)</f>
        <v>3.2</v>
      </c>
      <c r="N711" s="124">
        <f t="shared" si="21"/>
        <v>51.2</v>
      </c>
      <c r="O711" s="124" cm="1">
        <f t="array" ref="O711">E711/_xlfn.XLOOKUP(1,('Case Pack'!$A$4:$A$962=C711)*('Case Pack'!$L$4:$L$962&gt;0)*('Case Pack'!$L$4:$L$962&lt;=A711),'Case Pack'!$D$4:$D$962,"未找到箱规")</f>
        <v>1</v>
      </c>
      <c r="P711" s="124" t="str">
        <f>IF(COUNTIF('PO Check'!A:A,D711)&gt;0,"Yes","No")</f>
        <v>Yes</v>
      </c>
      <c r="Q711" s="124" t="str" cm="1">
        <f t="array" ref="Q711">_xlfn.XLOOKUP(1,('Case Pack'!$A$4:$A$962=C711)*('Case Pack'!$L$4:$L$962&gt;0)*('Case Pack'!$L$4:$L$962&lt;=A711),'Case Pack'!$G$4:$G$962,"未找到箱型")</f>
        <v>C</v>
      </c>
      <c r="R711" s="124">
        <f>ROUND(IFERROR(VLOOKUP(Q711,'Case Type'!A:H,8,0),0)*O711,2)</f>
        <v>0.16</v>
      </c>
    </row>
    <row r="712" customFormat="1" spans="1:18">
      <c r="A712" s="113">
        <v>46230</v>
      </c>
      <c r="B712" s="91" t="str">
        <f>_xlfn.XLOOKUP(C712,'Product List'!B:B,'Product List'!I:I)</f>
        <v>MINI/MOE TREEHOUSE CABIN</v>
      </c>
      <c r="C712" s="94" t="s">
        <v>41</v>
      </c>
      <c r="D712" s="132" t="s">
        <v>356</v>
      </c>
      <c r="E712" s="132">
        <v>30</v>
      </c>
      <c r="F712" s="132">
        <v>4.28</v>
      </c>
      <c r="G712" s="125">
        <f t="shared" si="20"/>
        <v>128.4</v>
      </c>
      <c r="H712" s="131" t="s">
        <v>306</v>
      </c>
      <c r="I712" s="86" t="s">
        <v>92</v>
      </c>
      <c r="J712" s="86" t="s">
        <v>313</v>
      </c>
      <c r="K712" s="267">
        <v>46251</v>
      </c>
      <c r="L712" s="267">
        <v>46241</v>
      </c>
      <c r="M712" s="127">
        <f>_xlfn.XLOOKUP(C712,'Product List'!B:B,'Product List'!R:R)</f>
        <v>2.07</v>
      </c>
      <c r="N712" s="124">
        <f t="shared" si="21"/>
        <v>62.1</v>
      </c>
      <c r="O712" s="124" cm="1">
        <f t="array" ref="O712">E712/_xlfn.XLOOKUP(1,('Case Pack'!$A$4:$A$962=C712)*('Case Pack'!$L$4:$L$962&gt;0)*('Case Pack'!$L$4:$L$962&lt;=A712),'Case Pack'!$D$4:$D$962,"未找到箱规")</f>
        <v>1</v>
      </c>
      <c r="P712" s="124" t="str">
        <f>IF(COUNTIF('PO Check'!A:A,D712)&gt;0,"Yes","No")</f>
        <v>Yes</v>
      </c>
      <c r="Q712" s="124" t="str" cm="1">
        <f t="array" ref="Q712">_xlfn.XLOOKUP(1,('Case Pack'!$A$4:$A$962=C712)*('Case Pack'!$L$4:$L$962&gt;0)*('Case Pack'!$L$4:$L$962&lt;=A712),'Case Pack'!$G$4:$G$962,"未找到箱型")</f>
        <v>C</v>
      </c>
      <c r="R712" s="124">
        <f>ROUND(IFERROR(VLOOKUP(Q712,'Case Type'!A:H,8,0),0)*O712,2)</f>
        <v>0.16</v>
      </c>
    </row>
    <row r="713" customFormat="1" spans="1:18">
      <c r="A713" s="113">
        <v>46230</v>
      </c>
      <c r="B713" s="91" t="str">
        <f>_xlfn.XLOOKUP(C713,'Product List'!B:B,'Product List'!I:I)</f>
        <v>MINI/MOE IVY BURROWING BOX</v>
      </c>
      <c r="C713" s="94" t="s">
        <v>49</v>
      </c>
      <c r="D713" s="132" t="s">
        <v>356</v>
      </c>
      <c r="E713" s="132">
        <v>4</v>
      </c>
      <c r="F713" s="132">
        <v>14.89</v>
      </c>
      <c r="G713" s="125">
        <f t="shared" si="20"/>
        <v>59.56</v>
      </c>
      <c r="H713" s="131" t="s">
        <v>306</v>
      </c>
      <c r="I713" s="86" t="s">
        <v>92</v>
      </c>
      <c r="J713" s="86" t="s">
        <v>313</v>
      </c>
      <c r="K713" s="267">
        <v>46251</v>
      </c>
      <c r="L713" s="267">
        <v>46241</v>
      </c>
      <c r="M713" s="127">
        <f>_xlfn.XLOOKUP(C713,'Product List'!B:B,'Product List'!R:R)</f>
        <v>7.16</v>
      </c>
      <c r="N713" s="124">
        <f t="shared" si="21"/>
        <v>28.64</v>
      </c>
      <c r="O713" s="124" cm="1">
        <f t="array" ref="O713">E713/_xlfn.XLOOKUP(1,('Case Pack'!$A$4:$A$962=C713)*('Case Pack'!$L$4:$L$962&gt;0)*('Case Pack'!$L$4:$L$962&lt;=A713),'Case Pack'!$D$4:$D$962,"未找到箱规")</f>
        <v>1</v>
      </c>
      <c r="P713" s="124" t="str">
        <f>IF(COUNTIF('PO Check'!A:A,D713)&gt;0,"Yes","No")</f>
        <v>Yes</v>
      </c>
      <c r="Q713" s="124" t="str" cm="1">
        <f t="array" ref="Q713">_xlfn.XLOOKUP(1,('Case Pack'!$A$4:$A$962=C713)*('Case Pack'!$L$4:$L$962&gt;0)*('Case Pack'!$L$4:$L$962&lt;=A713),'Case Pack'!$G$4:$G$962,"未找到箱型")</f>
        <v>D</v>
      </c>
      <c r="R713" s="124">
        <f>ROUND(IFERROR(VLOOKUP(Q713,'Case Type'!A:H,8,0),0)*O713,2)</f>
        <v>0.09</v>
      </c>
    </row>
    <row r="714" customFormat="1" spans="1:18">
      <c r="A714" s="113">
        <v>46230</v>
      </c>
      <c r="B714" s="91" t="str">
        <f>_xlfn.XLOOKUP(C714,'Product List'!B:B,'Product List'!I:I)</f>
        <v>MINI/MOE CAMPING TENT HIDE</v>
      </c>
      <c r="C714" s="94" t="s">
        <v>73</v>
      </c>
      <c r="D714" s="132" t="s">
        <v>356</v>
      </c>
      <c r="E714" s="132">
        <v>24</v>
      </c>
      <c r="F714" s="132">
        <v>3.36</v>
      </c>
      <c r="G714" s="125">
        <f t="shared" si="20"/>
        <v>80.64</v>
      </c>
      <c r="H714" s="131" t="s">
        <v>306</v>
      </c>
      <c r="I714" s="86" t="s">
        <v>92</v>
      </c>
      <c r="J714" s="86" t="s">
        <v>313</v>
      </c>
      <c r="K714" s="267">
        <v>46251</v>
      </c>
      <c r="L714" s="267">
        <v>46241</v>
      </c>
      <c r="M714" s="127">
        <f>_xlfn.XLOOKUP(C714,'Product List'!B:B,'Product List'!R:R)</f>
        <v>1.96</v>
      </c>
      <c r="N714" s="124">
        <f t="shared" si="21"/>
        <v>47.04</v>
      </c>
      <c r="O714" s="124" cm="1">
        <f t="array" ref="O714">E714/_xlfn.XLOOKUP(1,('Case Pack'!$A$4:$A$962=C714)*('Case Pack'!$L$4:$L$962&gt;0)*('Case Pack'!$L$4:$L$962&lt;=A714),'Case Pack'!$D$4:$D$962,"未找到箱规")</f>
        <v>2</v>
      </c>
      <c r="P714" s="124" t="str">
        <f>IF(COUNTIF('PO Check'!A:A,D714)&gt;0,"Yes","No")</f>
        <v>Yes</v>
      </c>
      <c r="Q714" s="124" t="str" cm="1">
        <f t="array" ref="Q714">_xlfn.XLOOKUP(1,('Case Pack'!$A$4:$A$962=C714)*('Case Pack'!$L$4:$L$962&gt;0)*('Case Pack'!$L$4:$L$962&lt;=A714),'Case Pack'!$G$4:$G$962,"未找到箱型")</f>
        <v>B</v>
      </c>
      <c r="R714" s="124">
        <f>ROUND(IFERROR(VLOOKUP(Q714,'Case Type'!A:H,8,0),0)*O714,2)</f>
        <v>0.15</v>
      </c>
    </row>
    <row r="715" customFormat="1" spans="1:18">
      <c r="A715" s="113">
        <v>46234</v>
      </c>
      <c r="B715" s="91" t="str">
        <f>_xlfn.XLOOKUP(C715,'Product List'!B:B,'Product List'!I:I)</f>
        <v>MINI/MOE IVY BURROWING BOX</v>
      </c>
      <c r="C715" s="94" t="s">
        <v>49</v>
      </c>
      <c r="D715" s="132" t="s">
        <v>357</v>
      </c>
      <c r="E715" s="132">
        <v>120</v>
      </c>
      <c r="F715" s="132">
        <v>14.89</v>
      </c>
      <c r="G715" s="125">
        <f t="shared" si="20"/>
        <v>1786.8</v>
      </c>
      <c r="H715" s="131" t="s">
        <v>306</v>
      </c>
      <c r="I715" s="86" t="s">
        <v>92</v>
      </c>
      <c r="J715" s="86" t="s">
        <v>313</v>
      </c>
      <c r="K715" s="267">
        <v>46276</v>
      </c>
      <c r="L715" s="267">
        <v>46266</v>
      </c>
      <c r="M715" s="127">
        <f>_xlfn.XLOOKUP(C715,'Product List'!B:B,'Product List'!R:R)</f>
        <v>7.16</v>
      </c>
      <c r="N715" s="124">
        <f t="shared" si="21"/>
        <v>859.2</v>
      </c>
      <c r="O715" s="124" cm="1">
        <f t="array" ref="O715">E715/_xlfn.XLOOKUP(1,('Case Pack'!$A$4:$A$962=C715)*('Case Pack'!$L$4:$L$962&gt;0)*('Case Pack'!$L$4:$L$962&lt;=A715),'Case Pack'!$D$4:$D$962,"未找到箱规")</f>
        <v>30</v>
      </c>
      <c r="P715" s="124" t="str">
        <f>IF(COUNTIF('PO Check'!A:A,D715)&gt;0,"Yes","No")</f>
        <v>Yes</v>
      </c>
      <c r="Q715" s="124" t="str" cm="1">
        <f t="array" ref="Q715">_xlfn.XLOOKUP(1,('Case Pack'!$A$4:$A$962=C715)*('Case Pack'!$L$4:$L$962&gt;0)*('Case Pack'!$L$4:$L$962&lt;=A715),'Case Pack'!$G$4:$G$962,"未找到箱型")</f>
        <v>D</v>
      </c>
      <c r="R715" s="124">
        <f>ROUND(IFERROR(VLOOKUP(Q715,'Case Type'!A:H,8,0),0)*O715,2)</f>
        <v>2.64</v>
      </c>
    </row>
    <row r="716" customFormat="1" spans="1:18">
      <c r="A716" s="113">
        <v>46234</v>
      </c>
      <c r="B716" s="91" t="str">
        <f>_xlfn.XLOOKUP(C716,'Product List'!B:B,'Product List'!I:I)</f>
        <v>MINI/MOE SMALL ANIMAL BEDDING NESTING COTTON BALLS LAV 23LT</v>
      </c>
      <c r="C716" s="94" t="s">
        <v>86</v>
      </c>
      <c r="D716" s="132" t="s">
        <v>357</v>
      </c>
      <c r="E716" s="132">
        <v>384</v>
      </c>
      <c r="F716" s="132">
        <v>3.26</v>
      </c>
      <c r="G716" s="125">
        <f t="shared" si="20"/>
        <v>1251.84</v>
      </c>
      <c r="H716" s="131" t="s">
        <v>306</v>
      </c>
      <c r="I716" s="86" t="s">
        <v>92</v>
      </c>
      <c r="J716" s="86" t="s">
        <v>313</v>
      </c>
      <c r="K716" s="267">
        <v>46276</v>
      </c>
      <c r="L716" s="267">
        <v>46266</v>
      </c>
      <c r="M716" s="127">
        <f>_xlfn.XLOOKUP(C716,'Product List'!B:B,'Product List'!R:R)</f>
        <v>1.64</v>
      </c>
      <c r="N716" s="124">
        <f t="shared" si="21"/>
        <v>629.76</v>
      </c>
      <c r="O716" s="124" cm="1">
        <f t="array" ref="O716">E716/_xlfn.XLOOKUP(1,('Case Pack'!$A$4:$A$962=C716)*('Case Pack'!$L$4:$L$962&gt;0)*('Case Pack'!$L$4:$L$962&lt;=A716),'Case Pack'!$D$4:$D$962,"未找到箱规")</f>
        <v>12</v>
      </c>
      <c r="P716" s="124" t="str">
        <f>IF(COUNTIF('PO Check'!A:A,D716)&gt;0,"Yes","No")</f>
        <v>Yes</v>
      </c>
      <c r="Q716" s="124" t="str" cm="1">
        <f t="array" ref="Q716">_xlfn.XLOOKUP(1,('Case Pack'!$A$4:$A$962=C716)*('Case Pack'!$L$4:$L$962&gt;0)*('Case Pack'!$L$4:$L$962&lt;=A716),'Case Pack'!$G$4:$G$962,"未找到箱型")</f>
        <v>A</v>
      </c>
      <c r="R716" s="124">
        <f>ROUND(IFERROR(VLOOKUP(Q716,'Case Type'!A:H,8,0),0)*O716,2)</f>
        <v>1.32</v>
      </c>
    </row>
    <row r="717" customFormat="1" spans="1:18">
      <c r="A717" s="113">
        <v>46239</v>
      </c>
      <c r="B717" s="91" t="str">
        <f>_xlfn.XLOOKUP(C717,'Product List'!B:B,'Product List'!I:I)</f>
        <v>MINI/MOE BENDABLE BIRCHWOOD FENCE</v>
      </c>
      <c r="C717" s="94" t="s">
        <v>62</v>
      </c>
      <c r="D717" s="132">
        <v>31799425</v>
      </c>
      <c r="E717" s="132">
        <v>128</v>
      </c>
      <c r="F717" s="132">
        <v>5.01</v>
      </c>
      <c r="G717" s="125">
        <f t="shared" si="20"/>
        <v>641.28</v>
      </c>
      <c r="H717" s="131" t="s">
        <v>298</v>
      </c>
      <c r="I717" s="86" t="s">
        <v>92</v>
      </c>
      <c r="J717" s="86" t="s">
        <v>316</v>
      </c>
      <c r="K717" s="267">
        <v>46279</v>
      </c>
      <c r="L717" s="267">
        <v>46269</v>
      </c>
      <c r="M717" s="127">
        <f>_xlfn.XLOOKUP(C717,'Product List'!B:B,'Product List'!R:R)</f>
        <v>3.4</v>
      </c>
      <c r="N717" s="124">
        <f t="shared" si="21"/>
        <v>435.2</v>
      </c>
      <c r="O717" s="124" cm="1">
        <f t="array" ref="O717">E717/_xlfn.XLOOKUP(1,('Case Pack'!$A$4:$A$962=C717)*('Case Pack'!$L$4:$L$962&gt;0)*('Case Pack'!$L$4:$L$962&lt;=A717),'Case Pack'!$D$4:$D$962,"未找到箱规")</f>
        <v>4</v>
      </c>
      <c r="P717" s="124" t="str">
        <f>IF(COUNTIF('PO Check'!A:A,D717)&gt;0,"Yes","No")</f>
        <v>Yes</v>
      </c>
      <c r="Q717" s="124" t="str" cm="1">
        <f t="array" ref="Q717">_xlfn.XLOOKUP(1,('Case Pack'!$A$4:$A$962=C717)*('Case Pack'!$L$4:$L$962&gt;0)*('Case Pack'!$L$4:$L$962&lt;=A717),'Case Pack'!$G$4:$G$962,"未找到箱型")</f>
        <v>F</v>
      </c>
      <c r="R717" s="124">
        <f>ROUND(IFERROR(VLOOKUP(Q717,'Case Type'!A:H,8,0),0)*O717,2)</f>
        <v>0.15</v>
      </c>
    </row>
    <row r="718" customFormat="1" spans="1:18">
      <c r="A718" s="113">
        <v>46239</v>
      </c>
      <c r="B718" s="91" t="str">
        <f>_xlfn.XLOOKUP(C718,'Product List'!B:B,'Product List'!I:I)</f>
        <v>MMO-BUBBLE WATER BOTTLE</v>
      </c>
      <c r="C718" s="94" t="s">
        <v>67</v>
      </c>
      <c r="D718" s="132">
        <v>31799425</v>
      </c>
      <c r="E718" s="132">
        <v>210</v>
      </c>
      <c r="F718" s="132">
        <v>4.35</v>
      </c>
      <c r="G718" s="125">
        <f t="shared" si="20"/>
        <v>913.5</v>
      </c>
      <c r="H718" s="131" t="s">
        <v>298</v>
      </c>
      <c r="I718" s="86" t="s">
        <v>92</v>
      </c>
      <c r="J718" s="86" t="s">
        <v>316</v>
      </c>
      <c r="K718" s="267">
        <v>46279</v>
      </c>
      <c r="L718" s="267">
        <v>46269</v>
      </c>
      <c r="M718" s="127">
        <f>_xlfn.XLOOKUP(C718,'Product List'!B:B,'Product List'!R:R)</f>
        <v>3.1</v>
      </c>
      <c r="N718" s="124">
        <f t="shared" si="21"/>
        <v>651</v>
      </c>
      <c r="O718" s="124" cm="1">
        <f t="array" ref="O718">E718/_xlfn.XLOOKUP(1,('Case Pack'!$A$4:$A$962=C718)*('Case Pack'!$L$4:$L$962&gt;0)*('Case Pack'!$L$4:$L$962&lt;=A718),'Case Pack'!$D$4:$D$962,"未找到箱规")</f>
        <v>5</v>
      </c>
      <c r="P718" s="124" t="str">
        <f>IF(COUNTIF('PO Check'!A:A,D718)&gt;0,"Yes","No")</f>
        <v>Yes</v>
      </c>
      <c r="Q718" s="124" t="str" cm="1">
        <f t="array" ref="Q718">_xlfn.XLOOKUP(1,('Case Pack'!$A$4:$A$962=C718)*('Case Pack'!$L$4:$L$962&gt;0)*('Case Pack'!$L$4:$L$962&lt;=A718),'Case Pack'!$G$4:$G$962,"未找到箱型")</f>
        <v>C</v>
      </c>
      <c r="R718" s="124">
        <f>ROUND(IFERROR(VLOOKUP(Q718,'Case Type'!A:H,8,0),0)*O718,2)</f>
        <v>0.79</v>
      </c>
    </row>
    <row r="719" customFormat="1" spans="1:18">
      <c r="A719" s="113">
        <v>46239</v>
      </c>
      <c r="B719" s="91" t="str">
        <f>_xlfn.XLOOKUP(C719,'Product List'!B:B,'Product List'!I:I)</f>
        <v>MMO-CLOUD WATER BOTTLE</v>
      </c>
      <c r="C719" s="94" t="s">
        <v>77</v>
      </c>
      <c r="D719" s="132">
        <v>31799425</v>
      </c>
      <c r="E719" s="132">
        <v>400</v>
      </c>
      <c r="F719" s="132">
        <v>1.32</v>
      </c>
      <c r="G719" s="125">
        <f t="shared" si="20"/>
        <v>528</v>
      </c>
      <c r="H719" s="131" t="s">
        <v>298</v>
      </c>
      <c r="I719" s="86" t="s">
        <v>92</v>
      </c>
      <c r="J719" s="86" t="s">
        <v>316</v>
      </c>
      <c r="K719" s="267">
        <v>46279</v>
      </c>
      <c r="L719" s="267">
        <v>46269</v>
      </c>
      <c r="M719" s="127">
        <f>_xlfn.XLOOKUP(C719,'Product List'!B:B,'Product List'!R:R)</f>
        <v>0.62</v>
      </c>
      <c r="N719" s="124">
        <f t="shared" si="21"/>
        <v>248</v>
      </c>
      <c r="O719" s="124" cm="1">
        <f t="array" ref="O719">E719/_xlfn.XLOOKUP(1,('Case Pack'!$A$4:$A$962=C719)*('Case Pack'!$L$4:$L$962&gt;0)*('Case Pack'!$L$4:$L$962&lt;=A719),'Case Pack'!$D$4:$D$962,"未找到箱规")</f>
        <v>8</v>
      </c>
      <c r="P719" s="124" t="str">
        <f>IF(COUNTIF('PO Check'!A:A,D719)&gt;0,"Yes","No")</f>
        <v>Yes</v>
      </c>
      <c r="Q719" s="124" t="str" cm="1">
        <f t="array" ref="Q719">_xlfn.XLOOKUP(1,('Case Pack'!$A$4:$A$962=C719)*('Case Pack'!$L$4:$L$962&gt;0)*('Case Pack'!$L$4:$L$962&lt;=A719),'Case Pack'!$G$4:$G$962,"未找到箱型")</f>
        <v>A</v>
      </c>
      <c r="R719" s="124">
        <f>ROUND(IFERROR(VLOOKUP(Q719,'Case Type'!A:H,8,0),0)*O719,2)</f>
        <v>0.88</v>
      </c>
    </row>
    <row r="720" customFormat="1" spans="1:18">
      <c r="A720" s="113">
        <v>46239</v>
      </c>
      <c r="B720" s="91" t="str">
        <f>_xlfn.XLOOKUP(C720,'Product List'!B:B,'Product List'!I:I)</f>
        <v>MINI/MOE RUFFLE BOWL</v>
      </c>
      <c r="C720" s="94" t="s">
        <v>78</v>
      </c>
      <c r="D720" s="132">
        <v>31799425</v>
      </c>
      <c r="E720" s="132">
        <v>336</v>
      </c>
      <c r="F720" s="132">
        <v>2.35</v>
      </c>
      <c r="G720" s="125">
        <f t="shared" si="20"/>
        <v>789.6</v>
      </c>
      <c r="H720" s="131" t="s">
        <v>298</v>
      </c>
      <c r="I720" s="86" t="s">
        <v>92</v>
      </c>
      <c r="J720" s="86" t="s">
        <v>316</v>
      </c>
      <c r="K720" s="267">
        <v>46279</v>
      </c>
      <c r="L720" s="267">
        <v>46269</v>
      </c>
      <c r="M720" s="127">
        <f>_xlfn.XLOOKUP(C720,'Product List'!B:B,'Product List'!R:R)</f>
        <v>1.34</v>
      </c>
      <c r="N720" s="124">
        <f t="shared" si="21"/>
        <v>450.24</v>
      </c>
      <c r="O720" s="124" cm="1">
        <f t="array" ref="O720">E720/_xlfn.XLOOKUP(1,('Case Pack'!$A$4:$A$962=C720)*('Case Pack'!$L$4:$L$962&gt;0)*('Case Pack'!$L$4:$L$962&lt;=A720),'Case Pack'!$D$4:$D$962,"未找到箱规")</f>
        <v>7</v>
      </c>
      <c r="P720" s="124" t="str">
        <f>IF(COUNTIF('PO Check'!A:A,D720)&gt;0,"Yes","No")</f>
        <v>Yes</v>
      </c>
      <c r="Q720" s="124" t="str" cm="1">
        <f t="array" ref="Q720">_xlfn.XLOOKUP(1,('Case Pack'!$A$4:$A$962=C720)*('Case Pack'!$L$4:$L$962&gt;0)*('Case Pack'!$L$4:$L$962&lt;=A720),'Case Pack'!$G$4:$G$962,"未找到箱型")</f>
        <v>B</v>
      </c>
      <c r="R720" s="124">
        <f>ROUND(IFERROR(VLOOKUP(Q720,'Case Type'!A:H,8,0),0)*O720,2)</f>
        <v>0.51</v>
      </c>
    </row>
    <row r="721" customFormat="1" spans="1:18">
      <c r="A721" s="113">
        <v>46239</v>
      </c>
      <c r="B721" s="91" t="str">
        <f>_xlfn.XLOOKUP(C721,'Product List'!B:B,'Product List'!I:I)</f>
        <v>MMO-PAPER PEBBLES</v>
      </c>
      <c r="C721" s="94" t="s">
        <v>81</v>
      </c>
      <c r="D721" s="132">
        <v>31799425</v>
      </c>
      <c r="E721" s="132">
        <v>36</v>
      </c>
      <c r="F721" s="132">
        <v>5.81</v>
      </c>
      <c r="G721" s="125">
        <f t="shared" si="20"/>
        <v>209.16</v>
      </c>
      <c r="H721" s="131" t="s">
        <v>298</v>
      </c>
      <c r="I721" s="86" t="s">
        <v>92</v>
      </c>
      <c r="J721" s="86" t="s">
        <v>316</v>
      </c>
      <c r="K721" s="267">
        <v>46279</v>
      </c>
      <c r="L721" s="267">
        <v>46269</v>
      </c>
      <c r="M721" s="127">
        <f>_xlfn.XLOOKUP(C721,'Product List'!B:B,'Product List'!R:R)</f>
        <v>2.84</v>
      </c>
      <c r="N721" s="124">
        <f t="shared" si="21"/>
        <v>102.24</v>
      </c>
      <c r="O721" s="124" cm="1">
        <f t="array" ref="O721">E721/_xlfn.XLOOKUP(1,('Case Pack'!$A$4:$A$962=C721)*('Case Pack'!$L$4:$L$962&gt;0)*('Case Pack'!$L$4:$L$962&lt;=A721),'Case Pack'!$D$4:$D$962,"未找到箱规")</f>
        <v>3</v>
      </c>
      <c r="P721" s="124" t="str">
        <f>IF(COUNTIF('PO Check'!A:A,D721)&gt;0,"Yes","No")</f>
        <v>Yes</v>
      </c>
      <c r="Q721" s="124" t="str" cm="1">
        <f t="array" ref="Q721">_xlfn.XLOOKUP(1,('Case Pack'!$A$4:$A$962=C721)*('Case Pack'!$L$4:$L$962&gt;0)*('Case Pack'!$L$4:$L$962&lt;=A721),'Case Pack'!$G$4:$G$962,"未找到箱型")</f>
        <v>B</v>
      </c>
      <c r="R721" s="124">
        <f>ROUND(IFERROR(VLOOKUP(Q721,'Case Type'!A:H,8,0),0)*O721,2)</f>
        <v>0.22</v>
      </c>
    </row>
    <row r="722" customFormat="1" spans="1:18">
      <c r="A722" s="113">
        <v>46244</v>
      </c>
      <c r="B722" s="91" t="str">
        <f>_xlfn.XLOOKUP(C722,'Product List'!B:B,'Product List'!I:I)</f>
        <v>MINI/MOE TV VIEWING CAGE</v>
      </c>
      <c r="C722" s="94" t="s">
        <v>50</v>
      </c>
      <c r="D722" s="132" t="s">
        <v>347</v>
      </c>
      <c r="E722" s="132">
        <v>1</v>
      </c>
      <c r="F722" s="132">
        <v>0</v>
      </c>
      <c r="G722" s="125">
        <f t="shared" si="20"/>
        <v>0</v>
      </c>
      <c r="H722" s="131" t="s">
        <v>348</v>
      </c>
      <c r="I722" s="86" t="s">
        <v>92</v>
      </c>
      <c r="J722" s="86" t="s">
        <v>348</v>
      </c>
      <c r="K722" s="267">
        <v>46244</v>
      </c>
      <c r="L722" s="267">
        <v>46244</v>
      </c>
      <c r="M722" s="127">
        <f>_xlfn.XLOOKUP(C722,'Product List'!B:B,'Product List'!R:R)</f>
        <v>24.09</v>
      </c>
      <c r="N722" s="124">
        <f t="shared" si="21"/>
        <v>24.09</v>
      </c>
      <c r="O722" s="124" cm="1">
        <f t="array" ref="O722">E722/_xlfn.XLOOKUP(1,('Case Pack'!$A$4:$A$962=C722)*('Case Pack'!$L$4:$L$962&gt;0)*('Case Pack'!$L$4:$L$962&lt;=A722),'Case Pack'!$D$4:$D$962,"未找到箱规")</f>
        <v>1</v>
      </c>
      <c r="P722" s="124" t="str">
        <f>IF(COUNTIF('PO Check'!A:A,D722)&gt;0,"Yes","No")</f>
        <v>No</v>
      </c>
      <c r="Q722" s="124" t="str" cm="1">
        <f t="array" ref="Q722">_xlfn.XLOOKUP(1,('Case Pack'!$A$4:$A$962=C722)*('Case Pack'!$L$4:$L$962&gt;0)*('Case Pack'!$L$4:$L$962&lt;=A722),'Case Pack'!$G$4:$G$962,"未找到箱型")</f>
        <v>S1</v>
      </c>
      <c r="R722" s="124">
        <f>ROUND(IFERROR(VLOOKUP(Q722,'Case Type'!A:H,8,0),0)*O722,2)</f>
        <v>0.07</v>
      </c>
    </row>
    <row r="723" customFormat="1" spans="1:18">
      <c r="A723" s="113">
        <v>46244</v>
      </c>
      <c r="B723" s="91" t="str">
        <f>_xlfn.XLOOKUP(C723,'Product List'!B:B,'Product List'!I:I)</f>
        <v>MINI/MOE MUSHROOM CABIN</v>
      </c>
      <c r="C723" s="94" t="s">
        <v>39</v>
      </c>
      <c r="D723" s="132" t="s">
        <v>347</v>
      </c>
      <c r="E723" s="132">
        <v>16</v>
      </c>
      <c r="F723" s="132">
        <v>0</v>
      </c>
      <c r="G723" s="125">
        <f t="shared" si="20"/>
        <v>0</v>
      </c>
      <c r="H723" s="131" t="s">
        <v>348</v>
      </c>
      <c r="I723" s="86" t="s">
        <v>92</v>
      </c>
      <c r="J723" s="86" t="s">
        <v>348</v>
      </c>
      <c r="K723" s="267">
        <v>46244</v>
      </c>
      <c r="L723" s="267">
        <v>46244</v>
      </c>
      <c r="M723" s="127">
        <f>_xlfn.XLOOKUP(C723,'Product List'!B:B,'Product List'!R:R)</f>
        <v>3.2</v>
      </c>
      <c r="N723" s="124">
        <f t="shared" si="21"/>
        <v>51.2</v>
      </c>
      <c r="O723" s="124" cm="1">
        <f t="array" ref="O723">E723/_xlfn.XLOOKUP(1,('Case Pack'!$A$4:$A$962=C723)*('Case Pack'!$L$4:$L$962&gt;0)*('Case Pack'!$L$4:$L$962&lt;=A723),'Case Pack'!$D$4:$D$962,"未找到箱规")</f>
        <v>1</v>
      </c>
      <c r="P723" s="124" t="str">
        <f>IF(COUNTIF('PO Check'!A:A,D723)&gt;0,"Yes","No")</f>
        <v>No</v>
      </c>
      <c r="Q723" s="124" t="str" cm="1">
        <f t="array" ref="Q723">_xlfn.XLOOKUP(1,('Case Pack'!$A$4:$A$962=C723)*('Case Pack'!$L$4:$L$962&gt;0)*('Case Pack'!$L$4:$L$962&lt;=A723),'Case Pack'!$G$4:$G$962,"未找到箱型")</f>
        <v>C</v>
      </c>
      <c r="R723" s="124">
        <f>ROUND(IFERROR(VLOOKUP(Q723,'Case Type'!A:H,8,0),0)*O723,2)</f>
        <v>0.16</v>
      </c>
    </row>
    <row r="724" customFormat="1" spans="1:18">
      <c r="A724" s="113">
        <v>46244</v>
      </c>
      <c r="B724" s="91" t="str">
        <f>_xlfn.XLOOKUP(C724,'Product List'!B:B,'Product List'!I:I)</f>
        <v>MINI/MOE TREEHOUSE CABIN</v>
      </c>
      <c r="C724" s="94" t="s">
        <v>41</v>
      </c>
      <c r="D724" s="132" t="s">
        <v>347</v>
      </c>
      <c r="E724" s="132">
        <v>30</v>
      </c>
      <c r="F724" s="132">
        <v>0</v>
      </c>
      <c r="G724" s="125">
        <f t="shared" si="20"/>
        <v>0</v>
      </c>
      <c r="H724" s="131" t="s">
        <v>348</v>
      </c>
      <c r="I724" s="86" t="s">
        <v>92</v>
      </c>
      <c r="J724" s="86" t="s">
        <v>348</v>
      </c>
      <c r="K724" s="267">
        <v>46244</v>
      </c>
      <c r="L724" s="267">
        <v>46244</v>
      </c>
      <c r="M724" s="127">
        <f>_xlfn.XLOOKUP(C724,'Product List'!B:B,'Product List'!R:R)</f>
        <v>2.07</v>
      </c>
      <c r="N724" s="124">
        <f t="shared" si="21"/>
        <v>62.1</v>
      </c>
      <c r="O724" s="124" cm="1">
        <f t="array" ref="O724">E724/_xlfn.XLOOKUP(1,('Case Pack'!$A$4:$A$962=C724)*('Case Pack'!$L$4:$L$962&gt;0)*('Case Pack'!$L$4:$L$962&lt;=A724),'Case Pack'!$D$4:$D$962,"未找到箱规")</f>
        <v>1</v>
      </c>
      <c r="P724" s="124" t="str">
        <f>IF(COUNTIF('PO Check'!A:A,D724)&gt;0,"Yes","No")</f>
        <v>No</v>
      </c>
      <c r="Q724" s="124" t="str" cm="1">
        <f t="array" ref="Q724">_xlfn.XLOOKUP(1,('Case Pack'!$A$4:$A$962=C724)*('Case Pack'!$L$4:$L$962&gt;0)*('Case Pack'!$L$4:$L$962&lt;=A724),'Case Pack'!$G$4:$G$962,"未找到箱型")</f>
        <v>C</v>
      </c>
      <c r="R724" s="124">
        <f>ROUND(IFERROR(VLOOKUP(Q724,'Case Type'!A:H,8,0),0)*O724,2)</f>
        <v>0.16</v>
      </c>
    </row>
    <row r="725" customFormat="1" spans="1:18">
      <c r="A725" s="113">
        <v>46244</v>
      </c>
      <c r="B725" s="91" t="str">
        <f>_xlfn.XLOOKUP(C725,'Product List'!B:B,'Product List'!I:I)</f>
        <v>MINI/MOE SMALL ANIMAL BEDDING PAPER FLK XMAS CRAN/MATCHA 1EA</v>
      </c>
      <c r="C725" s="94" t="s">
        <v>88</v>
      </c>
      <c r="D725" s="132" t="s">
        <v>347</v>
      </c>
      <c r="E725" s="132">
        <v>14</v>
      </c>
      <c r="F725" s="132">
        <v>0</v>
      </c>
      <c r="G725" s="125">
        <f t="shared" si="20"/>
        <v>0</v>
      </c>
      <c r="H725" s="131" t="s">
        <v>348</v>
      </c>
      <c r="I725" s="86" t="s">
        <v>92</v>
      </c>
      <c r="J725" s="86" t="s">
        <v>348</v>
      </c>
      <c r="K725" s="267">
        <v>46244</v>
      </c>
      <c r="L725" s="267">
        <v>46244</v>
      </c>
      <c r="M725" s="127">
        <f>_xlfn.XLOOKUP(C725,'Product List'!B:B,'Product List'!R:R)</f>
        <v>4.79</v>
      </c>
      <c r="N725" s="124">
        <f t="shared" si="21"/>
        <v>67.06</v>
      </c>
      <c r="O725" s="124" cm="1">
        <f t="array" ref="O725">E725/_xlfn.XLOOKUP(1,('Case Pack'!$A$4:$A$962=C725)*('Case Pack'!$L$4:$L$962&gt;0)*('Case Pack'!$L$4:$L$962&lt;=A725),'Case Pack'!$D$4:$D$962,"未找到箱规")</f>
        <v>1</v>
      </c>
      <c r="P725" s="124" t="str">
        <f>IF(COUNTIF('PO Check'!A:A,D725)&gt;0,"Yes","No")</f>
        <v>No</v>
      </c>
      <c r="Q725" s="124" t="str" cm="1">
        <f t="array" ref="Q725">_xlfn.XLOOKUP(1,('Case Pack'!$A$4:$A$962=C725)*('Case Pack'!$L$4:$L$962&gt;0)*('Case Pack'!$L$4:$L$962&lt;=A725),'Case Pack'!$G$4:$G$962,"未找到箱型")</f>
        <v>C</v>
      </c>
      <c r="R725" s="124">
        <f>ROUND(IFERROR(VLOOKUP(Q725,'Case Type'!A:H,8,0),0)*O725,2)</f>
        <v>0.16</v>
      </c>
    </row>
    <row r="726" customFormat="1" spans="1:18">
      <c r="A726" s="113">
        <v>46244</v>
      </c>
      <c r="B726" s="91" t="str">
        <f>_xlfn.XLOOKUP(C726,'Product List'!B:B,'Product List'!I:I)</f>
        <v>MINI/MOE SMALL ANIMAL BEDDING PAPER TWISTS BUBBLEGUM 1EA</v>
      </c>
      <c r="C726" s="94" t="s">
        <v>71</v>
      </c>
      <c r="D726" s="132" t="s">
        <v>347</v>
      </c>
      <c r="E726" s="132">
        <v>30</v>
      </c>
      <c r="F726" s="132">
        <v>0</v>
      </c>
      <c r="G726" s="125">
        <f t="shared" si="20"/>
        <v>0</v>
      </c>
      <c r="H726" s="131" t="s">
        <v>348</v>
      </c>
      <c r="I726" s="86" t="s">
        <v>92</v>
      </c>
      <c r="J726" s="86" t="s">
        <v>348</v>
      </c>
      <c r="K726" s="267">
        <v>46244</v>
      </c>
      <c r="L726" s="267">
        <v>46244</v>
      </c>
      <c r="M726" s="127">
        <f>_xlfn.XLOOKUP(C726,'Product List'!B:B,'Product List'!R:R)</f>
        <v>1.98</v>
      </c>
      <c r="N726" s="124">
        <f t="shared" si="21"/>
        <v>59.4</v>
      </c>
      <c r="O726" s="124" cm="1">
        <f t="array" ref="O726">E726/_xlfn.XLOOKUP(1,('Case Pack'!$A$4:$A$962=C726)*('Case Pack'!$L$4:$L$962&gt;0)*('Case Pack'!$L$4:$L$962&lt;=A726),'Case Pack'!$D$4:$D$962,"未找到箱规")</f>
        <v>1</v>
      </c>
      <c r="P726" s="124" t="str">
        <f>IF(COUNTIF('PO Check'!A:A,D726)&gt;0,"Yes","No")</f>
        <v>No</v>
      </c>
      <c r="Q726" s="124" t="str" cm="1">
        <f t="array" ref="Q726">_xlfn.XLOOKUP(1,('Case Pack'!$A$4:$A$962=C726)*('Case Pack'!$L$4:$L$962&gt;0)*('Case Pack'!$L$4:$L$962&lt;=A726),'Case Pack'!$G$4:$G$962,"未找到箱型")</f>
        <v>A</v>
      </c>
      <c r="R726" s="124">
        <f>ROUND(IFERROR(VLOOKUP(Q726,'Case Type'!A:H,8,0),0)*O726,2)</f>
        <v>0.11</v>
      </c>
    </row>
    <row r="727" customFormat="1" spans="1:18">
      <c r="A727" s="113">
        <v>46244</v>
      </c>
      <c r="B727" s="91" t="str">
        <f>_xlfn.XLOOKUP(C727,'Product List'!B:B,'Product List'!I:I)</f>
        <v>MINI/MOE MINI TV TUNNEL CAGE 1EA</v>
      </c>
      <c r="C727" s="94" t="s">
        <v>51</v>
      </c>
      <c r="D727" s="132" t="s">
        <v>347</v>
      </c>
      <c r="E727" s="132">
        <v>2</v>
      </c>
      <c r="F727" s="132">
        <v>0</v>
      </c>
      <c r="G727" s="125">
        <f t="shared" si="20"/>
        <v>0</v>
      </c>
      <c r="H727" s="131" t="s">
        <v>348</v>
      </c>
      <c r="I727" s="86" t="s">
        <v>92</v>
      </c>
      <c r="J727" s="86" t="s">
        <v>348</v>
      </c>
      <c r="K727" s="267">
        <v>46244</v>
      </c>
      <c r="L727" s="267">
        <v>46244</v>
      </c>
      <c r="M727" s="127">
        <f>_xlfn.XLOOKUP(C727,'Product List'!B:B,'Product List'!R:R)</f>
        <v>15.25</v>
      </c>
      <c r="N727" s="124">
        <f t="shared" si="21"/>
        <v>30.5</v>
      </c>
      <c r="O727" s="124" cm="1">
        <f t="array" ref="O727">E727/_xlfn.XLOOKUP(1,('Case Pack'!$A$4:$A$962=C727)*('Case Pack'!$L$4:$L$962&gt;0)*('Case Pack'!$L$4:$L$962&lt;=A727),'Case Pack'!$D$4:$D$962,"未找到箱规")</f>
        <v>2</v>
      </c>
      <c r="P727" s="124" t="str">
        <f>IF(COUNTIF('PO Check'!A:A,D727)&gt;0,"Yes","No")</f>
        <v>No</v>
      </c>
      <c r="Q727" s="124" t="str" cm="1">
        <f t="array" ref="Q727">_xlfn.XLOOKUP(1,('Case Pack'!$A$4:$A$962=C727)*('Case Pack'!$L$4:$L$962&gt;0)*('Case Pack'!$L$4:$L$962&lt;=A727),'Case Pack'!$G$4:$G$962,"未找到箱型")</f>
        <v>S2</v>
      </c>
      <c r="R727" s="124">
        <f>ROUND(IFERROR(VLOOKUP(Q727,'Case Type'!A:H,8,0),0)*O727,2)</f>
        <v>0.07</v>
      </c>
    </row>
    <row r="728" customFormat="1" spans="1:18">
      <c r="A728" s="113">
        <v>46240</v>
      </c>
      <c r="B728" s="91" t="str">
        <f>_xlfn.XLOOKUP(C728,'Product List'!B:B,'Product List'!I:I)</f>
        <v>MINI/MOE SMALL ANIMAL BEDDING NESTING COTTON BALLS LAV 23LT</v>
      </c>
      <c r="C728" s="94" t="s">
        <v>86</v>
      </c>
      <c r="D728" s="132" t="s">
        <v>358</v>
      </c>
      <c r="E728" s="132">
        <v>480</v>
      </c>
      <c r="F728" s="132">
        <v>3.26</v>
      </c>
      <c r="G728" s="125">
        <f t="shared" si="20"/>
        <v>1564.8</v>
      </c>
      <c r="H728" s="131" t="s">
        <v>306</v>
      </c>
      <c r="I728" s="86" t="s">
        <v>92</v>
      </c>
      <c r="J728" s="86" t="s">
        <v>313</v>
      </c>
      <c r="K728" s="267">
        <v>46262</v>
      </c>
      <c r="L728" s="267">
        <v>46246</v>
      </c>
      <c r="M728" s="127">
        <f>_xlfn.XLOOKUP(C728,'Product List'!B:B,'Product List'!R:R)</f>
        <v>1.64</v>
      </c>
      <c r="N728" s="124">
        <f t="shared" si="21"/>
        <v>787.2</v>
      </c>
      <c r="O728" s="124" cm="1">
        <f t="array" ref="O728">E728/_xlfn.XLOOKUP(1,('Case Pack'!$A$4:$A$962=C728)*('Case Pack'!$L$4:$L$962&gt;0)*('Case Pack'!$L$4:$L$962&lt;=A728),'Case Pack'!$D$4:$D$962,"未找到箱规")</f>
        <v>15</v>
      </c>
      <c r="P728" s="124" t="str">
        <f>IF(COUNTIF('PO Check'!A:A,D728)&gt;0,"Yes","No")</f>
        <v>Yes</v>
      </c>
      <c r="Q728" s="124" t="str" cm="1">
        <f t="array" ref="Q728">_xlfn.XLOOKUP(1,('Case Pack'!$A$4:$A$962=C728)*('Case Pack'!$L$4:$L$962&gt;0)*('Case Pack'!$L$4:$L$962&lt;=A728),'Case Pack'!$G$4:$G$962,"未找到箱型")</f>
        <v>A</v>
      </c>
      <c r="R728" s="124">
        <f>ROUND(IFERROR(VLOOKUP(Q728,'Case Type'!A:H,8,0),0)*O728,2)</f>
        <v>1.65</v>
      </c>
    </row>
    <row r="729" customFormat="1" spans="1:18">
      <c r="A729" s="113">
        <v>46241</v>
      </c>
      <c r="B729" s="91" t="str">
        <f>_xlfn.XLOOKUP(C729,'Product List'!B:B,'Product List'!I:I)</f>
        <v>MINI/MOE BENDABLE BIRCHWOOD FENCE</v>
      </c>
      <c r="C729" s="94" t="s">
        <v>62</v>
      </c>
      <c r="D729" s="132">
        <v>31820610</v>
      </c>
      <c r="E729" s="132">
        <v>224</v>
      </c>
      <c r="F729" s="132">
        <v>5.01</v>
      </c>
      <c r="G729" s="125">
        <f t="shared" si="20"/>
        <v>1122.24</v>
      </c>
      <c r="H729" s="131" t="s">
        <v>298</v>
      </c>
      <c r="I729" s="86" t="s">
        <v>92</v>
      </c>
      <c r="J729" s="86" t="s">
        <v>322</v>
      </c>
      <c r="K729" s="267">
        <v>46279</v>
      </c>
      <c r="L729" s="267">
        <v>46269</v>
      </c>
      <c r="M729" s="127">
        <f>_xlfn.XLOOKUP(C729,'Product List'!B:B,'Product List'!R:R)</f>
        <v>3.4</v>
      </c>
      <c r="N729" s="124">
        <f t="shared" si="21"/>
        <v>761.6</v>
      </c>
      <c r="O729" s="124" cm="1">
        <f t="array" ref="O729">E729/_xlfn.XLOOKUP(1,('Case Pack'!$A$4:$A$962=C729)*('Case Pack'!$L$4:$L$962&gt;0)*('Case Pack'!$L$4:$L$962&lt;=A729),'Case Pack'!$D$4:$D$962,"未找到箱规")</f>
        <v>7</v>
      </c>
      <c r="P729" s="124" t="str">
        <f>IF(COUNTIF('PO Check'!A:A,D729)&gt;0,"Yes","No")</f>
        <v>Yes</v>
      </c>
      <c r="Q729" s="124" t="str" cm="1">
        <f t="array" ref="Q729">_xlfn.XLOOKUP(1,('Case Pack'!$A$4:$A$962=C729)*('Case Pack'!$L$4:$L$962&gt;0)*('Case Pack'!$L$4:$L$962&lt;=A729),'Case Pack'!$G$4:$G$962,"未找到箱型")</f>
        <v>F</v>
      </c>
      <c r="R729" s="124">
        <f>ROUND(IFERROR(VLOOKUP(Q729,'Case Type'!A:H,8,0),0)*O729,2)</f>
        <v>0.26</v>
      </c>
    </row>
    <row r="730" customFormat="1" spans="1:18">
      <c r="A730" s="113">
        <v>46241</v>
      </c>
      <c r="B730" s="91" t="str">
        <f>_xlfn.XLOOKUP(C730,'Product List'!B:B,'Product List'!I:I)</f>
        <v>MMO-BUBBLE WATER BOTTLE</v>
      </c>
      <c r="C730" s="94" t="s">
        <v>67</v>
      </c>
      <c r="D730" s="132">
        <v>31820610</v>
      </c>
      <c r="E730" s="132">
        <v>168</v>
      </c>
      <c r="F730" s="132">
        <v>4.35</v>
      </c>
      <c r="G730" s="125">
        <f t="shared" si="20"/>
        <v>730.8</v>
      </c>
      <c r="H730" s="131" t="s">
        <v>298</v>
      </c>
      <c r="I730" s="86" t="s">
        <v>92</v>
      </c>
      <c r="J730" s="86" t="s">
        <v>322</v>
      </c>
      <c r="K730" s="267">
        <v>46279</v>
      </c>
      <c r="L730" s="267">
        <v>46269</v>
      </c>
      <c r="M730" s="127">
        <f>_xlfn.XLOOKUP(C730,'Product List'!B:B,'Product List'!R:R)</f>
        <v>3.1</v>
      </c>
      <c r="N730" s="124">
        <f t="shared" si="21"/>
        <v>520.8</v>
      </c>
      <c r="O730" s="124" cm="1">
        <f t="array" ref="O730">E730/_xlfn.XLOOKUP(1,('Case Pack'!$A$4:$A$962=C730)*('Case Pack'!$L$4:$L$962&gt;0)*('Case Pack'!$L$4:$L$962&lt;=A730),'Case Pack'!$D$4:$D$962,"未找到箱规")</f>
        <v>4</v>
      </c>
      <c r="P730" s="124" t="str">
        <f>IF(COUNTIF('PO Check'!A:A,D730)&gt;0,"Yes","No")</f>
        <v>Yes</v>
      </c>
      <c r="Q730" s="124" t="str" cm="1">
        <f t="array" ref="Q730">_xlfn.XLOOKUP(1,('Case Pack'!$A$4:$A$962=C730)*('Case Pack'!$L$4:$L$962&gt;0)*('Case Pack'!$L$4:$L$962&lt;=A730),'Case Pack'!$G$4:$G$962,"未找到箱型")</f>
        <v>C</v>
      </c>
      <c r="R730" s="124">
        <f>ROUND(IFERROR(VLOOKUP(Q730,'Case Type'!A:H,8,0),0)*O730,2)</f>
        <v>0.63</v>
      </c>
    </row>
    <row r="731" customFormat="1" spans="1:18">
      <c r="A731" s="113">
        <v>46241</v>
      </c>
      <c r="B731" s="91" t="str">
        <f>_xlfn.XLOOKUP(C731,'Product List'!B:B,'Product List'!I:I)</f>
        <v>MMO-CLOUD WATER BOTTLE</v>
      </c>
      <c r="C731" s="94" t="s">
        <v>77</v>
      </c>
      <c r="D731" s="132">
        <v>31820610</v>
      </c>
      <c r="E731" s="132">
        <v>300</v>
      </c>
      <c r="F731" s="132">
        <v>1.32</v>
      </c>
      <c r="G731" s="125">
        <f t="shared" si="20"/>
        <v>396</v>
      </c>
      <c r="H731" s="131" t="s">
        <v>298</v>
      </c>
      <c r="I731" s="86" t="s">
        <v>92</v>
      </c>
      <c r="J731" s="86" t="s">
        <v>322</v>
      </c>
      <c r="K731" s="267">
        <v>46279</v>
      </c>
      <c r="L731" s="267">
        <v>46269</v>
      </c>
      <c r="M731" s="127">
        <f>_xlfn.XLOOKUP(C731,'Product List'!B:B,'Product List'!R:R)</f>
        <v>0.62</v>
      </c>
      <c r="N731" s="124">
        <f t="shared" si="21"/>
        <v>186</v>
      </c>
      <c r="O731" s="124" cm="1">
        <f t="array" ref="O731">E731/_xlfn.XLOOKUP(1,('Case Pack'!$A$4:$A$962=C731)*('Case Pack'!$L$4:$L$962&gt;0)*('Case Pack'!$L$4:$L$962&lt;=A731),'Case Pack'!$D$4:$D$962,"未找到箱规")</f>
        <v>6</v>
      </c>
      <c r="P731" s="124" t="str">
        <f>IF(COUNTIF('PO Check'!A:A,D731)&gt;0,"Yes","No")</f>
        <v>Yes</v>
      </c>
      <c r="Q731" s="124" t="str" cm="1">
        <f t="array" ref="Q731">_xlfn.XLOOKUP(1,('Case Pack'!$A$4:$A$962=C731)*('Case Pack'!$L$4:$L$962&gt;0)*('Case Pack'!$L$4:$L$962&lt;=A731),'Case Pack'!$G$4:$G$962,"未找到箱型")</f>
        <v>A</v>
      </c>
      <c r="R731" s="124">
        <f>ROUND(IFERROR(VLOOKUP(Q731,'Case Type'!A:H,8,0),0)*O731,2)</f>
        <v>0.66</v>
      </c>
    </row>
    <row r="732" customFormat="1" spans="1:18">
      <c r="A732" s="113">
        <v>46241</v>
      </c>
      <c r="B732" s="91" t="str">
        <f>_xlfn.XLOOKUP(C732,'Product List'!B:B,'Product List'!I:I)</f>
        <v>MINI/MOE RUFFLE BOWL</v>
      </c>
      <c r="C732" s="94" t="s">
        <v>78</v>
      </c>
      <c r="D732" s="132">
        <v>31820610</v>
      </c>
      <c r="E732" s="132">
        <v>96</v>
      </c>
      <c r="F732" s="132">
        <v>2.35</v>
      </c>
      <c r="G732" s="125">
        <f t="shared" si="20"/>
        <v>225.6</v>
      </c>
      <c r="H732" s="131" t="s">
        <v>298</v>
      </c>
      <c r="I732" s="86" t="s">
        <v>92</v>
      </c>
      <c r="J732" s="86" t="s">
        <v>322</v>
      </c>
      <c r="K732" s="267">
        <v>46279</v>
      </c>
      <c r="L732" s="267">
        <v>46269</v>
      </c>
      <c r="M732" s="127">
        <f>_xlfn.XLOOKUP(C732,'Product List'!B:B,'Product List'!R:R)</f>
        <v>1.34</v>
      </c>
      <c r="N732" s="124">
        <f t="shared" si="21"/>
        <v>128.64</v>
      </c>
      <c r="O732" s="124" cm="1">
        <f t="array" ref="O732">E732/_xlfn.XLOOKUP(1,('Case Pack'!$A$4:$A$962=C732)*('Case Pack'!$L$4:$L$962&gt;0)*('Case Pack'!$L$4:$L$962&lt;=A732),'Case Pack'!$D$4:$D$962,"未找到箱规")</f>
        <v>2</v>
      </c>
      <c r="P732" s="124" t="str">
        <f>IF(COUNTIF('PO Check'!A:A,D732)&gt;0,"Yes","No")</f>
        <v>Yes</v>
      </c>
      <c r="Q732" s="124" t="str" cm="1">
        <f t="array" ref="Q732">_xlfn.XLOOKUP(1,('Case Pack'!$A$4:$A$962=C732)*('Case Pack'!$L$4:$L$962&gt;0)*('Case Pack'!$L$4:$L$962&lt;=A732),'Case Pack'!$G$4:$G$962,"未找到箱型")</f>
        <v>B</v>
      </c>
      <c r="R732" s="124">
        <f>ROUND(IFERROR(VLOOKUP(Q732,'Case Type'!A:H,8,0),0)*O732,2)</f>
        <v>0.15</v>
      </c>
    </row>
    <row r="733" customFormat="1" spans="1:18">
      <c r="A733" s="113">
        <v>46241</v>
      </c>
      <c r="B733" s="91" t="str">
        <f>_xlfn.XLOOKUP(C733,'Product List'!B:B,'Product List'!I:I)</f>
        <v>MMO-PAPER PEBBLES</v>
      </c>
      <c r="C733" s="94" t="s">
        <v>81</v>
      </c>
      <c r="D733" s="132">
        <v>31820610</v>
      </c>
      <c r="E733" s="132">
        <v>48</v>
      </c>
      <c r="F733" s="132">
        <v>5.81</v>
      </c>
      <c r="G733" s="125">
        <f t="shared" si="20"/>
        <v>278.88</v>
      </c>
      <c r="H733" s="131" t="s">
        <v>298</v>
      </c>
      <c r="I733" s="86" t="s">
        <v>92</v>
      </c>
      <c r="J733" s="86" t="s">
        <v>322</v>
      </c>
      <c r="K733" s="267">
        <v>46279</v>
      </c>
      <c r="L733" s="267">
        <v>46269</v>
      </c>
      <c r="M733" s="127">
        <f>_xlfn.XLOOKUP(C733,'Product List'!B:B,'Product List'!R:R)</f>
        <v>2.84</v>
      </c>
      <c r="N733" s="124">
        <f t="shared" si="21"/>
        <v>136.32</v>
      </c>
      <c r="O733" s="124" cm="1">
        <f t="array" ref="O733">E733/_xlfn.XLOOKUP(1,('Case Pack'!$A$4:$A$962=C733)*('Case Pack'!$L$4:$L$962&gt;0)*('Case Pack'!$L$4:$L$962&lt;=A733),'Case Pack'!$D$4:$D$962,"未找到箱规")</f>
        <v>4</v>
      </c>
      <c r="P733" s="124" t="str">
        <f>IF(COUNTIF('PO Check'!A:A,D733)&gt;0,"Yes","No")</f>
        <v>Yes</v>
      </c>
      <c r="Q733" s="124" t="str" cm="1">
        <f t="array" ref="Q733">_xlfn.XLOOKUP(1,('Case Pack'!$A$4:$A$962=C733)*('Case Pack'!$L$4:$L$962&gt;0)*('Case Pack'!$L$4:$L$962&lt;=A733),'Case Pack'!$G$4:$G$962,"未找到箱型")</f>
        <v>B</v>
      </c>
      <c r="R733" s="124">
        <f>ROUND(IFERROR(VLOOKUP(Q733,'Case Type'!A:H,8,0),0)*O733,2)</f>
        <v>0.29</v>
      </c>
    </row>
    <row r="734" customFormat="1" spans="1:18">
      <c r="A734" s="113">
        <v>46241</v>
      </c>
      <c r="B734" s="91" t="str">
        <f>_xlfn.XLOOKUP(C734,'Product List'!B:B,'Product List'!I:I)</f>
        <v>MINI/MOE TV VIEWING CAGE</v>
      </c>
      <c r="C734" s="94" t="s">
        <v>50</v>
      </c>
      <c r="D734" s="132">
        <v>31820611</v>
      </c>
      <c r="E734" s="132">
        <v>32</v>
      </c>
      <c r="F734" s="132">
        <v>48.49</v>
      </c>
      <c r="G734" s="125">
        <f t="shared" si="20"/>
        <v>1551.68</v>
      </c>
      <c r="H734" s="131" t="s">
        <v>298</v>
      </c>
      <c r="I734" s="86" t="s">
        <v>92</v>
      </c>
      <c r="J734" s="86" t="s">
        <v>319</v>
      </c>
      <c r="K734" s="267">
        <v>46276</v>
      </c>
      <c r="L734" s="267">
        <v>46269</v>
      </c>
      <c r="M734" s="127">
        <f>_xlfn.XLOOKUP(C734,'Product List'!B:B,'Product List'!R:R)</f>
        <v>24.09</v>
      </c>
      <c r="N734" s="124">
        <f t="shared" si="21"/>
        <v>770.88</v>
      </c>
      <c r="O734" s="124" cm="1">
        <f t="array" ref="O734">E734/_xlfn.XLOOKUP(1,('Case Pack'!$A$4:$A$962=C734)*('Case Pack'!$L$4:$L$962&gt;0)*('Case Pack'!$L$4:$L$962&lt;=A734),'Case Pack'!$D$4:$D$962,"未找到箱规")</f>
        <v>32</v>
      </c>
      <c r="P734" s="124" t="str">
        <f>IF(COUNTIF('PO Check'!A:A,D734)&gt;0,"Yes","No")</f>
        <v>Yes</v>
      </c>
      <c r="Q734" s="124" t="str" cm="1">
        <f t="array" ref="Q734">_xlfn.XLOOKUP(1,('Case Pack'!$A$4:$A$962=C734)*('Case Pack'!$L$4:$L$962&gt;0)*('Case Pack'!$L$4:$L$962&lt;=A734),'Case Pack'!$G$4:$G$962,"未找到箱型")</f>
        <v>S1</v>
      </c>
      <c r="R734" s="124">
        <f>ROUND(IFERROR(VLOOKUP(Q734,'Case Type'!A:H,8,0),0)*O734,2)</f>
        <v>2.37</v>
      </c>
    </row>
    <row r="735" customFormat="1" spans="1:18">
      <c r="A735" s="113">
        <v>46241</v>
      </c>
      <c r="B735" s="91" t="str">
        <f>_xlfn.XLOOKUP(C735,'Product List'!B:B,'Product List'!I:I)</f>
        <v>MMO-STARFISH CASTLE</v>
      </c>
      <c r="C735" s="94" t="s">
        <v>60</v>
      </c>
      <c r="D735" s="132">
        <v>31820611</v>
      </c>
      <c r="E735" s="132">
        <v>40</v>
      </c>
      <c r="F735" s="132">
        <v>5.32</v>
      </c>
      <c r="G735" s="125">
        <f t="shared" si="20"/>
        <v>212.8</v>
      </c>
      <c r="H735" s="131" t="s">
        <v>298</v>
      </c>
      <c r="I735" s="86" t="s">
        <v>92</v>
      </c>
      <c r="J735" s="86" t="s">
        <v>319</v>
      </c>
      <c r="K735" s="267">
        <v>46276</v>
      </c>
      <c r="L735" s="267">
        <v>46269</v>
      </c>
      <c r="M735" s="127">
        <f>_xlfn.XLOOKUP(C735,'Product List'!B:B,'Product List'!R:R)</f>
        <v>2.81</v>
      </c>
      <c r="N735" s="124">
        <f t="shared" si="21"/>
        <v>112.4</v>
      </c>
      <c r="O735" s="124" cm="1">
        <f t="array" ref="O735">E735/_xlfn.XLOOKUP(1,('Case Pack'!$A$4:$A$962=C735)*('Case Pack'!$L$4:$L$962&gt;0)*('Case Pack'!$L$4:$L$962&lt;=A735),'Case Pack'!$D$4:$D$962,"未找到箱规")</f>
        <v>2</v>
      </c>
      <c r="P735" s="124" t="str">
        <f>IF(COUNTIF('PO Check'!A:A,D735)&gt;0,"Yes","No")</f>
        <v>Yes</v>
      </c>
      <c r="Q735" s="124" t="str" cm="1">
        <f t="array" ref="Q735">_xlfn.XLOOKUP(1,('Case Pack'!$A$4:$A$962=C735)*('Case Pack'!$L$4:$L$962&gt;0)*('Case Pack'!$L$4:$L$962&lt;=A735),'Case Pack'!$G$4:$G$962,"未找到箱型")</f>
        <v>C</v>
      </c>
      <c r="R735" s="124">
        <f>ROUND(IFERROR(VLOOKUP(Q735,'Case Type'!A:H,8,0),0)*O735,2)</f>
        <v>0.31</v>
      </c>
    </row>
    <row r="736" customFormat="1" spans="1:18">
      <c r="A736" s="113">
        <v>46241</v>
      </c>
      <c r="B736" s="91" t="str">
        <f>_xlfn.XLOOKUP(C736,'Product List'!B:B,'Product List'!I:I)</f>
        <v>MINI/MOE BENDABLE BIRCHWOOD FENCE</v>
      </c>
      <c r="C736" s="94" t="s">
        <v>62</v>
      </c>
      <c r="D736" s="132">
        <v>31820611</v>
      </c>
      <c r="E736" s="132">
        <v>32</v>
      </c>
      <c r="F736" s="132">
        <v>5.01</v>
      </c>
      <c r="G736" s="125">
        <f t="shared" si="20"/>
        <v>160.32</v>
      </c>
      <c r="H736" s="131" t="s">
        <v>298</v>
      </c>
      <c r="I736" s="86" t="s">
        <v>92</v>
      </c>
      <c r="J736" s="86" t="s">
        <v>319</v>
      </c>
      <c r="K736" s="267">
        <v>46276</v>
      </c>
      <c r="L736" s="267">
        <v>46269</v>
      </c>
      <c r="M736" s="127">
        <f>_xlfn.XLOOKUP(C736,'Product List'!B:B,'Product List'!R:R)</f>
        <v>3.4</v>
      </c>
      <c r="N736" s="124">
        <f t="shared" si="21"/>
        <v>108.8</v>
      </c>
      <c r="O736" s="124" cm="1">
        <f t="array" ref="O736">E736/_xlfn.XLOOKUP(1,('Case Pack'!$A$4:$A$962=C736)*('Case Pack'!$L$4:$L$962&gt;0)*('Case Pack'!$L$4:$L$962&lt;=A736),'Case Pack'!$D$4:$D$962,"未找到箱规")</f>
        <v>1</v>
      </c>
      <c r="P736" s="124" t="str">
        <f>IF(COUNTIF('PO Check'!A:A,D736)&gt;0,"Yes","No")</f>
        <v>Yes</v>
      </c>
      <c r="Q736" s="124" t="str" cm="1">
        <f t="array" ref="Q736">_xlfn.XLOOKUP(1,('Case Pack'!$A$4:$A$962=C736)*('Case Pack'!$L$4:$L$962&gt;0)*('Case Pack'!$L$4:$L$962&lt;=A736),'Case Pack'!$G$4:$G$962,"未找到箱型")</f>
        <v>F</v>
      </c>
      <c r="R736" s="124">
        <f>ROUND(IFERROR(VLOOKUP(Q736,'Case Type'!A:H,8,0),0)*O736,2)</f>
        <v>0.04</v>
      </c>
    </row>
    <row r="737" customFormat="1" spans="1:18">
      <c r="A737" s="113">
        <v>46241</v>
      </c>
      <c r="B737" s="91" t="str">
        <f>_xlfn.XLOOKUP(C737,'Product List'!B:B,'Product List'!I:I)</f>
        <v>MMO-BUBBLE WATER BOTTLE</v>
      </c>
      <c r="C737" s="94" t="s">
        <v>67</v>
      </c>
      <c r="D737" s="132">
        <v>31820611</v>
      </c>
      <c r="E737" s="132">
        <v>84</v>
      </c>
      <c r="F737" s="132">
        <v>4.35</v>
      </c>
      <c r="G737" s="125">
        <f t="shared" si="20"/>
        <v>365.4</v>
      </c>
      <c r="H737" s="131" t="s">
        <v>298</v>
      </c>
      <c r="I737" s="86" t="s">
        <v>92</v>
      </c>
      <c r="J737" s="86" t="s">
        <v>319</v>
      </c>
      <c r="K737" s="267">
        <v>46276</v>
      </c>
      <c r="L737" s="267">
        <v>46269</v>
      </c>
      <c r="M737" s="127">
        <f>_xlfn.XLOOKUP(C737,'Product List'!B:B,'Product List'!R:R)</f>
        <v>3.1</v>
      </c>
      <c r="N737" s="124">
        <f t="shared" si="21"/>
        <v>260.4</v>
      </c>
      <c r="O737" s="124" cm="1">
        <f t="array" ref="O737">E737/_xlfn.XLOOKUP(1,('Case Pack'!$A$4:$A$962=C737)*('Case Pack'!$L$4:$L$962&gt;0)*('Case Pack'!$L$4:$L$962&lt;=A737),'Case Pack'!$D$4:$D$962,"未找到箱规")</f>
        <v>2</v>
      </c>
      <c r="P737" s="124" t="str">
        <f>IF(COUNTIF('PO Check'!A:A,D737)&gt;0,"Yes","No")</f>
        <v>Yes</v>
      </c>
      <c r="Q737" s="124" t="str" cm="1">
        <f t="array" ref="Q737">_xlfn.XLOOKUP(1,('Case Pack'!$A$4:$A$962=C737)*('Case Pack'!$L$4:$L$962&gt;0)*('Case Pack'!$L$4:$L$962&lt;=A737),'Case Pack'!$G$4:$G$962,"未找到箱型")</f>
        <v>C</v>
      </c>
      <c r="R737" s="124">
        <f>ROUND(IFERROR(VLOOKUP(Q737,'Case Type'!A:H,8,0),0)*O737,2)</f>
        <v>0.31</v>
      </c>
    </row>
    <row r="738" customFormat="1" spans="1:18">
      <c r="A738" s="113">
        <v>46241</v>
      </c>
      <c r="B738" s="91" t="str">
        <f>_xlfn.XLOOKUP(C738,'Product List'!B:B,'Product List'!I:I)</f>
        <v>MMO-PAPER TWIST BLU/WHT</v>
      </c>
      <c r="C738" s="94" t="s">
        <v>68</v>
      </c>
      <c r="D738" s="132">
        <v>31820611</v>
      </c>
      <c r="E738" s="132">
        <v>30</v>
      </c>
      <c r="F738" s="132">
        <v>3.89</v>
      </c>
      <c r="G738" s="125">
        <f t="shared" ref="G738:G801" si="22">E738*F738</f>
        <v>116.7</v>
      </c>
      <c r="H738" s="131" t="s">
        <v>298</v>
      </c>
      <c r="I738" s="86" t="s">
        <v>92</v>
      </c>
      <c r="J738" s="131" t="s">
        <v>319</v>
      </c>
      <c r="K738" s="126">
        <v>46276</v>
      </c>
      <c r="L738" s="267">
        <v>46269</v>
      </c>
      <c r="M738" s="127">
        <f>_xlfn.XLOOKUP(C738,'Product List'!B:B,'Product List'!R:R)</f>
        <v>1.98</v>
      </c>
      <c r="N738" s="124">
        <f t="shared" ref="N738:N801" si="23">M738*E738</f>
        <v>59.4</v>
      </c>
      <c r="O738" s="124" cm="1">
        <f t="array" ref="O738">E738/_xlfn.XLOOKUP(1,('Case Pack'!$A$4:$A$962=C738)*('Case Pack'!$L$4:$L$962&gt;0)*('Case Pack'!$L$4:$L$962&lt;=A738),'Case Pack'!$D$4:$D$962,"未找到箱规")</f>
        <v>1</v>
      </c>
      <c r="P738" s="124" t="str">
        <f>IF(COUNTIF('PO Check'!A:A,D738)&gt;0,"Yes","No")</f>
        <v>Yes</v>
      </c>
      <c r="Q738" s="124" t="str" cm="1">
        <f t="array" ref="Q738">_xlfn.XLOOKUP(1,('Case Pack'!$A$4:$A$962=C738)*('Case Pack'!$L$4:$L$962&gt;0)*('Case Pack'!$L$4:$L$962&lt;=A738),'Case Pack'!$G$4:$G$962,"未找到箱型")</f>
        <v>A</v>
      </c>
      <c r="R738" s="124">
        <f>ROUND(IFERROR(VLOOKUP(Q738,'Case Type'!A:H,8,0),0)*O738,2)</f>
        <v>0.11</v>
      </c>
    </row>
    <row r="739" customFormat="1" spans="1:18">
      <c r="A739" s="113">
        <v>46241</v>
      </c>
      <c r="B739" s="91" t="str">
        <f>_xlfn.XLOOKUP(C739,'Product List'!B:B,'Product List'!I:I)</f>
        <v>MMO-CLOUD WATER BOTTLE</v>
      </c>
      <c r="C739" s="94" t="s">
        <v>77</v>
      </c>
      <c r="D739" s="132">
        <v>31820611</v>
      </c>
      <c r="E739" s="132">
        <v>50</v>
      </c>
      <c r="F739" s="132">
        <v>1.32</v>
      </c>
      <c r="G739" s="125">
        <f t="shared" si="22"/>
        <v>66</v>
      </c>
      <c r="H739" s="131" t="s">
        <v>298</v>
      </c>
      <c r="I739" s="86" t="s">
        <v>92</v>
      </c>
      <c r="J739" s="86" t="s">
        <v>319</v>
      </c>
      <c r="K739" s="267">
        <v>46276</v>
      </c>
      <c r="L739" s="267">
        <v>46269</v>
      </c>
      <c r="M739" s="127">
        <f>_xlfn.XLOOKUP(C739,'Product List'!B:B,'Product List'!R:R)</f>
        <v>0.62</v>
      </c>
      <c r="N739" s="124">
        <f t="shared" si="23"/>
        <v>31</v>
      </c>
      <c r="O739" s="124" cm="1">
        <f t="array" ref="O739">E739/_xlfn.XLOOKUP(1,('Case Pack'!$A$4:$A$962=C739)*('Case Pack'!$L$4:$L$962&gt;0)*('Case Pack'!$L$4:$L$962&lt;=A739),'Case Pack'!$D$4:$D$962,"未找到箱规")</f>
        <v>1</v>
      </c>
      <c r="P739" s="124" t="str">
        <f>IF(COUNTIF('PO Check'!A:A,D739)&gt;0,"Yes","No")</f>
        <v>Yes</v>
      </c>
      <c r="Q739" s="124" t="str" cm="1">
        <f t="array" ref="Q739">_xlfn.XLOOKUP(1,('Case Pack'!$A$4:$A$962=C739)*('Case Pack'!$L$4:$L$962&gt;0)*('Case Pack'!$L$4:$L$962&lt;=A739),'Case Pack'!$G$4:$G$962,"未找到箱型")</f>
        <v>A</v>
      </c>
      <c r="R739" s="124">
        <f>ROUND(IFERROR(VLOOKUP(Q739,'Case Type'!A:H,8,0),0)*O739,2)</f>
        <v>0.11</v>
      </c>
    </row>
    <row r="740" customFormat="1" spans="1:18">
      <c r="A740" s="113">
        <v>46241</v>
      </c>
      <c r="B740" s="91" t="str">
        <f>_xlfn.XLOOKUP(C740,'Product List'!B:B,'Product List'!I:I)</f>
        <v>MINI/MOE RUFFLE BOWL</v>
      </c>
      <c r="C740" s="94" t="s">
        <v>78</v>
      </c>
      <c r="D740" s="132">
        <v>31820611</v>
      </c>
      <c r="E740" s="132">
        <v>96</v>
      </c>
      <c r="F740" s="132">
        <v>2.35</v>
      </c>
      <c r="G740" s="125">
        <f t="shared" si="22"/>
        <v>225.6</v>
      </c>
      <c r="H740" s="131" t="s">
        <v>298</v>
      </c>
      <c r="I740" s="86" t="s">
        <v>92</v>
      </c>
      <c r="J740" s="86" t="s">
        <v>319</v>
      </c>
      <c r="K740" s="267">
        <v>46276</v>
      </c>
      <c r="L740" s="267">
        <v>46269</v>
      </c>
      <c r="M740" s="127">
        <f>_xlfn.XLOOKUP(C740,'Product List'!B:B,'Product List'!R:R)</f>
        <v>1.34</v>
      </c>
      <c r="N740" s="124">
        <f t="shared" si="23"/>
        <v>128.64</v>
      </c>
      <c r="O740" s="124" cm="1">
        <f t="array" ref="O740">E740/_xlfn.XLOOKUP(1,('Case Pack'!$A$4:$A$962=C740)*('Case Pack'!$L$4:$L$962&gt;0)*('Case Pack'!$L$4:$L$962&lt;=A740),'Case Pack'!$D$4:$D$962,"未找到箱规")</f>
        <v>2</v>
      </c>
      <c r="P740" s="124" t="str">
        <f>IF(COUNTIF('PO Check'!A:A,D740)&gt;0,"Yes","No")</f>
        <v>Yes</v>
      </c>
      <c r="Q740" s="124" t="str" cm="1">
        <f t="array" ref="Q740">_xlfn.XLOOKUP(1,('Case Pack'!$A$4:$A$962=C740)*('Case Pack'!$L$4:$L$962&gt;0)*('Case Pack'!$L$4:$L$962&lt;=A740),'Case Pack'!$G$4:$G$962,"未找到箱型")</f>
        <v>B</v>
      </c>
      <c r="R740" s="124">
        <f>ROUND(IFERROR(VLOOKUP(Q740,'Case Type'!A:H,8,0),0)*O740,2)</f>
        <v>0.15</v>
      </c>
    </row>
    <row r="741" customFormat="1" spans="1:18">
      <c r="A741" s="113">
        <v>46241</v>
      </c>
      <c r="B741" s="91" t="str">
        <f>_xlfn.XLOOKUP(C741,'Product List'!B:B,'Product List'!I:I)</f>
        <v>MMO-PAPER PEBBLES</v>
      </c>
      <c r="C741" s="94" t="s">
        <v>81</v>
      </c>
      <c r="D741" s="132">
        <v>31820611</v>
      </c>
      <c r="E741" s="132">
        <v>48</v>
      </c>
      <c r="F741" s="132">
        <v>5.81</v>
      </c>
      <c r="G741" s="125">
        <f t="shared" si="22"/>
        <v>278.88</v>
      </c>
      <c r="H741" s="131" t="s">
        <v>298</v>
      </c>
      <c r="I741" s="86" t="s">
        <v>92</v>
      </c>
      <c r="J741" s="86" t="s">
        <v>319</v>
      </c>
      <c r="K741" s="267">
        <v>46276</v>
      </c>
      <c r="L741" s="267">
        <v>46269</v>
      </c>
      <c r="M741" s="127">
        <f>_xlfn.XLOOKUP(C741,'Product List'!B:B,'Product List'!R:R)</f>
        <v>2.84</v>
      </c>
      <c r="N741" s="124">
        <f t="shared" si="23"/>
        <v>136.32</v>
      </c>
      <c r="O741" s="124" cm="1">
        <f t="array" ref="O741">E741/_xlfn.XLOOKUP(1,('Case Pack'!$A$4:$A$962=C741)*('Case Pack'!$L$4:$L$962&gt;0)*('Case Pack'!$L$4:$L$962&lt;=A741),'Case Pack'!$D$4:$D$962,"未找到箱规")</f>
        <v>4</v>
      </c>
      <c r="P741" s="124" t="str">
        <f>IF(COUNTIF('PO Check'!A:A,D741)&gt;0,"Yes","No")</f>
        <v>Yes</v>
      </c>
      <c r="Q741" s="124" t="str" cm="1">
        <f t="array" ref="Q741">_xlfn.XLOOKUP(1,('Case Pack'!$A$4:$A$962=C741)*('Case Pack'!$L$4:$L$962&gt;0)*('Case Pack'!$L$4:$L$962&lt;=A741),'Case Pack'!$G$4:$G$962,"未找到箱型")</f>
        <v>B</v>
      </c>
      <c r="R741" s="124">
        <f>ROUND(IFERROR(VLOOKUP(Q741,'Case Type'!A:H,8,0),0)*O741,2)</f>
        <v>0.29</v>
      </c>
    </row>
    <row r="742" customFormat="1" spans="1:18">
      <c r="A742" s="113">
        <v>46244</v>
      </c>
      <c r="B742" s="91" t="str">
        <f>_xlfn.XLOOKUP(C742,'Product List'!B:B,'Product List'!I:I)</f>
        <v>MINI/MOE TV VIEWING CAGE</v>
      </c>
      <c r="C742" s="94" t="s">
        <v>50</v>
      </c>
      <c r="D742" s="269" t="s">
        <v>359</v>
      </c>
      <c r="E742" s="132">
        <v>1</v>
      </c>
      <c r="F742" s="125">
        <v>0</v>
      </c>
      <c r="G742" s="125">
        <f t="shared" si="22"/>
        <v>0</v>
      </c>
      <c r="H742" s="86" t="s">
        <v>348</v>
      </c>
      <c r="I742" s="86" t="s">
        <v>92</v>
      </c>
      <c r="J742" s="86" t="s">
        <v>348</v>
      </c>
      <c r="K742" s="126">
        <v>46244</v>
      </c>
      <c r="L742" s="267">
        <v>46244</v>
      </c>
      <c r="M742" s="127">
        <f>_xlfn.XLOOKUP(C742,'Product List'!B:B,'Product List'!R:R)</f>
        <v>24.09</v>
      </c>
      <c r="N742" s="124">
        <f t="shared" si="23"/>
        <v>24.09</v>
      </c>
      <c r="O742" s="124" cm="1">
        <f t="array" ref="O742">E742/_xlfn.XLOOKUP(1,('Case Pack'!$A$4:$A$962=C742)*('Case Pack'!$L$4:$L$962&gt;0)*('Case Pack'!$L$4:$L$962&lt;=A742),'Case Pack'!$D$4:$D$962,"未找到箱规")</f>
        <v>1</v>
      </c>
      <c r="P742" s="124" t="str">
        <f>IF(COUNTIF('PO Check'!A:A,D742)&gt;0,"Yes","No")</f>
        <v>No</v>
      </c>
      <c r="Q742" s="124" t="str" cm="1">
        <f t="array" ref="Q742">_xlfn.XLOOKUP(1,('Case Pack'!$A$4:$A$962=C742)*('Case Pack'!$L$4:$L$962&gt;0)*('Case Pack'!$L$4:$L$962&lt;=A742),'Case Pack'!$G$4:$G$962,"未找到箱型")</f>
        <v>S1</v>
      </c>
      <c r="R742" s="124">
        <f>ROUND(IFERROR(VLOOKUP(Q742,'Case Type'!A:H,8,0),0)*O742,2)</f>
        <v>0.07</v>
      </c>
    </row>
    <row r="743" customFormat="1" spans="1:18">
      <c r="A743" s="113">
        <v>46244</v>
      </c>
      <c r="B743" s="91" t="str">
        <f>_xlfn.XLOOKUP(C743,'Product List'!B:B,'Product List'!I:I)</f>
        <v>MINI/MOE MINI TV TUNNEL CAGE 1EA</v>
      </c>
      <c r="C743" s="94" t="s">
        <v>51</v>
      </c>
      <c r="D743" s="269" t="s">
        <v>359</v>
      </c>
      <c r="E743" s="132">
        <v>1</v>
      </c>
      <c r="F743" s="125">
        <v>0</v>
      </c>
      <c r="G743" s="125">
        <f t="shared" si="22"/>
        <v>0</v>
      </c>
      <c r="H743" s="86" t="s">
        <v>348</v>
      </c>
      <c r="I743" s="86" t="s">
        <v>92</v>
      </c>
      <c r="J743" s="86" t="s">
        <v>348</v>
      </c>
      <c r="K743" s="126">
        <v>46244</v>
      </c>
      <c r="L743" s="267">
        <v>46244</v>
      </c>
      <c r="M743" s="127">
        <f>_xlfn.XLOOKUP(C743,'Product List'!B:B,'Product List'!R:R)</f>
        <v>15.25</v>
      </c>
      <c r="N743" s="124">
        <f t="shared" si="23"/>
        <v>15.25</v>
      </c>
      <c r="O743" s="124" cm="1">
        <f t="array" ref="O743">E743/_xlfn.XLOOKUP(1,('Case Pack'!$A$4:$A$962=C743)*('Case Pack'!$L$4:$L$962&gt;0)*('Case Pack'!$L$4:$L$962&lt;=A743),'Case Pack'!$D$4:$D$962,"未找到箱规")</f>
        <v>1</v>
      </c>
      <c r="P743" s="124" t="str">
        <f>IF(COUNTIF('PO Check'!A:A,D743)&gt;0,"Yes","No")</f>
        <v>No</v>
      </c>
      <c r="Q743" s="124" t="str" cm="1">
        <f t="array" ref="Q743">_xlfn.XLOOKUP(1,('Case Pack'!$A$4:$A$962=C743)*('Case Pack'!$L$4:$L$962&gt;0)*('Case Pack'!$L$4:$L$962&lt;=A743),'Case Pack'!$G$4:$G$962,"未找到箱型")</f>
        <v>S2</v>
      </c>
      <c r="R743" s="124">
        <f>ROUND(IFERROR(VLOOKUP(Q743,'Case Type'!A:H,8,0),0)*O743,2)</f>
        <v>0.04</v>
      </c>
    </row>
    <row r="744" customFormat="1" spans="1:18">
      <c r="A744" s="113">
        <v>46244</v>
      </c>
      <c r="B744" s="91" t="str">
        <f>_xlfn.XLOOKUP(C744,'Product List'!B:B,'Product List'!I:I)</f>
        <v>MINI/MOE SILENT CRSTL RUN WHEEL XL 11.5 1EA</v>
      </c>
      <c r="C744" s="94" t="s">
        <v>76</v>
      </c>
      <c r="D744" s="269" t="s">
        <v>359</v>
      </c>
      <c r="E744" s="132">
        <v>3</v>
      </c>
      <c r="F744" s="125">
        <v>0</v>
      </c>
      <c r="G744" s="125">
        <f t="shared" si="22"/>
        <v>0</v>
      </c>
      <c r="H744" s="86" t="s">
        <v>348</v>
      </c>
      <c r="I744" s="86" t="s">
        <v>92</v>
      </c>
      <c r="J744" s="86" t="s">
        <v>348</v>
      </c>
      <c r="K744" s="126">
        <v>46244</v>
      </c>
      <c r="L744" s="267">
        <v>46244</v>
      </c>
      <c r="M744" s="127">
        <f>_xlfn.XLOOKUP(C744,'Product List'!B:B,'Product List'!R:R)</f>
        <v>10.42</v>
      </c>
      <c r="N744" s="124">
        <f t="shared" si="23"/>
        <v>31.26</v>
      </c>
      <c r="O744" s="124" cm="1">
        <f t="array" ref="O744">E744/_xlfn.XLOOKUP(1,('Case Pack'!$A$4:$A$962=C744)*('Case Pack'!$L$4:$L$962&gt;0)*('Case Pack'!$L$4:$L$962&lt;=A744),'Case Pack'!$D$4:$D$962,"未找到箱规")</f>
        <v>1</v>
      </c>
      <c r="P744" s="124" t="str">
        <f>IF(COUNTIF('PO Check'!A:A,D744)&gt;0,"Yes","No")</f>
        <v>No</v>
      </c>
      <c r="Q744" s="124" t="str" cm="1">
        <f t="array" ref="Q744">_xlfn.XLOOKUP(1,('Case Pack'!$A$4:$A$962=C744)*('Case Pack'!$L$4:$L$962&gt;0)*('Case Pack'!$L$4:$L$962&lt;=A744),'Case Pack'!$G$4:$G$962,"未找到箱型")</f>
        <v>C</v>
      </c>
      <c r="R744" s="124">
        <f>ROUND(IFERROR(VLOOKUP(Q744,'Case Type'!A:H,8,0),0)*O744,2)</f>
        <v>0.16</v>
      </c>
    </row>
    <row r="745" customFormat="1" spans="1:18">
      <c r="A745" s="113">
        <v>46247</v>
      </c>
      <c r="B745" s="91" t="str">
        <f>_xlfn.XLOOKUP(C745,'Product List'!B:B,'Product List'!I:I)</f>
        <v>MINI/MOE SILENT CRSTL RUN WHEEL LG 8.5-Green</v>
      </c>
      <c r="C745" s="94" t="s">
        <v>28</v>
      </c>
      <c r="D745" s="269" t="s">
        <v>360</v>
      </c>
      <c r="E745" s="132">
        <v>48</v>
      </c>
      <c r="F745" s="125">
        <v>12.63</v>
      </c>
      <c r="G745" s="125">
        <f t="shared" si="22"/>
        <v>606.24</v>
      </c>
      <c r="H745" s="86" t="s">
        <v>306</v>
      </c>
      <c r="I745" s="86" t="s">
        <v>92</v>
      </c>
      <c r="J745" s="86" t="s">
        <v>313</v>
      </c>
      <c r="K745" s="126">
        <v>46273</v>
      </c>
      <c r="L745" s="267">
        <v>46260</v>
      </c>
      <c r="M745" s="127">
        <f>_xlfn.XLOOKUP(C745,'Product List'!B:B,'Product List'!R:R)</f>
        <v>6.27</v>
      </c>
      <c r="N745" s="124">
        <f t="shared" si="23"/>
        <v>300.96</v>
      </c>
      <c r="O745" s="124" cm="1">
        <f t="array" ref="O745">E745/_xlfn.XLOOKUP(1,('Case Pack'!$A$4:$A$962=C745)*('Case Pack'!$L$4:$L$962&gt;0)*('Case Pack'!$L$4:$L$962&lt;=A745),'Case Pack'!$D$4:$D$962,"未找到箱规")</f>
        <v>6</v>
      </c>
      <c r="P745" s="124" t="str">
        <f>IF(COUNTIF('PO Check'!A:A,D745)&gt;0,"Yes","No")</f>
        <v>Yes</v>
      </c>
      <c r="Q745" s="124" t="str" cm="1">
        <f t="array" ref="Q745">_xlfn.XLOOKUP(1,('Case Pack'!$A$4:$A$962=C745)*('Case Pack'!$L$4:$L$962&gt;0)*('Case Pack'!$L$4:$L$962&lt;=A745),'Case Pack'!$G$4:$G$962,"未找到箱型")</f>
        <v>C</v>
      </c>
      <c r="R745" s="124">
        <f>ROUND(IFERROR(VLOOKUP(Q745,'Case Type'!A:H,8,0),0)*O745,2)</f>
        <v>0.94</v>
      </c>
    </row>
    <row r="746" customFormat="1" spans="1:18">
      <c r="A746" s="113">
        <v>46247</v>
      </c>
      <c r="B746" s="91" t="str">
        <f>_xlfn.XLOOKUP(C746,'Product List'!B:B,'Product List'!I:I)</f>
        <v>MINI/MOE TV VIEWING CAGE</v>
      </c>
      <c r="C746" s="94" t="s">
        <v>50</v>
      </c>
      <c r="D746" s="269" t="s">
        <v>360</v>
      </c>
      <c r="E746" s="132">
        <v>39</v>
      </c>
      <c r="F746" s="125">
        <v>51.71</v>
      </c>
      <c r="G746" s="125">
        <f t="shared" si="22"/>
        <v>2016.69</v>
      </c>
      <c r="H746" s="86" t="s">
        <v>306</v>
      </c>
      <c r="I746" s="86" t="s">
        <v>92</v>
      </c>
      <c r="J746" s="86" t="s">
        <v>313</v>
      </c>
      <c r="K746" s="126">
        <v>46273</v>
      </c>
      <c r="L746" s="267">
        <v>46260</v>
      </c>
      <c r="M746" s="127">
        <f>_xlfn.XLOOKUP(C746,'Product List'!B:B,'Product List'!R:R)</f>
        <v>24.09</v>
      </c>
      <c r="N746" s="124">
        <f t="shared" si="23"/>
        <v>939.51</v>
      </c>
      <c r="O746" s="124" cm="1">
        <f t="array" ref="O746">E746/_xlfn.XLOOKUP(1,('Case Pack'!$A$4:$A$962=C746)*('Case Pack'!$L$4:$L$962&gt;0)*('Case Pack'!$L$4:$L$962&lt;=A746),'Case Pack'!$D$4:$D$962,"未找到箱规")</f>
        <v>39</v>
      </c>
      <c r="P746" s="124" t="str">
        <f>IF(COUNTIF('PO Check'!A:A,D746)&gt;0,"Yes","No")</f>
        <v>Yes</v>
      </c>
      <c r="Q746" s="124" t="str" cm="1">
        <f t="array" ref="Q746">_xlfn.XLOOKUP(1,('Case Pack'!$A$4:$A$962=C746)*('Case Pack'!$L$4:$L$962&gt;0)*('Case Pack'!$L$4:$L$962&lt;=A746),'Case Pack'!$G$4:$G$962,"未找到箱型")</f>
        <v>S1</v>
      </c>
      <c r="R746" s="124">
        <f>ROUND(IFERROR(VLOOKUP(Q746,'Case Type'!A:H,8,0),0)*O746,2)</f>
        <v>2.89</v>
      </c>
    </row>
    <row r="747" customFormat="1" spans="1:18">
      <c r="A747" s="113">
        <v>46247</v>
      </c>
      <c r="B747" s="91" t="str">
        <f>_xlfn.XLOOKUP(C747,'Product List'!B:B,'Product List'!I:I)</f>
        <v>MINI/MOE TULIP WATER BOTTLE</v>
      </c>
      <c r="C747" s="94" t="s">
        <v>52</v>
      </c>
      <c r="D747" s="269" t="s">
        <v>360</v>
      </c>
      <c r="E747" s="132">
        <v>120</v>
      </c>
      <c r="F747" s="125">
        <v>1.7</v>
      </c>
      <c r="G747" s="125">
        <f t="shared" si="22"/>
        <v>204</v>
      </c>
      <c r="H747" s="86" t="s">
        <v>306</v>
      </c>
      <c r="I747" s="86" t="s">
        <v>92</v>
      </c>
      <c r="J747" s="86" t="s">
        <v>313</v>
      </c>
      <c r="K747" s="126">
        <v>46273</v>
      </c>
      <c r="L747" s="267">
        <v>46260</v>
      </c>
      <c r="M747" s="127">
        <f>_xlfn.XLOOKUP(C747,'Product List'!B:B,'Product List'!R:R)</f>
        <v>0.73</v>
      </c>
      <c r="N747" s="124">
        <f t="shared" si="23"/>
        <v>87.6</v>
      </c>
      <c r="O747" s="124" cm="1">
        <f t="array" ref="O747">E747/_xlfn.XLOOKUP(1,('Case Pack'!$A$4:$A$962=C747)*('Case Pack'!$L$4:$L$962&gt;0)*('Case Pack'!$L$4:$L$962&lt;=A747),'Case Pack'!$D$4:$D$962,"未找到箱规")</f>
        <v>2</v>
      </c>
      <c r="P747" s="124" t="str">
        <f>IF(COUNTIF('PO Check'!A:A,D747)&gt;0,"Yes","No")</f>
        <v>Yes</v>
      </c>
      <c r="Q747" s="124" t="str" cm="1">
        <f t="array" ref="Q747">_xlfn.XLOOKUP(1,('Case Pack'!$A$4:$A$962=C747)*('Case Pack'!$L$4:$L$962&gt;0)*('Case Pack'!$L$4:$L$962&lt;=A747),'Case Pack'!$G$4:$G$962,"未找到箱型")</f>
        <v>C</v>
      </c>
      <c r="R747" s="124">
        <f>ROUND(IFERROR(VLOOKUP(Q747,'Case Type'!A:H,8,0),0)*O747,2)</f>
        <v>0.31</v>
      </c>
    </row>
    <row r="748" customFormat="1" spans="1:18">
      <c r="A748" s="113">
        <v>46247</v>
      </c>
      <c r="B748" s="91" t="str">
        <f>_xlfn.XLOOKUP(C748,'Product List'!B:B,'Product List'!I:I)</f>
        <v>MINI/MOE BENDABLE BIRCHWOOD FENCE</v>
      </c>
      <c r="C748" s="94" t="s">
        <v>62</v>
      </c>
      <c r="D748" s="269" t="s">
        <v>360</v>
      </c>
      <c r="E748" s="132">
        <v>64</v>
      </c>
      <c r="F748" s="125">
        <v>4.65</v>
      </c>
      <c r="G748" s="125">
        <f t="shared" si="22"/>
        <v>297.6</v>
      </c>
      <c r="H748" s="86" t="s">
        <v>306</v>
      </c>
      <c r="I748" s="86" t="s">
        <v>92</v>
      </c>
      <c r="J748" s="86" t="s">
        <v>313</v>
      </c>
      <c r="K748" s="126">
        <v>46273</v>
      </c>
      <c r="L748" s="267">
        <v>46260</v>
      </c>
      <c r="M748" s="127">
        <f>_xlfn.XLOOKUP(C748,'Product List'!B:B,'Product List'!R:R)</f>
        <v>3.4</v>
      </c>
      <c r="N748" s="124">
        <f t="shared" si="23"/>
        <v>217.6</v>
      </c>
      <c r="O748" s="124" cm="1">
        <f t="array" ref="O748">E748/_xlfn.XLOOKUP(1,('Case Pack'!$A$4:$A$962=C748)*('Case Pack'!$L$4:$L$962&gt;0)*('Case Pack'!$L$4:$L$962&lt;=A748),'Case Pack'!$D$4:$D$962,"未找到箱规")</f>
        <v>2</v>
      </c>
      <c r="P748" s="124" t="str">
        <f>IF(COUNTIF('PO Check'!A:A,D748)&gt;0,"Yes","No")</f>
        <v>Yes</v>
      </c>
      <c r="Q748" s="124" t="str" cm="1">
        <f t="array" ref="Q748">_xlfn.XLOOKUP(1,('Case Pack'!$A$4:$A$962=C748)*('Case Pack'!$L$4:$L$962&gt;0)*('Case Pack'!$L$4:$L$962&lt;=A748),'Case Pack'!$G$4:$G$962,"未找到箱型")</f>
        <v>F</v>
      </c>
      <c r="R748" s="124">
        <f>ROUND(IFERROR(VLOOKUP(Q748,'Case Type'!A:H,8,0),0)*O748,2)</f>
        <v>0.07</v>
      </c>
    </row>
    <row r="749" customFormat="1" spans="1:18">
      <c r="A749" s="113">
        <v>46247</v>
      </c>
      <c r="B749" s="91" t="str">
        <f>_xlfn.XLOOKUP(C749,'Product List'!B:B,'Product List'!I:I)</f>
        <v>D. MMO-COTTAGE VIEW CAGE</v>
      </c>
      <c r="C749" s="94" t="s">
        <v>64</v>
      </c>
      <c r="D749" s="269" t="s">
        <v>360</v>
      </c>
      <c r="E749" s="132">
        <v>32</v>
      </c>
      <c r="F749" s="125">
        <v>70.28</v>
      </c>
      <c r="G749" s="125">
        <f t="shared" si="22"/>
        <v>2248.96</v>
      </c>
      <c r="H749" s="86" t="s">
        <v>306</v>
      </c>
      <c r="I749" s="86" t="s">
        <v>92</v>
      </c>
      <c r="J749" s="86" t="s">
        <v>313</v>
      </c>
      <c r="K749" s="126">
        <v>46273</v>
      </c>
      <c r="L749" s="267">
        <v>46260</v>
      </c>
      <c r="M749" s="127">
        <f>_xlfn.XLOOKUP(C749,'Product List'!B:B,'Product List'!R:R)</f>
        <v>28.56</v>
      </c>
      <c r="N749" s="124">
        <f t="shared" si="23"/>
        <v>913.92</v>
      </c>
      <c r="O749" s="124" cm="1">
        <f t="array" ref="O749">E749/_xlfn.XLOOKUP(1,('Case Pack'!$A$4:$A$962=C749)*('Case Pack'!$L$4:$L$962&gt;0)*('Case Pack'!$L$4:$L$962&lt;=A749),'Case Pack'!$D$4:$D$962,"未找到箱规")</f>
        <v>32</v>
      </c>
      <c r="P749" s="124" t="str">
        <f>IF(COUNTIF('PO Check'!A:A,D749)&gt;0,"Yes","No")</f>
        <v>Yes</v>
      </c>
      <c r="Q749" s="124" t="str" cm="1">
        <f t="array" ref="Q749">_xlfn.XLOOKUP(1,('Case Pack'!$A$4:$A$962=C749)*('Case Pack'!$L$4:$L$962&gt;0)*('Case Pack'!$L$4:$L$962&lt;=A749),'Case Pack'!$G$4:$G$962,"未找到箱型")</f>
        <v>S3</v>
      </c>
      <c r="R749" s="124">
        <f>ROUND(IFERROR(VLOOKUP(Q749,'Case Type'!A:H,8,0),0)*O749,2)</f>
        <v>4.55</v>
      </c>
    </row>
    <row r="750" customFormat="1" spans="1:18">
      <c r="A750" s="113">
        <v>46247</v>
      </c>
      <c r="B750" s="91" t="str">
        <f>_xlfn.XLOOKUP(C750,'Product List'!B:B,'Product List'!I:I)</f>
        <v>MINI/MOE SILENT CRSTL RUN WHEEL XL 11.5 1EA</v>
      </c>
      <c r="C750" s="94" t="s">
        <v>76</v>
      </c>
      <c r="D750" s="269" t="s">
        <v>360</v>
      </c>
      <c r="E750" s="132">
        <v>129</v>
      </c>
      <c r="F750" s="125">
        <v>19.75</v>
      </c>
      <c r="G750" s="125">
        <f t="shared" si="22"/>
        <v>2547.75</v>
      </c>
      <c r="H750" s="86" t="s">
        <v>306</v>
      </c>
      <c r="I750" s="86" t="s">
        <v>92</v>
      </c>
      <c r="J750" s="86" t="s">
        <v>313</v>
      </c>
      <c r="K750" s="126">
        <v>46273</v>
      </c>
      <c r="L750" s="267">
        <v>46260</v>
      </c>
      <c r="M750" s="127">
        <f>_xlfn.XLOOKUP(C750,'Product List'!B:B,'Product List'!R:R)</f>
        <v>10.42</v>
      </c>
      <c r="N750" s="124">
        <f t="shared" si="23"/>
        <v>1344.18</v>
      </c>
      <c r="O750" s="124" cm="1">
        <f t="array" ref="O750">E750/_xlfn.XLOOKUP(1,('Case Pack'!$A$4:$A$962=C750)*('Case Pack'!$L$4:$L$962&gt;0)*('Case Pack'!$L$4:$L$962&lt;=A750),'Case Pack'!$D$4:$D$962,"未找到箱规")</f>
        <v>43</v>
      </c>
      <c r="P750" s="124" t="str">
        <f>IF(COUNTIF('PO Check'!A:A,D750)&gt;0,"Yes","No")</f>
        <v>Yes</v>
      </c>
      <c r="Q750" s="124" t="str" cm="1">
        <f t="array" ref="Q750">_xlfn.XLOOKUP(1,('Case Pack'!$A$4:$A$962=C750)*('Case Pack'!$L$4:$L$962&gt;0)*('Case Pack'!$L$4:$L$962&lt;=A750),'Case Pack'!$G$4:$G$962,"未找到箱型")</f>
        <v>C</v>
      </c>
      <c r="R750" s="124">
        <f>ROUND(IFERROR(VLOOKUP(Q750,'Case Type'!A:H,8,0),0)*O750,2)</f>
        <v>6.76</v>
      </c>
    </row>
    <row r="751" customFormat="1" spans="1:18">
      <c r="A751" s="113">
        <v>46247</v>
      </c>
      <c r="B751" s="91" t="str">
        <f>_xlfn.XLOOKUP(C751,'Product List'!B:B,'Product List'!I:I)</f>
        <v>MINI/MOE WOODLAND POTTY</v>
      </c>
      <c r="C751" s="94" t="s">
        <v>79</v>
      </c>
      <c r="D751" s="269" t="s">
        <v>360</v>
      </c>
      <c r="E751" s="132">
        <v>72</v>
      </c>
      <c r="F751" s="125">
        <v>2.61</v>
      </c>
      <c r="G751" s="125">
        <f t="shared" si="22"/>
        <v>187.92</v>
      </c>
      <c r="H751" s="86" t="s">
        <v>306</v>
      </c>
      <c r="I751" s="86" t="s">
        <v>92</v>
      </c>
      <c r="J751" s="86" t="s">
        <v>313</v>
      </c>
      <c r="K751" s="126">
        <v>46273</v>
      </c>
      <c r="L751" s="267">
        <v>46260</v>
      </c>
      <c r="M751" s="127">
        <f>_xlfn.XLOOKUP(C751,'Product List'!B:B,'Product List'!R:R)</f>
        <v>1.19</v>
      </c>
      <c r="N751" s="124">
        <f t="shared" si="23"/>
        <v>85.68</v>
      </c>
      <c r="O751" s="124" cm="1">
        <f t="array" ref="O751">E751/_xlfn.XLOOKUP(1,('Case Pack'!$A$4:$A$962=C751)*('Case Pack'!$L$4:$L$962&gt;0)*('Case Pack'!$L$4:$L$962&lt;=A751),'Case Pack'!$D$4:$D$962,"未找到箱规")</f>
        <v>2</v>
      </c>
      <c r="P751" s="124" t="str">
        <f>IF(COUNTIF('PO Check'!A:A,D751)&gt;0,"Yes","No")</f>
        <v>Yes</v>
      </c>
      <c r="Q751" s="124" t="str" cm="1">
        <f t="array" ref="Q751">_xlfn.XLOOKUP(1,('Case Pack'!$A$4:$A$962=C751)*('Case Pack'!$L$4:$L$962&gt;0)*('Case Pack'!$L$4:$L$962&lt;=A751),'Case Pack'!$G$4:$G$962,"未找到箱型")</f>
        <v>C</v>
      </c>
      <c r="R751" s="124">
        <f>ROUND(IFERROR(VLOOKUP(Q751,'Case Type'!A:H,8,0),0)*O751,2)</f>
        <v>0.31</v>
      </c>
    </row>
    <row r="752" customFormat="1" spans="1:18">
      <c r="A752" s="113">
        <v>46247</v>
      </c>
      <c r="B752" s="91" t="str">
        <f>_xlfn.XLOOKUP(C752,'Product List'!B:B,'Product List'!I:I)</f>
        <v>MINI/MOE SILENT CRSTL RUN WHEEL LG 8.5-Green</v>
      </c>
      <c r="C752" s="94" t="s">
        <v>28</v>
      </c>
      <c r="D752" s="269" t="s">
        <v>361</v>
      </c>
      <c r="E752" s="132">
        <v>184</v>
      </c>
      <c r="F752" s="125">
        <v>12.63</v>
      </c>
      <c r="G752" s="125">
        <f t="shared" si="22"/>
        <v>2323.92</v>
      </c>
      <c r="H752" s="86" t="s">
        <v>306</v>
      </c>
      <c r="I752" s="86" t="s">
        <v>92</v>
      </c>
      <c r="J752" s="86" t="s">
        <v>307</v>
      </c>
      <c r="K752" s="126">
        <v>46273</v>
      </c>
      <c r="L752" s="267">
        <v>46265</v>
      </c>
      <c r="M752" s="127">
        <f>_xlfn.XLOOKUP(C752,'Product List'!B:B,'Product List'!R:R)</f>
        <v>6.27</v>
      </c>
      <c r="N752" s="124">
        <f t="shared" si="23"/>
        <v>1153.68</v>
      </c>
      <c r="O752" s="124" cm="1">
        <f t="array" ref="O752">E752/_xlfn.XLOOKUP(1,('Case Pack'!$A$4:$A$962=C752)*('Case Pack'!$L$4:$L$962&gt;0)*('Case Pack'!$L$4:$L$962&lt;=A752),'Case Pack'!$D$4:$D$962,"未找到箱规")</f>
        <v>23</v>
      </c>
      <c r="P752" s="124" t="str">
        <f>IF(COUNTIF('PO Check'!A:A,D752)&gt;0,"Yes","No")</f>
        <v>Yes</v>
      </c>
      <c r="Q752" s="124" t="str" cm="1">
        <f t="array" ref="Q752">_xlfn.XLOOKUP(1,('Case Pack'!$A$4:$A$962=C752)*('Case Pack'!$L$4:$L$962&gt;0)*('Case Pack'!$L$4:$L$962&lt;=A752),'Case Pack'!$G$4:$G$962,"未找到箱型")</f>
        <v>C</v>
      </c>
      <c r="R752" s="124">
        <f>ROUND(IFERROR(VLOOKUP(Q752,'Case Type'!A:H,8,0),0)*O752,2)</f>
        <v>3.62</v>
      </c>
    </row>
    <row r="753" customFormat="1" spans="1:18">
      <c r="A753" s="113">
        <v>46247</v>
      </c>
      <c r="B753" s="91" t="str">
        <f>_xlfn.XLOOKUP(C753,'Product List'!B:B,'Product List'!I:I)</f>
        <v>MINI/MOE TV VIEWING CAGE</v>
      </c>
      <c r="C753" s="94" t="s">
        <v>50</v>
      </c>
      <c r="D753" s="269" t="s">
        <v>361</v>
      </c>
      <c r="E753" s="132">
        <v>134</v>
      </c>
      <c r="F753" s="125">
        <v>51.71</v>
      </c>
      <c r="G753" s="125">
        <f t="shared" si="22"/>
        <v>6929.14</v>
      </c>
      <c r="H753" s="86" t="s">
        <v>306</v>
      </c>
      <c r="I753" s="86" t="s">
        <v>92</v>
      </c>
      <c r="J753" s="86" t="s">
        <v>307</v>
      </c>
      <c r="K753" s="126">
        <v>46273</v>
      </c>
      <c r="L753" s="267">
        <v>46265</v>
      </c>
      <c r="M753" s="127">
        <f>_xlfn.XLOOKUP(C753,'Product List'!B:B,'Product List'!R:R)</f>
        <v>24.09</v>
      </c>
      <c r="N753" s="124">
        <f t="shared" si="23"/>
        <v>3228.06</v>
      </c>
      <c r="O753" s="124" cm="1">
        <f t="array" ref="O753">E753/_xlfn.XLOOKUP(1,('Case Pack'!$A$4:$A$962=C753)*('Case Pack'!$L$4:$L$962&gt;0)*('Case Pack'!$L$4:$L$962&lt;=A753),'Case Pack'!$D$4:$D$962,"未找到箱规")</f>
        <v>134</v>
      </c>
      <c r="P753" s="124" t="str">
        <f>IF(COUNTIF('PO Check'!A:A,D753)&gt;0,"Yes","No")</f>
        <v>Yes</v>
      </c>
      <c r="Q753" s="124" t="str" cm="1">
        <f t="array" ref="Q753">_xlfn.XLOOKUP(1,('Case Pack'!$A$4:$A$962=C753)*('Case Pack'!$L$4:$L$962&gt;0)*('Case Pack'!$L$4:$L$962&lt;=A753),'Case Pack'!$G$4:$G$962,"未找到箱型")</f>
        <v>S1</v>
      </c>
      <c r="R753" s="124">
        <f>ROUND(IFERROR(VLOOKUP(Q753,'Case Type'!A:H,8,0),0)*O753,2)</f>
        <v>9.92</v>
      </c>
    </row>
    <row r="754" customFormat="1" spans="1:18">
      <c r="A754" s="113">
        <v>46247</v>
      </c>
      <c r="B754" s="91" t="str">
        <f>_xlfn.XLOOKUP(C754,'Product List'!B:B,'Product List'!I:I)</f>
        <v>MINI/MOE TULIP WATER BOTTLE</v>
      </c>
      <c r="C754" s="94" t="s">
        <v>52</v>
      </c>
      <c r="D754" s="269" t="s">
        <v>361</v>
      </c>
      <c r="E754" s="132">
        <v>240</v>
      </c>
      <c r="F754" s="125">
        <v>1.7</v>
      </c>
      <c r="G754" s="125">
        <f t="shared" si="22"/>
        <v>408</v>
      </c>
      <c r="H754" s="86" t="s">
        <v>306</v>
      </c>
      <c r="I754" s="86" t="s">
        <v>92</v>
      </c>
      <c r="J754" s="86" t="s">
        <v>307</v>
      </c>
      <c r="K754" s="126">
        <v>46273</v>
      </c>
      <c r="L754" s="267">
        <v>46265</v>
      </c>
      <c r="M754" s="127">
        <f>_xlfn.XLOOKUP(C754,'Product List'!B:B,'Product List'!R:R)</f>
        <v>0.73</v>
      </c>
      <c r="N754" s="124">
        <f t="shared" si="23"/>
        <v>175.2</v>
      </c>
      <c r="O754" s="124" cm="1">
        <f t="array" ref="O754">E754/_xlfn.XLOOKUP(1,('Case Pack'!$A$4:$A$962=C754)*('Case Pack'!$L$4:$L$962&gt;0)*('Case Pack'!$L$4:$L$962&lt;=A754),'Case Pack'!$D$4:$D$962,"未找到箱规")</f>
        <v>4</v>
      </c>
      <c r="P754" s="124" t="str">
        <f>IF(COUNTIF('PO Check'!A:A,D754)&gt;0,"Yes","No")</f>
        <v>Yes</v>
      </c>
      <c r="Q754" s="124" t="str" cm="1">
        <f t="array" ref="Q754">_xlfn.XLOOKUP(1,('Case Pack'!$A$4:$A$962=C754)*('Case Pack'!$L$4:$L$962&gt;0)*('Case Pack'!$L$4:$L$962&lt;=A754),'Case Pack'!$G$4:$G$962,"未找到箱型")</f>
        <v>C</v>
      </c>
      <c r="R754" s="124">
        <f>ROUND(IFERROR(VLOOKUP(Q754,'Case Type'!A:H,8,0),0)*O754,2)</f>
        <v>0.63</v>
      </c>
    </row>
    <row r="755" customFormat="1" spans="1:18">
      <c r="A755" s="113">
        <v>46247</v>
      </c>
      <c r="B755" s="91" t="str">
        <f>_xlfn.XLOOKUP(C755,'Product List'!B:B,'Product List'!I:I)</f>
        <v>MINI/MOE BENDABLE BIRCHWOOD FENCE</v>
      </c>
      <c r="C755" s="94" t="s">
        <v>62</v>
      </c>
      <c r="D755" s="269" t="s">
        <v>361</v>
      </c>
      <c r="E755" s="132">
        <v>128</v>
      </c>
      <c r="F755" s="125">
        <v>4.65</v>
      </c>
      <c r="G755" s="125">
        <f t="shared" si="22"/>
        <v>595.2</v>
      </c>
      <c r="H755" s="86" t="s">
        <v>306</v>
      </c>
      <c r="I755" s="86" t="s">
        <v>92</v>
      </c>
      <c r="J755" s="86" t="s">
        <v>307</v>
      </c>
      <c r="K755" s="126">
        <v>46273</v>
      </c>
      <c r="L755" s="267">
        <v>46265</v>
      </c>
      <c r="M755" s="127">
        <f>_xlfn.XLOOKUP(C755,'Product List'!B:B,'Product List'!R:R)</f>
        <v>3.4</v>
      </c>
      <c r="N755" s="124">
        <f t="shared" si="23"/>
        <v>435.2</v>
      </c>
      <c r="O755" s="124" cm="1">
        <f t="array" ref="O755">E755/_xlfn.XLOOKUP(1,('Case Pack'!$A$4:$A$962=C755)*('Case Pack'!$L$4:$L$962&gt;0)*('Case Pack'!$L$4:$L$962&lt;=A755),'Case Pack'!$D$4:$D$962,"未找到箱规")</f>
        <v>4</v>
      </c>
      <c r="P755" s="124" t="str">
        <f>IF(COUNTIF('PO Check'!A:A,D755)&gt;0,"Yes","No")</f>
        <v>Yes</v>
      </c>
      <c r="Q755" s="124" t="str" cm="1">
        <f t="array" ref="Q755">_xlfn.XLOOKUP(1,('Case Pack'!$A$4:$A$962=C755)*('Case Pack'!$L$4:$L$962&gt;0)*('Case Pack'!$L$4:$L$962&lt;=A755),'Case Pack'!$G$4:$G$962,"未找到箱型")</f>
        <v>F</v>
      </c>
      <c r="R755" s="124">
        <f>ROUND(IFERROR(VLOOKUP(Q755,'Case Type'!A:H,8,0),0)*O755,2)</f>
        <v>0.15</v>
      </c>
    </row>
    <row r="756" customFormat="1" spans="1:18">
      <c r="A756" s="113">
        <v>46247</v>
      </c>
      <c r="B756" s="91" t="str">
        <f>_xlfn.XLOOKUP(C756,'Product List'!B:B,'Product List'!I:I)</f>
        <v>D. MMO-COTTAGE VIEW CAGE</v>
      </c>
      <c r="C756" s="94" t="s">
        <v>64</v>
      </c>
      <c r="D756" s="269" t="s">
        <v>361</v>
      </c>
      <c r="E756" s="132">
        <v>47</v>
      </c>
      <c r="F756" s="125">
        <v>70.28</v>
      </c>
      <c r="G756" s="125">
        <f t="shared" si="22"/>
        <v>3303.16</v>
      </c>
      <c r="H756" s="86" t="s">
        <v>306</v>
      </c>
      <c r="I756" s="86" t="s">
        <v>92</v>
      </c>
      <c r="J756" s="86" t="s">
        <v>307</v>
      </c>
      <c r="K756" s="126">
        <v>46273</v>
      </c>
      <c r="L756" s="267">
        <v>46265</v>
      </c>
      <c r="M756" s="127">
        <f>_xlfn.XLOOKUP(C756,'Product List'!B:B,'Product List'!R:R)</f>
        <v>28.56</v>
      </c>
      <c r="N756" s="124">
        <f t="shared" si="23"/>
        <v>1342.32</v>
      </c>
      <c r="O756" s="124" cm="1">
        <f t="array" ref="O756">E756/_xlfn.XLOOKUP(1,('Case Pack'!$A$4:$A$962=C756)*('Case Pack'!$L$4:$L$962&gt;0)*('Case Pack'!$L$4:$L$962&lt;=A756),'Case Pack'!$D$4:$D$962,"未找到箱规")</f>
        <v>47</v>
      </c>
      <c r="P756" s="124" t="str">
        <f>IF(COUNTIF('PO Check'!A:A,D756)&gt;0,"Yes","No")</f>
        <v>Yes</v>
      </c>
      <c r="Q756" s="124" t="str" cm="1">
        <f t="array" ref="Q756">_xlfn.XLOOKUP(1,('Case Pack'!$A$4:$A$962=C756)*('Case Pack'!$L$4:$L$962&gt;0)*('Case Pack'!$L$4:$L$962&lt;=A756),'Case Pack'!$G$4:$G$962,"未找到箱型")</f>
        <v>S3</v>
      </c>
      <c r="R756" s="124">
        <f>ROUND(IFERROR(VLOOKUP(Q756,'Case Type'!A:H,8,0),0)*O756,2)</f>
        <v>6.69</v>
      </c>
    </row>
    <row r="757" customFormat="1" spans="1:18">
      <c r="A757" s="113">
        <v>46247</v>
      </c>
      <c r="B757" s="91" t="str">
        <f>_xlfn.XLOOKUP(C757,'Product List'!B:B,'Product List'!I:I)</f>
        <v>MINI/MOE SILENT CRSTL RUN WHEEL XL 11.5 1EA</v>
      </c>
      <c r="C757" s="94" t="s">
        <v>76</v>
      </c>
      <c r="D757" s="269" t="s">
        <v>361</v>
      </c>
      <c r="E757" s="132">
        <v>279</v>
      </c>
      <c r="F757" s="125">
        <v>19.75</v>
      </c>
      <c r="G757" s="125">
        <f t="shared" si="22"/>
        <v>5510.25</v>
      </c>
      <c r="H757" s="86" t="s">
        <v>306</v>
      </c>
      <c r="I757" s="86" t="s">
        <v>92</v>
      </c>
      <c r="J757" s="86" t="s">
        <v>307</v>
      </c>
      <c r="K757" s="126">
        <v>46273</v>
      </c>
      <c r="L757" s="267">
        <v>46265</v>
      </c>
      <c r="M757" s="127">
        <f>_xlfn.XLOOKUP(C757,'Product List'!B:B,'Product List'!R:R)</f>
        <v>10.42</v>
      </c>
      <c r="N757" s="124">
        <f t="shared" si="23"/>
        <v>2907.18</v>
      </c>
      <c r="O757" s="124" cm="1">
        <f t="array" ref="O757">E757/_xlfn.XLOOKUP(1,('Case Pack'!$A$4:$A$962=C757)*('Case Pack'!$L$4:$L$962&gt;0)*('Case Pack'!$L$4:$L$962&lt;=A757),'Case Pack'!$D$4:$D$962,"未找到箱规")</f>
        <v>93</v>
      </c>
      <c r="P757" s="124" t="str">
        <f>IF(COUNTIF('PO Check'!A:A,D757)&gt;0,"Yes","No")</f>
        <v>Yes</v>
      </c>
      <c r="Q757" s="124" t="str" cm="1">
        <f t="array" ref="Q757">_xlfn.XLOOKUP(1,('Case Pack'!$A$4:$A$962=C757)*('Case Pack'!$L$4:$L$962&gt;0)*('Case Pack'!$L$4:$L$962&lt;=A757),'Case Pack'!$G$4:$G$962,"未找到箱型")</f>
        <v>C</v>
      </c>
      <c r="R757" s="124">
        <f>ROUND(IFERROR(VLOOKUP(Q757,'Case Type'!A:H,8,0),0)*O757,2)</f>
        <v>14.63</v>
      </c>
    </row>
    <row r="758" customFormat="1" spans="1:18">
      <c r="A758" s="113">
        <v>46247</v>
      </c>
      <c r="B758" s="91" t="str">
        <f>_xlfn.XLOOKUP(C758,'Product List'!B:B,'Product List'!I:I)</f>
        <v>MINI/MOE WOODLAND POTTY</v>
      </c>
      <c r="C758" s="94" t="s">
        <v>79</v>
      </c>
      <c r="D758" s="269" t="s">
        <v>361</v>
      </c>
      <c r="E758" s="132">
        <v>108</v>
      </c>
      <c r="F758" s="125">
        <v>2.61</v>
      </c>
      <c r="G758" s="125">
        <f t="shared" si="22"/>
        <v>281.88</v>
      </c>
      <c r="H758" s="86" t="s">
        <v>306</v>
      </c>
      <c r="I758" s="86" t="s">
        <v>92</v>
      </c>
      <c r="J758" s="86" t="s">
        <v>307</v>
      </c>
      <c r="K758" s="126">
        <v>46273</v>
      </c>
      <c r="L758" s="267">
        <v>46265</v>
      </c>
      <c r="M758" s="127">
        <f>_xlfn.XLOOKUP(C758,'Product List'!B:B,'Product List'!R:R)</f>
        <v>1.19</v>
      </c>
      <c r="N758" s="124">
        <f t="shared" si="23"/>
        <v>128.52</v>
      </c>
      <c r="O758" s="124" cm="1">
        <f t="array" ref="O758">E758/_xlfn.XLOOKUP(1,('Case Pack'!$A$4:$A$962=C758)*('Case Pack'!$L$4:$L$962&gt;0)*('Case Pack'!$L$4:$L$962&lt;=A758),'Case Pack'!$D$4:$D$962,"未找到箱规")</f>
        <v>3</v>
      </c>
      <c r="P758" s="124" t="str">
        <f>IF(COUNTIF('PO Check'!A:A,D758)&gt;0,"Yes","No")</f>
        <v>Yes</v>
      </c>
      <c r="Q758" s="124" t="str" cm="1">
        <f t="array" ref="Q758">_xlfn.XLOOKUP(1,('Case Pack'!$A$4:$A$962=C758)*('Case Pack'!$L$4:$L$962&gt;0)*('Case Pack'!$L$4:$L$962&lt;=A758),'Case Pack'!$G$4:$G$962,"未找到箱型")</f>
        <v>C</v>
      </c>
      <c r="R758" s="124">
        <f>ROUND(IFERROR(VLOOKUP(Q758,'Case Type'!A:H,8,0),0)*O758,2)</f>
        <v>0.47</v>
      </c>
    </row>
    <row r="759" customFormat="1" spans="1:18">
      <c r="A759" s="113">
        <v>46247</v>
      </c>
      <c r="B759" s="91" t="str">
        <f>_xlfn.XLOOKUP(C759,'Product List'!B:B,'Product List'!I:I)</f>
        <v>MINI/MOE MUSHROOM CABIN</v>
      </c>
      <c r="C759" s="94" t="s">
        <v>39</v>
      </c>
      <c r="D759" s="269" t="s">
        <v>362</v>
      </c>
      <c r="E759" s="132">
        <v>208</v>
      </c>
      <c r="F759" s="125">
        <v>6.98</v>
      </c>
      <c r="G759" s="125">
        <f t="shared" si="22"/>
        <v>1451.84</v>
      </c>
      <c r="H759" s="86" t="s">
        <v>306</v>
      </c>
      <c r="I759" s="86" t="s">
        <v>92</v>
      </c>
      <c r="J759" s="86" t="s">
        <v>307</v>
      </c>
      <c r="K759" s="126">
        <v>46273</v>
      </c>
      <c r="L759" s="267">
        <v>46259</v>
      </c>
      <c r="M759" s="127">
        <f>_xlfn.XLOOKUP(C759,'Product List'!B:B,'Product List'!R:R)</f>
        <v>3.2</v>
      </c>
      <c r="N759" s="124">
        <f t="shared" si="23"/>
        <v>665.6</v>
      </c>
      <c r="O759" s="124" cm="1">
        <f t="array" ref="O759">E759/_xlfn.XLOOKUP(1,('Case Pack'!$A$4:$A$962=C759)*('Case Pack'!$L$4:$L$962&gt;0)*('Case Pack'!$L$4:$L$962&lt;=A759),'Case Pack'!$D$4:$D$962,"未找到箱规")</f>
        <v>13</v>
      </c>
      <c r="P759" s="124" t="str">
        <f>IF(COUNTIF('PO Check'!A:A,D759)&gt;0,"Yes","No")</f>
        <v>Yes</v>
      </c>
      <c r="Q759" s="124" t="str" cm="1">
        <f t="array" ref="Q759">_xlfn.XLOOKUP(1,('Case Pack'!$A$4:$A$962=C759)*('Case Pack'!$L$4:$L$962&gt;0)*('Case Pack'!$L$4:$L$962&lt;=A759),'Case Pack'!$G$4:$G$962,"未找到箱型")</f>
        <v>C</v>
      </c>
      <c r="R759" s="124">
        <f>ROUND(IFERROR(VLOOKUP(Q759,'Case Type'!A:H,8,0),0)*O759,2)</f>
        <v>2.05</v>
      </c>
    </row>
    <row r="760" customFormat="1" spans="1:18">
      <c r="A760" s="113">
        <v>46247</v>
      </c>
      <c r="B760" s="91" t="str">
        <f>_xlfn.XLOOKUP(C760,'Product List'!B:B,'Product List'!I:I)</f>
        <v>MINI/MOE TREEHOUSE CABIN</v>
      </c>
      <c r="C760" s="94" t="s">
        <v>41</v>
      </c>
      <c r="D760" s="269" t="s">
        <v>362</v>
      </c>
      <c r="E760" s="132">
        <v>300</v>
      </c>
      <c r="F760" s="125">
        <v>4.28</v>
      </c>
      <c r="G760" s="125">
        <f t="shared" si="22"/>
        <v>1284</v>
      </c>
      <c r="H760" s="86" t="s">
        <v>306</v>
      </c>
      <c r="I760" s="86" t="s">
        <v>92</v>
      </c>
      <c r="J760" s="86" t="s">
        <v>307</v>
      </c>
      <c r="K760" s="126">
        <v>46273</v>
      </c>
      <c r="L760" s="267">
        <v>46259</v>
      </c>
      <c r="M760" s="127">
        <f>_xlfn.XLOOKUP(C760,'Product List'!B:B,'Product List'!R:R)</f>
        <v>2.07</v>
      </c>
      <c r="N760" s="124">
        <f t="shared" si="23"/>
        <v>621</v>
      </c>
      <c r="O760" s="124" cm="1">
        <f t="array" ref="O760">E760/_xlfn.XLOOKUP(1,('Case Pack'!$A$4:$A$962=C760)*('Case Pack'!$L$4:$L$962&gt;0)*('Case Pack'!$L$4:$L$962&lt;=A760),'Case Pack'!$D$4:$D$962,"未找到箱规")</f>
        <v>10</v>
      </c>
      <c r="P760" s="124" t="str">
        <f>IF(COUNTIF('PO Check'!A:A,D760)&gt;0,"Yes","No")</f>
        <v>Yes</v>
      </c>
      <c r="Q760" s="124" t="str" cm="1">
        <f t="array" ref="Q760">_xlfn.XLOOKUP(1,('Case Pack'!$A$4:$A$962=C760)*('Case Pack'!$L$4:$L$962&gt;0)*('Case Pack'!$L$4:$L$962&lt;=A760),'Case Pack'!$G$4:$G$962,"未找到箱型")</f>
        <v>C</v>
      </c>
      <c r="R760" s="124">
        <f>ROUND(IFERROR(VLOOKUP(Q760,'Case Type'!A:H,8,0),0)*O760,2)</f>
        <v>1.57</v>
      </c>
    </row>
    <row r="761" customFormat="1" spans="1:18">
      <c r="A761" s="113">
        <v>46247</v>
      </c>
      <c r="B761" s="91" t="str">
        <f>_xlfn.XLOOKUP(C761,'Product List'!B:B,'Product List'!I:I)</f>
        <v>MINI/MOE IVY BURROWING BOX</v>
      </c>
      <c r="C761" s="94" t="s">
        <v>49</v>
      </c>
      <c r="D761" s="269" t="s">
        <v>362</v>
      </c>
      <c r="E761" s="132">
        <v>448</v>
      </c>
      <c r="F761" s="125">
        <v>14.89</v>
      </c>
      <c r="G761" s="125">
        <f t="shared" si="22"/>
        <v>6670.72</v>
      </c>
      <c r="H761" s="86" t="s">
        <v>306</v>
      </c>
      <c r="I761" s="86" t="s">
        <v>92</v>
      </c>
      <c r="J761" s="86" t="s">
        <v>307</v>
      </c>
      <c r="K761" s="126">
        <v>46273</v>
      </c>
      <c r="L761" s="267">
        <v>46259</v>
      </c>
      <c r="M761" s="127">
        <f>_xlfn.XLOOKUP(C761,'Product List'!B:B,'Product List'!R:R)</f>
        <v>7.16</v>
      </c>
      <c r="N761" s="124">
        <f t="shared" si="23"/>
        <v>3207.68</v>
      </c>
      <c r="O761" s="124" cm="1">
        <f t="array" ref="O761">E761/_xlfn.XLOOKUP(1,('Case Pack'!$A$4:$A$962=C761)*('Case Pack'!$L$4:$L$962&gt;0)*('Case Pack'!$L$4:$L$962&lt;=A761),'Case Pack'!$D$4:$D$962,"未找到箱规")</f>
        <v>112</v>
      </c>
      <c r="P761" s="124" t="str">
        <f>IF(COUNTIF('PO Check'!A:A,D761)&gt;0,"Yes","No")</f>
        <v>Yes</v>
      </c>
      <c r="Q761" s="124" t="str" cm="1">
        <f t="array" ref="Q761">_xlfn.XLOOKUP(1,('Case Pack'!$A$4:$A$962=C761)*('Case Pack'!$L$4:$L$962&gt;0)*('Case Pack'!$L$4:$L$962&lt;=A761),'Case Pack'!$G$4:$G$962,"未找到箱型")</f>
        <v>D</v>
      </c>
      <c r="R761" s="124">
        <f>ROUND(IFERROR(VLOOKUP(Q761,'Case Type'!A:H,8,0),0)*O761,2)</f>
        <v>9.87</v>
      </c>
    </row>
    <row r="762" customFormat="1" spans="1:18">
      <c r="A762" s="113">
        <v>46247</v>
      </c>
      <c r="B762" s="91" t="str">
        <f>_xlfn.XLOOKUP(C762,'Product List'!B:B,'Product List'!I:I)</f>
        <v>MINI/MOE TULIP WATER BOTTLE</v>
      </c>
      <c r="C762" s="94" t="s">
        <v>52</v>
      </c>
      <c r="D762" s="269" t="s">
        <v>362</v>
      </c>
      <c r="E762" s="132">
        <v>120</v>
      </c>
      <c r="F762" s="125">
        <v>1.7</v>
      </c>
      <c r="G762" s="125">
        <f t="shared" si="22"/>
        <v>204</v>
      </c>
      <c r="H762" s="86" t="s">
        <v>306</v>
      </c>
      <c r="I762" s="86" t="s">
        <v>92</v>
      </c>
      <c r="J762" s="86" t="s">
        <v>307</v>
      </c>
      <c r="K762" s="126">
        <v>46273</v>
      </c>
      <c r="L762" s="267">
        <v>46259</v>
      </c>
      <c r="M762" s="127">
        <f>_xlfn.XLOOKUP(C762,'Product List'!B:B,'Product List'!R:R)</f>
        <v>0.73</v>
      </c>
      <c r="N762" s="124">
        <f t="shared" si="23"/>
        <v>87.6</v>
      </c>
      <c r="O762" s="124" cm="1">
        <f t="array" ref="O762">E762/_xlfn.XLOOKUP(1,('Case Pack'!$A$4:$A$962=C762)*('Case Pack'!$L$4:$L$962&gt;0)*('Case Pack'!$L$4:$L$962&lt;=A762),'Case Pack'!$D$4:$D$962,"未找到箱规")</f>
        <v>2</v>
      </c>
      <c r="P762" s="124" t="str">
        <f>IF(COUNTIF('PO Check'!A:A,D762)&gt;0,"Yes","No")</f>
        <v>Yes</v>
      </c>
      <c r="Q762" s="124" t="str" cm="1">
        <f t="array" ref="Q762">_xlfn.XLOOKUP(1,('Case Pack'!$A$4:$A$962=C762)*('Case Pack'!$L$4:$L$962&gt;0)*('Case Pack'!$L$4:$L$962&lt;=A762),'Case Pack'!$G$4:$G$962,"未找到箱型")</f>
        <v>C</v>
      </c>
      <c r="R762" s="124">
        <f>ROUND(IFERROR(VLOOKUP(Q762,'Case Type'!A:H,8,0),0)*O762,2)</f>
        <v>0.31</v>
      </c>
    </row>
    <row r="763" customFormat="1" spans="1:18">
      <c r="A763" s="113">
        <v>46247</v>
      </c>
      <c r="B763" s="91" t="str">
        <f>_xlfn.XLOOKUP(C763,'Product List'!B:B,'Product List'!I:I)</f>
        <v>MINI/MOE CAMPING TENT HIDE</v>
      </c>
      <c r="C763" s="94" t="s">
        <v>73</v>
      </c>
      <c r="D763" s="269" t="s">
        <v>362</v>
      </c>
      <c r="E763" s="132">
        <v>312</v>
      </c>
      <c r="F763" s="125">
        <v>3.36</v>
      </c>
      <c r="G763" s="125">
        <f t="shared" si="22"/>
        <v>1048.32</v>
      </c>
      <c r="H763" s="86" t="s">
        <v>306</v>
      </c>
      <c r="I763" s="86" t="s">
        <v>92</v>
      </c>
      <c r="J763" s="86" t="s">
        <v>307</v>
      </c>
      <c r="K763" s="126">
        <v>46273</v>
      </c>
      <c r="L763" s="267">
        <v>46259</v>
      </c>
      <c r="M763" s="127">
        <f>_xlfn.XLOOKUP(C763,'Product List'!B:B,'Product List'!R:R)</f>
        <v>1.96</v>
      </c>
      <c r="N763" s="124">
        <f t="shared" si="23"/>
        <v>611.52</v>
      </c>
      <c r="O763" s="124" cm="1">
        <f t="array" ref="O763">E763/_xlfn.XLOOKUP(1,('Case Pack'!$A$4:$A$962=C763)*('Case Pack'!$L$4:$L$962&gt;0)*('Case Pack'!$L$4:$L$962&lt;=A763),'Case Pack'!$D$4:$D$962,"未找到箱规")</f>
        <v>26</v>
      </c>
      <c r="P763" s="124" t="str">
        <f>IF(COUNTIF('PO Check'!A:A,D763)&gt;0,"Yes","No")</f>
        <v>Yes</v>
      </c>
      <c r="Q763" s="124" t="str" cm="1">
        <f t="array" ref="Q763">_xlfn.XLOOKUP(1,('Case Pack'!$A$4:$A$962=C763)*('Case Pack'!$L$4:$L$962&gt;0)*('Case Pack'!$L$4:$L$962&lt;=A763),'Case Pack'!$G$4:$G$962,"未找到箱型")</f>
        <v>B</v>
      </c>
      <c r="R763" s="124">
        <f>ROUND(IFERROR(VLOOKUP(Q763,'Case Type'!A:H,8,0),0)*O763,2)</f>
        <v>1.91</v>
      </c>
    </row>
    <row r="764" customFormat="1" spans="1:18">
      <c r="A764" s="113">
        <v>46247</v>
      </c>
      <c r="B764" s="91" t="str">
        <f>_xlfn.XLOOKUP(C764,'Product List'!B:B,'Product List'!I:I)</f>
        <v>MINI/MOE MUSHROOM CABIN</v>
      </c>
      <c r="C764" s="94" t="s">
        <v>39</v>
      </c>
      <c r="D764" s="269" t="s">
        <v>363</v>
      </c>
      <c r="E764" s="132">
        <v>80</v>
      </c>
      <c r="F764" s="125">
        <v>6.98</v>
      </c>
      <c r="G764" s="125">
        <f t="shared" si="22"/>
        <v>558.4</v>
      </c>
      <c r="H764" s="86" t="s">
        <v>306</v>
      </c>
      <c r="I764" s="86" t="s">
        <v>92</v>
      </c>
      <c r="J764" s="86" t="s">
        <v>313</v>
      </c>
      <c r="K764" s="126">
        <v>46273</v>
      </c>
      <c r="L764" s="267">
        <v>46260</v>
      </c>
      <c r="M764" s="127">
        <f>_xlfn.XLOOKUP(C764,'Product List'!B:B,'Product List'!R:R)</f>
        <v>3.2</v>
      </c>
      <c r="N764" s="124">
        <f t="shared" si="23"/>
        <v>256</v>
      </c>
      <c r="O764" s="124" cm="1">
        <f t="array" ref="O764">E764/_xlfn.XLOOKUP(1,('Case Pack'!$A$4:$A$962=C764)*('Case Pack'!$L$4:$L$962&gt;0)*('Case Pack'!$L$4:$L$962&lt;=A764),'Case Pack'!$D$4:$D$962,"未找到箱规")</f>
        <v>5</v>
      </c>
      <c r="P764" s="124" t="str">
        <f>IF(COUNTIF('PO Check'!A:A,D764)&gt;0,"Yes","No")</f>
        <v>Yes</v>
      </c>
      <c r="Q764" s="124" t="str" cm="1">
        <f t="array" ref="Q764">_xlfn.XLOOKUP(1,('Case Pack'!$A$4:$A$962=C764)*('Case Pack'!$L$4:$L$962&gt;0)*('Case Pack'!$L$4:$L$962&lt;=A764),'Case Pack'!$G$4:$G$962,"未找到箱型")</f>
        <v>C</v>
      </c>
      <c r="R764" s="124">
        <f>ROUND(IFERROR(VLOOKUP(Q764,'Case Type'!A:H,8,0),0)*O764,2)</f>
        <v>0.79</v>
      </c>
    </row>
    <row r="765" customFormat="1" spans="1:18">
      <c r="A765" s="113">
        <v>46247</v>
      </c>
      <c r="B765" s="91" t="str">
        <f>_xlfn.XLOOKUP(C765,'Product List'!B:B,'Product List'!I:I)</f>
        <v>MINI/MOE TREEHOUSE CABIN</v>
      </c>
      <c r="C765" s="94" t="s">
        <v>41</v>
      </c>
      <c r="D765" s="269" t="s">
        <v>363</v>
      </c>
      <c r="E765" s="132">
        <v>120</v>
      </c>
      <c r="F765" s="125">
        <v>4.28</v>
      </c>
      <c r="G765" s="125">
        <f t="shared" si="22"/>
        <v>513.6</v>
      </c>
      <c r="H765" s="86" t="s">
        <v>306</v>
      </c>
      <c r="I765" s="86" t="s">
        <v>92</v>
      </c>
      <c r="J765" s="86" t="s">
        <v>313</v>
      </c>
      <c r="K765" s="126">
        <v>46273</v>
      </c>
      <c r="L765" s="267">
        <v>46260</v>
      </c>
      <c r="M765" s="127">
        <f>_xlfn.XLOOKUP(C765,'Product List'!B:B,'Product List'!R:R)</f>
        <v>2.07</v>
      </c>
      <c r="N765" s="124">
        <f t="shared" si="23"/>
        <v>248.4</v>
      </c>
      <c r="O765" s="124" cm="1">
        <f t="array" ref="O765">E765/_xlfn.XLOOKUP(1,('Case Pack'!$A$4:$A$962=C765)*('Case Pack'!$L$4:$L$962&gt;0)*('Case Pack'!$L$4:$L$962&lt;=A765),'Case Pack'!$D$4:$D$962,"未找到箱规")</f>
        <v>4</v>
      </c>
      <c r="P765" s="124" t="str">
        <f>IF(COUNTIF('PO Check'!A:A,D765)&gt;0,"Yes","No")</f>
        <v>Yes</v>
      </c>
      <c r="Q765" s="124" t="str" cm="1">
        <f t="array" ref="Q765">_xlfn.XLOOKUP(1,('Case Pack'!$A$4:$A$962=C765)*('Case Pack'!$L$4:$L$962&gt;0)*('Case Pack'!$L$4:$L$962&lt;=A765),'Case Pack'!$G$4:$G$962,"未找到箱型")</f>
        <v>C</v>
      </c>
      <c r="R765" s="124">
        <f>ROUND(IFERROR(VLOOKUP(Q765,'Case Type'!A:H,8,0),0)*O765,2)</f>
        <v>0.63</v>
      </c>
    </row>
    <row r="766" customFormat="1" spans="1:18">
      <c r="A766" s="113">
        <v>46247</v>
      </c>
      <c r="B766" s="91" t="str">
        <f>_xlfn.XLOOKUP(C766,'Product List'!B:B,'Product List'!I:I)</f>
        <v>MINI/MOE GARDEN TEAPOT</v>
      </c>
      <c r="C766" s="94" t="s">
        <v>43</v>
      </c>
      <c r="D766" s="269" t="s">
        <v>363</v>
      </c>
      <c r="E766" s="132">
        <v>60</v>
      </c>
      <c r="F766" s="125">
        <v>4.61</v>
      </c>
      <c r="G766" s="125">
        <f t="shared" si="22"/>
        <v>276.6</v>
      </c>
      <c r="H766" s="86" t="s">
        <v>306</v>
      </c>
      <c r="I766" s="86" t="s">
        <v>92</v>
      </c>
      <c r="J766" s="86" t="s">
        <v>313</v>
      </c>
      <c r="K766" s="126">
        <v>46273</v>
      </c>
      <c r="L766" s="267">
        <v>46260</v>
      </c>
      <c r="M766" s="127">
        <f>_xlfn.XLOOKUP(C766,'Product List'!B:B,'Product List'!R:R)</f>
        <v>2.25</v>
      </c>
      <c r="N766" s="124">
        <f t="shared" si="23"/>
        <v>135</v>
      </c>
      <c r="O766" s="124" cm="1">
        <f t="array" ref="O766">E766/_xlfn.XLOOKUP(1,('Case Pack'!$A$4:$A$962=C766)*('Case Pack'!$L$4:$L$962&gt;0)*('Case Pack'!$L$4:$L$962&lt;=A766),'Case Pack'!$D$4:$D$962,"未找到箱规")</f>
        <v>2</v>
      </c>
      <c r="P766" s="124" t="str">
        <f>IF(COUNTIF('PO Check'!A:A,D766)&gt;0,"Yes","No")</f>
        <v>Yes</v>
      </c>
      <c r="Q766" s="124" t="str" cm="1">
        <f t="array" ref="Q766">_xlfn.XLOOKUP(1,('Case Pack'!$A$4:$A$962=C766)*('Case Pack'!$L$4:$L$962&gt;0)*('Case Pack'!$L$4:$L$962&lt;=A766),'Case Pack'!$G$4:$G$962,"未找到箱型")</f>
        <v>C</v>
      </c>
      <c r="R766" s="124">
        <f>ROUND(IFERROR(VLOOKUP(Q766,'Case Type'!A:H,8,0),0)*O766,2)</f>
        <v>0.31</v>
      </c>
    </row>
    <row r="767" customFormat="1" spans="1:18">
      <c r="A767" s="113">
        <v>46247</v>
      </c>
      <c r="B767" s="91" t="str">
        <f>_xlfn.XLOOKUP(C767,'Product List'!B:B,'Product List'!I:I)</f>
        <v>MINI/MOE IVY BURROWING BOX</v>
      </c>
      <c r="C767" s="94" t="s">
        <v>49</v>
      </c>
      <c r="D767" s="269" t="s">
        <v>363</v>
      </c>
      <c r="E767" s="132">
        <v>4</v>
      </c>
      <c r="F767" s="125">
        <v>14.89</v>
      </c>
      <c r="G767" s="125">
        <f t="shared" si="22"/>
        <v>59.56</v>
      </c>
      <c r="H767" s="86" t="s">
        <v>306</v>
      </c>
      <c r="I767" s="86" t="s">
        <v>92</v>
      </c>
      <c r="J767" s="86" t="s">
        <v>313</v>
      </c>
      <c r="K767" s="126">
        <v>46273</v>
      </c>
      <c r="L767" s="267">
        <v>46260</v>
      </c>
      <c r="M767" s="127">
        <f>_xlfn.XLOOKUP(C767,'Product List'!B:B,'Product List'!R:R)</f>
        <v>7.16</v>
      </c>
      <c r="N767" s="124">
        <f t="shared" si="23"/>
        <v>28.64</v>
      </c>
      <c r="O767" s="124" cm="1">
        <f t="array" ref="O767">E767/_xlfn.XLOOKUP(1,('Case Pack'!$A$4:$A$962=C767)*('Case Pack'!$L$4:$L$962&gt;0)*('Case Pack'!$L$4:$L$962&lt;=A767),'Case Pack'!$D$4:$D$962,"未找到箱规")</f>
        <v>1</v>
      </c>
      <c r="P767" s="124" t="str">
        <f>IF(COUNTIF('PO Check'!A:A,D767)&gt;0,"Yes","No")</f>
        <v>Yes</v>
      </c>
      <c r="Q767" s="124" t="str" cm="1">
        <f t="array" ref="Q767">_xlfn.XLOOKUP(1,('Case Pack'!$A$4:$A$962=C767)*('Case Pack'!$L$4:$L$962&gt;0)*('Case Pack'!$L$4:$L$962&lt;=A767),'Case Pack'!$G$4:$G$962,"未找到箱型")</f>
        <v>D</v>
      </c>
      <c r="R767" s="124">
        <f>ROUND(IFERROR(VLOOKUP(Q767,'Case Type'!A:H,8,0),0)*O767,2)</f>
        <v>0.09</v>
      </c>
    </row>
    <row r="768" customFormat="1" spans="1:18">
      <c r="A768" s="113">
        <v>46247</v>
      </c>
      <c r="B768" s="91" t="str">
        <f>_xlfn.XLOOKUP(C768,'Product List'!B:B,'Product List'!I:I)</f>
        <v>MINI/MOE TULIP WATER BOTTLE</v>
      </c>
      <c r="C768" s="94" t="s">
        <v>52</v>
      </c>
      <c r="D768" s="269" t="s">
        <v>363</v>
      </c>
      <c r="E768" s="132">
        <v>60</v>
      </c>
      <c r="F768" s="125">
        <v>1.7</v>
      </c>
      <c r="G768" s="125">
        <f t="shared" si="22"/>
        <v>102</v>
      </c>
      <c r="H768" s="86" t="s">
        <v>306</v>
      </c>
      <c r="I768" s="86" t="s">
        <v>92</v>
      </c>
      <c r="J768" s="86" t="s">
        <v>313</v>
      </c>
      <c r="K768" s="126">
        <v>46273</v>
      </c>
      <c r="L768" s="267">
        <v>46260</v>
      </c>
      <c r="M768" s="127">
        <f>_xlfn.XLOOKUP(C768,'Product List'!B:B,'Product List'!R:R)</f>
        <v>0.73</v>
      </c>
      <c r="N768" s="124">
        <f t="shared" si="23"/>
        <v>43.8</v>
      </c>
      <c r="O768" s="124" cm="1">
        <f t="array" ref="O768">E768/_xlfn.XLOOKUP(1,('Case Pack'!$A$4:$A$962=C768)*('Case Pack'!$L$4:$L$962&gt;0)*('Case Pack'!$L$4:$L$962&lt;=A768),'Case Pack'!$D$4:$D$962,"未找到箱规")</f>
        <v>1</v>
      </c>
      <c r="P768" s="124" t="str">
        <f>IF(COUNTIF('PO Check'!A:A,D768)&gt;0,"Yes","No")</f>
        <v>Yes</v>
      </c>
      <c r="Q768" s="124" t="str" cm="1">
        <f t="array" ref="Q768">_xlfn.XLOOKUP(1,('Case Pack'!$A$4:$A$962=C768)*('Case Pack'!$L$4:$L$962&gt;0)*('Case Pack'!$L$4:$L$962&lt;=A768),'Case Pack'!$G$4:$G$962,"未找到箱型")</f>
        <v>C</v>
      </c>
      <c r="R768" s="124">
        <f>ROUND(IFERROR(VLOOKUP(Q768,'Case Type'!A:H,8,0),0)*O768,2)</f>
        <v>0.16</v>
      </c>
    </row>
    <row r="769" customFormat="1" spans="1:31">
      <c r="A769" s="113">
        <v>46247</v>
      </c>
      <c r="B769" s="91" t="str">
        <f>_xlfn.XLOOKUP(C769,'Product List'!B:B,'Product List'!I:I)</f>
        <v>MINI/MOE CAMPING TENT HIDE</v>
      </c>
      <c r="C769" s="94" t="s">
        <v>73</v>
      </c>
      <c r="D769" s="269" t="s">
        <v>363</v>
      </c>
      <c r="E769" s="132">
        <v>168</v>
      </c>
      <c r="F769" s="125">
        <v>3.36</v>
      </c>
      <c r="G769" s="125">
        <f t="shared" si="22"/>
        <v>564.48</v>
      </c>
      <c r="H769" s="86" t="s">
        <v>306</v>
      </c>
      <c r="I769" s="86" t="s">
        <v>92</v>
      </c>
      <c r="J769" s="86" t="s">
        <v>313</v>
      </c>
      <c r="K769" s="126">
        <v>46273</v>
      </c>
      <c r="L769" s="267">
        <v>46260</v>
      </c>
      <c r="M769" s="127">
        <f>_xlfn.XLOOKUP(C769,'Product List'!B:B,'Product List'!R:R)</f>
        <v>1.96</v>
      </c>
      <c r="N769" s="124">
        <f t="shared" si="23"/>
        <v>329.28</v>
      </c>
      <c r="O769" s="124" cm="1">
        <f t="array" ref="O769">E769/_xlfn.XLOOKUP(1,('Case Pack'!$A$4:$A$962=C769)*('Case Pack'!$L$4:$L$962&gt;0)*('Case Pack'!$L$4:$L$962&lt;=A769),'Case Pack'!$D$4:$D$962,"未找到箱规")</f>
        <v>14</v>
      </c>
      <c r="P769" s="124" t="str">
        <f>IF(COUNTIF('PO Check'!A:A,D769)&gt;0,"Yes","No")</f>
        <v>Yes</v>
      </c>
      <c r="Q769" s="124" t="str" cm="1">
        <f t="array" ref="Q769">_xlfn.XLOOKUP(1,('Case Pack'!$A$4:$A$962=C769)*('Case Pack'!$L$4:$L$962&gt;0)*('Case Pack'!$L$4:$L$962&lt;=A769),'Case Pack'!$G$4:$G$962,"未找到箱型")</f>
        <v>B</v>
      </c>
      <c r="R769" s="124">
        <f>ROUND(IFERROR(VLOOKUP(Q769,'Case Type'!A:H,8,0),0)*O769,2)</f>
        <v>1.03</v>
      </c>
    </row>
    <row r="770" customFormat="1" spans="1:31">
      <c r="A770" s="113">
        <v>46248</v>
      </c>
      <c r="B770" s="91" t="str">
        <f>_xlfn.XLOOKUP(C770,'Product List'!B:B,'Product List'!I:I)</f>
        <v>MINI/MOE SILENT CRSTL RUN WHEEL LG 8.5-White</v>
      </c>
      <c r="C770" s="94" t="s">
        <v>29</v>
      </c>
      <c r="D770" s="269">
        <v>31877481</v>
      </c>
      <c r="E770" s="132">
        <v>48</v>
      </c>
      <c r="F770" s="125">
        <v>13.22</v>
      </c>
      <c r="G770" s="125">
        <f t="shared" si="22"/>
        <v>634.56</v>
      </c>
      <c r="H770" s="86" t="s">
        <v>298</v>
      </c>
      <c r="I770" s="86" t="s">
        <v>92</v>
      </c>
      <c r="J770" s="86" t="s">
        <v>327</v>
      </c>
      <c r="K770" s="126">
        <v>46288</v>
      </c>
      <c r="L770" s="267">
        <v>46275</v>
      </c>
      <c r="M770" s="127">
        <f>_xlfn.XLOOKUP(C770,'Product List'!B:B,'Product List'!R:R)</f>
        <v>6.27</v>
      </c>
      <c r="N770" s="124">
        <f t="shared" si="23"/>
        <v>300.96</v>
      </c>
      <c r="O770" s="124" cm="1">
        <f t="array" ref="O770">E770/_xlfn.XLOOKUP(1,('Case Pack'!$A$4:$A$962=C770)*('Case Pack'!$L$4:$L$962&gt;0)*('Case Pack'!$L$4:$L$962&lt;=A770),'Case Pack'!$D$4:$D$962,"未找到箱规")</f>
        <v>6</v>
      </c>
      <c r="P770" s="124" t="str">
        <f>IF(COUNTIF('PO Check'!A:A,D770)&gt;0,"Yes","No")</f>
        <v>Yes</v>
      </c>
      <c r="Q770" s="124" t="str" cm="1">
        <f t="array" ref="Q770">_xlfn.XLOOKUP(1,('Case Pack'!$A$4:$A$962=C770)*('Case Pack'!$L$4:$L$962&gt;0)*('Case Pack'!$L$4:$L$962&lt;=A770),'Case Pack'!$G$4:$G$962,"未找到箱型")</f>
        <v>C</v>
      </c>
      <c r="R770" s="124">
        <f>ROUND(IFERROR(VLOOKUP(Q770,'Case Type'!A:H,8,0),0)*O770,2)</f>
        <v>0.94</v>
      </c>
    </row>
    <row r="771" customFormat="1" spans="1:31">
      <c r="A771" s="113">
        <v>46248</v>
      </c>
      <c r="B771" s="91" t="str">
        <f>_xlfn.XLOOKUP(C771,'Product List'!B:B,'Product List'!I:I)</f>
        <v>MINI/MOE BENDABLE BIRCHWOOD FENCE</v>
      </c>
      <c r="C771" s="257" t="s">
        <v>62</v>
      </c>
      <c r="D771" s="270">
        <v>31877481</v>
      </c>
      <c r="E771" s="268">
        <v>64</v>
      </c>
      <c r="F771" s="125">
        <v>5.01</v>
      </c>
      <c r="G771" s="125">
        <f t="shared" si="22"/>
        <v>320.64</v>
      </c>
      <c r="H771" s="86" t="s">
        <v>298</v>
      </c>
      <c r="I771" s="86" t="s">
        <v>92</v>
      </c>
      <c r="J771" s="86" t="s">
        <v>327</v>
      </c>
      <c r="K771" s="126">
        <v>46288</v>
      </c>
      <c r="L771" s="267">
        <v>46275</v>
      </c>
      <c r="M771" s="127">
        <f>_xlfn.XLOOKUP(C771,'Product List'!B:B,'Product List'!R:R)</f>
        <v>3.4</v>
      </c>
      <c r="N771" s="124">
        <f t="shared" si="23"/>
        <v>217.6</v>
      </c>
      <c r="O771" s="124" cm="1">
        <f t="array" ref="O771">E771/_xlfn.XLOOKUP(1,('Case Pack'!$A$4:$A$962=C771)*('Case Pack'!$L$4:$L$962&gt;0)*('Case Pack'!$L$4:$L$962&lt;=A771),'Case Pack'!$D$4:$D$962,"未找到箱规")</f>
        <v>2</v>
      </c>
      <c r="P771" s="124" t="str">
        <f>IF(COUNTIF('PO Check'!A:A,D771)&gt;0,"Yes","No")</f>
        <v>Yes</v>
      </c>
      <c r="Q771" s="124" t="str" cm="1">
        <f t="array" ref="Q771">_xlfn.XLOOKUP(1,('Case Pack'!$A$4:$A$962=C771)*('Case Pack'!$L$4:$L$962&gt;0)*('Case Pack'!$L$4:$L$962&lt;=A771),'Case Pack'!$G$4:$G$962,"未找到箱型")</f>
        <v>F</v>
      </c>
      <c r="R771" s="124">
        <f>ROUND(IFERROR(VLOOKUP(Q771,'Case Type'!A:H,8,0),0)*O771,2)</f>
        <v>0.07</v>
      </c>
    </row>
    <row r="772" customFormat="1" spans="1:31">
      <c r="A772" s="113">
        <v>46248</v>
      </c>
      <c r="B772" s="91" t="str">
        <f>_xlfn.XLOOKUP(C772,'Product List'!B:B,'Product List'!I:I)</f>
        <v>D. MMO-COTTAGE VIEW CAGE</v>
      </c>
      <c r="C772" s="94" t="s">
        <v>64</v>
      </c>
      <c r="D772" s="269">
        <v>31877481</v>
      </c>
      <c r="E772" s="132">
        <v>1</v>
      </c>
      <c r="F772" s="125">
        <v>70.28</v>
      </c>
      <c r="G772" s="125">
        <f t="shared" si="22"/>
        <v>70.28</v>
      </c>
      <c r="H772" s="86" t="s">
        <v>298</v>
      </c>
      <c r="I772" s="86" t="s">
        <v>92</v>
      </c>
      <c r="J772" s="86" t="s">
        <v>327</v>
      </c>
      <c r="K772" s="126">
        <v>46288</v>
      </c>
      <c r="L772" s="267">
        <v>46275</v>
      </c>
      <c r="M772" s="127">
        <f>_xlfn.XLOOKUP(C772,'Product List'!B:B,'Product List'!R:R)</f>
        <v>28.56</v>
      </c>
      <c r="N772" s="124">
        <f t="shared" si="23"/>
        <v>28.56</v>
      </c>
      <c r="O772" s="124" cm="1">
        <f t="array" ref="O772">E772/_xlfn.XLOOKUP(1,('Case Pack'!$A$4:$A$962=C772)*('Case Pack'!$L$4:$L$962&gt;0)*('Case Pack'!$L$4:$L$962&lt;=A772),'Case Pack'!$D$4:$D$962,"未找到箱规")</f>
        <v>1</v>
      </c>
      <c r="P772" s="124" t="str">
        <f>IF(COUNTIF('PO Check'!A:A,D772)&gt;0,"Yes","No")</f>
        <v>Yes</v>
      </c>
      <c r="Q772" s="124" t="str" cm="1">
        <f t="array" ref="Q772">_xlfn.XLOOKUP(1,('Case Pack'!$A$4:$A$962=C772)*('Case Pack'!$L$4:$L$962&gt;0)*('Case Pack'!$L$4:$L$962&lt;=A772),'Case Pack'!$G$4:$G$962,"未找到箱型")</f>
        <v>S3</v>
      </c>
      <c r="R772" s="124">
        <f>ROUND(IFERROR(VLOOKUP(Q772,'Case Type'!A:H,8,0),0)*O772,2)</f>
        <v>0.14</v>
      </c>
    </row>
    <row r="773" customFormat="1" spans="1:31">
      <c r="A773" s="113">
        <v>46248</v>
      </c>
      <c r="B773" s="91" t="str">
        <f>_xlfn.XLOOKUP(C773,'Product List'!B:B,'Product List'!I:I)</f>
        <v>MMO-BUBBLE WATER BOTTLE</v>
      </c>
      <c r="C773" s="94" t="s">
        <v>67</v>
      </c>
      <c r="D773" s="270">
        <v>31877481</v>
      </c>
      <c r="E773" s="132">
        <v>294</v>
      </c>
      <c r="F773" s="125">
        <v>4.35</v>
      </c>
      <c r="G773" s="125">
        <f t="shared" si="22"/>
        <v>1278.9</v>
      </c>
      <c r="H773" s="86" t="s">
        <v>298</v>
      </c>
      <c r="I773" s="86" t="s">
        <v>92</v>
      </c>
      <c r="J773" s="86" t="s">
        <v>327</v>
      </c>
      <c r="K773" s="126">
        <v>46288</v>
      </c>
      <c r="L773" s="267">
        <v>46275</v>
      </c>
      <c r="M773" s="127">
        <f>_xlfn.XLOOKUP(C773,'Product List'!B:B,'Product List'!R:R)</f>
        <v>3.1</v>
      </c>
      <c r="N773" s="124">
        <f t="shared" si="23"/>
        <v>911.4</v>
      </c>
      <c r="O773" s="124" cm="1">
        <f t="array" ref="O773">E773/_xlfn.XLOOKUP(1,('Case Pack'!$A$4:$A$962=C773)*('Case Pack'!$L$4:$L$962&gt;0)*('Case Pack'!$L$4:$L$962&lt;=A773),'Case Pack'!$D$4:$D$962,"未找到箱规")</f>
        <v>7</v>
      </c>
      <c r="P773" s="124" t="str">
        <f>IF(COUNTIF('PO Check'!A:A,D773)&gt;0,"Yes","No")</f>
        <v>Yes</v>
      </c>
      <c r="Q773" s="124" t="str" cm="1">
        <f t="array" ref="Q773">_xlfn.XLOOKUP(1,('Case Pack'!$A$4:$A$962=C773)*('Case Pack'!$L$4:$L$962&gt;0)*('Case Pack'!$L$4:$L$962&lt;=A773),'Case Pack'!$G$4:$G$962,"未找到箱型")</f>
        <v>C</v>
      </c>
      <c r="R773" s="124">
        <f>ROUND(IFERROR(VLOOKUP(Q773,'Case Type'!A:H,8,0),0)*O773,2)</f>
        <v>1.1</v>
      </c>
    </row>
    <row r="774" customFormat="1" spans="1:31">
      <c r="A774" s="113">
        <v>46248</v>
      </c>
      <c r="B774" s="91" t="str">
        <f>_xlfn.XLOOKUP(C774,'Product List'!B:B,'Product List'!I:I)</f>
        <v>MMO-CLOUD WATER BOTTLE</v>
      </c>
      <c r="C774" s="94" t="s">
        <v>77</v>
      </c>
      <c r="D774" s="269">
        <v>31877481</v>
      </c>
      <c r="E774" s="132">
        <v>200</v>
      </c>
      <c r="F774" s="125">
        <v>1.32</v>
      </c>
      <c r="G774" s="125">
        <f t="shared" si="22"/>
        <v>264</v>
      </c>
      <c r="H774" s="86" t="s">
        <v>298</v>
      </c>
      <c r="I774" s="86" t="s">
        <v>92</v>
      </c>
      <c r="J774" s="86" t="s">
        <v>327</v>
      </c>
      <c r="K774" s="126">
        <v>46288</v>
      </c>
      <c r="L774" s="267">
        <v>46275</v>
      </c>
      <c r="M774" s="127">
        <f>_xlfn.XLOOKUP(C774,'Product List'!B:B,'Product List'!R:R)</f>
        <v>0.62</v>
      </c>
      <c r="N774" s="124">
        <f t="shared" si="23"/>
        <v>124</v>
      </c>
      <c r="O774" s="124" cm="1">
        <f t="array" ref="O774">E774/_xlfn.XLOOKUP(1,('Case Pack'!$A$4:$A$962=C774)*('Case Pack'!$L$4:$L$962&gt;0)*('Case Pack'!$L$4:$L$962&lt;=A774),'Case Pack'!$D$4:$D$962,"未找到箱规")</f>
        <v>4</v>
      </c>
      <c r="P774" s="124" t="str">
        <f>IF(COUNTIF('PO Check'!A:A,D774)&gt;0,"Yes","No")</f>
        <v>Yes</v>
      </c>
      <c r="Q774" s="124" t="str" cm="1">
        <f t="array" ref="Q774">_xlfn.XLOOKUP(1,('Case Pack'!$A$4:$A$962=C774)*('Case Pack'!$L$4:$L$962&gt;0)*('Case Pack'!$L$4:$L$962&lt;=A774),'Case Pack'!$G$4:$G$962,"未找到箱型")</f>
        <v>A</v>
      </c>
      <c r="R774" s="124">
        <f>ROUND(IFERROR(VLOOKUP(Q774,'Case Type'!A:H,8,0),0)*O774,2)</f>
        <v>0.44</v>
      </c>
    </row>
    <row r="775" customFormat="1" spans="1:31">
      <c r="A775" s="113">
        <v>46253</v>
      </c>
      <c r="B775" s="91" t="str">
        <f>_xlfn.XLOOKUP(C775,'Product List'!B:B,'Product List'!I:I)</f>
        <v>NONO Magnetic Water Bottle (220 ML)</v>
      </c>
      <c r="C775" s="259" t="s">
        <v>36</v>
      </c>
      <c r="D775" s="269" t="s">
        <v>364</v>
      </c>
      <c r="E775" s="238">
        <v>480</v>
      </c>
      <c r="F775" s="125">
        <v>2.93</v>
      </c>
      <c r="G775" s="125">
        <f t="shared" si="22"/>
        <v>1406.4</v>
      </c>
      <c r="H775" s="86" t="s">
        <v>306</v>
      </c>
      <c r="I775" s="86" t="s">
        <v>92</v>
      </c>
      <c r="J775" s="124" t="s">
        <v>307</v>
      </c>
      <c r="K775" s="126">
        <v>46269</v>
      </c>
      <c r="L775" s="126">
        <v>46265</v>
      </c>
      <c r="M775" s="127">
        <f>_xlfn.XLOOKUP(C775,'Product List'!B:B,'Product List'!R:R)</f>
        <v>1.62</v>
      </c>
      <c r="N775" s="124">
        <f t="shared" si="23"/>
        <v>777.6</v>
      </c>
      <c r="O775" s="124" cm="1">
        <f t="array" ref="O775">E775/_xlfn.XLOOKUP(1,('Case Pack'!$A$4:$A$962=C775)*('Case Pack'!$L$4:$L$962&gt;0)*('Case Pack'!$L$4:$L$962&lt;=A775),'Case Pack'!$D$4:$D$962,"未找到箱规")</f>
        <v>8</v>
      </c>
      <c r="P775" s="124" t="str">
        <f>IF(COUNTIF('PO Check'!A:A,D775)&gt;0,"Yes","No")</f>
        <v>Yes</v>
      </c>
      <c r="Q775" s="124" t="str" cm="1">
        <f t="array" ref="Q775">_xlfn.XLOOKUP(1,('Case Pack'!$A$4:$A$962=C775)*('Case Pack'!$L$4:$L$962&gt;0)*('Case Pack'!$L$4:$L$962&lt;=A775),'Case Pack'!$G$4:$G$962,"未找到箱型")</f>
        <v>A</v>
      </c>
      <c r="R775" s="124">
        <f>ROUND(IFERROR(VLOOKUP(Q775,'Case Type'!A:H,8,0),0)*O775,2)</f>
        <v>0.88</v>
      </c>
      <c r="S775" s="124"/>
      <c r="T775" s="124"/>
      <c r="U775" s="124"/>
      <c r="V775" s="124"/>
      <c r="W775" s="124"/>
      <c r="X775" s="124"/>
      <c r="Y775" s="124"/>
      <c r="Z775" s="124"/>
      <c r="AA775" s="124"/>
      <c r="AB775" s="124"/>
      <c r="AC775" s="124"/>
      <c r="AD775" s="124"/>
      <c r="AE775" s="124"/>
    </row>
    <row r="776" customFormat="1" spans="1:31">
      <c r="A776" s="113">
        <v>46253</v>
      </c>
      <c r="B776" s="91" t="str">
        <f>_xlfn.XLOOKUP(C776,'Product List'!B:B,'Product List'!I:I)</f>
        <v>Forest Series Hamster Chew Toy &amp; Treat</v>
      </c>
      <c r="C776" s="259" t="s">
        <v>72</v>
      </c>
      <c r="D776" s="269" t="s">
        <v>364</v>
      </c>
      <c r="E776" s="238">
        <v>480</v>
      </c>
      <c r="F776" s="125">
        <v>3.47</v>
      </c>
      <c r="G776" s="125">
        <f t="shared" si="22"/>
        <v>1665.6</v>
      </c>
      <c r="H776" s="86" t="s">
        <v>306</v>
      </c>
      <c r="I776" s="86" t="s">
        <v>92</v>
      </c>
      <c r="J776" s="124" t="s">
        <v>307</v>
      </c>
      <c r="K776" s="126">
        <v>46269</v>
      </c>
      <c r="L776" s="126">
        <v>46265</v>
      </c>
      <c r="M776" s="127">
        <f>_xlfn.XLOOKUP(C776,'Product List'!B:B,'Product List'!R:R)</f>
        <v>2.14</v>
      </c>
      <c r="N776" s="124">
        <f t="shared" si="23"/>
        <v>1027.2</v>
      </c>
      <c r="O776" s="124" cm="1">
        <f t="array" ref="O776">E776/_xlfn.XLOOKUP(1,('Case Pack'!$A$4:$A$962=C776)*('Case Pack'!$L$4:$L$962&gt;0)*('Case Pack'!$L$4:$L$962&lt;=A776),'Case Pack'!$D$4:$D$962,"未找到箱规")</f>
        <v>8</v>
      </c>
      <c r="P776" s="124" t="str">
        <f>IF(COUNTIF('PO Check'!A:A,D776)&gt;0,"Yes","No")</f>
        <v>Yes</v>
      </c>
      <c r="Q776" s="124" t="str" cm="1">
        <f t="array" ref="Q776">_xlfn.XLOOKUP(1,('Case Pack'!$A$4:$A$962=C776)*('Case Pack'!$L$4:$L$962&gt;0)*('Case Pack'!$L$4:$L$962&lt;=A776),'Case Pack'!$G$4:$G$962,"未找到箱型")</f>
        <v>B</v>
      </c>
      <c r="R776" s="124">
        <f>ROUND(IFERROR(VLOOKUP(Q776,'Case Type'!A:H,8,0),0)*O776,2)</f>
        <v>0.59</v>
      </c>
      <c r="S776" s="124"/>
      <c r="T776" s="124"/>
      <c r="U776" s="124"/>
      <c r="V776" s="124"/>
      <c r="W776" s="124"/>
      <c r="X776" s="124"/>
      <c r="Y776" s="124"/>
      <c r="Z776" s="124"/>
      <c r="AA776" s="124"/>
      <c r="AB776" s="124"/>
      <c r="AC776" s="124"/>
      <c r="AD776" s="124"/>
      <c r="AE776" s="124"/>
    </row>
    <row r="777" customFormat="1" spans="1:31">
      <c r="A777" s="113">
        <v>46253</v>
      </c>
      <c r="B777" s="91" t="str">
        <f>_xlfn.XLOOKUP(C777,'Product List'!B:B,'Product List'!I:I)</f>
        <v>MMO-CAMP LUNCH BOX CHEW</v>
      </c>
      <c r="C777" s="259" t="s">
        <v>34</v>
      </c>
      <c r="D777" s="269" t="s">
        <v>364</v>
      </c>
      <c r="E777" s="238">
        <v>432</v>
      </c>
      <c r="F777" s="125">
        <v>2.48</v>
      </c>
      <c r="G777" s="125">
        <f t="shared" si="22"/>
        <v>1071.36</v>
      </c>
      <c r="H777" s="86" t="s">
        <v>306</v>
      </c>
      <c r="I777" s="86" t="s">
        <v>92</v>
      </c>
      <c r="J777" s="124" t="s">
        <v>307</v>
      </c>
      <c r="K777" s="126">
        <v>46269</v>
      </c>
      <c r="L777" s="126">
        <v>46265</v>
      </c>
      <c r="M777" s="127">
        <f>_xlfn.XLOOKUP(C777,'Product List'!B:B,'Product List'!R:R)</f>
        <v>1.59</v>
      </c>
      <c r="N777" s="124">
        <f t="shared" si="23"/>
        <v>686.88</v>
      </c>
      <c r="O777" s="124" cm="1">
        <f t="array" ref="O777">E777/_xlfn.XLOOKUP(1,('Case Pack'!$A$4:$A$962=C777)*('Case Pack'!$L$4:$L$962&gt;0)*('Case Pack'!$L$4:$L$962&lt;=A777),'Case Pack'!$D$4:$D$962,"未找到箱规")</f>
        <v>6</v>
      </c>
      <c r="P777" s="124" t="str">
        <f>IF(COUNTIF('PO Check'!A:A,D777)&gt;0,"Yes","No")</f>
        <v>Yes</v>
      </c>
      <c r="Q777" s="124" t="str" cm="1">
        <f t="array" ref="Q777">_xlfn.XLOOKUP(1,('Case Pack'!$A$4:$A$962=C777)*('Case Pack'!$L$4:$L$962&gt;0)*('Case Pack'!$L$4:$L$962&lt;=A777),'Case Pack'!$G$4:$G$962,"未找到箱型")</f>
        <v>B</v>
      </c>
      <c r="R777" s="124">
        <f>ROUND(IFERROR(VLOOKUP(Q777,'Case Type'!A:H,8,0),0)*O777,2)</f>
        <v>0.44</v>
      </c>
      <c r="S777" s="124"/>
      <c r="T777" s="124"/>
      <c r="U777" s="124"/>
      <c r="V777" s="124"/>
      <c r="W777" s="124"/>
      <c r="X777" s="124"/>
      <c r="Y777" s="124"/>
      <c r="Z777" s="124"/>
      <c r="AA777" s="124"/>
      <c r="AB777" s="124"/>
      <c r="AC777" s="124"/>
      <c r="AD777" s="124"/>
      <c r="AE777" s="124"/>
    </row>
    <row r="778" customFormat="1" spans="1:31">
      <c r="A778" s="113">
        <v>46253</v>
      </c>
      <c r="B778" s="91" t="str">
        <f>_xlfn.XLOOKUP(C778,'Product List'!B:B,'Product List'!I:I)</f>
        <v>Mushroom Spiral Staircase</v>
      </c>
      <c r="C778" s="259" t="s">
        <v>46</v>
      </c>
      <c r="D778" s="269" t="s">
        <v>364</v>
      </c>
      <c r="E778" s="238">
        <v>432</v>
      </c>
      <c r="F778" s="125">
        <v>2.62</v>
      </c>
      <c r="G778" s="125">
        <f t="shared" si="22"/>
        <v>1131.84</v>
      </c>
      <c r="H778" s="86" t="s">
        <v>306</v>
      </c>
      <c r="I778" s="86" t="s">
        <v>92</v>
      </c>
      <c r="J778" s="124" t="s">
        <v>307</v>
      </c>
      <c r="K778" s="126">
        <v>46269</v>
      </c>
      <c r="L778" s="126">
        <v>46265</v>
      </c>
      <c r="M778" s="127">
        <f>_xlfn.XLOOKUP(C778,'Product List'!B:B,'Product List'!R:R)</f>
        <v>1.42</v>
      </c>
      <c r="N778" s="124">
        <f t="shared" si="23"/>
        <v>613.44</v>
      </c>
      <c r="O778" s="124" cm="1">
        <f t="array" ref="O778">E778/_xlfn.XLOOKUP(1,('Case Pack'!$A$4:$A$962=C778)*('Case Pack'!$L$4:$L$962&gt;0)*('Case Pack'!$L$4:$L$962&lt;=A778),'Case Pack'!$D$4:$D$962,"未找到箱规")</f>
        <v>6</v>
      </c>
      <c r="P778" s="124" t="str">
        <f>IF(COUNTIF('PO Check'!A:A,D778)&gt;0,"Yes","No")</f>
        <v>Yes</v>
      </c>
      <c r="Q778" s="124" t="str" cm="1">
        <f t="array" ref="Q778">_xlfn.XLOOKUP(1,('Case Pack'!$A$4:$A$962=C778)*('Case Pack'!$L$4:$L$962&gt;0)*('Case Pack'!$L$4:$L$962&lt;=A778),'Case Pack'!$G$4:$G$962,"未找到箱型")</f>
        <v>B</v>
      </c>
      <c r="R778" s="124">
        <f>ROUND(IFERROR(VLOOKUP(Q778,'Case Type'!A:H,8,0),0)*O778,2)</f>
        <v>0.44</v>
      </c>
      <c r="S778" s="124"/>
      <c r="T778" s="124"/>
      <c r="U778" s="124"/>
      <c r="V778" s="124"/>
      <c r="W778" s="124"/>
      <c r="X778" s="124"/>
      <c r="Y778" s="124"/>
      <c r="Z778" s="124"/>
      <c r="AA778" s="124"/>
      <c r="AB778" s="124"/>
      <c r="AC778" s="124"/>
      <c r="AD778" s="124"/>
      <c r="AE778" s="124"/>
    </row>
    <row r="779" customFormat="1" spans="1:31">
      <c r="A779" s="113">
        <v>46253</v>
      </c>
      <c r="B779" s="91" t="str">
        <f>_xlfn.XLOOKUP(C779,'Product List'!B:B,'Product List'!I:I)</f>
        <v>Paper twist brown / white bedding</v>
      </c>
      <c r="C779" s="259" t="s">
        <v>70</v>
      </c>
      <c r="D779" s="269" t="s">
        <v>364</v>
      </c>
      <c r="E779" s="238">
        <v>450</v>
      </c>
      <c r="F779" s="125">
        <v>3.8</v>
      </c>
      <c r="G779" s="125">
        <f t="shared" si="22"/>
        <v>1710</v>
      </c>
      <c r="H779" s="86" t="s">
        <v>306</v>
      </c>
      <c r="I779" s="86" t="s">
        <v>92</v>
      </c>
      <c r="J779" s="124" t="s">
        <v>307</v>
      </c>
      <c r="K779" s="126">
        <v>46269</v>
      </c>
      <c r="L779" s="126">
        <v>46265</v>
      </c>
      <c r="M779" s="127">
        <f>_xlfn.XLOOKUP(C779,'Product List'!B:B,'Product List'!R:R)</f>
        <v>1.98</v>
      </c>
      <c r="N779" s="124">
        <f t="shared" si="23"/>
        <v>891</v>
      </c>
      <c r="O779" s="124" cm="1">
        <f t="array" ref="O779">E779/_xlfn.XLOOKUP(1,('Case Pack'!$A$4:$A$962=C779)*('Case Pack'!$L$4:$L$962&gt;0)*('Case Pack'!$L$4:$L$962&lt;=A779),'Case Pack'!$D$4:$D$962,"未找到箱规")</f>
        <v>15</v>
      </c>
      <c r="P779" s="124" t="str">
        <f>IF(COUNTIF('PO Check'!A:A,D779)&gt;0,"Yes","No")</f>
        <v>Yes</v>
      </c>
      <c r="Q779" s="124" t="str" cm="1">
        <f t="array" ref="Q779">_xlfn.XLOOKUP(1,('Case Pack'!$A$4:$A$962=C779)*('Case Pack'!$L$4:$L$962&gt;0)*('Case Pack'!$L$4:$L$962&lt;=A779),'Case Pack'!$G$4:$G$962,"未找到箱型")</f>
        <v>A</v>
      </c>
      <c r="R779" s="124">
        <f>ROUND(IFERROR(VLOOKUP(Q779,'Case Type'!A:H,8,0),0)*O779,2)</f>
        <v>1.65</v>
      </c>
      <c r="S779" s="124"/>
      <c r="T779" s="124"/>
      <c r="U779" s="124"/>
      <c r="V779" s="124"/>
      <c r="W779" s="124"/>
      <c r="X779" s="124"/>
      <c r="Y779" s="124"/>
      <c r="Z779" s="124"/>
      <c r="AA779" s="124"/>
      <c r="AB779" s="124"/>
      <c r="AC779" s="124"/>
      <c r="AD779" s="124"/>
      <c r="AE779" s="124"/>
    </row>
    <row r="780" customFormat="1" spans="1:31">
      <c r="A780" s="113">
        <v>46253</v>
      </c>
      <c r="B780" s="91" t="str">
        <f>_xlfn.XLOOKUP(C780,'Product List'!B:B,'Product List'!I:I)</f>
        <v>Cotton multi color bedding</v>
      </c>
      <c r="C780" s="259" t="s">
        <v>85</v>
      </c>
      <c r="D780" s="269" t="s">
        <v>364</v>
      </c>
      <c r="E780" s="238">
        <v>448</v>
      </c>
      <c r="F780" s="125">
        <v>3.26</v>
      </c>
      <c r="G780" s="125">
        <f t="shared" si="22"/>
        <v>1460.48</v>
      </c>
      <c r="H780" s="86" t="s">
        <v>306</v>
      </c>
      <c r="I780" s="86" t="s">
        <v>92</v>
      </c>
      <c r="J780" s="124" t="s">
        <v>307</v>
      </c>
      <c r="K780" s="126">
        <v>46269</v>
      </c>
      <c r="L780" s="126">
        <v>46265</v>
      </c>
      <c r="M780" s="127">
        <f>_xlfn.XLOOKUP(C780,'Product List'!B:B,'Product List'!R:R)</f>
        <v>1.64</v>
      </c>
      <c r="N780" s="124">
        <f t="shared" si="23"/>
        <v>734.72</v>
      </c>
      <c r="O780" s="124" cm="1">
        <f t="array" ref="O780">E780/_xlfn.XLOOKUP(1,('Case Pack'!$A$4:$A$962=C780)*('Case Pack'!$L$4:$L$962&gt;0)*('Case Pack'!$L$4:$L$962&lt;=A780),'Case Pack'!$D$4:$D$962,"未找到箱规")</f>
        <v>14</v>
      </c>
      <c r="P780" s="124" t="str">
        <f>IF(COUNTIF('PO Check'!A:A,D780)&gt;0,"Yes","No")</f>
        <v>Yes</v>
      </c>
      <c r="Q780" s="124" t="str" cm="1">
        <f t="array" ref="Q780">_xlfn.XLOOKUP(1,('Case Pack'!$A$4:$A$962=C780)*('Case Pack'!$L$4:$L$962&gt;0)*('Case Pack'!$L$4:$L$962&lt;=A780),'Case Pack'!$G$4:$G$962,"未找到箱型")</f>
        <v>A</v>
      </c>
      <c r="R780" s="124">
        <f>ROUND(IFERROR(VLOOKUP(Q780,'Case Type'!A:H,8,0),0)*O780,2)</f>
        <v>1.54</v>
      </c>
      <c r="S780" s="124"/>
      <c r="T780" s="124"/>
      <c r="U780" s="124"/>
      <c r="V780" s="124"/>
      <c r="W780" s="124"/>
      <c r="X780" s="124"/>
      <c r="Y780" s="124"/>
      <c r="Z780" s="124"/>
      <c r="AA780" s="124"/>
      <c r="AB780" s="124"/>
      <c r="AC780" s="124"/>
      <c r="AD780" s="124"/>
      <c r="AE780" s="124"/>
    </row>
    <row r="781" customFormat="1" spans="1:31">
      <c r="A781" s="113">
        <v>46253</v>
      </c>
      <c r="B781" s="91" t="str">
        <f>_xlfn.XLOOKUP(C781,'Product List'!B:B,'Product List'!I:I)</f>
        <v>MMO-GREEN APPLE CHEW</v>
      </c>
      <c r="C781" s="259" t="s">
        <v>33</v>
      </c>
      <c r="D781" s="269" t="s">
        <v>364</v>
      </c>
      <c r="E781" s="238">
        <v>432</v>
      </c>
      <c r="F781" s="125">
        <v>1.53</v>
      </c>
      <c r="G781" s="125">
        <f t="shared" si="22"/>
        <v>660.96</v>
      </c>
      <c r="H781" s="86" t="s">
        <v>306</v>
      </c>
      <c r="I781" s="86" t="s">
        <v>92</v>
      </c>
      <c r="J781" s="124" t="s">
        <v>307</v>
      </c>
      <c r="K781" s="126">
        <v>46269</v>
      </c>
      <c r="L781" s="126">
        <v>46265</v>
      </c>
      <c r="M781" s="127">
        <f>_xlfn.XLOOKUP(C781,'Product List'!B:B,'Product List'!R:R)</f>
        <v>1.04</v>
      </c>
      <c r="N781" s="124">
        <f t="shared" si="23"/>
        <v>449.28</v>
      </c>
      <c r="O781" s="124" cm="1">
        <f t="array" ref="O781">E781/_xlfn.XLOOKUP(1,('Case Pack'!$A$4:$A$962=C781)*('Case Pack'!$L$4:$L$962&gt;0)*('Case Pack'!$L$4:$L$962&lt;=A781),'Case Pack'!$D$4:$D$962,"未找到箱规")</f>
        <v>9</v>
      </c>
      <c r="P781" s="124" t="str">
        <f>IF(COUNTIF('PO Check'!A:A,D781)&gt;0,"Yes","No")</f>
        <v>Yes</v>
      </c>
      <c r="Q781" s="124" t="str" cm="1">
        <f t="array" ref="Q781">_xlfn.XLOOKUP(1,('Case Pack'!$A$4:$A$962=C781)*('Case Pack'!$L$4:$L$962&gt;0)*('Case Pack'!$L$4:$L$962&lt;=A781),'Case Pack'!$G$4:$G$962,"未找到箱型")</f>
        <v>B</v>
      </c>
      <c r="R781" s="124">
        <f>ROUND(IFERROR(VLOOKUP(Q781,'Case Type'!A:H,8,0),0)*O781,2)</f>
        <v>0.66</v>
      </c>
      <c r="S781" s="124"/>
      <c r="T781" s="124"/>
      <c r="U781" s="124"/>
      <c r="V781" s="124"/>
      <c r="W781" s="124"/>
      <c r="X781" s="124"/>
      <c r="Y781" s="124"/>
      <c r="Z781" s="124"/>
      <c r="AA781" s="124"/>
      <c r="AB781" s="124"/>
      <c r="AC781" s="124"/>
      <c r="AD781" s="124"/>
      <c r="AE781" s="124"/>
    </row>
    <row r="782" customFormat="1" spans="1:31">
      <c r="A782" s="113">
        <v>46253</v>
      </c>
      <c r="B782" s="91" t="str">
        <f>_xlfn.XLOOKUP(C782,'Product List'!B:B,'Product List'!I:I)</f>
        <v>MINI/MOE SMALL ANIMAL BEDDING PAPER PEBBLES PSTCH/CREAM 1EA</v>
      </c>
      <c r="C782" s="259" t="s">
        <v>31</v>
      </c>
      <c r="D782" s="269" t="s">
        <v>364</v>
      </c>
      <c r="E782" s="238">
        <v>450</v>
      </c>
      <c r="F782" s="125">
        <v>3.89</v>
      </c>
      <c r="G782" s="125">
        <f t="shared" si="22"/>
        <v>1750.5</v>
      </c>
      <c r="H782" s="86" t="s">
        <v>306</v>
      </c>
      <c r="I782" s="86" t="s">
        <v>92</v>
      </c>
      <c r="J782" s="124" t="s">
        <v>307</v>
      </c>
      <c r="K782" s="126">
        <v>46269</v>
      </c>
      <c r="L782" s="126">
        <v>46265</v>
      </c>
      <c r="M782" s="127">
        <f>_xlfn.XLOOKUP(C782,'Product List'!B:B,'Product List'!R:R)</f>
        <v>1.99</v>
      </c>
      <c r="N782" s="124">
        <f t="shared" si="23"/>
        <v>895.5</v>
      </c>
      <c r="O782" s="124" cm="1">
        <f t="array" ref="O782">E782/_xlfn.XLOOKUP(1,('Case Pack'!$A$4:$A$962=C782)*('Case Pack'!$L$4:$L$962&gt;0)*('Case Pack'!$L$4:$L$962&lt;=A782),'Case Pack'!$D$4:$D$962,"未找到箱规")</f>
        <v>15</v>
      </c>
      <c r="P782" s="124" t="str">
        <f>IF(COUNTIF('PO Check'!A:A,D782)&gt;0,"Yes","No")</f>
        <v>Yes</v>
      </c>
      <c r="Q782" s="124" t="str" cm="1">
        <f t="array" ref="Q782">_xlfn.XLOOKUP(1,('Case Pack'!$A$4:$A$962=C782)*('Case Pack'!$L$4:$L$962&gt;0)*('Case Pack'!$L$4:$L$962&lt;=A782),'Case Pack'!$G$4:$G$962,"未找到箱型")</f>
        <v>A</v>
      </c>
      <c r="R782" s="124">
        <f>ROUND(IFERROR(VLOOKUP(Q782,'Case Type'!A:H,8,0),0)*O782,2)</f>
        <v>1.65</v>
      </c>
      <c r="S782" s="124"/>
      <c r="T782" s="124"/>
      <c r="U782" s="124"/>
      <c r="V782" s="124"/>
      <c r="W782" s="124"/>
      <c r="X782" s="124"/>
      <c r="Y782" s="124"/>
      <c r="Z782" s="124"/>
      <c r="AA782" s="124"/>
      <c r="AB782" s="124"/>
      <c r="AC782" s="124"/>
      <c r="AD782" s="124"/>
      <c r="AE782" s="124"/>
    </row>
    <row r="783" customFormat="1" spans="1:31">
      <c r="A783" s="113">
        <v>46253</v>
      </c>
      <c r="B783" s="91" t="str">
        <f>_xlfn.XLOOKUP(C783,'Product List'!B:B,'Product List'!I:I)</f>
        <v>MINI/MOE SMALL ANIMAL BEDDING PAPER TWISTS BUBBLEGUM 1EA</v>
      </c>
      <c r="C783" s="259" t="s">
        <v>71</v>
      </c>
      <c r="D783" s="269" t="s">
        <v>364</v>
      </c>
      <c r="E783" s="238">
        <v>450</v>
      </c>
      <c r="F783" s="125">
        <v>3.8</v>
      </c>
      <c r="G783" s="125">
        <f t="shared" si="22"/>
        <v>1710</v>
      </c>
      <c r="H783" s="86" t="s">
        <v>306</v>
      </c>
      <c r="I783" s="86" t="s">
        <v>92</v>
      </c>
      <c r="J783" s="124" t="s">
        <v>307</v>
      </c>
      <c r="K783" s="126">
        <v>46269</v>
      </c>
      <c r="L783" s="126">
        <v>46265</v>
      </c>
      <c r="M783" s="127">
        <f>_xlfn.XLOOKUP(C783,'Product List'!B:B,'Product List'!R:R)</f>
        <v>1.98</v>
      </c>
      <c r="N783" s="124">
        <f t="shared" si="23"/>
        <v>891</v>
      </c>
      <c r="O783" s="124" cm="1">
        <f t="array" ref="O783">E783/_xlfn.XLOOKUP(1,('Case Pack'!$A$4:$A$962=C783)*('Case Pack'!$L$4:$L$962&gt;0)*('Case Pack'!$L$4:$L$962&lt;=A783),'Case Pack'!$D$4:$D$962,"未找到箱规")</f>
        <v>15</v>
      </c>
      <c r="P783" s="124" t="str">
        <f>IF(COUNTIF('PO Check'!A:A,D783)&gt;0,"Yes","No")</f>
        <v>Yes</v>
      </c>
      <c r="Q783" s="124" t="str" cm="1">
        <f t="array" ref="Q783">_xlfn.XLOOKUP(1,('Case Pack'!$A$4:$A$962=C783)*('Case Pack'!$L$4:$L$962&gt;0)*('Case Pack'!$L$4:$L$962&lt;=A783),'Case Pack'!$G$4:$G$962,"未找到箱型")</f>
        <v>A</v>
      </c>
      <c r="R783" s="124">
        <f>ROUND(IFERROR(VLOOKUP(Q783,'Case Type'!A:H,8,0),0)*O783,2)</f>
        <v>1.65</v>
      </c>
      <c r="S783" s="124"/>
      <c r="T783" s="124"/>
      <c r="U783" s="124"/>
      <c r="V783" s="124"/>
      <c r="W783" s="124"/>
      <c r="X783" s="124"/>
      <c r="Y783" s="124"/>
      <c r="Z783" s="124"/>
      <c r="AA783" s="124"/>
      <c r="AB783" s="124"/>
      <c r="AC783" s="124"/>
      <c r="AD783" s="124"/>
      <c r="AE783" s="124"/>
    </row>
    <row r="784" customFormat="1" spans="1:31">
      <c r="A784" s="113">
        <v>46253</v>
      </c>
      <c r="B784" s="91" t="str">
        <f>_xlfn.XLOOKUP(C784,'Product List'!B:B,'Product List'!I:I)</f>
        <v>MINI/MOE SMALL ANIMAL BEDDING PAPER PEBBLES PSTCH/CREAM 1EA</v>
      </c>
      <c r="C784" s="259" t="s">
        <v>82</v>
      </c>
      <c r="D784" s="269" t="s">
        <v>364</v>
      </c>
      <c r="E784" s="238">
        <v>444</v>
      </c>
      <c r="F784" s="125">
        <v>5.71</v>
      </c>
      <c r="G784" s="125">
        <f t="shared" si="22"/>
        <v>2535.24</v>
      </c>
      <c r="H784" s="86" t="s">
        <v>306</v>
      </c>
      <c r="I784" s="86" t="s">
        <v>92</v>
      </c>
      <c r="J784" s="124" t="s">
        <v>307</v>
      </c>
      <c r="K784" s="126">
        <v>46269</v>
      </c>
      <c r="L784" s="126">
        <v>46265</v>
      </c>
      <c r="M784" s="127">
        <f>_xlfn.XLOOKUP(C784,'Product List'!B:B,'Product List'!R:R)</f>
        <v>2.84</v>
      </c>
      <c r="N784" s="124">
        <f t="shared" si="23"/>
        <v>1260.96</v>
      </c>
      <c r="O784" s="124" cm="1">
        <f t="array" ref="O784">E784/_xlfn.XLOOKUP(1,('Case Pack'!$A$4:$A$962=C784)*('Case Pack'!$L$4:$L$962&gt;0)*('Case Pack'!$L$4:$L$962&lt;=A784),'Case Pack'!$D$4:$D$962,"未找到箱规")</f>
        <v>37</v>
      </c>
      <c r="P784" s="124" t="str">
        <f>IF(COUNTIF('PO Check'!A:A,D784)&gt;0,"Yes","No")</f>
        <v>Yes</v>
      </c>
      <c r="Q784" s="124" t="str" cm="1">
        <f t="array" ref="Q784">_xlfn.XLOOKUP(1,('Case Pack'!$A$4:$A$962=C784)*('Case Pack'!$L$4:$L$962&gt;0)*('Case Pack'!$L$4:$L$962&lt;=A784),'Case Pack'!$G$4:$G$962,"未找到箱型")</f>
        <v>B</v>
      </c>
      <c r="R784" s="124">
        <f>ROUND(IFERROR(VLOOKUP(Q784,'Case Type'!A:H,8,0),0)*O784,2)</f>
        <v>2.72</v>
      </c>
      <c r="S784" s="124"/>
      <c r="T784" s="124"/>
      <c r="U784" s="124"/>
      <c r="V784" s="124"/>
      <c r="W784" s="124"/>
      <c r="X784" s="124"/>
      <c r="Y784" s="124"/>
      <c r="Z784" s="124"/>
      <c r="AA784" s="124"/>
      <c r="AB784" s="124"/>
      <c r="AC784" s="124"/>
      <c r="AD784" s="124"/>
      <c r="AE784" s="124"/>
    </row>
    <row r="785" customFormat="1" spans="1:31">
      <c r="A785" s="113">
        <v>46253</v>
      </c>
      <c r="B785" s="91" t="str">
        <f>_xlfn.XLOOKUP(C785,'Product List'!B:B,'Product List'!I:I)</f>
        <v>MINI/MOE MUSHROOM LADDER 1EA</v>
      </c>
      <c r="C785" s="259" t="s">
        <v>40</v>
      </c>
      <c r="D785" s="269" t="s">
        <v>364</v>
      </c>
      <c r="E785" s="238">
        <v>450</v>
      </c>
      <c r="F785" s="125">
        <v>4.28</v>
      </c>
      <c r="G785" s="125">
        <f t="shared" si="22"/>
        <v>1926</v>
      </c>
      <c r="H785" s="86" t="s">
        <v>306</v>
      </c>
      <c r="I785" s="86" t="s">
        <v>92</v>
      </c>
      <c r="J785" s="124" t="s">
        <v>307</v>
      </c>
      <c r="K785" s="126">
        <v>46269</v>
      </c>
      <c r="L785" s="126">
        <v>46265</v>
      </c>
      <c r="M785" s="127">
        <f>_xlfn.XLOOKUP(C785,'Product List'!B:B,'Product List'!R:R)</f>
        <v>2.2</v>
      </c>
      <c r="N785" s="124">
        <f t="shared" si="23"/>
        <v>990</v>
      </c>
      <c r="O785" s="124" cm="1">
        <f t="array" ref="O785">E785/_xlfn.XLOOKUP(1,('Case Pack'!$A$4:$A$962=C785)*('Case Pack'!$L$4:$L$962&gt;0)*('Case Pack'!$L$4:$L$962&lt;=A785),'Case Pack'!$D$4:$D$962,"未找到箱规")</f>
        <v>15</v>
      </c>
      <c r="P785" s="124" t="str">
        <f>IF(COUNTIF('PO Check'!A:A,D785)&gt;0,"Yes","No")</f>
        <v>Yes</v>
      </c>
      <c r="Q785" s="124" t="str" cm="1">
        <f t="array" ref="Q785">_xlfn.XLOOKUP(1,('Case Pack'!$A$4:$A$962=C785)*('Case Pack'!$L$4:$L$962&gt;0)*('Case Pack'!$L$4:$L$962&lt;=A785),'Case Pack'!$G$4:$G$962,"未找到箱型")</f>
        <v>C</v>
      </c>
      <c r="R785" s="124">
        <f>ROUND(IFERROR(VLOOKUP(Q785,'Case Type'!A:H,8,0),0)*O785,2)</f>
        <v>2.36</v>
      </c>
      <c r="S785" s="124"/>
      <c r="T785" s="124"/>
      <c r="U785" s="124"/>
      <c r="V785" s="124"/>
      <c r="W785" s="124"/>
      <c r="X785" s="124"/>
      <c r="Y785" s="124"/>
      <c r="Z785" s="124"/>
      <c r="AA785" s="124"/>
      <c r="AB785" s="124"/>
      <c r="AC785" s="124"/>
      <c r="AD785" s="124"/>
      <c r="AE785" s="124"/>
    </row>
    <row r="786" customFormat="1" spans="1:31">
      <c r="A786" s="113">
        <v>46253</v>
      </c>
      <c r="B786" s="91" t="str">
        <f>_xlfn.XLOOKUP(C786,'Product List'!B:B,'Product List'!I:I)</f>
        <v>Ceramic Candy Bowl</v>
      </c>
      <c r="C786" s="259" t="s">
        <v>38</v>
      </c>
      <c r="D786" s="269" t="s">
        <v>364</v>
      </c>
      <c r="E786" s="238">
        <v>480</v>
      </c>
      <c r="F786" s="125">
        <v>2.85</v>
      </c>
      <c r="G786" s="125">
        <f t="shared" si="22"/>
        <v>1368</v>
      </c>
      <c r="H786" s="86" t="s">
        <v>306</v>
      </c>
      <c r="I786" s="86" t="s">
        <v>92</v>
      </c>
      <c r="J786" s="124" t="s">
        <v>307</v>
      </c>
      <c r="K786" s="126">
        <v>46269</v>
      </c>
      <c r="L786" s="126">
        <v>46265</v>
      </c>
      <c r="M786" s="127">
        <f>_xlfn.XLOOKUP(C786,'Product List'!B:B,'Product List'!R:R)</f>
        <v>1.31</v>
      </c>
      <c r="N786" s="124">
        <f t="shared" si="23"/>
        <v>628.8</v>
      </c>
      <c r="O786" s="124" cm="1">
        <f t="array" ref="O786">E786/_xlfn.XLOOKUP(1,('Case Pack'!$A$4:$A$962=C786)*('Case Pack'!$L$4:$L$962&gt;0)*('Case Pack'!$L$4:$L$962&lt;=A786),'Case Pack'!$D$4:$D$962,"未找到箱规")</f>
        <v>10</v>
      </c>
      <c r="P786" s="124" t="str">
        <f>IF(COUNTIF('PO Check'!A:A,D786)&gt;0,"Yes","No")</f>
        <v>Yes</v>
      </c>
      <c r="Q786" s="124" t="str" cm="1">
        <f t="array" ref="Q786">_xlfn.XLOOKUP(1,('Case Pack'!$A$4:$A$962=C786)*('Case Pack'!$L$4:$L$962&gt;0)*('Case Pack'!$L$4:$L$962&lt;=A786),'Case Pack'!$G$4:$G$962,"未找到箱型")</f>
        <v>B</v>
      </c>
      <c r="R786" s="124">
        <f>ROUND(IFERROR(VLOOKUP(Q786,'Case Type'!A:H,8,0),0)*O786,2)</f>
        <v>0.73</v>
      </c>
      <c r="S786" s="124"/>
      <c r="T786" s="124"/>
      <c r="U786" s="124"/>
      <c r="V786" s="124"/>
      <c r="W786" s="124"/>
      <c r="X786" s="124"/>
      <c r="Y786" s="124"/>
      <c r="Z786" s="124"/>
      <c r="AA786" s="124"/>
      <c r="AB786" s="124"/>
      <c r="AC786" s="124"/>
      <c r="AD786" s="124"/>
      <c r="AE786" s="124"/>
    </row>
    <row r="787" s="115" customFormat="1" spans="1:31">
      <c r="A787" s="113">
        <v>46253</v>
      </c>
      <c r="B787" s="91" t="str">
        <f>_xlfn.XLOOKUP(C787,'Product List'!B:B,'Product List'!I:I)</f>
        <v>MINI/MOE SMALL ANIMAL HOUSING SWEET BRIDGE 1EA</v>
      </c>
      <c r="C787" s="258" t="s">
        <v>56</v>
      </c>
      <c r="D787" s="269" t="s">
        <v>364</v>
      </c>
      <c r="E787" s="238">
        <v>490</v>
      </c>
      <c r="F787" s="263">
        <v>2.91</v>
      </c>
      <c r="G787" s="125">
        <f t="shared" si="22"/>
        <v>1425.9</v>
      </c>
      <c r="H787" s="99" t="s">
        <v>306</v>
      </c>
      <c r="I787" s="86" t="s">
        <v>92</v>
      </c>
      <c r="J787" s="108" t="s">
        <v>307</v>
      </c>
      <c r="K787" s="126">
        <v>46269</v>
      </c>
      <c r="L787" s="126">
        <v>46265</v>
      </c>
      <c r="M787" s="127">
        <f>_xlfn.XLOOKUP(C787,'Product List'!B:B,'Product List'!R:R)</f>
        <v>1.58</v>
      </c>
      <c r="N787" s="124">
        <f t="shared" si="23"/>
        <v>774.2</v>
      </c>
      <c r="O787" s="124" cm="1">
        <f t="array" ref="O787">E787/_xlfn.XLOOKUP(1,('Case Pack'!$A$4:$A$962=C787)*('Case Pack'!$L$4:$L$962&gt;0)*('Case Pack'!$L$4:$L$962&lt;=A787),'Case Pack'!$D$4:$D$962,"未找到箱规")</f>
        <v>7</v>
      </c>
      <c r="P787" s="124" t="str">
        <f>IF(COUNTIF('PO Check'!A:A,D787)&gt;0,"Yes","No")</f>
        <v>Yes</v>
      </c>
      <c r="Q787" s="124" t="str" cm="1">
        <f t="array" ref="Q787">_xlfn.XLOOKUP(1,('Case Pack'!$A$4:$A$962=C787)*('Case Pack'!$L$4:$L$962&gt;0)*('Case Pack'!$L$4:$L$962&lt;=A787),'Case Pack'!$G$4:$G$962,"未找到箱型")</f>
        <v>A</v>
      </c>
      <c r="R787" s="124">
        <f>ROUND(IFERROR(VLOOKUP(Q787,'Case Type'!A:H,8,0),0)*O787,2)</f>
        <v>0.77</v>
      </c>
      <c r="S787" s="108"/>
      <c r="T787" s="108"/>
      <c r="U787" s="108"/>
      <c r="V787" s="108"/>
      <c r="W787" s="108"/>
      <c r="X787" s="108"/>
      <c r="Y787" s="108"/>
      <c r="Z787" s="108"/>
      <c r="AA787" s="108"/>
      <c r="AB787" s="108"/>
      <c r="AC787" s="108"/>
      <c r="AD787" s="108"/>
      <c r="AE787" s="108"/>
    </row>
    <row r="788" customFormat="1" spans="1:31">
      <c r="A788" s="113">
        <v>46253</v>
      </c>
      <c r="B788" s="91" t="str">
        <f>_xlfn.XLOOKUP(C788,'Product List'!B:B,'Product List'!I:I)</f>
        <v>Little Devil Travel Cage</v>
      </c>
      <c r="C788" s="259" t="s">
        <v>74</v>
      </c>
      <c r="D788" s="269" t="s">
        <v>364</v>
      </c>
      <c r="E788" s="238">
        <v>450</v>
      </c>
      <c r="F788" s="125">
        <v>5.48</v>
      </c>
      <c r="G788" s="125">
        <f t="shared" si="22"/>
        <v>2466</v>
      </c>
      <c r="H788" s="86" t="s">
        <v>306</v>
      </c>
      <c r="I788" s="86" t="s">
        <v>92</v>
      </c>
      <c r="J788" s="124" t="s">
        <v>307</v>
      </c>
      <c r="K788" s="126">
        <v>46269</v>
      </c>
      <c r="L788" s="126">
        <v>46265</v>
      </c>
      <c r="M788" s="127">
        <f>_xlfn.XLOOKUP(C788,'Product List'!B:B,'Product List'!R:R)</f>
        <v>2.23</v>
      </c>
      <c r="N788" s="124">
        <f t="shared" si="23"/>
        <v>1003.5</v>
      </c>
      <c r="O788" s="124" cm="1">
        <f t="array" ref="O788">E788/_xlfn.XLOOKUP(1,('Case Pack'!$A$4:$A$962=C788)*('Case Pack'!$L$4:$L$962&gt;0)*('Case Pack'!$L$4:$L$962&lt;=A788),'Case Pack'!$D$4:$D$962,"未找到箱规")</f>
        <v>25</v>
      </c>
      <c r="P788" s="124" t="str">
        <f>IF(COUNTIF('PO Check'!A:A,D788)&gt;0,"Yes","No")</f>
        <v>Yes</v>
      </c>
      <c r="Q788" s="124" t="str" cm="1">
        <f t="array" ref="Q788">_xlfn.XLOOKUP(1,('Case Pack'!$A$4:$A$962=C788)*('Case Pack'!$L$4:$L$962&gt;0)*('Case Pack'!$L$4:$L$962&lt;=A788),'Case Pack'!$G$4:$G$962,"未找到箱型")</f>
        <v>C</v>
      </c>
      <c r="R788" s="124">
        <f>ROUND(IFERROR(VLOOKUP(Q788,'Case Type'!A:H,8,0),0)*O788,2)</f>
        <v>3.93</v>
      </c>
      <c r="S788" s="124"/>
      <c r="T788" s="124"/>
      <c r="U788" s="124"/>
      <c r="V788" s="124"/>
      <c r="W788" s="124"/>
      <c r="X788" s="124"/>
      <c r="Y788" s="124"/>
      <c r="Z788" s="124"/>
      <c r="AA788" s="124"/>
      <c r="AB788" s="124"/>
      <c r="AC788" s="124"/>
      <c r="AD788" s="124"/>
      <c r="AE788" s="124"/>
    </row>
    <row r="789" customFormat="1" spans="1:31">
      <c r="A789" s="113">
        <v>46253</v>
      </c>
      <c r="B789" s="91" t="str">
        <f>_xlfn.XLOOKUP(C789,'Product List'!B:B,'Product List'!I:I)</f>
        <v>Crystal Outdoor Cage</v>
      </c>
      <c r="C789" s="259" t="s">
        <v>63</v>
      </c>
      <c r="D789" s="269" t="s">
        <v>364</v>
      </c>
      <c r="E789" s="238">
        <v>220</v>
      </c>
      <c r="F789" s="125">
        <v>8.2</v>
      </c>
      <c r="G789" s="125">
        <f t="shared" si="22"/>
        <v>1804</v>
      </c>
      <c r="H789" s="86" t="s">
        <v>306</v>
      </c>
      <c r="I789" s="86" t="s">
        <v>92</v>
      </c>
      <c r="J789" s="124" t="s">
        <v>307</v>
      </c>
      <c r="K789" s="126">
        <v>46269</v>
      </c>
      <c r="L789" s="126">
        <v>46265</v>
      </c>
      <c r="M789" s="127">
        <f>_xlfn.XLOOKUP(C789,'Product List'!B:B,'Product List'!R:R)</f>
        <v>3.26</v>
      </c>
      <c r="N789" s="124">
        <f t="shared" si="23"/>
        <v>717.2</v>
      </c>
      <c r="O789" s="124" cm="1">
        <f t="array" ref="O789">E789/_xlfn.XLOOKUP(1,('Case Pack'!$A$4:$A$962=C789)*('Case Pack'!$L$4:$L$962&gt;0)*('Case Pack'!$L$4:$L$962&lt;=A789),'Case Pack'!$D$4:$D$962,"未找到箱规")</f>
        <v>44</v>
      </c>
      <c r="P789" s="124" t="str">
        <f>IF(COUNTIF('PO Check'!A:A,D789)&gt;0,"Yes","No")</f>
        <v>Yes</v>
      </c>
      <c r="Q789" s="124" t="str" cm="1">
        <f t="array" ref="Q789">_xlfn.XLOOKUP(1,('Case Pack'!$A$4:$A$962=C789)*('Case Pack'!$L$4:$L$962&gt;0)*('Case Pack'!$L$4:$L$962&lt;=A789),'Case Pack'!$G$4:$G$962,"未找到箱型")</f>
        <v>A</v>
      </c>
      <c r="R789" s="124">
        <f>ROUND(IFERROR(VLOOKUP(Q789,'Case Type'!A:H,8,0),0)*O789,2)</f>
        <v>4.85</v>
      </c>
      <c r="S789" s="124"/>
      <c r="T789" s="124"/>
      <c r="U789" s="124"/>
      <c r="V789" s="124"/>
      <c r="W789" s="124"/>
      <c r="X789" s="124"/>
      <c r="Y789" s="124"/>
      <c r="Z789" s="124"/>
      <c r="AA789" s="124"/>
      <c r="AB789" s="124"/>
      <c r="AC789" s="124"/>
      <c r="AD789" s="124"/>
      <c r="AE789" s="124"/>
    </row>
    <row r="790" customFormat="1" spans="1:31">
      <c r="A790" s="113">
        <v>46253</v>
      </c>
      <c r="B790" s="91" t="str">
        <f>_xlfn.XLOOKUP(C790,'Product List'!B:B,'Product List'!I:I)</f>
        <v>MINI/MOE SMALL ANIMAL HOUSING CAKE HOUSE 1EA</v>
      </c>
      <c r="C790" s="259" t="s">
        <v>58</v>
      </c>
      <c r="D790" s="269" t="s">
        <v>364</v>
      </c>
      <c r="E790" s="238">
        <v>221</v>
      </c>
      <c r="F790" s="125">
        <v>5.47</v>
      </c>
      <c r="G790" s="125">
        <f t="shared" si="22"/>
        <v>1208.87</v>
      </c>
      <c r="H790" s="86" t="s">
        <v>306</v>
      </c>
      <c r="I790" s="86" t="s">
        <v>92</v>
      </c>
      <c r="J790" s="124" t="s">
        <v>307</v>
      </c>
      <c r="K790" s="126">
        <v>46269</v>
      </c>
      <c r="L790" s="126">
        <v>46265</v>
      </c>
      <c r="M790" s="127">
        <f>_xlfn.XLOOKUP(C790,'Product List'!B:B,'Product List'!R:R)</f>
        <v>2.54</v>
      </c>
      <c r="N790" s="124">
        <f t="shared" si="23"/>
        <v>561.34</v>
      </c>
      <c r="O790" s="124" cm="1">
        <f t="array" ref="O790">E790/_xlfn.XLOOKUP(1,('Case Pack'!$A$4:$A$962=C790)*('Case Pack'!$L$4:$L$962&gt;0)*('Case Pack'!$L$4:$L$962&lt;=A790),'Case Pack'!$D$4:$D$962,"未找到箱规")</f>
        <v>17</v>
      </c>
      <c r="P790" s="124" t="str">
        <f>IF(COUNTIF('PO Check'!A:A,D790)&gt;0,"Yes","No")</f>
        <v>Yes</v>
      </c>
      <c r="Q790" s="124" t="str" cm="1">
        <f t="array" ref="Q790">_xlfn.XLOOKUP(1,('Case Pack'!$A$4:$A$962=C790)*('Case Pack'!$L$4:$L$962&gt;0)*('Case Pack'!$L$4:$L$962&lt;=A790),'Case Pack'!$G$4:$G$962,"未找到箱型")</f>
        <v>C</v>
      </c>
      <c r="R790" s="124">
        <f>ROUND(IFERROR(VLOOKUP(Q790,'Case Type'!A:H,8,0),0)*O790,2)</f>
        <v>2.67</v>
      </c>
      <c r="S790" s="124"/>
      <c r="T790" s="124"/>
      <c r="U790" s="124"/>
      <c r="V790" s="124"/>
      <c r="W790" s="124"/>
      <c r="X790" s="124"/>
      <c r="Y790" s="124"/>
      <c r="Z790" s="124"/>
      <c r="AA790" s="124"/>
      <c r="AB790" s="124"/>
      <c r="AC790" s="124"/>
      <c r="AD790" s="124"/>
      <c r="AE790" s="124"/>
    </row>
    <row r="791" customFormat="1" spans="1:31">
      <c r="A791" s="113">
        <v>46259</v>
      </c>
      <c r="B791" s="91" t="str">
        <f>_xlfn.XLOOKUP(C791,'Product List'!B:B,'Product List'!I:I)</f>
        <v>MINI/MOE SILENT CRSTL RUN WHEEL LG 8.5-White</v>
      </c>
      <c r="C791" s="135" t="s">
        <v>29</v>
      </c>
      <c r="D791" s="234">
        <v>31955933</v>
      </c>
      <c r="E791" s="125">
        <v>120</v>
      </c>
      <c r="F791" s="125">
        <v>13.22</v>
      </c>
      <c r="G791" s="125">
        <f t="shared" si="22"/>
        <v>1586.4</v>
      </c>
      <c r="H791" s="135" t="s">
        <v>298</v>
      </c>
      <c r="I791" s="86" t="s">
        <v>92</v>
      </c>
      <c r="J791" s="135" t="s">
        <v>322</v>
      </c>
      <c r="K791" s="126">
        <v>46296</v>
      </c>
      <c r="L791" s="126">
        <v>46286</v>
      </c>
      <c r="M791" s="127">
        <f>_xlfn.XLOOKUP(C791,'Product List'!B:B,'Product List'!R:R)</f>
        <v>6.27</v>
      </c>
      <c r="N791" s="124">
        <f t="shared" si="23"/>
        <v>752.4</v>
      </c>
      <c r="O791" s="124" cm="1">
        <f t="array" ref="O791">E791/_xlfn.XLOOKUP(1,('Case Pack'!$A$4:$A$962=C791)*('Case Pack'!$L$4:$L$962&gt;0)*('Case Pack'!$L$4:$L$962&lt;=A791),'Case Pack'!$D$4:$D$962,"未找到箱规")</f>
        <v>15</v>
      </c>
      <c r="P791" s="124" t="str">
        <f>IF(COUNTIF('PO Check'!A:A,D791)&gt;0,"Yes","No")</f>
        <v>Yes</v>
      </c>
      <c r="Q791" s="124" t="str" cm="1">
        <f t="array" ref="Q791">_xlfn.XLOOKUP(1,('Case Pack'!$A$4:$A$962=C791)*('Case Pack'!$L$4:$L$962&gt;0)*('Case Pack'!$L$4:$L$962&lt;=A791),'Case Pack'!$G$4:$G$962,"未找到箱型")</f>
        <v>C</v>
      </c>
      <c r="R791" s="124">
        <f>ROUND(IFERROR(VLOOKUP(Q791,'Case Type'!A:H,8,0),0)*O791,2)</f>
        <v>2.36</v>
      </c>
    </row>
    <row r="792" customFormat="1" spans="1:31">
      <c r="A792" s="113">
        <v>46259</v>
      </c>
      <c r="B792" s="91" t="str">
        <f>_xlfn.XLOOKUP(C792,'Product List'!B:B,'Product List'!I:I)</f>
        <v>MMO-GREEN APPLE CHEW</v>
      </c>
      <c r="C792" s="135" t="s">
        <v>33</v>
      </c>
      <c r="D792" s="234">
        <v>31955933</v>
      </c>
      <c r="E792" s="125">
        <v>48</v>
      </c>
      <c r="F792" s="125">
        <v>1.53</v>
      </c>
      <c r="G792" s="125">
        <f t="shared" si="22"/>
        <v>73.44</v>
      </c>
      <c r="H792" s="135" t="s">
        <v>298</v>
      </c>
      <c r="I792" s="86" t="s">
        <v>92</v>
      </c>
      <c r="J792" s="135" t="s">
        <v>322</v>
      </c>
      <c r="K792" s="126">
        <v>46296</v>
      </c>
      <c r="L792" s="126">
        <v>46286</v>
      </c>
      <c r="M792" s="127">
        <f>_xlfn.XLOOKUP(C792,'Product List'!B:B,'Product List'!R:R)</f>
        <v>1.04</v>
      </c>
      <c r="N792" s="124">
        <f t="shared" si="23"/>
        <v>49.92</v>
      </c>
      <c r="O792" s="124" cm="1">
        <f t="array" ref="O792">E792/_xlfn.XLOOKUP(1,('Case Pack'!$A$4:$A$962=C792)*('Case Pack'!$L$4:$L$962&gt;0)*('Case Pack'!$L$4:$L$962&lt;=A792),'Case Pack'!$D$4:$D$962,"未找到箱规")</f>
        <v>1</v>
      </c>
      <c r="P792" s="124" t="str">
        <f>IF(COUNTIF('PO Check'!A:A,D792)&gt;0,"Yes","No")</f>
        <v>Yes</v>
      </c>
      <c r="Q792" s="124" t="str" cm="1">
        <f t="array" ref="Q792">_xlfn.XLOOKUP(1,('Case Pack'!$A$4:$A$962=C792)*('Case Pack'!$L$4:$L$962&gt;0)*('Case Pack'!$L$4:$L$962&lt;=A792),'Case Pack'!$G$4:$G$962,"未找到箱型")</f>
        <v>B</v>
      </c>
      <c r="R792" s="124">
        <f>ROUND(IFERROR(VLOOKUP(Q792,'Case Type'!A:H,8,0),0)*O792,2)</f>
        <v>0.07</v>
      </c>
    </row>
    <row r="793" customFormat="1" spans="1:31">
      <c r="A793" s="113">
        <v>46259</v>
      </c>
      <c r="B793" s="91" t="str">
        <f>_xlfn.XLOOKUP(C793,'Product List'!B:B,'Product List'!I:I)</f>
        <v>MMO-CAMP LUNCH BOX CHEW</v>
      </c>
      <c r="C793" s="135" t="s">
        <v>34</v>
      </c>
      <c r="D793" s="234">
        <v>31955933</v>
      </c>
      <c r="E793" s="125">
        <v>144</v>
      </c>
      <c r="F793" s="125">
        <v>2.48</v>
      </c>
      <c r="G793" s="125">
        <f t="shared" si="22"/>
        <v>357.12</v>
      </c>
      <c r="H793" s="135" t="s">
        <v>298</v>
      </c>
      <c r="I793" s="86" t="s">
        <v>92</v>
      </c>
      <c r="J793" s="135" t="s">
        <v>322</v>
      </c>
      <c r="K793" s="126">
        <v>46296</v>
      </c>
      <c r="L793" s="126">
        <v>46286</v>
      </c>
      <c r="M793" s="127">
        <f>_xlfn.XLOOKUP(C793,'Product List'!B:B,'Product List'!R:R)</f>
        <v>1.59</v>
      </c>
      <c r="N793" s="124">
        <f t="shared" si="23"/>
        <v>228.96</v>
      </c>
      <c r="O793" s="124" cm="1">
        <f t="array" ref="O793">E793/_xlfn.XLOOKUP(1,('Case Pack'!$A$4:$A$962=C793)*('Case Pack'!$L$4:$L$962&gt;0)*('Case Pack'!$L$4:$L$962&lt;=A793),'Case Pack'!$D$4:$D$962,"未找到箱规")</f>
        <v>2</v>
      </c>
      <c r="P793" s="124" t="str">
        <f>IF(COUNTIF('PO Check'!A:A,D793)&gt;0,"Yes","No")</f>
        <v>Yes</v>
      </c>
      <c r="Q793" s="124" t="str" cm="1">
        <f t="array" ref="Q793">_xlfn.XLOOKUP(1,('Case Pack'!$A$4:$A$962=C793)*('Case Pack'!$L$4:$L$962&gt;0)*('Case Pack'!$L$4:$L$962&lt;=A793),'Case Pack'!$G$4:$G$962,"未找到箱型")</f>
        <v>B</v>
      </c>
      <c r="R793" s="124">
        <f>ROUND(IFERROR(VLOOKUP(Q793,'Case Type'!A:H,8,0),0)*O793,2)</f>
        <v>0.15</v>
      </c>
    </row>
    <row r="794" customFormat="1" spans="1:31">
      <c r="A794" s="113">
        <v>46259</v>
      </c>
      <c r="B794" s="91" t="str">
        <f>_xlfn.XLOOKUP(C794,'Product List'!B:B,'Product List'!I:I)</f>
        <v>MMO-BUBBLE WATER BOTTLE</v>
      </c>
      <c r="C794" s="135" t="s">
        <v>67</v>
      </c>
      <c r="D794" s="234">
        <v>31955933</v>
      </c>
      <c r="E794" s="125">
        <v>168</v>
      </c>
      <c r="F794" s="125">
        <v>4.35</v>
      </c>
      <c r="G794" s="125">
        <f t="shared" si="22"/>
        <v>730.8</v>
      </c>
      <c r="H794" s="135" t="s">
        <v>298</v>
      </c>
      <c r="I794" s="86" t="s">
        <v>92</v>
      </c>
      <c r="J794" s="135" t="s">
        <v>322</v>
      </c>
      <c r="K794" s="126">
        <v>46296</v>
      </c>
      <c r="L794" s="126">
        <v>46286</v>
      </c>
      <c r="M794" s="127">
        <f>_xlfn.XLOOKUP(C794,'Product List'!B:B,'Product List'!R:R)</f>
        <v>3.1</v>
      </c>
      <c r="N794" s="124">
        <f t="shared" si="23"/>
        <v>520.8</v>
      </c>
      <c r="O794" s="124" cm="1">
        <f t="array" ref="O794">E794/_xlfn.XLOOKUP(1,('Case Pack'!$A$4:$A$962=C794)*('Case Pack'!$L$4:$L$962&gt;0)*('Case Pack'!$L$4:$L$962&lt;=A794),'Case Pack'!$D$4:$D$962,"未找到箱规")</f>
        <v>4</v>
      </c>
      <c r="P794" s="124" t="str">
        <f>IF(COUNTIF('PO Check'!A:A,D794)&gt;0,"Yes","No")</f>
        <v>Yes</v>
      </c>
      <c r="Q794" s="124" t="str" cm="1">
        <f t="array" ref="Q794">_xlfn.XLOOKUP(1,('Case Pack'!$A$4:$A$962=C794)*('Case Pack'!$L$4:$L$962&gt;0)*('Case Pack'!$L$4:$L$962&lt;=A794),'Case Pack'!$G$4:$G$962,"未找到箱型")</f>
        <v>C</v>
      </c>
      <c r="R794" s="124">
        <f>ROUND(IFERROR(VLOOKUP(Q794,'Case Type'!A:H,8,0),0)*O794,2)</f>
        <v>0.63</v>
      </c>
    </row>
    <row r="795" customFormat="1" spans="1:31">
      <c r="A795" s="113">
        <v>46259</v>
      </c>
      <c r="B795" s="91" t="str">
        <f>_xlfn.XLOOKUP(C795,'Product List'!B:B,'Product List'!I:I)</f>
        <v>MMO-CLOUD WATER BOTTLE</v>
      </c>
      <c r="C795" s="135" t="s">
        <v>77</v>
      </c>
      <c r="D795" s="234">
        <v>31955933</v>
      </c>
      <c r="E795" s="125">
        <v>200</v>
      </c>
      <c r="F795" s="125">
        <v>1.32</v>
      </c>
      <c r="G795" s="125">
        <f t="shared" si="22"/>
        <v>264</v>
      </c>
      <c r="H795" s="135" t="s">
        <v>298</v>
      </c>
      <c r="I795" s="86" t="s">
        <v>92</v>
      </c>
      <c r="J795" s="135" t="s">
        <v>322</v>
      </c>
      <c r="K795" s="126">
        <v>46296</v>
      </c>
      <c r="L795" s="126">
        <v>46286</v>
      </c>
      <c r="M795" s="127">
        <f>_xlfn.XLOOKUP(C795,'Product List'!B:B,'Product List'!R:R)</f>
        <v>0.62</v>
      </c>
      <c r="N795" s="124">
        <f t="shared" si="23"/>
        <v>124</v>
      </c>
      <c r="O795" s="124" cm="1">
        <f t="array" ref="O795">E795/_xlfn.XLOOKUP(1,('Case Pack'!$A$4:$A$962=C795)*('Case Pack'!$L$4:$L$962&gt;0)*('Case Pack'!$L$4:$L$962&lt;=A795),'Case Pack'!$D$4:$D$962,"未找到箱规")</f>
        <v>4</v>
      </c>
      <c r="P795" s="124" t="str">
        <f>IF(COUNTIF('PO Check'!A:A,D795)&gt;0,"Yes","No")</f>
        <v>Yes</v>
      </c>
      <c r="Q795" s="124" t="str" cm="1">
        <f t="array" ref="Q795">_xlfn.XLOOKUP(1,('Case Pack'!$A$4:$A$962=C795)*('Case Pack'!$L$4:$L$962&gt;0)*('Case Pack'!$L$4:$L$962&lt;=A795),'Case Pack'!$G$4:$G$962,"未找到箱型")</f>
        <v>A</v>
      </c>
      <c r="R795" s="124">
        <f>ROUND(IFERROR(VLOOKUP(Q795,'Case Type'!A:H,8,0),0)*O795,2)</f>
        <v>0.44</v>
      </c>
    </row>
    <row r="796" customFormat="1" spans="1:31">
      <c r="A796" s="113">
        <v>46258</v>
      </c>
      <c r="B796" s="91" t="str">
        <f>_xlfn.XLOOKUP(C796,'Product List'!B:B,'Product List'!I:I)</f>
        <v>MINI/MOE GARDEN TEAPOT</v>
      </c>
      <c r="C796" s="135" t="s">
        <v>43</v>
      </c>
      <c r="D796" s="234" t="s">
        <v>365</v>
      </c>
      <c r="E796" s="125">
        <v>30</v>
      </c>
      <c r="F796" s="125">
        <v>4.61</v>
      </c>
      <c r="G796" s="125">
        <f t="shared" si="22"/>
        <v>138.3</v>
      </c>
      <c r="H796" s="135" t="s">
        <v>306</v>
      </c>
      <c r="I796" s="86" t="s">
        <v>92</v>
      </c>
      <c r="J796" s="135" t="s">
        <v>307</v>
      </c>
      <c r="K796" s="126">
        <v>46279</v>
      </c>
      <c r="L796" s="126">
        <v>46280</v>
      </c>
      <c r="M796" s="127">
        <f>_xlfn.XLOOKUP(C796,'Product List'!B:B,'Product List'!R:R)</f>
        <v>2.25</v>
      </c>
      <c r="N796" s="124">
        <f t="shared" si="23"/>
        <v>67.5</v>
      </c>
      <c r="O796" s="124" cm="1">
        <f t="array" ref="O796">E796/_xlfn.XLOOKUP(1,('Case Pack'!$A$4:$A$962=C796)*('Case Pack'!$L$4:$L$962&gt;0)*('Case Pack'!$L$4:$L$962&lt;=A796),'Case Pack'!$D$4:$D$962,"未找到箱规")</f>
        <v>1</v>
      </c>
      <c r="P796" s="124" t="str">
        <f>IF(COUNTIF('PO Check'!A:A,D796)&gt;0,"Yes","No")</f>
        <v>Yes</v>
      </c>
      <c r="Q796" s="124" t="str" cm="1">
        <f t="array" ref="Q796">_xlfn.XLOOKUP(1,('Case Pack'!$A$4:$A$962=C796)*('Case Pack'!$L$4:$L$962&gt;0)*('Case Pack'!$L$4:$L$962&lt;=A796),'Case Pack'!$G$4:$G$962,"未找到箱型")</f>
        <v>C</v>
      </c>
      <c r="R796" s="124">
        <f>ROUND(IFERROR(VLOOKUP(Q796,'Case Type'!A:H,8,0),0)*O796,2)</f>
        <v>0.16</v>
      </c>
    </row>
    <row r="797" customFormat="1" spans="1:31">
      <c r="A797" s="113">
        <v>46258</v>
      </c>
      <c r="B797" s="91" t="str">
        <f>_xlfn.XLOOKUP(C797,'Product List'!B:B,'Product List'!I:I)</f>
        <v>MINI/MOE TREEHOUSE CABIN</v>
      </c>
      <c r="C797" s="135" t="s">
        <v>41</v>
      </c>
      <c r="D797" s="234" t="s">
        <v>365</v>
      </c>
      <c r="E797" s="125">
        <v>120</v>
      </c>
      <c r="F797" s="125">
        <v>4.28</v>
      </c>
      <c r="G797" s="125">
        <f t="shared" si="22"/>
        <v>513.6</v>
      </c>
      <c r="H797" s="135" t="s">
        <v>306</v>
      </c>
      <c r="I797" s="86" t="s">
        <v>92</v>
      </c>
      <c r="J797" s="135" t="s">
        <v>307</v>
      </c>
      <c r="K797" s="126">
        <v>46279</v>
      </c>
      <c r="L797" s="126">
        <v>46280</v>
      </c>
      <c r="M797" s="127">
        <f>_xlfn.XLOOKUP(C797,'Product List'!B:B,'Product List'!R:R)</f>
        <v>2.07</v>
      </c>
      <c r="N797" s="124">
        <f t="shared" si="23"/>
        <v>248.4</v>
      </c>
      <c r="O797" s="124" cm="1">
        <f t="array" ref="O797">E797/_xlfn.XLOOKUP(1,('Case Pack'!$A$4:$A$962=C797)*('Case Pack'!$L$4:$L$962&gt;0)*('Case Pack'!$L$4:$L$962&lt;=A797),'Case Pack'!$D$4:$D$962,"未找到箱规")</f>
        <v>4</v>
      </c>
      <c r="P797" s="124" t="str">
        <f>IF(COUNTIF('PO Check'!A:A,D797)&gt;0,"Yes","No")</f>
        <v>Yes</v>
      </c>
      <c r="Q797" s="124" t="str" cm="1">
        <f t="array" ref="Q797">_xlfn.XLOOKUP(1,('Case Pack'!$A$4:$A$962=C797)*('Case Pack'!$L$4:$L$962&gt;0)*('Case Pack'!$L$4:$L$962&lt;=A797),'Case Pack'!$G$4:$G$962,"未找到箱型")</f>
        <v>C</v>
      </c>
      <c r="R797" s="124">
        <f>ROUND(IFERROR(VLOOKUP(Q797,'Case Type'!A:H,8,0),0)*O797,2)</f>
        <v>0.63</v>
      </c>
    </row>
    <row r="798" customFormat="1" spans="1:31">
      <c r="A798" s="113">
        <v>46258</v>
      </c>
      <c r="B798" s="91" t="str">
        <f>_xlfn.XLOOKUP(C798,'Product List'!B:B,'Product List'!I:I)</f>
        <v>MINI/MOE CAMPING TENT HIDE</v>
      </c>
      <c r="C798" s="135" t="s">
        <v>73</v>
      </c>
      <c r="D798" s="234" t="s">
        <v>365</v>
      </c>
      <c r="E798" s="125">
        <v>168</v>
      </c>
      <c r="F798" s="125">
        <v>3.36</v>
      </c>
      <c r="G798" s="125">
        <f t="shared" si="22"/>
        <v>564.48</v>
      </c>
      <c r="H798" s="135" t="s">
        <v>306</v>
      </c>
      <c r="I798" s="86" t="s">
        <v>92</v>
      </c>
      <c r="J798" s="135" t="s">
        <v>307</v>
      </c>
      <c r="K798" s="126">
        <v>46279</v>
      </c>
      <c r="L798" s="126">
        <v>46280</v>
      </c>
      <c r="M798" s="127">
        <f>_xlfn.XLOOKUP(C798,'Product List'!B:B,'Product List'!R:R)</f>
        <v>1.96</v>
      </c>
      <c r="N798" s="124">
        <f t="shared" si="23"/>
        <v>329.28</v>
      </c>
      <c r="O798" s="124" cm="1">
        <f t="array" ref="O798">E798/_xlfn.XLOOKUP(1,('Case Pack'!$A$4:$A$962=C798)*('Case Pack'!$L$4:$L$962&gt;0)*('Case Pack'!$L$4:$L$962&lt;=A798),'Case Pack'!$D$4:$D$962,"未找到箱规")</f>
        <v>14</v>
      </c>
      <c r="P798" s="124" t="str">
        <f>IF(COUNTIF('PO Check'!A:A,D798)&gt;0,"Yes","No")</f>
        <v>Yes</v>
      </c>
      <c r="Q798" s="124" t="str" cm="1">
        <f t="array" ref="Q798">_xlfn.XLOOKUP(1,('Case Pack'!$A$4:$A$962=C798)*('Case Pack'!$L$4:$L$962&gt;0)*('Case Pack'!$L$4:$L$962&lt;=A798),'Case Pack'!$G$4:$G$962,"未找到箱型")</f>
        <v>B</v>
      </c>
      <c r="R798" s="124">
        <f>ROUND(IFERROR(VLOOKUP(Q798,'Case Type'!A:H,8,0),0)*O798,2)</f>
        <v>1.03</v>
      </c>
    </row>
    <row r="799" customFormat="1" spans="1:31">
      <c r="A799" s="113">
        <v>46258</v>
      </c>
      <c r="B799" s="91" t="str">
        <f>_xlfn.XLOOKUP(C799,'Product List'!B:B,'Product List'!I:I)</f>
        <v>MINI/MOE BENDABLE BIRCHWOOD FENCE</v>
      </c>
      <c r="C799" s="135" t="s">
        <v>62</v>
      </c>
      <c r="D799" s="234" t="s">
        <v>365</v>
      </c>
      <c r="E799" s="125">
        <v>32</v>
      </c>
      <c r="F799" s="125">
        <v>4.65</v>
      </c>
      <c r="G799" s="125">
        <f t="shared" si="22"/>
        <v>148.8</v>
      </c>
      <c r="H799" s="135" t="s">
        <v>306</v>
      </c>
      <c r="I799" s="86" t="s">
        <v>92</v>
      </c>
      <c r="J799" s="135" t="s">
        <v>307</v>
      </c>
      <c r="K799" s="126">
        <v>46279</v>
      </c>
      <c r="L799" s="126">
        <v>46280</v>
      </c>
      <c r="M799" s="127">
        <f>_xlfn.XLOOKUP(C799,'Product List'!B:B,'Product List'!R:R)</f>
        <v>3.4</v>
      </c>
      <c r="N799" s="124">
        <f t="shared" si="23"/>
        <v>108.8</v>
      </c>
      <c r="O799" s="124" cm="1">
        <f t="array" ref="O799">E799/_xlfn.XLOOKUP(1,('Case Pack'!$A$4:$A$962=C799)*('Case Pack'!$L$4:$L$962&gt;0)*('Case Pack'!$L$4:$L$962&lt;=A799),'Case Pack'!$D$4:$D$962,"未找到箱规")</f>
        <v>1</v>
      </c>
      <c r="P799" s="124" t="str">
        <f>IF(COUNTIF('PO Check'!A:A,D799)&gt;0,"Yes","No")</f>
        <v>Yes</v>
      </c>
      <c r="Q799" s="124" t="str" cm="1">
        <f t="array" ref="Q799">_xlfn.XLOOKUP(1,('Case Pack'!$A$4:$A$962=C799)*('Case Pack'!$L$4:$L$962&gt;0)*('Case Pack'!$L$4:$L$962&lt;=A799),'Case Pack'!$G$4:$G$962,"未找到箱型")</f>
        <v>F</v>
      </c>
      <c r="R799" s="124">
        <f>ROUND(IFERROR(VLOOKUP(Q799,'Case Type'!A:H,8,0),0)*O799,2)</f>
        <v>0.04</v>
      </c>
      <c r="T799" s="40"/>
    </row>
    <row r="800" customFormat="1" spans="1:31">
      <c r="A800" s="113">
        <v>46258</v>
      </c>
      <c r="B800" s="91" t="str">
        <f>_xlfn.XLOOKUP(C800,'Product List'!B:B,'Product List'!I:I)</f>
        <v>MINI/MOE TULIP WATER BOTTLE</v>
      </c>
      <c r="C800" s="135" t="s">
        <v>52</v>
      </c>
      <c r="D800" s="234" t="s">
        <v>365</v>
      </c>
      <c r="E800" s="125">
        <v>240</v>
      </c>
      <c r="F800" s="125">
        <v>1.7</v>
      </c>
      <c r="G800" s="125">
        <f t="shared" si="22"/>
        <v>408</v>
      </c>
      <c r="H800" s="135" t="s">
        <v>306</v>
      </c>
      <c r="I800" s="86" t="s">
        <v>92</v>
      </c>
      <c r="J800" s="135" t="s">
        <v>307</v>
      </c>
      <c r="K800" s="126">
        <v>46279</v>
      </c>
      <c r="L800" s="126">
        <v>46280</v>
      </c>
      <c r="M800" s="127">
        <f>_xlfn.XLOOKUP(C800,'Product List'!B:B,'Product List'!R:R)</f>
        <v>0.73</v>
      </c>
      <c r="N800" s="124">
        <f t="shared" si="23"/>
        <v>175.2</v>
      </c>
      <c r="O800" s="124" cm="1">
        <f t="array" ref="O800">E800/_xlfn.XLOOKUP(1,('Case Pack'!$A$4:$A$962=C800)*('Case Pack'!$L$4:$L$962&gt;0)*('Case Pack'!$L$4:$L$962&lt;=A800),'Case Pack'!$D$4:$D$962,"未找到箱规")</f>
        <v>4</v>
      </c>
      <c r="P800" s="124" t="str">
        <f>IF(COUNTIF('PO Check'!A:A,D800)&gt;0,"Yes","No")</f>
        <v>Yes</v>
      </c>
      <c r="Q800" s="124" t="str" cm="1">
        <f t="array" ref="Q800">_xlfn.XLOOKUP(1,('Case Pack'!$A$4:$A$962=C800)*('Case Pack'!$L$4:$L$962&gt;0)*('Case Pack'!$L$4:$L$962&lt;=A800),'Case Pack'!$G$4:$G$962,"未找到箱型")</f>
        <v>C</v>
      </c>
      <c r="R800" s="124">
        <f>ROUND(IFERROR(VLOOKUP(Q800,'Case Type'!A:H,8,0),0)*O800,2)</f>
        <v>0.63</v>
      </c>
    </row>
    <row r="801" customFormat="1" spans="1:18">
      <c r="A801" s="113">
        <v>46258</v>
      </c>
      <c r="B801" s="91" t="str">
        <f>_xlfn.XLOOKUP(C801,'Product List'!B:B,'Product List'!I:I)</f>
        <v>MINI/MOE SILENT CRSTL RUN WHEEL LG 8.5-Green</v>
      </c>
      <c r="C801" s="135" t="s">
        <v>28</v>
      </c>
      <c r="D801" s="234" t="s">
        <v>365</v>
      </c>
      <c r="E801" s="125">
        <v>48</v>
      </c>
      <c r="F801" s="125">
        <v>12.63</v>
      </c>
      <c r="G801" s="125">
        <f t="shared" si="22"/>
        <v>606.24</v>
      </c>
      <c r="H801" s="135" t="s">
        <v>306</v>
      </c>
      <c r="I801" s="86" t="s">
        <v>92</v>
      </c>
      <c r="J801" s="135" t="s">
        <v>307</v>
      </c>
      <c r="K801" s="126">
        <v>46279</v>
      </c>
      <c r="L801" s="126">
        <v>46280</v>
      </c>
      <c r="M801" s="127">
        <f>_xlfn.XLOOKUP(C801,'Product List'!B:B,'Product List'!R:R)</f>
        <v>6.27</v>
      </c>
      <c r="N801" s="124">
        <f t="shared" si="23"/>
        <v>300.96</v>
      </c>
      <c r="O801" s="124" cm="1">
        <f t="array" ref="O801">E801/_xlfn.XLOOKUP(1,('Case Pack'!$A$4:$A$962=C801)*('Case Pack'!$L$4:$L$962&gt;0)*('Case Pack'!$L$4:$L$962&lt;=A801),'Case Pack'!$D$4:$D$962,"未找到箱规")</f>
        <v>6</v>
      </c>
      <c r="P801" s="124" t="str">
        <f>IF(COUNTIF('PO Check'!A:A,D801)&gt;0,"Yes","No")</f>
        <v>Yes</v>
      </c>
      <c r="Q801" s="124" t="str" cm="1">
        <f t="array" ref="Q801">_xlfn.XLOOKUP(1,('Case Pack'!$A$4:$A$962=C801)*('Case Pack'!$L$4:$L$962&gt;0)*('Case Pack'!$L$4:$L$962&lt;=A801),'Case Pack'!$G$4:$G$962,"未找到箱型")</f>
        <v>C</v>
      </c>
      <c r="R801" s="124">
        <f>ROUND(IFERROR(VLOOKUP(Q801,'Case Type'!A:H,8,0),0)*O801,2)</f>
        <v>0.94</v>
      </c>
    </row>
    <row r="802" customFormat="1" spans="1:18">
      <c r="A802" s="113">
        <v>46258</v>
      </c>
      <c r="B802" s="91" t="str">
        <f>_xlfn.XLOOKUP(C802,'Product List'!B:B,'Product List'!I:I)</f>
        <v>MINI/MOE SILENT CRSTL RUN WHEEL XL 11.5 1EA</v>
      </c>
      <c r="C802" s="135" t="s">
        <v>76</v>
      </c>
      <c r="D802" s="234" t="s">
        <v>365</v>
      </c>
      <c r="E802" s="125">
        <v>54</v>
      </c>
      <c r="F802" s="125">
        <v>19.75</v>
      </c>
      <c r="G802" s="125">
        <f t="shared" ref="G802:G865" si="24">E802*F802</f>
        <v>1066.5</v>
      </c>
      <c r="H802" s="135" t="s">
        <v>306</v>
      </c>
      <c r="I802" s="86" t="s">
        <v>92</v>
      </c>
      <c r="J802" s="135" t="s">
        <v>307</v>
      </c>
      <c r="K802" s="126">
        <v>46279</v>
      </c>
      <c r="L802" s="126">
        <v>46280</v>
      </c>
      <c r="M802" s="127">
        <f>_xlfn.XLOOKUP(C802,'Product List'!B:B,'Product List'!R:R)</f>
        <v>10.42</v>
      </c>
      <c r="N802" s="124">
        <f t="shared" ref="N802:N865" si="25">M802*E802</f>
        <v>562.68</v>
      </c>
      <c r="O802" s="124" cm="1">
        <f t="array" ref="O802">E802/_xlfn.XLOOKUP(1,('Case Pack'!$A$4:$A$962=C802)*('Case Pack'!$L$4:$L$962&gt;0)*('Case Pack'!$L$4:$L$962&lt;=A802),'Case Pack'!$D$4:$D$962,"未找到箱规")</f>
        <v>18</v>
      </c>
      <c r="P802" s="124" t="str">
        <f>IF(COUNTIF('PO Check'!A:A,D802)&gt;0,"Yes","No")</f>
        <v>Yes</v>
      </c>
      <c r="Q802" s="124" t="str" cm="1">
        <f t="array" ref="Q802">_xlfn.XLOOKUP(1,('Case Pack'!$A$4:$A$962=C802)*('Case Pack'!$L$4:$L$962&gt;0)*('Case Pack'!$L$4:$L$962&lt;=A802),'Case Pack'!$G$4:$G$962,"未找到箱型")</f>
        <v>C</v>
      </c>
      <c r="R802" s="124">
        <f>ROUND(IFERROR(VLOOKUP(Q802,'Case Type'!A:H,8,0),0)*O802,2)</f>
        <v>2.83</v>
      </c>
    </row>
    <row r="803" customFormat="1" spans="1:18">
      <c r="A803" s="113">
        <v>46258</v>
      </c>
      <c r="B803" s="91" t="str">
        <f>_xlfn.XLOOKUP(C803,'Product List'!B:B,'Product List'!I:I)</f>
        <v>MINI/MOE TV VIEWING CAGE</v>
      </c>
      <c r="C803" s="135" t="s">
        <v>50</v>
      </c>
      <c r="D803" s="234" t="s">
        <v>365</v>
      </c>
      <c r="E803" s="125">
        <v>26</v>
      </c>
      <c r="F803" s="125">
        <v>51.71</v>
      </c>
      <c r="G803" s="125">
        <f t="shared" si="24"/>
        <v>1344.46</v>
      </c>
      <c r="H803" s="135" t="s">
        <v>306</v>
      </c>
      <c r="I803" s="86" t="s">
        <v>92</v>
      </c>
      <c r="J803" s="135" t="s">
        <v>307</v>
      </c>
      <c r="K803" s="126">
        <v>46279</v>
      </c>
      <c r="L803" s="126">
        <v>46280</v>
      </c>
      <c r="M803" s="127">
        <f>_xlfn.XLOOKUP(C803,'Product List'!B:B,'Product List'!R:R)</f>
        <v>24.09</v>
      </c>
      <c r="N803" s="124">
        <f t="shared" si="25"/>
        <v>626.34</v>
      </c>
      <c r="O803" s="124" cm="1">
        <f t="array" ref="O803">E803/_xlfn.XLOOKUP(1,('Case Pack'!$A$4:$A$962=C803)*('Case Pack'!$L$4:$L$962&gt;0)*('Case Pack'!$L$4:$L$962&lt;=A803),'Case Pack'!$D$4:$D$962,"未找到箱规")</f>
        <v>26</v>
      </c>
      <c r="P803" s="124" t="str">
        <f>IF(COUNTIF('PO Check'!A:A,D803)&gt;0,"Yes","No")</f>
        <v>Yes</v>
      </c>
      <c r="Q803" s="124" t="str" cm="1">
        <f t="array" ref="Q803">_xlfn.XLOOKUP(1,('Case Pack'!$A$4:$A$962=C803)*('Case Pack'!$L$4:$L$962&gt;0)*('Case Pack'!$L$4:$L$962&lt;=A803),'Case Pack'!$G$4:$G$962,"未找到箱型")</f>
        <v>S1</v>
      </c>
      <c r="R803" s="124">
        <f>ROUND(IFERROR(VLOOKUP(Q803,'Case Type'!A:H,8,0),0)*O803,2)</f>
        <v>1.92</v>
      </c>
    </row>
    <row r="804" customFormat="1" spans="1:18">
      <c r="A804" s="113">
        <v>46258</v>
      </c>
      <c r="B804" s="91" t="str">
        <f>_xlfn.XLOOKUP(C804,'Product List'!B:B,'Product List'!I:I)</f>
        <v>MINI/MOE MUSHROOM CABIN</v>
      </c>
      <c r="C804" s="135" t="s">
        <v>39</v>
      </c>
      <c r="D804" s="234" t="s">
        <v>365</v>
      </c>
      <c r="E804" s="125">
        <v>128</v>
      </c>
      <c r="F804" s="125">
        <v>6.98</v>
      </c>
      <c r="G804" s="125">
        <f t="shared" si="24"/>
        <v>893.44</v>
      </c>
      <c r="H804" s="135" t="s">
        <v>306</v>
      </c>
      <c r="I804" s="86" t="s">
        <v>92</v>
      </c>
      <c r="J804" s="135" t="s">
        <v>307</v>
      </c>
      <c r="K804" s="126">
        <v>46279</v>
      </c>
      <c r="L804" s="126">
        <v>46280</v>
      </c>
      <c r="M804" s="127">
        <f>_xlfn.XLOOKUP(C804,'Product List'!B:B,'Product List'!R:R)</f>
        <v>3.2</v>
      </c>
      <c r="N804" s="124">
        <f t="shared" si="25"/>
        <v>409.6</v>
      </c>
      <c r="O804" s="124" cm="1">
        <f t="array" ref="O804">E804/_xlfn.XLOOKUP(1,('Case Pack'!$A$4:$A$962=C804)*('Case Pack'!$L$4:$L$962&gt;0)*('Case Pack'!$L$4:$L$962&lt;=A804),'Case Pack'!$D$4:$D$962,"未找到箱规")</f>
        <v>8</v>
      </c>
      <c r="P804" s="124" t="str">
        <f>IF(COUNTIF('PO Check'!A:A,D804)&gt;0,"Yes","No")</f>
        <v>Yes</v>
      </c>
      <c r="Q804" s="124" t="str" cm="1">
        <f t="array" ref="Q804">_xlfn.XLOOKUP(1,('Case Pack'!$A$4:$A$962=C804)*('Case Pack'!$L$4:$L$962&gt;0)*('Case Pack'!$L$4:$L$962&lt;=A804),'Case Pack'!$G$4:$G$962,"未找到箱型")</f>
        <v>C</v>
      </c>
      <c r="R804" s="124">
        <f>ROUND(IFERROR(VLOOKUP(Q804,'Case Type'!A:H,8,0),0)*O804,2)</f>
        <v>1.26</v>
      </c>
    </row>
    <row r="805" customFormat="1" spans="1:18">
      <c r="A805" s="113">
        <v>46258</v>
      </c>
      <c r="B805" s="91" t="str">
        <f>_xlfn.XLOOKUP(C805,'Product List'!B:B,'Product List'!I:I)</f>
        <v>MINI/MOE WOODLAND POTTY</v>
      </c>
      <c r="C805" s="135" t="s">
        <v>79</v>
      </c>
      <c r="D805" s="234" t="s">
        <v>365</v>
      </c>
      <c r="E805" s="125">
        <v>108</v>
      </c>
      <c r="F805" s="125">
        <v>2.61</v>
      </c>
      <c r="G805" s="125">
        <f t="shared" si="24"/>
        <v>281.88</v>
      </c>
      <c r="H805" s="135" t="s">
        <v>306</v>
      </c>
      <c r="I805" s="86" t="s">
        <v>92</v>
      </c>
      <c r="J805" s="135" t="s">
        <v>307</v>
      </c>
      <c r="K805" s="126">
        <v>46279</v>
      </c>
      <c r="L805" s="126">
        <v>46280</v>
      </c>
      <c r="M805" s="127">
        <f>_xlfn.XLOOKUP(C805,'Product List'!B:B,'Product List'!R:R)</f>
        <v>1.19</v>
      </c>
      <c r="N805" s="124">
        <f t="shared" si="25"/>
        <v>128.52</v>
      </c>
      <c r="O805" s="124" cm="1">
        <f t="array" ref="O805">E805/_xlfn.XLOOKUP(1,('Case Pack'!$A$4:$A$962=C805)*('Case Pack'!$L$4:$L$962&gt;0)*('Case Pack'!$L$4:$L$962&lt;=A805),'Case Pack'!$D$4:$D$962,"未找到箱规")</f>
        <v>3</v>
      </c>
      <c r="P805" s="124" t="str">
        <f>IF(COUNTIF('PO Check'!A:A,D805)&gt;0,"Yes","No")</f>
        <v>Yes</v>
      </c>
      <c r="Q805" s="124" t="str" cm="1">
        <f t="array" ref="Q805">_xlfn.XLOOKUP(1,('Case Pack'!$A$4:$A$962=C805)*('Case Pack'!$L$4:$L$962&gt;0)*('Case Pack'!$L$4:$L$962&lt;=A805),'Case Pack'!$G$4:$G$962,"未找到箱型")</f>
        <v>C</v>
      </c>
      <c r="R805" s="124">
        <f>ROUND(IFERROR(VLOOKUP(Q805,'Case Type'!A:H,8,0),0)*O805,2)</f>
        <v>0.47</v>
      </c>
    </row>
    <row r="806" customFormat="1" spans="1:18">
      <c r="A806" s="113">
        <v>46258</v>
      </c>
      <c r="B806" s="91" t="str">
        <f>_xlfn.XLOOKUP(C806,'Product List'!B:B,'Product List'!I:I)</f>
        <v>MINI/MOE SMALL ANIMAL BEDDING NESTING COTTON BALLS LAV 23LT</v>
      </c>
      <c r="C806" s="135" t="s">
        <v>86</v>
      </c>
      <c r="D806" s="234" t="s">
        <v>365</v>
      </c>
      <c r="E806" s="125">
        <v>320</v>
      </c>
      <c r="F806" s="125">
        <v>3.26</v>
      </c>
      <c r="G806" s="125">
        <f t="shared" si="24"/>
        <v>1043.2</v>
      </c>
      <c r="H806" s="135" t="s">
        <v>306</v>
      </c>
      <c r="I806" s="86" t="s">
        <v>92</v>
      </c>
      <c r="J806" s="135" t="s">
        <v>307</v>
      </c>
      <c r="K806" s="126">
        <v>46279</v>
      </c>
      <c r="L806" s="126">
        <v>46280</v>
      </c>
      <c r="M806" s="127">
        <f>_xlfn.XLOOKUP(C806,'Product List'!B:B,'Product List'!R:R)</f>
        <v>1.64</v>
      </c>
      <c r="N806" s="124">
        <f t="shared" si="25"/>
        <v>524.8</v>
      </c>
      <c r="O806" s="124" cm="1">
        <f t="array" ref="O806">E806/_xlfn.XLOOKUP(1,('Case Pack'!$A$4:$A$962=C806)*('Case Pack'!$L$4:$L$962&gt;0)*('Case Pack'!$L$4:$L$962&lt;=A806),'Case Pack'!$D$4:$D$962,"未找到箱规")</f>
        <v>10</v>
      </c>
      <c r="P806" s="124" t="str">
        <f>IF(COUNTIF('PO Check'!A:A,D806)&gt;0,"Yes","No")</f>
        <v>Yes</v>
      </c>
      <c r="Q806" s="124" t="str" cm="1">
        <f t="array" ref="Q806">_xlfn.XLOOKUP(1,('Case Pack'!$A$4:$A$962=C806)*('Case Pack'!$L$4:$L$962&gt;0)*('Case Pack'!$L$4:$L$962&lt;=A806),'Case Pack'!$G$4:$G$962,"未找到箱型")</f>
        <v>A</v>
      </c>
      <c r="R806" s="124">
        <f>ROUND(IFERROR(VLOOKUP(Q806,'Case Type'!A:H,8,0),0)*O806,2)</f>
        <v>1.1</v>
      </c>
    </row>
    <row r="807" customFormat="1" spans="1:18">
      <c r="A807" s="113">
        <v>46258</v>
      </c>
      <c r="B807" s="91" t="str">
        <f>_xlfn.XLOOKUP(C807,'Product List'!B:B,'Product List'!I:I)</f>
        <v>MINI/MOE SMALL ANIMAL BEDDING ROLLED PAPER FOREST MIX 1EA</v>
      </c>
      <c r="C807" s="135" t="s">
        <v>32</v>
      </c>
      <c r="D807" s="234" t="s">
        <v>365</v>
      </c>
      <c r="E807" s="125">
        <v>300</v>
      </c>
      <c r="F807" s="125">
        <v>4.75</v>
      </c>
      <c r="G807" s="125">
        <f t="shared" si="24"/>
        <v>1425</v>
      </c>
      <c r="H807" s="135" t="s">
        <v>306</v>
      </c>
      <c r="I807" s="86" t="s">
        <v>92</v>
      </c>
      <c r="J807" s="135" t="s">
        <v>307</v>
      </c>
      <c r="K807" s="126">
        <v>46279</v>
      </c>
      <c r="L807" s="126">
        <v>46280</v>
      </c>
      <c r="M807" s="127">
        <f>_xlfn.XLOOKUP(C807,'Product List'!B:B,'Product List'!R:R)</f>
        <v>2.47</v>
      </c>
      <c r="N807" s="124">
        <f t="shared" si="25"/>
        <v>741</v>
      </c>
      <c r="O807" s="124" cm="1">
        <f t="array" ref="O807">E807/_xlfn.XLOOKUP(1,('Case Pack'!$A$4:$A$962=C807)*('Case Pack'!$L$4:$L$962&gt;0)*('Case Pack'!$L$4:$L$962&lt;=A807),'Case Pack'!$D$4:$D$962,"未找到箱规")</f>
        <v>10</v>
      </c>
      <c r="P807" s="124" t="str">
        <f>IF(COUNTIF('PO Check'!A:A,D807)&gt;0,"Yes","No")</f>
        <v>Yes</v>
      </c>
      <c r="Q807" s="124" t="str" cm="1">
        <f t="array" ref="Q807">_xlfn.XLOOKUP(1,('Case Pack'!$A$4:$A$962=C807)*('Case Pack'!$L$4:$L$962&gt;0)*('Case Pack'!$L$4:$L$962&lt;=A807),'Case Pack'!$G$4:$G$962,"未找到箱型")</f>
        <v>A</v>
      </c>
      <c r="R807" s="124">
        <f>ROUND(IFERROR(VLOOKUP(Q807,'Case Type'!A:H,8,0),0)*O807,2)</f>
        <v>1.1</v>
      </c>
    </row>
    <row r="808" customFormat="1" spans="1:18">
      <c r="A808" s="113">
        <v>46258</v>
      </c>
      <c r="B808" s="91" t="str">
        <f>_xlfn.XLOOKUP(C808,'Product List'!B:B,'Product List'!I:I)</f>
        <v>MINI/MOE SMALL ANIMAL BEDDING PAPER PEBBLES OCEAN BLUE 23LT</v>
      </c>
      <c r="C808" s="135" t="s">
        <v>80</v>
      </c>
      <c r="D808" s="234" t="s">
        <v>365</v>
      </c>
      <c r="E808" s="125">
        <v>264</v>
      </c>
      <c r="F808" s="125">
        <v>5.71</v>
      </c>
      <c r="G808" s="125">
        <f t="shared" si="24"/>
        <v>1507.44</v>
      </c>
      <c r="H808" s="135" t="s">
        <v>306</v>
      </c>
      <c r="I808" s="86" t="s">
        <v>92</v>
      </c>
      <c r="J808" s="135" t="s">
        <v>307</v>
      </c>
      <c r="K808" s="126">
        <v>46279</v>
      </c>
      <c r="L808" s="126">
        <v>46280</v>
      </c>
      <c r="M808" s="127">
        <f>_xlfn.XLOOKUP(C808,'Product List'!B:B,'Product List'!R:R)</f>
        <v>2.84</v>
      </c>
      <c r="N808" s="124">
        <f t="shared" si="25"/>
        <v>749.76</v>
      </c>
      <c r="O808" s="124" cm="1">
        <f t="array" ref="O808">E808/_xlfn.XLOOKUP(1,('Case Pack'!$A$4:$A$962=C808)*('Case Pack'!$L$4:$L$962&gt;0)*('Case Pack'!$L$4:$L$962&lt;=A808),'Case Pack'!$D$4:$D$962,"未找到箱规")</f>
        <v>22</v>
      </c>
      <c r="P808" s="124" t="str">
        <f>IF(COUNTIF('PO Check'!A:A,D808)&gt;0,"Yes","No")</f>
        <v>Yes</v>
      </c>
      <c r="Q808" s="124" t="str" cm="1">
        <f t="array" ref="Q808">_xlfn.XLOOKUP(1,('Case Pack'!$A$4:$A$962=C808)*('Case Pack'!$L$4:$L$962&gt;0)*('Case Pack'!$L$4:$L$962&lt;=A808),'Case Pack'!$G$4:$G$962,"未找到箱型")</f>
        <v>B</v>
      </c>
      <c r="R808" s="124">
        <f>ROUND(IFERROR(VLOOKUP(Q808,'Case Type'!A:H,8,0),0)*O808,2)</f>
        <v>1.62</v>
      </c>
    </row>
    <row r="809" customFormat="1" spans="1:18">
      <c r="A809" s="113">
        <v>46258</v>
      </c>
      <c r="B809" s="91" t="str">
        <f>_xlfn.XLOOKUP(C809,'Product List'!B:B,'Product List'!I:I)</f>
        <v>MINI/MOE SMALL ANIMAL BEDDING PAPER FLAKE LAV FIELD 50LT</v>
      </c>
      <c r="C809" s="135" t="s">
        <v>87</v>
      </c>
      <c r="D809" s="234" t="s">
        <v>365</v>
      </c>
      <c r="E809" s="125">
        <v>280</v>
      </c>
      <c r="F809" s="125">
        <v>6.79</v>
      </c>
      <c r="G809" s="125">
        <f t="shared" si="24"/>
        <v>1901.2</v>
      </c>
      <c r="H809" s="135" t="s">
        <v>306</v>
      </c>
      <c r="I809" s="86" t="s">
        <v>92</v>
      </c>
      <c r="J809" s="135" t="s">
        <v>307</v>
      </c>
      <c r="K809" s="126">
        <v>46279</v>
      </c>
      <c r="L809" s="126">
        <v>46280</v>
      </c>
      <c r="M809" s="127">
        <f>_xlfn.XLOOKUP(C809,'Product List'!B:B,'Product List'!R:R)</f>
        <v>4.79</v>
      </c>
      <c r="N809" s="124">
        <f t="shared" si="25"/>
        <v>1341.2</v>
      </c>
      <c r="O809" s="124" cm="1">
        <f t="array" ref="O809">E809/_xlfn.XLOOKUP(1,('Case Pack'!$A$4:$A$962=C809)*('Case Pack'!$L$4:$L$962&gt;0)*('Case Pack'!$L$4:$L$962&lt;=A809),'Case Pack'!$D$4:$D$962,"未找到箱规")</f>
        <v>20</v>
      </c>
      <c r="P809" s="124" t="str">
        <f>IF(COUNTIF('PO Check'!A:A,D809)&gt;0,"Yes","No")</f>
        <v>Yes</v>
      </c>
      <c r="Q809" s="124" t="str" cm="1">
        <f t="array" ref="Q809">_xlfn.XLOOKUP(1,('Case Pack'!$A$4:$A$962=C809)*('Case Pack'!$L$4:$L$962&gt;0)*('Case Pack'!$L$4:$L$962&lt;=A809),'Case Pack'!$G$4:$G$962,"未找到箱型")</f>
        <v>C</v>
      </c>
      <c r="R809" s="124">
        <f>ROUND(IFERROR(VLOOKUP(Q809,'Case Type'!A:H,8,0),0)*O809,2)</f>
        <v>3.15</v>
      </c>
    </row>
    <row r="810" customFormat="1" spans="1:18">
      <c r="A810" s="113">
        <v>46258</v>
      </c>
      <c r="B810" s="91" t="str">
        <f>_xlfn.XLOOKUP(C810,'Product List'!B:B,'Product List'!I:I)</f>
        <v>MINI/MOE SMALL ANIMAL BEDDING PAPER TWISTS</v>
      </c>
      <c r="C810" s="135" t="s">
        <v>69</v>
      </c>
      <c r="D810" s="234" t="s">
        <v>365</v>
      </c>
      <c r="E810" s="125">
        <v>210</v>
      </c>
      <c r="F810" s="125">
        <v>3.8</v>
      </c>
      <c r="G810" s="125">
        <f t="shared" si="24"/>
        <v>798</v>
      </c>
      <c r="H810" s="135" t="s">
        <v>306</v>
      </c>
      <c r="I810" s="86" t="s">
        <v>92</v>
      </c>
      <c r="J810" s="135" t="s">
        <v>307</v>
      </c>
      <c r="K810" s="126">
        <v>46279</v>
      </c>
      <c r="L810" s="126">
        <v>46280</v>
      </c>
      <c r="M810" s="127">
        <f>_xlfn.XLOOKUP(C810,'Product List'!B:B,'Product List'!R:R)</f>
        <v>1.98</v>
      </c>
      <c r="N810" s="124">
        <f t="shared" si="25"/>
        <v>415.8</v>
      </c>
      <c r="O810" s="124" cm="1">
        <f t="array" ref="O810">E810/_xlfn.XLOOKUP(1,('Case Pack'!$A$4:$A$962=C810)*('Case Pack'!$L$4:$L$962&gt;0)*('Case Pack'!$L$4:$L$962&lt;=A810),'Case Pack'!$D$4:$D$962,"未找到箱规")</f>
        <v>7</v>
      </c>
      <c r="P810" s="124" t="str">
        <f>IF(COUNTIF('PO Check'!A:A,D810)&gt;0,"Yes","No")</f>
        <v>Yes</v>
      </c>
      <c r="Q810" s="124" t="str" cm="1">
        <f t="array" ref="Q810">_xlfn.XLOOKUP(1,('Case Pack'!$A$4:$A$962=C810)*('Case Pack'!$L$4:$L$962&gt;0)*('Case Pack'!$L$4:$L$962&lt;=A810),'Case Pack'!$G$4:$G$962,"未找到箱型")</f>
        <v>A</v>
      </c>
      <c r="R810" s="124">
        <f>ROUND(IFERROR(VLOOKUP(Q810,'Case Type'!A:H,8,0),0)*O810,2)</f>
        <v>0.77</v>
      </c>
    </row>
    <row r="811" customFormat="1" spans="1:18">
      <c r="A811" s="113">
        <v>46266</v>
      </c>
      <c r="B811" s="91" t="str">
        <f>_xlfn.XLOOKUP(C811,'Product List'!B:B,'Product List'!I:I)</f>
        <v>MMO-CLOUD WATER BOTTLE</v>
      </c>
      <c r="C811" s="135" t="s">
        <v>77</v>
      </c>
      <c r="D811" s="234">
        <v>32011885</v>
      </c>
      <c r="E811" s="125">
        <v>250</v>
      </c>
      <c r="F811" s="125">
        <v>1.32</v>
      </c>
      <c r="G811" s="125">
        <f t="shared" si="24"/>
        <v>330</v>
      </c>
      <c r="H811" s="135" t="s">
        <v>298</v>
      </c>
      <c r="I811" s="86" t="s">
        <v>92</v>
      </c>
      <c r="J811" s="135" t="s">
        <v>319</v>
      </c>
      <c r="K811" s="126">
        <v>46301</v>
      </c>
      <c r="L811" s="126">
        <v>46300</v>
      </c>
      <c r="M811" s="127">
        <f>_xlfn.XLOOKUP(C811,'Product List'!B:B,'Product List'!R:R)</f>
        <v>0.62</v>
      </c>
      <c r="N811" s="124">
        <f t="shared" si="25"/>
        <v>155</v>
      </c>
      <c r="O811" s="124" cm="1">
        <f t="array" ref="O811">E811/_xlfn.XLOOKUP(1,('Case Pack'!$A$4:$A$962=C811)*('Case Pack'!$L$4:$L$962&gt;0)*('Case Pack'!$L$4:$L$962&lt;=A811),'Case Pack'!$D$4:$D$962,"未找到箱规")</f>
        <v>5</v>
      </c>
      <c r="P811" s="124" t="str">
        <f>IF(COUNTIF('PO Check'!A:A,D811)&gt;0,"Yes","No")</f>
        <v>Yes</v>
      </c>
      <c r="Q811" s="124" t="str" cm="1">
        <f t="array" ref="Q811">_xlfn.XLOOKUP(1,('Case Pack'!$A$4:$A$962=C811)*('Case Pack'!$L$4:$L$962&gt;0)*('Case Pack'!$L$4:$L$962&lt;=A811),'Case Pack'!$G$4:$G$962,"未找到箱型")</f>
        <v>A</v>
      </c>
      <c r="R811" s="124">
        <f>ROUND(IFERROR(VLOOKUP(Q811,'Case Type'!A:H,8,0),0)*O811,2)</f>
        <v>0.55</v>
      </c>
    </row>
    <row r="812" customFormat="1" spans="1:18">
      <c r="A812" s="113">
        <v>46266</v>
      </c>
      <c r="B812" s="91" t="str">
        <f>_xlfn.XLOOKUP(C812,'Product List'!B:B,'Product List'!I:I)</f>
        <v>MINI/MOE TV VIEWING CAGE</v>
      </c>
      <c r="C812" s="135" t="s">
        <v>50</v>
      </c>
      <c r="D812" s="234">
        <v>32011885</v>
      </c>
      <c r="E812" s="125">
        <v>50</v>
      </c>
      <c r="F812" s="125">
        <v>48.49</v>
      </c>
      <c r="G812" s="125">
        <f t="shared" si="24"/>
        <v>2424.5</v>
      </c>
      <c r="H812" s="135" t="s">
        <v>298</v>
      </c>
      <c r="I812" s="86" t="s">
        <v>92</v>
      </c>
      <c r="J812" s="135" t="s">
        <v>319</v>
      </c>
      <c r="K812" s="126">
        <v>46301</v>
      </c>
      <c r="L812" s="126">
        <v>46300</v>
      </c>
      <c r="M812" s="127">
        <f>_xlfn.XLOOKUP(C812,'Product List'!B:B,'Product List'!R:R)</f>
        <v>24.09</v>
      </c>
      <c r="N812" s="124">
        <f t="shared" si="25"/>
        <v>1204.5</v>
      </c>
      <c r="O812" s="124" cm="1">
        <f t="array" ref="O812">E812/_xlfn.XLOOKUP(1,('Case Pack'!$A$4:$A$962=C812)*('Case Pack'!$L$4:$L$962&gt;0)*('Case Pack'!$L$4:$L$962&lt;=A812),'Case Pack'!$D$4:$D$962,"未找到箱规")</f>
        <v>50</v>
      </c>
      <c r="P812" s="124" t="str">
        <f>IF(COUNTIF('PO Check'!A:A,D812)&gt;0,"Yes","No")</f>
        <v>Yes</v>
      </c>
      <c r="Q812" s="124" t="str" cm="1">
        <f t="array" ref="Q812">_xlfn.XLOOKUP(1,('Case Pack'!$A$4:$A$962=C812)*('Case Pack'!$L$4:$L$962&gt;0)*('Case Pack'!$L$4:$L$962&lt;=A812),'Case Pack'!$G$4:$G$962,"未找到箱型")</f>
        <v>S1</v>
      </c>
      <c r="R812" s="124">
        <f>ROUND(IFERROR(VLOOKUP(Q812,'Case Type'!A:H,8,0),0)*O812,2)</f>
        <v>3.7</v>
      </c>
    </row>
    <row r="813" customFormat="1" spans="1:18">
      <c r="A813" s="113">
        <v>46266</v>
      </c>
      <c r="B813" s="91" t="str">
        <f>_xlfn.XLOOKUP(C813,'Product List'!B:B,'Product List'!I:I)</f>
        <v>MMO-BUBBLE WATER BOTTLE</v>
      </c>
      <c r="C813" s="135" t="s">
        <v>67</v>
      </c>
      <c r="D813" s="234">
        <v>32011885</v>
      </c>
      <c r="E813" s="125">
        <v>252</v>
      </c>
      <c r="F813" s="125">
        <v>4.35</v>
      </c>
      <c r="G813" s="125">
        <f t="shared" si="24"/>
        <v>1096.2</v>
      </c>
      <c r="H813" s="135" t="s">
        <v>298</v>
      </c>
      <c r="I813" s="86" t="s">
        <v>92</v>
      </c>
      <c r="J813" s="135" t="s">
        <v>319</v>
      </c>
      <c r="K813" s="126">
        <v>46301</v>
      </c>
      <c r="L813" s="126">
        <v>46300</v>
      </c>
      <c r="M813" s="127">
        <f>_xlfn.XLOOKUP(C813,'Product List'!B:B,'Product List'!R:R)</f>
        <v>3.1</v>
      </c>
      <c r="N813" s="124">
        <f t="shared" si="25"/>
        <v>781.2</v>
      </c>
      <c r="O813" s="124" cm="1">
        <f t="array" ref="O813">E813/_xlfn.XLOOKUP(1,('Case Pack'!$A$4:$A$962=C813)*('Case Pack'!$L$4:$L$962&gt;0)*('Case Pack'!$L$4:$L$962&lt;=A813),'Case Pack'!$D$4:$D$962,"未找到箱规")</f>
        <v>6</v>
      </c>
      <c r="P813" s="124" t="str">
        <f>IF(COUNTIF('PO Check'!A:A,D813)&gt;0,"Yes","No")</f>
        <v>Yes</v>
      </c>
      <c r="Q813" s="124" t="str" cm="1">
        <f t="array" ref="Q813">_xlfn.XLOOKUP(1,('Case Pack'!$A$4:$A$962=C813)*('Case Pack'!$L$4:$L$962&gt;0)*('Case Pack'!$L$4:$L$962&lt;=A813),'Case Pack'!$G$4:$G$962,"未找到箱型")</f>
        <v>C</v>
      </c>
      <c r="R813" s="124">
        <f>ROUND(IFERROR(VLOOKUP(Q813,'Case Type'!A:H,8,0),0)*O813,2)</f>
        <v>0.94</v>
      </c>
    </row>
    <row r="814" customFormat="1" spans="1:18">
      <c r="A814" s="113">
        <v>46269</v>
      </c>
      <c r="B814" s="91" t="str">
        <f>_xlfn.XLOOKUP(C814,'Product List'!B:B,'Product List'!I:I)</f>
        <v>MINI/MOE SILENT CRSTL RUN WHEEL LG 8.5-White</v>
      </c>
      <c r="C814" s="135" t="s">
        <v>29</v>
      </c>
      <c r="D814" s="234">
        <v>32044352</v>
      </c>
      <c r="E814" s="125">
        <v>88</v>
      </c>
      <c r="F814" s="125">
        <v>13.22</v>
      </c>
      <c r="G814" s="125">
        <f t="shared" si="24"/>
        <v>1163.36</v>
      </c>
      <c r="H814" s="135" t="s">
        <v>298</v>
      </c>
      <c r="I814" s="86" t="s">
        <v>92</v>
      </c>
      <c r="J814" s="135" t="s">
        <v>322</v>
      </c>
      <c r="K814" s="126">
        <v>46307</v>
      </c>
      <c r="L814" s="126">
        <v>46296</v>
      </c>
      <c r="M814" s="127">
        <f>_xlfn.XLOOKUP(C814,'Product List'!B:B,'Product List'!R:R)</f>
        <v>6.27</v>
      </c>
      <c r="N814" s="124">
        <f t="shared" si="25"/>
        <v>551.76</v>
      </c>
      <c r="O814" s="124" cm="1">
        <f t="array" ref="O814">E814/_xlfn.XLOOKUP(1,('Case Pack'!$A$4:$A$962=C814)*('Case Pack'!$L$4:$L$962&gt;0)*('Case Pack'!$L$4:$L$962&lt;=A814),'Case Pack'!$D$4:$D$962,"未找到箱规")</f>
        <v>11</v>
      </c>
      <c r="P814" s="124" t="str">
        <f>IF(COUNTIF('PO Check'!A:A,D814)&gt;0,"Yes","No")</f>
        <v>Yes</v>
      </c>
      <c r="Q814" s="124" t="str" cm="1">
        <f t="array" ref="Q814">_xlfn.XLOOKUP(1,('Case Pack'!$A$4:$A$962=C814)*('Case Pack'!$L$4:$L$962&gt;0)*('Case Pack'!$L$4:$L$962&lt;=A814),'Case Pack'!$G$4:$G$962,"未找到箱型")</f>
        <v>C</v>
      </c>
      <c r="R814" s="124">
        <f>ROUND(IFERROR(VLOOKUP(Q814,'Case Type'!A:H,8,0),0)*O814,2)</f>
        <v>1.73</v>
      </c>
    </row>
    <row r="815" customFormat="1" spans="1:18">
      <c r="A815" s="113">
        <v>46269</v>
      </c>
      <c r="B815" s="91" t="str">
        <f>_xlfn.XLOOKUP(C815,'Product List'!B:B,'Product List'!I:I)</f>
        <v>MMO-GREEN APPLE CHEW</v>
      </c>
      <c r="C815" s="135" t="s">
        <v>33</v>
      </c>
      <c r="D815" s="234">
        <v>32044352</v>
      </c>
      <c r="E815" s="125">
        <v>144</v>
      </c>
      <c r="F815" s="125">
        <v>1.53</v>
      </c>
      <c r="G815" s="125">
        <f t="shared" si="24"/>
        <v>220.32</v>
      </c>
      <c r="H815" s="135" t="s">
        <v>298</v>
      </c>
      <c r="I815" s="86" t="s">
        <v>92</v>
      </c>
      <c r="J815" s="135" t="s">
        <v>322</v>
      </c>
      <c r="K815" s="126">
        <v>46307</v>
      </c>
      <c r="L815" s="126">
        <v>46296</v>
      </c>
      <c r="M815" s="127">
        <f>_xlfn.XLOOKUP(C815,'Product List'!B:B,'Product List'!R:R)</f>
        <v>1.04</v>
      </c>
      <c r="N815" s="124">
        <f t="shared" si="25"/>
        <v>149.76</v>
      </c>
      <c r="O815" s="124" cm="1">
        <f t="array" ref="O815">E815/_xlfn.XLOOKUP(1,('Case Pack'!$A$4:$A$962=C815)*('Case Pack'!$L$4:$L$962&gt;0)*('Case Pack'!$L$4:$L$962&lt;=A815),'Case Pack'!$D$4:$D$962,"未找到箱规")</f>
        <v>3</v>
      </c>
      <c r="P815" s="124" t="str">
        <f>IF(COUNTIF('PO Check'!A:A,D815)&gt;0,"Yes","No")</f>
        <v>Yes</v>
      </c>
      <c r="Q815" s="124" t="str" cm="1">
        <f t="array" ref="Q815">_xlfn.XLOOKUP(1,('Case Pack'!$A$4:$A$962=C815)*('Case Pack'!$L$4:$L$962&gt;0)*('Case Pack'!$L$4:$L$962&lt;=A815),'Case Pack'!$G$4:$G$962,"未找到箱型")</f>
        <v>B</v>
      </c>
      <c r="R815" s="124">
        <f>ROUND(IFERROR(VLOOKUP(Q815,'Case Type'!A:H,8,0),0)*O815,2)</f>
        <v>0.22</v>
      </c>
    </row>
    <row r="816" customFormat="1" spans="1:18">
      <c r="A816" s="113">
        <v>46269</v>
      </c>
      <c r="B816" s="91" t="str">
        <f>_xlfn.XLOOKUP(C816,'Product List'!B:B,'Product List'!I:I)</f>
        <v>MMO-CAMP LUNCH BOX CHEW</v>
      </c>
      <c r="C816" s="135" t="s">
        <v>34</v>
      </c>
      <c r="D816" s="234">
        <v>32044352</v>
      </c>
      <c r="E816" s="125">
        <v>216</v>
      </c>
      <c r="F816" s="125">
        <v>2.48</v>
      </c>
      <c r="G816" s="125">
        <f t="shared" si="24"/>
        <v>535.68</v>
      </c>
      <c r="H816" s="135" t="s">
        <v>298</v>
      </c>
      <c r="I816" s="86" t="s">
        <v>92</v>
      </c>
      <c r="J816" s="135" t="s">
        <v>322</v>
      </c>
      <c r="K816" s="126">
        <v>46307</v>
      </c>
      <c r="L816" s="126">
        <v>46296</v>
      </c>
      <c r="M816" s="127">
        <f>_xlfn.XLOOKUP(C816,'Product List'!B:B,'Product List'!R:R)</f>
        <v>1.59</v>
      </c>
      <c r="N816" s="124">
        <f t="shared" si="25"/>
        <v>343.44</v>
      </c>
      <c r="O816" s="124" cm="1">
        <f t="array" ref="O816">E816/_xlfn.XLOOKUP(1,('Case Pack'!$A$4:$A$962=C816)*('Case Pack'!$L$4:$L$962&gt;0)*('Case Pack'!$L$4:$L$962&lt;=A816),'Case Pack'!$D$4:$D$962,"未找到箱规")</f>
        <v>3</v>
      </c>
      <c r="P816" s="124" t="str">
        <f>IF(COUNTIF('PO Check'!A:A,D816)&gt;0,"Yes","No")</f>
        <v>Yes</v>
      </c>
      <c r="Q816" s="124" t="str" cm="1">
        <f t="array" ref="Q816">_xlfn.XLOOKUP(1,('Case Pack'!$A$4:$A$962=C816)*('Case Pack'!$L$4:$L$962&gt;0)*('Case Pack'!$L$4:$L$962&lt;=A816),'Case Pack'!$G$4:$G$962,"未找到箱型")</f>
        <v>B</v>
      </c>
      <c r="R816" s="124">
        <f>ROUND(IFERROR(VLOOKUP(Q816,'Case Type'!A:H,8,0),0)*O816,2)</f>
        <v>0.22</v>
      </c>
    </row>
    <row r="817" customFormat="1" spans="1:18">
      <c r="A817" s="113">
        <v>46269</v>
      </c>
      <c r="B817" s="91" t="str">
        <f>_xlfn.XLOOKUP(C817,'Product List'!B:B,'Product List'!I:I)</f>
        <v>MMO-BUBBLE WATER BOTTLE</v>
      </c>
      <c r="C817" s="135" t="s">
        <v>67</v>
      </c>
      <c r="D817" s="234">
        <v>32044352</v>
      </c>
      <c r="E817" s="125">
        <v>210</v>
      </c>
      <c r="F817" s="125">
        <v>4.35</v>
      </c>
      <c r="G817" s="125">
        <f t="shared" si="24"/>
        <v>913.5</v>
      </c>
      <c r="H817" s="135" t="s">
        <v>298</v>
      </c>
      <c r="I817" s="86" t="s">
        <v>92</v>
      </c>
      <c r="J817" s="135" t="s">
        <v>322</v>
      </c>
      <c r="K817" s="126">
        <v>46307</v>
      </c>
      <c r="L817" s="126">
        <v>46296</v>
      </c>
      <c r="M817" s="127">
        <f>_xlfn.XLOOKUP(C817,'Product List'!B:B,'Product List'!R:R)</f>
        <v>3.1</v>
      </c>
      <c r="N817" s="124">
        <f t="shared" si="25"/>
        <v>651</v>
      </c>
      <c r="O817" s="124" cm="1">
        <f t="array" ref="O817">E817/_xlfn.XLOOKUP(1,('Case Pack'!$A$4:$A$962=C817)*('Case Pack'!$L$4:$L$962&gt;0)*('Case Pack'!$L$4:$L$962&lt;=A817),'Case Pack'!$D$4:$D$962,"未找到箱规")</f>
        <v>5</v>
      </c>
      <c r="P817" s="124" t="str">
        <f>IF(COUNTIF('PO Check'!A:A,D817)&gt;0,"Yes","No")</f>
        <v>Yes</v>
      </c>
      <c r="Q817" s="124" t="str" cm="1">
        <f t="array" ref="Q817">_xlfn.XLOOKUP(1,('Case Pack'!$A$4:$A$962=C817)*('Case Pack'!$L$4:$L$962&gt;0)*('Case Pack'!$L$4:$L$962&lt;=A817),'Case Pack'!$G$4:$G$962,"未找到箱型")</f>
        <v>C</v>
      </c>
      <c r="R817" s="124">
        <f>ROUND(IFERROR(VLOOKUP(Q817,'Case Type'!A:H,8,0),0)*O817,2)</f>
        <v>0.79</v>
      </c>
    </row>
    <row r="818" customFormat="1" spans="1:18">
      <c r="A818" s="113">
        <v>46269</v>
      </c>
      <c r="B818" s="91" t="str">
        <f>_xlfn.XLOOKUP(C818,'Product List'!B:B,'Product List'!I:I)</f>
        <v>MMO-CLOUD WATER BOTTLE</v>
      </c>
      <c r="C818" s="135" t="s">
        <v>77</v>
      </c>
      <c r="D818" s="234">
        <v>32044352</v>
      </c>
      <c r="E818" s="125">
        <v>200</v>
      </c>
      <c r="F818" s="125">
        <v>1.32</v>
      </c>
      <c r="G818" s="125">
        <f t="shared" si="24"/>
        <v>264</v>
      </c>
      <c r="H818" s="135" t="s">
        <v>298</v>
      </c>
      <c r="I818" s="86" t="s">
        <v>92</v>
      </c>
      <c r="J818" s="135" t="s">
        <v>322</v>
      </c>
      <c r="K818" s="126">
        <v>46307</v>
      </c>
      <c r="L818" s="126">
        <v>46296</v>
      </c>
      <c r="M818" s="127">
        <f>_xlfn.XLOOKUP(C818,'Product List'!B:B,'Product List'!R:R)</f>
        <v>0.62</v>
      </c>
      <c r="N818" s="124">
        <f t="shared" si="25"/>
        <v>124</v>
      </c>
      <c r="O818" s="124" cm="1">
        <f t="array" ref="O818">E818/_xlfn.XLOOKUP(1,('Case Pack'!$A$4:$A$962=C818)*('Case Pack'!$L$4:$L$962&gt;0)*('Case Pack'!$L$4:$L$962&lt;=A818),'Case Pack'!$D$4:$D$962,"未找到箱规")</f>
        <v>4</v>
      </c>
      <c r="P818" s="124" t="str">
        <f>IF(COUNTIF('PO Check'!A:A,D818)&gt;0,"Yes","No")</f>
        <v>Yes</v>
      </c>
      <c r="Q818" s="124" t="str" cm="1">
        <f t="array" ref="Q818">_xlfn.XLOOKUP(1,('Case Pack'!$A$4:$A$962=C818)*('Case Pack'!$L$4:$L$962&gt;0)*('Case Pack'!$L$4:$L$962&lt;=A818),'Case Pack'!$G$4:$G$962,"未找到箱型")</f>
        <v>A</v>
      </c>
      <c r="R818" s="124">
        <f>ROUND(IFERROR(VLOOKUP(Q818,'Case Type'!A:H,8,0),0)*O818,2)</f>
        <v>0.44</v>
      </c>
    </row>
    <row r="819" customFormat="1" spans="1:18">
      <c r="A819" s="113">
        <v>46269</v>
      </c>
      <c r="B819" s="91" t="str">
        <f>_xlfn.XLOOKUP(C819,'Product List'!B:B,'Product List'!I:I)</f>
        <v>MINI/MOE SILENT CRSTL RUN WHEEL LG 8.5-White</v>
      </c>
      <c r="C819" s="135" t="s">
        <v>29</v>
      </c>
      <c r="D819" s="234">
        <v>32044353</v>
      </c>
      <c r="E819" s="125">
        <v>16</v>
      </c>
      <c r="F819" s="125">
        <v>13.22</v>
      </c>
      <c r="G819" s="125">
        <f t="shared" si="24"/>
        <v>211.52</v>
      </c>
      <c r="H819" s="135" t="s">
        <v>298</v>
      </c>
      <c r="I819" s="86" t="s">
        <v>92</v>
      </c>
      <c r="J819" s="135" t="s">
        <v>316</v>
      </c>
      <c r="K819" s="126">
        <v>46309</v>
      </c>
      <c r="L819" s="126">
        <v>46297</v>
      </c>
      <c r="M819" s="127">
        <f>_xlfn.XLOOKUP(C819,'Product List'!B:B,'Product List'!R:R)</f>
        <v>6.27</v>
      </c>
      <c r="N819" s="124">
        <f t="shared" si="25"/>
        <v>100.32</v>
      </c>
      <c r="O819" s="124" cm="1">
        <f t="array" ref="O819">E819/_xlfn.XLOOKUP(1,('Case Pack'!$A$4:$A$962=C819)*('Case Pack'!$L$4:$L$962&gt;0)*('Case Pack'!$L$4:$L$962&lt;=A819),'Case Pack'!$D$4:$D$962,"未找到箱规")</f>
        <v>2</v>
      </c>
      <c r="P819" s="124" t="str">
        <f>IF(COUNTIF('PO Check'!A:A,D819)&gt;0,"Yes","No")</f>
        <v>Yes</v>
      </c>
      <c r="Q819" s="124" t="str" cm="1">
        <f t="array" ref="Q819">_xlfn.XLOOKUP(1,('Case Pack'!$A$4:$A$962=C819)*('Case Pack'!$L$4:$L$962&gt;0)*('Case Pack'!$L$4:$L$962&lt;=A819),'Case Pack'!$G$4:$G$962,"未找到箱型")</f>
        <v>C</v>
      </c>
      <c r="R819" s="124">
        <f>ROUND(IFERROR(VLOOKUP(Q819,'Case Type'!A:H,8,0),0)*O819,2)</f>
        <v>0.31</v>
      </c>
    </row>
    <row r="820" customFormat="1" spans="1:18">
      <c r="A820" s="113">
        <v>46269</v>
      </c>
      <c r="B820" s="91" t="str">
        <f>_xlfn.XLOOKUP(C820,'Product List'!B:B,'Product List'!I:I)</f>
        <v>MINI/MOE TV VIEWING CAGE</v>
      </c>
      <c r="C820" s="135" t="s">
        <v>50</v>
      </c>
      <c r="D820" s="234">
        <v>32044353</v>
      </c>
      <c r="E820" s="125">
        <v>45</v>
      </c>
      <c r="F820" s="125">
        <v>48.49</v>
      </c>
      <c r="G820" s="125">
        <f t="shared" si="24"/>
        <v>2182.05</v>
      </c>
      <c r="H820" s="135" t="s">
        <v>298</v>
      </c>
      <c r="I820" s="86" t="s">
        <v>92</v>
      </c>
      <c r="J820" s="135" t="s">
        <v>316</v>
      </c>
      <c r="K820" s="126">
        <v>46309</v>
      </c>
      <c r="L820" s="126">
        <v>46297</v>
      </c>
      <c r="M820" s="127">
        <f>_xlfn.XLOOKUP(C820,'Product List'!B:B,'Product List'!R:R)</f>
        <v>24.09</v>
      </c>
      <c r="N820" s="124">
        <f t="shared" si="25"/>
        <v>1084.05</v>
      </c>
      <c r="O820" s="124" cm="1">
        <f t="array" ref="O820">E820/_xlfn.XLOOKUP(1,('Case Pack'!$A$4:$A$962=C820)*('Case Pack'!$L$4:$L$962&gt;0)*('Case Pack'!$L$4:$L$962&lt;=A820),'Case Pack'!$D$4:$D$962,"未找到箱规")</f>
        <v>45</v>
      </c>
      <c r="P820" s="124" t="str">
        <f>IF(COUNTIF('PO Check'!A:A,D820)&gt;0,"Yes","No")</f>
        <v>Yes</v>
      </c>
      <c r="Q820" s="124" t="str" cm="1">
        <f t="array" ref="Q820">_xlfn.XLOOKUP(1,('Case Pack'!$A$4:$A$962=C820)*('Case Pack'!$L$4:$L$962&gt;0)*('Case Pack'!$L$4:$L$962&lt;=A820),'Case Pack'!$G$4:$G$962,"未找到箱型")</f>
        <v>S1</v>
      </c>
      <c r="R820" s="124">
        <f>ROUND(IFERROR(VLOOKUP(Q820,'Case Type'!A:H,8,0),0)*O820,2)</f>
        <v>3.33</v>
      </c>
    </row>
    <row r="821" customFormat="1" spans="1:18">
      <c r="A821" s="113">
        <v>46269</v>
      </c>
      <c r="B821" s="91" t="str">
        <f>_xlfn.XLOOKUP(C821,'Product List'!B:B,'Product List'!I:I)</f>
        <v>MMO-BUBBLE WATER BOTTLE</v>
      </c>
      <c r="C821" s="135" t="s">
        <v>67</v>
      </c>
      <c r="D821" s="234">
        <v>32044353</v>
      </c>
      <c r="E821" s="125">
        <v>210</v>
      </c>
      <c r="F821" s="125">
        <v>4.35</v>
      </c>
      <c r="G821" s="125">
        <f t="shared" si="24"/>
        <v>913.5</v>
      </c>
      <c r="H821" s="135" t="s">
        <v>298</v>
      </c>
      <c r="I821" s="86" t="s">
        <v>92</v>
      </c>
      <c r="J821" s="135" t="s">
        <v>316</v>
      </c>
      <c r="K821" s="126">
        <v>46309</v>
      </c>
      <c r="L821" s="126">
        <v>46297</v>
      </c>
      <c r="M821" s="127">
        <f>_xlfn.XLOOKUP(C821,'Product List'!B:B,'Product List'!R:R)</f>
        <v>3.1</v>
      </c>
      <c r="N821" s="124">
        <f t="shared" si="25"/>
        <v>651</v>
      </c>
      <c r="O821" s="124" cm="1">
        <f t="array" ref="O821">E821/_xlfn.XLOOKUP(1,('Case Pack'!$A$4:$A$962=C821)*('Case Pack'!$L$4:$L$962&gt;0)*('Case Pack'!$L$4:$L$962&lt;=A821),'Case Pack'!$D$4:$D$962,"未找到箱规")</f>
        <v>5</v>
      </c>
      <c r="P821" s="124" t="str">
        <f>IF(COUNTIF('PO Check'!A:A,D821)&gt;0,"Yes","No")</f>
        <v>Yes</v>
      </c>
      <c r="Q821" s="124" t="str" cm="1">
        <f t="array" ref="Q821">_xlfn.XLOOKUP(1,('Case Pack'!$A$4:$A$962=C821)*('Case Pack'!$L$4:$L$962&gt;0)*('Case Pack'!$L$4:$L$962&lt;=A821),'Case Pack'!$G$4:$G$962,"未找到箱型")</f>
        <v>C</v>
      </c>
      <c r="R821" s="124">
        <f>ROUND(IFERROR(VLOOKUP(Q821,'Case Type'!A:H,8,0),0)*O821,2)</f>
        <v>0.79</v>
      </c>
    </row>
    <row r="822" customFormat="1" spans="1:18">
      <c r="A822" s="113">
        <v>46269</v>
      </c>
      <c r="B822" s="91" t="str">
        <f>_xlfn.XLOOKUP(C822,'Product List'!B:B,'Product List'!I:I)</f>
        <v>MMO-CLOUD WATER BOTTLE</v>
      </c>
      <c r="C822" s="135" t="s">
        <v>77</v>
      </c>
      <c r="D822" s="234">
        <v>32044353</v>
      </c>
      <c r="E822" s="125">
        <v>400</v>
      </c>
      <c r="F822" s="125">
        <v>1.32</v>
      </c>
      <c r="G822" s="125">
        <f t="shared" si="24"/>
        <v>528</v>
      </c>
      <c r="H822" s="135" t="s">
        <v>298</v>
      </c>
      <c r="I822" s="86" t="s">
        <v>92</v>
      </c>
      <c r="J822" s="135" t="s">
        <v>316</v>
      </c>
      <c r="K822" s="126">
        <v>46309</v>
      </c>
      <c r="L822" s="126">
        <v>46297</v>
      </c>
      <c r="M822" s="127">
        <f>_xlfn.XLOOKUP(C822,'Product List'!B:B,'Product List'!R:R)</f>
        <v>0.62</v>
      </c>
      <c r="N822" s="124">
        <f t="shared" si="25"/>
        <v>248</v>
      </c>
      <c r="O822" s="124" cm="1">
        <f t="array" ref="O822">E822/_xlfn.XLOOKUP(1,('Case Pack'!$A$4:$A$962=C822)*('Case Pack'!$L$4:$L$962&gt;0)*('Case Pack'!$L$4:$L$962&lt;=A822),'Case Pack'!$D$4:$D$962,"未找到箱规")</f>
        <v>8</v>
      </c>
      <c r="P822" s="124" t="str">
        <f>IF(COUNTIF('PO Check'!A:A,D822)&gt;0,"Yes","No")</f>
        <v>Yes</v>
      </c>
      <c r="Q822" s="124" t="str" cm="1">
        <f t="array" ref="Q822">_xlfn.XLOOKUP(1,('Case Pack'!$A$4:$A$962=C822)*('Case Pack'!$L$4:$L$962&gt;0)*('Case Pack'!$L$4:$L$962&lt;=A822),'Case Pack'!$G$4:$G$962,"未找到箱型")</f>
        <v>A</v>
      </c>
      <c r="R822" s="124">
        <f>ROUND(IFERROR(VLOOKUP(Q822,'Case Type'!A:H,8,0),0)*O822,2)</f>
        <v>0.88</v>
      </c>
    </row>
    <row r="823" customFormat="1" spans="1:18">
      <c r="A823" s="113">
        <v>46269</v>
      </c>
      <c r="B823" s="91" t="str">
        <f>_xlfn.XLOOKUP(C823,'Product List'!B:B,'Product List'!I:I)</f>
        <v>MINI/MOE SILENT CRSTL RUN WHEEL LG 8.5-White</v>
      </c>
      <c r="C823" s="135" t="s">
        <v>29</v>
      </c>
      <c r="D823" s="234">
        <v>32044354</v>
      </c>
      <c r="E823" s="125">
        <v>120</v>
      </c>
      <c r="F823" s="125">
        <v>13.22</v>
      </c>
      <c r="G823" s="125">
        <f t="shared" si="24"/>
        <v>1586.4</v>
      </c>
      <c r="H823" s="135" t="s">
        <v>298</v>
      </c>
      <c r="I823" s="86" t="s">
        <v>92</v>
      </c>
      <c r="J823" s="135" t="s">
        <v>327</v>
      </c>
      <c r="K823" s="126">
        <v>46309</v>
      </c>
      <c r="L823" s="126">
        <v>46296</v>
      </c>
      <c r="M823" s="127">
        <f>_xlfn.XLOOKUP(C823,'Product List'!B:B,'Product List'!R:R)</f>
        <v>6.27</v>
      </c>
      <c r="N823" s="124">
        <f t="shared" si="25"/>
        <v>752.4</v>
      </c>
      <c r="O823" s="124" cm="1">
        <f t="array" ref="O823">E823/_xlfn.XLOOKUP(1,('Case Pack'!$A$4:$A$962=C823)*('Case Pack'!$L$4:$L$962&gt;0)*('Case Pack'!$L$4:$L$962&lt;=A823),'Case Pack'!$D$4:$D$962,"未找到箱规")</f>
        <v>15</v>
      </c>
      <c r="P823" s="124" t="str">
        <f>IF(COUNTIF('PO Check'!A:A,D823)&gt;0,"Yes","No")</f>
        <v>Yes</v>
      </c>
      <c r="Q823" s="124" t="str" cm="1">
        <f t="array" ref="Q823">_xlfn.XLOOKUP(1,('Case Pack'!$A$4:$A$962=C823)*('Case Pack'!$L$4:$L$962&gt;0)*('Case Pack'!$L$4:$L$962&lt;=A823),'Case Pack'!$G$4:$G$962,"未找到箱型")</f>
        <v>C</v>
      </c>
      <c r="R823" s="124">
        <f>ROUND(IFERROR(VLOOKUP(Q823,'Case Type'!A:H,8,0),0)*O823,2)</f>
        <v>2.36</v>
      </c>
    </row>
    <row r="824" customFormat="1" spans="1:18">
      <c r="A824" s="113">
        <v>46269</v>
      </c>
      <c r="B824" s="91" t="str">
        <f>_xlfn.XLOOKUP(C824,'Product List'!B:B,'Product List'!I:I)</f>
        <v>MMO-GREEN APPLE CHEW</v>
      </c>
      <c r="C824" s="135" t="s">
        <v>33</v>
      </c>
      <c r="D824" s="234">
        <v>32044354</v>
      </c>
      <c r="E824" s="125">
        <v>144</v>
      </c>
      <c r="F824" s="125">
        <v>1.53</v>
      </c>
      <c r="G824" s="125">
        <f t="shared" si="24"/>
        <v>220.32</v>
      </c>
      <c r="H824" s="135" t="s">
        <v>298</v>
      </c>
      <c r="I824" s="86" t="s">
        <v>92</v>
      </c>
      <c r="J824" s="135" t="s">
        <v>327</v>
      </c>
      <c r="K824" s="126">
        <v>46309</v>
      </c>
      <c r="L824" s="126">
        <v>46296</v>
      </c>
      <c r="M824" s="127">
        <f>_xlfn.XLOOKUP(C824,'Product List'!B:B,'Product List'!R:R)</f>
        <v>1.04</v>
      </c>
      <c r="N824" s="124">
        <f t="shared" si="25"/>
        <v>149.76</v>
      </c>
      <c r="O824" s="124" cm="1">
        <f t="array" ref="O824">E824/_xlfn.XLOOKUP(1,('Case Pack'!$A$4:$A$962=C824)*('Case Pack'!$L$4:$L$962&gt;0)*('Case Pack'!$L$4:$L$962&lt;=A824),'Case Pack'!$D$4:$D$962,"未找到箱规")</f>
        <v>3</v>
      </c>
      <c r="P824" s="124" t="str">
        <f>IF(COUNTIF('PO Check'!A:A,D824)&gt;0,"Yes","No")</f>
        <v>Yes</v>
      </c>
      <c r="Q824" s="124" t="str" cm="1">
        <f t="array" ref="Q824">_xlfn.XLOOKUP(1,('Case Pack'!$A$4:$A$962=C824)*('Case Pack'!$L$4:$L$962&gt;0)*('Case Pack'!$L$4:$L$962&lt;=A824),'Case Pack'!$G$4:$G$962,"未找到箱型")</f>
        <v>B</v>
      </c>
      <c r="R824" s="124">
        <f>ROUND(IFERROR(VLOOKUP(Q824,'Case Type'!A:H,8,0),0)*O824,2)</f>
        <v>0.22</v>
      </c>
    </row>
    <row r="825" customFormat="1" spans="1:18">
      <c r="A825" s="113">
        <v>46269</v>
      </c>
      <c r="B825" s="91" t="str">
        <f>_xlfn.XLOOKUP(C825,'Product List'!B:B,'Product List'!I:I)</f>
        <v>MMO-CAMP LUNCH BOX CHEW</v>
      </c>
      <c r="C825" s="135" t="s">
        <v>34</v>
      </c>
      <c r="D825" s="234">
        <v>32044354</v>
      </c>
      <c r="E825" s="125">
        <v>360</v>
      </c>
      <c r="F825" s="125">
        <v>2.48</v>
      </c>
      <c r="G825" s="125">
        <f t="shared" si="24"/>
        <v>892.8</v>
      </c>
      <c r="H825" s="135" t="s">
        <v>298</v>
      </c>
      <c r="I825" s="86" t="s">
        <v>92</v>
      </c>
      <c r="J825" s="135" t="s">
        <v>327</v>
      </c>
      <c r="K825" s="126">
        <v>46309</v>
      </c>
      <c r="L825" s="126">
        <v>46296</v>
      </c>
      <c r="M825" s="127">
        <f>_xlfn.XLOOKUP(C825,'Product List'!B:B,'Product List'!R:R)</f>
        <v>1.59</v>
      </c>
      <c r="N825" s="124">
        <f t="shared" si="25"/>
        <v>572.4</v>
      </c>
      <c r="O825" s="124" cm="1">
        <f t="array" ref="O825">E825/_xlfn.XLOOKUP(1,('Case Pack'!$A$4:$A$962=C825)*('Case Pack'!$L$4:$L$962&gt;0)*('Case Pack'!$L$4:$L$962&lt;=A825),'Case Pack'!$D$4:$D$962,"未找到箱规")</f>
        <v>5</v>
      </c>
      <c r="P825" s="124" t="str">
        <f>IF(COUNTIF('PO Check'!A:A,D825)&gt;0,"Yes","No")</f>
        <v>Yes</v>
      </c>
      <c r="Q825" s="124" t="str" cm="1">
        <f t="array" ref="Q825">_xlfn.XLOOKUP(1,('Case Pack'!$A$4:$A$962=C825)*('Case Pack'!$L$4:$L$962&gt;0)*('Case Pack'!$L$4:$L$962&lt;=A825),'Case Pack'!$G$4:$G$962,"未找到箱型")</f>
        <v>B</v>
      </c>
      <c r="R825" s="124">
        <f>ROUND(IFERROR(VLOOKUP(Q825,'Case Type'!A:H,8,0),0)*O825,2)</f>
        <v>0.37</v>
      </c>
    </row>
    <row r="826" customFormat="1" spans="1:18">
      <c r="A826" s="113">
        <v>46269</v>
      </c>
      <c r="B826" s="91" t="str">
        <f>_xlfn.XLOOKUP(C826,'Product List'!B:B,'Product List'!I:I)</f>
        <v>MMO-BUBBLE WATER BOTTLE</v>
      </c>
      <c r="C826" s="135" t="s">
        <v>67</v>
      </c>
      <c r="D826" s="234">
        <v>32044354</v>
      </c>
      <c r="E826" s="125">
        <v>294</v>
      </c>
      <c r="F826" s="125">
        <v>4.35</v>
      </c>
      <c r="G826" s="125">
        <f t="shared" si="24"/>
        <v>1278.9</v>
      </c>
      <c r="H826" s="135" t="s">
        <v>298</v>
      </c>
      <c r="I826" s="86" t="s">
        <v>92</v>
      </c>
      <c r="J826" s="135" t="s">
        <v>327</v>
      </c>
      <c r="K826" s="126">
        <v>46309</v>
      </c>
      <c r="L826" s="126">
        <v>46296</v>
      </c>
      <c r="M826" s="127">
        <f>_xlfn.XLOOKUP(C826,'Product List'!B:B,'Product List'!R:R)</f>
        <v>3.1</v>
      </c>
      <c r="N826" s="124">
        <f t="shared" si="25"/>
        <v>911.4</v>
      </c>
      <c r="O826" s="124" cm="1">
        <f t="array" ref="O826">E826/_xlfn.XLOOKUP(1,('Case Pack'!$A$4:$A$962=C826)*('Case Pack'!$L$4:$L$962&gt;0)*('Case Pack'!$L$4:$L$962&lt;=A826),'Case Pack'!$D$4:$D$962,"未找到箱规")</f>
        <v>7</v>
      </c>
      <c r="P826" s="124" t="str">
        <f>IF(COUNTIF('PO Check'!A:A,D826)&gt;0,"Yes","No")</f>
        <v>Yes</v>
      </c>
      <c r="Q826" s="124" t="str" cm="1">
        <f t="array" ref="Q826">_xlfn.XLOOKUP(1,('Case Pack'!$A$4:$A$962=C826)*('Case Pack'!$L$4:$L$962&gt;0)*('Case Pack'!$L$4:$L$962&lt;=A826),'Case Pack'!$G$4:$G$962,"未找到箱型")</f>
        <v>C</v>
      </c>
      <c r="R826" s="124">
        <f>ROUND(IFERROR(VLOOKUP(Q826,'Case Type'!A:H,8,0),0)*O826,2)</f>
        <v>1.1</v>
      </c>
    </row>
    <row r="827" customFormat="1" spans="1:18">
      <c r="A827" s="113">
        <v>46269</v>
      </c>
      <c r="B827" s="91" t="str">
        <f>_xlfn.XLOOKUP(C827,'Product List'!B:B,'Product List'!I:I)</f>
        <v>MMO-CLOUD WATER BOTTLE</v>
      </c>
      <c r="C827" s="135" t="s">
        <v>77</v>
      </c>
      <c r="D827" s="234">
        <v>32044354</v>
      </c>
      <c r="E827" s="125">
        <v>250</v>
      </c>
      <c r="F827" s="125">
        <v>1.32</v>
      </c>
      <c r="G827" s="125">
        <f t="shared" si="24"/>
        <v>330</v>
      </c>
      <c r="H827" s="135" t="s">
        <v>298</v>
      </c>
      <c r="I827" s="86" t="s">
        <v>92</v>
      </c>
      <c r="J827" s="135" t="s">
        <v>327</v>
      </c>
      <c r="K827" s="126">
        <v>46309</v>
      </c>
      <c r="L827" s="126">
        <v>46296</v>
      </c>
      <c r="M827" s="127">
        <f>_xlfn.XLOOKUP(C827,'Product List'!B:B,'Product List'!R:R)</f>
        <v>0.62</v>
      </c>
      <c r="N827" s="124">
        <f t="shared" si="25"/>
        <v>155</v>
      </c>
      <c r="O827" s="124" cm="1">
        <f t="array" ref="O827">E827/_xlfn.XLOOKUP(1,('Case Pack'!$A$4:$A$962=C827)*('Case Pack'!$L$4:$L$962&gt;0)*('Case Pack'!$L$4:$L$962&lt;=A827),'Case Pack'!$D$4:$D$962,"未找到箱规")</f>
        <v>5</v>
      </c>
      <c r="P827" s="124" t="str">
        <f>IF(COUNTIF('PO Check'!A:A,D827)&gt;0,"Yes","No")</f>
        <v>Yes</v>
      </c>
      <c r="Q827" s="124" t="str" cm="1">
        <f t="array" ref="Q827">_xlfn.XLOOKUP(1,('Case Pack'!$A$4:$A$962=C827)*('Case Pack'!$L$4:$L$962&gt;0)*('Case Pack'!$L$4:$L$962&lt;=A827),'Case Pack'!$G$4:$G$962,"未找到箱型")</f>
        <v>A</v>
      </c>
      <c r="R827" s="124">
        <f>ROUND(IFERROR(VLOOKUP(Q827,'Case Type'!A:H,8,0),0)*O827,2)</f>
        <v>0.55</v>
      </c>
    </row>
    <row r="828" customFormat="1" spans="1:18">
      <c r="A828" s="113">
        <v>46273</v>
      </c>
      <c r="B828" s="91" t="str">
        <f>_xlfn.XLOOKUP(C828,'Product List'!B:B,'Product List'!I:I)</f>
        <v>MINI/MOE TV VIEWING CAGE</v>
      </c>
      <c r="C828" s="135" t="s">
        <v>50</v>
      </c>
      <c r="D828" s="234">
        <v>860738154</v>
      </c>
      <c r="E828" s="125">
        <v>134</v>
      </c>
      <c r="F828" s="125">
        <v>45.8701</v>
      </c>
      <c r="G828" s="125">
        <f t="shared" si="24"/>
        <v>6146.5934</v>
      </c>
      <c r="H828" s="135" t="s">
        <v>328</v>
      </c>
      <c r="I828" s="86" t="s">
        <v>92</v>
      </c>
      <c r="J828" s="135" t="s">
        <v>351</v>
      </c>
      <c r="K828" s="126">
        <v>46311</v>
      </c>
      <c r="L828" s="126">
        <v>46304</v>
      </c>
      <c r="M828" s="127">
        <f>_xlfn.XLOOKUP(C828,'Product List'!B:B,'Product List'!R:R)</f>
        <v>24.09</v>
      </c>
      <c r="N828" s="124">
        <f t="shared" si="25"/>
        <v>3228.06</v>
      </c>
      <c r="O828" s="124" cm="1">
        <f t="array" ref="O828">E828/_xlfn.XLOOKUP(1,('Case Pack'!$A$4:$A$962=C828)*('Case Pack'!$L$4:$L$962&gt;0)*('Case Pack'!$L$4:$L$962&lt;=A828),'Case Pack'!$D$4:$D$962,"未找到箱规")</f>
        <v>134</v>
      </c>
      <c r="P828" s="124" t="str">
        <f>IF(COUNTIF('PO Check'!A:A,D828)&gt;0,"Yes","No")</f>
        <v>Yes</v>
      </c>
      <c r="Q828" s="124" t="str" cm="1">
        <f t="array" ref="Q828">_xlfn.XLOOKUP(1,('Case Pack'!$A$4:$A$962=C828)*('Case Pack'!$L$4:$L$962&gt;0)*('Case Pack'!$L$4:$L$962&lt;=A828),'Case Pack'!$G$4:$G$962,"未找到箱型")</f>
        <v>S1</v>
      </c>
      <c r="R828" s="124">
        <f>ROUND(IFERROR(VLOOKUP(Q828,'Case Type'!A:H,8,0),0)*O828,2)</f>
        <v>9.92</v>
      </c>
    </row>
    <row r="829" customFormat="1" spans="1:18">
      <c r="A829" s="113">
        <v>46273</v>
      </c>
      <c r="B829" s="91" t="str">
        <f>_xlfn.XLOOKUP(C829,'Product List'!B:B,'Product List'!I:I)</f>
        <v>MINI &amp; MOE COTTAGE HIDE</v>
      </c>
      <c r="C829" s="135" t="s">
        <v>53</v>
      </c>
      <c r="D829" s="234">
        <v>860738154</v>
      </c>
      <c r="E829" s="125">
        <v>96</v>
      </c>
      <c r="F829" s="125">
        <v>6.2778</v>
      </c>
      <c r="G829" s="125">
        <f t="shared" si="24"/>
        <v>602.6688</v>
      </c>
      <c r="H829" s="135" t="s">
        <v>328</v>
      </c>
      <c r="I829" s="86" t="s">
        <v>92</v>
      </c>
      <c r="J829" s="135" t="s">
        <v>351</v>
      </c>
      <c r="K829" s="126">
        <v>46311</v>
      </c>
      <c r="L829" s="126">
        <v>46304</v>
      </c>
      <c r="M829" s="127">
        <f>_xlfn.XLOOKUP(C829,'Product List'!B:B,'Product List'!R:R)</f>
        <v>3.61</v>
      </c>
      <c r="N829" s="124">
        <f t="shared" si="25"/>
        <v>346.56</v>
      </c>
      <c r="O829" s="124" cm="1">
        <f t="array" ref="O829">E829/_xlfn.XLOOKUP(1,('Case Pack'!$A$4:$A$962=C829)*('Case Pack'!$L$4:$L$962&gt;0)*('Case Pack'!$L$4:$L$962&lt;=A829),'Case Pack'!$D$4:$D$962,"未找到箱规")</f>
        <v>4</v>
      </c>
      <c r="P829" s="124" t="str">
        <f>IF(COUNTIF('PO Check'!A:A,D829)&gt;0,"Yes","No")</f>
        <v>Yes</v>
      </c>
      <c r="Q829" s="124" t="str" cm="1">
        <f t="array" ref="Q829">_xlfn.XLOOKUP(1,('Case Pack'!$A$4:$A$962=C829)*('Case Pack'!$L$4:$L$962&gt;0)*('Case Pack'!$L$4:$L$962&lt;=A829),'Case Pack'!$G$4:$G$962,"未找到箱型")</f>
        <v>C</v>
      </c>
      <c r="R829" s="124">
        <f>ROUND(IFERROR(VLOOKUP(Q829,'Case Type'!A:H,8,0),0)*O829,2)</f>
        <v>0.63</v>
      </c>
    </row>
    <row r="830" customFormat="1" spans="1:18">
      <c r="A830" s="113">
        <v>46273</v>
      </c>
      <c r="B830" s="91" t="str">
        <f>_xlfn.XLOOKUP(C830,'Product List'!B:B,'Product List'!I:I)</f>
        <v>MINI &amp; MOE TREE DECOR CHEW</v>
      </c>
      <c r="C830" s="135" t="s">
        <v>47</v>
      </c>
      <c r="D830" s="234">
        <v>860738154</v>
      </c>
      <c r="E830" s="125">
        <v>1204</v>
      </c>
      <c r="F830" s="125">
        <v>3.5341</v>
      </c>
      <c r="G830" s="125">
        <f t="shared" si="24"/>
        <v>4255.0564</v>
      </c>
      <c r="H830" s="135" t="s">
        <v>328</v>
      </c>
      <c r="I830" s="86" t="s">
        <v>92</v>
      </c>
      <c r="J830" s="135" t="s">
        <v>351</v>
      </c>
      <c r="K830" s="126">
        <v>46311</v>
      </c>
      <c r="L830" s="126">
        <v>46304</v>
      </c>
      <c r="M830" s="127">
        <f>_xlfn.XLOOKUP(C830,'Product List'!B:B,'Product List'!R:R)</f>
        <v>3.1</v>
      </c>
      <c r="N830" s="124">
        <f t="shared" si="25"/>
        <v>3732.4</v>
      </c>
      <c r="O830" s="124" cm="1">
        <f t="array" ref="O830">E830/_xlfn.XLOOKUP(1,('Case Pack'!$A$4:$A$962=C830)*('Case Pack'!$L$4:$L$962&gt;0)*('Case Pack'!$L$4:$L$962&lt;=A830),'Case Pack'!$D$4:$D$962,"未找到箱规")</f>
        <v>43</v>
      </c>
      <c r="P830" s="124" t="str">
        <f>IF(COUNTIF('PO Check'!A:A,D830)&gt;0,"Yes","No")</f>
        <v>Yes</v>
      </c>
      <c r="Q830" s="124" t="str" cm="1">
        <f t="array" ref="Q830">_xlfn.XLOOKUP(1,('Case Pack'!$A$4:$A$962=C830)*('Case Pack'!$L$4:$L$962&gt;0)*('Case Pack'!$L$4:$L$962&lt;=A830),'Case Pack'!$G$4:$G$962,"未找到箱型")</f>
        <v>B</v>
      </c>
      <c r="R830" s="124">
        <f>ROUND(IFERROR(VLOOKUP(Q830,'Case Type'!A:H,8,0),0)*O830,2)</f>
        <v>3.16</v>
      </c>
    </row>
    <row r="831" customFormat="1" spans="1:18">
      <c r="A831" s="113">
        <v>46273</v>
      </c>
      <c r="B831" s="91" t="str">
        <f>_xlfn.XLOOKUP(C831,'Product List'!B:B,'Product List'!I:I)</f>
        <v>MINI &amp; MOE GARDEN DECOR CHEW</v>
      </c>
      <c r="C831" s="135" t="s">
        <v>45</v>
      </c>
      <c r="D831" s="234">
        <v>860738154</v>
      </c>
      <c r="E831" s="125">
        <v>855</v>
      </c>
      <c r="F831" s="125">
        <v>3.2343</v>
      </c>
      <c r="G831" s="125">
        <f t="shared" si="24"/>
        <v>2765.3265</v>
      </c>
      <c r="H831" s="135" t="s">
        <v>328</v>
      </c>
      <c r="I831" s="86" t="s">
        <v>92</v>
      </c>
      <c r="J831" s="135" t="s">
        <v>351</v>
      </c>
      <c r="K831" s="126">
        <v>46311</v>
      </c>
      <c r="L831" s="126">
        <v>46304</v>
      </c>
      <c r="M831" s="127">
        <f>_xlfn.XLOOKUP(C831,'Product List'!B:B,'Product List'!R:R)</f>
        <v>2.35</v>
      </c>
      <c r="N831" s="124">
        <f t="shared" si="25"/>
        <v>2009.25</v>
      </c>
      <c r="O831" s="124" cm="1">
        <f t="array" ref="O831">E831/_xlfn.XLOOKUP(1,('Case Pack'!$A$4:$A$962=C831)*('Case Pack'!$L$4:$L$962&gt;0)*('Case Pack'!$L$4:$L$962&lt;=A831),'Case Pack'!$D$4:$D$962,"未找到箱规")</f>
        <v>19</v>
      </c>
      <c r="P831" s="124" t="str">
        <f>IF(COUNTIF('PO Check'!A:A,D831)&gt;0,"Yes","No")</f>
        <v>Yes</v>
      </c>
      <c r="Q831" s="124" t="str" cm="1">
        <f t="array" ref="Q831">_xlfn.XLOOKUP(1,('Case Pack'!$A$4:$A$962=C831)*('Case Pack'!$L$4:$L$962&gt;0)*('Case Pack'!$L$4:$L$962&lt;=A831),'Case Pack'!$G$4:$G$962,"未找到箱型")</f>
        <v>B</v>
      </c>
      <c r="R831" s="124">
        <f>ROUND(IFERROR(VLOOKUP(Q831,'Case Type'!A:H,8,0),0)*O831,2)</f>
        <v>1.39</v>
      </c>
    </row>
    <row r="832" customFormat="1" spans="1:18">
      <c r="A832" s="113">
        <v>46273</v>
      </c>
      <c r="B832" s="91" t="str">
        <f>_xlfn.XLOOKUP(C832,'Product List'!B:B,'Product List'!I:I)</f>
        <v>MINI/MOE CAMPING TENT HIDE</v>
      </c>
      <c r="C832" s="135" t="s">
        <v>73</v>
      </c>
      <c r="D832" s="234">
        <v>860738154</v>
      </c>
      <c r="E832" s="125">
        <v>804</v>
      </c>
      <c r="F832" s="125">
        <v>3.3524</v>
      </c>
      <c r="G832" s="125">
        <f t="shared" si="24"/>
        <v>2695.3296</v>
      </c>
      <c r="H832" s="135" t="s">
        <v>328</v>
      </c>
      <c r="I832" s="86" t="s">
        <v>92</v>
      </c>
      <c r="J832" s="135" t="s">
        <v>351</v>
      </c>
      <c r="K832" s="126">
        <v>46311</v>
      </c>
      <c r="L832" s="126">
        <v>46304</v>
      </c>
      <c r="M832" s="127">
        <f>_xlfn.XLOOKUP(C832,'Product List'!B:B,'Product List'!R:R)</f>
        <v>1.96</v>
      </c>
      <c r="N832" s="124">
        <f t="shared" si="25"/>
        <v>1575.84</v>
      </c>
      <c r="O832" s="124" cm="1">
        <f t="array" ref="O832">E832/_xlfn.XLOOKUP(1,('Case Pack'!$A$4:$A$962=C832)*('Case Pack'!$L$4:$L$962&gt;0)*('Case Pack'!$L$4:$L$962&lt;=A832),'Case Pack'!$D$4:$D$962,"未找到箱规")</f>
        <v>67</v>
      </c>
      <c r="P832" s="124" t="str">
        <f>IF(COUNTIF('PO Check'!A:A,D832)&gt;0,"Yes","No")</f>
        <v>Yes</v>
      </c>
      <c r="Q832" s="124" t="str" cm="1">
        <f t="array" ref="Q832">_xlfn.XLOOKUP(1,('Case Pack'!$A$4:$A$962=C832)*('Case Pack'!$L$4:$L$962&gt;0)*('Case Pack'!$L$4:$L$962&lt;=A832),'Case Pack'!$G$4:$G$962,"未找到箱型")</f>
        <v>B</v>
      </c>
      <c r="R832" s="124">
        <f>ROUND(IFERROR(VLOOKUP(Q832,'Case Type'!A:H,8,0),0)*O832,2)</f>
        <v>4.92</v>
      </c>
    </row>
    <row r="833" customFormat="1" spans="1:18">
      <c r="A833" s="113">
        <v>46273</v>
      </c>
      <c r="B833" s="91" t="str">
        <f>_xlfn.XLOOKUP(C833,'Product List'!B:B,'Product List'!I:I)</f>
        <v>MINI &amp; MOE WOODEN BRIDGE</v>
      </c>
      <c r="C833" s="135" t="s">
        <v>44</v>
      </c>
      <c r="D833" s="234">
        <v>860738154</v>
      </c>
      <c r="E833" s="125">
        <v>96</v>
      </c>
      <c r="F833" s="125">
        <v>3.0071</v>
      </c>
      <c r="G833" s="125">
        <f t="shared" si="24"/>
        <v>288.6816</v>
      </c>
      <c r="H833" s="135" t="s">
        <v>328</v>
      </c>
      <c r="I833" s="86" t="s">
        <v>92</v>
      </c>
      <c r="J833" s="135" t="s">
        <v>351</v>
      </c>
      <c r="K833" s="126">
        <v>46311</v>
      </c>
      <c r="L833" s="126">
        <v>46304</v>
      </c>
      <c r="M833" s="127">
        <f>_xlfn.XLOOKUP(C833,'Product List'!B:B,'Product List'!R:R)</f>
        <v>1.83</v>
      </c>
      <c r="N833" s="124">
        <f t="shared" si="25"/>
        <v>175.68</v>
      </c>
      <c r="O833" s="124" cm="1">
        <f t="array" ref="O833">E833/_xlfn.XLOOKUP(1,('Case Pack'!$A$4:$A$962=C833)*('Case Pack'!$L$4:$L$962&gt;0)*('Case Pack'!$L$4:$L$962&lt;=A833),'Case Pack'!$D$4:$D$962,"未找到箱规")</f>
        <v>2</v>
      </c>
      <c r="P833" s="124" t="str">
        <f>IF(COUNTIF('PO Check'!A:A,D833)&gt;0,"Yes","No")</f>
        <v>Yes</v>
      </c>
      <c r="Q833" s="124" t="str" cm="1">
        <f t="array" ref="Q833">_xlfn.XLOOKUP(1,('Case Pack'!$A$4:$A$962=C833)*('Case Pack'!$L$4:$L$962&gt;0)*('Case Pack'!$L$4:$L$962&lt;=A833),'Case Pack'!$G$4:$G$962,"未找到箱型")</f>
        <v>A</v>
      </c>
      <c r="R833" s="124">
        <f>ROUND(IFERROR(VLOOKUP(Q833,'Case Type'!A:H,8,0),0)*O833,2)</f>
        <v>0.22</v>
      </c>
    </row>
    <row r="834" customFormat="1" spans="1:18">
      <c r="A834" s="113">
        <v>46273</v>
      </c>
      <c r="B834" s="91" t="str">
        <f>_xlfn.XLOOKUP(C834,'Product List'!B:B,'Product List'!I:I)</f>
        <v>MINI &amp; MOE MAG CONECT WTR BTL 4 OZ</v>
      </c>
      <c r="C834" s="135" t="s">
        <v>37</v>
      </c>
      <c r="D834" s="234">
        <v>860738154</v>
      </c>
      <c r="E834" s="125">
        <v>594</v>
      </c>
      <c r="F834" s="125">
        <v>2.6619</v>
      </c>
      <c r="G834" s="125">
        <f t="shared" si="24"/>
        <v>1581.1686</v>
      </c>
      <c r="H834" s="135" t="s">
        <v>328</v>
      </c>
      <c r="I834" s="86" t="s">
        <v>92</v>
      </c>
      <c r="J834" s="135" t="s">
        <v>351</v>
      </c>
      <c r="K834" s="126">
        <v>46311</v>
      </c>
      <c r="L834" s="126">
        <v>46304</v>
      </c>
      <c r="M834" s="127">
        <f>_xlfn.XLOOKUP(C834,'Product List'!B:B,'Product List'!R:R)</f>
        <v>1.89</v>
      </c>
      <c r="N834" s="124">
        <f t="shared" si="25"/>
        <v>1122.66</v>
      </c>
      <c r="O834" s="124" cm="1">
        <f t="array" ref="O834">E834/_xlfn.XLOOKUP(1,('Case Pack'!$A$4:$A$962=C834)*('Case Pack'!$L$4:$L$962&gt;0)*('Case Pack'!$L$4:$L$962&lt;=A834),'Case Pack'!$D$4:$D$962,"未找到箱规")</f>
        <v>11</v>
      </c>
      <c r="P834" s="124" t="str">
        <f>IF(COUNTIF('PO Check'!A:A,D834)&gt;0,"Yes","No")</f>
        <v>Yes</v>
      </c>
      <c r="Q834" s="124" t="str" cm="1">
        <f t="array" ref="Q834">_xlfn.XLOOKUP(1,('Case Pack'!$A$4:$A$962=C834)*('Case Pack'!$L$4:$L$962&gt;0)*('Case Pack'!$L$4:$L$962&lt;=A834),'Case Pack'!$G$4:$G$962,"未找到箱型")</f>
        <v>A</v>
      </c>
      <c r="R834" s="124">
        <f>ROUND(IFERROR(VLOOKUP(Q834,'Case Type'!A:H,8,0),0)*O834,2)</f>
        <v>1.21</v>
      </c>
    </row>
    <row r="835" customFormat="1" spans="1:18">
      <c r="A835" s="113">
        <v>46273</v>
      </c>
      <c r="B835" s="91" t="str">
        <f>_xlfn.XLOOKUP(C835,'Product List'!B:B,'Product List'!I:I)</f>
        <v>MINI/MOE TV VIEWING CAGE</v>
      </c>
      <c r="C835" s="135" t="s">
        <v>50</v>
      </c>
      <c r="D835" s="234">
        <v>860738340</v>
      </c>
      <c r="E835" s="125">
        <v>237</v>
      </c>
      <c r="F835" s="125">
        <v>45.8702</v>
      </c>
      <c r="G835" s="125">
        <f t="shared" si="24"/>
        <v>10871.2374</v>
      </c>
      <c r="H835" s="135" t="s">
        <v>328</v>
      </c>
      <c r="I835" s="86" t="s">
        <v>92</v>
      </c>
      <c r="J835" s="135" t="s">
        <v>349</v>
      </c>
      <c r="K835" s="126">
        <v>46310</v>
      </c>
      <c r="L835" s="126">
        <v>46304</v>
      </c>
      <c r="M835" s="127">
        <f>_xlfn.XLOOKUP(C835,'Product List'!B:B,'Product List'!R:R)</f>
        <v>24.09</v>
      </c>
      <c r="N835" s="124">
        <f t="shared" si="25"/>
        <v>5709.33</v>
      </c>
      <c r="O835" s="124" cm="1">
        <f t="array" ref="O835">E835/_xlfn.XLOOKUP(1,('Case Pack'!$A$4:$A$962=C835)*('Case Pack'!$L$4:$L$962&gt;0)*('Case Pack'!$L$4:$L$962&lt;=A835),'Case Pack'!$D$4:$D$962,"未找到箱规")</f>
        <v>237</v>
      </c>
      <c r="P835" s="124" t="str">
        <f>IF(COUNTIF('PO Check'!A:A,D835)&gt;0,"Yes","No")</f>
        <v>Yes</v>
      </c>
      <c r="Q835" s="124" t="str" cm="1">
        <f t="array" ref="Q835">_xlfn.XLOOKUP(1,('Case Pack'!$A$4:$A$962=C835)*('Case Pack'!$L$4:$L$962&gt;0)*('Case Pack'!$L$4:$L$962&lt;=A835),'Case Pack'!$G$4:$G$962,"未找到箱型")</f>
        <v>S1</v>
      </c>
      <c r="R835" s="124">
        <f>ROUND(IFERROR(VLOOKUP(Q835,'Case Type'!A:H,8,0),0)*O835,2)</f>
        <v>17.54</v>
      </c>
    </row>
    <row r="836" customFormat="1" spans="1:18">
      <c r="A836" s="113">
        <v>46273</v>
      </c>
      <c r="B836" s="91" t="str">
        <f>_xlfn.XLOOKUP(C836,'Product List'!B:B,'Product List'!I:I)</f>
        <v>MINI &amp; MOE COTTAGE HIDE</v>
      </c>
      <c r="C836" s="135" t="s">
        <v>53</v>
      </c>
      <c r="D836" s="234">
        <v>860738340</v>
      </c>
      <c r="E836" s="125">
        <v>120</v>
      </c>
      <c r="F836" s="125">
        <v>6.2777</v>
      </c>
      <c r="G836" s="125">
        <f t="shared" si="24"/>
        <v>753.324</v>
      </c>
      <c r="H836" s="135" t="s">
        <v>328</v>
      </c>
      <c r="I836" s="86" t="s">
        <v>92</v>
      </c>
      <c r="J836" s="135" t="s">
        <v>349</v>
      </c>
      <c r="K836" s="126">
        <v>46310</v>
      </c>
      <c r="L836" s="126">
        <v>46304</v>
      </c>
      <c r="M836" s="127">
        <f>_xlfn.XLOOKUP(C836,'Product List'!B:B,'Product List'!R:R)</f>
        <v>3.61</v>
      </c>
      <c r="N836" s="124">
        <f t="shared" si="25"/>
        <v>433.2</v>
      </c>
      <c r="O836" s="124" cm="1">
        <f t="array" ref="O836">E836/_xlfn.XLOOKUP(1,('Case Pack'!$A$4:$A$962=C836)*('Case Pack'!$L$4:$L$962&gt;0)*('Case Pack'!$L$4:$L$962&lt;=A836),'Case Pack'!$D$4:$D$962,"未找到箱规")</f>
        <v>5</v>
      </c>
      <c r="P836" s="124" t="str">
        <f>IF(COUNTIF('PO Check'!A:A,D836)&gt;0,"Yes","No")</f>
        <v>Yes</v>
      </c>
      <c r="Q836" s="124" t="str" cm="1">
        <f t="array" ref="Q836">_xlfn.XLOOKUP(1,('Case Pack'!$A$4:$A$962=C836)*('Case Pack'!$L$4:$L$962&gt;0)*('Case Pack'!$L$4:$L$962&lt;=A836),'Case Pack'!$G$4:$G$962,"未找到箱型")</f>
        <v>C</v>
      </c>
      <c r="R836" s="124">
        <f>ROUND(IFERROR(VLOOKUP(Q836,'Case Type'!A:H,8,0),0)*O836,2)</f>
        <v>0.79</v>
      </c>
    </row>
    <row r="837" customFormat="1" spans="1:18">
      <c r="A837" s="113">
        <v>46273</v>
      </c>
      <c r="B837" s="91" t="str">
        <f>_xlfn.XLOOKUP(C837,'Product List'!B:B,'Product List'!I:I)</f>
        <v>MINI &amp; MOE TREE DECOR CHEW</v>
      </c>
      <c r="C837" s="135" t="s">
        <v>47</v>
      </c>
      <c r="D837" s="234">
        <v>860738340</v>
      </c>
      <c r="E837" s="125">
        <v>168</v>
      </c>
      <c r="F837" s="125">
        <v>3.534</v>
      </c>
      <c r="G837" s="125">
        <f t="shared" si="24"/>
        <v>593.712</v>
      </c>
      <c r="H837" s="135" t="s">
        <v>328</v>
      </c>
      <c r="I837" s="86" t="s">
        <v>92</v>
      </c>
      <c r="J837" s="135" t="s">
        <v>349</v>
      </c>
      <c r="K837" s="126">
        <v>46310</v>
      </c>
      <c r="L837" s="126">
        <v>46304</v>
      </c>
      <c r="M837" s="127">
        <f>_xlfn.XLOOKUP(C837,'Product List'!B:B,'Product List'!R:R)</f>
        <v>3.1</v>
      </c>
      <c r="N837" s="124">
        <f t="shared" si="25"/>
        <v>520.8</v>
      </c>
      <c r="O837" s="124" cm="1">
        <f t="array" ref="O837">E837/_xlfn.XLOOKUP(1,('Case Pack'!$A$4:$A$962=C837)*('Case Pack'!$L$4:$L$962&gt;0)*('Case Pack'!$L$4:$L$962&lt;=A837),'Case Pack'!$D$4:$D$962,"未找到箱规")</f>
        <v>6</v>
      </c>
      <c r="P837" s="124" t="str">
        <f>IF(COUNTIF('PO Check'!A:A,D837)&gt;0,"Yes","No")</f>
        <v>Yes</v>
      </c>
      <c r="Q837" s="124" t="str" cm="1">
        <f t="array" ref="Q837">_xlfn.XLOOKUP(1,('Case Pack'!$A$4:$A$962=C837)*('Case Pack'!$L$4:$L$962&gt;0)*('Case Pack'!$L$4:$L$962&lt;=A837),'Case Pack'!$G$4:$G$962,"未找到箱型")</f>
        <v>B</v>
      </c>
      <c r="R837" s="124">
        <f>ROUND(IFERROR(VLOOKUP(Q837,'Case Type'!A:H,8,0),0)*O837,2)</f>
        <v>0.44</v>
      </c>
    </row>
    <row r="838" customFormat="1" spans="1:18">
      <c r="A838" s="113">
        <v>46273</v>
      </c>
      <c r="B838" s="91" t="str">
        <f>_xlfn.XLOOKUP(C838,'Product List'!B:B,'Product List'!I:I)</f>
        <v>MINI &amp; MOE GARDEN DECOR CHEW</v>
      </c>
      <c r="C838" s="135" t="s">
        <v>45</v>
      </c>
      <c r="D838" s="234">
        <v>860738340</v>
      </c>
      <c r="E838" s="125">
        <v>315</v>
      </c>
      <c r="F838" s="125">
        <v>3.2343</v>
      </c>
      <c r="G838" s="125">
        <f t="shared" si="24"/>
        <v>1018.8045</v>
      </c>
      <c r="H838" s="135" t="s">
        <v>328</v>
      </c>
      <c r="I838" s="86" t="s">
        <v>92</v>
      </c>
      <c r="J838" s="135" t="s">
        <v>349</v>
      </c>
      <c r="K838" s="126">
        <v>46310</v>
      </c>
      <c r="L838" s="126">
        <v>46304</v>
      </c>
      <c r="M838" s="127">
        <f>_xlfn.XLOOKUP(C838,'Product List'!B:B,'Product List'!R:R)</f>
        <v>2.35</v>
      </c>
      <c r="N838" s="124">
        <f t="shared" si="25"/>
        <v>740.25</v>
      </c>
      <c r="O838" s="124" cm="1">
        <f t="array" ref="O838">E838/_xlfn.XLOOKUP(1,('Case Pack'!$A$4:$A$962=C838)*('Case Pack'!$L$4:$L$962&gt;0)*('Case Pack'!$L$4:$L$962&lt;=A838),'Case Pack'!$D$4:$D$962,"未找到箱规")</f>
        <v>7</v>
      </c>
      <c r="P838" s="124" t="str">
        <f>IF(COUNTIF('PO Check'!A:A,D838)&gt;0,"Yes","No")</f>
        <v>Yes</v>
      </c>
      <c r="Q838" s="124" t="str" cm="1">
        <f t="array" ref="Q838">_xlfn.XLOOKUP(1,('Case Pack'!$A$4:$A$962=C838)*('Case Pack'!$L$4:$L$962&gt;0)*('Case Pack'!$L$4:$L$962&lt;=A838),'Case Pack'!$G$4:$G$962,"未找到箱型")</f>
        <v>B</v>
      </c>
      <c r="R838" s="124">
        <f>ROUND(IFERROR(VLOOKUP(Q838,'Case Type'!A:H,8,0),0)*O838,2)</f>
        <v>0.51</v>
      </c>
    </row>
    <row r="839" customFormat="1" spans="1:18">
      <c r="A839" s="113">
        <v>46273</v>
      </c>
      <c r="B839" s="91" t="str">
        <f>_xlfn.XLOOKUP(C839,'Product List'!B:B,'Product List'!I:I)</f>
        <v>MINI/MOE CAMPING TENT HIDE</v>
      </c>
      <c r="C839" s="135" t="s">
        <v>73</v>
      </c>
      <c r="D839" s="234">
        <v>860738340</v>
      </c>
      <c r="E839" s="125">
        <v>312</v>
      </c>
      <c r="F839" s="125">
        <v>3.3523</v>
      </c>
      <c r="G839" s="125">
        <f t="shared" si="24"/>
        <v>1045.9176</v>
      </c>
      <c r="H839" s="135" t="s">
        <v>328</v>
      </c>
      <c r="I839" s="86" t="s">
        <v>92</v>
      </c>
      <c r="J839" s="135" t="s">
        <v>349</v>
      </c>
      <c r="K839" s="126">
        <v>46310</v>
      </c>
      <c r="L839" s="126">
        <v>46304</v>
      </c>
      <c r="M839" s="127">
        <f>_xlfn.XLOOKUP(C839,'Product List'!B:B,'Product List'!R:R)</f>
        <v>1.96</v>
      </c>
      <c r="N839" s="124">
        <f t="shared" si="25"/>
        <v>611.52</v>
      </c>
      <c r="O839" s="124" cm="1">
        <f t="array" ref="O839">E839/_xlfn.XLOOKUP(1,('Case Pack'!$A$4:$A$962=C839)*('Case Pack'!$L$4:$L$962&gt;0)*('Case Pack'!$L$4:$L$962&lt;=A839),'Case Pack'!$D$4:$D$962,"未找到箱规")</f>
        <v>26</v>
      </c>
      <c r="P839" s="124" t="str">
        <f>IF(COUNTIF('PO Check'!A:A,D839)&gt;0,"Yes","No")</f>
        <v>Yes</v>
      </c>
      <c r="Q839" s="124" t="str" cm="1">
        <f t="array" ref="Q839">_xlfn.XLOOKUP(1,('Case Pack'!$A$4:$A$962=C839)*('Case Pack'!$L$4:$L$962&gt;0)*('Case Pack'!$L$4:$L$962&lt;=A839),'Case Pack'!$G$4:$G$962,"未找到箱型")</f>
        <v>B</v>
      </c>
      <c r="R839" s="124">
        <f>ROUND(IFERROR(VLOOKUP(Q839,'Case Type'!A:H,8,0),0)*O839,2)</f>
        <v>1.91</v>
      </c>
    </row>
    <row r="840" customFormat="1" spans="1:18">
      <c r="A840" s="113">
        <v>46273</v>
      </c>
      <c r="B840" s="91" t="str">
        <f>_xlfn.XLOOKUP(C840,'Product List'!B:B,'Product List'!I:I)</f>
        <v>MINI &amp; MOE WOODEN BRIDGE</v>
      </c>
      <c r="C840" s="135" t="s">
        <v>44</v>
      </c>
      <c r="D840" s="234">
        <v>860738340</v>
      </c>
      <c r="E840" s="125">
        <v>240</v>
      </c>
      <c r="F840" s="125">
        <v>3.0071</v>
      </c>
      <c r="G840" s="125">
        <f t="shared" si="24"/>
        <v>721.704</v>
      </c>
      <c r="H840" s="135" t="s">
        <v>328</v>
      </c>
      <c r="I840" s="86" t="s">
        <v>92</v>
      </c>
      <c r="J840" s="135" t="s">
        <v>349</v>
      </c>
      <c r="K840" s="126">
        <v>46310</v>
      </c>
      <c r="L840" s="126">
        <v>46304</v>
      </c>
      <c r="M840" s="127">
        <f>_xlfn.XLOOKUP(C840,'Product List'!B:B,'Product List'!R:R)</f>
        <v>1.83</v>
      </c>
      <c r="N840" s="124">
        <f t="shared" si="25"/>
        <v>439.2</v>
      </c>
      <c r="O840" s="124" cm="1">
        <f t="array" ref="O840">E840/_xlfn.XLOOKUP(1,('Case Pack'!$A$4:$A$962=C840)*('Case Pack'!$L$4:$L$962&gt;0)*('Case Pack'!$L$4:$L$962&lt;=A840),'Case Pack'!$D$4:$D$962,"未找到箱规")</f>
        <v>5</v>
      </c>
      <c r="P840" s="124" t="str">
        <f>IF(COUNTIF('PO Check'!A:A,D840)&gt;0,"Yes","No")</f>
        <v>Yes</v>
      </c>
      <c r="Q840" s="124" t="str" cm="1">
        <f t="array" ref="Q840">_xlfn.XLOOKUP(1,('Case Pack'!$A$4:$A$962=C840)*('Case Pack'!$L$4:$L$962&gt;0)*('Case Pack'!$L$4:$L$962&lt;=A840),'Case Pack'!$G$4:$G$962,"未找到箱型")</f>
        <v>A</v>
      </c>
      <c r="R840" s="124">
        <f>ROUND(IFERROR(VLOOKUP(Q840,'Case Type'!A:H,8,0),0)*O840,2)</f>
        <v>0.55</v>
      </c>
    </row>
    <row r="841" customFormat="1" spans="1:18">
      <c r="A841" s="113">
        <v>46273</v>
      </c>
      <c r="B841" s="91" t="str">
        <f>_xlfn.XLOOKUP(C841,'Product List'!B:B,'Product List'!I:I)</f>
        <v>MINI/MOE TV VIEWING CAGE</v>
      </c>
      <c r="C841" s="135" t="s">
        <v>50</v>
      </c>
      <c r="D841" s="234">
        <v>860738356</v>
      </c>
      <c r="E841" s="125">
        <v>248</v>
      </c>
      <c r="F841" s="125">
        <v>45.8702</v>
      </c>
      <c r="G841" s="125">
        <f t="shared" si="24"/>
        <v>11375.8096</v>
      </c>
      <c r="H841" s="135" t="s">
        <v>328</v>
      </c>
      <c r="I841" s="86" t="s">
        <v>92</v>
      </c>
      <c r="J841" s="135" t="s">
        <v>353</v>
      </c>
      <c r="K841" s="126">
        <v>46310</v>
      </c>
      <c r="L841" s="126">
        <v>46304</v>
      </c>
      <c r="M841" s="127">
        <f>_xlfn.XLOOKUP(C841,'Product List'!B:B,'Product List'!R:R)</f>
        <v>24.09</v>
      </c>
      <c r="N841" s="124">
        <f t="shared" si="25"/>
        <v>5974.32</v>
      </c>
      <c r="O841" s="124" cm="1">
        <f t="array" ref="O841">E841/_xlfn.XLOOKUP(1,('Case Pack'!$A$4:$A$962=C841)*('Case Pack'!$L$4:$L$962&gt;0)*('Case Pack'!$L$4:$L$962&lt;=A841),'Case Pack'!$D$4:$D$962,"未找到箱规")</f>
        <v>248</v>
      </c>
      <c r="P841" s="124" t="str">
        <f>IF(COUNTIF('PO Check'!A:A,D841)&gt;0,"Yes","No")</f>
        <v>Yes</v>
      </c>
      <c r="Q841" s="124" t="str" cm="1">
        <f t="array" ref="Q841">_xlfn.XLOOKUP(1,('Case Pack'!$A$4:$A$962=C841)*('Case Pack'!$L$4:$L$962&gt;0)*('Case Pack'!$L$4:$L$962&lt;=A841),'Case Pack'!$G$4:$G$962,"未找到箱型")</f>
        <v>S1</v>
      </c>
      <c r="R841" s="124">
        <f>ROUND(IFERROR(VLOOKUP(Q841,'Case Type'!A:H,8,0),0)*O841,2)</f>
        <v>18.35</v>
      </c>
    </row>
    <row r="842" customFormat="1" spans="1:18">
      <c r="A842" s="113">
        <v>46273</v>
      </c>
      <c r="B842" s="91" t="str">
        <f>_xlfn.XLOOKUP(C842,'Product List'!B:B,'Product List'!I:I)</f>
        <v>MINI &amp; MOE TREE DECOR CHEW</v>
      </c>
      <c r="C842" s="135" t="s">
        <v>47</v>
      </c>
      <c r="D842" s="234">
        <v>860738356</v>
      </c>
      <c r="E842" s="125">
        <v>420</v>
      </c>
      <c r="F842" s="125">
        <v>3.534</v>
      </c>
      <c r="G842" s="125">
        <f t="shared" si="24"/>
        <v>1484.28</v>
      </c>
      <c r="H842" s="135" t="s">
        <v>328</v>
      </c>
      <c r="I842" s="86" t="s">
        <v>92</v>
      </c>
      <c r="J842" s="135" t="s">
        <v>353</v>
      </c>
      <c r="K842" s="126">
        <v>46310</v>
      </c>
      <c r="L842" s="126">
        <v>46304</v>
      </c>
      <c r="M842" s="127">
        <f>_xlfn.XLOOKUP(C842,'Product List'!B:B,'Product List'!R:R)</f>
        <v>3.1</v>
      </c>
      <c r="N842" s="124">
        <f t="shared" si="25"/>
        <v>1302</v>
      </c>
      <c r="O842" s="124" cm="1">
        <f t="array" ref="O842">E842/_xlfn.XLOOKUP(1,('Case Pack'!$A$4:$A$962=C842)*('Case Pack'!$L$4:$L$962&gt;0)*('Case Pack'!$L$4:$L$962&lt;=A842),'Case Pack'!$D$4:$D$962,"未找到箱规")</f>
        <v>15</v>
      </c>
      <c r="P842" s="124" t="str">
        <f>IF(COUNTIF('PO Check'!A:A,D842)&gt;0,"Yes","No")</f>
        <v>Yes</v>
      </c>
      <c r="Q842" s="124" t="str" cm="1">
        <f t="array" ref="Q842">_xlfn.XLOOKUP(1,('Case Pack'!$A$4:$A$962=C842)*('Case Pack'!$L$4:$L$962&gt;0)*('Case Pack'!$L$4:$L$962&lt;=A842),'Case Pack'!$G$4:$G$962,"未找到箱型")</f>
        <v>B</v>
      </c>
      <c r="R842" s="124">
        <f>ROUND(IFERROR(VLOOKUP(Q842,'Case Type'!A:H,8,0),0)*O842,2)</f>
        <v>1.1</v>
      </c>
    </row>
    <row r="843" customFormat="1" spans="1:18">
      <c r="A843" s="113">
        <v>46273</v>
      </c>
      <c r="B843" s="91" t="str">
        <f>_xlfn.XLOOKUP(C843,'Product List'!B:B,'Product List'!I:I)</f>
        <v>MINI &amp; MOE GARDEN DECOR CHEW</v>
      </c>
      <c r="C843" s="135" t="s">
        <v>45</v>
      </c>
      <c r="D843" s="234">
        <v>860738356</v>
      </c>
      <c r="E843" s="125">
        <v>540</v>
      </c>
      <c r="F843" s="125">
        <v>3.2343</v>
      </c>
      <c r="G843" s="125">
        <f t="shared" si="24"/>
        <v>1746.522</v>
      </c>
      <c r="H843" s="135" t="s">
        <v>328</v>
      </c>
      <c r="I843" s="86" t="s">
        <v>92</v>
      </c>
      <c r="J843" s="135" t="s">
        <v>353</v>
      </c>
      <c r="K843" s="126">
        <v>46310</v>
      </c>
      <c r="L843" s="126">
        <v>46304</v>
      </c>
      <c r="M843" s="127">
        <f>_xlfn.XLOOKUP(C843,'Product List'!B:B,'Product List'!R:R)</f>
        <v>2.35</v>
      </c>
      <c r="N843" s="124">
        <f t="shared" si="25"/>
        <v>1269</v>
      </c>
      <c r="O843" s="124" cm="1">
        <f t="array" ref="O843">E843/_xlfn.XLOOKUP(1,('Case Pack'!$A$4:$A$962=C843)*('Case Pack'!$L$4:$L$962&gt;0)*('Case Pack'!$L$4:$L$962&lt;=A843),'Case Pack'!$D$4:$D$962,"未找到箱规")</f>
        <v>12</v>
      </c>
      <c r="P843" s="124" t="str">
        <f>IF(COUNTIF('PO Check'!A:A,D843)&gt;0,"Yes","No")</f>
        <v>Yes</v>
      </c>
      <c r="Q843" s="124" t="str" cm="1">
        <f t="array" ref="Q843">_xlfn.XLOOKUP(1,('Case Pack'!$A$4:$A$962=C843)*('Case Pack'!$L$4:$L$962&gt;0)*('Case Pack'!$L$4:$L$962&lt;=A843),'Case Pack'!$G$4:$G$962,"未找到箱型")</f>
        <v>B</v>
      </c>
      <c r="R843" s="124">
        <f>ROUND(IFERROR(VLOOKUP(Q843,'Case Type'!A:H,8,0),0)*O843,2)</f>
        <v>0.88</v>
      </c>
    </row>
    <row r="844" customFormat="1" spans="1:18">
      <c r="A844" s="113">
        <v>46273</v>
      </c>
      <c r="B844" s="91" t="str">
        <f>_xlfn.XLOOKUP(C844,'Product List'!B:B,'Product List'!I:I)</f>
        <v>MINI/MOE CAMPING TENT HIDE</v>
      </c>
      <c r="C844" s="135" t="s">
        <v>73</v>
      </c>
      <c r="D844" s="234">
        <v>860738356</v>
      </c>
      <c r="E844" s="125">
        <v>120</v>
      </c>
      <c r="F844" s="125">
        <v>3.3523</v>
      </c>
      <c r="G844" s="125">
        <f t="shared" si="24"/>
        <v>402.276</v>
      </c>
      <c r="H844" s="135" t="s">
        <v>328</v>
      </c>
      <c r="I844" s="86" t="s">
        <v>92</v>
      </c>
      <c r="J844" s="135" t="s">
        <v>353</v>
      </c>
      <c r="K844" s="126">
        <v>46310</v>
      </c>
      <c r="L844" s="126">
        <v>46304</v>
      </c>
      <c r="M844" s="127">
        <f>_xlfn.XLOOKUP(C844,'Product List'!B:B,'Product List'!R:R)</f>
        <v>1.96</v>
      </c>
      <c r="N844" s="124">
        <f t="shared" si="25"/>
        <v>235.2</v>
      </c>
      <c r="O844" s="124" cm="1">
        <f t="array" ref="O844">E844/_xlfn.XLOOKUP(1,('Case Pack'!$A$4:$A$962=C844)*('Case Pack'!$L$4:$L$962&gt;0)*('Case Pack'!$L$4:$L$962&lt;=A844),'Case Pack'!$D$4:$D$962,"未找到箱规")</f>
        <v>10</v>
      </c>
      <c r="P844" s="124" t="str">
        <f>IF(COUNTIF('PO Check'!A:A,D844)&gt;0,"Yes","No")</f>
        <v>Yes</v>
      </c>
      <c r="Q844" s="124" t="str" cm="1">
        <f t="array" ref="Q844">_xlfn.XLOOKUP(1,('Case Pack'!$A$4:$A$962=C844)*('Case Pack'!$L$4:$L$962&gt;0)*('Case Pack'!$L$4:$L$962&lt;=A844),'Case Pack'!$G$4:$G$962,"未找到箱型")</f>
        <v>B</v>
      </c>
      <c r="R844" s="124">
        <f>ROUND(IFERROR(VLOOKUP(Q844,'Case Type'!A:H,8,0),0)*O844,2)</f>
        <v>0.73</v>
      </c>
    </row>
    <row r="845" customFormat="1" spans="1:18">
      <c r="A845" s="113">
        <v>46273</v>
      </c>
      <c r="B845" s="91" t="str">
        <f>_xlfn.XLOOKUP(C845,'Product List'!B:B,'Product List'!I:I)</f>
        <v>MINI &amp; MOE MAG CONECT WTR BTL 4 OZ</v>
      </c>
      <c r="C845" s="135" t="s">
        <v>37</v>
      </c>
      <c r="D845" s="234">
        <v>860738356</v>
      </c>
      <c r="E845" s="125">
        <v>162</v>
      </c>
      <c r="F845" s="125">
        <v>2.6619</v>
      </c>
      <c r="G845" s="125">
        <f t="shared" si="24"/>
        <v>431.2278</v>
      </c>
      <c r="H845" s="135" t="s">
        <v>328</v>
      </c>
      <c r="I845" s="86" t="s">
        <v>92</v>
      </c>
      <c r="J845" s="135" t="s">
        <v>353</v>
      </c>
      <c r="K845" s="126">
        <v>46310</v>
      </c>
      <c r="L845" s="126">
        <v>46304</v>
      </c>
      <c r="M845" s="127">
        <f>_xlfn.XLOOKUP(C845,'Product List'!B:B,'Product List'!R:R)</f>
        <v>1.89</v>
      </c>
      <c r="N845" s="124">
        <f t="shared" si="25"/>
        <v>306.18</v>
      </c>
      <c r="O845" s="124" cm="1">
        <f t="array" ref="O845">E845/_xlfn.XLOOKUP(1,('Case Pack'!$A$4:$A$962=C845)*('Case Pack'!$L$4:$L$962&gt;0)*('Case Pack'!$L$4:$L$962&lt;=A845),'Case Pack'!$D$4:$D$962,"未找到箱规")</f>
        <v>3</v>
      </c>
      <c r="P845" s="124" t="str">
        <f>IF(COUNTIF('PO Check'!A:A,D845)&gt;0,"Yes","No")</f>
        <v>Yes</v>
      </c>
      <c r="Q845" s="124" t="str" cm="1">
        <f t="array" ref="Q845">_xlfn.XLOOKUP(1,('Case Pack'!$A$4:$A$962=C845)*('Case Pack'!$L$4:$L$962&gt;0)*('Case Pack'!$L$4:$L$962&lt;=A845),'Case Pack'!$G$4:$G$962,"未找到箱型")</f>
        <v>A</v>
      </c>
      <c r="R845" s="124">
        <f>ROUND(IFERROR(VLOOKUP(Q845,'Case Type'!A:H,8,0),0)*O845,2)</f>
        <v>0.33</v>
      </c>
    </row>
    <row r="846" customFormat="1" spans="1:18">
      <c r="A846" s="113">
        <v>46273</v>
      </c>
      <c r="B846" s="91" t="str">
        <f>_xlfn.XLOOKUP(C846,'Product List'!B:B,'Product List'!I:I)</f>
        <v>MINI/MOE TV VIEWING CAGE</v>
      </c>
      <c r="C846" s="135" t="s">
        <v>50</v>
      </c>
      <c r="D846" s="234">
        <v>860738360</v>
      </c>
      <c r="E846" s="125">
        <v>259</v>
      </c>
      <c r="F846" s="125">
        <v>45.8702</v>
      </c>
      <c r="G846" s="125">
        <f t="shared" si="24"/>
        <v>11880.3818</v>
      </c>
      <c r="H846" s="135" t="s">
        <v>328</v>
      </c>
      <c r="I846" s="86" t="s">
        <v>92</v>
      </c>
      <c r="J846" s="135" t="s">
        <v>350</v>
      </c>
      <c r="K846" s="126">
        <v>46306</v>
      </c>
      <c r="L846" s="126">
        <v>46304</v>
      </c>
      <c r="M846" s="127">
        <f>_xlfn.XLOOKUP(C846,'Product List'!B:B,'Product List'!R:R)</f>
        <v>24.09</v>
      </c>
      <c r="N846" s="124">
        <f t="shared" si="25"/>
        <v>6239.31</v>
      </c>
      <c r="O846" s="124" cm="1">
        <f t="array" ref="O846">E846/_xlfn.XLOOKUP(1,('Case Pack'!$A$4:$A$962=C846)*('Case Pack'!$L$4:$L$962&gt;0)*('Case Pack'!$L$4:$L$962&lt;=A846),'Case Pack'!$D$4:$D$962,"未找到箱规")</f>
        <v>259</v>
      </c>
      <c r="P846" s="124" t="str">
        <f>IF(COUNTIF('PO Check'!A:A,D846)&gt;0,"Yes","No")</f>
        <v>Yes</v>
      </c>
      <c r="Q846" s="124" t="str" cm="1">
        <f t="array" ref="Q846">_xlfn.XLOOKUP(1,('Case Pack'!$A$4:$A$962=C846)*('Case Pack'!$L$4:$L$962&gt;0)*('Case Pack'!$L$4:$L$962&lt;=A846),'Case Pack'!$G$4:$G$962,"未找到箱型")</f>
        <v>S1</v>
      </c>
      <c r="R846" s="124">
        <f>ROUND(IFERROR(VLOOKUP(Q846,'Case Type'!A:H,8,0),0)*O846,2)</f>
        <v>19.17</v>
      </c>
    </row>
    <row r="847" customFormat="1" spans="1:18">
      <c r="A847" s="113">
        <v>46273</v>
      </c>
      <c r="B847" s="91" t="str">
        <f>_xlfn.XLOOKUP(C847,'Product List'!B:B,'Product List'!I:I)</f>
        <v>MINI &amp; MOE TREE DECOR CHEW</v>
      </c>
      <c r="C847" s="135" t="s">
        <v>47</v>
      </c>
      <c r="D847" s="234">
        <v>860738360</v>
      </c>
      <c r="E847" s="125">
        <v>224</v>
      </c>
      <c r="F847" s="125">
        <v>3.5341</v>
      </c>
      <c r="G847" s="125">
        <f t="shared" si="24"/>
        <v>791.6384</v>
      </c>
      <c r="H847" s="135" t="s">
        <v>328</v>
      </c>
      <c r="I847" s="86" t="s">
        <v>92</v>
      </c>
      <c r="J847" s="135" t="s">
        <v>350</v>
      </c>
      <c r="K847" s="126">
        <v>46306</v>
      </c>
      <c r="L847" s="126">
        <v>46304</v>
      </c>
      <c r="M847" s="127">
        <f>_xlfn.XLOOKUP(C847,'Product List'!B:B,'Product List'!R:R)</f>
        <v>3.1</v>
      </c>
      <c r="N847" s="124">
        <f t="shared" si="25"/>
        <v>694.4</v>
      </c>
      <c r="O847" s="124" cm="1">
        <f t="array" ref="O847">E847/_xlfn.XLOOKUP(1,('Case Pack'!$A$4:$A$962=C847)*('Case Pack'!$L$4:$L$962&gt;0)*('Case Pack'!$L$4:$L$962&lt;=A847),'Case Pack'!$D$4:$D$962,"未找到箱规")</f>
        <v>8</v>
      </c>
      <c r="P847" s="124" t="str">
        <f>IF(COUNTIF('PO Check'!A:A,D847)&gt;0,"Yes","No")</f>
        <v>Yes</v>
      </c>
      <c r="Q847" s="124" t="str" cm="1">
        <f t="array" ref="Q847">_xlfn.XLOOKUP(1,('Case Pack'!$A$4:$A$962=C847)*('Case Pack'!$L$4:$L$962&gt;0)*('Case Pack'!$L$4:$L$962&lt;=A847),'Case Pack'!$G$4:$G$962,"未找到箱型")</f>
        <v>B</v>
      </c>
      <c r="R847" s="124">
        <f>ROUND(IFERROR(VLOOKUP(Q847,'Case Type'!A:H,8,0),0)*O847,2)</f>
        <v>0.59</v>
      </c>
    </row>
    <row r="848" customFormat="1" spans="1:18">
      <c r="A848" s="113">
        <v>46273</v>
      </c>
      <c r="B848" s="91" t="str">
        <f>_xlfn.XLOOKUP(C848,'Product List'!B:B,'Product List'!I:I)</f>
        <v>MINI &amp; MOE GARDEN DECOR CHEW</v>
      </c>
      <c r="C848" s="135" t="s">
        <v>45</v>
      </c>
      <c r="D848" s="234">
        <v>860738360</v>
      </c>
      <c r="E848" s="125">
        <v>270</v>
      </c>
      <c r="F848" s="125">
        <v>3.2343</v>
      </c>
      <c r="G848" s="125">
        <f t="shared" si="24"/>
        <v>873.261</v>
      </c>
      <c r="H848" s="135" t="s">
        <v>328</v>
      </c>
      <c r="I848" s="86" t="s">
        <v>92</v>
      </c>
      <c r="J848" s="135" t="s">
        <v>350</v>
      </c>
      <c r="K848" s="126">
        <v>46306</v>
      </c>
      <c r="L848" s="126">
        <v>46304</v>
      </c>
      <c r="M848" s="127">
        <f>_xlfn.XLOOKUP(C848,'Product List'!B:B,'Product List'!R:R)</f>
        <v>2.35</v>
      </c>
      <c r="N848" s="124">
        <f t="shared" si="25"/>
        <v>634.5</v>
      </c>
      <c r="O848" s="124" cm="1">
        <f t="array" ref="O848">E848/_xlfn.XLOOKUP(1,('Case Pack'!$A$4:$A$962=C848)*('Case Pack'!$L$4:$L$962&gt;0)*('Case Pack'!$L$4:$L$962&lt;=A848),'Case Pack'!$D$4:$D$962,"未找到箱规")</f>
        <v>6</v>
      </c>
      <c r="P848" s="124" t="str">
        <f>IF(COUNTIF('PO Check'!A:A,D848)&gt;0,"Yes","No")</f>
        <v>Yes</v>
      </c>
      <c r="Q848" s="124" t="str" cm="1">
        <f t="array" ref="Q848">_xlfn.XLOOKUP(1,('Case Pack'!$A$4:$A$962=C848)*('Case Pack'!$L$4:$L$962&gt;0)*('Case Pack'!$L$4:$L$962&lt;=A848),'Case Pack'!$G$4:$G$962,"未找到箱型")</f>
        <v>B</v>
      </c>
      <c r="R848" s="124">
        <f>ROUND(IFERROR(VLOOKUP(Q848,'Case Type'!A:H,8,0),0)*O848,2)</f>
        <v>0.44</v>
      </c>
    </row>
    <row r="849" customFormat="1" spans="1:18">
      <c r="A849" s="113">
        <v>46273</v>
      </c>
      <c r="B849" s="91" t="str">
        <f>_xlfn.XLOOKUP(C849,'Product List'!B:B,'Product List'!I:I)</f>
        <v>MINI/MOE CAMPING TENT HIDE</v>
      </c>
      <c r="C849" s="135" t="s">
        <v>73</v>
      </c>
      <c r="D849" s="234">
        <v>860738360</v>
      </c>
      <c r="E849" s="125">
        <v>108</v>
      </c>
      <c r="F849" s="125">
        <v>3.3524</v>
      </c>
      <c r="G849" s="125">
        <f t="shared" si="24"/>
        <v>362.0592</v>
      </c>
      <c r="H849" s="135" t="s">
        <v>328</v>
      </c>
      <c r="I849" s="86" t="s">
        <v>92</v>
      </c>
      <c r="J849" s="135" t="s">
        <v>350</v>
      </c>
      <c r="K849" s="126">
        <v>46306</v>
      </c>
      <c r="L849" s="126">
        <v>46304</v>
      </c>
      <c r="M849" s="127">
        <f>_xlfn.XLOOKUP(C849,'Product List'!B:B,'Product List'!R:R)</f>
        <v>1.96</v>
      </c>
      <c r="N849" s="124">
        <f t="shared" si="25"/>
        <v>211.68</v>
      </c>
      <c r="O849" s="124" cm="1">
        <f t="array" ref="O849">E849/_xlfn.XLOOKUP(1,('Case Pack'!$A$4:$A$962=C849)*('Case Pack'!$L$4:$L$962&gt;0)*('Case Pack'!$L$4:$L$962&lt;=A849),'Case Pack'!$D$4:$D$962,"未找到箱规")</f>
        <v>9</v>
      </c>
      <c r="P849" s="124" t="str">
        <f>IF(COUNTIF('PO Check'!A:A,D849)&gt;0,"Yes","No")</f>
        <v>Yes</v>
      </c>
      <c r="Q849" s="124" t="str" cm="1">
        <f t="array" ref="Q849">_xlfn.XLOOKUP(1,('Case Pack'!$A$4:$A$962=C849)*('Case Pack'!$L$4:$L$962&gt;0)*('Case Pack'!$L$4:$L$962&lt;=A849),'Case Pack'!$G$4:$G$962,"未找到箱型")</f>
        <v>B</v>
      </c>
      <c r="R849" s="124">
        <f>ROUND(IFERROR(VLOOKUP(Q849,'Case Type'!A:H,8,0),0)*O849,2)</f>
        <v>0.66</v>
      </c>
    </row>
    <row r="850" customFormat="1" spans="1:18">
      <c r="A850" s="113">
        <v>46273</v>
      </c>
      <c r="B850" s="91" t="str">
        <f>_xlfn.XLOOKUP(C850,'Product List'!B:B,'Product List'!I:I)</f>
        <v>MINI &amp; MOE MAG CONECT WTR BTL 4 OZ</v>
      </c>
      <c r="C850" s="135" t="s">
        <v>37</v>
      </c>
      <c r="D850" s="234">
        <v>860738360</v>
      </c>
      <c r="E850" s="125">
        <v>270</v>
      </c>
      <c r="F850" s="125">
        <v>2.6619</v>
      </c>
      <c r="G850" s="125">
        <f t="shared" si="24"/>
        <v>718.713</v>
      </c>
      <c r="H850" s="135" t="s">
        <v>328</v>
      </c>
      <c r="I850" s="86" t="s">
        <v>92</v>
      </c>
      <c r="J850" s="135" t="s">
        <v>350</v>
      </c>
      <c r="K850" s="126">
        <v>46306</v>
      </c>
      <c r="L850" s="126">
        <v>46304</v>
      </c>
      <c r="M850" s="127">
        <f>_xlfn.XLOOKUP(C850,'Product List'!B:B,'Product List'!R:R)</f>
        <v>1.89</v>
      </c>
      <c r="N850" s="124">
        <f t="shared" si="25"/>
        <v>510.3</v>
      </c>
      <c r="O850" s="124" cm="1">
        <f t="array" ref="O850">E850/_xlfn.XLOOKUP(1,('Case Pack'!$A$4:$A$962=C850)*('Case Pack'!$L$4:$L$962&gt;0)*('Case Pack'!$L$4:$L$962&lt;=A850),'Case Pack'!$D$4:$D$962,"未找到箱规")</f>
        <v>5</v>
      </c>
      <c r="P850" s="124" t="str">
        <f>IF(COUNTIF('PO Check'!A:A,D850)&gt;0,"Yes","No")</f>
        <v>Yes</v>
      </c>
      <c r="Q850" s="124" t="str" cm="1">
        <f t="array" ref="Q850">_xlfn.XLOOKUP(1,('Case Pack'!$A$4:$A$962=C850)*('Case Pack'!$L$4:$L$962&gt;0)*('Case Pack'!$L$4:$L$962&lt;=A850),'Case Pack'!$G$4:$G$962,"未找到箱型")</f>
        <v>A</v>
      </c>
      <c r="R850" s="124">
        <f>ROUND(IFERROR(VLOOKUP(Q850,'Case Type'!A:H,8,0),0)*O850,2)</f>
        <v>0.55</v>
      </c>
    </row>
    <row r="851" customFormat="1" spans="1:18">
      <c r="A851" s="113">
        <v>46273</v>
      </c>
      <c r="B851" s="91" t="str">
        <f>_xlfn.XLOOKUP(C851,'Product List'!B:B,'Product List'!I:I)</f>
        <v>MINI/MOE TV VIEWING CAGE</v>
      </c>
      <c r="C851" s="135" t="s">
        <v>50</v>
      </c>
      <c r="D851" s="234">
        <v>860738362</v>
      </c>
      <c r="E851" s="125">
        <v>200</v>
      </c>
      <c r="F851" s="125">
        <v>45.8702</v>
      </c>
      <c r="G851" s="125">
        <f t="shared" si="24"/>
        <v>9174.04</v>
      </c>
      <c r="H851" s="135" t="s">
        <v>328</v>
      </c>
      <c r="I851" s="86" t="s">
        <v>92</v>
      </c>
      <c r="J851" s="135" t="s">
        <v>352</v>
      </c>
      <c r="K851" s="126">
        <v>46309</v>
      </c>
      <c r="L851" s="126">
        <v>46304</v>
      </c>
      <c r="M851" s="127">
        <f>_xlfn.XLOOKUP(C851,'Product List'!B:B,'Product List'!R:R)</f>
        <v>24.09</v>
      </c>
      <c r="N851" s="124">
        <f t="shared" si="25"/>
        <v>4818</v>
      </c>
      <c r="O851" s="124" cm="1">
        <f t="array" ref="O851">E851/_xlfn.XLOOKUP(1,('Case Pack'!$A$4:$A$962=C851)*('Case Pack'!$L$4:$L$962&gt;0)*('Case Pack'!$L$4:$L$962&lt;=A851),'Case Pack'!$D$4:$D$962,"未找到箱规")</f>
        <v>200</v>
      </c>
      <c r="P851" s="124" t="str">
        <f>IF(COUNTIF('PO Check'!A:A,D851)&gt;0,"Yes","No")</f>
        <v>Yes</v>
      </c>
      <c r="Q851" s="124" t="str" cm="1">
        <f t="array" ref="Q851">_xlfn.XLOOKUP(1,('Case Pack'!$A$4:$A$962=C851)*('Case Pack'!$L$4:$L$962&gt;0)*('Case Pack'!$L$4:$L$962&lt;=A851),'Case Pack'!$G$4:$G$962,"未找到箱型")</f>
        <v>S1</v>
      </c>
      <c r="R851" s="124">
        <f>ROUND(IFERROR(VLOOKUP(Q851,'Case Type'!A:H,8,0),0)*O851,2)</f>
        <v>14.8</v>
      </c>
    </row>
    <row r="852" customFormat="1" spans="1:18">
      <c r="A852" s="113">
        <v>46273</v>
      </c>
      <c r="B852" s="91" t="str">
        <f>_xlfn.XLOOKUP(C852,'Product List'!B:B,'Product List'!I:I)</f>
        <v>MINI &amp; MOE TREE DECOR CHEW</v>
      </c>
      <c r="C852" s="135" t="s">
        <v>47</v>
      </c>
      <c r="D852" s="234">
        <v>860738362</v>
      </c>
      <c r="E852" s="125">
        <v>616</v>
      </c>
      <c r="F852" s="125">
        <v>3.5341</v>
      </c>
      <c r="G852" s="125">
        <f t="shared" si="24"/>
        <v>2177.0056</v>
      </c>
      <c r="H852" s="135" t="s">
        <v>328</v>
      </c>
      <c r="I852" s="86" t="s">
        <v>92</v>
      </c>
      <c r="J852" s="135" t="s">
        <v>352</v>
      </c>
      <c r="K852" s="126">
        <v>46309</v>
      </c>
      <c r="L852" s="126">
        <v>46304</v>
      </c>
      <c r="M852" s="127">
        <f>_xlfn.XLOOKUP(C852,'Product List'!B:B,'Product List'!R:R)</f>
        <v>3.1</v>
      </c>
      <c r="N852" s="124">
        <f t="shared" si="25"/>
        <v>1909.6</v>
      </c>
      <c r="O852" s="124" cm="1">
        <f t="array" ref="O852">E852/_xlfn.XLOOKUP(1,('Case Pack'!$A$4:$A$962=C852)*('Case Pack'!$L$4:$L$962&gt;0)*('Case Pack'!$L$4:$L$962&lt;=A852),'Case Pack'!$D$4:$D$962,"未找到箱规")</f>
        <v>22</v>
      </c>
      <c r="P852" s="124" t="str">
        <f>IF(COUNTIF('PO Check'!A:A,D852)&gt;0,"Yes","No")</f>
        <v>Yes</v>
      </c>
      <c r="Q852" s="124" t="str" cm="1">
        <f t="array" ref="Q852">_xlfn.XLOOKUP(1,('Case Pack'!$A$4:$A$962=C852)*('Case Pack'!$L$4:$L$962&gt;0)*('Case Pack'!$L$4:$L$962&lt;=A852),'Case Pack'!$G$4:$G$962,"未找到箱型")</f>
        <v>B</v>
      </c>
      <c r="R852" s="124">
        <f>ROUND(IFERROR(VLOOKUP(Q852,'Case Type'!A:H,8,0),0)*O852,2)</f>
        <v>1.62</v>
      </c>
    </row>
    <row r="853" customFormat="1" spans="1:18">
      <c r="A853" s="113">
        <v>46273</v>
      </c>
      <c r="B853" s="91" t="str">
        <f>_xlfn.XLOOKUP(C853,'Product List'!B:B,'Product List'!I:I)</f>
        <v>MINI &amp; MOE GARDEN DECOR CHEW</v>
      </c>
      <c r="C853" s="135" t="s">
        <v>45</v>
      </c>
      <c r="D853" s="234">
        <v>860738362</v>
      </c>
      <c r="E853" s="125">
        <v>900</v>
      </c>
      <c r="F853" s="125">
        <v>3.2343</v>
      </c>
      <c r="G853" s="125">
        <f t="shared" si="24"/>
        <v>2910.87</v>
      </c>
      <c r="H853" s="135" t="s">
        <v>328</v>
      </c>
      <c r="I853" s="86" t="s">
        <v>92</v>
      </c>
      <c r="J853" s="135" t="s">
        <v>352</v>
      </c>
      <c r="K853" s="126">
        <v>46309</v>
      </c>
      <c r="L853" s="126">
        <v>46304</v>
      </c>
      <c r="M853" s="127">
        <f>_xlfn.XLOOKUP(C853,'Product List'!B:B,'Product List'!R:R)</f>
        <v>2.35</v>
      </c>
      <c r="N853" s="124">
        <f t="shared" si="25"/>
        <v>2115</v>
      </c>
      <c r="O853" s="124" cm="1">
        <f t="array" ref="O853">E853/_xlfn.XLOOKUP(1,('Case Pack'!$A$4:$A$962=C853)*('Case Pack'!$L$4:$L$962&gt;0)*('Case Pack'!$L$4:$L$962&lt;=A853),'Case Pack'!$D$4:$D$962,"未找到箱规")</f>
        <v>20</v>
      </c>
      <c r="P853" s="124" t="str">
        <f>IF(COUNTIF('PO Check'!A:A,D853)&gt;0,"Yes","No")</f>
        <v>Yes</v>
      </c>
      <c r="Q853" s="124" t="str" cm="1">
        <f t="array" ref="Q853">_xlfn.XLOOKUP(1,('Case Pack'!$A$4:$A$962=C853)*('Case Pack'!$L$4:$L$962&gt;0)*('Case Pack'!$L$4:$L$962&lt;=A853),'Case Pack'!$G$4:$G$962,"未找到箱型")</f>
        <v>B</v>
      </c>
      <c r="R853" s="124">
        <f>ROUND(IFERROR(VLOOKUP(Q853,'Case Type'!A:H,8,0),0)*O853,2)</f>
        <v>1.47</v>
      </c>
    </row>
    <row r="854" customFormat="1" spans="1:18">
      <c r="A854" s="113">
        <v>46273</v>
      </c>
      <c r="B854" s="91" t="str">
        <f>_xlfn.XLOOKUP(C854,'Product List'!B:B,'Product List'!I:I)</f>
        <v>MINI/MOE CAMPING TENT HIDE</v>
      </c>
      <c r="C854" s="135" t="s">
        <v>73</v>
      </c>
      <c r="D854" s="234">
        <v>860738362</v>
      </c>
      <c r="E854" s="125">
        <v>372</v>
      </c>
      <c r="F854" s="125">
        <v>3.3524</v>
      </c>
      <c r="G854" s="125">
        <f t="shared" si="24"/>
        <v>1247.0928</v>
      </c>
      <c r="H854" s="135" t="s">
        <v>328</v>
      </c>
      <c r="I854" s="86" t="s">
        <v>92</v>
      </c>
      <c r="J854" s="135" t="s">
        <v>352</v>
      </c>
      <c r="K854" s="126">
        <v>46309</v>
      </c>
      <c r="L854" s="126">
        <v>46304</v>
      </c>
      <c r="M854" s="127">
        <f>_xlfn.XLOOKUP(C854,'Product List'!B:B,'Product List'!R:R)</f>
        <v>1.96</v>
      </c>
      <c r="N854" s="124">
        <f t="shared" si="25"/>
        <v>729.12</v>
      </c>
      <c r="O854" s="124" cm="1">
        <f t="array" ref="O854">E854/_xlfn.XLOOKUP(1,('Case Pack'!$A$4:$A$962=C854)*('Case Pack'!$L$4:$L$962&gt;0)*('Case Pack'!$L$4:$L$962&lt;=A854),'Case Pack'!$D$4:$D$962,"未找到箱规")</f>
        <v>31</v>
      </c>
      <c r="P854" s="124" t="str">
        <f>IF(COUNTIF('PO Check'!A:A,D854)&gt;0,"Yes","No")</f>
        <v>Yes</v>
      </c>
      <c r="Q854" s="124" t="str" cm="1">
        <f t="array" ref="Q854">_xlfn.XLOOKUP(1,('Case Pack'!$A$4:$A$962=C854)*('Case Pack'!$L$4:$L$962&gt;0)*('Case Pack'!$L$4:$L$962&lt;=A854),'Case Pack'!$G$4:$G$962,"未找到箱型")</f>
        <v>B</v>
      </c>
      <c r="R854" s="124">
        <f>ROUND(IFERROR(VLOOKUP(Q854,'Case Type'!A:H,8,0),0)*O854,2)</f>
        <v>2.28</v>
      </c>
    </row>
    <row r="855" customFormat="1" spans="1:18">
      <c r="A855" s="113">
        <v>46273</v>
      </c>
      <c r="B855" s="91" t="str">
        <f>_xlfn.XLOOKUP(C855,'Product List'!B:B,'Product List'!I:I)</f>
        <v>MINI &amp; MOE WOODEN BRIDGE</v>
      </c>
      <c r="C855" s="135" t="s">
        <v>44</v>
      </c>
      <c r="D855" s="234">
        <v>860738362</v>
      </c>
      <c r="E855" s="125">
        <v>192</v>
      </c>
      <c r="F855" s="125">
        <v>3.0071</v>
      </c>
      <c r="G855" s="125">
        <f t="shared" si="24"/>
        <v>577.3632</v>
      </c>
      <c r="H855" s="135" t="s">
        <v>328</v>
      </c>
      <c r="I855" s="86" t="s">
        <v>92</v>
      </c>
      <c r="J855" s="135" t="s">
        <v>352</v>
      </c>
      <c r="K855" s="126">
        <v>46309</v>
      </c>
      <c r="L855" s="126">
        <v>46304</v>
      </c>
      <c r="M855" s="127">
        <f>_xlfn.XLOOKUP(C855,'Product List'!B:B,'Product List'!R:R)</f>
        <v>1.83</v>
      </c>
      <c r="N855" s="124">
        <f t="shared" si="25"/>
        <v>351.36</v>
      </c>
      <c r="O855" s="124" cm="1">
        <f t="array" ref="O855">E855/_xlfn.XLOOKUP(1,('Case Pack'!$A$4:$A$962=C855)*('Case Pack'!$L$4:$L$962&gt;0)*('Case Pack'!$L$4:$L$962&lt;=A855),'Case Pack'!$D$4:$D$962,"未找到箱规")</f>
        <v>4</v>
      </c>
      <c r="P855" s="124" t="str">
        <f>IF(COUNTIF('PO Check'!A:A,D855)&gt;0,"Yes","No")</f>
        <v>Yes</v>
      </c>
      <c r="Q855" s="124" t="str" cm="1">
        <f t="array" ref="Q855">_xlfn.XLOOKUP(1,('Case Pack'!$A$4:$A$962=C855)*('Case Pack'!$L$4:$L$962&gt;0)*('Case Pack'!$L$4:$L$962&lt;=A855),'Case Pack'!$G$4:$G$962,"未找到箱型")</f>
        <v>A</v>
      </c>
      <c r="R855" s="124">
        <f>ROUND(IFERROR(VLOOKUP(Q855,'Case Type'!A:H,8,0),0)*O855,2)</f>
        <v>0.44</v>
      </c>
    </row>
    <row r="856" customFormat="1" spans="1:18">
      <c r="A856" s="113">
        <v>46273</v>
      </c>
      <c r="B856" s="91" t="str">
        <f>_xlfn.XLOOKUP(C856,'Product List'!B:B,'Product List'!I:I)</f>
        <v>MINI &amp; MOE MAG CONECT WTR BTL 4 OZ</v>
      </c>
      <c r="C856" s="135" t="s">
        <v>37</v>
      </c>
      <c r="D856" s="234">
        <v>860738362</v>
      </c>
      <c r="E856" s="125">
        <v>432</v>
      </c>
      <c r="F856" s="125">
        <v>2.6619</v>
      </c>
      <c r="G856" s="125">
        <f t="shared" si="24"/>
        <v>1149.9408</v>
      </c>
      <c r="H856" s="135" t="s">
        <v>328</v>
      </c>
      <c r="I856" s="86" t="s">
        <v>92</v>
      </c>
      <c r="J856" s="135" t="s">
        <v>352</v>
      </c>
      <c r="K856" s="126">
        <v>46309</v>
      </c>
      <c r="L856" s="126">
        <v>46304</v>
      </c>
      <c r="M856" s="127">
        <f>_xlfn.XLOOKUP(C856,'Product List'!B:B,'Product List'!R:R)</f>
        <v>1.89</v>
      </c>
      <c r="N856" s="124">
        <f t="shared" si="25"/>
        <v>816.48</v>
      </c>
      <c r="O856" s="124" cm="1">
        <f t="array" ref="O856">E856/_xlfn.XLOOKUP(1,('Case Pack'!$A$4:$A$962=C856)*('Case Pack'!$L$4:$L$962&gt;0)*('Case Pack'!$L$4:$L$962&lt;=A856),'Case Pack'!$D$4:$D$962,"未找到箱规")</f>
        <v>8</v>
      </c>
      <c r="P856" s="124" t="str">
        <f>IF(COUNTIF('PO Check'!A:A,D856)&gt;0,"Yes","No")</f>
        <v>Yes</v>
      </c>
      <c r="Q856" s="124" t="str" cm="1">
        <f t="array" ref="Q856">_xlfn.XLOOKUP(1,('Case Pack'!$A$4:$A$962=C856)*('Case Pack'!$L$4:$L$962&gt;0)*('Case Pack'!$L$4:$L$962&lt;=A856),'Case Pack'!$G$4:$G$962,"未找到箱型")</f>
        <v>A</v>
      </c>
      <c r="R856" s="124">
        <f>ROUND(IFERROR(VLOOKUP(Q856,'Case Type'!A:H,8,0),0)*O856,2)</f>
        <v>0.88</v>
      </c>
    </row>
    <row r="857" customFormat="1" spans="1:18">
      <c r="A857" s="113">
        <v>46287</v>
      </c>
      <c r="B857" s="91" t="str">
        <f>_xlfn.XLOOKUP(C857,'Product List'!B:B,'Product List'!I:I)</f>
        <v>MINI/MOE TV VIEWING CAGE</v>
      </c>
      <c r="C857" s="135" t="s">
        <v>50</v>
      </c>
      <c r="D857" s="234">
        <v>860798255</v>
      </c>
      <c r="E857" s="125">
        <v>257</v>
      </c>
      <c r="F857" s="125">
        <v>45.8702</v>
      </c>
      <c r="G857" s="125">
        <f t="shared" si="24"/>
        <v>11788.6414</v>
      </c>
      <c r="H857" s="135" t="s">
        <v>328</v>
      </c>
      <c r="I857" s="86" t="s">
        <v>92</v>
      </c>
      <c r="J857" s="135" t="s">
        <v>352</v>
      </c>
      <c r="K857" s="126">
        <v>46323</v>
      </c>
      <c r="L857" s="126">
        <v>46318</v>
      </c>
      <c r="M857" s="127">
        <f>_xlfn.XLOOKUP(C857,'Product List'!B:B,'Product List'!R:R)</f>
        <v>24.09</v>
      </c>
      <c r="N857" s="124">
        <f t="shared" si="25"/>
        <v>6191.13</v>
      </c>
      <c r="O857" s="124" cm="1">
        <f t="array" ref="O857">E857/_xlfn.XLOOKUP(1,('Case Pack'!$A$4:$A$962=C857)*('Case Pack'!$L$4:$L$962&gt;0)*('Case Pack'!$L$4:$L$962&lt;=A857),'Case Pack'!$D$4:$D$962,"未找到箱规")</f>
        <v>257</v>
      </c>
      <c r="P857" s="124" t="str">
        <f>IF(COUNTIF('PO Check'!A:A,D857)&gt;0,"Yes","No")</f>
        <v>Yes</v>
      </c>
      <c r="Q857" s="124" t="str" cm="1">
        <f t="array" ref="Q857">_xlfn.XLOOKUP(1,('Case Pack'!$A$4:$A$962=C857)*('Case Pack'!$L$4:$L$962&gt;0)*('Case Pack'!$L$4:$L$962&lt;=A857),'Case Pack'!$G$4:$G$962,"未找到箱型")</f>
        <v>S1</v>
      </c>
      <c r="R857" s="124">
        <f>ROUND(IFERROR(VLOOKUP(Q857,'Case Type'!A:H,8,0),0)*O857,2)</f>
        <v>19.02</v>
      </c>
    </row>
    <row r="858" customFormat="1" spans="1:18">
      <c r="A858" s="113">
        <v>46287</v>
      </c>
      <c r="B858" s="91" t="str">
        <f>_xlfn.XLOOKUP(C858,'Product List'!B:B,'Product List'!I:I)</f>
        <v>MINI &amp; MOE COTTAGE HIDE</v>
      </c>
      <c r="C858" s="135" t="s">
        <v>53</v>
      </c>
      <c r="D858" s="234">
        <v>860798255</v>
      </c>
      <c r="E858" s="125">
        <v>96</v>
      </c>
      <c r="F858" s="125">
        <v>6.2777</v>
      </c>
      <c r="G858" s="125">
        <f t="shared" si="24"/>
        <v>602.6592</v>
      </c>
      <c r="H858" s="135" t="s">
        <v>328</v>
      </c>
      <c r="I858" s="86" t="s">
        <v>92</v>
      </c>
      <c r="J858" s="135" t="s">
        <v>352</v>
      </c>
      <c r="K858" s="126">
        <v>46323</v>
      </c>
      <c r="L858" s="126">
        <v>46318</v>
      </c>
      <c r="M858" s="127">
        <f>_xlfn.XLOOKUP(C858,'Product List'!B:B,'Product List'!R:R)</f>
        <v>3.61</v>
      </c>
      <c r="N858" s="124">
        <f t="shared" si="25"/>
        <v>346.56</v>
      </c>
      <c r="O858" s="124" cm="1">
        <f t="array" ref="O858">E858/_xlfn.XLOOKUP(1,('Case Pack'!$A$4:$A$962=C858)*('Case Pack'!$L$4:$L$962&gt;0)*('Case Pack'!$L$4:$L$962&lt;=A858),'Case Pack'!$D$4:$D$962,"未找到箱规")</f>
        <v>4</v>
      </c>
      <c r="P858" s="124" t="str">
        <f>IF(COUNTIF('PO Check'!A:A,D858)&gt;0,"Yes","No")</f>
        <v>Yes</v>
      </c>
      <c r="Q858" s="124" t="str" cm="1">
        <f t="array" ref="Q858">_xlfn.XLOOKUP(1,('Case Pack'!$A$4:$A$962=C858)*('Case Pack'!$L$4:$L$962&gt;0)*('Case Pack'!$L$4:$L$962&lt;=A858),'Case Pack'!$G$4:$G$962,"未找到箱型")</f>
        <v>C</v>
      </c>
      <c r="R858" s="124">
        <f>ROUND(IFERROR(VLOOKUP(Q858,'Case Type'!A:H,8,0),0)*O858,2)</f>
        <v>0.63</v>
      </c>
    </row>
    <row r="859" customFormat="1" spans="1:18">
      <c r="A859" s="113">
        <v>46287</v>
      </c>
      <c r="B859" s="91" t="str">
        <f>_xlfn.XLOOKUP(C859,'Product List'!B:B,'Product List'!I:I)</f>
        <v>MINI &amp; MOE TREE DECOR CHEW</v>
      </c>
      <c r="C859" s="135" t="s">
        <v>47</v>
      </c>
      <c r="D859" s="234">
        <v>860798255</v>
      </c>
      <c r="E859" s="125">
        <v>140</v>
      </c>
      <c r="F859" s="125">
        <v>3.5341</v>
      </c>
      <c r="G859" s="125">
        <f t="shared" si="24"/>
        <v>494.774</v>
      </c>
      <c r="H859" s="135" t="s">
        <v>328</v>
      </c>
      <c r="I859" s="86" t="s">
        <v>92</v>
      </c>
      <c r="J859" s="135" t="s">
        <v>352</v>
      </c>
      <c r="K859" s="126">
        <v>46323</v>
      </c>
      <c r="L859" s="126">
        <v>46318</v>
      </c>
      <c r="M859" s="127">
        <f>_xlfn.XLOOKUP(C859,'Product List'!B:B,'Product List'!R:R)</f>
        <v>3.1</v>
      </c>
      <c r="N859" s="124">
        <f t="shared" si="25"/>
        <v>434</v>
      </c>
      <c r="O859" s="124" cm="1">
        <f t="array" ref="O859">E859/_xlfn.XLOOKUP(1,('Case Pack'!$A$4:$A$962=C859)*('Case Pack'!$L$4:$L$962&gt;0)*('Case Pack'!$L$4:$L$962&lt;=A859),'Case Pack'!$D$4:$D$962,"未找到箱规")</f>
        <v>5</v>
      </c>
      <c r="P859" s="124" t="str">
        <f>IF(COUNTIF('PO Check'!A:A,D859)&gt;0,"Yes","No")</f>
        <v>Yes</v>
      </c>
      <c r="Q859" s="124" t="str" cm="1">
        <f t="array" ref="Q859">_xlfn.XLOOKUP(1,('Case Pack'!$A$4:$A$962=C859)*('Case Pack'!$L$4:$L$962&gt;0)*('Case Pack'!$L$4:$L$962&lt;=A859),'Case Pack'!$G$4:$G$962,"未找到箱型")</f>
        <v>B</v>
      </c>
      <c r="R859" s="124">
        <f>ROUND(IFERROR(VLOOKUP(Q859,'Case Type'!A:H,8,0),0)*O859,2)</f>
        <v>0.37</v>
      </c>
    </row>
    <row r="860" customFormat="1" spans="1:18">
      <c r="A860" s="113">
        <v>46287</v>
      </c>
      <c r="B860" s="91" t="str">
        <f>_xlfn.XLOOKUP(C860,'Product List'!B:B,'Product List'!I:I)</f>
        <v>MINI &amp; MOE GARDEN DECOR CHEW</v>
      </c>
      <c r="C860" s="135" t="s">
        <v>45</v>
      </c>
      <c r="D860" s="234">
        <v>860798255</v>
      </c>
      <c r="E860" s="125">
        <v>135</v>
      </c>
      <c r="F860" s="125">
        <v>3.2342</v>
      </c>
      <c r="G860" s="125">
        <f t="shared" si="24"/>
        <v>436.617</v>
      </c>
      <c r="H860" s="135" t="s">
        <v>328</v>
      </c>
      <c r="I860" s="86" t="s">
        <v>92</v>
      </c>
      <c r="J860" s="135" t="s">
        <v>352</v>
      </c>
      <c r="K860" s="126">
        <v>46323</v>
      </c>
      <c r="L860" s="126">
        <v>46318</v>
      </c>
      <c r="M860" s="127">
        <f>_xlfn.XLOOKUP(C860,'Product List'!B:B,'Product List'!R:R)</f>
        <v>2.35</v>
      </c>
      <c r="N860" s="124">
        <f t="shared" si="25"/>
        <v>317.25</v>
      </c>
      <c r="O860" s="124" cm="1">
        <f t="array" ref="O860">E860/_xlfn.XLOOKUP(1,('Case Pack'!$A$4:$A$962=C860)*('Case Pack'!$L$4:$L$962&gt;0)*('Case Pack'!$L$4:$L$962&lt;=A860),'Case Pack'!$D$4:$D$962,"未找到箱规")</f>
        <v>3</v>
      </c>
      <c r="P860" s="124" t="str">
        <f>IF(COUNTIF('PO Check'!A:A,D860)&gt;0,"Yes","No")</f>
        <v>Yes</v>
      </c>
      <c r="Q860" s="124" t="str" cm="1">
        <f t="array" ref="Q860">_xlfn.XLOOKUP(1,('Case Pack'!$A$4:$A$962=C860)*('Case Pack'!$L$4:$L$962&gt;0)*('Case Pack'!$L$4:$L$962&lt;=A860),'Case Pack'!$G$4:$G$962,"未找到箱型")</f>
        <v>B</v>
      </c>
      <c r="R860" s="124">
        <f>ROUND(IFERROR(VLOOKUP(Q860,'Case Type'!A:H,8,0),0)*O860,2)</f>
        <v>0.22</v>
      </c>
    </row>
    <row r="861" customFormat="1" spans="1:18">
      <c r="A861" s="113">
        <v>46287</v>
      </c>
      <c r="B861" s="91" t="str">
        <f>_xlfn.XLOOKUP(C861,'Product List'!B:B,'Product List'!I:I)</f>
        <v>MINI/MOE CAMPING TENT HIDE</v>
      </c>
      <c r="C861" s="135" t="s">
        <v>73</v>
      </c>
      <c r="D861" s="234">
        <v>860798255</v>
      </c>
      <c r="E861" s="125">
        <v>108</v>
      </c>
      <c r="F861" s="125">
        <v>3.3524</v>
      </c>
      <c r="G861" s="125">
        <f t="shared" si="24"/>
        <v>362.0592</v>
      </c>
      <c r="H861" s="135" t="s">
        <v>328</v>
      </c>
      <c r="I861" s="86" t="s">
        <v>92</v>
      </c>
      <c r="J861" s="135" t="s">
        <v>352</v>
      </c>
      <c r="K861" s="126">
        <v>46323</v>
      </c>
      <c r="L861" s="126">
        <v>46318</v>
      </c>
      <c r="M861" s="127">
        <f>_xlfn.XLOOKUP(C861,'Product List'!B:B,'Product List'!R:R)</f>
        <v>1.96</v>
      </c>
      <c r="N861" s="124">
        <f t="shared" si="25"/>
        <v>211.68</v>
      </c>
      <c r="O861" s="124" cm="1">
        <f t="array" ref="O861">E861/_xlfn.XLOOKUP(1,('Case Pack'!$A$4:$A$962=C861)*('Case Pack'!$L$4:$L$962&gt;0)*('Case Pack'!$L$4:$L$962&lt;=A861),'Case Pack'!$D$4:$D$962,"未找到箱规")</f>
        <v>9</v>
      </c>
      <c r="P861" s="124" t="str">
        <f>IF(COUNTIF('PO Check'!A:A,D861)&gt;0,"Yes","No")</f>
        <v>Yes</v>
      </c>
      <c r="Q861" s="124" t="str" cm="1">
        <f t="array" ref="Q861">_xlfn.XLOOKUP(1,('Case Pack'!$A$4:$A$962=C861)*('Case Pack'!$L$4:$L$962&gt;0)*('Case Pack'!$L$4:$L$962&lt;=A861),'Case Pack'!$G$4:$G$962,"未找到箱型")</f>
        <v>B</v>
      </c>
      <c r="R861" s="124">
        <f>ROUND(IFERROR(VLOOKUP(Q861,'Case Type'!A:H,8,0),0)*O861,2)</f>
        <v>0.66</v>
      </c>
    </row>
    <row r="862" customFormat="1" spans="1:18">
      <c r="A862" s="113">
        <v>46287</v>
      </c>
      <c r="B862" s="91" t="str">
        <f>_xlfn.XLOOKUP(C862,'Product List'!B:B,'Product List'!I:I)</f>
        <v>MINI &amp; MOE MAG CONECT WTR BTL 4 OZ</v>
      </c>
      <c r="C862" s="135" t="s">
        <v>37</v>
      </c>
      <c r="D862" s="234">
        <v>860798255</v>
      </c>
      <c r="E862" s="125">
        <v>270</v>
      </c>
      <c r="F862" s="125">
        <v>2.6619</v>
      </c>
      <c r="G862" s="125">
        <f t="shared" si="24"/>
        <v>718.713</v>
      </c>
      <c r="H862" s="135" t="s">
        <v>328</v>
      </c>
      <c r="I862" s="86" t="s">
        <v>92</v>
      </c>
      <c r="J862" s="135" t="s">
        <v>352</v>
      </c>
      <c r="K862" s="126">
        <v>46323</v>
      </c>
      <c r="L862" s="126">
        <v>46318</v>
      </c>
      <c r="M862" s="127">
        <f>_xlfn.XLOOKUP(C862,'Product List'!B:B,'Product List'!R:R)</f>
        <v>1.89</v>
      </c>
      <c r="N862" s="124">
        <f t="shared" si="25"/>
        <v>510.3</v>
      </c>
      <c r="O862" s="124" cm="1">
        <f t="array" ref="O862">E862/_xlfn.XLOOKUP(1,('Case Pack'!$A$4:$A$962=C862)*('Case Pack'!$L$4:$L$962&gt;0)*('Case Pack'!$L$4:$L$962&lt;=A862),'Case Pack'!$D$4:$D$962,"未找到箱规")</f>
        <v>5</v>
      </c>
      <c r="P862" s="124" t="str">
        <f>IF(COUNTIF('PO Check'!A:A,D862)&gt;0,"Yes","No")</f>
        <v>Yes</v>
      </c>
      <c r="Q862" s="124" t="str" cm="1">
        <f t="array" ref="Q862">_xlfn.XLOOKUP(1,('Case Pack'!$A$4:$A$962=C862)*('Case Pack'!$L$4:$L$962&gt;0)*('Case Pack'!$L$4:$L$962&lt;=A862),'Case Pack'!$G$4:$G$962,"未找到箱型")</f>
        <v>A</v>
      </c>
      <c r="R862" s="124">
        <f>ROUND(IFERROR(VLOOKUP(Q862,'Case Type'!A:H,8,0),0)*O862,2)</f>
        <v>0.55</v>
      </c>
    </row>
    <row r="863" customFormat="1" spans="1:18">
      <c r="A863" s="113">
        <v>46287</v>
      </c>
      <c r="B863" s="91" t="str">
        <f>_xlfn.XLOOKUP(C863,'Product List'!B:B,'Product List'!I:I)</f>
        <v>MINI/MOE WOODLAND POTTY</v>
      </c>
      <c r="C863" s="135" t="s">
        <v>79</v>
      </c>
      <c r="D863" s="234" t="s">
        <v>366</v>
      </c>
      <c r="E863" s="125">
        <v>108</v>
      </c>
      <c r="F863" s="125">
        <v>2.61</v>
      </c>
      <c r="G863" s="125">
        <f t="shared" si="24"/>
        <v>281.88</v>
      </c>
      <c r="H863" s="135" t="s">
        <v>306</v>
      </c>
      <c r="I863" s="86" t="s">
        <v>92</v>
      </c>
      <c r="J863" s="135" t="s">
        <v>313</v>
      </c>
      <c r="K863" s="126">
        <v>46318</v>
      </c>
      <c r="L863" s="126">
        <v>46309</v>
      </c>
      <c r="M863" s="127">
        <f>_xlfn.XLOOKUP(C863,'Product List'!B:B,'Product List'!R:R)</f>
        <v>1.19</v>
      </c>
      <c r="N863" s="124">
        <f t="shared" si="25"/>
        <v>128.52</v>
      </c>
      <c r="O863" s="124" cm="1">
        <f t="array" ref="O863">E863/_xlfn.XLOOKUP(1,('Case Pack'!$A$4:$A$962=C863)*('Case Pack'!$L$4:$L$962&gt;0)*('Case Pack'!$L$4:$L$962&lt;=A863),'Case Pack'!$D$4:$D$962,"未找到箱规")</f>
        <v>3</v>
      </c>
      <c r="P863" s="124" t="str">
        <f>IF(COUNTIF('PO Check'!A:A,D863)&gt;0,"Yes","No")</f>
        <v>Yes</v>
      </c>
      <c r="Q863" s="124" t="str" cm="1">
        <f t="array" ref="Q863">_xlfn.XLOOKUP(1,('Case Pack'!$A$4:$A$962=C863)*('Case Pack'!$L$4:$L$962&gt;0)*('Case Pack'!$L$4:$L$962&lt;=A863),'Case Pack'!$G$4:$G$962,"未找到箱型")</f>
        <v>C</v>
      </c>
      <c r="R863" s="124">
        <f>ROUND(IFERROR(VLOOKUP(Q863,'Case Type'!A:H,8,0),0)*O863,2)</f>
        <v>0.47</v>
      </c>
    </row>
    <row r="864" customFormat="1" spans="1:18">
      <c r="A864" s="113">
        <v>46287</v>
      </c>
      <c r="B864" s="91" t="str">
        <f>_xlfn.XLOOKUP(C864,'Product List'!B:B,'Product List'!I:I)</f>
        <v>MINI/MOE IVY BURROWING BOX</v>
      </c>
      <c r="C864" s="135" t="s">
        <v>49</v>
      </c>
      <c r="D864" s="234" t="s">
        <v>366</v>
      </c>
      <c r="E864" s="125">
        <v>124</v>
      </c>
      <c r="F864" s="125">
        <v>14.89</v>
      </c>
      <c r="G864" s="125">
        <f t="shared" si="24"/>
        <v>1846.36</v>
      </c>
      <c r="H864" s="135" t="s">
        <v>306</v>
      </c>
      <c r="I864" s="86" t="s">
        <v>92</v>
      </c>
      <c r="J864" s="135" t="s">
        <v>313</v>
      </c>
      <c r="K864" s="126">
        <v>46318</v>
      </c>
      <c r="L864" s="126">
        <v>46309</v>
      </c>
      <c r="M864" s="127">
        <f>_xlfn.XLOOKUP(C864,'Product List'!B:B,'Product List'!R:R)</f>
        <v>7.16</v>
      </c>
      <c r="N864" s="124">
        <f t="shared" si="25"/>
        <v>887.84</v>
      </c>
      <c r="O864" s="124" cm="1">
        <f t="array" ref="O864">E864/_xlfn.XLOOKUP(1,('Case Pack'!$A$4:$A$962=C864)*('Case Pack'!$L$4:$L$962&gt;0)*('Case Pack'!$L$4:$L$962&lt;=A864),'Case Pack'!$D$4:$D$962,"未找到箱规")</f>
        <v>31</v>
      </c>
      <c r="P864" s="124" t="str">
        <f>IF(COUNTIF('PO Check'!A:A,D864)&gt;0,"Yes","No")</f>
        <v>Yes</v>
      </c>
      <c r="Q864" s="124" t="str" cm="1">
        <f t="array" ref="Q864">_xlfn.XLOOKUP(1,('Case Pack'!$A$4:$A$962=C864)*('Case Pack'!$L$4:$L$962&gt;0)*('Case Pack'!$L$4:$L$962&lt;=A864),'Case Pack'!$G$4:$G$962,"未找到箱型")</f>
        <v>D</v>
      </c>
      <c r="R864" s="124">
        <f>ROUND(IFERROR(VLOOKUP(Q864,'Case Type'!A:H,8,0),0)*O864,2)</f>
        <v>2.73</v>
      </c>
    </row>
    <row r="865" customFormat="1" spans="1:18">
      <c r="A865" s="113">
        <v>46287</v>
      </c>
      <c r="B865" s="91" t="str">
        <f>_xlfn.XLOOKUP(C865,'Product List'!B:B,'Product List'!I:I)</f>
        <v>MINI/MOE GARDEN TEAPOT</v>
      </c>
      <c r="C865" s="135" t="s">
        <v>43</v>
      </c>
      <c r="D865" s="234" t="s">
        <v>366</v>
      </c>
      <c r="E865" s="125">
        <v>180</v>
      </c>
      <c r="F865" s="125">
        <v>4.61</v>
      </c>
      <c r="G865" s="125">
        <f t="shared" si="24"/>
        <v>829.8</v>
      </c>
      <c r="H865" s="135" t="s">
        <v>306</v>
      </c>
      <c r="I865" s="86" t="s">
        <v>92</v>
      </c>
      <c r="J865" s="135" t="s">
        <v>313</v>
      </c>
      <c r="K865" s="126">
        <v>46318</v>
      </c>
      <c r="L865" s="126">
        <v>46309</v>
      </c>
      <c r="M865" s="127">
        <f>_xlfn.XLOOKUP(C865,'Product List'!B:B,'Product List'!R:R)</f>
        <v>2.25</v>
      </c>
      <c r="N865" s="124">
        <f t="shared" si="25"/>
        <v>405</v>
      </c>
      <c r="O865" s="124" cm="1">
        <f t="array" ref="O865">E865/_xlfn.XLOOKUP(1,('Case Pack'!$A$4:$A$962=C865)*('Case Pack'!$L$4:$L$962&gt;0)*('Case Pack'!$L$4:$L$962&lt;=A865),'Case Pack'!$D$4:$D$962,"未找到箱规")</f>
        <v>6</v>
      </c>
      <c r="P865" s="124" t="str">
        <f>IF(COUNTIF('PO Check'!A:A,D865)&gt;0,"Yes","No")</f>
        <v>Yes</v>
      </c>
      <c r="Q865" s="124" t="str" cm="1">
        <f t="array" ref="Q865">_xlfn.XLOOKUP(1,('Case Pack'!$A$4:$A$962=C865)*('Case Pack'!$L$4:$L$962&gt;0)*('Case Pack'!$L$4:$L$962&lt;=A865),'Case Pack'!$G$4:$G$962,"未找到箱型")</f>
        <v>C</v>
      </c>
      <c r="R865" s="124">
        <f>ROUND(IFERROR(VLOOKUP(Q865,'Case Type'!A:H,8,0),0)*O865,2)</f>
        <v>0.94</v>
      </c>
    </row>
    <row r="866" customFormat="1" spans="1:18">
      <c r="A866" s="113">
        <v>46287</v>
      </c>
      <c r="B866" s="91" t="str">
        <f>_xlfn.XLOOKUP(C866,'Product List'!B:B,'Product List'!I:I)</f>
        <v>MINI/MOE TULIP WATER BOTTLE</v>
      </c>
      <c r="C866" s="135" t="s">
        <v>52</v>
      </c>
      <c r="D866" s="234" t="s">
        <v>366</v>
      </c>
      <c r="E866" s="125">
        <v>120</v>
      </c>
      <c r="F866" s="125">
        <v>1.7</v>
      </c>
      <c r="G866" s="125">
        <f>E866*F866</f>
        <v>204</v>
      </c>
      <c r="H866" s="135" t="s">
        <v>306</v>
      </c>
      <c r="I866" s="86" t="s">
        <v>92</v>
      </c>
      <c r="J866" s="135" t="s">
        <v>313</v>
      </c>
      <c r="K866" s="126">
        <v>46318</v>
      </c>
      <c r="L866" s="126">
        <v>46309</v>
      </c>
      <c r="M866" s="127">
        <f>_xlfn.XLOOKUP(C866,'Product List'!B:B,'Product List'!R:R)</f>
        <v>0.73</v>
      </c>
      <c r="N866" s="124">
        <f>M866*E866</f>
        <v>87.6</v>
      </c>
      <c r="O866" s="124" cm="1">
        <f t="array" ref="O866">E866/_xlfn.XLOOKUP(1,('Case Pack'!$A$4:$A$962=C866)*('Case Pack'!$L$4:$L$962&gt;0)*('Case Pack'!$L$4:$L$962&lt;=A866),'Case Pack'!$D$4:$D$962,"未找到箱规")</f>
        <v>2</v>
      </c>
      <c r="P866" s="124" t="str">
        <f>IF(COUNTIF('PO Check'!A:A,D866)&gt;0,"Yes","No")</f>
        <v>Yes</v>
      </c>
      <c r="Q866" s="124" t="str" cm="1">
        <f t="array" ref="Q866">_xlfn.XLOOKUP(1,('Case Pack'!$A$4:$A$962=C866)*('Case Pack'!$L$4:$L$962&gt;0)*('Case Pack'!$L$4:$L$962&lt;=A866),'Case Pack'!$G$4:$G$962,"未找到箱型")</f>
        <v>C</v>
      </c>
      <c r="R866" s="124">
        <f>ROUND(IFERROR(VLOOKUP(Q866,'Case Type'!A:H,8,0),0)*O866,2)</f>
        <v>0.31</v>
      </c>
    </row>
    <row r="867" customFormat="1" spans="1:18">
      <c r="A867" s="113">
        <v>46287</v>
      </c>
      <c r="B867" s="91" t="str">
        <f>_xlfn.XLOOKUP(C867,'Product List'!B:B,'Product List'!I:I)</f>
        <v>D. MMO-COTTAGE VIEW CAGE</v>
      </c>
      <c r="C867" s="135" t="s">
        <v>64</v>
      </c>
      <c r="D867" s="234" t="s">
        <v>366</v>
      </c>
      <c r="E867" s="125">
        <v>33</v>
      </c>
      <c r="F867" s="125">
        <v>70.28</v>
      </c>
      <c r="G867" s="125">
        <f>E867*F867</f>
        <v>2319.24</v>
      </c>
      <c r="H867" s="135" t="s">
        <v>306</v>
      </c>
      <c r="I867" s="86" t="s">
        <v>92</v>
      </c>
      <c r="J867" s="135" t="s">
        <v>313</v>
      </c>
      <c r="K867" s="126">
        <v>46318</v>
      </c>
      <c r="L867" s="126">
        <v>46309</v>
      </c>
      <c r="M867" s="127">
        <f>_xlfn.XLOOKUP(C867,'Product List'!B:B,'Product List'!R:R)</f>
        <v>28.56</v>
      </c>
      <c r="N867" s="124">
        <f>M867*E867</f>
        <v>942.48</v>
      </c>
      <c r="O867" s="124" cm="1">
        <f t="array" ref="O867">E867/_xlfn.XLOOKUP(1,('Case Pack'!$A$4:$A$962=C867)*('Case Pack'!$L$4:$L$962&gt;0)*('Case Pack'!$L$4:$L$962&lt;=A867),'Case Pack'!$D$4:$D$962,"未找到箱规")</f>
        <v>33</v>
      </c>
      <c r="P867" s="124" t="str">
        <f>IF(COUNTIF('PO Check'!A:A,D867)&gt;0,"Yes","No")</f>
        <v>Yes</v>
      </c>
      <c r="Q867" s="124" t="str" cm="1">
        <f t="array" ref="Q867">_xlfn.XLOOKUP(1,('Case Pack'!$A$4:$A$962=C867)*('Case Pack'!$L$4:$L$962&gt;0)*('Case Pack'!$L$4:$L$962&lt;=A867),'Case Pack'!$G$4:$G$962,"未找到箱型")</f>
        <v>S3</v>
      </c>
      <c r="R867" s="124">
        <f>ROUND(IFERROR(VLOOKUP(Q867,'Case Type'!A:H,8,0),0)*O867,2)</f>
        <v>4.69</v>
      </c>
    </row>
    <row r="868" customFormat="1" spans="1:18">
      <c r="A868" s="113">
        <v>46287</v>
      </c>
      <c r="B868" s="91" t="str">
        <f>_xlfn.XLOOKUP(C868,'Product List'!B:B,'Product List'!I:I)</f>
        <v>MINI/MOE TREEHOUSE CABIN</v>
      </c>
      <c r="C868" s="135" t="s">
        <v>41</v>
      </c>
      <c r="D868" s="234" t="s">
        <v>366</v>
      </c>
      <c r="E868" s="125">
        <v>90</v>
      </c>
      <c r="F868" s="125">
        <v>4.28</v>
      </c>
      <c r="G868" s="125">
        <f>E868*F868</f>
        <v>385.2</v>
      </c>
      <c r="H868" s="135" t="s">
        <v>306</v>
      </c>
      <c r="I868" s="86" t="s">
        <v>92</v>
      </c>
      <c r="J868" s="135" t="s">
        <v>313</v>
      </c>
      <c r="K868" s="126">
        <v>46318</v>
      </c>
      <c r="L868" s="126">
        <v>46309</v>
      </c>
      <c r="M868" s="127">
        <f>_xlfn.XLOOKUP(C868,'Product List'!B:B,'Product List'!R:R)</f>
        <v>2.07</v>
      </c>
      <c r="N868" s="124">
        <f>M868*E868</f>
        <v>186.3</v>
      </c>
      <c r="O868" s="124" cm="1">
        <f t="array" ref="O868">E868/_xlfn.XLOOKUP(1,('Case Pack'!$A$4:$A$962=C868)*('Case Pack'!$L$4:$L$962&gt;0)*('Case Pack'!$L$4:$L$962&lt;=A868),'Case Pack'!$D$4:$D$962,"未找到箱规")</f>
        <v>3</v>
      </c>
      <c r="P868" s="124" t="str">
        <f>IF(COUNTIF('PO Check'!A:A,D868)&gt;0,"Yes","No")</f>
        <v>Yes</v>
      </c>
      <c r="Q868" s="124" t="str" cm="1">
        <f t="array" ref="Q868">_xlfn.XLOOKUP(1,('Case Pack'!$A$4:$A$962=C868)*('Case Pack'!$L$4:$L$962&gt;0)*('Case Pack'!$L$4:$L$962&lt;=A868),'Case Pack'!$G$4:$G$962,"未找到箱型")</f>
        <v>C</v>
      </c>
      <c r="R868" s="124">
        <f>ROUND(IFERROR(VLOOKUP(Q868,'Case Type'!A:H,8,0),0)*O868,2)</f>
        <v>0.47</v>
      </c>
    </row>
    <row r="869" customFormat="1" spans="1:18">
      <c r="A869" s="113">
        <v>46287</v>
      </c>
      <c r="B869" s="91" t="str">
        <f>_xlfn.XLOOKUP(C869,'Product List'!B:B,'Product List'!I:I)</f>
        <v>MINI/MOE SILENT CRSTL RUN WHEEL XL 11.5 1EA</v>
      </c>
      <c r="C869" s="135" t="s">
        <v>76</v>
      </c>
      <c r="D869" s="234" t="s">
        <v>366</v>
      </c>
      <c r="E869" s="125">
        <v>63</v>
      </c>
      <c r="F869" s="125">
        <v>19.75</v>
      </c>
      <c r="G869" s="125">
        <f>E869*F869</f>
        <v>1244.25</v>
      </c>
      <c r="H869" s="135" t="s">
        <v>306</v>
      </c>
      <c r="I869" s="86" t="s">
        <v>92</v>
      </c>
      <c r="J869" s="135" t="s">
        <v>313</v>
      </c>
      <c r="K869" s="126">
        <v>46318</v>
      </c>
      <c r="L869" s="126">
        <v>46309</v>
      </c>
      <c r="M869" s="127">
        <f>_xlfn.XLOOKUP(C869,'Product List'!B:B,'Product List'!R:R)</f>
        <v>10.42</v>
      </c>
      <c r="N869" s="124">
        <f>M869*E869</f>
        <v>656.46</v>
      </c>
      <c r="O869" s="124" cm="1">
        <f t="array" ref="O869">E869/_xlfn.XLOOKUP(1,('Case Pack'!$A$4:$A$962=C869)*('Case Pack'!$L$4:$L$962&gt;0)*('Case Pack'!$L$4:$L$962&lt;=A869),'Case Pack'!$D$4:$D$962,"未找到箱规")</f>
        <v>21</v>
      </c>
      <c r="P869" s="124" t="str">
        <f>IF(COUNTIF('PO Check'!A:A,D869)&gt;0,"Yes","No")</f>
        <v>Yes</v>
      </c>
      <c r="Q869" s="124" t="str" cm="1">
        <f t="array" ref="Q869">_xlfn.XLOOKUP(1,('Case Pack'!$A$4:$A$962=C869)*('Case Pack'!$L$4:$L$962&gt;0)*('Case Pack'!$L$4:$L$962&lt;=A869),'Case Pack'!$G$4:$G$962,"未找到箱型")</f>
        <v>C</v>
      </c>
      <c r="R869" s="124">
        <f>ROUND(IFERROR(VLOOKUP(Q869,'Case Type'!A:H,8,0),0)*O869,2)</f>
        <v>3.3</v>
      </c>
    </row>
    <row r="870" customFormat="1" spans="1:18">
      <c r="A870" s="113">
        <v>46287</v>
      </c>
      <c r="B870" s="91" t="str">
        <f>_xlfn.XLOOKUP(C870,'Product List'!B:B,'Product List'!I:I)</f>
        <v>MINI/MOE SILENT CRSTL RUN WHEEL LG 8.5-Green</v>
      </c>
      <c r="C870" s="135" t="s">
        <v>28</v>
      </c>
      <c r="D870" s="234" t="s">
        <v>366</v>
      </c>
      <c r="E870" s="125">
        <v>48</v>
      </c>
      <c r="F870" s="125">
        <v>12.63</v>
      </c>
      <c r="G870" s="125">
        <f t="shared" ref="G870:G927" si="26">E870*F870</f>
        <v>606.24</v>
      </c>
      <c r="H870" s="135" t="s">
        <v>306</v>
      </c>
      <c r="I870" s="86" t="s">
        <v>92</v>
      </c>
      <c r="J870" s="135" t="s">
        <v>313</v>
      </c>
      <c r="K870" s="126">
        <v>46318</v>
      </c>
      <c r="L870" s="126">
        <v>46309</v>
      </c>
      <c r="M870" s="127">
        <f>_xlfn.XLOOKUP(C870,'Product List'!B:B,'Product List'!R:R)</f>
        <v>6.27</v>
      </c>
      <c r="N870" s="124">
        <f t="shared" ref="N870:N906" si="27">M870*E870</f>
        <v>300.96</v>
      </c>
      <c r="O870" s="124" cm="1">
        <f t="array" ref="O870">E870/_xlfn.XLOOKUP(1,('Case Pack'!$A$4:$A$962=C870)*('Case Pack'!$L$4:$L$962&gt;0)*('Case Pack'!$L$4:$L$962&lt;=A870),'Case Pack'!$D$4:$D$962,"未找到箱规")</f>
        <v>6</v>
      </c>
      <c r="P870" s="124" t="str">
        <f>IF(COUNTIF('PO Check'!A:A,D870)&gt;0,"Yes","No")</f>
        <v>Yes</v>
      </c>
      <c r="Q870" s="124" t="str" cm="1">
        <f t="array" ref="Q870">_xlfn.XLOOKUP(1,('Case Pack'!$A$4:$A$962=C870)*('Case Pack'!$L$4:$L$962&gt;0)*('Case Pack'!$L$4:$L$962&lt;=A870),'Case Pack'!$G$4:$G$962,"未找到箱型")</f>
        <v>C</v>
      </c>
      <c r="R870" s="124">
        <f>ROUND(IFERROR(VLOOKUP(Q870,'Case Type'!A:H,8,0),0)*O870,2)</f>
        <v>0.94</v>
      </c>
    </row>
    <row r="871" customFormat="1" spans="1:18">
      <c r="A871" s="113">
        <v>46287</v>
      </c>
      <c r="B871" s="91" t="str">
        <f>_xlfn.XLOOKUP(C871,'Product List'!B:B,'Product List'!I:I)</f>
        <v>MINI/MOE MUSHROOM CABIN</v>
      </c>
      <c r="C871" s="135" t="s">
        <v>39</v>
      </c>
      <c r="D871" s="234" t="s">
        <v>366</v>
      </c>
      <c r="E871" s="125">
        <v>96</v>
      </c>
      <c r="F871" s="125">
        <v>6.98</v>
      </c>
      <c r="G871" s="125">
        <f t="shared" si="26"/>
        <v>670.08</v>
      </c>
      <c r="H871" s="135" t="s">
        <v>306</v>
      </c>
      <c r="I871" s="86" t="s">
        <v>92</v>
      </c>
      <c r="J871" s="135" t="s">
        <v>313</v>
      </c>
      <c r="K871" s="126">
        <v>46318</v>
      </c>
      <c r="L871" s="126">
        <v>46309</v>
      </c>
      <c r="M871" s="127">
        <f>_xlfn.XLOOKUP(C871,'Product List'!B:B,'Product List'!R:R)</f>
        <v>3.2</v>
      </c>
      <c r="N871" s="124">
        <f t="shared" si="27"/>
        <v>307.2</v>
      </c>
      <c r="O871" s="124" cm="1">
        <f t="array" ref="O871">E871/_xlfn.XLOOKUP(1,('Case Pack'!$A$4:$A$962=C871)*('Case Pack'!$L$4:$L$962&gt;0)*('Case Pack'!$L$4:$L$962&lt;=A871),'Case Pack'!$D$4:$D$962,"未找到箱规")</f>
        <v>6</v>
      </c>
      <c r="P871" s="124" t="str">
        <f>IF(COUNTIF('PO Check'!A:A,D871)&gt;0,"Yes","No")</f>
        <v>Yes</v>
      </c>
      <c r="Q871" s="124" t="str" cm="1">
        <f t="array" ref="Q871">_xlfn.XLOOKUP(1,('Case Pack'!$A$4:$A$962=C871)*('Case Pack'!$L$4:$L$962&gt;0)*('Case Pack'!$L$4:$L$962&lt;=A871),'Case Pack'!$G$4:$G$962,"未找到箱型")</f>
        <v>C</v>
      </c>
      <c r="R871" s="124">
        <f>ROUND(IFERROR(VLOOKUP(Q871,'Case Type'!A:H,8,0),0)*O871,2)</f>
        <v>0.94</v>
      </c>
    </row>
    <row r="872" customFormat="1" spans="1:18">
      <c r="A872" s="113">
        <v>46287</v>
      </c>
      <c r="B872" s="91" t="str">
        <f>_xlfn.XLOOKUP(C872,'Product List'!B:B,'Product List'!I:I)</f>
        <v>MINI/MOE CAMPING TENT HIDE</v>
      </c>
      <c r="C872" s="135" t="s">
        <v>73</v>
      </c>
      <c r="D872" s="234" t="s">
        <v>366</v>
      </c>
      <c r="E872" s="125">
        <v>132</v>
      </c>
      <c r="F872" s="125">
        <v>3.36</v>
      </c>
      <c r="G872" s="125">
        <f t="shared" si="26"/>
        <v>443.52</v>
      </c>
      <c r="H872" s="135" t="s">
        <v>306</v>
      </c>
      <c r="I872" s="86" t="s">
        <v>92</v>
      </c>
      <c r="J872" s="135" t="s">
        <v>313</v>
      </c>
      <c r="K872" s="126">
        <v>46318</v>
      </c>
      <c r="L872" s="126">
        <v>46309</v>
      </c>
      <c r="M872" s="127">
        <f>_xlfn.XLOOKUP(C872,'Product List'!B:B,'Product List'!R:R)</f>
        <v>1.96</v>
      </c>
      <c r="N872" s="124">
        <f t="shared" si="27"/>
        <v>258.72</v>
      </c>
      <c r="O872" s="124" cm="1">
        <f t="array" ref="O872">E872/_xlfn.XLOOKUP(1,('Case Pack'!$A$4:$A$962=C872)*('Case Pack'!$L$4:$L$962&gt;0)*('Case Pack'!$L$4:$L$962&lt;=A872),'Case Pack'!$D$4:$D$962,"未找到箱规")</f>
        <v>11</v>
      </c>
      <c r="P872" s="124" t="str">
        <f>IF(COUNTIF('PO Check'!A:A,D872)&gt;0,"Yes","No")</f>
        <v>Yes</v>
      </c>
      <c r="Q872" s="124" t="str" cm="1">
        <f t="array" ref="Q872">_xlfn.XLOOKUP(1,('Case Pack'!$A$4:$A$962=C872)*('Case Pack'!$L$4:$L$962&gt;0)*('Case Pack'!$L$4:$L$962&lt;=A872),'Case Pack'!$G$4:$G$962,"未找到箱型")</f>
        <v>B</v>
      </c>
      <c r="R872" s="124">
        <f>ROUND(IFERROR(VLOOKUP(Q872,'Case Type'!A:H,8,0),0)*O872,2)</f>
        <v>0.81</v>
      </c>
    </row>
    <row r="873" customFormat="1" spans="1:18">
      <c r="A873" s="113">
        <v>46287</v>
      </c>
      <c r="B873" s="91" t="str">
        <f>_xlfn.XLOOKUP(C873,'Product List'!B:B,'Product List'!I:I)</f>
        <v>MINI/MOE TV VIEWING CAGE</v>
      </c>
      <c r="C873" s="135" t="s">
        <v>50</v>
      </c>
      <c r="D873" s="234" t="s">
        <v>366</v>
      </c>
      <c r="E873" s="125">
        <v>80</v>
      </c>
      <c r="F873" s="125">
        <v>51.71</v>
      </c>
      <c r="G873" s="125">
        <f t="shared" si="26"/>
        <v>4136.8</v>
      </c>
      <c r="H873" s="135" t="s">
        <v>306</v>
      </c>
      <c r="I873" s="86" t="s">
        <v>92</v>
      </c>
      <c r="J873" s="135" t="s">
        <v>313</v>
      </c>
      <c r="K873" s="126">
        <v>46318</v>
      </c>
      <c r="L873" s="126">
        <v>46309</v>
      </c>
      <c r="M873" s="127">
        <f>_xlfn.XLOOKUP(C873,'Product List'!B:B,'Product List'!R:R)</f>
        <v>24.09</v>
      </c>
      <c r="N873" s="124">
        <f t="shared" si="27"/>
        <v>1927.2</v>
      </c>
      <c r="O873" s="124" cm="1">
        <f t="array" ref="O873">E873/_xlfn.XLOOKUP(1,('Case Pack'!$A$4:$A$962=C873)*('Case Pack'!$L$4:$L$962&gt;0)*('Case Pack'!$L$4:$L$962&lt;=A873),'Case Pack'!$D$4:$D$962,"未找到箱规")</f>
        <v>80</v>
      </c>
      <c r="P873" s="124" t="str">
        <f>IF(COUNTIF('PO Check'!A:A,D873)&gt;0,"Yes","No")</f>
        <v>Yes</v>
      </c>
      <c r="Q873" s="124" t="str" cm="1">
        <f t="array" ref="Q873">_xlfn.XLOOKUP(1,('Case Pack'!$A$4:$A$962=C873)*('Case Pack'!$L$4:$L$962&gt;0)*('Case Pack'!$L$4:$L$962&lt;=A873),'Case Pack'!$G$4:$G$962,"未找到箱型")</f>
        <v>S1</v>
      </c>
      <c r="R873" s="124">
        <f>ROUND(IFERROR(VLOOKUP(Q873,'Case Type'!A:H,8,0),0)*O873,2)</f>
        <v>5.92</v>
      </c>
    </row>
    <row r="874" customFormat="1" spans="1:18">
      <c r="A874" s="113">
        <v>46287</v>
      </c>
      <c r="B874" s="91" t="str">
        <f>_xlfn.XLOOKUP(C874,'Product List'!B:B,'Product List'!I:I)</f>
        <v>MINI/MOE SMALL ANIMAL BEDDING ROLLED PAPER FOREST MIX 1EA</v>
      </c>
      <c r="C874" s="135" t="s">
        <v>32</v>
      </c>
      <c r="D874" s="234" t="s">
        <v>366</v>
      </c>
      <c r="E874" s="125">
        <v>30</v>
      </c>
      <c r="F874" s="125">
        <v>4.75</v>
      </c>
      <c r="G874" s="125">
        <f t="shared" si="26"/>
        <v>142.5</v>
      </c>
      <c r="H874" s="135" t="s">
        <v>306</v>
      </c>
      <c r="I874" s="86" t="s">
        <v>92</v>
      </c>
      <c r="J874" s="135" t="s">
        <v>313</v>
      </c>
      <c r="K874" s="126">
        <v>46318</v>
      </c>
      <c r="L874" s="126">
        <v>46309</v>
      </c>
      <c r="M874" s="127">
        <f>_xlfn.XLOOKUP(C874,'Product List'!B:B,'Product List'!R:R)</f>
        <v>2.47</v>
      </c>
      <c r="N874" s="124">
        <f t="shared" si="27"/>
        <v>74.1</v>
      </c>
      <c r="O874" s="124" cm="1">
        <f t="array" ref="O874">E874/_xlfn.XLOOKUP(1,('Case Pack'!$A$4:$A$962=C874)*('Case Pack'!$L$4:$L$962&gt;0)*('Case Pack'!$L$4:$L$962&lt;=A874),'Case Pack'!$D$4:$D$962,"未找到箱规")</f>
        <v>1</v>
      </c>
      <c r="P874" s="124" t="str">
        <f>IF(COUNTIF('PO Check'!A:A,D874)&gt;0,"Yes","No")</f>
        <v>Yes</v>
      </c>
      <c r="Q874" s="124" t="str" cm="1">
        <f t="array" ref="Q874">_xlfn.XLOOKUP(1,('Case Pack'!$A$4:$A$962=C874)*('Case Pack'!$L$4:$L$962&gt;0)*('Case Pack'!$L$4:$L$962&lt;=A874),'Case Pack'!$G$4:$G$962,"未找到箱型")</f>
        <v>A</v>
      </c>
      <c r="R874" s="124">
        <f>ROUND(IFERROR(VLOOKUP(Q874,'Case Type'!A:H,8,0),0)*O874,2)</f>
        <v>0.11</v>
      </c>
    </row>
    <row r="875" customFormat="1" spans="1:18">
      <c r="A875" s="113">
        <v>46287</v>
      </c>
      <c r="B875" s="91" t="str">
        <f>_xlfn.XLOOKUP(C875,'Product List'!B:B,'Product List'!I:I)</f>
        <v>MINI/MOE SMALL ANIMAL BEDDING PAPER FLAKE LAV FIELD 50LT</v>
      </c>
      <c r="C875" s="135" t="s">
        <v>87</v>
      </c>
      <c r="D875" s="234" t="s">
        <v>366</v>
      </c>
      <c r="E875" s="125">
        <v>98</v>
      </c>
      <c r="F875" s="125">
        <v>6.79</v>
      </c>
      <c r="G875" s="125">
        <f t="shared" si="26"/>
        <v>665.42</v>
      </c>
      <c r="H875" s="135" t="s">
        <v>306</v>
      </c>
      <c r="I875" s="86" t="s">
        <v>92</v>
      </c>
      <c r="J875" s="135" t="s">
        <v>313</v>
      </c>
      <c r="K875" s="126">
        <v>46318</v>
      </c>
      <c r="L875" s="126">
        <v>46309</v>
      </c>
      <c r="M875" s="127">
        <f>_xlfn.XLOOKUP(C875,'Product List'!B:B,'Product List'!R:R)</f>
        <v>4.79</v>
      </c>
      <c r="N875" s="124">
        <f t="shared" si="27"/>
        <v>469.42</v>
      </c>
      <c r="O875" s="124" cm="1">
        <f t="array" ref="O875">E875/_xlfn.XLOOKUP(1,('Case Pack'!$A$4:$A$962=C875)*('Case Pack'!$L$4:$L$962&gt;0)*('Case Pack'!$L$4:$L$962&lt;=A875),'Case Pack'!$D$4:$D$962,"未找到箱规")</f>
        <v>7</v>
      </c>
      <c r="P875" s="124" t="str">
        <f>IF(COUNTIF('PO Check'!A:A,D875)&gt;0,"Yes","No")</f>
        <v>Yes</v>
      </c>
      <c r="Q875" s="124" t="str" cm="1">
        <f t="array" ref="Q875">_xlfn.XLOOKUP(1,('Case Pack'!$A$4:$A$962=C875)*('Case Pack'!$L$4:$L$962&gt;0)*('Case Pack'!$L$4:$L$962&lt;=A875),'Case Pack'!$G$4:$G$962,"未找到箱型")</f>
        <v>C</v>
      </c>
      <c r="R875" s="124">
        <f>ROUND(IFERROR(VLOOKUP(Q875,'Case Type'!A:H,8,0),0)*O875,2)</f>
        <v>1.1</v>
      </c>
    </row>
    <row r="876" customFormat="1" spans="1:18">
      <c r="A876" s="113">
        <v>46287</v>
      </c>
      <c r="B876" s="91" t="str">
        <f>_xlfn.XLOOKUP(C876,'Product List'!B:B,'Product List'!I:I)</f>
        <v>MINI/MOE SMALL ANIMAL BEDDING PAPER TWISTS</v>
      </c>
      <c r="C876" s="135" t="s">
        <v>69</v>
      </c>
      <c r="D876" s="234" t="s">
        <v>366</v>
      </c>
      <c r="E876" s="125">
        <v>90</v>
      </c>
      <c r="F876" s="125">
        <v>3.8</v>
      </c>
      <c r="G876" s="125">
        <f t="shared" si="26"/>
        <v>342</v>
      </c>
      <c r="H876" s="135" t="s">
        <v>306</v>
      </c>
      <c r="I876" s="86" t="s">
        <v>92</v>
      </c>
      <c r="J876" s="135" t="s">
        <v>313</v>
      </c>
      <c r="K876" s="126">
        <v>46318</v>
      </c>
      <c r="L876" s="126">
        <v>46309</v>
      </c>
      <c r="M876" s="127">
        <f>_xlfn.XLOOKUP(C876,'Product List'!B:B,'Product List'!R:R)</f>
        <v>1.98</v>
      </c>
      <c r="N876" s="124">
        <f t="shared" si="27"/>
        <v>178.2</v>
      </c>
      <c r="O876" s="124" cm="1">
        <f t="array" ref="O876">E876/_xlfn.XLOOKUP(1,('Case Pack'!$A$4:$A$962=C876)*('Case Pack'!$L$4:$L$962&gt;0)*('Case Pack'!$L$4:$L$962&lt;=A876),'Case Pack'!$D$4:$D$962,"未找到箱规")</f>
        <v>3</v>
      </c>
      <c r="P876" s="124" t="str">
        <f>IF(COUNTIF('PO Check'!A:A,D876)&gt;0,"Yes","No")</f>
        <v>Yes</v>
      </c>
      <c r="Q876" s="124" t="str" cm="1">
        <f t="array" ref="Q876">_xlfn.XLOOKUP(1,('Case Pack'!$A$4:$A$962=C876)*('Case Pack'!$L$4:$L$962&gt;0)*('Case Pack'!$L$4:$L$962&lt;=A876),'Case Pack'!$G$4:$G$962,"未找到箱型")</f>
        <v>A</v>
      </c>
      <c r="R876" s="124">
        <f>ROUND(IFERROR(VLOOKUP(Q876,'Case Type'!A:H,8,0),0)*O876,2)</f>
        <v>0.33</v>
      </c>
    </row>
    <row r="877" customFormat="1" spans="1:18">
      <c r="A877" s="113">
        <v>46287</v>
      </c>
      <c r="B877" s="91" t="str">
        <f>_xlfn.XLOOKUP(C877,'Product List'!B:B,'Product List'!I:I)</f>
        <v>MINI/MOE SMALL ANIMAL BEDDING PAPER PEBBLES OCEAN BLUE 23LT</v>
      </c>
      <c r="C877" s="135" t="s">
        <v>80</v>
      </c>
      <c r="D877" s="234" t="s">
        <v>366</v>
      </c>
      <c r="E877" s="125">
        <v>72</v>
      </c>
      <c r="F877" s="125">
        <v>5.71</v>
      </c>
      <c r="G877" s="125">
        <f t="shared" si="26"/>
        <v>411.12</v>
      </c>
      <c r="H877" s="135" t="s">
        <v>306</v>
      </c>
      <c r="I877" s="86" t="s">
        <v>92</v>
      </c>
      <c r="J877" s="135" t="s">
        <v>313</v>
      </c>
      <c r="K877" s="126">
        <v>46318</v>
      </c>
      <c r="L877" s="126">
        <v>46309</v>
      </c>
      <c r="M877" s="127">
        <f>_xlfn.XLOOKUP(C877,'Product List'!B:B,'Product List'!R:R)</f>
        <v>2.84</v>
      </c>
      <c r="N877" s="124">
        <f t="shared" si="27"/>
        <v>204.48</v>
      </c>
      <c r="O877" s="124" cm="1">
        <f t="array" ref="O877">E877/_xlfn.XLOOKUP(1,('Case Pack'!$A$4:$A$962=C877)*('Case Pack'!$L$4:$L$962&gt;0)*('Case Pack'!$L$4:$L$962&lt;=A877),'Case Pack'!$D$4:$D$962,"未找到箱规")</f>
        <v>6</v>
      </c>
      <c r="P877" s="124" t="str">
        <f>IF(COUNTIF('PO Check'!A:A,D877)&gt;0,"Yes","No")</f>
        <v>Yes</v>
      </c>
      <c r="Q877" s="124" t="str" cm="1">
        <f t="array" ref="Q877">_xlfn.XLOOKUP(1,('Case Pack'!$A$4:$A$962=C877)*('Case Pack'!$L$4:$L$962&gt;0)*('Case Pack'!$L$4:$L$962&lt;=A877),'Case Pack'!$G$4:$G$962,"未找到箱型")</f>
        <v>B</v>
      </c>
      <c r="R877" s="124">
        <f>ROUND(IFERROR(VLOOKUP(Q877,'Case Type'!A:H,8,0),0)*O877,2)</f>
        <v>0.44</v>
      </c>
    </row>
    <row r="878" customFormat="1" spans="1:18">
      <c r="A878" s="113">
        <v>46288</v>
      </c>
      <c r="B878" s="91" t="str">
        <f>_xlfn.XLOOKUP(C878,'Product List'!B:B,'Product List'!I:I)</f>
        <v>MINI/MOE SILENT CRSTL RUN WHEEL LG 8.5-White</v>
      </c>
      <c r="C878" s="135" t="s">
        <v>29</v>
      </c>
      <c r="D878" s="234">
        <v>32182081</v>
      </c>
      <c r="E878" s="125">
        <v>80</v>
      </c>
      <c r="F878" s="125">
        <v>13.22</v>
      </c>
      <c r="G878" s="125">
        <f t="shared" si="26"/>
        <v>1057.6</v>
      </c>
      <c r="H878" s="135" t="s">
        <v>298</v>
      </c>
      <c r="I878" s="86" t="s">
        <v>92</v>
      </c>
      <c r="J878" s="135" t="s">
        <v>322</v>
      </c>
      <c r="K878" s="126">
        <v>46325</v>
      </c>
      <c r="L878" s="126">
        <v>46316</v>
      </c>
      <c r="M878" s="127">
        <f>_xlfn.XLOOKUP(C878,'Product List'!B:B,'Product List'!R:R)</f>
        <v>6.27</v>
      </c>
      <c r="N878" s="124">
        <f t="shared" si="27"/>
        <v>501.6</v>
      </c>
      <c r="O878" s="124" cm="1">
        <f t="array" ref="O878">E878/_xlfn.XLOOKUP(1,('Case Pack'!$A$4:$A$962=C878)*('Case Pack'!$L$4:$L$962&gt;0)*('Case Pack'!$L$4:$L$962&lt;=A878),'Case Pack'!$D$4:$D$962,"未找到箱规")</f>
        <v>10</v>
      </c>
      <c r="P878" s="124" t="str">
        <f>IF(COUNTIF('PO Check'!A:A,D878)&gt;0,"Yes","No")</f>
        <v>Yes</v>
      </c>
      <c r="Q878" s="124" t="str" cm="1">
        <f t="array" ref="Q878">_xlfn.XLOOKUP(1,('Case Pack'!$A$4:$A$962=C878)*('Case Pack'!$L$4:$L$962&gt;0)*('Case Pack'!$L$4:$L$962&lt;=A878),'Case Pack'!$G$4:$G$962,"未找到箱型")</f>
        <v>C</v>
      </c>
      <c r="R878" s="124">
        <f>ROUND(IFERROR(VLOOKUP(Q878,'Case Type'!A:H,8,0),0)*O878,2)</f>
        <v>1.57</v>
      </c>
    </row>
    <row r="879" customFormat="1" spans="1:18">
      <c r="A879" s="113">
        <v>46288</v>
      </c>
      <c r="B879" s="91" t="str">
        <f>_xlfn.XLOOKUP(C879,'Product List'!B:B,'Product List'!I:I)</f>
        <v>MMO-GREEN APPLE CHEW</v>
      </c>
      <c r="C879" s="135" t="s">
        <v>33</v>
      </c>
      <c r="D879" s="234">
        <v>32182081</v>
      </c>
      <c r="E879" s="125">
        <v>96</v>
      </c>
      <c r="F879" s="125">
        <v>1.53</v>
      </c>
      <c r="G879" s="125">
        <f t="shared" si="26"/>
        <v>146.88</v>
      </c>
      <c r="H879" s="135" t="s">
        <v>298</v>
      </c>
      <c r="I879" s="86" t="s">
        <v>92</v>
      </c>
      <c r="J879" s="135" t="s">
        <v>322</v>
      </c>
      <c r="K879" s="126">
        <v>46325</v>
      </c>
      <c r="L879" s="126">
        <v>46316</v>
      </c>
      <c r="M879" s="127">
        <f>_xlfn.XLOOKUP(C879,'Product List'!B:B,'Product List'!R:R)</f>
        <v>1.04</v>
      </c>
      <c r="N879" s="124">
        <f t="shared" si="27"/>
        <v>99.84</v>
      </c>
      <c r="O879" s="124" cm="1">
        <f t="array" ref="O879">E879/_xlfn.XLOOKUP(1,('Case Pack'!$A$4:$A$962=C879)*('Case Pack'!$L$4:$L$962&gt;0)*('Case Pack'!$L$4:$L$962&lt;=A879),'Case Pack'!$D$4:$D$962,"未找到箱规")</f>
        <v>2</v>
      </c>
      <c r="P879" s="124" t="str">
        <f>IF(COUNTIF('PO Check'!A:A,D879)&gt;0,"Yes","No")</f>
        <v>Yes</v>
      </c>
      <c r="Q879" s="124" t="str" cm="1">
        <f t="array" ref="Q879">_xlfn.XLOOKUP(1,('Case Pack'!$A$4:$A$962=C879)*('Case Pack'!$L$4:$L$962&gt;0)*('Case Pack'!$L$4:$L$962&lt;=A879),'Case Pack'!$G$4:$G$962,"未找到箱型")</f>
        <v>B</v>
      </c>
      <c r="R879" s="124">
        <f>ROUND(IFERROR(VLOOKUP(Q879,'Case Type'!A:H,8,0),0)*O879,2)</f>
        <v>0.15</v>
      </c>
    </row>
    <row r="880" customFormat="1" spans="1:18">
      <c r="A880" s="113">
        <v>46288</v>
      </c>
      <c r="B880" s="91" t="str">
        <f>_xlfn.XLOOKUP(C880,'Product List'!B:B,'Product List'!I:I)</f>
        <v>MMO-CAMP LUNCH BOX CHEW</v>
      </c>
      <c r="C880" s="135" t="s">
        <v>34</v>
      </c>
      <c r="D880" s="234">
        <v>32182081</v>
      </c>
      <c r="E880" s="125">
        <v>72</v>
      </c>
      <c r="F880" s="125">
        <v>2.48</v>
      </c>
      <c r="G880" s="125">
        <f t="shared" si="26"/>
        <v>178.56</v>
      </c>
      <c r="H880" s="135" t="s">
        <v>298</v>
      </c>
      <c r="I880" s="86" t="s">
        <v>92</v>
      </c>
      <c r="J880" s="135" t="s">
        <v>322</v>
      </c>
      <c r="K880" s="126">
        <v>46325</v>
      </c>
      <c r="L880" s="126">
        <v>46316</v>
      </c>
      <c r="M880" s="127">
        <f>_xlfn.XLOOKUP(C880,'Product List'!B:B,'Product List'!R:R)</f>
        <v>1.59</v>
      </c>
      <c r="N880" s="124">
        <f t="shared" si="27"/>
        <v>114.48</v>
      </c>
      <c r="O880" s="124" cm="1">
        <f t="array" ref="O880">E880/_xlfn.XLOOKUP(1,('Case Pack'!$A$4:$A$962=C880)*('Case Pack'!$L$4:$L$962&gt;0)*('Case Pack'!$L$4:$L$962&lt;=A880),'Case Pack'!$D$4:$D$962,"未找到箱规")</f>
        <v>1</v>
      </c>
      <c r="P880" s="124" t="str">
        <f>IF(COUNTIF('PO Check'!A:A,D880)&gt;0,"Yes","No")</f>
        <v>Yes</v>
      </c>
      <c r="Q880" s="124" t="str" cm="1">
        <f t="array" ref="Q880">_xlfn.XLOOKUP(1,('Case Pack'!$A$4:$A$962=C880)*('Case Pack'!$L$4:$L$962&gt;0)*('Case Pack'!$L$4:$L$962&lt;=A880),'Case Pack'!$G$4:$G$962,"未找到箱型")</f>
        <v>B</v>
      </c>
      <c r="R880" s="124">
        <f>ROUND(IFERROR(VLOOKUP(Q880,'Case Type'!A:H,8,0),0)*O880,2)</f>
        <v>0.07</v>
      </c>
    </row>
    <row r="881" customFormat="1" spans="1:18">
      <c r="A881" s="113">
        <v>46288</v>
      </c>
      <c r="B881" s="91" t="str">
        <f>_xlfn.XLOOKUP(C881,'Product List'!B:B,'Product List'!I:I)</f>
        <v>MMO-STARFISH CASTLE</v>
      </c>
      <c r="C881" s="135" t="s">
        <v>60</v>
      </c>
      <c r="D881" s="234">
        <v>32182081</v>
      </c>
      <c r="E881" s="125">
        <v>60</v>
      </c>
      <c r="F881" s="125">
        <v>5.32</v>
      </c>
      <c r="G881" s="125">
        <f t="shared" si="26"/>
        <v>319.2</v>
      </c>
      <c r="H881" s="135" t="s">
        <v>298</v>
      </c>
      <c r="I881" s="86" t="s">
        <v>92</v>
      </c>
      <c r="J881" s="135" t="s">
        <v>322</v>
      </c>
      <c r="K881" s="126">
        <v>46325</v>
      </c>
      <c r="L881" s="126">
        <v>46316</v>
      </c>
      <c r="M881" s="127">
        <f>_xlfn.XLOOKUP(C881,'Product List'!B:B,'Product List'!R:R)</f>
        <v>2.81</v>
      </c>
      <c r="N881" s="124">
        <f t="shared" si="27"/>
        <v>168.6</v>
      </c>
      <c r="O881" s="124" cm="1">
        <f t="array" ref="O881">E881/_xlfn.XLOOKUP(1,('Case Pack'!$A$4:$A$962=C881)*('Case Pack'!$L$4:$L$962&gt;0)*('Case Pack'!$L$4:$L$962&lt;=A881),'Case Pack'!$D$4:$D$962,"未找到箱规")</f>
        <v>3</v>
      </c>
      <c r="P881" s="124" t="str">
        <f>IF(COUNTIF('PO Check'!A:A,D881)&gt;0,"Yes","No")</f>
        <v>Yes</v>
      </c>
      <c r="Q881" s="124" t="str" cm="1">
        <f t="array" ref="Q881">_xlfn.XLOOKUP(1,('Case Pack'!$A$4:$A$962=C881)*('Case Pack'!$L$4:$L$962&gt;0)*('Case Pack'!$L$4:$L$962&lt;=A881),'Case Pack'!$G$4:$G$962,"未找到箱型")</f>
        <v>C</v>
      </c>
      <c r="R881" s="124">
        <f>ROUND(IFERROR(VLOOKUP(Q881,'Case Type'!A:H,8,0),0)*O881,2)</f>
        <v>0.47</v>
      </c>
    </row>
    <row r="882" customFormat="1" spans="1:18">
      <c r="A882" s="113">
        <v>46288</v>
      </c>
      <c r="B882" s="91" t="str">
        <f>_xlfn.XLOOKUP(C882,'Product List'!B:B,'Product List'!I:I)</f>
        <v>D. MMO-COTTAGE VIEW CAGE</v>
      </c>
      <c r="C882" s="135" t="s">
        <v>64</v>
      </c>
      <c r="D882" s="234">
        <v>32182081</v>
      </c>
      <c r="E882" s="125">
        <v>2</v>
      </c>
      <c r="F882" s="125">
        <v>70.28</v>
      </c>
      <c r="G882" s="125">
        <f t="shared" si="26"/>
        <v>140.56</v>
      </c>
      <c r="H882" s="135" t="s">
        <v>298</v>
      </c>
      <c r="I882" s="86" t="s">
        <v>92</v>
      </c>
      <c r="J882" s="135" t="s">
        <v>322</v>
      </c>
      <c r="K882" s="126">
        <v>46325</v>
      </c>
      <c r="L882" s="126">
        <v>46316</v>
      </c>
      <c r="M882" s="127">
        <f>_xlfn.XLOOKUP(C882,'Product List'!B:B,'Product List'!R:R)</f>
        <v>28.56</v>
      </c>
      <c r="N882" s="124">
        <f t="shared" si="27"/>
        <v>57.12</v>
      </c>
      <c r="O882" s="124" cm="1">
        <f t="array" ref="O882">E882/_xlfn.XLOOKUP(1,('Case Pack'!$A$4:$A$962=C882)*('Case Pack'!$L$4:$L$962&gt;0)*('Case Pack'!$L$4:$L$962&lt;=A882),'Case Pack'!$D$4:$D$962,"未找到箱规")</f>
        <v>2</v>
      </c>
      <c r="P882" s="124" t="str">
        <f>IF(COUNTIF('PO Check'!A:A,D882)&gt;0,"Yes","No")</f>
        <v>Yes</v>
      </c>
      <c r="Q882" s="124" t="str" cm="1">
        <f t="array" ref="Q882">_xlfn.XLOOKUP(1,('Case Pack'!$A$4:$A$962=C882)*('Case Pack'!$L$4:$L$962&gt;0)*('Case Pack'!$L$4:$L$962&lt;=A882),'Case Pack'!$G$4:$G$962,"未找到箱型")</f>
        <v>S3</v>
      </c>
      <c r="R882" s="124">
        <f>ROUND(IFERROR(VLOOKUP(Q882,'Case Type'!A:H,8,0),0)*O882,2)</f>
        <v>0.28</v>
      </c>
    </row>
    <row r="883" customFormat="1" spans="1:18">
      <c r="A883" s="113">
        <v>46288</v>
      </c>
      <c r="B883" s="91" t="str">
        <f>_xlfn.XLOOKUP(C883,'Product List'!B:B,'Product List'!I:I)</f>
        <v>MMO-BUBBLE WATER BOTTLE</v>
      </c>
      <c r="C883" s="135" t="s">
        <v>67</v>
      </c>
      <c r="D883" s="234">
        <v>32182081</v>
      </c>
      <c r="E883" s="125">
        <v>210</v>
      </c>
      <c r="F883" s="125">
        <v>4.35</v>
      </c>
      <c r="G883" s="125">
        <f t="shared" si="26"/>
        <v>913.5</v>
      </c>
      <c r="H883" s="135" t="s">
        <v>298</v>
      </c>
      <c r="I883" s="86" t="s">
        <v>92</v>
      </c>
      <c r="J883" s="135" t="s">
        <v>322</v>
      </c>
      <c r="K883" s="126">
        <v>46325</v>
      </c>
      <c r="L883" s="126">
        <v>46316</v>
      </c>
      <c r="M883" s="127">
        <f>_xlfn.XLOOKUP(C883,'Product List'!B:B,'Product List'!R:R)</f>
        <v>3.1</v>
      </c>
      <c r="N883" s="124">
        <f t="shared" si="27"/>
        <v>651</v>
      </c>
      <c r="O883" s="124" cm="1">
        <f t="array" ref="O883">E883/_xlfn.XLOOKUP(1,('Case Pack'!$A$4:$A$962=C883)*('Case Pack'!$L$4:$L$962&gt;0)*('Case Pack'!$L$4:$L$962&lt;=A883),'Case Pack'!$D$4:$D$962,"未找到箱规")</f>
        <v>5</v>
      </c>
      <c r="P883" s="124" t="str">
        <f>IF(COUNTIF('PO Check'!A:A,D883)&gt;0,"Yes","No")</f>
        <v>Yes</v>
      </c>
      <c r="Q883" s="124" t="str" cm="1">
        <f t="array" ref="Q883">_xlfn.XLOOKUP(1,('Case Pack'!$A$4:$A$962=C883)*('Case Pack'!$L$4:$L$962&gt;0)*('Case Pack'!$L$4:$L$962&lt;=A883),'Case Pack'!$G$4:$G$962,"未找到箱型")</f>
        <v>C</v>
      </c>
      <c r="R883" s="124">
        <f>ROUND(IFERROR(VLOOKUP(Q883,'Case Type'!A:H,8,0),0)*O883,2)</f>
        <v>0.79</v>
      </c>
    </row>
    <row r="884" customFormat="1" spans="1:18">
      <c r="A884" s="113">
        <v>46288</v>
      </c>
      <c r="B884" s="91" t="str">
        <f>_xlfn.XLOOKUP(C884,'Product List'!B:B,'Product List'!I:I)</f>
        <v>MMO-CLOUD WATER BOTTLE</v>
      </c>
      <c r="C884" s="135" t="s">
        <v>77</v>
      </c>
      <c r="D884" s="234">
        <v>32182081</v>
      </c>
      <c r="E884" s="125">
        <v>200</v>
      </c>
      <c r="F884" s="125">
        <v>1.32</v>
      </c>
      <c r="G884" s="125">
        <f t="shared" si="26"/>
        <v>264</v>
      </c>
      <c r="H884" s="135" t="s">
        <v>298</v>
      </c>
      <c r="I884" s="86" t="s">
        <v>92</v>
      </c>
      <c r="J884" s="135" t="s">
        <v>322</v>
      </c>
      <c r="K884" s="126">
        <v>46325</v>
      </c>
      <c r="L884" s="126">
        <v>46316</v>
      </c>
      <c r="M884" s="127">
        <f>_xlfn.XLOOKUP(C884,'Product List'!B:B,'Product List'!R:R)</f>
        <v>0.62</v>
      </c>
      <c r="N884" s="124">
        <f t="shared" si="27"/>
        <v>124</v>
      </c>
      <c r="O884" s="124" cm="1">
        <f t="array" ref="O884">E884/_xlfn.XLOOKUP(1,('Case Pack'!$A$4:$A$962=C884)*('Case Pack'!$L$4:$L$962&gt;0)*('Case Pack'!$L$4:$L$962&lt;=A884),'Case Pack'!$D$4:$D$962,"未找到箱规")</f>
        <v>4</v>
      </c>
      <c r="P884" s="124" t="str">
        <f>IF(COUNTIF('PO Check'!A:A,D884)&gt;0,"Yes","No")</f>
        <v>Yes</v>
      </c>
      <c r="Q884" s="124" t="str" cm="1">
        <f t="array" ref="Q884">_xlfn.XLOOKUP(1,('Case Pack'!$A$4:$A$962=C884)*('Case Pack'!$L$4:$L$962&gt;0)*('Case Pack'!$L$4:$L$962&lt;=A884),'Case Pack'!$G$4:$G$962,"未找到箱型")</f>
        <v>A</v>
      </c>
      <c r="R884" s="124">
        <f>ROUND(IFERROR(VLOOKUP(Q884,'Case Type'!A:H,8,0),0)*O884,2)</f>
        <v>0.44</v>
      </c>
    </row>
    <row r="885" customFormat="1" spans="1:18">
      <c r="A885" s="113">
        <v>46288</v>
      </c>
      <c r="B885" s="91" t="str">
        <f>_xlfn.XLOOKUP(C885,'Product List'!B:B,'Product List'!I:I)</f>
        <v>MINI/MOE SILENT CRSTL RUN WHEEL LG 8.5-White</v>
      </c>
      <c r="C885" s="135" t="s">
        <v>29</v>
      </c>
      <c r="D885" s="234">
        <v>32182082</v>
      </c>
      <c r="E885" s="125">
        <v>72</v>
      </c>
      <c r="F885" s="125">
        <v>13.22</v>
      </c>
      <c r="G885" s="125">
        <f t="shared" si="26"/>
        <v>951.84</v>
      </c>
      <c r="H885" s="135" t="s">
        <v>298</v>
      </c>
      <c r="I885" s="86" t="s">
        <v>92</v>
      </c>
      <c r="J885" s="135" t="s">
        <v>323</v>
      </c>
      <c r="K885" s="126">
        <v>46325</v>
      </c>
      <c r="L885" s="126">
        <v>46316</v>
      </c>
      <c r="M885" s="127">
        <f>_xlfn.XLOOKUP(C885,'Product List'!B:B,'Product List'!R:R)</f>
        <v>6.27</v>
      </c>
      <c r="N885" s="124">
        <f t="shared" si="27"/>
        <v>451.44</v>
      </c>
      <c r="O885" s="124" cm="1">
        <f t="array" ref="O885">E885/_xlfn.XLOOKUP(1,('Case Pack'!$A$4:$A$962=C885)*('Case Pack'!$L$4:$L$962&gt;0)*('Case Pack'!$L$4:$L$962&lt;=A885),'Case Pack'!$D$4:$D$962,"未找到箱规")</f>
        <v>9</v>
      </c>
      <c r="P885" s="124" t="str">
        <f>IF(COUNTIF('PO Check'!A:A,D885)&gt;0,"Yes","No")</f>
        <v>Yes</v>
      </c>
      <c r="Q885" s="124" t="str" cm="1">
        <f t="array" ref="Q885">_xlfn.XLOOKUP(1,('Case Pack'!$A$4:$A$962=C885)*('Case Pack'!$L$4:$L$962&gt;0)*('Case Pack'!$L$4:$L$962&lt;=A885),'Case Pack'!$G$4:$G$962,"未找到箱型")</f>
        <v>C</v>
      </c>
      <c r="R885" s="124">
        <f>ROUND(IFERROR(VLOOKUP(Q885,'Case Type'!A:H,8,0),0)*O885,2)</f>
        <v>1.42</v>
      </c>
    </row>
    <row r="886" customFormat="1" spans="1:18">
      <c r="A886" s="113">
        <v>46288</v>
      </c>
      <c r="B886" s="91" t="str">
        <f>_xlfn.XLOOKUP(C886,'Product List'!B:B,'Product List'!I:I)</f>
        <v>MMO-CAMP LUNCH BOX CHEW</v>
      </c>
      <c r="C886" s="135" t="s">
        <v>34</v>
      </c>
      <c r="D886" s="234">
        <v>32182082</v>
      </c>
      <c r="E886" s="125">
        <v>144</v>
      </c>
      <c r="F886" s="125">
        <v>2.48</v>
      </c>
      <c r="G886" s="125">
        <f t="shared" si="26"/>
        <v>357.12</v>
      </c>
      <c r="H886" s="135" t="s">
        <v>298</v>
      </c>
      <c r="I886" s="86" t="s">
        <v>92</v>
      </c>
      <c r="J886" s="135" t="s">
        <v>323</v>
      </c>
      <c r="K886" s="126">
        <v>46325</v>
      </c>
      <c r="L886" s="126">
        <v>46316</v>
      </c>
      <c r="M886" s="127">
        <f>_xlfn.XLOOKUP(C886,'Product List'!B:B,'Product List'!R:R)</f>
        <v>1.59</v>
      </c>
      <c r="N886" s="124">
        <f t="shared" si="27"/>
        <v>228.96</v>
      </c>
      <c r="O886" s="124" cm="1">
        <f t="array" ref="O886">E886/_xlfn.XLOOKUP(1,('Case Pack'!$A$4:$A$962=C886)*('Case Pack'!$L$4:$L$962&gt;0)*('Case Pack'!$L$4:$L$962&lt;=A886),'Case Pack'!$D$4:$D$962,"未找到箱规")</f>
        <v>2</v>
      </c>
      <c r="P886" s="124" t="str">
        <f>IF(COUNTIF('PO Check'!A:A,D886)&gt;0,"Yes","No")</f>
        <v>Yes</v>
      </c>
      <c r="Q886" s="124" t="str" cm="1">
        <f t="array" ref="Q886">_xlfn.XLOOKUP(1,('Case Pack'!$A$4:$A$962=C886)*('Case Pack'!$L$4:$L$962&gt;0)*('Case Pack'!$L$4:$L$962&lt;=A886),'Case Pack'!$G$4:$G$962,"未找到箱型")</f>
        <v>B</v>
      </c>
      <c r="R886" s="124">
        <f>ROUND(IFERROR(VLOOKUP(Q886,'Case Type'!A:H,8,0),0)*O886,2)</f>
        <v>0.15</v>
      </c>
    </row>
    <row r="887" customFormat="1" spans="1:18">
      <c r="A887" s="113">
        <v>46288</v>
      </c>
      <c r="B887" s="91" t="str">
        <f>_xlfn.XLOOKUP(C887,'Product List'!B:B,'Product List'!I:I)</f>
        <v>MMO-STARFISH CASTLE</v>
      </c>
      <c r="C887" s="135" t="s">
        <v>60</v>
      </c>
      <c r="D887" s="234">
        <v>32182082</v>
      </c>
      <c r="E887" s="125">
        <v>20</v>
      </c>
      <c r="F887" s="125">
        <v>5.32</v>
      </c>
      <c r="G887" s="125">
        <f t="shared" si="26"/>
        <v>106.4</v>
      </c>
      <c r="H887" s="135" t="s">
        <v>298</v>
      </c>
      <c r="I887" s="86" t="s">
        <v>92</v>
      </c>
      <c r="J887" s="135" t="s">
        <v>323</v>
      </c>
      <c r="K887" s="126">
        <v>46325</v>
      </c>
      <c r="L887" s="126">
        <v>46316</v>
      </c>
      <c r="M887" s="127">
        <f>_xlfn.XLOOKUP(C887,'Product List'!B:B,'Product List'!R:R)</f>
        <v>2.81</v>
      </c>
      <c r="N887" s="124">
        <f t="shared" si="27"/>
        <v>56.2</v>
      </c>
      <c r="O887" s="124" cm="1">
        <f t="array" ref="O887">E887/_xlfn.XLOOKUP(1,('Case Pack'!$A$4:$A$962=C887)*('Case Pack'!$L$4:$L$962&gt;0)*('Case Pack'!$L$4:$L$962&lt;=A887),'Case Pack'!$D$4:$D$962,"未找到箱规")</f>
        <v>1</v>
      </c>
      <c r="P887" s="124" t="str">
        <f>IF(COUNTIF('PO Check'!A:A,D887)&gt;0,"Yes","No")</f>
        <v>Yes</v>
      </c>
      <c r="Q887" s="124" t="str" cm="1">
        <f t="array" ref="Q887">_xlfn.XLOOKUP(1,('Case Pack'!$A$4:$A$962=C887)*('Case Pack'!$L$4:$L$962&gt;0)*('Case Pack'!$L$4:$L$962&lt;=A887),'Case Pack'!$G$4:$G$962,"未找到箱型")</f>
        <v>C</v>
      </c>
      <c r="R887" s="124">
        <f>ROUND(IFERROR(VLOOKUP(Q887,'Case Type'!A:H,8,0),0)*O887,2)</f>
        <v>0.16</v>
      </c>
    </row>
    <row r="888" customFormat="1" spans="1:18">
      <c r="A888" s="113">
        <v>46288</v>
      </c>
      <c r="B888" s="91" t="str">
        <f>_xlfn.XLOOKUP(C888,'Product List'!B:B,'Product List'!I:I)</f>
        <v>MMO-BUBBLE WATER BOTTLE</v>
      </c>
      <c r="C888" s="135" t="s">
        <v>67</v>
      </c>
      <c r="D888" s="234">
        <v>32182082</v>
      </c>
      <c r="E888" s="125">
        <v>252</v>
      </c>
      <c r="F888" s="125">
        <v>4.35</v>
      </c>
      <c r="G888" s="125">
        <f t="shared" si="26"/>
        <v>1096.2</v>
      </c>
      <c r="H888" s="135" t="s">
        <v>298</v>
      </c>
      <c r="I888" s="86" t="s">
        <v>92</v>
      </c>
      <c r="J888" s="135" t="s">
        <v>323</v>
      </c>
      <c r="K888" s="126">
        <v>46325</v>
      </c>
      <c r="L888" s="126">
        <v>46316</v>
      </c>
      <c r="M888" s="127">
        <f>_xlfn.XLOOKUP(C888,'Product List'!B:B,'Product List'!R:R)</f>
        <v>3.1</v>
      </c>
      <c r="N888" s="124">
        <f t="shared" si="27"/>
        <v>781.2</v>
      </c>
      <c r="O888" s="124" cm="1">
        <f t="array" ref="O888">E888/_xlfn.XLOOKUP(1,('Case Pack'!$A$4:$A$962=C888)*('Case Pack'!$L$4:$L$962&gt;0)*('Case Pack'!$L$4:$L$962&lt;=A888),'Case Pack'!$D$4:$D$962,"未找到箱规")</f>
        <v>6</v>
      </c>
      <c r="P888" s="124" t="str">
        <f>IF(COUNTIF('PO Check'!A:A,D888)&gt;0,"Yes","No")</f>
        <v>Yes</v>
      </c>
      <c r="Q888" s="124" t="str" cm="1">
        <f t="array" ref="Q888">_xlfn.XLOOKUP(1,('Case Pack'!$A$4:$A$962=C888)*('Case Pack'!$L$4:$L$962&gt;0)*('Case Pack'!$L$4:$L$962&lt;=A888),'Case Pack'!$G$4:$G$962,"未找到箱型")</f>
        <v>C</v>
      </c>
      <c r="R888" s="124">
        <f>ROUND(IFERROR(VLOOKUP(Q888,'Case Type'!A:H,8,0),0)*O888,2)</f>
        <v>0.94</v>
      </c>
    </row>
    <row r="889" customFormat="1" spans="1:18">
      <c r="A889" s="113">
        <v>46288</v>
      </c>
      <c r="B889" s="91" t="str">
        <f>_xlfn.XLOOKUP(C889,'Product List'!B:B,'Product List'!I:I)</f>
        <v>MMO-CLOUD WATER BOTTLE</v>
      </c>
      <c r="C889" s="135" t="s">
        <v>77</v>
      </c>
      <c r="D889" s="234">
        <v>32182082</v>
      </c>
      <c r="E889" s="125">
        <v>400</v>
      </c>
      <c r="F889" s="125">
        <v>1.32</v>
      </c>
      <c r="G889" s="125">
        <f t="shared" si="26"/>
        <v>528</v>
      </c>
      <c r="H889" s="135" t="s">
        <v>298</v>
      </c>
      <c r="I889" s="86" t="s">
        <v>92</v>
      </c>
      <c r="J889" s="135" t="s">
        <v>323</v>
      </c>
      <c r="K889" s="126">
        <v>46325</v>
      </c>
      <c r="L889" s="126">
        <v>46316</v>
      </c>
      <c r="M889" s="127">
        <f>_xlfn.XLOOKUP(C889,'Product List'!B:B,'Product List'!R:R)</f>
        <v>0.62</v>
      </c>
      <c r="N889" s="124">
        <f t="shared" si="27"/>
        <v>248</v>
      </c>
      <c r="O889" s="124" cm="1">
        <f t="array" ref="O889">E889/_xlfn.XLOOKUP(1,('Case Pack'!$A$4:$A$962=C889)*('Case Pack'!$L$4:$L$962&gt;0)*('Case Pack'!$L$4:$L$962&lt;=A889),'Case Pack'!$D$4:$D$962,"未找到箱规")</f>
        <v>8</v>
      </c>
      <c r="P889" s="124" t="str">
        <f>IF(COUNTIF('PO Check'!A:A,D889)&gt;0,"Yes","No")</f>
        <v>Yes</v>
      </c>
      <c r="Q889" s="124" t="str" cm="1">
        <f t="array" ref="Q889">_xlfn.XLOOKUP(1,('Case Pack'!$A$4:$A$962=C889)*('Case Pack'!$L$4:$L$962&gt;0)*('Case Pack'!$L$4:$L$962&lt;=A889),'Case Pack'!$G$4:$G$962,"未找到箱型")</f>
        <v>A</v>
      </c>
      <c r="R889" s="124">
        <f>ROUND(IFERROR(VLOOKUP(Q889,'Case Type'!A:H,8,0),0)*O889,2)</f>
        <v>0.88</v>
      </c>
    </row>
    <row r="890" customFormat="1" spans="1:18">
      <c r="A890" s="113">
        <v>46288</v>
      </c>
      <c r="B890" s="91" t="str">
        <f>_xlfn.XLOOKUP(C890,'Product List'!B:B,'Product List'!I:I)</f>
        <v>MINI/MOE SILENT CRSTL RUN WHEEL LG 8.5-White</v>
      </c>
      <c r="C890" s="135" t="s">
        <v>29</v>
      </c>
      <c r="D890" s="234">
        <v>32182083</v>
      </c>
      <c r="E890" s="125">
        <v>56</v>
      </c>
      <c r="F890" s="125">
        <v>13.22</v>
      </c>
      <c r="G890" s="125">
        <f t="shared" si="26"/>
        <v>740.32</v>
      </c>
      <c r="H890" s="135" t="s">
        <v>298</v>
      </c>
      <c r="I890" s="86" t="s">
        <v>92</v>
      </c>
      <c r="J890" s="135" t="s">
        <v>317</v>
      </c>
      <c r="K890" s="126">
        <v>46323</v>
      </c>
      <c r="L890" s="126">
        <v>46323</v>
      </c>
      <c r="M890" s="127">
        <f>_xlfn.XLOOKUP(C890,'Product List'!B:B,'Product List'!R:R)</f>
        <v>6.27</v>
      </c>
      <c r="N890" s="124">
        <f t="shared" si="27"/>
        <v>351.12</v>
      </c>
      <c r="O890" s="124" cm="1">
        <f t="array" ref="O890">E890/_xlfn.XLOOKUP(1,('Case Pack'!$A$4:$A$962=C890)*('Case Pack'!$L$4:$L$962&gt;0)*('Case Pack'!$L$4:$L$962&lt;=A890),'Case Pack'!$D$4:$D$962,"未找到箱规")</f>
        <v>7</v>
      </c>
      <c r="P890" s="124" t="str">
        <f>IF(COUNTIF('PO Check'!A:A,D890)&gt;0,"Yes","No")</f>
        <v>Yes</v>
      </c>
      <c r="Q890" s="124" t="str" cm="1">
        <f t="array" ref="Q890">_xlfn.XLOOKUP(1,('Case Pack'!$A$4:$A$962=C890)*('Case Pack'!$L$4:$L$962&gt;0)*('Case Pack'!$L$4:$L$962&lt;=A890),'Case Pack'!$G$4:$G$962,"未找到箱型")</f>
        <v>C</v>
      </c>
      <c r="R890" s="124">
        <f>ROUND(IFERROR(VLOOKUP(Q890,'Case Type'!A:H,8,0),0)*O890,2)</f>
        <v>1.1</v>
      </c>
    </row>
    <row r="891" customFormat="1" spans="1:18">
      <c r="A891" s="113">
        <v>46288</v>
      </c>
      <c r="B891" s="91" t="str">
        <f>_xlfn.XLOOKUP(C891,'Product List'!B:B,'Product List'!I:I)</f>
        <v>MMO-CAMP LUNCH BOX CHEW</v>
      </c>
      <c r="C891" s="135" t="s">
        <v>34</v>
      </c>
      <c r="D891" s="234">
        <v>32182083</v>
      </c>
      <c r="E891" s="125">
        <v>144</v>
      </c>
      <c r="F891" s="125">
        <v>2.48</v>
      </c>
      <c r="G891" s="125">
        <f t="shared" si="26"/>
        <v>357.12</v>
      </c>
      <c r="H891" s="135" t="s">
        <v>298</v>
      </c>
      <c r="I891" s="86" t="s">
        <v>92</v>
      </c>
      <c r="J891" s="135" t="s">
        <v>317</v>
      </c>
      <c r="K891" s="126">
        <v>46323</v>
      </c>
      <c r="L891" s="126">
        <v>46323</v>
      </c>
      <c r="M891" s="127">
        <f>_xlfn.XLOOKUP(C891,'Product List'!B:B,'Product List'!R:R)</f>
        <v>1.59</v>
      </c>
      <c r="N891" s="124">
        <f t="shared" si="27"/>
        <v>228.96</v>
      </c>
      <c r="O891" s="124" cm="1">
        <f t="array" ref="O891">E891/_xlfn.XLOOKUP(1,('Case Pack'!$A$4:$A$962=C891)*('Case Pack'!$L$4:$L$962&gt;0)*('Case Pack'!$L$4:$L$962&lt;=A891),'Case Pack'!$D$4:$D$962,"未找到箱规")</f>
        <v>2</v>
      </c>
      <c r="P891" s="124" t="str">
        <f>IF(COUNTIF('PO Check'!A:A,D891)&gt;0,"Yes","No")</f>
        <v>Yes</v>
      </c>
      <c r="Q891" s="124" t="str" cm="1">
        <f t="array" ref="Q891">_xlfn.XLOOKUP(1,('Case Pack'!$A$4:$A$962=C891)*('Case Pack'!$L$4:$L$962&gt;0)*('Case Pack'!$L$4:$L$962&lt;=A891),'Case Pack'!$G$4:$G$962,"未找到箱型")</f>
        <v>B</v>
      </c>
      <c r="R891" s="124">
        <f>ROUND(IFERROR(VLOOKUP(Q891,'Case Type'!A:H,8,0),0)*O891,2)</f>
        <v>0.15</v>
      </c>
    </row>
    <row r="892" customFormat="1" spans="1:18">
      <c r="A892" s="113">
        <v>46288</v>
      </c>
      <c r="B892" s="91" t="str">
        <f>_xlfn.XLOOKUP(C892,'Product List'!B:B,'Product List'!I:I)</f>
        <v>D. MMO-COTTAGE VIEW CAGE</v>
      </c>
      <c r="C892" s="135" t="s">
        <v>64</v>
      </c>
      <c r="D892" s="234">
        <v>32182083</v>
      </c>
      <c r="E892" s="125">
        <v>2</v>
      </c>
      <c r="F892" s="125">
        <v>70.28</v>
      </c>
      <c r="G892" s="125">
        <f t="shared" si="26"/>
        <v>140.56</v>
      </c>
      <c r="H892" s="135" t="s">
        <v>298</v>
      </c>
      <c r="I892" s="86" t="s">
        <v>92</v>
      </c>
      <c r="J892" s="135" t="s">
        <v>317</v>
      </c>
      <c r="K892" s="126">
        <v>46323</v>
      </c>
      <c r="L892" s="126">
        <v>46323</v>
      </c>
      <c r="M892" s="127">
        <f>_xlfn.XLOOKUP(C892,'Product List'!B:B,'Product List'!R:R)</f>
        <v>28.56</v>
      </c>
      <c r="N892" s="124">
        <f t="shared" si="27"/>
        <v>57.12</v>
      </c>
      <c r="O892" s="124" cm="1">
        <f t="array" ref="O892">E892/_xlfn.XLOOKUP(1,('Case Pack'!$A$4:$A$962=C892)*('Case Pack'!$L$4:$L$962&gt;0)*('Case Pack'!$L$4:$L$962&lt;=A892),'Case Pack'!$D$4:$D$962,"未找到箱规")</f>
        <v>2</v>
      </c>
      <c r="P892" s="124" t="str">
        <f>IF(COUNTIF('PO Check'!A:A,D892)&gt;0,"Yes","No")</f>
        <v>Yes</v>
      </c>
      <c r="Q892" s="124" t="str" cm="1">
        <f t="array" ref="Q892">_xlfn.XLOOKUP(1,('Case Pack'!$A$4:$A$962=C892)*('Case Pack'!$L$4:$L$962&gt;0)*('Case Pack'!$L$4:$L$962&lt;=A892),'Case Pack'!$G$4:$G$962,"未找到箱型")</f>
        <v>S3</v>
      </c>
      <c r="R892" s="124">
        <f>ROUND(IFERROR(VLOOKUP(Q892,'Case Type'!A:H,8,0),0)*O892,2)</f>
        <v>0.28</v>
      </c>
    </row>
    <row r="893" customFormat="1" spans="1:18">
      <c r="A893" s="113">
        <v>46288</v>
      </c>
      <c r="B893" s="91" t="str">
        <f>_xlfn.XLOOKUP(C893,'Product List'!B:B,'Product List'!I:I)</f>
        <v>MMO-BUBBLE WATER BOTTLE</v>
      </c>
      <c r="C893" s="135" t="s">
        <v>67</v>
      </c>
      <c r="D893" s="234">
        <v>32182083</v>
      </c>
      <c r="E893" s="125">
        <v>294</v>
      </c>
      <c r="F893" s="125">
        <v>4.35</v>
      </c>
      <c r="G893" s="125">
        <f t="shared" si="26"/>
        <v>1278.9</v>
      </c>
      <c r="H893" s="135" t="s">
        <v>298</v>
      </c>
      <c r="I893" s="86" t="s">
        <v>92</v>
      </c>
      <c r="J893" s="135" t="s">
        <v>317</v>
      </c>
      <c r="K893" s="126">
        <v>46323</v>
      </c>
      <c r="L893" s="126">
        <v>46323</v>
      </c>
      <c r="M893" s="127">
        <f>_xlfn.XLOOKUP(C893,'Product List'!B:B,'Product List'!R:R)</f>
        <v>3.1</v>
      </c>
      <c r="N893" s="124">
        <f t="shared" si="27"/>
        <v>911.4</v>
      </c>
      <c r="O893" s="124" cm="1">
        <f t="array" ref="O893">E893/_xlfn.XLOOKUP(1,('Case Pack'!$A$4:$A$962=C893)*('Case Pack'!$L$4:$L$962&gt;0)*('Case Pack'!$L$4:$L$962&lt;=A893),'Case Pack'!$D$4:$D$962,"未找到箱规")</f>
        <v>7</v>
      </c>
      <c r="P893" s="124" t="str">
        <f>IF(COUNTIF('PO Check'!A:A,D893)&gt;0,"Yes","No")</f>
        <v>Yes</v>
      </c>
      <c r="Q893" s="124" t="str" cm="1">
        <f t="array" ref="Q893">_xlfn.XLOOKUP(1,('Case Pack'!$A$4:$A$962=C893)*('Case Pack'!$L$4:$L$962&gt;0)*('Case Pack'!$L$4:$L$962&lt;=A893),'Case Pack'!$G$4:$G$962,"未找到箱型")</f>
        <v>C</v>
      </c>
      <c r="R893" s="124">
        <f>ROUND(IFERROR(VLOOKUP(Q893,'Case Type'!A:H,8,0),0)*O893,2)</f>
        <v>1.1</v>
      </c>
    </row>
    <row r="894" customFormat="1" spans="1:18">
      <c r="A894" s="113">
        <v>46288</v>
      </c>
      <c r="B894" s="91" t="str">
        <f>_xlfn.XLOOKUP(C894,'Product List'!B:B,'Product List'!I:I)</f>
        <v>MMO-CLOUD WATER BOTTLE</v>
      </c>
      <c r="C894" s="135" t="s">
        <v>77</v>
      </c>
      <c r="D894" s="234">
        <v>32182083</v>
      </c>
      <c r="E894" s="125">
        <v>400</v>
      </c>
      <c r="F894" s="125">
        <v>1.32</v>
      </c>
      <c r="G894" s="125">
        <f t="shared" si="26"/>
        <v>528</v>
      </c>
      <c r="H894" s="135" t="s">
        <v>298</v>
      </c>
      <c r="I894" s="86" t="s">
        <v>92</v>
      </c>
      <c r="J894" s="135" t="s">
        <v>317</v>
      </c>
      <c r="K894" s="126">
        <v>46323</v>
      </c>
      <c r="L894" s="126">
        <v>46323</v>
      </c>
      <c r="M894" s="127">
        <f>_xlfn.XLOOKUP(C894,'Product List'!B:B,'Product List'!R:R)</f>
        <v>0.62</v>
      </c>
      <c r="N894" s="124">
        <f t="shared" si="27"/>
        <v>248</v>
      </c>
      <c r="O894" s="124" cm="1">
        <f t="array" ref="O894">E894/_xlfn.XLOOKUP(1,('Case Pack'!$A$4:$A$962=C894)*('Case Pack'!$L$4:$L$962&gt;0)*('Case Pack'!$L$4:$L$962&lt;=A894),'Case Pack'!$D$4:$D$962,"未找到箱规")</f>
        <v>8</v>
      </c>
      <c r="P894" s="124" t="str">
        <f>IF(COUNTIF('PO Check'!A:A,D894)&gt;0,"Yes","No")</f>
        <v>Yes</v>
      </c>
      <c r="Q894" s="124" t="str" cm="1">
        <f t="array" ref="Q894">_xlfn.XLOOKUP(1,('Case Pack'!$A$4:$A$962=C894)*('Case Pack'!$L$4:$L$962&gt;0)*('Case Pack'!$L$4:$L$962&lt;=A894),'Case Pack'!$G$4:$G$962,"未找到箱型")</f>
        <v>A</v>
      </c>
      <c r="R894" s="124">
        <f>ROUND(IFERROR(VLOOKUP(Q894,'Case Type'!A:H,8,0),0)*O894,2)</f>
        <v>0.88</v>
      </c>
    </row>
    <row r="895" customFormat="1" spans="1:18">
      <c r="A895" s="113">
        <v>46288</v>
      </c>
      <c r="B895" s="91" t="str">
        <f>_xlfn.XLOOKUP(C895,'Product List'!B:B,'Product List'!I:I)</f>
        <v>MINI/MOE SILENT CRSTL RUN WHEEL LG 8.5-White</v>
      </c>
      <c r="C895" s="135" t="s">
        <v>29</v>
      </c>
      <c r="D895" s="234">
        <v>32182084</v>
      </c>
      <c r="E895" s="125">
        <v>96</v>
      </c>
      <c r="F895" s="125">
        <v>13.22</v>
      </c>
      <c r="G895" s="125">
        <f t="shared" si="26"/>
        <v>1269.12</v>
      </c>
      <c r="H895" s="135" t="s">
        <v>298</v>
      </c>
      <c r="I895" s="86" t="s">
        <v>92</v>
      </c>
      <c r="J895" s="135" t="s">
        <v>327</v>
      </c>
      <c r="K895" s="126">
        <v>46328</v>
      </c>
      <c r="L895" s="126">
        <v>46316</v>
      </c>
      <c r="M895" s="127">
        <f>_xlfn.XLOOKUP(C895,'Product List'!B:B,'Product List'!R:R)</f>
        <v>6.27</v>
      </c>
      <c r="N895" s="124">
        <f t="shared" si="27"/>
        <v>601.92</v>
      </c>
      <c r="O895" s="124" cm="1">
        <f t="array" ref="O895">E895/_xlfn.XLOOKUP(1,('Case Pack'!$A$4:$A$962=C895)*('Case Pack'!$L$4:$L$962&gt;0)*('Case Pack'!$L$4:$L$962&lt;=A895),'Case Pack'!$D$4:$D$962,"未找到箱规")</f>
        <v>12</v>
      </c>
      <c r="P895" s="124" t="str">
        <f>IF(COUNTIF('PO Check'!A:A,D895)&gt;0,"Yes","No")</f>
        <v>Yes</v>
      </c>
      <c r="Q895" s="124" t="str" cm="1">
        <f t="array" ref="Q895">_xlfn.XLOOKUP(1,('Case Pack'!$A$4:$A$962=C895)*('Case Pack'!$L$4:$L$962&gt;0)*('Case Pack'!$L$4:$L$962&lt;=A895),'Case Pack'!$G$4:$G$962,"未找到箱型")</f>
        <v>C</v>
      </c>
      <c r="R895" s="124">
        <f>ROUND(IFERROR(VLOOKUP(Q895,'Case Type'!A:H,8,0),0)*O895,2)</f>
        <v>1.89</v>
      </c>
    </row>
    <row r="896" customFormat="1" spans="1:18">
      <c r="A896" s="113">
        <v>46288</v>
      </c>
      <c r="B896" s="91" t="str">
        <f>_xlfn.XLOOKUP(C896,'Product List'!B:B,'Product List'!I:I)</f>
        <v>MMO-GREEN APPLE CHEW</v>
      </c>
      <c r="C896" s="135" t="s">
        <v>33</v>
      </c>
      <c r="D896" s="234">
        <v>32182084</v>
      </c>
      <c r="E896" s="125">
        <v>144</v>
      </c>
      <c r="F896" s="125">
        <v>1.53</v>
      </c>
      <c r="G896" s="125">
        <f t="shared" si="26"/>
        <v>220.32</v>
      </c>
      <c r="H896" s="135" t="s">
        <v>298</v>
      </c>
      <c r="I896" s="86" t="s">
        <v>92</v>
      </c>
      <c r="J896" s="135" t="s">
        <v>327</v>
      </c>
      <c r="K896" s="126">
        <v>46328</v>
      </c>
      <c r="L896" s="126">
        <v>46316</v>
      </c>
      <c r="M896" s="127">
        <f>_xlfn.XLOOKUP(C896,'Product List'!B:B,'Product List'!R:R)</f>
        <v>1.04</v>
      </c>
      <c r="N896" s="124">
        <f t="shared" si="27"/>
        <v>149.76</v>
      </c>
      <c r="O896" s="124" cm="1">
        <f t="array" ref="O896">E896/_xlfn.XLOOKUP(1,('Case Pack'!$A$4:$A$962=C896)*('Case Pack'!$L$4:$L$962&gt;0)*('Case Pack'!$L$4:$L$962&lt;=A896),'Case Pack'!$D$4:$D$962,"未找到箱规")</f>
        <v>3</v>
      </c>
      <c r="P896" s="124" t="str">
        <f>IF(COUNTIF('PO Check'!A:A,D896)&gt;0,"Yes","No")</f>
        <v>Yes</v>
      </c>
      <c r="Q896" s="124" t="str" cm="1">
        <f t="array" ref="Q896">_xlfn.XLOOKUP(1,('Case Pack'!$A$4:$A$962=C896)*('Case Pack'!$L$4:$L$962&gt;0)*('Case Pack'!$L$4:$L$962&lt;=A896),'Case Pack'!$G$4:$G$962,"未找到箱型")</f>
        <v>B</v>
      </c>
      <c r="R896" s="124">
        <f>ROUND(IFERROR(VLOOKUP(Q896,'Case Type'!A:H,8,0),0)*O896,2)</f>
        <v>0.22</v>
      </c>
    </row>
    <row r="897" customFormat="1" spans="1:18">
      <c r="A897" s="113">
        <v>46288</v>
      </c>
      <c r="B897" s="91" t="str">
        <f>_xlfn.XLOOKUP(C897,'Product List'!B:B,'Product List'!I:I)</f>
        <v>MMO-CAMP LUNCH BOX CHEW</v>
      </c>
      <c r="C897" s="135" t="s">
        <v>34</v>
      </c>
      <c r="D897" s="234">
        <v>32182084</v>
      </c>
      <c r="E897" s="125">
        <v>72</v>
      </c>
      <c r="F897" s="125">
        <v>2.48</v>
      </c>
      <c r="G897" s="125">
        <f t="shared" si="26"/>
        <v>178.56</v>
      </c>
      <c r="H897" s="135" t="s">
        <v>298</v>
      </c>
      <c r="I897" s="86" t="s">
        <v>92</v>
      </c>
      <c r="J897" s="135" t="s">
        <v>327</v>
      </c>
      <c r="K897" s="126">
        <v>46328</v>
      </c>
      <c r="L897" s="126">
        <v>46316</v>
      </c>
      <c r="M897" s="127">
        <f>_xlfn.XLOOKUP(C897,'Product List'!B:B,'Product List'!R:R)</f>
        <v>1.59</v>
      </c>
      <c r="N897" s="124">
        <f t="shared" si="27"/>
        <v>114.48</v>
      </c>
      <c r="O897" s="124" cm="1">
        <f t="array" ref="O897">E897/_xlfn.XLOOKUP(1,('Case Pack'!$A$4:$A$962=C897)*('Case Pack'!$L$4:$L$962&gt;0)*('Case Pack'!$L$4:$L$962&lt;=A897),'Case Pack'!$D$4:$D$962,"未找到箱规")</f>
        <v>1</v>
      </c>
      <c r="P897" s="124" t="str">
        <f>IF(COUNTIF('PO Check'!A:A,D897)&gt;0,"Yes","No")</f>
        <v>Yes</v>
      </c>
      <c r="Q897" s="124" t="str" cm="1">
        <f t="array" ref="Q897">_xlfn.XLOOKUP(1,('Case Pack'!$A$4:$A$962=C897)*('Case Pack'!$L$4:$L$962&gt;0)*('Case Pack'!$L$4:$L$962&lt;=A897),'Case Pack'!$G$4:$G$962,"未找到箱型")</f>
        <v>B</v>
      </c>
      <c r="R897" s="124">
        <f>ROUND(IFERROR(VLOOKUP(Q897,'Case Type'!A:H,8,0),0)*O897,2)</f>
        <v>0.07</v>
      </c>
    </row>
    <row r="898" customFormat="1" spans="1:18">
      <c r="A898" s="113">
        <v>46288</v>
      </c>
      <c r="B898" s="91" t="str">
        <f>_xlfn.XLOOKUP(C898,'Product List'!B:B,'Product List'!I:I)</f>
        <v>MMO-BUBBLE WATER BOTTLE</v>
      </c>
      <c r="C898" s="135" t="s">
        <v>67</v>
      </c>
      <c r="D898" s="234">
        <v>32182084</v>
      </c>
      <c r="E898" s="125">
        <v>252</v>
      </c>
      <c r="F898" s="125">
        <v>4.35</v>
      </c>
      <c r="G898" s="125">
        <f t="shared" si="26"/>
        <v>1096.2</v>
      </c>
      <c r="H898" s="135" t="s">
        <v>298</v>
      </c>
      <c r="I898" s="86" t="s">
        <v>92</v>
      </c>
      <c r="J898" s="135" t="s">
        <v>327</v>
      </c>
      <c r="K898" s="126">
        <v>46328</v>
      </c>
      <c r="L898" s="126">
        <v>46316</v>
      </c>
      <c r="M898" s="127">
        <f>_xlfn.XLOOKUP(C898,'Product List'!B:B,'Product List'!R:R)</f>
        <v>3.1</v>
      </c>
      <c r="N898" s="124">
        <f t="shared" si="27"/>
        <v>781.2</v>
      </c>
      <c r="O898" s="124" cm="1">
        <f t="array" ref="O898">E898/_xlfn.XLOOKUP(1,('Case Pack'!$A$4:$A$962=C898)*('Case Pack'!$L$4:$L$962&gt;0)*('Case Pack'!$L$4:$L$962&lt;=A898),'Case Pack'!$D$4:$D$962,"未找到箱规")</f>
        <v>6</v>
      </c>
      <c r="P898" s="124" t="str">
        <f>IF(COUNTIF('PO Check'!A:A,D898)&gt;0,"Yes","No")</f>
        <v>Yes</v>
      </c>
      <c r="Q898" s="124" t="str" cm="1">
        <f t="array" ref="Q898">_xlfn.XLOOKUP(1,('Case Pack'!$A$4:$A$962=C898)*('Case Pack'!$L$4:$L$962&gt;0)*('Case Pack'!$L$4:$L$962&lt;=A898),'Case Pack'!$G$4:$G$962,"未找到箱型")</f>
        <v>C</v>
      </c>
      <c r="R898" s="124">
        <f>ROUND(IFERROR(VLOOKUP(Q898,'Case Type'!A:H,8,0),0)*O898,2)</f>
        <v>0.94</v>
      </c>
    </row>
    <row r="899" customFormat="1" spans="1:18">
      <c r="A899" s="113">
        <v>46288</v>
      </c>
      <c r="B899" s="91" t="str">
        <f>_xlfn.XLOOKUP(C899,'Product List'!B:B,'Product List'!I:I)</f>
        <v>MMO-CLOUD WATER BOTTLE</v>
      </c>
      <c r="C899" s="135" t="s">
        <v>77</v>
      </c>
      <c r="D899" s="234">
        <v>32182084</v>
      </c>
      <c r="E899" s="125">
        <v>200</v>
      </c>
      <c r="F899" s="125">
        <v>1.32</v>
      </c>
      <c r="G899" s="125">
        <f t="shared" si="26"/>
        <v>264</v>
      </c>
      <c r="H899" s="135" t="s">
        <v>298</v>
      </c>
      <c r="I899" s="86" t="s">
        <v>92</v>
      </c>
      <c r="J899" s="135" t="s">
        <v>327</v>
      </c>
      <c r="K899" s="126">
        <v>46328</v>
      </c>
      <c r="L899" s="126">
        <v>46316</v>
      </c>
      <c r="M899" s="127">
        <f>_xlfn.XLOOKUP(C899,'Product List'!B:B,'Product List'!R:R)</f>
        <v>0.62</v>
      </c>
      <c r="N899" s="124">
        <f t="shared" si="27"/>
        <v>124</v>
      </c>
      <c r="O899" s="124" cm="1">
        <f t="array" ref="O899">E899/_xlfn.XLOOKUP(1,('Case Pack'!$A$4:$A$962=C899)*('Case Pack'!$L$4:$L$962&gt;0)*('Case Pack'!$L$4:$L$962&lt;=A899),'Case Pack'!$D$4:$D$962,"未找到箱规")</f>
        <v>4</v>
      </c>
      <c r="P899" s="124" t="str">
        <f>IF(COUNTIF('PO Check'!A:A,D899)&gt;0,"Yes","No")</f>
        <v>Yes</v>
      </c>
      <c r="Q899" s="124" t="str" cm="1">
        <f t="array" ref="Q899">_xlfn.XLOOKUP(1,('Case Pack'!$A$4:$A$962=C899)*('Case Pack'!$L$4:$L$962&gt;0)*('Case Pack'!$L$4:$L$962&lt;=A899),'Case Pack'!$G$4:$G$962,"未找到箱型")</f>
        <v>A</v>
      </c>
      <c r="R899" s="124">
        <f>ROUND(IFERROR(VLOOKUP(Q899,'Case Type'!A:H,8,0),0)*O899,2)</f>
        <v>0.44</v>
      </c>
    </row>
    <row r="900" customFormat="1" spans="1:18">
      <c r="A900" s="113">
        <v>46293</v>
      </c>
      <c r="B900" s="91" t="str">
        <f>_xlfn.XLOOKUP(C900,'Product List'!B:B,'Product List'!I:I)</f>
        <v>MINI/MOE GARDEN TEAPOT</v>
      </c>
      <c r="C900" s="135" t="s">
        <v>43</v>
      </c>
      <c r="D900" s="234" t="s">
        <v>367</v>
      </c>
      <c r="E900" s="125">
        <v>150</v>
      </c>
      <c r="F900" s="125">
        <v>4.61</v>
      </c>
      <c r="G900" s="125">
        <f t="shared" si="26"/>
        <v>691.5</v>
      </c>
      <c r="H900" s="135" t="s">
        <v>306</v>
      </c>
      <c r="I900" s="86" t="s">
        <v>92</v>
      </c>
      <c r="J900" s="135" t="s">
        <v>307</v>
      </c>
      <c r="K900" s="126">
        <v>46314</v>
      </c>
      <c r="L900" s="126">
        <v>46311</v>
      </c>
      <c r="M900" s="127">
        <f>_xlfn.XLOOKUP(C900,'Product List'!B:B,'Product List'!R:R)</f>
        <v>2.25</v>
      </c>
      <c r="N900" s="124">
        <f t="shared" si="27"/>
        <v>337.5</v>
      </c>
      <c r="O900" s="124" cm="1">
        <f t="array" ref="O900">E900/_xlfn.XLOOKUP(1,('Case Pack'!$A$4:$A$962=C900)*('Case Pack'!$L$4:$L$962&gt;0)*('Case Pack'!$L$4:$L$962&lt;=A900),'Case Pack'!$D$4:$D$962,"未找到箱规")</f>
        <v>5</v>
      </c>
      <c r="P900" s="124" t="str">
        <f>IF(COUNTIF('PO Check'!A:A,D900)&gt;0,"Yes","No")</f>
        <v>Yes</v>
      </c>
      <c r="Q900" s="124" t="str" cm="1">
        <f t="array" ref="Q900">_xlfn.XLOOKUP(1,('Case Pack'!$A$4:$A$962=C900)*('Case Pack'!$L$4:$L$962&gt;0)*('Case Pack'!$L$4:$L$962&lt;=A900),'Case Pack'!$G$4:$G$962,"未找到箱型")</f>
        <v>C</v>
      </c>
      <c r="R900" s="124">
        <f>ROUND(IFERROR(VLOOKUP(Q900,'Case Type'!A:H,8,0),0)*O900,2)</f>
        <v>0.79</v>
      </c>
    </row>
    <row r="901" customFormat="1" spans="1:18">
      <c r="A901" s="113">
        <v>46293</v>
      </c>
      <c r="B901" s="91" t="str">
        <f>_xlfn.XLOOKUP(C901,'Product List'!B:B,'Product List'!I:I)</f>
        <v>MINI/MOE CAMPING TENT HIDE</v>
      </c>
      <c r="C901" s="135" t="s">
        <v>73</v>
      </c>
      <c r="D901" s="234" t="s">
        <v>367</v>
      </c>
      <c r="E901" s="125">
        <v>72</v>
      </c>
      <c r="F901" s="125">
        <v>3.36</v>
      </c>
      <c r="G901" s="125">
        <f t="shared" si="26"/>
        <v>241.92</v>
      </c>
      <c r="H901" s="135" t="s">
        <v>306</v>
      </c>
      <c r="I901" s="86" t="s">
        <v>92</v>
      </c>
      <c r="J901" s="135" t="s">
        <v>307</v>
      </c>
      <c r="K901" s="126">
        <v>46314</v>
      </c>
      <c r="L901" s="126">
        <v>46311</v>
      </c>
      <c r="M901" s="127">
        <f>_xlfn.XLOOKUP(C901,'Product List'!B:B,'Product List'!R:R)</f>
        <v>1.96</v>
      </c>
      <c r="N901" s="124">
        <f t="shared" si="27"/>
        <v>141.12</v>
      </c>
      <c r="O901" s="124" cm="1">
        <f t="array" ref="O901">E901/_xlfn.XLOOKUP(1,('Case Pack'!$A$4:$A$962=C901)*('Case Pack'!$L$4:$L$962&gt;0)*('Case Pack'!$L$4:$L$962&lt;=A901),'Case Pack'!$D$4:$D$962,"未找到箱规")</f>
        <v>6</v>
      </c>
      <c r="P901" s="124" t="str">
        <f>IF(COUNTIF('PO Check'!A:A,D901)&gt;0,"Yes","No")</f>
        <v>Yes</v>
      </c>
      <c r="Q901" s="124" t="str" cm="1">
        <f t="array" ref="Q901">_xlfn.XLOOKUP(1,('Case Pack'!$A$4:$A$962=C901)*('Case Pack'!$L$4:$L$962&gt;0)*('Case Pack'!$L$4:$L$962&lt;=A901),'Case Pack'!$G$4:$G$962,"未找到箱型")</f>
        <v>B</v>
      </c>
      <c r="R901" s="124">
        <f>ROUND(IFERROR(VLOOKUP(Q901,'Case Type'!A:H,8,0),0)*O901,2)</f>
        <v>0.44</v>
      </c>
    </row>
    <row r="902" customFormat="1" spans="1:18">
      <c r="A902" s="113">
        <v>46293</v>
      </c>
      <c r="B902" s="91" t="str">
        <f>_xlfn.XLOOKUP(C902,'Product List'!B:B,'Product List'!I:I)</f>
        <v>MINI/MOE RUFFLE BOWL</v>
      </c>
      <c r="C902" s="135" t="s">
        <v>78</v>
      </c>
      <c r="D902" s="234" t="s">
        <v>367</v>
      </c>
      <c r="E902" s="125">
        <v>96</v>
      </c>
      <c r="F902" s="125">
        <v>2.25</v>
      </c>
      <c r="G902" s="125">
        <f t="shared" si="26"/>
        <v>216</v>
      </c>
      <c r="H902" s="135" t="s">
        <v>306</v>
      </c>
      <c r="I902" s="86" t="s">
        <v>92</v>
      </c>
      <c r="J902" s="135" t="s">
        <v>307</v>
      </c>
      <c r="K902" s="126">
        <v>46314</v>
      </c>
      <c r="L902" s="126">
        <v>46311</v>
      </c>
      <c r="M902" s="127">
        <f>_xlfn.XLOOKUP(C902,'Product List'!B:B,'Product List'!R:R)</f>
        <v>1.34</v>
      </c>
      <c r="N902" s="124">
        <f t="shared" si="27"/>
        <v>128.64</v>
      </c>
      <c r="O902" s="124" cm="1">
        <f t="array" ref="O902">E902/_xlfn.XLOOKUP(1,('Case Pack'!$A$4:$A$962=C902)*('Case Pack'!$L$4:$L$962&gt;0)*('Case Pack'!$L$4:$L$962&lt;=A902),'Case Pack'!$D$4:$D$962,"未找到箱规")</f>
        <v>2</v>
      </c>
      <c r="P902" s="124" t="str">
        <f>IF(COUNTIF('PO Check'!A:A,D902)&gt;0,"Yes","No")</f>
        <v>Yes</v>
      </c>
      <c r="Q902" s="124" t="str" cm="1">
        <f t="array" ref="Q902">_xlfn.XLOOKUP(1,('Case Pack'!$A$4:$A$962=C902)*('Case Pack'!$L$4:$L$962&gt;0)*('Case Pack'!$L$4:$L$962&lt;=A902),'Case Pack'!$G$4:$G$962,"未找到箱型")</f>
        <v>B</v>
      </c>
      <c r="R902" s="124">
        <f>ROUND(IFERROR(VLOOKUP(Q902,'Case Type'!A:H,8,0),0)*O902,2)</f>
        <v>0.15</v>
      </c>
    </row>
    <row r="903" customFormat="1" spans="1:18">
      <c r="A903" s="113">
        <v>46293</v>
      </c>
      <c r="B903" s="91" t="str">
        <f>_xlfn.XLOOKUP(C903,'Product List'!B:B,'Product List'!I:I)</f>
        <v>MINI/MOE MUSHROOM CABIN</v>
      </c>
      <c r="C903" s="135" t="s">
        <v>39</v>
      </c>
      <c r="D903" s="234" t="s">
        <v>367</v>
      </c>
      <c r="E903" s="125">
        <v>32</v>
      </c>
      <c r="F903" s="125">
        <v>6.98</v>
      </c>
      <c r="G903" s="125">
        <f t="shared" si="26"/>
        <v>223.36</v>
      </c>
      <c r="H903" s="135" t="s">
        <v>306</v>
      </c>
      <c r="I903" s="86" t="s">
        <v>92</v>
      </c>
      <c r="J903" s="135" t="s">
        <v>307</v>
      </c>
      <c r="K903" s="126">
        <v>46314</v>
      </c>
      <c r="L903" s="126">
        <v>46311</v>
      </c>
      <c r="M903" s="127">
        <f>_xlfn.XLOOKUP(C903,'Product List'!B:B,'Product List'!R:R)</f>
        <v>3.2</v>
      </c>
      <c r="N903" s="124">
        <f t="shared" ref="N903:N947" si="28">M903*E903</f>
        <v>102.4</v>
      </c>
      <c r="O903" s="124" cm="1">
        <f t="array" ref="O903">E903/_xlfn.XLOOKUP(1,('Case Pack'!$A$4:$A$962=C903)*('Case Pack'!$L$4:$L$962&gt;0)*('Case Pack'!$L$4:$L$962&lt;=A903),'Case Pack'!$D$4:$D$962,"未找到箱规")</f>
        <v>2</v>
      </c>
      <c r="P903" s="124" t="str">
        <f>IF(COUNTIF('PO Check'!A:A,D903)&gt;0,"Yes","No")</f>
        <v>Yes</v>
      </c>
      <c r="Q903" s="124" t="str" cm="1">
        <f t="array" ref="Q903">_xlfn.XLOOKUP(1,('Case Pack'!$A$4:$A$962=C903)*('Case Pack'!$L$4:$L$962&gt;0)*('Case Pack'!$L$4:$L$962&lt;=A903),'Case Pack'!$G$4:$G$962,"未找到箱型")</f>
        <v>C</v>
      </c>
      <c r="R903" s="124">
        <f>ROUND(IFERROR(VLOOKUP(Q903,'Case Type'!A:H,8,0),0)*O903,2)</f>
        <v>0.31</v>
      </c>
    </row>
    <row r="904" customFormat="1" spans="1:18">
      <c r="A904" s="113">
        <v>46293</v>
      </c>
      <c r="B904" s="91" t="str">
        <f>_xlfn.XLOOKUP(C904,'Product List'!B:B,'Product List'!I:I)</f>
        <v>MINI/MOE WOODLAND POTTY</v>
      </c>
      <c r="C904" s="135" t="s">
        <v>79</v>
      </c>
      <c r="D904" s="234" t="s">
        <v>367</v>
      </c>
      <c r="E904" s="125">
        <v>36</v>
      </c>
      <c r="F904" s="125">
        <v>2.61</v>
      </c>
      <c r="G904" s="125">
        <f t="shared" si="26"/>
        <v>93.96</v>
      </c>
      <c r="H904" s="135" t="s">
        <v>306</v>
      </c>
      <c r="I904" s="86" t="s">
        <v>92</v>
      </c>
      <c r="J904" s="135" t="s">
        <v>307</v>
      </c>
      <c r="K904" s="126">
        <v>46314</v>
      </c>
      <c r="L904" s="126">
        <v>46311</v>
      </c>
      <c r="M904" s="127">
        <f>_xlfn.XLOOKUP(C904,'Product List'!B:B,'Product List'!R:R)</f>
        <v>1.19</v>
      </c>
      <c r="N904" s="124">
        <f t="shared" si="28"/>
        <v>42.84</v>
      </c>
      <c r="O904" s="124" cm="1">
        <f t="array" ref="O904">E904/_xlfn.XLOOKUP(1,('Case Pack'!$A$4:$A$962=C904)*('Case Pack'!$L$4:$L$962&gt;0)*('Case Pack'!$L$4:$L$962&lt;=A904),'Case Pack'!$D$4:$D$962,"未找到箱规")</f>
        <v>1</v>
      </c>
      <c r="P904" s="124" t="str">
        <f>IF(COUNTIF('PO Check'!A:A,D904)&gt;0,"Yes","No")</f>
        <v>Yes</v>
      </c>
      <c r="Q904" s="124" t="str" cm="1">
        <f t="array" ref="Q904">_xlfn.XLOOKUP(1,('Case Pack'!$A$4:$A$962=C904)*('Case Pack'!$L$4:$L$962&gt;0)*('Case Pack'!$L$4:$L$962&lt;=A904),'Case Pack'!$G$4:$G$962,"未找到箱型")</f>
        <v>C</v>
      </c>
      <c r="R904" s="124">
        <f>ROUND(IFERROR(VLOOKUP(Q904,'Case Type'!A:H,8,0),0)*O904,2)</f>
        <v>0.16</v>
      </c>
    </row>
    <row r="905" customFormat="1" spans="1:18">
      <c r="A905" s="113">
        <v>46293</v>
      </c>
      <c r="B905" s="91" t="str">
        <f>_xlfn.XLOOKUP(C905,'Product List'!B:B,'Product List'!I:I)</f>
        <v>MMO-BUBBLE WATER BOTTLE</v>
      </c>
      <c r="C905" s="135" t="s">
        <v>67</v>
      </c>
      <c r="D905" s="234" t="s">
        <v>367</v>
      </c>
      <c r="E905" s="125">
        <v>168</v>
      </c>
      <c r="F905" s="125">
        <v>4.14</v>
      </c>
      <c r="G905" s="125">
        <f t="shared" si="26"/>
        <v>695.52</v>
      </c>
      <c r="H905" s="135" t="s">
        <v>306</v>
      </c>
      <c r="I905" s="86" t="s">
        <v>92</v>
      </c>
      <c r="J905" s="135" t="s">
        <v>307</v>
      </c>
      <c r="K905" s="126">
        <v>46314</v>
      </c>
      <c r="L905" s="126">
        <v>46311</v>
      </c>
      <c r="M905" s="127">
        <f>_xlfn.XLOOKUP(C905,'Product List'!B:B,'Product List'!R:R)</f>
        <v>3.1</v>
      </c>
      <c r="N905" s="124">
        <f t="shared" si="28"/>
        <v>520.8</v>
      </c>
      <c r="O905" s="124" cm="1">
        <f t="array" ref="O905">E905/_xlfn.XLOOKUP(1,('Case Pack'!$A$4:$A$962=C905)*('Case Pack'!$L$4:$L$962&gt;0)*('Case Pack'!$L$4:$L$962&lt;=A905),'Case Pack'!$D$4:$D$962,"未找到箱规")</f>
        <v>4</v>
      </c>
      <c r="P905" s="124" t="str">
        <f>IF(COUNTIF('PO Check'!A:A,D905)&gt;0,"Yes","No")</f>
        <v>Yes</v>
      </c>
      <c r="Q905" s="124" t="str" cm="1">
        <f t="array" ref="Q905">_xlfn.XLOOKUP(1,('Case Pack'!$A$4:$A$962=C905)*('Case Pack'!$L$4:$L$962&gt;0)*('Case Pack'!$L$4:$L$962&lt;=A905),'Case Pack'!$G$4:$G$962,"未找到箱型")</f>
        <v>C</v>
      </c>
      <c r="R905" s="124">
        <f>ROUND(IFERROR(VLOOKUP(Q905,'Case Type'!A:H,8,0),0)*O905,2)</f>
        <v>0.63</v>
      </c>
    </row>
    <row r="906" customFormat="1" spans="1:18">
      <c r="A906" s="113">
        <v>46293</v>
      </c>
      <c r="B906" s="91" t="str">
        <f>_xlfn.XLOOKUP(C906,'Product List'!B:B,'Product List'!I:I)</f>
        <v>MINI/MOE FISHBONE BRIDGE 1EA</v>
      </c>
      <c r="C906" s="135" t="s">
        <v>42</v>
      </c>
      <c r="D906" s="234" t="s">
        <v>367</v>
      </c>
      <c r="E906" s="125">
        <v>150</v>
      </c>
      <c r="F906" s="125">
        <v>2.39</v>
      </c>
      <c r="G906" s="125">
        <f t="shared" si="26"/>
        <v>358.5</v>
      </c>
      <c r="H906" s="135" t="s">
        <v>306</v>
      </c>
      <c r="I906" s="86" t="s">
        <v>92</v>
      </c>
      <c r="J906" s="135" t="s">
        <v>307</v>
      </c>
      <c r="K906" s="126">
        <v>46314</v>
      </c>
      <c r="L906" s="126">
        <v>46311</v>
      </c>
      <c r="M906" s="127">
        <f>_xlfn.XLOOKUP(C906,'Product List'!B:B,'Product List'!R:R)</f>
        <v>1.45</v>
      </c>
      <c r="N906" s="124">
        <f t="shared" si="28"/>
        <v>217.5</v>
      </c>
      <c r="O906" s="124" cm="1">
        <f t="array" ref="O906">E906/_xlfn.XLOOKUP(1,('Case Pack'!$A$4:$A$962=C906)*('Case Pack'!$L$4:$L$962&gt;0)*('Case Pack'!$L$4:$L$962&lt;=A906),'Case Pack'!$D$4:$D$962,"未找到箱规")</f>
        <v>5</v>
      </c>
      <c r="P906" s="124" t="str">
        <f>IF(COUNTIF('PO Check'!A:A,D906)&gt;0,"Yes","No")</f>
        <v>Yes</v>
      </c>
      <c r="Q906" s="124" t="str" cm="1">
        <f t="array" ref="Q906">_xlfn.XLOOKUP(1,('Case Pack'!$A$4:$A$962=C906)*('Case Pack'!$L$4:$L$962&gt;0)*('Case Pack'!$L$4:$L$962&lt;=A906),'Case Pack'!$G$4:$G$962,"未找到箱型")</f>
        <v>B</v>
      </c>
      <c r="R906" s="124">
        <f>ROUND(IFERROR(VLOOKUP(Q906,'Case Type'!A:H,8,0),0)*O906,2)</f>
        <v>0.37</v>
      </c>
    </row>
    <row r="907" customFormat="1" spans="1:18">
      <c r="A907" s="113">
        <v>46302</v>
      </c>
      <c r="B907" s="91" t="str">
        <f>_xlfn.XLOOKUP(C907,'Product List'!B:B,'Product List'!I:I)</f>
        <v>MINI/MOE SILENT CRSTL RUN WHEEL LG 8.5-White</v>
      </c>
      <c r="C907" s="135" t="s">
        <v>29</v>
      </c>
      <c r="D907" s="234">
        <v>32297647</v>
      </c>
      <c r="E907" s="125">
        <v>32</v>
      </c>
      <c r="F907" s="125">
        <v>13.22</v>
      </c>
      <c r="G907" s="125">
        <f t="shared" si="26"/>
        <v>423.04</v>
      </c>
      <c r="H907" s="135" t="s">
        <v>298</v>
      </c>
      <c r="I907" s="86" t="s">
        <v>92</v>
      </c>
      <c r="J907" s="135" t="s">
        <v>316</v>
      </c>
      <c r="K907" s="126">
        <v>46342</v>
      </c>
      <c r="L907" s="126"/>
      <c r="M907" s="127">
        <f>_xlfn.XLOOKUP(C907,'Product List'!B:B,'Product List'!R:R)</f>
        <v>6.27</v>
      </c>
      <c r="N907" s="124">
        <f t="shared" si="28"/>
        <v>200.64</v>
      </c>
      <c r="O907" s="124" cm="1">
        <f t="array" ref="O907">E907/_xlfn.XLOOKUP(1,('Case Pack'!$A$4:$A$962=C907)*('Case Pack'!$L$4:$L$962&gt;0)*('Case Pack'!$L$4:$L$962&lt;=A907),'Case Pack'!$D$4:$D$962,"未找到箱规")</f>
        <v>4</v>
      </c>
      <c r="P907" s="124" t="str">
        <f>IF(COUNTIF('PO Check'!A:A,D907)&gt;0,"Yes","No")</f>
        <v>Yes</v>
      </c>
      <c r="Q907" s="124" t="str" cm="1">
        <f t="array" ref="Q907">_xlfn.XLOOKUP(1,('Case Pack'!$A$4:$A$962=C907)*('Case Pack'!$L$4:$L$962&gt;0)*('Case Pack'!$L$4:$L$962&lt;=A907),'Case Pack'!$G$4:$G$962,"未找到箱型")</f>
        <v>C</v>
      </c>
      <c r="R907" s="124">
        <f>ROUND(IFERROR(VLOOKUP(Q907,'Case Type'!A:H,8,0),0)*O907,2)</f>
        <v>0.63</v>
      </c>
    </row>
    <row r="908" customFormat="1" spans="1:18">
      <c r="A908" s="113">
        <v>46302</v>
      </c>
      <c r="B908" s="91" t="str">
        <f>_xlfn.XLOOKUP(C908,'Product List'!B:B,'Product List'!I:I)</f>
        <v>MMO-GREEN APPLE CHEW</v>
      </c>
      <c r="C908" s="135" t="s">
        <v>33</v>
      </c>
      <c r="D908" s="234">
        <v>32297647</v>
      </c>
      <c r="E908" s="125">
        <v>48</v>
      </c>
      <c r="F908" s="125">
        <v>1.53</v>
      </c>
      <c r="G908" s="125">
        <f t="shared" si="26"/>
        <v>73.44</v>
      </c>
      <c r="H908" s="135" t="s">
        <v>298</v>
      </c>
      <c r="I908" s="86" t="s">
        <v>92</v>
      </c>
      <c r="J908" s="135" t="s">
        <v>316</v>
      </c>
      <c r="K908" s="126">
        <v>46342</v>
      </c>
      <c r="L908" s="126"/>
      <c r="M908" s="127">
        <f>_xlfn.XLOOKUP(C908,'Product List'!B:B,'Product List'!R:R)</f>
        <v>1.04</v>
      </c>
      <c r="N908" s="124">
        <f t="shared" si="28"/>
        <v>49.92</v>
      </c>
      <c r="O908" s="124" cm="1">
        <f t="array" ref="O908">E908/_xlfn.XLOOKUP(1,('Case Pack'!$A$4:$A$962=C908)*('Case Pack'!$L$4:$L$962&gt;0)*('Case Pack'!$L$4:$L$962&lt;=A908),'Case Pack'!$D$4:$D$962,"未找到箱规")</f>
        <v>1</v>
      </c>
      <c r="P908" s="124" t="str">
        <f>IF(COUNTIF('PO Check'!A:A,D908)&gt;0,"Yes","No")</f>
        <v>Yes</v>
      </c>
      <c r="Q908" s="124" t="str" cm="1">
        <f t="array" ref="Q908">_xlfn.XLOOKUP(1,('Case Pack'!$A$4:$A$962=C908)*('Case Pack'!$L$4:$L$962&gt;0)*('Case Pack'!$L$4:$L$962&lt;=A908),'Case Pack'!$G$4:$G$962,"未找到箱型")</f>
        <v>B</v>
      </c>
      <c r="R908" s="124">
        <f>ROUND(IFERROR(VLOOKUP(Q908,'Case Type'!A:H,8,0),0)*O908,2)</f>
        <v>0.07</v>
      </c>
    </row>
    <row r="909" customFormat="1" spans="1:18">
      <c r="A909" s="113">
        <v>46302</v>
      </c>
      <c r="B909" s="91" t="str">
        <f>_xlfn.XLOOKUP(C909,'Product List'!B:B,'Product List'!I:I)</f>
        <v>MMO-CAMP LUNCH BOX CHEW</v>
      </c>
      <c r="C909" s="135" t="s">
        <v>34</v>
      </c>
      <c r="D909" s="234">
        <v>32297647</v>
      </c>
      <c r="E909" s="125">
        <v>72</v>
      </c>
      <c r="F909" s="125">
        <v>2.48</v>
      </c>
      <c r="G909" s="125">
        <f t="shared" si="26"/>
        <v>178.56</v>
      </c>
      <c r="H909" s="135" t="s">
        <v>298</v>
      </c>
      <c r="I909" s="86" t="s">
        <v>92</v>
      </c>
      <c r="J909" s="135" t="s">
        <v>316</v>
      </c>
      <c r="K909" s="126">
        <v>46342</v>
      </c>
      <c r="L909" s="126"/>
      <c r="M909" s="127">
        <f>_xlfn.XLOOKUP(C909,'Product List'!B:B,'Product List'!R:R)</f>
        <v>1.59</v>
      </c>
      <c r="N909" s="124">
        <f t="shared" si="28"/>
        <v>114.48</v>
      </c>
      <c r="O909" s="124" cm="1">
        <f t="array" ref="O909">E909/_xlfn.XLOOKUP(1,('Case Pack'!$A$4:$A$962=C909)*('Case Pack'!$L$4:$L$962&gt;0)*('Case Pack'!$L$4:$L$962&lt;=A909),'Case Pack'!$D$4:$D$962,"未找到箱规")</f>
        <v>1</v>
      </c>
      <c r="P909" s="124" t="str">
        <f>IF(COUNTIF('PO Check'!A:A,D909)&gt;0,"Yes","No")</f>
        <v>Yes</v>
      </c>
      <c r="Q909" s="124" t="str" cm="1">
        <f t="array" ref="Q909">_xlfn.XLOOKUP(1,('Case Pack'!$A$4:$A$962=C909)*('Case Pack'!$L$4:$L$962&gt;0)*('Case Pack'!$L$4:$L$962&lt;=A909),'Case Pack'!$G$4:$G$962,"未找到箱型")</f>
        <v>B</v>
      </c>
      <c r="R909" s="124">
        <f>ROUND(IFERROR(VLOOKUP(Q909,'Case Type'!A:H,8,0),0)*O909,2)</f>
        <v>0.07</v>
      </c>
    </row>
    <row r="910" customFormat="1" spans="1:18">
      <c r="A910" s="113">
        <v>46302</v>
      </c>
      <c r="B910" s="91" t="str">
        <f>_xlfn.XLOOKUP(C910,'Product List'!B:B,'Product List'!I:I)</f>
        <v>MINI/MOE TV VIEWING CAGE</v>
      </c>
      <c r="C910" s="135" t="s">
        <v>50</v>
      </c>
      <c r="D910" s="234">
        <v>32297647</v>
      </c>
      <c r="E910" s="125">
        <v>51</v>
      </c>
      <c r="F910" s="125">
        <v>48.49</v>
      </c>
      <c r="G910" s="125">
        <f t="shared" si="26"/>
        <v>2472.99</v>
      </c>
      <c r="H910" s="135" t="s">
        <v>298</v>
      </c>
      <c r="I910" s="86" t="s">
        <v>92</v>
      </c>
      <c r="J910" s="135" t="s">
        <v>316</v>
      </c>
      <c r="K910" s="126">
        <v>46342</v>
      </c>
      <c r="L910" s="126"/>
      <c r="M910" s="127">
        <f>_xlfn.XLOOKUP(C910,'Product List'!B:B,'Product List'!R:R)</f>
        <v>24.09</v>
      </c>
      <c r="N910" s="124">
        <f t="shared" si="28"/>
        <v>1228.59</v>
      </c>
      <c r="O910" s="124" cm="1">
        <f t="array" ref="O910">E910/_xlfn.XLOOKUP(1,('Case Pack'!$A$4:$A$962=C910)*('Case Pack'!$L$4:$L$962&gt;0)*('Case Pack'!$L$4:$L$962&lt;=A910),'Case Pack'!$D$4:$D$962,"未找到箱规")</f>
        <v>51</v>
      </c>
      <c r="P910" s="124" t="str">
        <f>IF(COUNTIF('PO Check'!A:A,D910)&gt;0,"Yes","No")</f>
        <v>Yes</v>
      </c>
      <c r="Q910" s="124" t="str" cm="1">
        <f t="array" ref="Q910">_xlfn.XLOOKUP(1,('Case Pack'!$A$4:$A$962=C910)*('Case Pack'!$L$4:$L$962&gt;0)*('Case Pack'!$L$4:$L$962&lt;=A910),'Case Pack'!$G$4:$G$962,"未找到箱型")</f>
        <v>S1</v>
      </c>
      <c r="R910" s="124">
        <f>ROUND(IFERROR(VLOOKUP(Q910,'Case Type'!A:H,8,0),0)*O910,2)</f>
        <v>3.77</v>
      </c>
    </row>
    <row r="911" customFormat="1" spans="1:18">
      <c r="A911" s="113">
        <v>46302</v>
      </c>
      <c r="B911" s="91" t="str">
        <f>_xlfn.XLOOKUP(C911,'Product List'!B:B,'Product List'!I:I)</f>
        <v>MMO-BUBBLE WATER BOTTLE</v>
      </c>
      <c r="C911" s="135" t="s">
        <v>67</v>
      </c>
      <c r="D911" s="234">
        <v>32297647</v>
      </c>
      <c r="E911" s="125">
        <v>168</v>
      </c>
      <c r="F911" s="125">
        <v>4.35</v>
      </c>
      <c r="G911" s="125">
        <f t="shared" si="26"/>
        <v>730.8</v>
      </c>
      <c r="H911" s="135" t="s">
        <v>298</v>
      </c>
      <c r="I911" s="86" t="s">
        <v>92</v>
      </c>
      <c r="J911" s="135" t="s">
        <v>316</v>
      </c>
      <c r="K911" s="126">
        <v>46342</v>
      </c>
      <c r="L911" s="126"/>
      <c r="M911" s="127">
        <f>_xlfn.XLOOKUP(C911,'Product List'!B:B,'Product List'!R:R)</f>
        <v>3.1</v>
      </c>
      <c r="N911" s="124">
        <f t="shared" si="28"/>
        <v>520.8</v>
      </c>
      <c r="O911" s="124" cm="1">
        <f t="array" ref="O911">E911/_xlfn.XLOOKUP(1,('Case Pack'!$A$4:$A$962=C911)*('Case Pack'!$L$4:$L$962&gt;0)*('Case Pack'!$L$4:$L$962&lt;=A911),'Case Pack'!$D$4:$D$962,"未找到箱规")</f>
        <v>4</v>
      </c>
      <c r="P911" s="124" t="str">
        <f>IF(COUNTIF('PO Check'!A:A,D911)&gt;0,"Yes","No")</f>
        <v>Yes</v>
      </c>
      <c r="Q911" s="124" t="str" cm="1">
        <f t="array" ref="Q911">_xlfn.XLOOKUP(1,('Case Pack'!$A$4:$A$962=C911)*('Case Pack'!$L$4:$L$962&gt;0)*('Case Pack'!$L$4:$L$962&lt;=A911),'Case Pack'!$G$4:$G$962,"未找到箱型")</f>
        <v>C</v>
      </c>
      <c r="R911" s="124">
        <f>ROUND(IFERROR(VLOOKUP(Q911,'Case Type'!A:H,8,0),0)*O911,2)</f>
        <v>0.63</v>
      </c>
    </row>
    <row r="912" customFormat="1" spans="1:18">
      <c r="A912" s="113">
        <v>46302</v>
      </c>
      <c r="B912" s="91" t="str">
        <f>_xlfn.XLOOKUP(C912,'Product List'!B:B,'Product List'!I:I)</f>
        <v>MMO-CLOUD WATER BOTTLE</v>
      </c>
      <c r="C912" s="135" t="s">
        <v>77</v>
      </c>
      <c r="D912" s="234">
        <v>32297647</v>
      </c>
      <c r="E912" s="125">
        <v>150</v>
      </c>
      <c r="F912" s="125">
        <v>1.32</v>
      </c>
      <c r="G912" s="125">
        <f t="shared" si="26"/>
        <v>198</v>
      </c>
      <c r="H912" s="135" t="s">
        <v>298</v>
      </c>
      <c r="I912" s="86" t="s">
        <v>92</v>
      </c>
      <c r="J912" s="135" t="s">
        <v>316</v>
      </c>
      <c r="K912" s="126">
        <v>46342</v>
      </c>
      <c r="L912" s="126"/>
      <c r="M912" s="127">
        <f>_xlfn.XLOOKUP(C912,'Product List'!B:B,'Product List'!R:R)</f>
        <v>0.62</v>
      </c>
      <c r="N912" s="124">
        <f t="shared" si="28"/>
        <v>93</v>
      </c>
      <c r="O912" s="124" cm="1">
        <f t="array" ref="O912">E912/_xlfn.XLOOKUP(1,('Case Pack'!$A$4:$A$962=C912)*('Case Pack'!$L$4:$L$962&gt;0)*('Case Pack'!$L$4:$L$962&lt;=A912),'Case Pack'!$D$4:$D$962,"未找到箱规")</f>
        <v>3</v>
      </c>
      <c r="P912" s="124" t="str">
        <f>IF(COUNTIF('PO Check'!A:A,D912)&gt;0,"Yes","No")</f>
        <v>Yes</v>
      </c>
      <c r="Q912" s="124" t="str" cm="1">
        <f t="array" ref="Q912">_xlfn.XLOOKUP(1,('Case Pack'!$A$4:$A$962=C912)*('Case Pack'!$L$4:$L$962&gt;0)*('Case Pack'!$L$4:$L$962&lt;=A912),'Case Pack'!$G$4:$G$962,"未找到箱型")</f>
        <v>A</v>
      </c>
      <c r="R912" s="124">
        <f>ROUND(IFERROR(VLOOKUP(Q912,'Case Type'!A:H,8,0),0)*O912,2)</f>
        <v>0.33</v>
      </c>
    </row>
    <row r="913" customFormat="1" spans="1:18">
      <c r="A913" s="113">
        <v>46302</v>
      </c>
      <c r="B913" s="91" t="str">
        <f>_xlfn.XLOOKUP(C913,'Product List'!B:B,'Product List'!I:I)</f>
        <v>MINI/MOE TV VIEWING CAGE</v>
      </c>
      <c r="C913" s="135" t="s">
        <v>50</v>
      </c>
      <c r="D913" s="234">
        <v>32297648</v>
      </c>
      <c r="E913" s="125">
        <v>61</v>
      </c>
      <c r="F913" s="125">
        <v>48.49</v>
      </c>
      <c r="G913" s="125">
        <f t="shared" si="26"/>
        <v>2957.89</v>
      </c>
      <c r="H913" s="135" t="s">
        <v>298</v>
      </c>
      <c r="I913" s="86" t="s">
        <v>92</v>
      </c>
      <c r="J913" s="135" t="s">
        <v>323</v>
      </c>
      <c r="K913" s="126">
        <v>46339</v>
      </c>
      <c r="L913" s="126"/>
      <c r="M913" s="127">
        <f>_xlfn.XLOOKUP(C913,'Product List'!B:B,'Product List'!R:R)</f>
        <v>24.09</v>
      </c>
      <c r="N913" s="124">
        <f t="shared" si="28"/>
        <v>1469.49</v>
      </c>
      <c r="O913" s="124" cm="1">
        <f t="array" ref="O913">E913/_xlfn.XLOOKUP(1,('Case Pack'!$A$4:$A$962=C913)*('Case Pack'!$L$4:$L$962&gt;0)*('Case Pack'!$L$4:$L$962&lt;=A913),'Case Pack'!$D$4:$D$962,"未找到箱规")</f>
        <v>61</v>
      </c>
      <c r="P913" s="124" t="str">
        <f>IF(COUNTIF('PO Check'!A:A,D913)&gt;0,"Yes","No")</f>
        <v>Yes</v>
      </c>
      <c r="Q913" s="124" t="str" cm="1">
        <f t="array" ref="Q913">_xlfn.XLOOKUP(1,('Case Pack'!$A$4:$A$962=C913)*('Case Pack'!$L$4:$L$962&gt;0)*('Case Pack'!$L$4:$L$962&lt;=A913),'Case Pack'!$G$4:$G$962,"未找到箱型")</f>
        <v>S1</v>
      </c>
      <c r="R913" s="124">
        <f>ROUND(IFERROR(VLOOKUP(Q913,'Case Type'!A:H,8,0),0)*O913,2)</f>
        <v>4.51</v>
      </c>
    </row>
    <row r="914" customFormat="1" spans="1:18">
      <c r="A914" s="113">
        <v>46302</v>
      </c>
      <c r="B914" s="91" t="str">
        <f>_xlfn.XLOOKUP(C914,'Product List'!B:B,'Product List'!I:I)</f>
        <v>MMO-BUBBLE WATER BOTTLE</v>
      </c>
      <c r="C914" s="135" t="s">
        <v>67</v>
      </c>
      <c r="D914" s="234">
        <v>32297648</v>
      </c>
      <c r="E914" s="125">
        <v>84</v>
      </c>
      <c r="F914" s="125">
        <v>4.35</v>
      </c>
      <c r="G914" s="125">
        <f t="shared" si="26"/>
        <v>365.4</v>
      </c>
      <c r="H914" s="135" t="s">
        <v>298</v>
      </c>
      <c r="I914" s="86" t="s">
        <v>92</v>
      </c>
      <c r="J914" s="135" t="s">
        <v>323</v>
      </c>
      <c r="K914" s="126">
        <v>46339</v>
      </c>
      <c r="L914" s="126"/>
      <c r="M914" s="127">
        <f>_xlfn.XLOOKUP(C914,'Product List'!B:B,'Product List'!R:R)</f>
        <v>3.1</v>
      </c>
      <c r="N914" s="124">
        <f t="shared" si="28"/>
        <v>260.4</v>
      </c>
      <c r="O914" s="124" cm="1">
        <f t="array" ref="O914">E914/_xlfn.XLOOKUP(1,('Case Pack'!$A$4:$A$962=C914)*('Case Pack'!$L$4:$L$962&gt;0)*('Case Pack'!$L$4:$L$962&lt;=A914),'Case Pack'!$D$4:$D$962,"未找到箱规")</f>
        <v>2</v>
      </c>
      <c r="P914" s="124" t="str">
        <f>IF(COUNTIF('PO Check'!A:A,D914)&gt;0,"Yes","No")</f>
        <v>Yes</v>
      </c>
      <c r="Q914" s="124" t="str" cm="1">
        <f t="array" ref="Q914">_xlfn.XLOOKUP(1,('Case Pack'!$A$4:$A$962=C914)*('Case Pack'!$L$4:$L$962&gt;0)*('Case Pack'!$L$4:$L$962&lt;=A914),'Case Pack'!$G$4:$G$962,"未找到箱型")</f>
        <v>C</v>
      </c>
      <c r="R914" s="124">
        <f>ROUND(IFERROR(VLOOKUP(Q914,'Case Type'!A:H,8,0),0)*O914,2)</f>
        <v>0.31</v>
      </c>
    </row>
    <row r="915" customFormat="1" spans="1:18">
      <c r="A915" s="113">
        <v>46302</v>
      </c>
      <c r="B915" s="91" t="str">
        <f>_xlfn.XLOOKUP(C915,'Product List'!B:B,'Product List'!I:I)</f>
        <v>MMO-CLOUD WATER BOTTLE</v>
      </c>
      <c r="C915" s="135" t="s">
        <v>77</v>
      </c>
      <c r="D915" s="234">
        <v>32297648</v>
      </c>
      <c r="E915" s="125">
        <v>100</v>
      </c>
      <c r="F915" s="125">
        <v>1.32</v>
      </c>
      <c r="G915" s="125">
        <f t="shared" si="26"/>
        <v>132</v>
      </c>
      <c r="H915" s="135" t="s">
        <v>298</v>
      </c>
      <c r="I915" s="86" t="s">
        <v>92</v>
      </c>
      <c r="J915" s="135" t="s">
        <v>323</v>
      </c>
      <c r="K915" s="126">
        <v>46339</v>
      </c>
      <c r="L915" s="126"/>
      <c r="M915" s="127">
        <f>_xlfn.XLOOKUP(C915,'Product List'!B:B,'Product List'!R:R)</f>
        <v>0.62</v>
      </c>
      <c r="N915" s="124">
        <f t="shared" si="28"/>
        <v>62</v>
      </c>
      <c r="O915" s="124" cm="1">
        <f t="array" ref="O915">E915/_xlfn.XLOOKUP(1,('Case Pack'!$A$4:$A$962=C915)*('Case Pack'!$L$4:$L$962&gt;0)*('Case Pack'!$L$4:$L$962&lt;=A915),'Case Pack'!$D$4:$D$962,"未找到箱规")</f>
        <v>2</v>
      </c>
      <c r="P915" s="124" t="str">
        <f>IF(COUNTIF('PO Check'!A:A,D915)&gt;0,"Yes","No")</f>
        <v>Yes</v>
      </c>
      <c r="Q915" s="124" t="str" cm="1">
        <f t="array" ref="Q915">_xlfn.XLOOKUP(1,('Case Pack'!$A$4:$A$962=C915)*('Case Pack'!$L$4:$L$962&gt;0)*('Case Pack'!$L$4:$L$962&lt;=A915),'Case Pack'!$G$4:$G$962,"未找到箱型")</f>
        <v>A</v>
      </c>
      <c r="R915" s="124">
        <f>ROUND(IFERROR(VLOOKUP(Q915,'Case Type'!A:H,8,0),0)*O915,2)</f>
        <v>0.22</v>
      </c>
    </row>
    <row r="916" customFormat="1" spans="1:18">
      <c r="A916" s="113">
        <v>46302</v>
      </c>
      <c r="B916" s="91" t="str">
        <f>_xlfn.XLOOKUP(C916,'Product List'!B:B,'Product List'!I:I)</f>
        <v>MINI/MOE RUFFLE BOWL</v>
      </c>
      <c r="C916" s="135" t="s">
        <v>78</v>
      </c>
      <c r="D916" s="234">
        <v>32297648</v>
      </c>
      <c r="E916" s="125">
        <v>96</v>
      </c>
      <c r="F916" s="125">
        <v>2.35</v>
      </c>
      <c r="G916" s="125">
        <f t="shared" si="26"/>
        <v>225.6</v>
      </c>
      <c r="H916" s="135" t="s">
        <v>298</v>
      </c>
      <c r="I916" s="86" t="s">
        <v>92</v>
      </c>
      <c r="J916" s="135" t="s">
        <v>323</v>
      </c>
      <c r="K916" s="126">
        <v>46339</v>
      </c>
      <c r="L916" s="126"/>
      <c r="M916" s="127">
        <f>_xlfn.XLOOKUP(C916,'Product List'!B:B,'Product List'!R:R)</f>
        <v>1.34</v>
      </c>
      <c r="N916" s="124">
        <f t="shared" si="28"/>
        <v>128.64</v>
      </c>
      <c r="O916" s="124" cm="1">
        <f t="array" ref="O916">E916/_xlfn.XLOOKUP(1,('Case Pack'!$A$4:$A$962=C916)*('Case Pack'!$L$4:$L$962&gt;0)*('Case Pack'!$L$4:$L$962&lt;=A916),'Case Pack'!$D$4:$D$962,"未找到箱规")</f>
        <v>2</v>
      </c>
      <c r="P916" s="124" t="str">
        <f>IF(COUNTIF('PO Check'!A:A,D916)&gt;0,"Yes","No")</f>
        <v>Yes</v>
      </c>
      <c r="Q916" s="124" t="str" cm="1">
        <f t="array" ref="Q916">_xlfn.XLOOKUP(1,('Case Pack'!$A$4:$A$962=C916)*('Case Pack'!$L$4:$L$962&gt;0)*('Case Pack'!$L$4:$L$962&lt;=A916),'Case Pack'!$G$4:$G$962,"未找到箱型")</f>
        <v>B</v>
      </c>
      <c r="R916" s="124">
        <f>ROUND(IFERROR(VLOOKUP(Q916,'Case Type'!A:H,8,0),0)*O916,2)</f>
        <v>0.15</v>
      </c>
    </row>
    <row r="917" customFormat="1" spans="1:18">
      <c r="A917" s="113">
        <v>46302</v>
      </c>
      <c r="B917" s="91" t="str">
        <f>_xlfn.XLOOKUP(C917,'Product List'!B:B,'Product List'!I:I)</f>
        <v>MINI/MOE SILENT CRSTL RUN WHEEL LG 8.5-White</v>
      </c>
      <c r="C917" s="135" t="s">
        <v>29</v>
      </c>
      <c r="D917" s="234">
        <v>32297649</v>
      </c>
      <c r="E917" s="125">
        <v>8</v>
      </c>
      <c r="F917" s="125">
        <v>13.22</v>
      </c>
      <c r="G917" s="125">
        <f t="shared" si="26"/>
        <v>105.76</v>
      </c>
      <c r="H917" s="135" t="s">
        <v>298</v>
      </c>
      <c r="I917" s="86" t="s">
        <v>92</v>
      </c>
      <c r="J917" s="135" t="s">
        <v>319</v>
      </c>
      <c r="K917" s="126">
        <v>46337</v>
      </c>
      <c r="L917" s="126"/>
      <c r="M917" s="127">
        <f>_xlfn.XLOOKUP(C917,'Product List'!B:B,'Product List'!R:R)</f>
        <v>6.27</v>
      </c>
      <c r="N917" s="124">
        <f t="shared" si="28"/>
        <v>50.16</v>
      </c>
      <c r="O917" s="124" cm="1">
        <f t="array" ref="O917">E917/_xlfn.XLOOKUP(1,('Case Pack'!$A$4:$A$962=C917)*('Case Pack'!$L$4:$L$962&gt;0)*('Case Pack'!$L$4:$L$962&lt;=A917),'Case Pack'!$D$4:$D$962,"未找到箱规")</f>
        <v>1</v>
      </c>
      <c r="P917" s="124" t="str">
        <f>IF(COUNTIF('PO Check'!A:A,D917)&gt;0,"Yes","No")</f>
        <v>Yes</v>
      </c>
      <c r="Q917" s="124" t="str" cm="1">
        <f t="array" ref="Q917">_xlfn.XLOOKUP(1,('Case Pack'!$A$4:$A$962=C917)*('Case Pack'!$L$4:$L$962&gt;0)*('Case Pack'!$L$4:$L$962&lt;=A917),'Case Pack'!$G$4:$G$962,"未找到箱型")</f>
        <v>C</v>
      </c>
      <c r="R917" s="124">
        <f>ROUND(IFERROR(VLOOKUP(Q917,'Case Type'!A:H,8,0),0)*O917,2)</f>
        <v>0.16</v>
      </c>
    </row>
    <row r="918" customFormat="1" spans="1:18">
      <c r="A918" s="113">
        <v>46302</v>
      </c>
      <c r="B918" s="91" t="str">
        <f>_xlfn.XLOOKUP(C918,'Product List'!B:B,'Product List'!I:I)</f>
        <v>MINI/MOE TV VIEWING CAGE</v>
      </c>
      <c r="C918" s="135" t="s">
        <v>50</v>
      </c>
      <c r="D918" s="234">
        <v>32297649</v>
      </c>
      <c r="E918" s="125">
        <v>57</v>
      </c>
      <c r="F918" s="125">
        <v>48.49</v>
      </c>
      <c r="G918" s="125">
        <f t="shared" si="26"/>
        <v>2763.93</v>
      </c>
      <c r="H918" s="135" t="s">
        <v>298</v>
      </c>
      <c r="I918" s="86" t="s">
        <v>92</v>
      </c>
      <c r="J918" s="135" t="s">
        <v>319</v>
      </c>
      <c r="K918" s="126">
        <v>46337</v>
      </c>
      <c r="L918" s="126"/>
      <c r="M918" s="127">
        <f>_xlfn.XLOOKUP(C918,'Product List'!B:B,'Product List'!R:R)</f>
        <v>24.09</v>
      </c>
      <c r="N918" s="124">
        <f t="shared" si="28"/>
        <v>1373.13</v>
      </c>
      <c r="O918" s="124" cm="1">
        <f t="array" ref="O918">E918/_xlfn.XLOOKUP(1,('Case Pack'!$A$4:$A$962=C918)*('Case Pack'!$L$4:$L$962&gt;0)*('Case Pack'!$L$4:$L$962&lt;=A918),'Case Pack'!$D$4:$D$962,"未找到箱规")</f>
        <v>57</v>
      </c>
      <c r="P918" s="124" t="str">
        <f>IF(COUNTIF('PO Check'!A:A,D918)&gt;0,"Yes","No")</f>
        <v>Yes</v>
      </c>
      <c r="Q918" s="124" t="str" cm="1">
        <f t="array" ref="Q918">_xlfn.XLOOKUP(1,('Case Pack'!$A$4:$A$962=C918)*('Case Pack'!$L$4:$L$962&gt;0)*('Case Pack'!$L$4:$L$962&lt;=A918),'Case Pack'!$G$4:$G$962,"未找到箱型")</f>
        <v>S1</v>
      </c>
      <c r="R918" s="124">
        <f>ROUND(IFERROR(VLOOKUP(Q918,'Case Type'!A:H,8,0),0)*O918,2)</f>
        <v>4.22</v>
      </c>
    </row>
    <row r="919" customFormat="1" spans="1:18">
      <c r="A919" s="113">
        <v>46302</v>
      </c>
      <c r="B919" s="91" t="str">
        <f>_xlfn.XLOOKUP(C919,'Product List'!B:B,'Product List'!I:I)</f>
        <v>MMO-BUBBLE WATER BOTTLE</v>
      </c>
      <c r="C919" s="135" t="s">
        <v>67</v>
      </c>
      <c r="D919" s="234">
        <v>32297649</v>
      </c>
      <c r="E919" s="125">
        <v>252</v>
      </c>
      <c r="F919" s="125">
        <v>4.35</v>
      </c>
      <c r="G919" s="125">
        <f t="shared" si="26"/>
        <v>1096.2</v>
      </c>
      <c r="H919" s="135" t="s">
        <v>298</v>
      </c>
      <c r="I919" s="86" t="s">
        <v>92</v>
      </c>
      <c r="J919" s="135" t="s">
        <v>319</v>
      </c>
      <c r="K919" s="126">
        <v>46337</v>
      </c>
      <c r="L919" s="126"/>
      <c r="M919" s="127">
        <f>_xlfn.XLOOKUP(C919,'Product List'!B:B,'Product List'!R:R)</f>
        <v>3.1</v>
      </c>
      <c r="N919" s="124">
        <f t="shared" si="28"/>
        <v>781.2</v>
      </c>
      <c r="O919" s="124" cm="1">
        <f t="array" ref="O919">E919/_xlfn.XLOOKUP(1,('Case Pack'!$A$4:$A$962=C919)*('Case Pack'!$L$4:$L$962&gt;0)*('Case Pack'!$L$4:$L$962&lt;=A919),'Case Pack'!$D$4:$D$962,"未找到箱规")</f>
        <v>6</v>
      </c>
      <c r="P919" s="124" t="str">
        <f>IF(COUNTIF('PO Check'!A:A,D919)&gt;0,"Yes","No")</f>
        <v>Yes</v>
      </c>
      <c r="Q919" s="124" t="str" cm="1">
        <f t="array" ref="Q919">_xlfn.XLOOKUP(1,('Case Pack'!$A$4:$A$962=C919)*('Case Pack'!$L$4:$L$962&gt;0)*('Case Pack'!$L$4:$L$962&lt;=A919),'Case Pack'!$G$4:$G$962,"未找到箱型")</f>
        <v>C</v>
      </c>
      <c r="R919" s="124">
        <f>ROUND(IFERROR(VLOOKUP(Q919,'Case Type'!A:H,8,0),0)*O919,2)</f>
        <v>0.94</v>
      </c>
    </row>
    <row r="920" customFormat="1" spans="1:18">
      <c r="A920" s="113">
        <v>46302</v>
      </c>
      <c r="B920" s="91" t="str">
        <f>_xlfn.XLOOKUP(C920,'Product List'!B:B,'Product List'!I:I)</f>
        <v>MMO-CLOUD WATER BOTTLE</v>
      </c>
      <c r="C920" s="135" t="s">
        <v>77</v>
      </c>
      <c r="D920" s="234">
        <v>32297649</v>
      </c>
      <c r="E920" s="125">
        <v>100</v>
      </c>
      <c r="F920" s="125">
        <v>1.32</v>
      </c>
      <c r="G920" s="125">
        <f t="shared" si="26"/>
        <v>132</v>
      </c>
      <c r="H920" s="135" t="s">
        <v>298</v>
      </c>
      <c r="I920" s="86" t="s">
        <v>92</v>
      </c>
      <c r="J920" s="135" t="s">
        <v>319</v>
      </c>
      <c r="K920" s="126">
        <v>46337</v>
      </c>
      <c r="L920" s="126"/>
      <c r="M920" s="127">
        <f>_xlfn.XLOOKUP(C920,'Product List'!B:B,'Product List'!R:R)</f>
        <v>0.62</v>
      </c>
      <c r="N920" s="124">
        <f t="shared" si="28"/>
        <v>62</v>
      </c>
      <c r="O920" s="124" cm="1">
        <f t="array" ref="O920">E920/_xlfn.XLOOKUP(1,('Case Pack'!$A$4:$A$962=C920)*('Case Pack'!$L$4:$L$962&gt;0)*('Case Pack'!$L$4:$L$962&lt;=A920),'Case Pack'!$D$4:$D$962,"未找到箱规")</f>
        <v>2</v>
      </c>
      <c r="P920" s="124" t="str">
        <f>IF(COUNTIF('PO Check'!A:A,D920)&gt;0,"Yes","No")</f>
        <v>Yes</v>
      </c>
      <c r="Q920" s="124" t="str" cm="1">
        <f t="array" ref="Q920">_xlfn.XLOOKUP(1,('Case Pack'!$A$4:$A$962=C920)*('Case Pack'!$L$4:$L$962&gt;0)*('Case Pack'!$L$4:$L$962&lt;=A920),'Case Pack'!$G$4:$G$962,"未找到箱型")</f>
        <v>A</v>
      </c>
      <c r="R920" s="124">
        <f>ROUND(IFERROR(VLOOKUP(Q920,'Case Type'!A:H,8,0),0)*O920,2)</f>
        <v>0.22</v>
      </c>
    </row>
    <row r="921" customFormat="1" spans="1:18">
      <c r="A921" s="113">
        <v>46302</v>
      </c>
      <c r="B921" s="91" t="str">
        <f>_xlfn.XLOOKUP(C921,'Product List'!B:B,'Product List'!I:I)</f>
        <v>MINI/MOE SILENT CRSTL RUN WHEEL LG 8.5-White</v>
      </c>
      <c r="C921" s="135" t="s">
        <v>29</v>
      </c>
      <c r="D921" s="234">
        <v>32297650</v>
      </c>
      <c r="E921" s="125">
        <v>32</v>
      </c>
      <c r="F921" s="125">
        <v>13.22</v>
      </c>
      <c r="G921" s="125">
        <f t="shared" si="26"/>
        <v>423.04</v>
      </c>
      <c r="H921" s="135" t="s">
        <v>298</v>
      </c>
      <c r="I921" s="86" t="s">
        <v>92</v>
      </c>
      <c r="J921" s="135" t="s">
        <v>327</v>
      </c>
      <c r="K921" s="126">
        <v>46342</v>
      </c>
      <c r="L921" s="126"/>
      <c r="M921" s="127">
        <f>_xlfn.XLOOKUP(C921,'Product List'!B:B,'Product List'!R:R)</f>
        <v>6.27</v>
      </c>
      <c r="N921" s="124">
        <f t="shared" si="28"/>
        <v>200.64</v>
      </c>
      <c r="O921" s="124" cm="1">
        <f t="array" ref="O921">E921/_xlfn.XLOOKUP(1,('Case Pack'!$A$4:$A$962=C921)*('Case Pack'!$L$4:$L$962&gt;0)*('Case Pack'!$L$4:$L$962&lt;=A921),'Case Pack'!$D$4:$D$962,"未找到箱规")</f>
        <v>4</v>
      </c>
      <c r="P921" s="124" t="str">
        <f>IF(COUNTIF('PO Check'!A:A,D921)&gt;0,"Yes","No")</f>
        <v>Yes</v>
      </c>
      <c r="Q921" s="124" t="str" cm="1">
        <f t="array" ref="Q921">_xlfn.XLOOKUP(1,('Case Pack'!$A$4:$A$962=C921)*('Case Pack'!$L$4:$L$962&gt;0)*('Case Pack'!$L$4:$L$962&lt;=A921),'Case Pack'!$G$4:$G$962,"未找到箱型")</f>
        <v>C</v>
      </c>
      <c r="R921" s="124">
        <f>ROUND(IFERROR(VLOOKUP(Q921,'Case Type'!A:H,8,0),0)*O921,2)</f>
        <v>0.63</v>
      </c>
    </row>
    <row r="922" customFormat="1" spans="1:18">
      <c r="A922" s="113">
        <v>46302</v>
      </c>
      <c r="B922" s="91" t="str">
        <f>_xlfn.XLOOKUP(C922,'Product List'!B:B,'Product List'!I:I)</f>
        <v>MMO-GREEN APPLE CHEW</v>
      </c>
      <c r="C922" s="135" t="s">
        <v>33</v>
      </c>
      <c r="D922" s="234">
        <v>32297650</v>
      </c>
      <c r="E922" s="125">
        <v>48</v>
      </c>
      <c r="F922" s="125">
        <v>1.53</v>
      </c>
      <c r="G922" s="125">
        <f t="shared" si="26"/>
        <v>73.44</v>
      </c>
      <c r="H922" s="135" t="s">
        <v>298</v>
      </c>
      <c r="I922" s="86" t="s">
        <v>92</v>
      </c>
      <c r="J922" s="135" t="s">
        <v>327</v>
      </c>
      <c r="K922" s="126">
        <v>46342</v>
      </c>
      <c r="L922" s="126"/>
      <c r="M922" s="127">
        <f>_xlfn.XLOOKUP(C922,'Product List'!B:B,'Product List'!R:R)</f>
        <v>1.04</v>
      </c>
      <c r="N922" s="124">
        <f t="shared" si="28"/>
        <v>49.92</v>
      </c>
      <c r="O922" s="124" cm="1">
        <f t="array" ref="O922">E922/_xlfn.XLOOKUP(1,('Case Pack'!$A$4:$A$962=C922)*('Case Pack'!$L$4:$L$962&gt;0)*('Case Pack'!$L$4:$L$962&lt;=A922),'Case Pack'!$D$4:$D$962,"未找到箱规")</f>
        <v>1</v>
      </c>
      <c r="P922" s="124" t="str">
        <f>IF(COUNTIF('PO Check'!A:A,D922)&gt;0,"Yes","No")</f>
        <v>Yes</v>
      </c>
      <c r="Q922" s="124" t="str" cm="1">
        <f t="array" ref="Q922">_xlfn.XLOOKUP(1,('Case Pack'!$A$4:$A$962=C922)*('Case Pack'!$L$4:$L$962&gt;0)*('Case Pack'!$L$4:$L$962&lt;=A922),'Case Pack'!$G$4:$G$962,"未找到箱型")</f>
        <v>B</v>
      </c>
      <c r="R922" s="124">
        <f>ROUND(IFERROR(VLOOKUP(Q922,'Case Type'!A:H,8,0),0)*O922,2)</f>
        <v>0.07</v>
      </c>
    </row>
    <row r="923" customFormat="1" spans="1:18">
      <c r="A923" s="113">
        <v>46302</v>
      </c>
      <c r="B923" s="91" t="str">
        <f>_xlfn.XLOOKUP(C923,'Product List'!B:B,'Product List'!I:I)</f>
        <v>MMO-CAMP LUNCH BOX CHEW</v>
      </c>
      <c r="C923" s="135" t="s">
        <v>34</v>
      </c>
      <c r="D923" s="234">
        <v>32297650</v>
      </c>
      <c r="E923" s="125">
        <v>72</v>
      </c>
      <c r="F923" s="125">
        <v>2.48</v>
      </c>
      <c r="G923" s="125">
        <f t="shared" si="26"/>
        <v>178.56</v>
      </c>
      <c r="H923" s="135" t="s">
        <v>298</v>
      </c>
      <c r="I923" s="86" t="s">
        <v>92</v>
      </c>
      <c r="J923" s="135" t="s">
        <v>327</v>
      </c>
      <c r="K923" s="126">
        <v>46342</v>
      </c>
      <c r="L923" s="126"/>
      <c r="M923" s="127">
        <f>_xlfn.XLOOKUP(C923,'Product List'!B:B,'Product List'!R:R)</f>
        <v>1.59</v>
      </c>
      <c r="N923" s="124">
        <f t="shared" si="28"/>
        <v>114.48</v>
      </c>
      <c r="O923" s="124" cm="1">
        <f t="array" ref="O923">E923/_xlfn.XLOOKUP(1,('Case Pack'!$A$4:$A$962=C923)*('Case Pack'!$L$4:$L$962&gt;0)*('Case Pack'!$L$4:$L$962&lt;=A923),'Case Pack'!$D$4:$D$962,"未找到箱规")</f>
        <v>1</v>
      </c>
      <c r="P923" s="124" t="str">
        <f>IF(COUNTIF('PO Check'!A:A,D923)&gt;0,"Yes","No")</f>
        <v>Yes</v>
      </c>
      <c r="Q923" s="124" t="str" cm="1">
        <f t="array" ref="Q923">_xlfn.XLOOKUP(1,('Case Pack'!$A$4:$A$962=C923)*('Case Pack'!$L$4:$L$962&gt;0)*('Case Pack'!$L$4:$L$962&lt;=A923),'Case Pack'!$G$4:$G$962,"未找到箱型")</f>
        <v>B</v>
      </c>
      <c r="R923" s="124">
        <f>ROUND(IFERROR(VLOOKUP(Q923,'Case Type'!A:H,8,0),0)*O923,2)</f>
        <v>0.07</v>
      </c>
    </row>
    <row r="924" customFormat="1" spans="1:18">
      <c r="A924" s="113">
        <v>46302</v>
      </c>
      <c r="B924" s="91" t="str">
        <f>_xlfn.XLOOKUP(C924,'Product List'!B:B,'Product List'!I:I)</f>
        <v>MINI/MOE TV VIEWING CAGE</v>
      </c>
      <c r="C924" s="135" t="s">
        <v>50</v>
      </c>
      <c r="D924" s="234">
        <v>32297650</v>
      </c>
      <c r="E924" s="125">
        <v>23</v>
      </c>
      <c r="F924" s="125">
        <v>48.49</v>
      </c>
      <c r="G924" s="125">
        <f t="shared" si="26"/>
        <v>1115.27</v>
      </c>
      <c r="H924" s="135" t="s">
        <v>298</v>
      </c>
      <c r="I924" s="86" t="s">
        <v>92</v>
      </c>
      <c r="J924" s="135" t="s">
        <v>327</v>
      </c>
      <c r="K924" s="126">
        <v>46342</v>
      </c>
      <c r="L924" s="126"/>
      <c r="M924" s="127">
        <f>_xlfn.XLOOKUP(C924,'Product List'!B:B,'Product List'!R:R)</f>
        <v>24.09</v>
      </c>
      <c r="N924" s="124">
        <f t="shared" si="28"/>
        <v>554.07</v>
      </c>
      <c r="O924" s="124" cm="1">
        <f t="array" ref="O924">E924/_xlfn.XLOOKUP(1,('Case Pack'!$A$4:$A$962=C924)*('Case Pack'!$L$4:$L$962&gt;0)*('Case Pack'!$L$4:$L$962&lt;=A924),'Case Pack'!$D$4:$D$962,"未找到箱规")</f>
        <v>23</v>
      </c>
      <c r="P924" s="124" t="str">
        <f>IF(COUNTIF('PO Check'!A:A,D924)&gt;0,"Yes","No")</f>
        <v>Yes</v>
      </c>
      <c r="Q924" s="124" t="str" cm="1">
        <f t="array" ref="Q924">_xlfn.XLOOKUP(1,('Case Pack'!$A$4:$A$962=C924)*('Case Pack'!$L$4:$L$962&gt;0)*('Case Pack'!$L$4:$L$962&lt;=A924),'Case Pack'!$G$4:$G$962,"未找到箱型")</f>
        <v>S1</v>
      </c>
      <c r="R924" s="124">
        <f>ROUND(IFERROR(VLOOKUP(Q924,'Case Type'!A:H,8,0),0)*O924,2)</f>
        <v>1.7</v>
      </c>
    </row>
    <row r="925" customFormat="1" spans="1:18">
      <c r="A925" s="113">
        <v>46302</v>
      </c>
      <c r="B925" s="91" t="str">
        <f>_xlfn.XLOOKUP(C925,'Product List'!B:B,'Product List'!I:I)</f>
        <v>MMO-BUBBLE WATER BOTTLE</v>
      </c>
      <c r="C925" s="135" t="s">
        <v>67</v>
      </c>
      <c r="D925" s="234">
        <v>32297650</v>
      </c>
      <c r="E925" s="125">
        <v>210</v>
      </c>
      <c r="F925" s="125">
        <v>4.35</v>
      </c>
      <c r="G925" s="125">
        <f t="shared" si="26"/>
        <v>913.5</v>
      </c>
      <c r="H925" s="135" t="s">
        <v>298</v>
      </c>
      <c r="I925" s="86" t="s">
        <v>92</v>
      </c>
      <c r="J925" s="135" t="s">
        <v>327</v>
      </c>
      <c r="K925" s="126">
        <v>46342</v>
      </c>
      <c r="L925" s="126"/>
      <c r="M925" s="127">
        <f>_xlfn.XLOOKUP(C925,'Product List'!B:B,'Product List'!R:R)</f>
        <v>3.1</v>
      </c>
      <c r="N925" s="124">
        <f t="shared" si="28"/>
        <v>651</v>
      </c>
      <c r="O925" s="124" cm="1">
        <f t="array" ref="O925">E925/_xlfn.XLOOKUP(1,('Case Pack'!$A$4:$A$962=C925)*('Case Pack'!$L$4:$L$962&gt;0)*('Case Pack'!$L$4:$L$962&lt;=A925),'Case Pack'!$D$4:$D$962,"未找到箱规")</f>
        <v>5</v>
      </c>
      <c r="P925" s="124" t="str">
        <f>IF(COUNTIF('PO Check'!A:A,D925)&gt;0,"Yes","No")</f>
        <v>Yes</v>
      </c>
      <c r="Q925" s="124" t="str" cm="1">
        <f t="array" ref="Q925">_xlfn.XLOOKUP(1,('Case Pack'!$A$4:$A$962=C925)*('Case Pack'!$L$4:$L$962&gt;0)*('Case Pack'!$L$4:$L$962&lt;=A925),'Case Pack'!$G$4:$G$962,"未找到箱型")</f>
        <v>C</v>
      </c>
      <c r="R925" s="124">
        <f>ROUND(IFERROR(VLOOKUP(Q925,'Case Type'!A:H,8,0),0)*O925,2)</f>
        <v>0.79</v>
      </c>
    </row>
    <row r="926" customFormat="1" spans="1:18">
      <c r="A926" s="113">
        <v>46302</v>
      </c>
      <c r="B926" s="91" t="str">
        <f>_xlfn.XLOOKUP(C926,'Product List'!B:B,'Product List'!I:I)</f>
        <v>MMO-CLOUD WATER BOTTLE</v>
      </c>
      <c r="C926" s="135" t="s">
        <v>77</v>
      </c>
      <c r="D926" s="234">
        <v>32297650</v>
      </c>
      <c r="E926" s="125">
        <v>150</v>
      </c>
      <c r="F926" s="125">
        <v>1.32</v>
      </c>
      <c r="G926" s="125">
        <f t="shared" si="26"/>
        <v>198</v>
      </c>
      <c r="H926" s="135" t="s">
        <v>298</v>
      </c>
      <c r="I926" s="86" t="s">
        <v>92</v>
      </c>
      <c r="J926" s="135" t="s">
        <v>327</v>
      </c>
      <c r="K926" s="126">
        <v>46342</v>
      </c>
      <c r="L926" s="126"/>
      <c r="M926" s="127">
        <f>_xlfn.XLOOKUP(C926,'Product List'!B:B,'Product List'!R:R)</f>
        <v>0.62</v>
      </c>
      <c r="N926" s="124">
        <f t="shared" si="28"/>
        <v>93</v>
      </c>
      <c r="O926" s="124" cm="1">
        <f t="array" ref="O926">E926/_xlfn.XLOOKUP(1,('Case Pack'!$A$4:$A$962=C926)*('Case Pack'!$L$4:$L$962&gt;0)*('Case Pack'!$L$4:$L$962&lt;=A926),'Case Pack'!$D$4:$D$962,"未找到箱规")</f>
        <v>3</v>
      </c>
      <c r="P926" s="124" t="str">
        <f>IF(COUNTIF('PO Check'!A:A,D926)&gt;0,"Yes","No")</f>
        <v>Yes</v>
      </c>
      <c r="Q926" s="124" t="str" cm="1">
        <f t="array" ref="Q926">_xlfn.XLOOKUP(1,('Case Pack'!$A$4:$A$962=C926)*('Case Pack'!$L$4:$L$962&gt;0)*('Case Pack'!$L$4:$L$962&lt;=A926),'Case Pack'!$G$4:$G$962,"未找到箱型")</f>
        <v>A</v>
      </c>
      <c r="R926" s="124">
        <f>ROUND(IFERROR(VLOOKUP(Q926,'Case Type'!A:H,8,0),0)*O926,2)</f>
        <v>0.33</v>
      </c>
    </row>
    <row r="927" customFormat="1" spans="1:18">
      <c r="A927" s="271">
        <v>46302</v>
      </c>
      <c r="B927" s="91" t="str">
        <f>_xlfn.XLOOKUP(C927,'Product List'!B:B,'Product List'!I:I)</f>
        <v>MINI/MOE RUFFLE BOWL</v>
      </c>
      <c r="C927" s="235" t="s">
        <v>78</v>
      </c>
      <c r="D927" s="233">
        <v>32297650</v>
      </c>
      <c r="E927" s="272">
        <v>48</v>
      </c>
      <c r="F927" s="272">
        <v>2.35</v>
      </c>
      <c r="G927" s="125">
        <f t="shared" ref="G927:G947" si="29">E927*F927</f>
        <v>112.8</v>
      </c>
      <c r="H927" s="235" t="s">
        <v>298</v>
      </c>
      <c r="I927" s="273" t="s">
        <v>92</v>
      </c>
      <c r="J927" s="235" t="s">
        <v>327</v>
      </c>
      <c r="K927" s="274">
        <v>46342</v>
      </c>
      <c r="L927" s="274"/>
      <c r="M927" s="127">
        <f>_xlfn.XLOOKUP(C927,'Product List'!B:B,'Product List'!R:R)</f>
        <v>1.34</v>
      </c>
      <c r="N927" s="124">
        <f t="shared" si="28"/>
        <v>64.32</v>
      </c>
      <c r="O927" s="124" cm="1">
        <f t="array" ref="O927">E927/_xlfn.XLOOKUP(1,('Case Pack'!$A$4:$A$962=C927)*('Case Pack'!$L$4:$L$962&gt;0)*('Case Pack'!$L$4:$L$962&lt;=A927),'Case Pack'!$D$4:$D$962,"未找到箱规")</f>
        <v>1</v>
      </c>
      <c r="P927" s="275" t="str">
        <f>IF(COUNTIF('PO Check'!A:A,D927)&gt;0,"Yes","No")</f>
        <v>Yes</v>
      </c>
      <c r="Q927" s="124" t="str" cm="1">
        <f t="array" ref="Q927">_xlfn.XLOOKUP(1,('Case Pack'!$A$4:$A$962=C927)*('Case Pack'!$L$4:$L$962&gt;0)*('Case Pack'!$L$4:$L$962&lt;=A927),'Case Pack'!$G$4:$G$962,"未找到箱型")</f>
        <v>B</v>
      </c>
      <c r="R927" s="275">
        <f>ROUND(IFERROR(VLOOKUP(Q927,'Case Type'!A:H,8,0),0)*O927,2)</f>
        <v>0.07</v>
      </c>
    </row>
    <row r="928" customFormat="1" spans="1:18">
      <c r="A928" s="271">
        <v>46309</v>
      </c>
      <c r="B928" s="91" t="str">
        <f>_xlfn.XLOOKUP(C928,'Product List'!B:B,'Product List'!I:I)</f>
        <v>MINI/MOE SILENT CRSTL RUN WHEEL LG 8.5-Green</v>
      </c>
      <c r="C928" s="235" t="s">
        <v>28</v>
      </c>
      <c r="D928" s="233" t="s">
        <v>368</v>
      </c>
      <c r="E928" s="272">
        <v>8</v>
      </c>
      <c r="F928" s="272">
        <v>12.63</v>
      </c>
      <c r="G928" s="125">
        <f t="shared" si="29"/>
        <v>101.04</v>
      </c>
      <c r="H928" s="235" t="s">
        <v>306</v>
      </c>
      <c r="I928" s="273" t="s">
        <v>92</v>
      </c>
      <c r="J928" s="235" t="s">
        <v>307</v>
      </c>
      <c r="K928" s="274">
        <v>46329</v>
      </c>
      <c r="L928" s="274">
        <v>46323</v>
      </c>
      <c r="M928" s="127">
        <f>_xlfn.XLOOKUP(C928,'Product List'!B:B,'Product List'!R:R)</f>
        <v>6.27</v>
      </c>
      <c r="N928" s="124">
        <f t="shared" si="28"/>
        <v>50.16</v>
      </c>
      <c r="O928" s="124" cm="1">
        <f t="array" ref="O928">E928/_xlfn.XLOOKUP(1,('Case Pack'!$A$4:$A$962=C928)*('Case Pack'!$L$4:$L$962&gt;0)*('Case Pack'!$L$4:$L$962&lt;=A928),'Case Pack'!$D$4:$D$962,"未找到箱规")</f>
        <v>1</v>
      </c>
      <c r="P928" s="275" t="str">
        <f>IF(COUNTIF('PO Check'!A:A,D928)&gt;0,"Yes","No")</f>
        <v>Yes</v>
      </c>
      <c r="Q928" s="124" t="str" cm="1">
        <f t="array" ref="Q928">_xlfn.XLOOKUP(1,('Case Pack'!$A$4:$A$962=C928)*('Case Pack'!$L$4:$L$962&gt;0)*('Case Pack'!$L$4:$L$962&lt;=A928),'Case Pack'!$G$4:$G$962,"未找到箱型")</f>
        <v>C</v>
      </c>
      <c r="R928" s="275">
        <f>ROUND(IFERROR(VLOOKUP(Q928,'Case Type'!A:H,8,0),0)*O928,2)</f>
        <v>0.16</v>
      </c>
    </row>
    <row r="929" customFormat="1" spans="1:18">
      <c r="A929" s="271">
        <v>46309</v>
      </c>
      <c r="B929" s="91" t="str">
        <f>_xlfn.XLOOKUP(C929,'Product List'!B:B,'Product List'!I:I)</f>
        <v>MINI/MOE MUSHROOM CABIN</v>
      </c>
      <c r="C929" s="235" t="s">
        <v>39</v>
      </c>
      <c r="D929" s="233" t="s">
        <v>368</v>
      </c>
      <c r="E929" s="272">
        <v>128</v>
      </c>
      <c r="F929" s="272">
        <v>6.98</v>
      </c>
      <c r="G929" s="125">
        <f t="shared" si="29"/>
        <v>893.44</v>
      </c>
      <c r="H929" s="235" t="s">
        <v>306</v>
      </c>
      <c r="I929" s="273" t="s">
        <v>92</v>
      </c>
      <c r="J929" s="235" t="s">
        <v>307</v>
      </c>
      <c r="K929" s="274">
        <v>46329</v>
      </c>
      <c r="L929" s="274">
        <v>46323</v>
      </c>
      <c r="M929" s="127">
        <f>_xlfn.XLOOKUP(C929,'Product List'!B:B,'Product List'!R:R)</f>
        <v>3.2</v>
      </c>
      <c r="N929" s="124">
        <f t="shared" si="28"/>
        <v>409.6</v>
      </c>
      <c r="O929" s="124" cm="1">
        <f t="array" ref="O929">E929/_xlfn.XLOOKUP(1,('Case Pack'!$A$4:$A$962=C929)*('Case Pack'!$L$4:$L$962&gt;0)*('Case Pack'!$L$4:$L$962&lt;=A929),'Case Pack'!$D$4:$D$962,"未找到箱规")</f>
        <v>8</v>
      </c>
      <c r="P929" s="275" t="str">
        <f>IF(COUNTIF('PO Check'!A:A,D929)&gt;0,"Yes","No")</f>
        <v>Yes</v>
      </c>
      <c r="Q929" s="124" t="str" cm="1">
        <f t="array" ref="Q929">_xlfn.XLOOKUP(1,('Case Pack'!$A$4:$A$962=C929)*('Case Pack'!$L$4:$L$962&gt;0)*('Case Pack'!$L$4:$L$962&lt;=A929),'Case Pack'!$G$4:$G$962,"未找到箱型")</f>
        <v>C</v>
      </c>
      <c r="R929" s="275">
        <f>ROUND(IFERROR(VLOOKUP(Q929,'Case Type'!A:H,8,0),0)*O929,2)</f>
        <v>1.26</v>
      </c>
    </row>
    <row r="930" customFormat="1" spans="1:18">
      <c r="A930" s="271">
        <v>46309</v>
      </c>
      <c r="B930" s="91" t="str">
        <f>_xlfn.XLOOKUP(C930,'Product List'!B:B,'Product List'!I:I)</f>
        <v>MINI/MOE TREEHOUSE CABIN</v>
      </c>
      <c r="C930" s="235" t="s">
        <v>41</v>
      </c>
      <c r="D930" s="233" t="s">
        <v>368</v>
      </c>
      <c r="E930" s="272">
        <v>120</v>
      </c>
      <c r="F930" s="272">
        <v>4.28</v>
      </c>
      <c r="G930" s="125">
        <f t="shared" si="29"/>
        <v>513.6</v>
      </c>
      <c r="H930" s="235" t="s">
        <v>306</v>
      </c>
      <c r="I930" s="273" t="s">
        <v>92</v>
      </c>
      <c r="J930" s="235" t="s">
        <v>307</v>
      </c>
      <c r="K930" s="274">
        <v>46329</v>
      </c>
      <c r="L930" s="274">
        <v>46323</v>
      </c>
      <c r="M930" s="127">
        <f>_xlfn.XLOOKUP(C930,'Product List'!B:B,'Product List'!R:R)</f>
        <v>2.07</v>
      </c>
      <c r="N930" s="124">
        <f t="shared" si="28"/>
        <v>248.4</v>
      </c>
      <c r="O930" s="124" cm="1">
        <f t="array" ref="O930">E930/_xlfn.XLOOKUP(1,('Case Pack'!$A$4:$A$962=C930)*('Case Pack'!$L$4:$L$962&gt;0)*('Case Pack'!$L$4:$L$962&lt;=A930),'Case Pack'!$D$4:$D$962,"未找到箱规")</f>
        <v>4</v>
      </c>
      <c r="P930" s="275" t="str">
        <f>IF(COUNTIF('PO Check'!A:A,D930)&gt;0,"Yes","No")</f>
        <v>Yes</v>
      </c>
      <c r="Q930" s="124" t="str" cm="1">
        <f t="array" ref="Q930">_xlfn.XLOOKUP(1,('Case Pack'!$A$4:$A$962=C930)*('Case Pack'!$L$4:$L$962&gt;0)*('Case Pack'!$L$4:$L$962&lt;=A930),'Case Pack'!$G$4:$G$962,"未找到箱型")</f>
        <v>C</v>
      </c>
      <c r="R930" s="275">
        <f>ROUND(IFERROR(VLOOKUP(Q930,'Case Type'!A:H,8,0),0)*O930,2)</f>
        <v>0.63</v>
      </c>
    </row>
    <row r="931" customFormat="1" spans="1:18">
      <c r="A931" s="271">
        <v>46309</v>
      </c>
      <c r="B931" s="91" t="str">
        <f>_xlfn.XLOOKUP(C931,'Product List'!B:B,'Product List'!I:I)</f>
        <v>MINI/MOE GARDEN TEAPOT</v>
      </c>
      <c r="C931" s="235" t="s">
        <v>43</v>
      </c>
      <c r="D931" s="233" t="s">
        <v>368</v>
      </c>
      <c r="E931" s="272">
        <v>90</v>
      </c>
      <c r="F931" s="272">
        <v>4.61</v>
      </c>
      <c r="G931" s="125">
        <f t="shared" si="29"/>
        <v>414.9</v>
      </c>
      <c r="H931" s="235" t="s">
        <v>306</v>
      </c>
      <c r="I931" s="273" t="s">
        <v>92</v>
      </c>
      <c r="J931" s="235" t="s">
        <v>307</v>
      </c>
      <c r="K931" s="274">
        <v>46329</v>
      </c>
      <c r="L931" s="274">
        <v>46323</v>
      </c>
      <c r="M931" s="127">
        <f>_xlfn.XLOOKUP(C931,'Product List'!B:B,'Product List'!R:R)</f>
        <v>2.25</v>
      </c>
      <c r="N931" s="124">
        <f t="shared" si="28"/>
        <v>202.5</v>
      </c>
      <c r="O931" s="124" cm="1">
        <f t="array" ref="O931">E931/_xlfn.XLOOKUP(1,('Case Pack'!$A$4:$A$962=C931)*('Case Pack'!$L$4:$L$962&gt;0)*('Case Pack'!$L$4:$L$962&lt;=A931),'Case Pack'!$D$4:$D$962,"未找到箱规")</f>
        <v>3</v>
      </c>
      <c r="P931" s="275" t="str">
        <f>IF(COUNTIF('PO Check'!A:A,D931)&gt;0,"Yes","No")</f>
        <v>Yes</v>
      </c>
      <c r="Q931" s="124" t="str" cm="1">
        <f t="array" ref="Q931">_xlfn.XLOOKUP(1,('Case Pack'!$A$4:$A$962=C931)*('Case Pack'!$L$4:$L$962&gt;0)*('Case Pack'!$L$4:$L$962&lt;=A931),'Case Pack'!$G$4:$G$962,"未找到箱型")</f>
        <v>C</v>
      </c>
      <c r="R931" s="275">
        <f>ROUND(IFERROR(VLOOKUP(Q931,'Case Type'!A:H,8,0),0)*O931,2)</f>
        <v>0.47</v>
      </c>
    </row>
    <row r="932" customFormat="1" spans="1:18">
      <c r="A932" s="271">
        <v>46309</v>
      </c>
      <c r="B932" s="91" t="str">
        <f>_xlfn.XLOOKUP(C932,'Product List'!B:B,'Product List'!I:I)</f>
        <v>MINI/MOE TV VIEWING CAGE</v>
      </c>
      <c r="C932" s="235" t="s">
        <v>50</v>
      </c>
      <c r="D932" s="233" t="s">
        <v>368</v>
      </c>
      <c r="E932" s="272">
        <v>154</v>
      </c>
      <c r="F932" s="272">
        <v>51.71</v>
      </c>
      <c r="G932" s="125">
        <f t="shared" si="29"/>
        <v>7963.34</v>
      </c>
      <c r="H932" s="235" t="s">
        <v>306</v>
      </c>
      <c r="I932" s="273" t="s">
        <v>92</v>
      </c>
      <c r="J932" s="235" t="s">
        <v>307</v>
      </c>
      <c r="K932" s="274">
        <v>46329</v>
      </c>
      <c r="L932" s="274">
        <v>46323</v>
      </c>
      <c r="M932" s="127">
        <f>_xlfn.XLOOKUP(C932,'Product List'!B:B,'Product List'!R:R)</f>
        <v>24.09</v>
      </c>
      <c r="N932" s="124">
        <f t="shared" si="28"/>
        <v>3709.86</v>
      </c>
      <c r="O932" s="124" cm="1">
        <f t="array" ref="O932">E932/_xlfn.XLOOKUP(1,('Case Pack'!$A$4:$A$962=C932)*('Case Pack'!$L$4:$L$962&gt;0)*('Case Pack'!$L$4:$L$962&lt;=A932),'Case Pack'!$D$4:$D$962,"未找到箱规")</f>
        <v>154</v>
      </c>
      <c r="P932" s="275" t="str">
        <f>IF(COUNTIF('PO Check'!A:A,D932)&gt;0,"Yes","No")</f>
        <v>Yes</v>
      </c>
      <c r="Q932" s="124" t="str" cm="1">
        <f t="array" ref="Q932">_xlfn.XLOOKUP(1,('Case Pack'!$A$4:$A$962=C932)*('Case Pack'!$L$4:$L$962&gt;0)*('Case Pack'!$L$4:$L$962&lt;=A932),'Case Pack'!$G$4:$G$962,"未找到箱型")</f>
        <v>S1</v>
      </c>
      <c r="R932" s="275">
        <f>ROUND(IFERROR(VLOOKUP(Q932,'Case Type'!A:H,8,0),0)*O932,2)</f>
        <v>11.4</v>
      </c>
    </row>
    <row r="933" customFormat="1" spans="1:18">
      <c r="A933" s="271">
        <v>46309</v>
      </c>
      <c r="B933" s="91" t="str">
        <f>_xlfn.XLOOKUP(C933,'Product List'!B:B,'Product List'!I:I)</f>
        <v>MINI/MOE TULIP WATER BOTTLE</v>
      </c>
      <c r="C933" s="235" t="s">
        <v>52</v>
      </c>
      <c r="D933" s="233" t="s">
        <v>368</v>
      </c>
      <c r="E933" s="272">
        <v>60</v>
      </c>
      <c r="F933" s="272">
        <v>1.7</v>
      </c>
      <c r="G933" s="125">
        <f t="shared" si="29"/>
        <v>102</v>
      </c>
      <c r="H933" s="235" t="s">
        <v>306</v>
      </c>
      <c r="I933" s="273" t="s">
        <v>92</v>
      </c>
      <c r="J933" s="235" t="s">
        <v>307</v>
      </c>
      <c r="K933" s="274">
        <v>46329</v>
      </c>
      <c r="L933" s="274">
        <v>46323</v>
      </c>
      <c r="M933" s="127">
        <f>_xlfn.XLOOKUP(C933,'Product List'!B:B,'Product List'!R:R)</f>
        <v>0.73</v>
      </c>
      <c r="N933" s="124">
        <f t="shared" si="28"/>
        <v>43.8</v>
      </c>
      <c r="O933" s="124" cm="1">
        <f t="array" ref="O933">E933/_xlfn.XLOOKUP(1,('Case Pack'!$A$4:$A$962=C933)*('Case Pack'!$L$4:$L$962&gt;0)*('Case Pack'!$L$4:$L$962&lt;=A933),'Case Pack'!$D$4:$D$962,"未找到箱规")</f>
        <v>1</v>
      </c>
      <c r="P933" s="275" t="str">
        <f>IF(COUNTIF('PO Check'!A:A,D933)&gt;0,"Yes","No")</f>
        <v>Yes</v>
      </c>
      <c r="Q933" s="124" t="str" cm="1">
        <f t="array" ref="Q933">_xlfn.XLOOKUP(1,('Case Pack'!$A$4:$A$962=C933)*('Case Pack'!$L$4:$L$962&gt;0)*('Case Pack'!$L$4:$L$962&lt;=A933),'Case Pack'!$G$4:$G$962,"未找到箱型")</f>
        <v>C</v>
      </c>
      <c r="R933" s="275">
        <f>ROUND(IFERROR(VLOOKUP(Q933,'Case Type'!A:H,8,0),0)*O933,2)</f>
        <v>0.16</v>
      </c>
    </row>
    <row r="934" customFormat="1" spans="1:18">
      <c r="A934" s="271">
        <v>46309</v>
      </c>
      <c r="B934" s="91" t="str">
        <f>_xlfn.XLOOKUP(C934,'Product List'!B:B,'Product List'!I:I)</f>
        <v>D. MMO-COTTAGE VIEW CAGE</v>
      </c>
      <c r="C934" s="235" t="s">
        <v>64</v>
      </c>
      <c r="D934" s="233" t="s">
        <v>368</v>
      </c>
      <c r="E934" s="272">
        <v>17</v>
      </c>
      <c r="F934" s="272">
        <v>70.28</v>
      </c>
      <c r="G934" s="125">
        <f t="shared" si="29"/>
        <v>1194.76</v>
      </c>
      <c r="H934" s="235" t="s">
        <v>306</v>
      </c>
      <c r="I934" s="273" t="s">
        <v>92</v>
      </c>
      <c r="J934" s="235" t="s">
        <v>307</v>
      </c>
      <c r="K934" s="274">
        <v>46329</v>
      </c>
      <c r="L934" s="274">
        <v>46323</v>
      </c>
      <c r="M934" s="127">
        <f>_xlfn.XLOOKUP(C934,'Product List'!B:B,'Product List'!R:R)</f>
        <v>28.56</v>
      </c>
      <c r="N934" s="124">
        <f t="shared" si="28"/>
        <v>485.52</v>
      </c>
      <c r="O934" s="124" cm="1">
        <f t="array" ref="O934">E934/_xlfn.XLOOKUP(1,('Case Pack'!$A$4:$A$962=C934)*('Case Pack'!$L$4:$L$962&gt;0)*('Case Pack'!$L$4:$L$962&lt;=A934),'Case Pack'!$D$4:$D$962,"未找到箱规")</f>
        <v>17</v>
      </c>
      <c r="P934" s="275" t="str">
        <f>IF(COUNTIF('PO Check'!A:A,D934)&gt;0,"Yes","No")</f>
        <v>Yes</v>
      </c>
      <c r="Q934" s="124" t="str" cm="1">
        <f t="array" ref="Q934">_xlfn.XLOOKUP(1,('Case Pack'!$A$4:$A$962=C934)*('Case Pack'!$L$4:$L$962&gt;0)*('Case Pack'!$L$4:$L$962&lt;=A934),'Case Pack'!$G$4:$G$962,"未找到箱型")</f>
        <v>S3</v>
      </c>
      <c r="R934" s="275">
        <f>ROUND(IFERROR(VLOOKUP(Q934,'Case Type'!A:H,8,0),0)*O934,2)</f>
        <v>2.42</v>
      </c>
    </row>
    <row r="935" customFormat="1" spans="1:18">
      <c r="A935" s="271">
        <v>46309</v>
      </c>
      <c r="B935" s="91" t="str">
        <f>_xlfn.XLOOKUP(C935,'Product List'!B:B,'Product List'!I:I)</f>
        <v>MINI/MOE CAMPING TENT HIDE</v>
      </c>
      <c r="C935" s="235" t="s">
        <v>73</v>
      </c>
      <c r="D935" s="233" t="s">
        <v>368</v>
      </c>
      <c r="E935" s="272">
        <v>120</v>
      </c>
      <c r="F935" s="272">
        <v>3.36</v>
      </c>
      <c r="G935" s="125">
        <f t="shared" si="29"/>
        <v>403.2</v>
      </c>
      <c r="H935" s="235" t="s">
        <v>306</v>
      </c>
      <c r="I935" s="273" t="s">
        <v>92</v>
      </c>
      <c r="J935" s="235" t="s">
        <v>307</v>
      </c>
      <c r="K935" s="274">
        <v>46329</v>
      </c>
      <c r="L935" s="274">
        <v>46323</v>
      </c>
      <c r="M935" s="127">
        <f>_xlfn.XLOOKUP(C935,'Product List'!B:B,'Product List'!R:R)</f>
        <v>1.96</v>
      </c>
      <c r="N935" s="124">
        <f t="shared" si="28"/>
        <v>235.2</v>
      </c>
      <c r="O935" s="124" cm="1">
        <f t="array" ref="O935">E935/_xlfn.XLOOKUP(1,('Case Pack'!$A$4:$A$962=C935)*('Case Pack'!$L$4:$L$962&gt;0)*('Case Pack'!$L$4:$L$962&lt;=A935),'Case Pack'!$D$4:$D$962,"未找到箱规")</f>
        <v>10</v>
      </c>
      <c r="P935" s="275" t="str">
        <f>IF(COUNTIF('PO Check'!A:A,D935)&gt;0,"Yes","No")</f>
        <v>Yes</v>
      </c>
      <c r="Q935" s="124" t="str" cm="1">
        <f t="array" ref="Q935">_xlfn.XLOOKUP(1,('Case Pack'!$A$4:$A$962=C935)*('Case Pack'!$L$4:$L$962&gt;0)*('Case Pack'!$L$4:$L$962&lt;=A935),'Case Pack'!$G$4:$G$962,"未找到箱型")</f>
        <v>B</v>
      </c>
      <c r="R935" s="275">
        <f>ROUND(IFERROR(VLOOKUP(Q935,'Case Type'!A:H,8,0),0)*O935,2)</f>
        <v>0.73</v>
      </c>
    </row>
    <row r="936" customFormat="1" spans="1:18">
      <c r="A936" s="271">
        <v>46309</v>
      </c>
      <c r="B936" s="91" t="str">
        <f>_xlfn.XLOOKUP(C936,'Product List'!B:B,'Product List'!I:I)</f>
        <v>MINI/MOE WOODLAND POTTY</v>
      </c>
      <c r="C936" s="235" t="s">
        <v>79</v>
      </c>
      <c r="D936" s="233" t="s">
        <v>368</v>
      </c>
      <c r="E936" s="272">
        <v>36</v>
      </c>
      <c r="F936" s="272">
        <v>2.61</v>
      </c>
      <c r="G936" s="125">
        <f t="shared" si="29"/>
        <v>93.96</v>
      </c>
      <c r="H936" s="235" t="s">
        <v>306</v>
      </c>
      <c r="I936" s="273" t="s">
        <v>92</v>
      </c>
      <c r="J936" s="235" t="s">
        <v>307</v>
      </c>
      <c r="K936" s="274">
        <v>46329</v>
      </c>
      <c r="L936" s="274">
        <v>46323</v>
      </c>
      <c r="M936" s="127">
        <f>_xlfn.XLOOKUP(C936,'Product List'!B:B,'Product List'!R:R)</f>
        <v>1.19</v>
      </c>
      <c r="N936" s="124">
        <f t="shared" si="28"/>
        <v>42.84</v>
      </c>
      <c r="O936" s="124" cm="1">
        <f t="array" ref="O936">E936/_xlfn.XLOOKUP(1,('Case Pack'!$A$4:$A$962=C936)*('Case Pack'!$L$4:$L$962&gt;0)*('Case Pack'!$L$4:$L$962&lt;=A936),'Case Pack'!$D$4:$D$962,"未找到箱规")</f>
        <v>1</v>
      </c>
      <c r="P936" s="275" t="str">
        <f>IF(COUNTIF('PO Check'!A:A,D936)&gt;0,"Yes","No")</f>
        <v>Yes</v>
      </c>
      <c r="Q936" s="124" t="str" cm="1">
        <f t="array" ref="Q936">_xlfn.XLOOKUP(1,('Case Pack'!$A$4:$A$962=C936)*('Case Pack'!$L$4:$L$962&gt;0)*('Case Pack'!$L$4:$L$962&lt;=A936),'Case Pack'!$G$4:$G$962,"未找到箱型")</f>
        <v>C</v>
      </c>
      <c r="R936" s="275">
        <f>ROUND(IFERROR(VLOOKUP(Q936,'Case Type'!A:H,8,0),0)*O936,2)</f>
        <v>0.16</v>
      </c>
    </row>
    <row r="937" customFormat="1" spans="1:18">
      <c r="A937" s="271">
        <v>46315</v>
      </c>
      <c r="B937" s="91" t="str">
        <f>_xlfn.XLOOKUP(C937,'Product List'!B:B,'Product List'!I:I)</f>
        <v>MINI/MOE SILENT CRSTL RUN WHEEL LG 8.5-White</v>
      </c>
      <c r="C937" s="235" t="s">
        <v>29</v>
      </c>
      <c r="D937" s="233">
        <v>32403374</v>
      </c>
      <c r="E937" s="272">
        <v>80</v>
      </c>
      <c r="F937" s="272">
        <v>13.22</v>
      </c>
      <c r="G937" s="125">
        <f t="shared" si="29"/>
        <v>1057.6</v>
      </c>
      <c r="H937" s="235" t="s">
        <v>298</v>
      </c>
      <c r="I937" s="273" t="s">
        <v>92</v>
      </c>
      <c r="J937" s="235" t="s">
        <v>319</v>
      </c>
      <c r="K937" s="274">
        <v>46350</v>
      </c>
      <c r="L937" s="274"/>
      <c r="M937" s="127">
        <f>_xlfn.XLOOKUP(C937,'Product List'!B:B,'Product List'!R:R)</f>
        <v>6.27</v>
      </c>
      <c r="N937" s="124">
        <f t="shared" si="28"/>
        <v>501.6</v>
      </c>
      <c r="O937" s="124" cm="1">
        <f t="array" ref="O937">E937/_xlfn.XLOOKUP(1,('Case Pack'!$A$4:$A$962=C937)*('Case Pack'!$L$4:$L$962&gt;0)*('Case Pack'!$L$4:$L$962&lt;=A937),'Case Pack'!$D$4:$D$962,"未找到箱规")</f>
        <v>10</v>
      </c>
      <c r="P937" s="275" t="str">
        <f>IF(COUNTIF('PO Check'!A:A,D937)&gt;0,"Yes","No")</f>
        <v>Yes</v>
      </c>
      <c r="Q937" s="124" t="str" cm="1">
        <f t="array" ref="Q937">_xlfn.XLOOKUP(1,('Case Pack'!$A$4:$A$962=C937)*('Case Pack'!$L$4:$L$962&gt;0)*('Case Pack'!$L$4:$L$962&lt;=A937),'Case Pack'!$G$4:$G$962,"未找到箱型")</f>
        <v>C</v>
      </c>
      <c r="R937" s="275">
        <f>ROUND(IFERROR(VLOOKUP(Q937,'Case Type'!A:H,8,0),0)*O937,2)</f>
        <v>1.57</v>
      </c>
    </row>
    <row r="938" customFormat="1" spans="1:18">
      <c r="A938" s="271">
        <v>46315</v>
      </c>
      <c r="B938" s="91" t="str">
        <f>_xlfn.XLOOKUP(C938,'Product List'!B:B,'Product List'!I:I)</f>
        <v>MMO-GREEN APPLE CHEW</v>
      </c>
      <c r="C938" s="235" t="s">
        <v>33</v>
      </c>
      <c r="D938" s="233">
        <v>32403374</v>
      </c>
      <c r="E938" s="272">
        <v>48</v>
      </c>
      <c r="F938" s="272">
        <v>1.53</v>
      </c>
      <c r="G938" s="125">
        <f t="shared" si="29"/>
        <v>73.44</v>
      </c>
      <c r="H938" s="235" t="s">
        <v>298</v>
      </c>
      <c r="I938" s="273" t="s">
        <v>92</v>
      </c>
      <c r="J938" s="235" t="s">
        <v>319</v>
      </c>
      <c r="K938" s="274">
        <v>46350</v>
      </c>
      <c r="L938" s="274"/>
      <c r="M938" s="127">
        <f>_xlfn.XLOOKUP(C938,'Product List'!B:B,'Product List'!R:R)</f>
        <v>1.04</v>
      </c>
      <c r="N938" s="124">
        <f t="shared" si="28"/>
        <v>49.92</v>
      </c>
      <c r="O938" s="124" cm="1">
        <f t="array" ref="O938">E938/_xlfn.XLOOKUP(1,('Case Pack'!$A$4:$A$962=C938)*('Case Pack'!$L$4:$L$962&gt;0)*('Case Pack'!$L$4:$L$962&lt;=A938),'Case Pack'!$D$4:$D$962,"未找到箱规")</f>
        <v>1</v>
      </c>
      <c r="P938" s="275" t="str">
        <f>IF(COUNTIF('PO Check'!A:A,D938)&gt;0,"Yes","No")</f>
        <v>Yes</v>
      </c>
      <c r="Q938" s="124" t="str" cm="1">
        <f t="array" ref="Q938">_xlfn.XLOOKUP(1,('Case Pack'!$A$4:$A$962=C938)*('Case Pack'!$L$4:$L$962&gt;0)*('Case Pack'!$L$4:$L$962&lt;=A938),'Case Pack'!$G$4:$G$962,"未找到箱型")</f>
        <v>B</v>
      </c>
      <c r="R938" s="275">
        <f>ROUND(IFERROR(VLOOKUP(Q938,'Case Type'!A:H,8,0),0)*O938,2)</f>
        <v>0.07</v>
      </c>
    </row>
    <row r="939" customFormat="1" spans="1:18">
      <c r="A939" s="271">
        <v>46315</v>
      </c>
      <c r="B939" s="91" t="str">
        <f>_xlfn.XLOOKUP(C939,'Product List'!B:B,'Product List'!I:I)</f>
        <v>MMO-CAMP LUNCH BOX CHEW</v>
      </c>
      <c r="C939" s="235" t="s">
        <v>34</v>
      </c>
      <c r="D939" s="233">
        <v>32403374</v>
      </c>
      <c r="E939" s="272">
        <v>72</v>
      </c>
      <c r="F939" s="272">
        <v>2.48</v>
      </c>
      <c r="G939" s="125">
        <f t="shared" si="29"/>
        <v>178.56</v>
      </c>
      <c r="H939" s="235" t="s">
        <v>298</v>
      </c>
      <c r="I939" s="273" t="s">
        <v>92</v>
      </c>
      <c r="J939" s="235" t="s">
        <v>319</v>
      </c>
      <c r="K939" s="274">
        <v>46350</v>
      </c>
      <c r="L939" s="274"/>
      <c r="M939" s="127">
        <f>_xlfn.XLOOKUP(C939,'Product List'!B:B,'Product List'!R:R)</f>
        <v>1.59</v>
      </c>
      <c r="N939" s="124">
        <f t="shared" si="28"/>
        <v>114.48</v>
      </c>
      <c r="O939" s="124" cm="1">
        <f t="array" ref="O939">E939/_xlfn.XLOOKUP(1,('Case Pack'!$A$4:$A$962=C939)*('Case Pack'!$L$4:$L$962&gt;0)*('Case Pack'!$L$4:$L$962&lt;=A939),'Case Pack'!$D$4:$D$962,"未找到箱规")</f>
        <v>1</v>
      </c>
      <c r="P939" s="275" t="str">
        <f>IF(COUNTIF('PO Check'!A:A,D939)&gt;0,"Yes","No")</f>
        <v>Yes</v>
      </c>
      <c r="Q939" s="124" t="str" cm="1">
        <f t="array" ref="Q939">_xlfn.XLOOKUP(1,('Case Pack'!$A$4:$A$962=C939)*('Case Pack'!$L$4:$L$962&gt;0)*('Case Pack'!$L$4:$L$962&lt;=A939),'Case Pack'!$G$4:$G$962,"未找到箱型")</f>
        <v>B</v>
      </c>
      <c r="R939" s="275">
        <f>ROUND(IFERROR(VLOOKUP(Q939,'Case Type'!A:H,8,0),0)*O939,2)</f>
        <v>0.07</v>
      </c>
    </row>
    <row r="940" customFormat="1" spans="1:18">
      <c r="A940" s="271">
        <v>46315</v>
      </c>
      <c r="B940" s="91" t="str">
        <f>_xlfn.XLOOKUP(C940,'Product List'!B:B,'Product List'!I:I)</f>
        <v>MINI/MOE TV VIEWING CAGE</v>
      </c>
      <c r="C940" s="235" t="s">
        <v>50</v>
      </c>
      <c r="D940" s="233">
        <v>32403374</v>
      </c>
      <c r="E940" s="272">
        <v>46</v>
      </c>
      <c r="F940" s="272">
        <v>48.49</v>
      </c>
      <c r="G940" s="125">
        <f t="shared" si="29"/>
        <v>2230.54</v>
      </c>
      <c r="H940" s="235" t="s">
        <v>298</v>
      </c>
      <c r="I940" s="273" t="s">
        <v>92</v>
      </c>
      <c r="J940" s="235" t="s">
        <v>319</v>
      </c>
      <c r="K940" s="274">
        <v>46350</v>
      </c>
      <c r="L940" s="274"/>
      <c r="M940" s="127">
        <f>_xlfn.XLOOKUP(C940,'Product List'!B:B,'Product List'!R:R)</f>
        <v>24.09</v>
      </c>
      <c r="N940" s="124">
        <f t="shared" si="28"/>
        <v>1108.14</v>
      </c>
      <c r="O940" s="124" cm="1">
        <f t="array" ref="O940">E940/_xlfn.XLOOKUP(1,('Case Pack'!$A$4:$A$962=C940)*('Case Pack'!$L$4:$L$962&gt;0)*('Case Pack'!$L$4:$L$962&lt;=A940),'Case Pack'!$D$4:$D$962,"未找到箱规")</f>
        <v>46</v>
      </c>
      <c r="P940" s="275" t="str">
        <f>IF(COUNTIF('PO Check'!A:A,D940)&gt;0,"Yes","No")</f>
        <v>Yes</v>
      </c>
      <c r="Q940" s="124" t="str" cm="1">
        <f t="array" ref="Q940">_xlfn.XLOOKUP(1,('Case Pack'!$A$4:$A$962=C940)*('Case Pack'!$L$4:$L$962&gt;0)*('Case Pack'!$L$4:$L$962&lt;=A940),'Case Pack'!$G$4:$G$962,"未找到箱型")</f>
        <v>S1</v>
      </c>
      <c r="R940" s="275">
        <f>ROUND(IFERROR(VLOOKUP(Q940,'Case Type'!A:H,8,0),0)*O940,2)</f>
        <v>3.4</v>
      </c>
    </row>
    <row r="941" customFormat="1" spans="1:18">
      <c r="A941" s="271">
        <v>46315</v>
      </c>
      <c r="B941" s="91" t="str">
        <f>_xlfn.XLOOKUP(C941,'Product List'!B:B,'Product List'!I:I)</f>
        <v>MMO-CLOUD WATER BOTTLE</v>
      </c>
      <c r="C941" s="235" t="s">
        <v>77</v>
      </c>
      <c r="D941" s="233">
        <v>32403374</v>
      </c>
      <c r="E941" s="272">
        <v>150</v>
      </c>
      <c r="F941" s="272">
        <v>1.32</v>
      </c>
      <c r="G941" s="125">
        <f t="shared" si="29"/>
        <v>198</v>
      </c>
      <c r="H941" s="235" t="s">
        <v>298</v>
      </c>
      <c r="I941" s="273" t="s">
        <v>92</v>
      </c>
      <c r="J941" s="235" t="s">
        <v>319</v>
      </c>
      <c r="K941" s="274">
        <v>46350</v>
      </c>
      <c r="L941" s="274"/>
      <c r="M941" s="127">
        <f>_xlfn.XLOOKUP(C941,'Product List'!B:B,'Product List'!R:R)</f>
        <v>0.62</v>
      </c>
      <c r="N941" s="124">
        <f t="shared" si="28"/>
        <v>93</v>
      </c>
      <c r="O941" s="124" cm="1">
        <f t="array" ref="O941">E941/_xlfn.XLOOKUP(1,('Case Pack'!$A$4:$A$962=C941)*('Case Pack'!$L$4:$L$962&gt;0)*('Case Pack'!$L$4:$L$962&lt;=A941),'Case Pack'!$D$4:$D$962,"未找到箱规")</f>
        <v>3</v>
      </c>
      <c r="P941" s="275" t="str">
        <f>IF(COUNTIF('PO Check'!A:A,D941)&gt;0,"Yes","No")</f>
        <v>Yes</v>
      </c>
      <c r="Q941" s="124" t="str" cm="1">
        <f t="array" ref="Q941">_xlfn.XLOOKUP(1,('Case Pack'!$A$4:$A$962=C941)*('Case Pack'!$L$4:$L$962&gt;0)*('Case Pack'!$L$4:$L$962&lt;=A941),'Case Pack'!$G$4:$G$962,"未找到箱型")</f>
        <v>A</v>
      </c>
      <c r="R941" s="275">
        <f>ROUND(IFERROR(VLOOKUP(Q941,'Case Type'!A:H,8,0),0)*O941,2)</f>
        <v>0.33</v>
      </c>
    </row>
    <row r="942" customFormat="1" spans="1:18">
      <c r="A942" s="271">
        <v>46316</v>
      </c>
      <c r="B942" s="91" t="str">
        <f>_xlfn.XLOOKUP(C942,'Product List'!B:B,'Product List'!I:I)</f>
        <v>MINI/MOE BENDABLE BIRCHWOOD FENCE</v>
      </c>
      <c r="C942" s="235" t="s">
        <v>62</v>
      </c>
      <c r="D942" s="233" t="s">
        <v>369</v>
      </c>
      <c r="E942" s="272">
        <v>32</v>
      </c>
      <c r="F942" s="272">
        <v>0</v>
      </c>
      <c r="G942" s="125">
        <f t="shared" si="29"/>
        <v>0</v>
      </c>
      <c r="H942" s="235" t="s">
        <v>336</v>
      </c>
      <c r="I942" s="273" t="s">
        <v>92</v>
      </c>
      <c r="J942" s="235" t="s">
        <v>337</v>
      </c>
      <c r="K942" s="274">
        <v>46316</v>
      </c>
      <c r="L942" s="274">
        <v>46316</v>
      </c>
      <c r="M942" s="127">
        <f>_xlfn.XLOOKUP(C942,'Product List'!B:B,'Product List'!R:R)</f>
        <v>3.4</v>
      </c>
      <c r="N942" s="124">
        <f t="shared" si="28"/>
        <v>108.8</v>
      </c>
      <c r="O942" s="124" cm="1">
        <f t="array" ref="O942">E942/_xlfn.XLOOKUP(1,('Case Pack'!$A$4:$A$962=C942)*('Case Pack'!$L$4:$L$962&gt;0)*('Case Pack'!$L$4:$L$962&lt;=A942),'Case Pack'!$D$4:$D$962,"未找到箱规")</f>
        <v>1</v>
      </c>
      <c r="P942" s="275" t="str">
        <f>IF(COUNTIF('PO Check'!A:A,D942)&gt;0,"Yes","No")</f>
        <v>No</v>
      </c>
      <c r="Q942" s="124" t="str" cm="1">
        <f t="array" ref="Q942">_xlfn.XLOOKUP(1,('Case Pack'!$A$4:$A$962=C942)*('Case Pack'!$L$4:$L$962&gt;0)*('Case Pack'!$L$4:$L$962&lt;=A942),'Case Pack'!$G$4:$G$962,"未找到箱型")</f>
        <v>F</v>
      </c>
      <c r="R942" s="275">
        <f>ROUND(IFERROR(VLOOKUP(Q942,'Case Type'!A:H,8,0),0)*O942,2)</f>
        <v>0.04</v>
      </c>
    </row>
    <row r="943" customFormat="1" spans="1:18">
      <c r="A943" s="271">
        <v>46316</v>
      </c>
      <c r="B943" s="91" t="str">
        <f>_xlfn.XLOOKUP(C943,'Product List'!B:B,'Product List'!I:I)</f>
        <v>MINI/MOE GARDEN TEAPOT</v>
      </c>
      <c r="C943" s="235" t="s">
        <v>43</v>
      </c>
      <c r="D943" s="233" t="s">
        <v>369</v>
      </c>
      <c r="E943" s="272">
        <v>30</v>
      </c>
      <c r="F943" s="272">
        <v>0</v>
      </c>
      <c r="G943" s="125">
        <f t="shared" si="29"/>
        <v>0</v>
      </c>
      <c r="H943" s="235" t="s">
        <v>336</v>
      </c>
      <c r="I943" s="273" t="s">
        <v>92</v>
      </c>
      <c r="J943" s="235" t="s">
        <v>337</v>
      </c>
      <c r="K943" s="274">
        <v>46316</v>
      </c>
      <c r="L943" s="274">
        <v>46316</v>
      </c>
      <c r="M943" s="127">
        <f>_xlfn.XLOOKUP(C943,'Product List'!B:B,'Product List'!R:R)</f>
        <v>2.25</v>
      </c>
      <c r="N943" s="124">
        <f t="shared" si="28"/>
        <v>67.5</v>
      </c>
      <c r="O943" s="124" cm="1">
        <f t="array" ref="O943">E943/_xlfn.XLOOKUP(1,('Case Pack'!$A$4:$A$962=C943)*('Case Pack'!$L$4:$L$962&gt;0)*('Case Pack'!$L$4:$L$962&lt;=A943),'Case Pack'!$D$4:$D$962,"未找到箱规")</f>
        <v>1</v>
      </c>
      <c r="P943" s="275" t="str">
        <f>IF(COUNTIF('PO Check'!A:A,D943)&gt;0,"Yes","No")</f>
        <v>No</v>
      </c>
      <c r="Q943" s="124" t="str" cm="1">
        <f t="array" ref="Q943">_xlfn.XLOOKUP(1,('Case Pack'!$A$4:$A$962=C943)*('Case Pack'!$L$4:$L$962&gt;0)*('Case Pack'!$L$4:$L$962&lt;=A943),'Case Pack'!$G$4:$G$962,"未找到箱型")</f>
        <v>C</v>
      </c>
      <c r="R943" s="275">
        <f>ROUND(IFERROR(VLOOKUP(Q943,'Case Type'!A:H,8,0),0)*O943,2)</f>
        <v>0.16</v>
      </c>
    </row>
    <row r="944" customFormat="1" spans="1:18">
      <c r="A944" s="271">
        <v>46321</v>
      </c>
      <c r="B944" s="91" t="str">
        <f>_xlfn.XLOOKUP(C944,'Product List'!B:B,'Product List'!I:I)</f>
        <v>D. MMO-COTTAGE VIEW CAGE</v>
      </c>
      <c r="C944" s="235" t="s">
        <v>64</v>
      </c>
      <c r="D944" s="233" t="s">
        <v>370</v>
      </c>
      <c r="E944" s="272">
        <v>50</v>
      </c>
      <c r="F944" s="272">
        <v>70.28</v>
      </c>
      <c r="G944" s="125">
        <f t="shared" si="29"/>
        <v>3514</v>
      </c>
      <c r="H944" s="235" t="s">
        <v>306</v>
      </c>
      <c r="I944" s="273" t="s">
        <v>92</v>
      </c>
      <c r="J944" s="235" t="s">
        <v>313</v>
      </c>
      <c r="K944" s="274">
        <v>46342</v>
      </c>
      <c r="L944" s="274"/>
      <c r="M944" s="127">
        <f>_xlfn.XLOOKUP(C944,'Product List'!B:B,'Product List'!R:R)</f>
        <v>28.56</v>
      </c>
      <c r="N944" s="124">
        <f t="shared" si="28"/>
        <v>1428</v>
      </c>
      <c r="O944" s="124" cm="1">
        <f t="array" ref="O944">E944/_xlfn.XLOOKUP(1,('Case Pack'!$A$4:$A$962=C944)*('Case Pack'!$L$4:$L$962&gt;0)*('Case Pack'!$L$4:$L$962&lt;=A944),'Case Pack'!$D$4:$D$962,"未找到箱规")</f>
        <v>50</v>
      </c>
      <c r="P944" s="275" t="str">
        <f>IF(COUNTIF('PO Check'!A:A,D944)&gt;0,"Yes","No")</f>
        <v>Yes</v>
      </c>
      <c r="Q944" s="124" t="str" cm="1">
        <f t="array" ref="Q944">_xlfn.XLOOKUP(1,('Case Pack'!$A$4:$A$962=C944)*('Case Pack'!$L$4:$L$962&gt;0)*('Case Pack'!$L$4:$L$962&lt;=A944),'Case Pack'!$G$4:$G$962,"未找到箱型")</f>
        <v>S3</v>
      </c>
      <c r="R944" s="275">
        <f>ROUND(IFERROR(VLOOKUP(Q944,'Case Type'!A:H,8,0),0)*O944,2)</f>
        <v>7.11</v>
      </c>
    </row>
    <row r="945" customFormat="1" spans="1:18">
      <c r="A945" s="271">
        <v>46321</v>
      </c>
      <c r="B945" s="91" t="str">
        <f>_xlfn.XLOOKUP(C945,'Product List'!B:B,'Product List'!I:I)</f>
        <v>MINI/MOE TV VIEWING CAGE</v>
      </c>
      <c r="C945" s="235" t="s">
        <v>50</v>
      </c>
      <c r="D945" s="233" t="s">
        <v>370</v>
      </c>
      <c r="E945" s="272">
        <v>32</v>
      </c>
      <c r="F945" s="272">
        <v>51.71</v>
      </c>
      <c r="G945" s="125">
        <f t="shared" si="29"/>
        <v>1654.72</v>
      </c>
      <c r="H945" s="235" t="s">
        <v>306</v>
      </c>
      <c r="I945" s="273" t="s">
        <v>92</v>
      </c>
      <c r="J945" s="235" t="s">
        <v>313</v>
      </c>
      <c r="K945" s="274">
        <v>46342</v>
      </c>
      <c r="L945" s="274"/>
      <c r="M945" s="127">
        <f>_xlfn.XLOOKUP(C945,'Product List'!B:B,'Product List'!R:R)</f>
        <v>24.09</v>
      </c>
      <c r="N945" s="124">
        <f t="shared" si="28"/>
        <v>770.88</v>
      </c>
      <c r="O945" s="124" cm="1">
        <f t="array" ref="O945">E945/_xlfn.XLOOKUP(1,('Case Pack'!$A$4:$A$962=C945)*('Case Pack'!$L$4:$L$962&gt;0)*('Case Pack'!$L$4:$L$962&lt;=A945),'Case Pack'!$D$4:$D$962,"未找到箱规")</f>
        <v>32</v>
      </c>
      <c r="P945" s="275" t="str">
        <f>IF(COUNTIF('PO Check'!A:A,D945)&gt;0,"Yes","No")</f>
        <v>Yes</v>
      </c>
      <c r="Q945" s="124" t="str" cm="1">
        <f t="array" ref="Q945">_xlfn.XLOOKUP(1,('Case Pack'!$A$4:$A$962=C945)*('Case Pack'!$L$4:$L$962&gt;0)*('Case Pack'!$L$4:$L$962&lt;=A945),'Case Pack'!$G$4:$G$962,"未找到箱型")</f>
        <v>S1</v>
      </c>
      <c r="R945" s="275">
        <f>ROUND(IFERROR(VLOOKUP(Q945,'Case Type'!A:H,8,0),0)*O945,2)</f>
        <v>2.37</v>
      </c>
    </row>
    <row r="946" customFormat="1" spans="1:18">
      <c r="A946" s="271">
        <v>46321</v>
      </c>
      <c r="B946" s="91" t="str">
        <f>_xlfn.XLOOKUP(C946,'Product List'!B:B,'Product List'!I:I)</f>
        <v>MINI/MOE RUFFLE BOWL</v>
      </c>
      <c r="C946" s="235" t="s">
        <v>78</v>
      </c>
      <c r="D946" s="233" t="s">
        <v>370</v>
      </c>
      <c r="E946" s="272">
        <v>48</v>
      </c>
      <c r="F946" s="272">
        <v>2.25</v>
      </c>
      <c r="G946" s="125">
        <f t="shared" si="29"/>
        <v>108</v>
      </c>
      <c r="H946" s="235" t="s">
        <v>306</v>
      </c>
      <c r="I946" s="273" t="s">
        <v>92</v>
      </c>
      <c r="J946" s="235" t="s">
        <v>313</v>
      </c>
      <c r="K946" s="274">
        <v>46342</v>
      </c>
      <c r="L946" s="274"/>
      <c r="M946" s="127">
        <f>_xlfn.XLOOKUP(C946,'Product List'!B:B,'Product List'!R:R)</f>
        <v>1.34</v>
      </c>
      <c r="N946" s="124">
        <f t="shared" si="28"/>
        <v>64.32</v>
      </c>
      <c r="O946" s="124" cm="1">
        <f t="array" ref="O946">E946/_xlfn.XLOOKUP(1,('Case Pack'!$A$4:$A$962=C946)*('Case Pack'!$L$4:$L$962&gt;0)*('Case Pack'!$L$4:$L$962&lt;=A946),'Case Pack'!$D$4:$D$962,"未找到箱规")</f>
        <v>1</v>
      </c>
      <c r="P946" s="275" t="str">
        <f>IF(COUNTIF('PO Check'!A:A,D946)&gt;0,"Yes","No")</f>
        <v>Yes</v>
      </c>
      <c r="Q946" s="124" t="str" cm="1">
        <f t="array" ref="Q946">_xlfn.XLOOKUP(1,('Case Pack'!$A$4:$A$962=C946)*('Case Pack'!$L$4:$L$962&gt;0)*('Case Pack'!$L$4:$L$962&lt;=A946),'Case Pack'!$G$4:$G$962,"未找到箱型")</f>
        <v>B</v>
      </c>
      <c r="R946" s="275">
        <f>ROUND(IFERROR(VLOOKUP(Q946,'Case Type'!A:H,8,0),0)*O946,2)</f>
        <v>0.07</v>
      </c>
    </row>
    <row r="947" customFormat="1" spans="1:18">
      <c r="A947" s="271">
        <v>46321</v>
      </c>
      <c r="B947" s="91" t="str">
        <f>_xlfn.XLOOKUP(C947,'Product List'!B:B,'Product List'!I:I)</f>
        <v>MINI/MOE TREEHOUSE CABIN</v>
      </c>
      <c r="C947" s="235" t="s">
        <v>41</v>
      </c>
      <c r="D947" s="233" t="s">
        <v>371</v>
      </c>
      <c r="E947" s="272">
        <v>30</v>
      </c>
      <c r="F947" s="272">
        <v>4.28</v>
      </c>
      <c r="G947" s="125">
        <f t="shared" ref="G947:G955" si="30">E947*F947</f>
        <v>128.4</v>
      </c>
      <c r="H947" s="235" t="s">
        <v>306</v>
      </c>
      <c r="I947" s="273" t="s">
        <v>92</v>
      </c>
      <c r="J947" s="235" t="s">
        <v>307</v>
      </c>
      <c r="K947" s="274">
        <v>46342</v>
      </c>
      <c r="L947" s="274"/>
      <c r="M947" s="127">
        <f>_xlfn.XLOOKUP(C947,'Product List'!B:B,'Product List'!R:R)</f>
        <v>2.07</v>
      </c>
      <c r="N947" s="124">
        <f t="shared" ref="N947:N955" si="31">M947*E947</f>
        <v>62.1</v>
      </c>
      <c r="O947" s="124" cm="1">
        <f t="array" ref="O947">E947/_xlfn.XLOOKUP(1,('Case Pack'!$A$4:$A$962=C947)*('Case Pack'!$L$4:$L$962&gt;0)*('Case Pack'!$L$4:$L$962&lt;=A947),'Case Pack'!$D$4:$D$962,"未找到箱规")</f>
        <v>1</v>
      </c>
      <c r="P947" s="275" t="str">
        <f>IF(COUNTIF('PO Check'!A:A,D947)&gt;0,"Yes","No")</f>
        <v>Yes</v>
      </c>
      <c r="Q947" s="124" t="str" cm="1">
        <f t="array" ref="Q947">_xlfn.XLOOKUP(1,('Case Pack'!$A$4:$A$962=C947)*('Case Pack'!$L$4:$L$962&gt;0)*('Case Pack'!$L$4:$L$962&lt;=A947),'Case Pack'!$G$4:$G$962,"未找到箱型")</f>
        <v>C</v>
      </c>
      <c r="R947" s="275">
        <f>ROUND(IFERROR(VLOOKUP(Q947,'Case Type'!A:H,8,0),0)*O947,2)</f>
        <v>0.16</v>
      </c>
    </row>
    <row r="948" customFormat="1" spans="1:18">
      <c r="A948" s="271">
        <v>46321</v>
      </c>
      <c r="B948" s="91" t="str">
        <f>_xlfn.XLOOKUP(C948,'Product List'!B:B,'Product List'!I:I)</f>
        <v>MINI/MOE CAMPING TENT HIDE</v>
      </c>
      <c r="C948" s="235" t="s">
        <v>73</v>
      </c>
      <c r="D948" s="233" t="s">
        <v>371</v>
      </c>
      <c r="E948" s="272">
        <v>72</v>
      </c>
      <c r="F948" s="272">
        <v>3.36</v>
      </c>
      <c r="G948" s="125">
        <f t="shared" si="30"/>
        <v>241.92</v>
      </c>
      <c r="H948" s="235" t="s">
        <v>306</v>
      </c>
      <c r="I948" s="273" t="s">
        <v>92</v>
      </c>
      <c r="J948" s="235" t="s">
        <v>307</v>
      </c>
      <c r="K948" s="274">
        <v>46342</v>
      </c>
      <c r="L948" s="274"/>
      <c r="M948" s="127">
        <f>_xlfn.XLOOKUP(C948,'Product List'!B:B,'Product List'!R:R)</f>
        <v>1.96</v>
      </c>
      <c r="N948" s="124">
        <f t="shared" si="31"/>
        <v>141.12</v>
      </c>
      <c r="O948" s="124" cm="1">
        <f t="array" ref="O948">E948/_xlfn.XLOOKUP(1,('Case Pack'!$A$4:$A$962=C948)*('Case Pack'!$L$4:$L$962&gt;0)*('Case Pack'!$L$4:$L$962&lt;=A948),'Case Pack'!$D$4:$D$962,"未找到箱规")</f>
        <v>6</v>
      </c>
      <c r="P948" s="275" t="str">
        <f>IF(COUNTIF('PO Check'!A:A,D948)&gt;0,"Yes","No")</f>
        <v>Yes</v>
      </c>
      <c r="Q948" s="124" t="str" cm="1">
        <f t="array" ref="Q948">_xlfn.XLOOKUP(1,('Case Pack'!$A$4:$A$962=C948)*('Case Pack'!$L$4:$L$962&gt;0)*('Case Pack'!$L$4:$L$962&lt;=A948),'Case Pack'!$G$4:$G$962,"未找到箱型")</f>
        <v>B</v>
      </c>
      <c r="R948" s="275">
        <f>ROUND(IFERROR(VLOOKUP(Q948,'Case Type'!A:H,8,0),0)*O948,2)</f>
        <v>0.44</v>
      </c>
    </row>
    <row r="949" customFormat="1" spans="1:18">
      <c r="A949" s="271">
        <v>46321</v>
      </c>
      <c r="B949" s="91" t="str">
        <f>_xlfn.XLOOKUP(C949,'Product List'!B:B,'Product List'!I:I)</f>
        <v>MINI/MOE TULIP WATER BOTTLE</v>
      </c>
      <c r="C949" s="235" t="s">
        <v>52</v>
      </c>
      <c r="D949" s="233" t="s">
        <v>371</v>
      </c>
      <c r="E949" s="272">
        <v>60</v>
      </c>
      <c r="F949" s="272">
        <v>1.7</v>
      </c>
      <c r="G949" s="125">
        <f t="shared" si="30"/>
        <v>102</v>
      </c>
      <c r="H949" s="235" t="s">
        <v>306</v>
      </c>
      <c r="I949" s="273" t="s">
        <v>92</v>
      </c>
      <c r="J949" s="235" t="s">
        <v>307</v>
      </c>
      <c r="K949" s="274">
        <v>46342</v>
      </c>
      <c r="L949" s="274"/>
      <c r="M949" s="127">
        <f>_xlfn.XLOOKUP(C949,'Product List'!B:B,'Product List'!R:R)</f>
        <v>0.73</v>
      </c>
      <c r="N949" s="124">
        <f t="shared" si="31"/>
        <v>43.8</v>
      </c>
      <c r="O949" s="124" cm="1">
        <f t="array" ref="O949">E949/_xlfn.XLOOKUP(1,('Case Pack'!$A$4:$A$962=C949)*('Case Pack'!$L$4:$L$962&gt;0)*('Case Pack'!$L$4:$L$962&lt;=A949),'Case Pack'!$D$4:$D$962,"未找到箱规")</f>
        <v>1</v>
      </c>
      <c r="P949" s="275" t="str">
        <f>IF(COUNTIF('PO Check'!A:A,D949)&gt;0,"Yes","No")</f>
        <v>Yes</v>
      </c>
      <c r="Q949" s="124" t="str" cm="1">
        <f t="array" ref="Q949">_xlfn.XLOOKUP(1,('Case Pack'!$A$4:$A$962=C949)*('Case Pack'!$L$4:$L$962&gt;0)*('Case Pack'!$L$4:$L$962&lt;=A949),'Case Pack'!$G$4:$G$962,"未找到箱型")</f>
        <v>C</v>
      </c>
      <c r="R949" s="275">
        <f>ROUND(IFERROR(VLOOKUP(Q949,'Case Type'!A:H,8,0),0)*O949,2)</f>
        <v>0.16</v>
      </c>
    </row>
    <row r="950" customFormat="1" spans="1:18">
      <c r="A950" s="271">
        <v>46321</v>
      </c>
      <c r="B950" s="91" t="str">
        <f>_xlfn.XLOOKUP(C950,'Product List'!B:B,'Product List'!I:I)</f>
        <v>D. MMO-COTTAGE VIEW CAGE</v>
      </c>
      <c r="C950" s="235" t="s">
        <v>64</v>
      </c>
      <c r="D950" s="233" t="s">
        <v>371</v>
      </c>
      <c r="E950" s="272">
        <v>119</v>
      </c>
      <c r="F950" s="272">
        <v>70.28</v>
      </c>
      <c r="G950" s="125">
        <f t="shared" si="30"/>
        <v>8363.32</v>
      </c>
      <c r="H950" s="235" t="s">
        <v>306</v>
      </c>
      <c r="I950" s="273" t="s">
        <v>92</v>
      </c>
      <c r="J950" s="235" t="s">
        <v>307</v>
      </c>
      <c r="K950" s="274">
        <v>46342</v>
      </c>
      <c r="L950" s="274"/>
      <c r="M950" s="127">
        <f>_xlfn.XLOOKUP(C950,'Product List'!B:B,'Product List'!R:R)</f>
        <v>28.56</v>
      </c>
      <c r="N950" s="124">
        <f t="shared" si="31"/>
        <v>3398.64</v>
      </c>
      <c r="O950" s="124" cm="1">
        <f t="array" ref="O950">E950/_xlfn.XLOOKUP(1,('Case Pack'!$A$4:$A$962=C950)*('Case Pack'!$L$4:$L$962&gt;0)*('Case Pack'!$L$4:$L$962&lt;=A950),'Case Pack'!$D$4:$D$962,"未找到箱规")</f>
        <v>119</v>
      </c>
      <c r="P950" s="275" t="str">
        <f>IF(COUNTIF('PO Check'!A:A,D950)&gt;0,"Yes","No")</f>
        <v>Yes</v>
      </c>
      <c r="Q950" s="124" t="str" cm="1">
        <f t="array" ref="Q950">_xlfn.XLOOKUP(1,('Case Pack'!$A$4:$A$962=C950)*('Case Pack'!$L$4:$L$962&gt;0)*('Case Pack'!$L$4:$L$962&lt;=A950),'Case Pack'!$G$4:$G$962,"未找到箱型")</f>
        <v>S3</v>
      </c>
      <c r="R950" s="275">
        <f>ROUND(IFERROR(VLOOKUP(Q950,'Case Type'!A:H,8,0),0)*O950,2)</f>
        <v>16.93</v>
      </c>
    </row>
    <row r="951" customFormat="1" spans="1:18">
      <c r="A951" s="271">
        <v>46321</v>
      </c>
      <c r="B951" s="91" t="str">
        <f>_xlfn.XLOOKUP(C951,'Product List'!B:B,'Product List'!I:I)</f>
        <v>MINI/MOE SILENT CRSTL RUN WHEEL LG 8.5-Green</v>
      </c>
      <c r="C951" s="235" t="s">
        <v>28</v>
      </c>
      <c r="D951" s="233" t="s">
        <v>371</v>
      </c>
      <c r="E951" s="272">
        <v>8</v>
      </c>
      <c r="F951" s="272">
        <v>12.63</v>
      </c>
      <c r="G951" s="125">
        <f t="shared" si="30"/>
        <v>101.04</v>
      </c>
      <c r="H951" s="235" t="s">
        <v>306</v>
      </c>
      <c r="I951" s="273" t="s">
        <v>92</v>
      </c>
      <c r="J951" s="235" t="s">
        <v>307</v>
      </c>
      <c r="K951" s="274">
        <v>46342</v>
      </c>
      <c r="L951" s="274"/>
      <c r="M951" s="127">
        <f>_xlfn.XLOOKUP(C951,'Product List'!B:B,'Product List'!R:R)</f>
        <v>6.27</v>
      </c>
      <c r="N951" s="124">
        <f t="shared" si="31"/>
        <v>50.16</v>
      </c>
      <c r="O951" s="124" cm="1">
        <f t="array" ref="O951">E951/_xlfn.XLOOKUP(1,('Case Pack'!$A$4:$A$962=C951)*('Case Pack'!$L$4:$L$962&gt;0)*('Case Pack'!$L$4:$L$962&lt;=A951),'Case Pack'!$D$4:$D$962,"未找到箱规")</f>
        <v>1</v>
      </c>
      <c r="P951" s="275" t="str">
        <f>IF(COUNTIF('PO Check'!A:A,D951)&gt;0,"Yes","No")</f>
        <v>Yes</v>
      </c>
      <c r="Q951" s="124" t="str" cm="1">
        <f t="array" ref="Q951">_xlfn.XLOOKUP(1,('Case Pack'!$A$4:$A$962=C951)*('Case Pack'!$L$4:$L$962&gt;0)*('Case Pack'!$L$4:$L$962&lt;=A951),'Case Pack'!$G$4:$G$962,"未找到箱型")</f>
        <v>C</v>
      </c>
      <c r="R951" s="275">
        <f>ROUND(IFERROR(VLOOKUP(Q951,'Case Type'!A:H,8,0),0)*O951,2)</f>
        <v>0.16</v>
      </c>
    </row>
    <row r="952" spans="1:18">
      <c r="A952" s="271">
        <v>46321</v>
      </c>
      <c r="B952" s="91" t="str">
        <f>_xlfn.XLOOKUP(C952,'Product List'!B:B,'Product List'!I:I)</f>
        <v>MINI/MOE SILENT CRSTL RUN WHEEL XL 11.5 1EA</v>
      </c>
      <c r="C952" s="235" t="s">
        <v>76</v>
      </c>
      <c r="D952" s="233" t="s">
        <v>371</v>
      </c>
      <c r="E952" s="272">
        <v>87</v>
      </c>
      <c r="F952" s="272">
        <v>19.75</v>
      </c>
      <c r="G952" s="125">
        <f t="shared" si="30"/>
        <v>1718.25</v>
      </c>
      <c r="H952" s="235" t="s">
        <v>306</v>
      </c>
      <c r="I952" s="273" t="s">
        <v>92</v>
      </c>
      <c r="J952" s="235" t="s">
        <v>307</v>
      </c>
      <c r="K952" s="274">
        <v>46342</v>
      </c>
      <c r="L952" s="274"/>
      <c r="M952" s="127">
        <f>_xlfn.XLOOKUP(C952,'Product List'!B:B,'Product List'!R:R)</f>
        <v>10.42</v>
      </c>
      <c r="N952" s="124">
        <f t="shared" si="31"/>
        <v>906.54</v>
      </c>
      <c r="O952" s="124" cm="1">
        <f t="array" ref="O952">E952/_xlfn.XLOOKUP(1,('Case Pack'!$A$4:$A$962=C952)*('Case Pack'!$L$4:$L$962&gt;0)*('Case Pack'!$L$4:$L$962&lt;=A952),'Case Pack'!$D$4:$D$962,"未找到箱规")</f>
        <v>29</v>
      </c>
      <c r="P952" s="275" t="str">
        <f>IF(COUNTIF('PO Check'!A:A,D952)&gt;0,"Yes","No")</f>
        <v>Yes</v>
      </c>
      <c r="Q952" s="124" t="str" cm="1">
        <f t="array" ref="Q952">_xlfn.XLOOKUP(1,('Case Pack'!$A$4:$A$962=C952)*('Case Pack'!$L$4:$L$962&gt;0)*('Case Pack'!$L$4:$L$962&lt;=A952),'Case Pack'!$G$4:$G$962,"未找到箱型")</f>
        <v>C</v>
      </c>
      <c r="R952" s="275">
        <f>ROUND(IFERROR(VLOOKUP(Q952,'Case Type'!A:H,8,0),0)*O952,2)</f>
        <v>4.56</v>
      </c>
    </row>
    <row r="953" spans="1:18">
      <c r="A953" s="271">
        <v>46321</v>
      </c>
      <c r="B953" s="91" t="str">
        <f>_xlfn.XLOOKUP(C953,'Product List'!B:B,'Product List'!I:I)</f>
        <v>MINI/MOE TV VIEWING CAGE</v>
      </c>
      <c r="C953" s="235" t="s">
        <v>50</v>
      </c>
      <c r="D953" s="233" t="s">
        <v>371</v>
      </c>
      <c r="E953" s="272">
        <v>109</v>
      </c>
      <c r="F953" s="272">
        <v>51.71</v>
      </c>
      <c r="G953" s="125">
        <f t="shared" si="30"/>
        <v>5636.39</v>
      </c>
      <c r="H953" s="235" t="s">
        <v>306</v>
      </c>
      <c r="I953" s="273" t="s">
        <v>92</v>
      </c>
      <c r="J953" s="235" t="s">
        <v>307</v>
      </c>
      <c r="K953" s="274">
        <v>46342</v>
      </c>
      <c r="L953" s="274"/>
      <c r="M953" s="127">
        <f>_xlfn.XLOOKUP(C953,'Product List'!B:B,'Product List'!R:R)</f>
        <v>24.09</v>
      </c>
      <c r="N953" s="124">
        <f t="shared" si="31"/>
        <v>2625.81</v>
      </c>
      <c r="O953" s="124" cm="1">
        <f t="array" ref="O953">E953/_xlfn.XLOOKUP(1,('Case Pack'!$A$4:$A$962=C953)*('Case Pack'!$L$4:$L$962&gt;0)*('Case Pack'!$L$4:$L$962&lt;=A953),'Case Pack'!$D$4:$D$962,"未找到箱规")</f>
        <v>109</v>
      </c>
      <c r="P953" s="275" t="str">
        <f>IF(COUNTIF('PO Check'!A:A,D953)&gt;0,"Yes","No")</f>
        <v>Yes</v>
      </c>
      <c r="Q953" s="124" t="str" cm="1">
        <f t="array" ref="Q953">_xlfn.XLOOKUP(1,('Case Pack'!$A$4:$A$962=C953)*('Case Pack'!$L$4:$L$962&gt;0)*('Case Pack'!$L$4:$L$962&lt;=A953),'Case Pack'!$G$4:$G$962,"未找到箱型")</f>
        <v>S1</v>
      </c>
      <c r="R953" s="275">
        <f>ROUND(IFERROR(VLOOKUP(Q953,'Case Type'!A:H,8,0),0)*O953,2)</f>
        <v>8.07</v>
      </c>
    </row>
    <row r="954" spans="1:18">
      <c r="A954" s="271">
        <v>46321</v>
      </c>
      <c r="B954" s="91" t="str">
        <f>_xlfn.XLOOKUP(C954,'Product List'!B:B,'Product List'!I:I)</f>
        <v>MINI/MOE MUSHROOM CABIN</v>
      </c>
      <c r="C954" s="235" t="s">
        <v>39</v>
      </c>
      <c r="D954" s="233" t="s">
        <v>371</v>
      </c>
      <c r="E954" s="272">
        <v>64</v>
      </c>
      <c r="F954" s="272">
        <v>6.98</v>
      </c>
      <c r="G954" s="125">
        <f t="shared" si="30"/>
        <v>446.72</v>
      </c>
      <c r="H954" s="235" t="s">
        <v>306</v>
      </c>
      <c r="I954" s="273" t="s">
        <v>92</v>
      </c>
      <c r="J954" s="235" t="s">
        <v>307</v>
      </c>
      <c r="K954" s="274">
        <v>46342</v>
      </c>
      <c r="L954" s="274"/>
      <c r="M954" s="127">
        <f>_xlfn.XLOOKUP(C954,'Product List'!B:B,'Product List'!R:R)</f>
        <v>3.2</v>
      </c>
      <c r="N954" s="124">
        <f t="shared" si="31"/>
        <v>204.8</v>
      </c>
      <c r="O954" s="124" cm="1">
        <f t="array" ref="O954">E954/_xlfn.XLOOKUP(1,('Case Pack'!$A$4:$A$962=C954)*('Case Pack'!$L$4:$L$962&gt;0)*('Case Pack'!$L$4:$L$962&lt;=A954),'Case Pack'!$D$4:$D$962,"未找到箱规")</f>
        <v>4</v>
      </c>
      <c r="P954" s="275" t="str">
        <f>IF(COUNTIF('PO Check'!A:A,D954)&gt;0,"Yes","No")</f>
        <v>Yes</v>
      </c>
      <c r="Q954" s="124" t="str" cm="1">
        <f t="array" ref="Q954">_xlfn.XLOOKUP(1,('Case Pack'!$A$4:$A$962=C954)*('Case Pack'!$L$4:$L$962&gt;0)*('Case Pack'!$L$4:$L$962&lt;=A954),'Case Pack'!$G$4:$G$962,"未找到箱型")</f>
        <v>C</v>
      </c>
      <c r="R954" s="275">
        <f>ROUND(IFERROR(VLOOKUP(Q954,'Case Type'!A:H,8,0),0)*O954,2)</f>
        <v>0.63</v>
      </c>
    </row>
    <row r="955" spans="1:18">
      <c r="A955" s="271">
        <v>46321</v>
      </c>
      <c r="B955" s="91" t="str">
        <f>_xlfn.XLOOKUP(C955,'Product List'!B:B,'Product List'!I:I)</f>
        <v>MINI/MOE WOODLAND POTTY</v>
      </c>
      <c r="C955" s="235" t="s">
        <v>79</v>
      </c>
      <c r="D955" s="233" t="s">
        <v>371</v>
      </c>
      <c r="E955" s="272">
        <v>36</v>
      </c>
      <c r="F955" s="272">
        <v>2.61</v>
      </c>
      <c r="G955" s="125">
        <f t="shared" si="30"/>
        <v>93.96</v>
      </c>
      <c r="H955" s="235" t="s">
        <v>306</v>
      </c>
      <c r="I955" s="273" t="s">
        <v>92</v>
      </c>
      <c r="J955" s="235" t="s">
        <v>307</v>
      </c>
      <c r="K955" s="274">
        <v>46342</v>
      </c>
      <c r="L955" s="274"/>
      <c r="M955" s="127">
        <f>_xlfn.XLOOKUP(C955,'Product List'!B:B,'Product List'!R:R)</f>
        <v>1.19</v>
      </c>
      <c r="N955" s="124">
        <f t="shared" si="31"/>
        <v>42.84</v>
      </c>
      <c r="O955" s="124" cm="1">
        <f t="array" ref="O955">E955/_xlfn.XLOOKUP(1,('Case Pack'!$A$4:$A$962=C955)*('Case Pack'!$L$4:$L$962&gt;0)*('Case Pack'!$L$4:$L$962&lt;=A955),'Case Pack'!$D$4:$D$962,"未找到箱规")</f>
        <v>1</v>
      </c>
      <c r="P955" s="275" t="str">
        <f>IF(COUNTIF('PO Check'!A:A,D955)&gt;0,"Yes","No")</f>
        <v>Yes</v>
      </c>
      <c r="Q955" s="124" t="str" cm="1">
        <f t="array" ref="Q955">_xlfn.XLOOKUP(1,('Case Pack'!$A$4:$A$962=C955)*('Case Pack'!$L$4:$L$962&gt;0)*('Case Pack'!$L$4:$L$962&lt;=A955),'Case Pack'!$G$4:$G$962,"未找到箱型")</f>
        <v>C</v>
      </c>
      <c r="R955" s="275">
        <f>ROUND(IFERROR(VLOOKUP(Q955,'Case Type'!A:H,8,0),0)*O955,2)</f>
        <v>0.16</v>
      </c>
    </row>
    <row r="956" spans="1:18">
      <c r="A956" s="271">
        <v>46323</v>
      </c>
      <c r="B956" s="91" t="str">
        <f>_xlfn.XLOOKUP(C956,'Product List'!B:B,'Product List'!I:I)</f>
        <v>MINI/MOE SILENT CRSTL RUN WHEEL LG 8.5-White</v>
      </c>
      <c r="C956" s="235" t="s">
        <v>29</v>
      </c>
      <c r="D956" s="235">
        <v>32467640</v>
      </c>
      <c r="E956" s="235">
        <v>264</v>
      </c>
      <c r="F956" s="235">
        <v>13.22</v>
      </c>
      <c r="G956" s="125">
        <f t="shared" ref="G956:G979" si="32">E956*F956</f>
        <v>3490.08</v>
      </c>
      <c r="H956" s="135" t="s">
        <v>298</v>
      </c>
      <c r="I956" s="86" t="s">
        <v>92</v>
      </c>
      <c r="J956" s="235" t="s">
        <v>322</v>
      </c>
      <c r="K956" s="274">
        <v>46360</v>
      </c>
      <c r="L956" s="274"/>
      <c r="M956" s="127">
        <f>_xlfn.XLOOKUP(C956,'Product List'!B:B,'Product List'!R:R)</f>
        <v>6.27</v>
      </c>
      <c r="N956" s="124">
        <f t="shared" ref="N956:N979" si="33">M956*E956</f>
        <v>1655.28</v>
      </c>
      <c r="O956" s="124" cm="1">
        <f t="array" ref="O956">E956/_xlfn.XLOOKUP(1,('Case Pack'!$A$4:$A$962=C956)*('Case Pack'!$L$4:$L$962&gt;0)*('Case Pack'!$L$4:$L$962&lt;=A956),'Case Pack'!$D$4:$D$962,"未找到箱规")</f>
        <v>33</v>
      </c>
      <c r="P956" s="275" t="str">
        <f>IF(COUNTIF('PO Check'!A:A,D956)&gt;0,"Yes","No")</f>
        <v>Yes</v>
      </c>
      <c r="Q956" s="124" t="str" cm="1">
        <f t="array" ref="Q956">_xlfn.XLOOKUP(1,('Case Pack'!$A$4:$A$962=C956)*('Case Pack'!$L$4:$L$962&gt;0)*('Case Pack'!$L$4:$L$962&lt;=A956),'Case Pack'!$G$4:$G$962,"未找到箱型")</f>
        <v>C</v>
      </c>
      <c r="R956" s="275">
        <f>ROUND(IFERROR(VLOOKUP(Q956,'Case Type'!A:H,8,0),0)*O956,2)</f>
        <v>5.19</v>
      </c>
    </row>
    <row r="957" spans="1:18">
      <c r="A957" s="271">
        <v>46323</v>
      </c>
      <c r="B957" s="91" t="str">
        <f>_xlfn.XLOOKUP(C957,'Product List'!B:B,'Product List'!I:I)</f>
        <v>MMO-GREEN APPLE CHEW</v>
      </c>
      <c r="C957" s="235" t="s">
        <v>33</v>
      </c>
      <c r="D957" s="235">
        <v>32467640</v>
      </c>
      <c r="E957" s="235">
        <v>384</v>
      </c>
      <c r="F957" s="235">
        <v>1.53</v>
      </c>
      <c r="G957" s="125">
        <f t="shared" si="32"/>
        <v>587.52</v>
      </c>
      <c r="H957" s="135" t="s">
        <v>298</v>
      </c>
      <c r="I957" s="86" t="s">
        <v>92</v>
      </c>
      <c r="J957" s="235" t="s">
        <v>322</v>
      </c>
      <c r="K957" s="274">
        <v>46360</v>
      </c>
      <c r="L957" s="274"/>
      <c r="M957" s="127">
        <f>_xlfn.XLOOKUP(C957,'Product List'!B:B,'Product List'!R:R)</f>
        <v>1.04</v>
      </c>
      <c r="N957" s="124">
        <f t="shared" si="33"/>
        <v>399.36</v>
      </c>
      <c r="O957" s="124" cm="1">
        <f t="array" ref="O957">E957/_xlfn.XLOOKUP(1,('Case Pack'!$A$4:$A$962=C957)*('Case Pack'!$L$4:$L$962&gt;0)*('Case Pack'!$L$4:$L$962&lt;=A957),'Case Pack'!$D$4:$D$962,"未找到箱规")</f>
        <v>8</v>
      </c>
      <c r="P957" s="275" t="str">
        <f>IF(COUNTIF('PO Check'!A:A,D957)&gt;0,"Yes","No")</f>
        <v>Yes</v>
      </c>
      <c r="Q957" s="124" t="str" cm="1">
        <f t="array" ref="Q957">_xlfn.XLOOKUP(1,('Case Pack'!$A$4:$A$962=C957)*('Case Pack'!$L$4:$L$962&gt;0)*('Case Pack'!$L$4:$L$962&lt;=A957),'Case Pack'!$G$4:$G$962,"未找到箱型")</f>
        <v>B</v>
      </c>
      <c r="R957" s="275">
        <f>ROUND(IFERROR(VLOOKUP(Q957,'Case Type'!A:H,8,0),0)*O957,2)</f>
        <v>0.59</v>
      </c>
    </row>
    <row r="958" spans="1:18">
      <c r="A958" s="271">
        <v>46323</v>
      </c>
      <c r="B958" s="91" t="str">
        <f>_xlfn.XLOOKUP(C958,'Product List'!B:B,'Product List'!I:I)</f>
        <v>MMO-CAMP LUNCH BOX CHEW</v>
      </c>
      <c r="C958" s="235" t="s">
        <v>34</v>
      </c>
      <c r="D958" s="235">
        <v>32467640</v>
      </c>
      <c r="E958" s="235">
        <v>504</v>
      </c>
      <c r="F958" s="235">
        <v>2.48</v>
      </c>
      <c r="G958" s="125">
        <f t="shared" si="32"/>
        <v>1249.92</v>
      </c>
      <c r="H958" s="135" t="s">
        <v>298</v>
      </c>
      <c r="I958" s="86" t="s">
        <v>92</v>
      </c>
      <c r="J958" s="235" t="s">
        <v>322</v>
      </c>
      <c r="K958" s="274">
        <v>46360</v>
      </c>
      <c r="L958" s="274"/>
      <c r="M958" s="127">
        <f>_xlfn.XLOOKUP(C958,'Product List'!B:B,'Product List'!R:R)</f>
        <v>1.59</v>
      </c>
      <c r="N958" s="124">
        <f t="shared" si="33"/>
        <v>801.36</v>
      </c>
      <c r="O958" s="124" cm="1">
        <f t="array" ref="O958">E958/_xlfn.XLOOKUP(1,('Case Pack'!$A$4:$A$962=C958)*('Case Pack'!$L$4:$L$962&gt;0)*('Case Pack'!$L$4:$L$962&lt;=A958),'Case Pack'!$D$4:$D$962,"未找到箱规")</f>
        <v>7</v>
      </c>
      <c r="P958" s="275" t="str">
        <f>IF(COUNTIF('PO Check'!A:A,D958)&gt;0,"Yes","No")</f>
        <v>Yes</v>
      </c>
      <c r="Q958" s="124" t="str" cm="1">
        <f t="array" ref="Q958">_xlfn.XLOOKUP(1,('Case Pack'!$A$4:$A$962=C958)*('Case Pack'!$L$4:$L$962&gt;0)*('Case Pack'!$L$4:$L$962&lt;=A958),'Case Pack'!$G$4:$G$962,"未找到箱型")</f>
        <v>B</v>
      </c>
      <c r="R958" s="275">
        <f>ROUND(IFERROR(VLOOKUP(Q958,'Case Type'!A:H,8,0),0)*O958,2)</f>
        <v>0.51</v>
      </c>
    </row>
    <row r="959" spans="1:18">
      <c r="A959" s="271">
        <v>46323</v>
      </c>
      <c r="B959" s="91" t="str">
        <f>_xlfn.XLOOKUP(C959,'Product List'!B:B,'Product List'!I:I)</f>
        <v>MINI/MOE TV VIEWING CAGE</v>
      </c>
      <c r="C959" s="235" t="s">
        <v>50</v>
      </c>
      <c r="D959" s="235">
        <v>32467640</v>
      </c>
      <c r="E959" s="235">
        <v>201</v>
      </c>
      <c r="F959" s="235">
        <v>48.49</v>
      </c>
      <c r="G959" s="125">
        <f t="shared" si="32"/>
        <v>9746.49</v>
      </c>
      <c r="H959" s="135" t="s">
        <v>298</v>
      </c>
      <c r="I959" s="86" t="s">
        <v>92</v>
      </c>
      <c r="J959" s="235" t="s">
        <v>322</v>
      </c>
      <c r="K959" s="274">
        <v>46360</v>
      </c>
      <c r="L959" s="274"/>
      <c r="M959" s="127">
        <f>_xlfn.XLOOKUP(C959,'Product List'!B:B,'Product List'!R:R)</f>
        <v>24.09</v>
      </c>
      <c r="N959" s="124">
        <f t="shared" si="33"/>
        <v>4842.09</v>
      </c>
      <c r="O959" s="124" cm="1">
        <f t="array" ref="O959">E959/_xlfn.XLOOKUP(1,('Case Pack'!$A$4:$A$962=C959)*('Case Pack'!$L$4:$L$962&gt;0)*('Case Pack'!$L$4:$L$962&lt;=A959),'Case Pack'!$D$4:$D$962,"未找到箱规")</f>
        <v>201</v>
      </c>
      <c r="P959" s="275" t="str">
        <f>IF(COUNTIF('PO Check'!A:A,D959)&gt;0,"Yes","No")</f>
        <v>Yes</v>
      </c>
      <c r="Q959" s="124" t="str" cm="1">
        <f t="array" ref="Q959">_xlfn.XLOOKUP(1,('Case Pack'!$A$4:$A$962=C959)*('Case Pack'!$L$4:$L$962&gt;0)*('Case Pack'!$L$4:$L$962&lt;=A959),'Case Pack'!$G$4:$G$962,"未找到箱型")</f>
        <v>S1</v>
      </c>
      <c r="R959" s="275">
        <f>ROUND(IFERROR(VLOOKUP(Q959,'Case Type'!A:H,8,0),0)*O959,2)</f>
        <v>14.87</v>
      </c>
    </row>
    <row r="960" spans="1:18">
      <c r="A960" s="271">
        <v>46323</v>
      </c>
      <c r="B960" s="91" t="str">
        <f>_xlfn.XLOOKUP(C960,'Product List'!B:B,'Product List'!I:I)</f>
        <v>MMO-STARFISH CASTLE</v>
      </c>
      <c r="C960" s="235" t="s">
        <v>60</v>
      </c>
      <c r="D960" s="235">
        <v>32467640</v>
      </c>
      <c r="E960" s="235">
        <v>120</v>
      </c>
      <c r="F960" s="235">
        <v>5.32</v>
      </c>
      <c r="G960" s="125">
        <f t="shared" si="32"/>
        <v>638.4</v>
      </c>
      <c r="H960" s="135" t="s">
        <v>298</v>
      </c>
      <c r="I960" s="86" t="s">
        <v>92</v>
      </c>
      <c r="J960" s="235" t="s">
        <v>322</v>
      </c>
      <c r="K960" s="274">
        <v>46360</v>
      </c>
      <c r="L960" s="274"/>
      <c r="M960" s="127">
        <f>_xlfn.XLOOKUP(C960,'Product List'!B:B,'Product List'!R:R)</f>
        <v>2.81</v>
      </c>
      <c r="N960" s="124">
        <f t="shared" si="33"/>
        <v>337.2</v>
      </c>
      <c r="O960" s="124" cm="1">
        <f t="array" ref="O960">E960/_xlfn.XLOOKUP(1,('Case Pack'!$A$4:$A$962=C960)*('Case Pack'!$L$4:$L$962&gt;0)*('Case Pack'!$L$4:$L$962&lt;=A960),'Case Pack'!$D$4:$D$962,"未找到箱规")</f>
        <v>6</v>
      </c>
      <c r="P960" s="275" t="str">
        <f>IF(COUNTIF('PO Check'!A:A,D960)&gt;0,"Yes","No")</f>
        <v>Yes</v>
      </c>
      <c r="Q960" s="124" t="str" cm="1">
        <f t="array" ref="Q960">_xlfn.XLOOKUP(1,('Case Pack'!$A$4:$A$962=C960)*('Case Pack'!$L$4:$L$962&gt;0)*('Case Pack'!$L$4:$L$962&lt;=A960),'Case Pack'!$G$4:$G$962,"未找到箱型")</f>
        <v>C</v>
      </c>
      <c r="R960" s="275">
        <f>ROUND(IFERROR(VLOOKUP(Q960,'Case Type'!A:H,8,0),0)*O960,2)</f>
        <v>0.94</v>
      </c>
    </row>
    <row r="961" spans="1:18">
      <c r="A961" s="271">
        <v>46323</v>
      </c>
      <c r="B961" s="91" t="str">
        <f>_xlfn.XLOOKUP(C961,'Product List'!B:B,'Product List'!I:I)</f>
        <v>MMO-BUBBLE WATER BOTTLE</v>
      </c>
      <c r="C961" s="235" t="s">
        <v>67</v>
      </c>
      <c r="D961" s="235">
        <v>32467640</v>
      </c>
      <c r="E961" s="235">
        <v>798</v>
      </c>
      <c r="F961" s="235">
        <v>4.35</v>
      </c>
      <c r="G961" s="125">
        <f t="shared" si="32"/>
        <v>3471.3</v>
      </c>
      <c r="H961" s="135" t="s">
        <v>298</v>
      </c>
      <c r="I961" s="86" t="s">
        <v>92</v>
      </c>
      <c r="J961" s="235" t="s">
        <v>322</v>
      </c>
      <c r="K961" s="274">
        <v>46360</v>
      </c>
      <c r="L961" s="274"/>
      <c r="M961" s="127">
        <f>_xlfn.XLOOKUP(C961,'Product List'!B:B,'Product List'!R:R)</f>
        <v>3.1</v>
      </c>
      <c r="N961" s="124">
        <f t="shared" si="33"/>
        <v>2473.8</v>
      </c>
      <c r="O961" s="124" cm="1">
        <f t="array" ref="O961">E961/_xlfn.XLOOKUP(1,('Case Pack'!$A$4:$A$962=C961)*('Case Pack'!$L$4:$L$962&gt;0)*('Case Pack'!$L$4:$L$962&lt;=A961),'Case Pack'!$D$4:$D$962,"未找到箱规")</f>
        <v>19</v>
      </c>
      <c r="P961" s="275" t="str">
        <f>IF(COUNTIF('PO Check'!A:A,D961)&gt;0,"Yes","No")</f>
        <v>Yes</v>
      </c>
      <c r="Q961" s="124" t="str" cm="1">
        <f t="array" ref="Q961">_xlfn.XLOOKUP(1,('Case Pack'!$A$4:$A$962=C961)*('Case Pack'!$L$4:$L$962&gt;0)*('Case Pack'!$L$4:$L$962&lt;=A961),'Case Pack'!$G$4:$G$962,"未找到箱型")</f>
        <v>C</v>
      </c>
      <c r="R961" s="275">
        <f>ROUND(IFERROR(VLOOKUP(Q961,'Case Type'!A:H,8,0),0)*O961,2)</f>
        <v>2.99</v>
      </c>
    </row>
    <row r="962" spans="1:18">
      <c r="A962" s="271">
        <v>46323</v>
      </c>
      <c r="B962" s="91" t="str">
        <f>_xlfn.XLOOKUP(C962,'Product List'!B:B,'Product List'!I:I)</f>
        <v>MMO-CLOUD WATER BOTTLE</v>
      </c>
      <c r="C962" s="235" t="s">
        <v>77</v>
      </c>
      <c r="D962" s="235">
        <v>32467640</v>
      </c>
      <c r="E962" s="235">
        <v>700</v>
      </c>
      <c r="F962" s="235">
        <v>1.32</v>
      </c>
      <c r="G962" s="125">
        <f t="shared" si="32"/>
        <v>924</v>
      </c>
      <c r="H962" s="135" t="s">
        <v>298</v>
      </c>
      <c r="I962" s="86" t="s">
        <v>92</v>
      </c>
      <c r="J962" s="235" t="s">
        <v>322</v>
      </c>
      <c r="K962" s="274">
        <v>46360</v>
      </c>
      <c r="L962" s="274"/>
      <c r="M962" s="127">
        <f>_xlfn.XLOOKUP(C962,'Product List'!B:B,'Product List'!R:R)</f>
        <v>0.62</v>
      </c>
      <c r="N962" s="124">
        <f t="shared" si="33"/>
        <v>434</v>
      </c>
      <c r="O962" s="124" cm="1">
        <f t="array" ref="O962">E962/_xlfn.XLOOKUP(1,('Case Pack'!$A$4:$A$962=C962)*('Case Pack'!$L$4:$L$962&gt;0)*('Case Pack'!$L$4:$L$962&lt;=A962),'Case Pack'!$D$4:$D$962,"未找到箱规")</f>
        <v>14</v>
      </c>
      <c r="P962" s="275" t="str">
        <f>IF(COUNTIF('PO Check'!A:A,D962)&gt;0,"Yes","No")</f>
        <v>Yes</v>
      </c>
      <c r="Q962" s="124" t="str" cm="1">
        <f t="array" ref="Q962">_xlfn.XLOOKUP(1,('Case Pack'!$A$4:$A$962=C962)*('Case Pack'!$L$4:$L$962&gt;0)*('Case Pack'!$L$4:$L$962&lt;=A962),'Case Pack'!$G$4:$G$962,"未找到箱型")</f>
        <v>A</v>
      </c>
      <c r="R962" s="275">
        <f>ROUND(IFERROR(VLOOKUP(Q962,'Case Type'!A:H,8,0),0)*O962,2)</f>
        <v>1.54</v>
      </c>
    </row>
    <row r="963" spans="1:18">
      <c r="A963" s="271">
        <v>46323</v>
      </c>
      <c r="B963" s="91" t="str">
        <f>_xlfn.XLOOKUP(C963,'Product List'!B:B,'Product List'!I:I)</f>
        <v>MINI/MOE RUFFLE BOWL</v>
      </c>
      <c r="C963" s="235" t="s">
        <v>78</v>
      </c>
      <c r="D963" s="235">
        <v>32467640</v>
      </c>
      <c r="E963" s="235">
        <v>192</v>
      </c>
      <c r="F963" s="235">
        <v>2.35</v>
      </c>
      <c r="G963" s="125">
        <f t="shared" si="32"/>
        <v>451.2</v>
      </c>
      <c r="H963" s="135" t="s">
        <v>298</v>
      </c>
      <c r="I963" s="86" t="s">
        <v>92</v>
      </c>
      <c r="J963" s="235" t="s">
        <v>316</v>
      </c>
      <c r="K963" s="274">
        <v>46363</v>
      </c>
      <c r="L963" s="274"/>
      <c r="M963" s="127">
        <f>_xlfn.XLOOKUP(C963,'Product List'!B:B,'Product List'!R:R)</f>
        <v>1.34</v>
      </c>
      <c r="N963" s="124">
        <f t="shared" si="33"/>
        <v>257.28</v>
      </c>
      <c r="O963" s="124" cm="1">
        <f t="array" ref="O963">E963/_xlfn.XLOOKUP(1,('Case Pack'!$A$4:$A$962=C963)*('Case Pack'!$L$4:$L$962&gt;0)*('Case Pack'!$L$4:$L$962&lt;=A963),'Case Pack'!$D$4:$D$962,"未找到箱规")</f>
        <v>4</v>
      </c>
      <c r="P963" s="275" t="str">
        <f>IF(COUNTIF('PO Check'!A:A,D963)&gt;0,"Yes","No")</f>
        <v>Yes</v>
      </c>
      <c r="Q963" s="124" t="str" cm="1">
        <f t="array" ref="Q963">_xlfn.XLOOKUP(1,('Case Pack'!$A$4:$A$962=C963)*('Case Pack'!$L$4:$L$962&gt;0)*('Case Pack'!$L$4:$L$962&lt;=A963),'Case Pack'!$G$4:$G$962,"未找到箱型")</f>
        <v>B</v>
      </c>
      <c r="R963" s="275">
        <f>ROUND(IFERROR(VLOOKUP(Q963,'Case Type'!A:H,8,0),0)*O963,2)</f>
        <v>0.29</v>
      </c>
    </row>
    <row r="964" spans="1:18">
      <c r="A964" s="271">
        <v>46323</v>
      </c>
      <c r="B964" s="91" t="str">
        <f>_xlfn.XLOOKUP(C964,'Product List'!B:B,'Product List'!I:I)</f>
        <v>MMO-PAPER PEBBLES</v>
      </c>
      <c r="C964" s="235" t="s">
        <v>81</v>
      </c>
      <c r="D964" s="235">
        <v>32467640</v>
      </c>
      <c r="E964" s="235">
        <v>60</v>
      </c>
      <c r="F964" s="235">
        <v>5.81</v>
      </c>
      <c r="G964" s="125">
        <f t="shared" si="32"/>
        <v>348.6</v>
      </c>
      <c r="H964" s="135" t="s">
        <v>298</v>
      </c>
      <c r="I964" s="86" t="s">
        <v>92</v>
      </c>
      <c r="J964" s="235" t="s">
        <v>316</v>
      </c>
      <c r="K964" s="274">
        <v>46363</v>
      </c>
      <c r="L964" s="274"/>
      <c r="M964" s="127">
        <f>_xlfn.XLOOKUP(C964,'Product List'!B:B,'Product List'!R:R)</f>
        <v>2.84</v>
      </c>
      <c r="N964" s="124">
        <f t="shared" si="33"/>
        <v>170.4</v>
      </c>
      <c r="O964" s="124" cm="1">
        <f t="array" ref="O964">E964/_xlfn.XLOOKUP(1,('Case Pack'!$A$4:$A$962=C964)*('Case Pack'!$L$4:$L$962&gt;0)*('Case Pack'!$L$4:$L$962&lt;=A964),'Case Pack'!$D$4:$D$962,"未找到箱规")</f>
        <v>5</v>
      </c>
      <c r="P964" s="275" t="str">
        <f>IF(COUNTIF('PO Check'!A:A,D964)&gt;0,"Yes","No")</f>
        <v>Yes</v>
      </c>
      <c r="Q964" s="124" t="str" cm="1">
        <f t="array" ref="Q964">_xlfn.XLOOKUP(1,('Case Pack'!$A$4:$A$962=C964)*('Case Pack'!$L$4:$L$962&gt;0)*('Case Pack'!$L$4:$L$962&lt;=A964),'Case Pack'!$G$4:$G$962,"未找到箱型")</f>
        <v>B</v>
      </c>
      <c r="R964" s="275">
        <f>ROUND(IFERROR(VLOOKUP(Q964,'Case Type'!A:H,8,0),0)*O964,2)</f>
        <v>0.37</v>
      </c>
    </row>
    <row r="965" spans="1:18">
      <c r="A965" s="271">
        <v>46323</v>
      </c>
      <c r="B965" s="91" t="str">
        <f>_xlfn.XLOOKUP(C965,'Product List'!B:B,'Product List'!I:I)</f>
        <v>MINI/MOE SILENT CRSTL RUN WHEEL LG 8.5-White</v>
      </c>
      <c r="C965" s="235" t="s">
        <v>29</v>
      </c>
      <c r="D965" s="235">
        <v>32467641</v>
      </c>
      <c r="E965" s="235">
        <v>192</v>
      </c>
      <c r="F965" s="235">
        <v>13.22</v>
      </c>
      <c r="G965" s="125">
        <f t="shared" si="32"/>
        <v>2538.24</v>
      </c>
      <c r="H965" s="135" t="s">
        <v>298</v>
      </c>
      <c r="I965" s="86" t="s">
        <v>92</v>
      </c>
      <c r="J965" s="235" t="s">
        <v>316</v>
      </c>
      <c r="K965" s="274">
        <v>46363</v>
      </c>
      <c r="L965" s="274"/>
      <c r="M965" s="127">
        <f>_xlfn.XLOOKUP(C965,'Product List'!B:B,'Product List'!R:R)</f>
        <v>6.27</v>
      </c>
      <c r="N965" s="124">
        <f t="shared" si="33"/>
        <v>1203.84</v>
      </c>
      <c r="O965" s="124" cm="1">
        <f t="array" ref="O965">E965/_xlfn.XLOOKUP(1,('Case Pack'!$A$4:$A$962=C965)*('Case Pack'!$L$4:$L$962&gt;0)*('Case Pack'!$L$4:$L$962&lt;=A965),'Case Pack'!$D$4:$D$962,"未找到箱规")</f>
        <v>24</v>
      </c>
      <c r="P965" s="275" t="str">
        <f>IF(COUNTIF('PO Check'!A:A,D965)&gt;0,"Yes","No")</f>
        <v>Yes</v>
      </c>
      <c r="Q965" s="124" t="str" cm="1">
        <f t="array" ref="Q965">_xlfn.XLOOKUP(1,('Case Pack'!$A$4:$A$962=C965)*('Case Pack'!$L$4:$L$962&gt;0)*('Case Pack'!$L$4:$L$962&lt;=A965),'Case Pack'!$G$4:$G$962,"未找到箱型")</f>
        <v>C</v>
      </c>
      <c r="R965" s="275">
        <f>ROUND(IFERROR(VLOOKUP(Q965,'Case Type'!A:H,8,0),0)*O965,2)</f>
        <v>3.78</v>
      </c>
    </row>
    <row r="966" spans="1:18">
      <c r="A966" s="271">
        <v>46323</v>
      </c>
      <c r="B966" s="91" t="str">
        <f>_xlfn.XLOOKUP(C966,'Product List'!B:B,'Product List'!I:I)</f>
        <v>MMO-GREEN APPLE CHEW</v>
      </c>
      <c r="C966" s="235" t="s">
        <v>33</v>
      </c>
      <c r="D966" s="235">
        <v>32467641</v>
      </c>
      <c r="E966" s="235">
        <v>96</v>
      </c>
      <c r="F966" s="235">
        <v>1.53</v>
      </c>
      <c r="G966" s="125">
        <f t="shared" si="32"/>
        <v>146.88</v>
      </c>
      <c r="H966" s="135" t="s">
        <v>298</v>
      </c>
      <c r="I966" s="86" t="s">
        <v>92</v>
      </c>
      <c r="J966" s="235" t="s">
        <v>316</v>
      </c>
      <c r="K966" s="274">
        <v>46363</v>
      </c>
      <c r="L966" s="274"/>
      <c r="M966" s="127">
        <f>_xlfn.XLOOKUP(C966,'Product List'!B:B,'Product List'!R:R)</f>
        <v>1.04</v>
      </c>
      <c r="N966" s="124">
        <f t="shared" si="33"/>
        <v>99.84</v>
      </c>
      <c r="O966" s="124" cm="1">
        <f t="array" ref="O966">E966/_xlfn.XLOOKUP(1,('Case Pack'!$A$4:$A$962=C966)*('Case Pack'!$L$4:$L$962&gt;0)*('Case Pack'!$L$4:$L$962&lt;=A966),'Case Pack'!$D$4:$D$962,"未找到箱规")</f>
        <v>2</v>
      </c>
      <c r="P966" s="275" t="str">
        <f>IF(COUNTIF('PO Check'!A:A,D966)&gt;0,"Yes","No")</f>
        <v>Yes</v>
      </c>
      <c r="Q966" s="124" t="str" cm="1">
        <f t="array" ref="Q966">_xlfn.XLOOKUP(1,('Case Pack'!$A$4:$A$962=C966)*('Case Pack'!$L$4:$L$962&gt;0)*('Case Pack'!$L$4:$L$962&lt;=A966),'Case Pack'!$G$4:$G$962,"未找到箱型")</f>
        <v>B</v>
      </c>
      <c r="R966" s="275">
        <f>ROUND(IFERROR(VLOOKUP(Q966,'Case Type'!A:H,8,0),0)*O966,2)</f>
        <v>0.15</v>
      </c>
    </row>
    <row r="967" spans="1:18">
      <c r="A967" s="271">
        <v>46323</v>
      </c>
      <c r="B967" s="91" t="str">
        <f>_xlfn.XLOOKUP(C967,'Product List'!B:B,'Product List'!I:I)</f>
        <v>MMO-CAMP LUNCH BOX CHEW</v>
      </c>
      <c r="C967" s="235" t="s">
        <v>34</v>
      </c>
      <c r="D967" s="235">
        <v>32467641</v>
      </c>
      <c r="E967" s="235">
        <v>72</v>
      </c>
      <c r="F967" s="235">
        <v>2.48</v>
      </c>
      <c r="G967" s="125">
        <f t="shared" si="32"/>
        <v>178.56</v>
      </c>
      <c r="H967" s="135" t="s">
        <v>298</v>
      </c>
      <c r="I967" s="86" t="s">
        <v>92</v>
      </c>
      <c r="J967" s="235" t="s">
        <v>316</v>
      </c>
      <c r="K967" s="274">
        <v>46363</v>
      </c>
      <c r="L967" s="274"/>
      <c r="M967" s="127">
        <f>_xlfn.XLOOKUP(C967,'Product List'!B:B,'Product List'!R:R)</f>
        <v>1.59</v>
      </c>
      <c r="N967" s="124">
        <f t="shared" si="33"/>
        <v>114.48</v>
      </c>
      <c r="O967" s="124" cm="1">
        <f t="array" ref="O967">E967/_xlfn.XLOOKUP(1,('Case Pack'!$A$4:$A$962=C967)*('Case Pack'!$L$4:$L$962&gt;0)*('Case Pack'!$L$4:$L$962&lt;=A967),'Case Pack'!$D$4:$D$962,"未找到箱规")</f>
        <v>1</v>
      </c>
      <c r="P967" s="275" t="str">
        <f>IF(COUNTIF('PO Check'!A:A,D967)&gt;0,"Yes","No")</f>
        <v>Yes</v>
      </c>
      <c r="Q967" s="124" t="str" cm="1">
        <f t="array" ref="Q967">_xlfn.XLOOKUP(1,('Case Pack'!$A$4:$A$962=C967)*('Case Pack'!$L$4:$L$962&gt;0)*('Case Pack'!$L$4:$L$962&lt;=A967),'Case Pack'!$G$4:$G$962,"未找到箱型")</f>
        <v>B</v>
      </c>
      <c r="R967" s="275">
        <f>ROUND(IFERROR(VLOOKUP(Q967,'Case Type'!A:H,8,0),0)*O967,2)</f>
        <v>0.07</v>
      </c>
    </row>
    <row r="968" spans="1:18">
      <c r="A968" s="271">
        <v>46323</v>
      </c>
      <c r="B968" s="91" t="str">
        <f>_xlfn.XLOOKUP(C968,'Product List'!B:B,'Product List'!I:I)</f>
        <v>MINI/MOE TV VIEWING CAGE</v>
      </c>
      <c r="C968" s="235" t="s">
        <v>50</v>
      </c>
      <c r="D968" s="235">
        <v>32467641</v>
      </c>
      <c r="E968" s="235">
        <v>284</v>
      </c>
      <c r="F968" s="235">
        <v>48.49</v>
      </c>
      <c r="G968" s="125">
        <f t="shared" si="32"/>
        <v>13771.16</v>
      </c>
      <c r="H968" s="135" t="s">
        <v>298</v>
      </c>
      <c r="I968" s="86" t="s">
        <v>92</v>
      </c>
      <c r="J968" s="235" t="s">
        <v>316</v>
      </c>
      <c r="K968" s="274">
        <v>46363</v>
      </c>
      <c r="L968" s="274"/>
      <c r="M968" s="127">
        <f>_xlfn.XLOOKUP(C968,'Product List'!B:B,'Product List'!R:R)</f>
        <v>24.09</v>
      </c>
      <c r="N968" s="124">
        <f t="shared" si="33"/>
        <v>6841.56</v>
      </c>
      <c r="O968" s="124" cm="1">
        <f t="array" ref="O968">E968/_xlfn.XLOOKUP(1,('Case Pack'!$A$4:$A$962=C968)*('Case Pack'!$L$4:$L$962&gt;0)*('Case Pack'!$L$4:$L$962&lt;=A968),'Case Pack'!$D$4:$D$962,"未找到箱规")</f>
        <v>284</v>
      </c>
      <c r="P968" s="275" t="str">
        <f>IF(COUNTIF('PO Check'!A:A,D968)&gt;0,"Yes","No")</f>
        <v>Yes</v>
      </c>
      <c r="Q968" s="124" t="str" cm="1">
        <f t="array" ref="Q968">_xlfn.XLOOKUP(1,('Case Pack'!$A$4:$A$962=C968)*('Case Pack'!$L$4:$L$962&gt;0)*('Case Pack'!$L$4:$L$962&lt;=A968),'Case Pack'!$G$4:$G$962,"未找到箱型")</f>
        <v>S1</v>
      </c>
      <c r="R968" s="275">
        <f>ROUND(IFERROR(VLOOKUP(Q968,'Case Type'!A:H,8,0),0)*O968,2)</f>
        <v>21.02</v>
      </c>
    </row>
    <row r="969" spans="1:18">
      <c r="A969" s="271">
        <v>46323</v>
      </c>
      <c r="B969" s="91" t="str">
        <f>_xlfn.XLOOKUP(C969,'Product List'!B:B,'Product List'!I:I)</f>
        <v>MMO-STARFISH CASTLE</v>
      </c>
      <c r="C969" s="235" t="s">
        <v>60</v>
      </c>
      <c r="D969" s="235">
        <v>32467641</v>
      </c>
      <c r="E969" s="235">
        <v>20</v>
      </c>
      <c r="F969" s="235">
        <v>5.32</v>
      </c>
      <c r="G969" s="125">
        <f t="shared" si="32"/>
        <v>106.4</v>
      </c>
      <c r="H969" s="135" t="s">
        <v>298</v>
      </c>
      <c r="I969" s="86" t="s">
        <v>92</v>
      </c>
      <c r="J969" s="235" t="s">
        <v>316</v>
      </c>
      <c r="K969" s="274">
        <v>46363</v>
      </c>
      <c r="L969" s="274"/>
      <c r="M969" s="127">
        <f>_xlfn.XLOOKUP(C969,'Product List'!B:B,'Product List'!R:R)</f>
        <v>2.81</v>
      </c>
      <c r="N969" s="124">
        <f t="shared" si="33"/>
        <v>56.2</v>
      </c>
      <c r="O969" s="124" cm="1">
        <f t="array" ref="O969">E969/_xlfn.XLOOKUP(1,('Case Pack'!$A$4:$A$962=C969)*('Case Pack'!$L$4:$L$962&gt;0)*('Case Pack'!$L$4:$L$962&lt;=A969),'Case Pack'!$D$4:$D$962,"未找到箱规")</f>
        <v>1</v>
      </c>
      <c r="P969" s="275" t="str">
        <f>IF(COUNTIF('PO Check'!A:A,D969)&gt;0,"Yes","No")</f>
        <v>Yes</v>
      </c>
      <c r="Q969" s="124" t="str" cm="1">
        <f t="array" ref="Q969">_xlfn.XLOOKUP(1,('Case Pack'!$A$4:$A$962=C969)*('Case Pack'!$L$4:$L$962&gt;0)*('Case Pack'!$L$4:$L$962&lt;=A969),'Case Pack'!$G$4:$G$962,"未找到箱型")</f>
        <v>C</v>
      </c>
      <c r="R969" s="275">
        <f>ROUND(IFERROR(VLOOKUP(Q969,'Case Type'!A:H,8,0),0)*O969,2)</f>
        <v>0.16</v>
      </c>
    </row>
    <row r="970" spans="1:18">
      <c r="A970" s="271">
        <v>46323</v>
      </c>
      <c r="B970" s="91" t="str">
        <f>_xlfn.XLOOKUP(C970,'Product List'!B:B,'Product List'!I:I)</f>
        <v>MMO-BUBBLE WATER BOTTLE</v>
      </c>
      <c r="C970" s="235" t="s">
        <v>67</v>
      </c>
      <c r="D970" s="235">
        <v>32467641</v>
      </c>
      <c r="E970" s="235">
        <v>546</v>
      </c>
      <c r="F970" s="235">
        <v>4.35</v>
      </c>
      <c r="G970" s="125">
        <f t="shared" si="32"/>
        <v>2375.1</v>
      </c>
      <c r="H970" s="135" t="s">
        <v>298</v>
      </c>
      <c r="I970" s="86" t="s">
        <v>92</v>
      </c>
      <c r="J970" s="235" t="s">
        <v>327</v>
      </c>
      <c r="K970" s="274">
        <v>46363</v>
      </c>
      <c r="L970" s="274"/>
      <c r="M970" s="127">
        <f>_xlfn.XLOOKUP(C970,'Product List'!B:B,'Product List'!R:R)</f>
        <v>3.1</v>
      </c>
      <c r="N970" s="124">
        <f t="shared" si="33"/>
        <v>1692.6</v>
      </c>
      <c r="O970" s="124" cm="1">
        <f t="array" ref="O970">E970/_xlfn.XLOOKUP(1,('Case Pack'!$A$4:$A$962=C970)*('Case Pack'!$L$4:$L$962&gt;0)*('Case Pack'!$L$4:$L$962&lt;=A970),'Case Pack'!$D$4:$D$962,"未找到箱规")</f>
        <v>13</v>
      </c>
      <c r="P970" s="275" t="str">
        <f>IF(COUNTIF('PO Check'!A:A,D970)&gt;0,"Yes","No")</f>
        <v>Yes</v>
      </c>
      <c r="Q970" s="124" t="str" cm="1">
        <f t="array" ref="Q970">_xlfn.XLOOKUP(1,('Case Pack'!$A$4:$A$962=C970)*('Case Pack'!$L$4:$L$962&gt;0)*('Case Pack'!$L$4:$L$962&lt;=A970),'Case Pack'!$G$4:$G$962,"未找到箱型")</f>
        <v>C</v>
      </c>
      <c r="R970" s="275">
        <f>ROUND(IFERROR(VLOOKUP(Q970,'Case Type'!A:H,8,0),0)*O970,2)</f>
        <v>2.05</v>
      </c>
    </row>
    <row r="971" spans="1:18">
      <c r="A971" s="271">
        <v>46323</v>
      </c>
      <c r="B971" s="91" t="str">
        <f>_xlfn.XLOOKUP(C971,'Product List'!B:B,'Product List'!I:I)</f>
        <v>MMO-CLOUD WATER BOTTLE</v>
      </c>
      <c r="C971" s="235" t="s">
        <v>77</v>
      </c>
      <c r="D971" s="235">
        <v>32467641</v>
      </c>
      <c r="E971" s="235">
        <v>500</v>
      </c>
      <c r="F971" s="235">
        <v>1.32</v>
      </c>
      <c r="G971" s="125">
        <f t="shared" si="32"/>
        <v>660</v>
      </c>
      <c r="H971" s="135" t="s">
        <v>298</v>
      </c>
      <c r="I971" s="86" t="s">
        <v>92</v>
      </c>
      <c r="J971" s="235" t="s">
        <v>327</v>
      </c>
      <c r="K971" s="274">
        <v>46363</v>
      </c>
      <c r="L971" s="274"/>
      <c r="M971" s="127">
        <f>_xlfn.XLOOKUP(C971,'Product List'!B:B,'Product List'!R:R)</f>
        <v>0.62</v>
      </c>
      <c r="N971" s="124">
        <f t="shared" si="33"/>
        <v>310</v>
      </c>
      <c r="O971" s="124" cm="1">
        <f t="array" ref="O971">E971/_xlfn.XLOOKUP(1,('Case Pack'!$A$4:$A$962=C971)*('Case Pack'!$L$4:$L$962&gt;0)*('Case Pack'!$L$4:$L$962&lt;=A971),'Case Pack'!$D$4:$D$962,"未找到箱规")</f>
        <v>10</v>
      </c>
      <c r="P971" s="275" t="str">
        <f>IF(COUNTIF('PO Check'!A:A,D971)&gt;0,"Yes","No")</f>
        <v>Yes</v>
      </c>
      <c r="Q971" s="124" t="str" cm="1">
        <f t="array" ref="Q971">_xlfn.XLOOKUP(1,('Case Pack'!$A$4:$A$962=C971)*('Case Pack'!$L$4:$L$962&gt;0)*('Case Pack'!$L$4:$L$962&lt;=A971),'Case Pack'!$G$4:$G$962,"未找到箱型")</f>
        <v>A</v>
      </c>
      <c r="R971" s="275">
        <f>ROUND(IFERROR(VLOOKUP(Q971,'Case Type'!A:H,8,0),0)*O971,2)</f>
        <v>1.1</v>
      </c>
    </row>
    <row r="972" spans="1:18">
      <c r="A972" s="271">
        <v>46323</v>
      </c>
      <c r="B972" s="91" t="str">
        <f>_xlfn.XLOOKUP(C972,'Product List'!B:B,'Product List'!I:I)</f>
        <v>MINI/MOE SILENT CRSTL RUN WHEEL LG 8.5-White</v>
      </c>
      <c r="C972" s="235" t="s">
        <v>29</v>
      </c>
      <c r="D972" s="235">
        <v>32467642</v>
      </c>
      <c r="E972" s="235">
        <v>264</v>
      </c>
      <c r="F972" s="235">
        <v>13.22</v>
      </c>
      <c r="G972" s="125">
        <f t="shared" si="32"/>
        <v>3490.08</v>
      </c>
      <c r="H972" s="135" t="s">
        <v>298</v>
      </c>
      <c r="I972" s="86" t="s">
        <v>92</v>
      </c>
      <c r="J972" s="235" t="s">
        <v>327</v>
      </c>
      <c r="K972" s="274">
        <v>46363</v>
      </c>
      <c r="L972" s="274"/>
      <c r="M972" s="127">
        <f>_xlfn.XLOOKUP(C972,'Product List'!B:B,'Product List'!R:R)</f>
        <v>6.27</v>
      </c>
      <c r="N972" s="124">
        <f t="shared" si="33"/>
        <v>1655.28</v>
      </c>
      <c r="O972" s="124" cm="1">
        <f t="array" ref="O972">E972/_xlfn.XLOOKUP(1,('Case Pack'!$A$4:$A$962=C972)*('Case Pack'!$L$4:$L$962&gt;0)*('Case Pack'!$L$4:$L$962&lt;=A972),'Case Pack'!$D$4:$D$962,"未找到箱规")</f>
        <v>33</v>
      </c>
      <c r="P972" s="275" t="str">
        <f>IF(COUNTIF('PO Check'!A:A,D972)&gt;0,"Yes","No")</f>
        <v>Yes</v>
      </c>
      <c r="Q972" s="124" t="str" cm="1">
        <f t="array" ref="Q972">_xlfn.XLOOKUP(1,('Case Pack'!$A$4:$A$962=C972)*('Case Pack'!$L$4:$L$962&gt;0)*('Case Pack'!$L$4:$L$962&lt;=A972),'Case Pack'!$G$4:$G$962,"未找到箱型")</f>
        <v>C</v>
      </c>
      <c r="R972" s="275">
        <f>ROUND(IFERROR(VLOOKUP(Q972,'Case Type'!A:H,8,0),0)*O972,2)</f>
        <v>5.19</v>
      </c>
    </row>
    <row r="973" spans="1:18">
      <c r="A973" s="271">
        <v>46323</v>
      </c>
      <c r="B973" s="91" t="str">
        <f>_xlfn.XLOOKUP(C973,'Product List'!B:B,'Product List'!I:I)</f>
        <v>MMO-GREEN APPLE CHEW</v>
      </c>
      <c r="C973" s="235" t="s">
        <v>33</v>
      </c>
      <c r="D973" s="235">
        <v>32467642</v>
      </c>
      <c r="E973" s="235">
        <v>384</v>
      </c>
      <c r="F973" s="235">
        <v>1.53</v>
      </c>
      <c r="G973" s="125">
        <f t="shared" si="32"/>
        <v>587.52</v>
      </c>
      <c r="H973" s="135" t="s">
        <v>298</v>
      </c>
      <c r="I973" s="86" t="s">
        <v>92</v>
      </c>
      <c r="J973" s="235" t="s">
        <v>327</v>
      </c>
      <c r="K973" s="274">
        <v>46363</v>
      </c>
      <c r="L973" s="274"/>
      <c r="M973" s="127">
        <f>_xlfn.XLOOKUP(C973,'Product List'!B:B,'Product List'!R:R)</f>
        <v>1.04</v>
      </c>
      <c r="N973" s="124">
        <f t="shared" si="33"/>
        <v>399.36</v>
      </c>
      <c r="O973" s="124" cm="1">
        <f t="array" ref="O973">E973/_xlfn.XLOOKUP(1,('Case Pack'!$A$4:$A$962=C973)*('Case Pack'!$L$4:$L$962&gt;0)*('Case Pack'!$L$4:$L$962&lt;=A973),'Case Pack'!$D$4:$D$962,"未找到箱规")</f>
        <v>8</v>
      </c>
      <c r="P973" s="275" t="str">
        <f>IF(COUNTIF('PO Check'!A:A,D973)&gt;0,"Yes","No")</f>
        <v>Yes</v>
      </c>
      <c r="Q973" s="124" t="str" cm="1">
        <f t="array" ref="Q973">_xlfn.XLOOKUP(1,('Case Pack'!$A$4:$A$962=C973)*('Case Pack'!$L$4:$L$962&gt;0)*('Case Pack'!$L$4:$L$962&lt;=A973),'Case Pack'!$G$4:$G$962,"未找到箱型")</f>
        <v>B</v>
      </c>
      <c r="R973" s="275">
        <f>ROUND(IFERROR(VLOOKUP(Q973,'Case Type'!A:H,8,0),0)*O973,2)</f>
        <v>0.59</v>
      </c>
    </row>
    <row r="974" spans="1:18">
      <c r="A974" s="271">
        <v>46323</v>
      </c>
      <c r="B974" s="91" t="str">
        <f>_xlfn.XLOOKUP(C974,'Product List'!B:B,'Product List'!I:I)</f>
        <v>MMO-CAMP LUNCH BOX CHEW</v>
      </c>
      <c r="C974" s="235" t="s">
        <v>34</v>
      </c>
      <c r="D974" s="235">
        <v>32467642</v>
      </c>
      <c r="E974" s="235">
        <v>360</v>
      </c>
      <c r="F974" s="235">
        <v>2.48</v>
      </c>
      <c r="G974" s="125">
        <f t="shared" si="32"/>
        <v>892.8</v>
      </c>
      <c r="H974" s="135" t="s">
        <v>298</v>
      </c>
      <c r="I974" s="86" t="s">
        <v>92</v>
      </c>
      <c r="J974" s="235" t="s">
        <v>327</v>
      </c>
      <c r="K974" s="274">
        <v>46363</v>
      </c>
      <c r="L974" s="274"/>
      <c r="M974" s="127">
        <f>_xlfn.XLOOKUP(C974,'Product List'!B:B,'Product List'!R:R)</f>
        <v>1.59</v>
      </c>
      <c r="N974" s="124">
        <f t="shared" si="33"/>
        <v>572.4</v>
      </c>
      <c r="O974" s="124" cm="1">
        <f t="array" ref="O974">E974/_xlfn.XLOOKUP(1,('Case Pack'!$A$4:$A$962=C974)*('Case Pack'!$L$4:$L$962&gt;0)*('Case Pack'!$L$4:$L$962&lt;=A974),'Case Pack'!$D$4:$D$962,"未找到箱规")</f>
        <v>5</v>
      </c>
      <c r="P974" s="275" t="str">
        <f>IF(COUNTIF('PO Check'!A:A,D974)&gt;0,"Yes","No")</f>
        <v>Yes</v>
      </c>
      <c r="Q974" s="124" t="str" cm="1">
        <f t="array" ref="Q974">_xlfn.XLOOKUP(1,('Case Pack'!$A$4:$A$962=C974)*('Case Pack'!$L$4:$L$962&gt;0)*('Case Pack'!$L$4:$L$962&lt;=A974),'Case Pack'!$G$4:$G$962,"未找到箱型")</f>
        <v>B</v>
      </c>
      <c r="R974" s="275">
        <f>ROUND(IFERROR(VLOOKUP(Q974,'Case Type'!A:H,8,0),0)*O974,2)</f>
        <v>0.37</v>
      </c>
    </row>
    <row r="975" spans="1:18">
      <c r="A975" s="271">
        <v>46323</v>
      </c>
      <c r="B975" s="91" t="str">
        <f>_xlfn.XLOOKUP(C975,'Product List'!B:B,'Product List'!I:I)</f>
        <v>MINI/MOE TV VIEWING CAGE</v>
      </c>
      <c r="C975" s="235" t="s">
        <v>50</v>
      </c>
      <c r="D975" s="235">
        <v>32467642</v>
      </c>
      <c r="E975" s="235">
        <v>292</v>
      </c>
      <c r="F975" s="235">
        <v>48.49</v>
      </c>
      <c r="G975" s="125">
        <f t="shared" si="32"/>
        <v>14159.08</v>
      </c>
      <c r="H975" s="135" t="s">
        <v>298</v>
      </c>
      <c r="I975" s="86" t="s">
        <v>92</v>
      </c>
      <c r="J975" s="235" t="s">
        <v>327</v>
      </c>
      <c r="K975" s="274">
        <v>46363</v>
      </c>
      <c r="L975" s="274"/>
      <c r="M975" s="127">
        <f>_xlfn.XLOOKUP(C975,'Product List'!B:B,'Product List'!R:R)</f>
        <v>24.09</v>
      </c>
      <c r="N975" s="124">
        <f t="shared" si="33"/>
        <v>7034.28</v>
      </c>
      <c r="O975" s="124" cm="1">
        <f t="array" ref="O975">E975/_xlfn.XLOOKUP(1,('Case Pack'!$A$4:$A$962=C975)*('Case Pack'!$L$4:$L$962&gt;0)*('Case Pack'!$L$4:$L$962&lt;=A975),'Case Pack'!$D$4:$D$962,"未找到箱规")</f>
        <v>292</v>
      </c>
      <c r="P975" s="275" t="str">
        <f>IF(COUNTIF('PO Check'!A:A,D975)&gt;0,"Yes","No")</f>
        <v>Yes</v>
      </c>
      <c r="Q975" s="124" t="str" cm="1">
        <f t="array" ref="Q975">_xlfn.XLOOKUP(1,('Case Pack'!$A$4:$A$962=C975)*('Case Pack'!$L$4:$L$962&gt;0)*('Case Pack'!$L$4:$L$962&lt;=A975),'Case Pack'!$G$4:$G$962,"未找到箱型")</f>
        <v>S1</v>
      </c>
      <c r="R975" s="275">
        <f>ROUND(IFERROR(VLOOKUP(Q975,'Case Type'!A:H,8,0),0)*O975,2)</f>
        <v>21.61</v>
      </c>
    </row>
    <row r="976" spans="1:18">
      <c r="A976" s="271">
        <v>46323</v>
      </c>
      <c r="B976" s="91" t="str">
        <f>_xlfn.XLOOKUP(C976,'Product List'!B:B,'Product List'!I:I)</f>
        <v>MMO-BUBBLE WATER BOTTLE</v>
      </c>
      <c r="C976" s="235" t="s">
        <v>67</v>
      </c>
      <c r="D976" s="235">
        <v>32467642</v>
      </c>
      <c r="E976" s="235">
        <v>966</v>
      </c>
      <c r="F976" s="235">
        <v>4.35</v>
      </c>
      <c r="G976" s="125">
        <f t="shared" si="32"/>
        <v>4202.1</v>
      </c>
      <c r="H976" s="135" t="s">
        <v>298</v>
      </c>
      <c r="I976" s="86" t="s">
        <v>92</v>
      </c>
      <c r="J976" s="235" t="s">
        <v>327</v>
      </c>
      <c r="K976" s="274">
        <v>46363</v>
      </c>
      <c r="L976" s="274"/>
      <c r="M976" s="127">
        <f>_xlfn.XLOOKUP(C976,'Product List'!B:B,'Product List'!R:R)</f>
        <v>3.1</v>
      </c>
      <c r="N976" s="124">
        <f t="shared" si="33"/>
        <v>2994.6</v>
      </c>
      <c r="O976" s="124" cm="1">
        <f t="array" ref="O976">E976/_xlfn.XLOOKUP(1,('Case Pack'!$A$4:$A$962=C976)*('Case Pack'!$L$4:$L$962&gt;0)*('Case Pack'!$L$4:$L$962&lt;=A976),'Case Pack'!$D$4:$D$962,"未找到箱规")</f>
        <v>23</v>
      </c>
      <c r="P976" s="275" t="str">
        <f>IF(COUNTIF('PO Check'!A:A,D976)&gt;0,"Yes","No")</f>
        <v>Yes</v>
      </c>
      <c r="Q976" s="124" t="str" cm="1">
        <f t="array" ref="Q976">_xlfn.XLOOKUP(1,('Case Pack'!$A$4:$A$962=C976)*('Case Pack'!$L$4:$L$962&gt;0)*('Case Pack'!$L$4:$L$962&lt;=A976),'Case Pack'!$G$4:$G$962,"未找到箱型")</f>
        <v>C</v>
      </c>
      <c r="R976" s="275">
        <f>ROUND(IFERROR(VLOOKUP(Q976,'Case Type'!A:H,8,0),0)*O976,2)</f>
        <v>3.62</v>
      </c>
    </row>
    <row r="977" spans="1:18">
      <c r="A977" s="271">
        <v>46323</v>
      </c>
      <c r="B977" s="91" t="str">
        <f>_xlfn.XLOOKUP(C977,'Product List'!B:B,'Product List'!I:I)</f>
        <v>MMO-CLOUD WATER BOTTLE</v>
      </c>
      <c r="C977" s="235" t="s">
        <v>77</v>
      </c>
      <c r="D977" s="235">
        <v>32467642</v>
      </c>
      <c r="E977" s="235">
        <v>650</v>
      </c>
      <c r="F977" s="235">
        <v>1.32</v>
      </c>
      <c r="G977" s="125">
        <f t="shared" si="32"/>
        <v>858</v>
      </c>
      <c r="H977" s="135" t="s">
        <v>298</v>
      </c>
      <c r="I977" s="86" t="s">
        <v>92</v>
      </c>
      <c r="J977" s="235" t="s">
        <v>327</v>
      </c>
      <c r="K977" s="274">
        <v>46363</v>
      </c>
      <c r="L977" s="274"/>
      <c r="M977" s="127">
        <f>_xlfn.XLOOKUP(C977,'Product List'!B:B,'Product List'!R:R)</f>
        <v>0.62</v>
      </c>
      <c r="N977" s="124">
        <f t="shared" si="33"/>
        <v>403</v>
      </c>
      <c r="O977" s="124" cm="1">
        <f t="array" ref="O977">E977/_xlfn.XLOOKUP(1,('Case Pack'!$A$4:$A$962=C977)*('Case Pack'!$L$4:$L$962&gt;0)*('Case Pack'!$L$4:$L$962&lt;=A977),'Case Pack'!$D$4:$D$962,"未找到箱规")</f>
        <v>13</v>
      </c>
      <c r="P977" s="275" t="str">
        <f>IF(COUNTIF('PO Check'!A:A,D977)&gt;0,"Yes","No")</f>
        <v>Yes</v>
      </c>
      <c r="Q977" s="124" t="str" cm="1">
        <f t="array" ref="Q977">_xlfn.XLOOKUP(1,('Case Pack'!$A$4:$A$962=C977)*('Case Pack'!$L$4:$L$962&gt;0)*('Case Pack'!$L$4:$L$962&lt;=A977),'Case Pack'!$G$4:$G$962,"未找到箱型")</f>
        <v>A</v>
      </c>
      <c r="R977" s="275">
        <f>ROUND(IFERROR(VLOOKUP(Q977,'Case Type'!A:H,8,0),0)*O977,2)</f>
        <v>1.43</v>
      </c>
    </row>
    <row r="978" spans="1:18">
      <c r="A978" s="271">
        <v>46323</v>
      </c>
      <c r="B978" s="91" t="str">
        <f>_xlfn.XLOOKUP(C978,'Product List'!B:B,'Product List'!I:I)</f>
        <v>MINI/MOE RUFFLE BOWL</v>
      </c>
      <c r="C978" s="235" t="s">
        <v>78</v>
      </c>
      <c r="D978" s="235">
        <v>32467642</v>
      </c>
      <c r="E978" s="235">
        <v>144</v>
      </c>
      <c r="F978" s="235">
        <v>2.35</v>
      </c>
      <c r="G978" s="125">
        <f t="shared" si="32"/>
        <v>338.4</v>
      </c>
      <c r="H978" s="135" t="s">
        <v>298</v>
      </c>
      <c r="I978" s="86" t="s">
        <v>92</v>
      </c>
      <c r="J978" s="235" t="s">
        <v>327</v>
      </c>
      <c r="K978" s="274">
        <v>46363</v>
      </c>
      <c r="L978" s="274"/>
      <c r="M978" s="127">
        <f>_xlfn.XLOOKUP(C978,'Product List'!B:B,'Product List'!R:R)</f>
        <v>1.34</v>
      </c>
      <c r="N978" s="124">
        <f t="shared" si="33"/>
        <v>192.96</v>
      </c>
      <c r="O978" s="124" cm="1">
        <f t="array" ref="O978">E978/_xlfn.XLOOKUP(1,('Case Pack'!$A$4:$A$962=C978)*('Case Pack'!$L$4:$L$962&gt;0)*('Case Pack'!$L$4:$L$962&lt;=A978),'Case Pack'!$D$4:$D$962,"未找到箱规")</f>
        <v>3</v>
      </c>
      <c r="P978" s="275" t="str">
        <f>IF(COUNTIF('PO Check'!A:A,D978)&gt;0,"Yes","No")</f>
        <v>Yes</v>
      </c>
      <c r="Q978" s="124" t="str" cm="1">
        <f t="array" ref="Q978">_xlfn.XLOOKUP(1,('Case Pack'!$A$4:$A$962=C978)*('Case Pack'!$L$4:$L$962&gt;0)*('Case Pack'!$L$4:$L$962&lt;=A978),'Case Pack'!$G$4:$G$962,"未找到箱型")</f>
        <v>B</v>
      </c>
      <c r="R978" s="275">
        <f>ROUND(IFERROR(VLOOKUP(Q978,'Case Type'!A:H,8,0),0)*O978,2)</f>
        <v>0.22</v>
      </c>
    </row>
    <row r="979" spans="1:18">
      <c r="A979" s="271">
        <v>46323</v>
      </c>
      <c r="B979" s="91" t="str">
        <f>_xlfn.XLOOKUP(C979,'Product List'!B:B,'Product List'!I:I)</f>
        <v>MMO-COTTON NESTING BALLS</v>
      </c>
      <c r="C979" s="235" t="s">
        <v>84</v>
      </c>
      <c r="D979" s="235">
        <v>32467642</v>
      </c>
      <c r="E979" s="235">
        <v>64</v>
      </c>
      <c r="F979" s="235">
        <v>3.37</v>
      </c>
      <c r="G979" s="125">
        <f t="shared" si="32"/>
        <v>215.68</v>
      </c>
      <c r="H979" s="135" t="s">
        <v>298</v>
      </c>
      <c r="I979" s="86" t="s">
        <v>92</v>
      </c>
      <c r="J979" s="235" t="s">
        <v>327</v>
      </c>
      <c r="K979" s="274">
        <v>46363</v>
      </c>
      <c r="L979" s="274"/>
      <c r="M979" s="127">
        <f>_xlfn.XLOOKUP(C979,'Product List'!B:B,'Product List'!R:R)</f>
        <v>1.64</v>
      </c>
      <c r="N979" s="124">
        <f t="shared" si="33"/>
        <v>104.96</v>
      </c>
      <c r="O979" s="124" cm="1">
        <f t="array" ref="O979">E979/_xlfn.XLOOKUP(1,('Case Pack'!$A$4:$A$962=C979)*('Case Pack'!$L$4:$L$962&gt;0)*('Case Pack'!$L$4:$L$962&lt;=A979),'Case Pack'!$D$4:$D$962,"未找到箱规")</f>
        <v>2</v>
      </c>
      <c r="P979" s="275" t="str">
        <f>IF(COUNTIF('PO Check'!A:A,D979)&gt;0,"Yes","No")</f>
        <v>Yes</v>
      </c>
      <c r="Q979" s="124" t="str" cm="1">
        <f t="array" ref="Q979">_xlfn.XLOOKUP(1,('Case Pack'!$A$4:$A$962=C979)*('Case Pack'!$L$4:$L$962&gt;0)*('Case Pack'!$L$4:$L$962&lt;=A979),'Case Pack'!$G$4:$G$962,"未找到箱型")</f>
        <v>A</v>
      </c>
      <c r="R979" s="275">
        <f>ROUND(IFERROR(VLOOKUP(Q979,'Case Type'!A:H,8,0),0)*O979,2)</f>
        <v>0.22</v>
      </c>
    </row>
  </sheetData>
  <sheetProtection formatCells="0" formatColumns="0" formatRows="0" insertRows="0" insertColumns="0" insertHyperlinks="0" deleteColumns="0" deleteRows="0" sort="0" autoFilter="0" pivotTables="0"/>
  <autoFilter xmlns:etc="http://www.wps.cn/officeDocument/2017/etCustomData" ref="A1:S979" etc:filterBottomFollowUsedRange="1">
    <extLst/>
  </autoFilter>
  <pageMargins left="0.75" right="0.75" top="1" bottom="1" header="0.5" footer="0.5"/>
  <headerFooter/>
  <ignoredErrors>
    <ignoredError sqref="H1 F1 A1:D1 T800:AE840 U799:AE799 T2:AE798 J1:AE1"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CC"/>
    <outlinePr summaryBelow="0" summaryRight="0"/>
  </sheetPr>
  <dimension ref="A1:AK932"/>
  <sheetViews>
    <sheetView tabSelected="1" workbookViewId="0">
      <pane xSplit="2" ySplit="1" topLeftCell="C116" activePane="bottomRight" state="frozen"/>
      <selection/>
      <selection pane="topRight"/>
      <selection pane="bottomLeft"/>
      <selection pane="bottomRight" activeCell="O1" sqref="O$1:AF$1048576"/>
    </sheetView>
  </sheetViews>
  <sheetFormatPr defaultColWidth="12.6285714285714" defaultRowHeight="15.75" customHeight="1"/>
  <cols>
    <col min="1" max="1" width="16.247619047619" style="171" customWidth="1"/>
    <col min="2" max="2" width="10.9142857142857" customWidth="1"/>
    <col min="3" max="3" width="10.2857142857143" customWidth="1"/>
    <col min="4" max="4" width="15.7809523809524" customWidth="1"/>
    <col min="5" max="5" width="8.57142857142857" customWidth="1"/>
    <col min="6" max="6" width="12.7142857142857" customWidth="1"/>
    <col min="7" max="9" width="12.4285714285714" customWidth="1"/>
    <col min="10" max="10" width="15.7142857142857" customWidth="1"/>
    <col min="11" max="11" width="9.71428571428571" customWidth="1"/>
    <col min="12" max="12" width="8.71428571428571" customWidth="1"/>
    <col min="13" max="13" width="12.247619047619" customWidth="1"/>
    <col min="14" max="14" width="11.8380952380952" customWidth="1"/>
    <col min="15" max="15" width="8.42857142857143" customWidth="1"/>
    <col min="16" max="18" width="10.5714285714286" customWidth="1"/>
    <col min="19" max="19" width="17.9619047619048" style="172" customWidth="1"/>
    <col min="20" max="20" width="10.752380952381" style="173" customWidth="1"/>
    <col min="21" max="21" width="12.8571428571429" style="174"/>
    <col min="22" max="22" width="12.1428571428571" hidden="1" customWidth="1"/>
    <col min="23" max="23" width="13.8095238095238" style="172" customWidth="1"/>
    <col min="24" max="24" width="12.2857142857143" style="175" customWidth="1"/>
    <col min="25" max="25" width="14.7142857142857" style="176" customWidth="1"/>
    <col min="26" max="26" width="5.57142857142857" style="172" customWidth="1"/>
    <col min="27" max="37" width="17.8190476190476" style="172" customWidth="1"/>
  </cols>
  <sheetData>
    <row r="1" s="169" customFormat="1" ht="22.5" spans="1:37">
      <c r="A1" s="177" t="s">
        <v>4</v>
      </c>
      <c r="B1" s="178" t="s">
        <v>292</v>
      </c>
      <c r="C1" s="177" t="s">
        <v>372</v>
      </c>
      <c r="D1" s="177" t="s">
        <v>295</v>
      </c>
      <c r="E1" s="178" t="s">
        <v>26</v>
      </c>
      <c r="F1" s="178" t="s">
        <v>373</v>
      </c>
      <c r="G1" s="179" t="s">
        <v>121</v>
      </c>
      <c r="H1" s="179" t="s">
        <v>374</v>
      </c>
      <c r="I1" s="179" t="s">
        <v>375</v>
      </c>
      <c r="J1" s="178" t="s">
        <v>376</v>
      </c>
      <c r="K1" s="178" t="s">
        <v>377</v>
      </c>
      <c r="L1" s="180" t="s">
        <v>378</v>
      </c>
      <c r="M1" s="177" t="s">
        <v>379</v>
      </c>
      <c r="N1" s="178" t="s">
        <v>380</v>
      </c>
      <c r="O1" s="178" t="s">
        <v>381</v>
      </c>
      <c r="P1" s="178" t="s">
        <v>382</v>
      </c>
      <c r="Q1" s="181" t="s">
        <v>116</v>
      </c>
      <c r="R1" s="181" t="s">
        <v>383</v>
      </c>
      <c r="S1" s="177" t="s">
        <v>384</v>
      </c>
      <c r="T1" s="182" t="s">
        <v>385</v>
      </c>
      <c r="U1" s="183" t="s">
        <v>386</v>
      </c>
      <c r="V1" s="184" t="s">
        <v>387</v>
      </c>
      <c r="W1" s="184" t="s">
        <v>128</v>
      </c>
      <c r="X1" s="185" t="s">
        <v>388</v>
      </c>
      <c r="Y1" s="186" t="s">
        <v>389</v>
      </c>
      <c r="Z1" s="187" t="s">
        <v>390</v>
      </c>
      <c r="AA1" s="187" t="s">
        <v>391</v>
      </c>
      <c r="AB1" s="184" t="s">
        <v>392</v>
      </c>
      <c r="AC1" s="187" t="s">
        <v>393</v>
      </c>
      <c r="AD1" s="187" t="s">
        <v>394</v>
      </c>
      <c r="AE1" s="187"/>
      <c r="AF1" s="187"/>
      <c r="AG1" s="187"/>
      <c r="AH1" s="187"/>
      <c r="AI1" s="187"/>
      <c r="AJ1" s="187"/>
      <c r="AK1" s="187"/>
    </row>
    <row r="2" customHeight="1" spans="1:37">
      <c r="A2" s="188" t="s">
        <v>305</v>
      </c>
      <c r="B2" s="189" t="str">
        <f>_xlfn.XLOOKUP(A2,Sales!D:D,Sales!H:H)</f>
        <v>PSP</v>
      </c>
      <c r="C2" s="190">
        <f>SUMIFS(Sales!G:G,Sales!D:D,A2)</f>
        <v>27923.4</v>
      </c>
      <c r="D2" s="190">
        <f>SUMIFS(Sales!N:N,Sales!D:D,A2)</f>
        <v>11826</v>
      </c>
      <c r="E2" s="191" t="s">
        <v>130</v>
      </c>
      <c r="F2" s="190">
        <f t="shared" ref="F2:F27" si="0">G2*100</f>
        <v>3996</v>
      </c>
      <c r="G2" s="192">
        <f>SUMIFS(Sales!R:R,Sales!D:D,A2)</f>
        <v>39.96</v>
      </c>
      <c r="H2" s="192">
        <v>2500</v>
      </c>
      <c r="I2" s="192">
        <v>2500</v>
      </c>
      <c r="J2" s="190">
        <v>5166</v>
      </c>
      <c r="K2" s="190">
        <f t="shared" ref="K2:K27" si="1">IF(B2="Petco",C2*0.045,IF(B2="Petsmart",C2*0.02,C2*0.05))</f>
        <v>1396.17</v>
      </c>
      <c r="L2" s="190">
        <v>0</v>
      </c>
      <c r="M2" s="190">
        <v>0</v>
      </c>
      <c r="N2" s="190">
        <f t="shared" ref="N2:N21" si="2">(C2-K2)*0.06</f>
        <v>1591.6338</v>
      </c>
      <c r="O2" s="190">
        <f t="shared" ref="O2:O65" si="3">C2-D2-F2-I2-J2-K2-N2-L2-M2</f>
        <v>1447.5962</v>
      </c>
      <c r="P2" s="190"/>
      <c r="Q2" s="193">
        <f>_xlfn.XLOOKUP(A2,Sales!D:D,Sales!K:K)</f>
        <v>46078</v>
      </c>
      <c r="R2" s="193">
        <f>VLOOKUP(A2,Sales!D:L,8,0)</f>
        <v>46078</v>
      </c>
      <c r="S2" s="194" t="s">
        <v>395</v>
      </c>
      <c r="T2" s="195">
        <f t="shared" ref="T2:T65" si="4">-SUM(D2:J2)</f>
        <v>-26027.96</v>
      </c>
      <c r="U2" s="174">
        <f t="shared" ref="U2:U65" si="5">C2-K2-L2-M2</f>
        <v>26527.23</v>
      </c>
      <c r="V2" s="196">
        <f>SUM(Y2,T2)</f>
        <v>1336.97</v>
      </c>
      <c r="W2" s="196"/>
      <c r="Y2" s="197">
        <f>SUMIF('Other pmt'!H:H,"*"&amp;S2&amp;"*",'Other pmt'!F:F)</f>
        <v>27364.93</v>
      </c>
      <c r="Z2" s="198"/>
      <c r="AA2" s="198" t="str">
        <f>_xlfn.XLOOKUP("*"&amp;$S2&amp;"*",'Other pmt'!H$1:H$1126,'Other pmt'!D$1:D$1126,0,2)</f>
        <v>6/29/2026</v>
      </c>
      <c r="AB2" s="198">
        <v>837.7</v>
      </c>
      <c r="AC2" s="199">
        <f t="shared" ref="AC2:AC60" si="6">IF(AB2&lt;&gt;"",AB2/U2,"")</f>
        <v>0.0315788719741941</v>
      </c>
      <c r="AD2" s="198"/>
      <c r="AE2" s="200">
        <f>CHOOSE(MATCH($B2,{"Petco","PSP"},0),SUMIF('Petco Rec'!M:M,$S2,'Petco Rec'!E:E),SUMIF('PSP Rec'!B:B,$S2,'PSP Rec'!M:M))</f>
        <v>0</v>
      </c>
      <c r="AF2" s="198"/>
      <c r="AG2" s="198"/>
      <c r="AH2" s="198"/>
      <c r="AI2" s="198"/>
      <c r="AJ2" s="198"/>
      <c r="AK2" s="198"/>
    </row>
    <row r="3" customHeight="1" spans="1:37">
      <c r="A3" s="188" t="s">
        <v>308</v>
      </c>
      <c r="B3" s="189" t="str">
        <f>_xlfn.XLOOKUP(A3,Sales!D:D,Sales!H:H)</f>
        <v>PSP</v>
      </c>
      <c r="C3" s="190">
        <f>SUMIFS(Sales!G:G,Sales!D:D,A3)</f>
        <v>25300.8</v>
      </c>
      <c r="D3" s="190">
        <f>SUMIFS(Sales!N:N,Sales!D:D,A3)</f>
        <v>10281.6</v>
      </c>
      <c r="E3" s="191" t="s">
        <v>130</v>
      </c>
      <c r="F3" s="190">
        <f t="shared" si="0"/>
        <v>5122</v>
      </c>
      <c r="G3" s="192">
        <f>SUMIFS(Sales!R:R,Sales!D:D,A3)</f>
        <v>51.22</v>
      </c>
      <c r="H3" s="192">
        <v>2500</v>
      </c>
      <c r="I3" s="192">
        <v>2500</v>
      </c>
      <c r="J3" s="190">
        <v>5166</v>
      </c>
      <c r="K3" s="190">
        <f t="shared" si="1"/>
        <v>1265.04</v>
      </c>
      <c r="L3" s="190">
        <v>0</v>
      </c>
      <c r="M3" s="190">
        <v>0</v>
      </c>
      <c r="N3" s="190">
        <f t="shared" si="2"/>
        <v>1442.1456</v>
      </c>
      <c r="O3" s="190">
        <f t="shared" si="3"/>
        <v>-475.985600000001</v>
      </c>
      <c r="P3" s="190"/>
      <c r="Q3" s="193">
        <f>_xlfn.XLOOKUP(A3,Sales!D:D,Sales!K:K)</f>
        <v>46078</v>
      </c>
      <c r="R3" s="193">
        <f>VLOOKUP(A3,Sales!D:L,8,0)</f>
        <v>46078</v>
      </c>
      <c r="S3" s="194" t="s">
        <v>396</v>
      </c>
      <c r="T3" s="195">
        <f t="shared" si="4"/>
        <v>-25620.82</v>
      </c>
      <c r="U3" s="174">
        <f t="shared" si="5"/>
        <v>24035.76</v>
      </c>
      <c r="V3" s="196">
        <f t="shared" ref="V3:V34" si="7">SUM(Y3,T3)</f>
        <v>-826.040000000001</v>
      </c>
      <c r="W3" s="196"/>
      <c r="Y3" s="197">
        <f>SUMIF('Other pmt'!H:H,"*"&amp;S3&amp;"*",'Other pmt'!F:F)</f>
        <v>24794.78</v>
      </c>
      <c r="Z3" s="198"/>
      <c r="AA3" s="198" t="str">
        <f>_xlfn.XLOOKUP("*"&amp;$S3&amp;"*",'Other pmt'!H$1:H$1126,'Other pmt'!D$1:D$1126,0,2)</f>
        <v>6/29/2026</v>
      </c>
      <c r="AB3" s="198">
        <f>Y3-U3</f>
        <v>759.02</v>
      </c>
      <c r="AC3" s="199">
        <f t="shared" si="6"/>
        <v>0.0315787809497183</v>
      </c>
      <c r="AD3" s="198"/>
      <c r="AE3" s="200">
        <f>CHOOSE(MATCH($B3,{"Petco","PSP"},0),SUMIF('Petco Rec'!M:M,$S3,'Petco Rec'!E:E),SUMIF('PSP Rec'!B:B,$S3,'PSP Rec'!M:M))</f>
        <v>0</v>
      </c>
      <c r="AF3" s="198"/>
      <c r="AG3" s="198"/>
      <c r="AH3" s="198"/>
      <c r="AI3" s="198"/>
      <c r="AJ3" s="198"/>
      <c r="AK3" s="198"/>
    </row>
    <row r="4" customHeight="1" spans="1:37">
      <c r="A4" s="188" t="s">
        <v>309</v>
      </c>
      <c r="B4" s="189" t="str">
        <f>_xlfn.XLOOKUP(A4,Sales!D:D,Sales!H:H)</f>
        <v>PSP</v>
      </c>
      <c r="C4" s="190">
        <f>SUMIFS(Sales!G:G,Sales!D:D,A4)</f>
        <v>26410.69</v>
      </c>
      <c r="D4" s="190">
        <f>SUMIFS(Sales!N:N,Sales!D:D,A4)</f>
        <v>11480.19</v>
      </c>
      <c r="E4" s="191" t="s">
        <v>130</v>
      </c>
      <c r="F4" s="190">
        <f t="shared" si="0"/>
        <v>4601</v>
      </c>
      <c r="G4" s="192">
        <f>SUMIFS(Sales!R:R,Sales!D:D,A4)</f>
        <v>46.01</v>
      </c>
      <c r="H4" s="192">
        <v>2500</v>
      </c>
      <c r="I4" s="192">
        <v>2500</v>
      </c>
      <c r="J4" s="190">
        <v>5166</v>
      </c>
      <c r="K4" s="190">
        <f t="shared" si="1"/>
        <v>1320.5345</v>
      </c>
      <c r="L4" s="190">
        <v>0</v>
      </c>
      <c r="M4" s="190">
        <v>0</v>
      </c>
      <c r="N4" s="190">
        <f t="shared" si="2"/>
        <v>1505.40933</v>
      </c>
      <c r="O4" s="190">
        <f t="shared" si="3"/>
        <v>-162.443829999997</v>
      </c>
      <c r="P4" s="190"/>
      <c r="Q4" s="193">
        <f>_xlfn.XLOOKUP(A4,Sales!D:D,Sales!K:K)</f>
        <v>46096</v>
      </c>
      <c r="R4" s="193">
        <f>VLOOKUP(A4,Sales!D:L,8,0)</f>
        <v>46096</v>
      </c>
      <c r="S4" s="194" t="s">
        <v>397</v>
      </c>
      <c r="T4" s="195">
        <f t="shared" si="4"/>
        <v>-26293.2</v>
      </c>
      <c r="U4" s="174">
        <f t="shared" si="5"/>
        <v>25090.1555</v>
      </c>
      <c r="V4" s="196">
        <f t="shared" si="7"/>
        <v>-410.719999999998</v>
      </c>
      <c r="W4" s="196"/>
      <c r="Y4" s="197">
        <f>SUMIF('Other pmt'!H:H,"*"&amp;S4&amp;"*",'Other pmt'!F:F)</f>
        <v>25882.48</v>
      </c>
      <c r="Z4" s="198"/>
      <c r="AA4" s="198" t="str">
        <f>_xlfn.XLOOKUP("*"&amp;$S4&amp;"*",'Other pmt'!H$1:H$1126,'Other pmt'!D$1:D$1126,0,2)</f>
        <v>6/29/2026</v>
      </c>
      <c r="AB4" s="198">
        <f>Y4-U4</f>
        <v>792.324499999999</v>
      </c>
      <c r="AC4" s="199">
        <f t="shared" si="6"/>
        <v>0.0315790988222452</v>
      </c>
      <c r="AD4" s="198"/>
      <c r="AE4" s="200">
        <f>CHOOSE(MATCH($B4,{"Petco","PSP"},0),SUMIF('Petco Rec'!M:M,$S4,'Petco Rec'!E:E),SUMIF('PSP Rec'!B:B,$S4,'PSP Rec'!M:M))</f>
        <v>0</v>
      </c>
      <c r="AF4" s="198"/>
      <c r="AG4" s="198"/>
      <c r="AH4" s="198"/>
      <c r="AI4" s="198"/>
      <c r="AJ4" s="198"/>
      <c r="AK4" s="198"/>
    </row>
    <row r="5" customHeight="1" spans="1:37">
      <c r="A5" s="188" t="s">
        <v>310</v>
      </c>
      <c r="B5" s="189" t="str">
        <f>_xlfn.XLOOKUP(A5,Sales!D:D,Sales!H:H)</f>
        <v>PSP</v>
      </c>
      <c r="C5" s="190">
        <f>SUMIFS(Sales!G:G,Sales!D:D,A5)</f>
        <v>34724.17</v>
      </c>
      <c r="D5" s="190">
        <f>SUMIFS(Sales!N:N,Sales!D:D,A5)</f>
        <v>16505.94</v>
      </c>
      <c r="E5" s="191" t="s">
        <v>130</v>
      </c>
      <c r="F5" s="190">
        <f t="shared" si="0"/>
        <v>5063</v>
      </c>
      <c r="G5" s="192">
        <f>SUMIFS(Sales!R:R,Sales!D:D,A5)</f>
        <v>50.63</v>
      </c>
      <c r="H5" s="192">
        <v>2500</v>
      </c>
      <c r="I5" s="192">
        <v>2500</v>
      </c>
      <c r="J5" s="190">
        <v>5166</v>
      </c>
      <c r="K5" s="190">
        <f t="shared" si="1"/>
        <v>1736.2085</v>
      </c>
      <c r="L5" s="190">
        <v>0</v>
      </c>
      <c r="M5" s="190">
        <v>0</v>
      </c>
      <c r="N5" s="190">
        <f t="shared" si="2"/>
        <v>1979.27769</v>
      </c>
      <c r="O5" s="190">
        <f t="shared" si="3"/>
        <v>1773.74381</v>
      </c>
      <c r="P5" s="190"/>
      <c r="Q5" s="193">
        <f>_xlfn.XLOOKUP(A5,Sales!D:D,Sales!K:K)</f>
        <v>46098</v>
      </c>
      <c r="R5" s="193">
        <f>VLOOKUP(A5,Sales!D:L,8,0)</f>
        <v>46098</v>
      </c>
      <c r="S5" s="194" t="s">
        <v>398</v>
      </c>
      <c r="T5" s="195">
        <f t="shared" si="4"/>
        <v>-31785.57</v>
      </c>
      <c r="U5" s="174">
        <f t="shared" si="5"/>
        <v>32987.9615</v>
      </c>
      <c r="V5" s="196">
        <f t="shared" si="7"/>
        <v>2811.39</v>
      </c>
      <c r="W5" s="196"/>
      <c r="Y5" s="197">
        <f>SUMIF('Other pmt'!H:H,"*"&amp;S5&amp;"*",'Other pmt'!F:F)</f>
        <v>34596.96</v>
      </c>
      <c r="Z5" s="198"/>
      <c r="AA5" s="198" t="str">
        <f>_xlfn.XLOOKUP("*"&amp;$S5&amp;"*",'Other pmt'!H$1:H$1126,'Other pmt'!D$1:D$1126,0,2)</f>
        <v>6/29/2026</v>
      </c>
      <c r="AB5" s="198">
        <f t="shared" ref="AB5:AB36" si="8">Y5-U5</f>
        <v>1608.9985</v>
      </c>
      <c r="AC5" s="199">
        <f t="shared" si="6"/>
        <v>0.0487753236889161</v>
      </c>
      <c r="AD5" s="198"/>
      <c r="AE5" s="200">
        <f>CHOOSE(MATCH($B5,{"Petco","PSP"},0),SUMIF('Petco Rec'!M:M,$S5,'Petco Rec'!E:E),SUMIF('PSP Rec'!B:B,$S5,'PSP Rec'!M:M))</f>
        <v>0</v>
      </c>
      <c r="AF5" s="198"/>
      <c r="AG5" s="198"/>
      <c r="AH5" s="198"/>
      <c r="AI5" s="198"/>
      <c r="AJ5" s="198"/>
      <c r="AK5" s="198"/>
    </row>
    <row r="6" customHeight="1" spans="1:37">
      <c r="A6" s="188" t="s">
        <v>311</v>
      </c>
      <c r="B6" s="189" t="str">
        <f>_xlfn.XLOOKUP(A6,Sales!D:D,Sales!H:H)</f>
        <v>PSP</v>
      </c>
      <c r="C6" s="190">
        <f>SUMIFS(Sales!G:G,Sales!D:D,A6)</f>
        <v>38782.28</v>
      </c>
      <c r="D6" s="190">
        <f>SUMIFS(Sales!N:N,Sales!D:D,A6)</f>
        <v>19110.12</v>
      </c>
      <c r="E6" s="191" t="s">
        <v>130</v>
      </c>
      <c r="F6" s="190">
        <f t="shared" si="0"/>
        <v>7424</v>
      </c>
      <c r="G6" s="192">
        <f>SUMIFS(Sales!R:R,Sales!D:D,A6)</f>
        <v>74.24</v>
      </c>
      <c r="H6" s="192">
        <v>2500</v>
      </c>
      <c r="I6" s="192">
        <v>2500</v>
      </c>
      <c r="J6" s="190">
        <v>5166</v>
      </c>
      <c r="K6" s="190">
        <f t="shared" si="1"/>
        <v>1939.114</v>
      </c>
      <c r="L6" s="190">
        <v>0</v>
      </c>
      <c r="M6" s="190">
        <v>0</v>
      </c>
      <c r="N6" s="190">
        <f t="shared" si="2"/>
        <v>2210.58996</v>
      </c>
      <c r="O6" s="190">
        <f t="shared" si="3"/>
        <v>432.45604</v>
      </c>
      <c r="P6" s="190"/>
      <c r="Q6" s="193">
        <f>_xlfn.XLOOKUP(A6,Sales!D:D,Sales!K:K)</f>
        <v>46099</v>
      </c>
      <c r="R6" s="193">
        <f>VLOOKUP(A6,Sales!D:L,8,0)</f>
        <v>46099</v>
      </c>
      <c r="S6" s="194" t="s">
        <v>399</v>
      </c>
      <c r="T6" s="195">
        <f t="shared" si="4"/>
        <v>-36774.36</v>
      </c>
      <c r="U6" s="174">
        <f t="shared" si="5"/>
        <v>36843.166</v>
      </c>
      <c r="V6" s="196">
        <f t="shared" si="7"/>
        <v>722.229999999996</v>
      </c>
      <c r="W6" s="196"/>
      <c r="Y6" s="197">
        <f>SUMIF('Other pmt'!H:H,"*"&amp;S6&amp;"*",'Other pmt'!F:F)</f>
        <v>37496.59</v>
      </c>
      <c r="Z6" s="198"/>
      <c r="AA6" s="198" t="str">
        <f>_xlfn.XLOOKUP("*"&amp;$S6&amp;"*",'Other pmt'!H$1:H$1126,'Other pmt'!D$1:D$1126,0,2)</f>
        <v>6/29/2026</v>
      </c>
      <c r="AB6" s="198">
        <f t="shared" si="8"/>
        <v>653.423999999999</v>
      </c>
      <c r="AC6" s="199">
        <f t="shared" si="6"/>
        <v>0.0177352836615615</v>
      </c>
      <c r="AD6" s="198"/>
      <c r="AE6" s="200">
        <f>CHOOSE(MATCH($B6,{"Petco","PSP"},0),SUMIF('Petco Rec'!M:M,$S6,'Petco Rec'!E:E),SUMIF('PSP Rec'!B:B,$S6,'PSP Rec'!M:M))</f>
        <v>0</v>
      </c>
      <c r="AF6" s="198"/>
      <c r="AG6" s="198"/>
      <c r="AH6" s="198"/>
      <c r="AI6" s="198"/>
      <c r="AJ6" s="198"/>
      <c r="AK6" s="198"/>
    </row>
    <row r="7" customHeight="1" spans="1:37">
      <c r="A7" s="188" t="s">
        <v>312</v>
      </c>
      <c r="B7" s="189" t="str">
        <f>_xlfn.XLOOKUP(A7,Sales!D:D,Sales!H:H)</f>
        <v>PSP</v>
      </c>
      <c r="C7" s="190">
        <f>SUMIFS(Sales!G:G,Sales!D:D,A7)</f>
        <v>19488.52</v>
      </c>
      <c r="D7" s="190">
        <f>SUMIFS(Sales!N:N,Sales!D:D,A7)</f>
        <v>7994.04</v>
      </c>
      <c r="E7" s="191" t="s">
        <v>130</v>
      </c>
      <c r="F7" s="190">
        <f t="shared" si="0"/>
        <v>4359</v>
      </c>
      <c r="G7" s="192">
        <f>SUMIFS(Sales!R:R,Sales!D:D,A7)</f>
        <v>43.59</v>
      </c>
      <c r="H7" s="192">
        <v>2500</v>
      </c>
      <c r="I7" s="192">
        <v>2500</v>
      </c>
      <c r="J7" s="190">
        <v>5752</v>
      </c>
      <c r="K7" s="190">
        <f t="shared" si="1"/>
        <v>974.426</v>
      </c>
      <c r="L7" s="190">
        <v>0</v>
      </c>
      <c r="M7" s="190">
        <v>0</v>
      </c>
      <c r="N7" s="190">
        <f t="shared" si="2"/>
        <v>1110.84564</v>
      </c>
      <c r="O7" s="190">
        <f t="shared" si="3"/>
        <v>-3201.79164</v>
      </c>
      <c r="P7" s="190"/>
      <c r="Q7" s="193">
        <f>_xlfn.XLOOKUP(A7,Sales!D:D,Sales!K:K)</f>
        <v>46078</v>
      </c>
      <c r="R7" s="193">
        <f>VLOOKUP(A7,Sales!D:L,8,0)</f>
        <v>46078</v>
      </c>
      <c r="S7" s="194" t="s">
        <v>400</v>
      </c>
      <c r="T7" s="195">
        <f t="shared" si="4"/>
        <v>-23148.63</v>
      </c>
      <c r="U7" s="174">
        <f t="shared" si="5"/>
        <v>18514.094</v>
      </c>
      <c r="V7" s="196">
        <f t="shared" si="7"/>
        <v>-4049.88</v>
      </c>
      <c r="W7" s="196"/>
      <c r="Y7" s="197">
        <f>SUMIF('Other pmt'!H:H,"*"&amp;S7&amp;"*",'Other pmt'!F:F)</f>
        <v>19098.75</v>
      </c>
      <c r="Z7" s="198"/>
      <c r="AA7" s="198" t="str">
        <f>_xlfn.XLOOKUP("*"&amp;$S7&amp;"*",'Other pmt'!H$1:H$1126,'Other pmt'!D$1:D$1126,0,2)</f>
        <v>6/29/2026</v>
      </c>
      <c r="AB7" s="198">
        <f t="shared" si="8"/>
        <v>584.655999999999</v>
      </c>
      <c r="AC7" s="199">
        <f t="shared" si="6"/>
        <v>0.031578968973583</v>
      </c>
      <c r="AD7" s="198"/>
      <c r="AE7" s="200">
        <f>CHOOSE(MATCH($B7,{"Petco","PSP"},0),SUMIF('Petco Rec'!M:M,$S7,'Petco Rec'!E:E),SUMIF('PSP Rec'!B:B,$S7,'PSP Rec'!M:M))</f>
        <v>0</v>
      </c>
      <c r="AF7" s="198"/>
      <c r="AG7" s="198"/>
      <c r="AH7" s="198"/>
      <c r="AI7" s="198"/>
      <c r="AJ7" s="198"/>
      <c r="AK7" s="198"/>
    </row>
    <row r="8" customHeight="1" spans="1:37">
      <c r="A8" s="188" t="s">
        <v>314</v>
      </c>
      <c r="B8" s="189" t="str">
        <f>_xlfn.XLOOKUP(A8,Sales!D:D,Sales!H:H)</f>
        <v>PSP</v>
      </c>
      <c r="C8" s="190">
        <f>SUMIFS(Sales!G:G,Sales!D:D,A8)</f>
        <v>20829.94</v>
      </c>
      <c r="D8" s="190">
        <f>SUMIFS(Sales!N:N,Sales!D:D,A8)</f>
        <v>9221.4</v>
      </c>
      <c r="E8" s="191" t="s">
        <v>130</v>
      </c>
      <c r="F8" s="190">
        <f t="shared" si="0"/>
        <v>2848</v>
      </c>
      <c r="G8" s="192">
        <f>SUMIFS(Sales!R:R,Sales!D:D,A8)</f>
        <v>28.48</v>
      </c>
      <c r="H8" s="192">
        <v>2500</v>
      </c>
      <c r="I8" s="192">
        <v>2500</v>
      </c>
      <c r="J8" s="190">
        <v>5802</v>
      </c>
      <c r="K8" s="190">
        <f t="shared" si="1"/>
        <v>1041.497</v>
      </c>
      <c r="L8" s="190">
        <v>0</v>
      </c>
      <c r="M8" s="190">
        <v>0</v>
      </c>
      <c r="N8" s="190">
        <f t="shared" si="2"/>
        <v>1187.30658</v>
      </c>
      <c r="O8" s="190">
        <f t="shared" si="3"/>
        <v>-1770.26358</v>
      </c>
      <c r="P8" s="190"/>
      <c r="Q8" s="193">
        <f>_xlfn.XLOOKUP(A8,Sales!D:D,Sales!K:K)</f>
        <v>46078</v>
      </c>
      <c r="R8" s="193">
        <f>VLOOKUP(A8,Sales!D:L,8,0)</f>
        <v>46078</v>
      </c>
      <c r="S8" s="194" t="s">
        <v>401</v>
      </c>
      <c r="T8" s="195">
        <f t="shared" si="4"/>
        <v>-22899.88</v>
      </c>
      <c r="U8" s="174">
        <f t="shared" si="5"/>
        <v>19788.443</v>
      </c>
      <c r="V8" s="196">
        <f t="shared" si="7"/>
        <v>-2486.55</v>
      </c>
      <c r="W8" s="196"/>
      <c r="Y8" s="197">
        <f>SUMIF('Other pmt'!H:H,"*"&amp;S8&amp;"*",'Other pmt'!F:F)</f>
        <v>20413.33</v>
      </c>
      <c r="Z8" s="198"/>
      <c r="AA8" s="198" t="str">
        <f>_xlfn.XLOOKUP("*"&amp;$S8&amp;"*",'Other pmt'!H$1:H$1126,'Other pmt'!D$1:D$1126,0,2)</f>
        <v>6/29/2026</v>
      </c>
      <c r="AB8" s="198">
        <f t="shared" si="8"/>
        <v>624.887000000002</v>
      </c>
      <c r="AC8" s="199">
        <f t="shared" si="6"/>
        <v>0.0315783813814964</v>
      </c>
      <c r="AD8" s="198"/>
      <c r="AE8" s="200">
        <f>CHOOSE(MATCH($B8,{"Petco","PSP"},0),SUMIF('Petco Rec'!M:M,$S8,'Petco Rec'!E:E),SUMIF('PSP Rec'!B:B,$S8,'PSP Rec'!M:M))</f>
        <v>0</v>
      </c>
      <c r="AF8" s="198"/>
      <c r="AG8" s="198"/>
      <c r="AH8" s="198"/>
      <c r="AI8" s="198"/>
      <c r="AJ8" s="198"/>
      <c r="AK8" s="198"/>
    </row>
    <row r="9" customHeight="1" spans="1:37">
      <c r="A9" s="188" t="s">
        <v>315</v>
      </c>
      <c r="B9" s="189" t="str">
        <f>_xlfn.XLOOKUP(A9,Sales!D:D,Sales!H:H)</f>
        <v>PSP</v>
      </c>
      <c r="C9" s="190">
        <f>SUMIFS(Sales!G:G,Sales!D:D,A9)</f>
        <v>12604</v>
      </c>
      <c r="D9" s="190">
        <f>SUMIFS(Sales!N:N,Sales!D:D,A9)</f>
        <v>6037.35</v>
      </c>
      <c r="E9" s="191" t="s">
        <v>130</v>
      </c>
      <c r="F9" s="190">
        <f t="shared" si="0"/>
        <v>1794</v>
      </c>
      <c r="G9" s="192">
        <f>SUMIFS(Sales!R:R,Sales!D:D,A9)</f>
        <v>17.94</v>
      </c>
      <c r="H9" s="192">
        <v>2500</v>
      </c>
      <c r="I9" s="192">
        <v>2500</v>
      </c>
      <c r="J9" s="190">
        <v>6384</v>
      </c>
      <c r="K9" s="190">
        <f t="shared" si="1"/>
        <v>630.2</v>
      </c>
      <c r="L9" s="190">
        <v>0</v>
      </c>
      <c r="M9" s="190">
        <v>0</v>
      </c>
      <c r="N9" s="190">
        <f t="shared" si="2"/>
        <v>718.428</v>
      </c>
      <c r="O9" s="190">
        <f t="shared" si="3"/>
        <v>-5459.978</v>
      </c>
      <c r="P9" s="190"/>
      <c r="Q9" s="193">
        <f>_xlfn.XLOOKUP(A9,Sales!D:D,Sales!K:K)</f>
        <v>46078</v>
      </c>
      <c r="R9" s="193">
        <f>VLOOKUP(A9,Sales!D:L,8,0)</f>
        <v>46078</v>
      </c>
      <c r="S9" s="194" t="s">
        <v>402</v>
      </c>
      <c r="T9" s="195">
        <f t="shared" si="4"/>
        <v>-19233.29</v>
      </c>
      <c r="U9" s="174">
        <f t="shared" si="5"/>
        <v>11973.8</v>
      </c>
      <c r="V9" s="196">
        <f t="shared" si="7"/>
        <v>-6881.38</v>
      </c>
      <c r="W9" s="196"/>
      <c r="Y9" s="197">
        <f>SUMIF('Other pmt'!H:H,"*"&amp;S9&amp;"*",'Other pmt'!F:F)</f>
        <v>12351.91</v>
      </c>
      <c r="Z9" s="198"/>
      <c r="AA9" s="198" t="str">
        <f>_xlfn.XLOOKUP("*"&amp;$S9&amp;"*",'Other pmt'!H$1:H$1126,'Other pmt'!D$1:D$1126,0,2)</f>
        <v>6/29/2026</v>
      </c>
      <c r="AB9" s="198">
        <f t="shared" si="8"/>
        <v>378.110000000001</v>
      </c>
      <c r="AC9" s="199">
        <f t="shared" si="6"/>
        <v>0.0315781122116622</v>
      </c>
      <c r="AD9" s="198"/>
      <c r="AE9" s="200">
        <f>CHOOSE(MATCH($B9,{"Petco","PSP"},0),SUMIF('Petco Rec'!M:M,$S9,'Petco Rec'!E:E),SUMIF('PSP Rec'!B:B,$S9,'PSP Rec'!M:M))</f>
        <v>0</v>
      </c>
      <c r="AF9" s="198"/>
      <c r="AG9" s="198"/>
      <c r="AH9" s="198"/>
      <c r="AI9" s="198"/>
      <c r="AJ9" s="198"/>
      <c r="AK9" s="198"/>
    </row>
    <row r="10" customHeight="1" spans="1:37">
      <c r="A10" s="201">
        <v>29657897</v>
      </c>
      <c r="B10" s="189" t="str">
        <f>_xlfn.XLOOKUP(A10,Sales!D:D,Sales!H:H)</f>
        <v>Petco</v>
      </c>
      <c r="C10" s="190">
        <f>SUMIFS(Sales!G:G,Sales!D:D,A10)</f>
        <v>17128.83</v>
      </c>
      <c r="D10" s="190">
        <f>SUMIFS(Sales!N:N,Sales!D:D,A10)</f>
        <v>8512.67</v>
      </c>
      <c r="E10" s="191" t="s">
        <v>130</v>
      </c>
      <c r="F10" s="190">
        <f t="shared" si="0"/>
        <v>2387</v>
      </c>
      <c r="G10" s="192">
        <f>SUMIFS(Sales!R:R,Sales!D:D,A10)</f>
        <v>23.87</v>
      </c>
      <c r="H10" s="202">
        <v>2000</v>
      </c>
      <c r="I10" s="202">
        <v>2000</v>
      </c>
      <c r="J10" s="202">
        <v>5091</v>
      </c>
      <c r="K10" s="190">
        <f t="shared" si="1"/>
        <v>770.79735</v>
      </c>
      <c r="L10" s="190">
        <v>0</v>
      </c>
      <c r="M10" s="190">
        <v>0</v>
      </c>
      <c r="N10" s="202">
        <f t="shared" si="2"/>
        <v>981.481959</v>
      </c>
      <c r="O10" s="190">
        <f t="shared" si="3"/>
        <v>-2614.119309</v>
      </c>
      <c r="P10" s="202" t="s">
        <v>403</v>
      </c>
      <c r="Q10" s="203">
        <f>_xlfn.XLOOKUP(A10,Sales!D:D,Sales!K:K)</f>
        <v>46048</v>
      </c>
      <c r="R10" s="203">
        <f>VLOOKUP(A10,Sales!D:L,8,0)</f>
        <v>46048</v>
      </c>
      <c r="S10" s="204" t="s">
        <v>404</v>
      </c>
      <c r="T10" s="195">
        <f t="shared" si="4"/>
        <v>-20014.54</v>
      </c>
      <c r="U10" s="174">
        <f t="shared" si="5"/>
        <v>16358.03265</v>
      </c>
      <c r="V10" s="196">
        <f t="shared" si="7"/>
        <v>-3656.50735</v>
      </c>
      <c r="W10" s="196"/>
      <c r="Y10" s="205">
        <v>16358.03265</v>
      </c>
      <c r="Z10" s="198" t="str">
        <f t="shared" ref="Z10:Z73" si="9">MID(S10,8,2)</f>
        <v>02</v>
      </c>
      <c r="AA10" s="198">
        <f>_xlfn.XLOOKUP("*"&amp;$S10&amp;"*",'Other pmt'!H$1:H$1126,'Other pmt'!D$1:D$1126,0,2)</f>
        <v>0</v>
      </c>
      <c r="AB10" s="198">
        <f t="shared" si="8"/>
        <v>0</v>
      </c>
      <c r="AC10" s="199">
        <f t="shared" si="6"/>
        <v>0</v>
      </c>
      <c r="AD10" s="198"/>
      <c r="AE10" s="200">
        <f>CHOOSE(MATCH($B10,{"Petco","PSP"},0),SUMIF('Petco Rec'!M:M,$S10,'Petco Rec'!E:E),SUMIF('PSP Rec'!B:B,$S10,'PSP Rec'!M:M))</f>
        <v>0</v>
      </c>
      <c r="AF10" s="198"/>
      <c r="AG10" s="198"/>
      <c r="AH10" s="198"/>
      <c r="AI10" s="198"/>
      <c r="AJ10" s="198"/>
      <c r="AK10" s="198"/>
    </row>
    <row r="11" customHeight="1" spans="1:37">
      <c r="A11" s="201">
        <v>29657900</v>
      </c>
      <c r="B11" s="189" t="str">
        <f>_xlfn.XLOOKUP(A11,Sales!D:D,Sales!H:H)</f>
        <v>Petco</v>
      </c>
      <c r="C11" s="190">
        <f>SUMIFS(Sales!G:G,Sales!D:D,A11)</f>
        <v>10987.53</v>
      </c>
      <c r="D11" s="190">
        <f>SUMIFS(Sales!N:N,Sales!D:D,A11)</f>
        <v>5464.77</v>
      </c>
      <c r="E11" s="191" t="s">
        <v>130</v>
      </c>
      <c r="F11" s="190">
        <f t="shared" si="0"/>
        <v>1525</v>
      </c>
      <c r="G11" s="192">
        <f>SUMIFS(Sales!R:R,Sales!D:D,A11)</f>
        <v>15.25</v>
      </c>
      <c r="H11" s="202">
        <v>2000</v>
      </c>
      <c r="I11" s="202">
        <v>2000</v>
      </c>
      <c r="J11" s="202">
        <v>949</v>
      </c>
      <c r="K11" s="190">
        <f t="shared" si="1"/>
        <v>494.43885</v>
      </c>
      <c r="L11" s="190">
        <v>0</v>
      </c>
      <c r="M11" s="190">
        <v>0</v>
      </c>
      <c r="N11" s="202">
        <f t="shared" si="2"/>
        <v>629.585469</v>
      </c>
      <c r="O11" s="190">
        <f t="shared" si="3"/>
        <v>-75.2643189999998</v>
      </c>
      <c r="P11" s="202" t="s">
        <v>403</v>
      </c>
      <c r="Q11" s="203">
        <f>_xlfn.XLOOKUP(A11,Sales!D:D,Sales!K:K)</f>
        <v>46048</v>
      </c>
      <c r="R11" s="203">
        <f>VLOOKUP(A11,Sales!D:L,8,0)</f>
        <v>46048</v>
      </c>
      <c r="S11" s="204" t="s">
        <v>405</v>
      </c>
      <c r="T11" s="195">
        <f t="shared" si="4"/>
        <v>-11954.02</v>
      </c>
      <c r="U11" s="174">
        <f t="shared" si="5"/>
        <v>10493.09115</v>
      </c>
      <c r="V11" s="196">
        <f t="shared" si="7"/>
        <v>-1460.92885</v>
      </c>
      <c r="W11" s="196"/>
      <c r="Y11" s="205">
        <v>10493.09115</v>
      </c>
      <c r="Z11" s="198" t="str">
        <f t="shared" si="9"/>
        <v>02</v>
      </c>
      <c r="AA11" s="198">
        <f>_xlfn.XLOOKUP("*"&amp;$S11&amp;"*",'Other pmt'!H$1:H$1126,'Other pmt'!D$1:D$1126,0,2)</f>
        <v>0</v>
      </c>
      <c r="AB11" s="198">
        <f t="shared" si="8"/>
        <v>0</v>
      </c>
      <c r="AC11" s="199">
        <f t="shared" si="6"/>
        <v>0</v>
      </c>
      <c r="AD11" s="198"/>
      <c r="AE11" s="200">
        <f>CHOOSE(MATCH($B11,{"Petco","PSP"},0),SUMIF('Petco Rec'!M:M,$S11,'Petco Rec'!E:E),SUMIF('PSP Rec'!B:B,$S11,'PSP Rec'!M:M))</f>
        <v>0</v>
      </c>
      <c r="AF11" s="198"/>
      <c r="AG11" s="198"/>
      <c r="AH11" s="198"/>
      <c r="AI11" s="198"/>
      <c r="AJ11" s="198"/>
      <c r="AK11" s="198"/>
    </row>
    <row r="12" customHeight="1" spans="1:37">
      <c r="A12" s="201">
        <v>29657898</v>
      </c>
      <c r="B12" s="189" t="str">
        <f>_xlfn.XLOOKUP(A12,Sales!D:D,Sales!H:H)</f>
        <v>Petco</v>
      </c>
      <c r="C12" s="190">
        <f>SUMIFS(Sales!G:G,Sales!D:D,A12)</f>
        <v>13269.94</v>
      </c>
      <c r="D12" s="190">
        <f>SUMIFS(Sales!N:N,Sales!D:D,A12)</f>
        <v>6606</v>
      </c>
      <c r="E12" s="191" t="s">
        <v>130</v>
      </c>
      <c r="F12" s="190">
        <f t="shared" si="0"/>
        <v>1845</v>
      </c>
      <c r="G12" s="192">
        <f>SUMIFS(Sales!R:R,Sales!D:D,A12)</f>
        <v>18.45</v>
      </c>
      <c r="H12" s="202">
        <v>2000</v>
      </c>
      <c r="I12" s="202">
        <v>2000</v>
      </c>
      <c r="J12" s="202">
        <v>6267</v>
      </c>
      <c r="K12" s="190">
        <f t="shared" si="1"/>
        <v>597.1473</v>
      </c>
      <c r="L12" s="190">
        <v>0</v>
      </c>
      <c r="M12" s="190">
        <v>0</v>
      </c>
      <c r="N12" s="202">
        <f t="shared" si="2"/>
        <v>760.367562</v>
      </c>
      <c r="O12" s="190">
        <f t="shared" si="3"/>
        <v>-4805.574862</v>
      </c>
      <c r="P12" s="202" t="s">
        <v>403</v>
      </c>
      <c r="Q12" s="203">
        <f>_xlfn.XLOOKUP(A12,Sales!D:D,Sales!K:K)</f>
        <v>46048</v>
      </c>
      <c r="R12" s="203">
        <f>VLOOKUP(A12,Sales!D:L,8,0)</f>
        <v>46048</v>
      </c>
      <c r="S12" s="204" t="s">
        <v>406</v>
      </c>
      <c r="T12" s="195">
        <f t="shared" si="4"/>
        <v>-18736.45</v>
      </c>
      <c r="U12" s="174">
        <f t="shared" si="5"/>
        <v>12672.7927</v>
      </c>
      <c r="V12" s="196">
        <f t="shared" si="7"/>
        <v>-6063.6573</v>
      </c>
      <c r="W12" s="196"/>
      <c r="Y12" s="205">
        <v>12672.7927</v>
      </c>
      <c r="Z12" s="198" t="str">
        <f t="shared" si="9"/>
        <v>02</v>
      </c>
      <c r="AA12" s="198">
        <f>_xlfn.XLOOKUP("*"&amp;$S12&amp;"*",'Other pmt'!H$1:H$1126,'Other pmt'!D$1:D$1126,0,2)</f>
        <v>0</v>
      </c>
      <c r="AB12" s="198">
        <f t="shared" si="8"/>
        <v>0</v>
      </c>
      <c r="AC12" s="199">
        <f t="shared" si="6"/>
        <v>0</v>
      </c>
      <c r="AD12" s="198"/>
      <c r="AE12" s="200">
        <f>CHOOSE(MATCH($B12,{"Petco","PSP"},0),SUMIF('Petco Rec'!M:M,$S12,'Petco Rec'!E:E),SUMIF('PSP Rec'!B:B,$S12,'PSP Rec'!M:M))</f>
        <v>0</v>
      </c>
      <c r="AF12" s="198"/>
      <c r="AG12" s="198"/>
      <c r="AH12" s="198"/>
      <c r="AI12" s="198"/>
      <c r="AJ12" s="198"/>
      <c r="AK12" s="198"/>
    </row>
    <row r="13" customHeight="1" spans="1:37">
      <c r="A13" s="201">
        <v>29657902</v>
      </c>
      <c r="B13" s="189" t="str">
        <f>_xlfn.XLOOKUP(A13,Sales!D:D,Sales!H:H)</f>
        <v>Petco</v>
      </c>
      <c r="C13" s="190">
        <f>SUMIFS(Sales!G:G,Sales!D:D,A13)</f>
        <v>21550.63</v>
      </c>
      <c r="D13" s="190">
        <f>SUMIFS(Sales!N:N,Sales!D:D,A13)</f>
        <v>10725.55</v>
      </c>
      <c r="E13" s="191" t="s">
        <v>130</v>
      </c>
      <c r="F13" s="190">
        <f t="shared" si="0"/>
        <v>2999</v>
      </c>
      <c r="G13" s="192">
        <f>SUMIFS(Sales!R:R,Sales!D:D,A13)</f>
        <v>29.99</v>
      </c>
      <c r="H13" s="202">
        <v>2000</v>
      </c>
      <c r="I13" s="202">
        <v>2000</v>
      </c>
      <c r="J13" s="202">
        <v>7300</v>
      </c>
      <c r="K13" s="190">
        <f t="shared" si="1"/>
        <v>969.77835</v>
      </c>
      <c r="L13" s="190">
        <v>0</v>
      </c>
      <c r="M13" s="190">
        <v>0</v>
      </c>
      <c r="N13" s="202">
        <f t="shared" si="2"/>
        <v>1234.851099</v>
      </c>
      <c r="O13" s="190">
        <f t="shared" si="3"/>
        <v>-3678.549449</v>
      </c>
      <c r="P13" s="202" t="s">
        <v>403</v>
      </c>
      <c r="Q13" s="203">
        <f>_xlfn.XLOOKUP(A13,Sales!D:D,Sales!K:K)</f>
        <v>46048</v>
      </c>
      <c r="R13" s="203">
        <f>VLOOKUP(A13,Sales!D:L,8,0)</f>
        <v>46048</v>
      </c>
      <c r="S13" s="204" t="s">
        <v>407</v>
      </c>
      <c r="T13" s="195">
        <f t="shared" si="4"/>
        <v>-25054.54</v>
      </c>
      <c r="U13" s="174">
        <f t="shared" si="5"/>
        <v>20580.85165</v>
      </c>
      <c r="V13" s="196">
        <f t="shared" si="7"/>
        <v>-4473.68835</v>
      </c>
      <c r="W13" s="196"/>
      <c r="Y13" s="205">
        <v>20580.85165</v>
      </c>
      <c r="Z13" s="198" t="str">
        <f t="shared" si="9"/>
        <v>02</v>
      </c>
      <c r="AA13" s="198">
        <f>_xlfn.XLOOKUP("*"&amp;$S13&amp;"*",'Other pmt'!H$1:H$1126,'Other pmt'!D$1:D$1126,0,2)</f>
        <v>0</v>
      </c>
      <c r="AB13" s="198">
        <f t="shared" si="8"/>
        <v>0</v>
      </c>
      <c r="AC13" s="199">
        <f t="shared" si="6"/>
        <v>0</v>
      </c>
      <c r="AD13" s="198"/>
      <c r="AE13" s="200">
        <f>CHOOSE(MATCH($B13,{"Petco","PSP"},0),SUMIF('Petco Rec'!M:M,$S13,'Petco Rec'!E:E),SUMIF('PSP Rec'!B:B,$S13,'PSP Rec'!M:M))</f>
        <v>0</v>
      </c>
      <c r="AF13" s="198"/>
      <c r="AG13" s="198"/>
      <c r="AH13" s="198"/>
      <c r="AI13" s="198"/>
      <c r="AJ13" s="198"/>
      <c r="AK13" s="198"/>
    </row>
    <row r="14" customHeight="1" spans="1:37">
      <c r="A14" s="201">
        <v>29657899</v>
      </c>
      <c r="B14" s="189" t="str">
        <f>_xlfn.XLOOKUP(A14,Sales!D:D,Sales!H:H)</f>
        <v>Petco</v>
      </c>
      <c r="C14" s="190">
        <f>SUMIFS(Sales!G:G,Sales!D:D,A14)</f>
        <v>10462.34</v>
      </c>
      <c r="D14" s="190">
        <f>SUMIFS(Sales!N:N,Sales!D:D,A14)</f>
        <v>5066.86</v>
      </c>
      <c r="E14" s="191" t="s">
        <v>130</v>
      </c>
      <c r="F14" s="190">
        <f t="shared" si="0"/>
        <v>1548</v>
      </c>
      <c r="G14" s="192">
        <f>SUMIFS(Sales!R:R,Sales!D:D,A14)</f>
        <v>15.48</v>
      </c>
      <c r="H14" s="202">
        <v>2000</v>
      </c>
      <c r="I14" s="202">
        <v>2000</v>
      </c>
      <c r="J14" s="202">
        <v>4394</v>
      </c>
      <c r="K14" s="190">
        <f t="shared" si="1"/>
        <v>470.8053</v>
      </c>
      <c r="L14" s="190">
        <v>0</v>
      </c>
      <c r="M14" s="190">
        <v>0</v>
      </c>
      <c r="N14" s="202">
        <f t="shared" si="2"/>
        <v>599.492082</v>
      </c>
      <c r="O14" s="190">
        <f t="shared" si="3"/>
        <v>-3616.817382</v>
      </c>
      <c r="P14" s="202" t="s">
        <v>403</v>
      </c>
      <c r="Q14" s="203">
        <f>_xlfn.XLOOKUP(A14,Sales!D:D,Sales!K:K)</f>
        <v>46048</v>
      </c>
      <c r="R14" s="203">
        <f>VLOOKUP(A14,Sales!D:L,8,0)</f>
        <v>46048</v>
      </c>
      <c r="S14" s="204" t="s">
        <v>408</v>
      </c>
      <c r="T14" s="195">
        <f t="shared" si="4"/>
        <v>-15024.34</v>
      </c>
      <c r="U14" s="174">
        <f t="shared" si="5"/>
        <v>9991.5347</v>
      </c>
      <c r="V14" s="196">
        <f t="shared" si="7"/>
        <v>-5032.8053</v>
      </c>
      <c r="W14" s="196"/>
      <c r="Y14" s="205">
        <v>9991.5347</v>
      </c>
      <c r="Z14" s="198" t="str">
        <f t="shared" si="9"/>
        <v>02</v>
      </c>
      <c r="AA14" s="198">
        <f>_xlfn.XLOOKUP("*"&amp;$S14&amp;"*",'Other pmt'!H$1:H$1126,'Other pmt'!D$1:D$1126,0,2)</f>
        <v>0</v>
      </c>
      <c r="AB14" s="198">
        <f t="shared" si="8"/>
        <v>0</v>
      </c>
      <c r="AC14" s="199">
        <f t="shared" si="6"/>
        <v>0</v>
      </c>
      <c r="AD14" s="198"/>
      <c r="AE14" s="200">
        <f>CHOOSE(MATCH($B14,{"Petco","PSP"},0),SUMIF('Petco Rec'!M:M,$S14,'Petco Rec'!E:E),SUMIF('PSP Rec'!B:B,$S14,'PSP Rec'!M:M))</f>
        <v>0</v>
      </c>
      <c r="AF14" s="198"/>
      <c r="AG14" s="198"/>
      <c r="AH14" s="198"/>
      <c r="AI14" s="198"/>
      <c r="AJ14" s="198"/>
      <c r="AK14" s="198"/>
    </row>
    <row r="15" customHeight="1" spans="1:37">
      <c r="A15" s="201">
        <v>29657901</v>
      </c>
      <c r="B15" s="189" t="str">
        <f>_xlfn.XLOOKUP(A15,Sales!D:D,Sales!H:H)</f>
        <v>Petco</v>
      </c>
      <c r="C15" s="190">
        <f>SUMIFS(Sales!G:G,Sales!D:D,A15)</f>
        <v>13521.17</v>
      </c>
      <c r="D15" s="190">
        <f>SUMIFS(Sales!N:N,Sales!D:D,A15)</f>
        <v>6727.23</v>
      </c>
      <c r="E15" s="191" t="s">
        <v>130</v>
      </c>
      <c r="F15" s="190">
        <f t="shared" si="0"/>
        <v>1884</v>
      </c>
      <c r="G15" s="192">
        <f>SUMIFS(Sales!R:R,Sales!D:D,A15)</f>
        <v>18.84</v>
      </c>
      <c r="H15" s="202">
        <v>2000</v>
      </c>
      <c r="I15" s="202">
        <v>2000</v>
      </c>
      <c r="J15" s="202">
        <v>2129</v>
      </c>
      <c r="K15" s="190">
        <f t="shared" si="1"/>
        <v>608.45265</v>
      </c>
      <c r="L15" s="190">
        <v>0</v>
      </c>
      <c r="M15" s="190">
        <v>0</v>
      </c>
      <c r="N15" s="202">
        <f t="shared" si="2"/>
        <v>774.763041</v>
      </c>
      <c r="O15" s="190">
        <f t="shared" si="3"/>
        <v>-602.275690999999</v>
      </c>
      <c r="P15" s="202" t="s">
        <v>403</v>
      </c>
      <c r="Q15" s="203">
        <f>_xlfn.XLOOKUP(A15,Sales!D:D,Sales!K:K)</f>
        <v>46048</v>
      </c>
      <c r="R15" s="203">
        <f>VLOOKUP(A15,Sales!D:L,8,0)</f>
        <v>46048</v>
      </c>
      <c r="S15" s="204" t="s">
        <v>409</v>
      </c>
      <c r="T15" s="195">
        <f t="shared" si="4"/>
        <v>-14759.07</v>
      </c>
      <c r="U15" s="174">
        <f t="shared" si="5"/>
        <v>12912.71735</v>
      </c>
      <c r="V15" s="196">
        <f t="shared" si="7"/>
        <v>-1846.35265</v>
      </c>
      <c r="W15" s="196"/>
      <c r="Y15" s="205">
        <v>12912.71735</v>
      </c>
      <c r="Z15" s="198" t="str">
        <f t="shared" si="9"/>
        <v>02</v>
      </c>
      <c r="AA15" s="198">
        <f>_xlfn.XLOOKUP("*"&amp;$S15&amp;"*",'Other pmt'!H$1:H$1126,'Other pmt'!D$1:D$1126,0,2)</f>
        <v>0</v>
      </c>
      <c r="AB15" s="198">
        <f t="shared" si="8"/>
        <v>0</v>
      </c>
      <c r="AC15" s="199">
        <f t="shared" si="6"/>
        <v>0</v>
      </c>
      <c r="AD15" s="198"/>
      <c r="AE15" s="200">
        <f>CHOOSE(MATCH($B15,{"Petco","PSP"},0),SUMIF('Petco Rec'!M:M,$S15,'Petco Rec'!E:E),SUMIF('PSP Rec'!B:B,$S15,'PSP Rec'!M:M))</f>
        <v>0</v>
      </c>
      <c r="AF15" s="198"/>
      <c r="AG15" s="198"/>
      <c r="AH15" s="198"/>
      <c r="AI15" s="198"/>
      <c r="AJ15" s="198"/>
      <c r="AK15" s="198"/>
    </row>
    <row r="16" customHeight="1" spans="1:37">
      <c r="A16" s="201">
        <v>29709590</v>
      </c>
      <c r="B16" s="189" t="str">
        <f>_xlfn.XLOOKUP(A16,Sales!D:D,Sales!H:H)</f>
        <v>Petco</v>
      </c>
      <c r="C16" s="190">
        <f>SUMIFS(Sales!G:G,Sales!D:D,A16)</f>
        <v>2171.28</v>
      </c>
      <c r="D16" s="190">
        <f>SUMIFS(Sales!N:N,Sales!D:D,A16)</f>
        <v>1082.44</v>
      </c>
      <c r="E16" s="191" t="s">
        <v>130</v>
      </c>
      <c r="F16" s="190">
        <f t="shared" si="0"/>
        <v>184</v>
      </c>
      <c r="G16" s="192">
        <f>SUMIFS(Sales!R:R,Sales!D:D,A16)</f>
        <v>1.84</v>
      </c>
      <c r="H16" s="202">
        <v>600</v>
      </c>
      <c r="I16" s="202">
        <v>600</v>
      </c>
      <c r="J16" s="202">
        <v>696.46</v>
      </c>
      <c r="K16" s="190">
        <f t="shared" si="1"/>
        <v>97.7076</v>
      </c>
      <c r="L16" s="190">
        <v>0</v>
      </c>
      <c r="M16" s="190">
        <v>0</v>
      </c>
      <c r="N16" s="202">
        <f t="shared" si="2"/>
        <v>124.414344</v>
      </c>
      <c r="O16" s="190">
        <f t="shared" si="3"/>
        <v>-613.741944</v>
      </c>
      <c r="P16" s="202" t="s">
        <v>403</v>
      </c>
      <c r="Q16" s="203">
        <f>_xlfn.XLOOKUP(A16,Sales!D:D,Sales!K:K)</f>
        <v>46048</v>
      </c>
      <c r="R16" s="203">
        <f>VLOOKUP(A16,Sales!D:L,8,0)</f>
        <v>46048</v>
      </c>
      <c r="S16" s="204" t="s">
        <v>410</v>
      </c>
      <c r="T16" s="195">
        <f t="shared" si="4"/>
        <v>-3164.74</v>
      </c>
      <c r="U16" s="174">
        <f t="shared" si="5"/>
        <v>2073.5724</v>
      </c>
      <c r="V16" s="196">
        <f t="shared" si="7"/>
        <v>-1091.1676</v>
      </c>
      <c r="W16" s="196"/>
      <c r="Y16" s="205">
        <v>2073.5724</v>
      </c>
      <c r="Z16" s="198" t="str">
        <f t="shared" si="9"/>
        <v>02</v>
      </c>
      <c r="AA16" s="198">
        <f>_xlfn.XLOOKUP("*"&amp;$S16&amp;"*",'Other pmt'!H$1:H$1126,'Other pmt'!D$1:D$1126,0,2)</f>
        <v>0</v>
      </c>
      <c r="AB16" s="198">
        <f t="shared" si="8"/>
        <v>0</v>
      </c>
      <c r="AC16" s="199">
        <f t="shared" si="6"/>
        <v>0</v>
      </c>
      <c r="AD16" s="198"/>
      <c r="AE16" s="200">
        <f>CHOOSE(MATCH($B16,{"Petco","PSP"},0),SUMIF('Petco Rec'!M:M,$S16,'Petco Rec'!E:E),SUMIF('PSP Rec'!B:B,$S16,'PSP Rec'!M:M))</f>
        <v>0</v>
      </c>
      <c r="AF16" s="198"/>
      <c r="AG16" s="198"/>
      <c r="AH16" s="198"/>
      <c r="AI16" s="198"/>
      <c r="AJ16" s="198"/>
      <c r="AK16" s="198"/>
    </row>
    <row r="17" customHeight="1" spans="1:37">
      <c r="A17" s="201">
        <v>29709589</v>
      </c>
      <c r="B17" s="189" t="str">
        <f>_xlfn.XLOOKUP(A17,Sales!D:D,Sales!H:H)</f>
        <v>Petco</v>
      </c>
      <c r="C17" s="190">
        <f>SUMIFS(Sales!G:G,Sales!D:D,A17)</f>
        <v>3092.64</v>
      </c>
      <c r="D17" s="190">
        <f>SUMIFS(Sales!N:N,Sales!D:D,A17)</f>
        <v>1544.6</v>
      </c>
      <c r="E17" s="191" t="s">
        <v>130</v>
      </c>
      <c r="F17" s="190">
        <f t="shared" si="0"/>
        <v>255</v>
      </c>
      <c r="G17" s="192">
        <f>SUMIFS(Sales!R:R,Sales!D:D,A17)</f>
        <v>2.55</v>
      </c>
      <c r="H17" s="202">
        <v>600</v>
      </c>
      <c r="I17" s="202">
        <v>600</v>
      </c>
      <c r="J17" s="202">
        <v>917.07</v>
      </c>
      <c r="K17" s="190">
        <f t="shared" si="1"/>
        <v>139.1688</v>
      </c>
      <c r="L17" s="190">
        <v>0</v>
      </c>
      <c r="M17" s="190">
        <v>0</v>
      </c>
      <c r="N17" s="202">
        <f t="shared" si="2"/>
        <v>177.208272</v>
      </c>
      <c r="O17" s="190">
        <f t="shared" si="3"/>
        <v>-540.407072</v>
      </c>
      <c r="P17" s="202" t="s">
        <v>403</v>
      </c>
      <c r="Q17" s="203">
        <f>_xlfn.XLOOKUP(A17,Sales!D:D,Sales!K:K)</f>
        <v>46048</v>
      </c>
      <c r="R17" s="203">
        <f>VLOOKUP(A17,Sales!D:L,8,0)</f>
        <v>46048</v>
      </c>
      <c r="S17" s="204" t="s">
        <v>411</v>
      </c>
      <c r="T17" s="195">
        <f t="shared" si="4"/>
        <v>-3919.22</v>
      </c>
      <c r="U17" s="174">
        <f t="shared" si="5"/>
        <v>2953.4712</v>
      </c>
      <c r="V17" s="196">
        <f t="shared" si="7"/>
        <v>-965.7488</v>
      </c>
      <c r="W17" s="196"/>
      <c r="Y17" s="205">
        <v>2953.4712</v>
      </c>
      <c r="Z17" s="198" t="str">
        <f t="shared" si="9"/>
        <v>02</v>
      </c>
      <c r="AA17" s="198">
        <f>_xlfn.XLOOKUP("*"&amp;$S17&amp;"*",'Other pmt'!H$1:H$1126,'Other pmt'!D$1:D$1126,0,2)</f>
        <v>0</v>
      </c>
      <c r="AB17" s="198">
        <f t="shared" si="8"/>
        <v>0</v>
      </c>
      <c r="AC17" s="199">
        <f t="shared" si="6"/>
        <v>0</v>
      </c>
      <c r="AD17" s="198"/>
      <c r="AE17" s="200">
        <f>CHOOSE(MATCH($B17,{"Petco","PSP"},0),SUMIF('Petco Rec'!M:M,$S17,'Petco Rec'!E:E),SUMIF('PSP Rec'!B:B,$S17,'PSP Rec'!M:M))</f>
        <v>0</v>
      </c>
      <c r="AF17" s="198"/>
      <c r="AG17" s="198"/>
      <c r="AH17" s="198"/>
      <c r="AI17" s="198"/>
      <c r="AJ17" s="198"/>
      <c r="AK17" s="198"/>
    </row>
    <row r="18" customHeight="1" spans="1:37">
      <c r="A18" s="201">
        <v>29709591</v>
      </c>
      <c r="B18" s="189" t="str">
        <f>_xlfn.XLOOKUP(A18,Sales!D:D,Sales!H:H)</f>
        <v>Petco</v>
      </c>
      <c r="C18" s="190">
        <f>SUMIFS(Sales!G:G,Sales!D:D,A18)</f>
        <v>2614.64</v>
      </c>
      <c r="D18" s="190">
        <f>SUMIFS(Sales!N:N,Sales!D:D,A18)</f>
        <v>1307.48</v>
      </c>
      <c r="E18" s="191" t="s">
        <v>130</v>
      </c>
      <c r="F18" s="190">
        <f t="shared" si="0"/>
        <v>213</v>
      </c>
      <c r="G18" s="192">
        <f>SUMIFS(Sales!R:R,Sales!D:D,A18)</f>
        <v>2.13</v>
      </c>
      <c r="H18" s="202">
        <v>600</v>
      </c>
      <c r="I18" s="202">
        <v>600</v>
      </c>
      <c r="J18" s="202">
        <v>158</v>
      </c>
      <c r="K18" s="190">
        <f t="shared" si="1"/>
        <v>117.6588</v>
      </c>
      <c r="L18" s="190">
        <v>0</v>
      </c>
      <c r="M18" s="190">
        <v>0</v>
      </c>
      <c r="N18" s="202">
        <f t="shared" si="2"/>
        <v>149.818872</v>
      </c>
      <c r="O18" s="190">
        <f t="shared" si="3"/>
        <v>68.6823280000001</v>
      </c>
      <c r="P18" s="202" t="s">
        <v>403</v>
      </c>
      <c r="Q18" s="203">
        <f>_xlfn.XLOOKUP(A18,Sales!D:D,Sales!K:K)</f>
        <v>46048</v>
      </c>
      <c r="R18" s="203">
        <f>VLOOKUP(A18,Sales!D:L,8,0)</f>
        <v>46048</v>
      </c>
      <c r="S18" s="204" t="s">
        <v>412</v>
      </c>
      <c r="T18" s="195">
        <f t="shared" si="4"/>
        <v>-2880.61</v>
      </c>
      <c r="U18" s="174">
        <f t="shared" si="5"/>
        <v>2496.9812</v>
      </c>
      <c r="V18" s="196">
        <f t="shared" si="7"/>
        <v>-383.6288</v>
      </c>
      <c r="W18" s="196"/>
      <c r="Y18" s="205">
        <v>2496.9812</v>
      </c>
      <c r="Z18" s="198" t="str">
        <f t="shared" si="9"/>
        <v>02</v>
      </c>
      <c r="AA18" s="198">
        <f>_xlfn.XLOOKUP("*"&amp;$S18&amp;"*",'Other pmt'!H$1:H$1126,'Other pmt'!D$1:D$1126,0,2)</f>
        <v>0</v>
      </c>
      <c r="AB18" s="198">
        <f t="shared" si="8"/>
        <v>0</v>
      </c>
      <c r="AC18" s="199">
        <f t="shared" si="6"/>
        <v>0</v>
      </c>
      <c r="AD18" s="198"/>
      <c r="AE18" s="200">
        <f>CHOOSE(MATCH($B18,{"Petco","PSP"},0),SUMIF('Petco Rec'!M:M,$S18,'Petco Rec'!E:E),SUMIF('PSP Rec'!B:B,$S18,'PSP Rec'!M:M))</f>
        <v>0</v>
      </c>
      <c r="AF18" s="198"/>
      <c r="AG18" s="198"/>
      <c r="AH18" s="198"/>
      <c r="AI18" s="198"/>
      <c r="AJ18" s="198"/>
      <c r="AK18" s="198"/>
    </row>
    <row r="19" customHeight="1" spans="1:37">
      <c r="A19" s="201">
        <v>29709593</v>
      </c>
      <c r="B19" s="189" t="str">
        <f>_xlfn.XLOOKUP(A19,Sales!D:D,Sales!H:H)</f>
        <v>Petco</v>
      </c>
      <c r="C19" s="190">
        <f>SUMIFS(Sales!G:G,Sales!D:D,A19)</f>
        <v>5200.08</v>
      </c>
      <c r="D19" s="190">
        <f>SUMIFS(Sales!N:N,Sales!D:D,A19)</f>
        <v>2599.08</v>
      </c>
      <c r="E19" s="191" t="s">
        <v>130</v>
      </c>
      <c r="F19" s="190">
        <f t="shared" si="0"/>
        <v>430</v>
      </c>
      <c r="G19" s="192">
        <f>SUMIFS(Sales!R:R,Sales!D:D,A19)</f>
        <v>4.3</v>
      </c>
      <c r="H19" s="202">
        <v>600</v>
      </c>
      <c r="I19" s="202">
        <v>600</v>
      </c>
      <c r="J19" s="202">
        <v>1506</v>
      </c>
      <c r="K19" s="190">
        <f t="shared" si="1"/>
        <v>234.0036</v>
      </c>
      <c r="L19" s="190">
        <v>0</v>
      </c>
      <c r="M19" s="190">
        <v>0</v>
      </c>
      <c r="N19" s="202">
        <f t="shared" si="2"/>
        <v>297.964584</v>
      </c>
      <c r="O19" s="190">
        <f t="shared" si="3"/>
        <v>-466.968184</v>
      </c>
      <c r="P19" s="202" t="s">
        <v>403</v>
      </c>
      <c r="Q19" s="203">
        <f>_xlfn.XLOOKUP(A19,Sales!D:D,Sales!K:K)</f>
        <v>46048</v>
      </c>
      <c r="R19" s="203">
        <f>VLOOKUP(A19,Sales!D:L,8,0)</f>
        <v>46048</v>
      </c>
      <c r="S19" s="204" t="s">
        <v>413</v>
      </c>
      <c r="T19" s="195">
        <f t="shared" si="4"/>
        <v>-5739.38</v>
      </c>
      <c r="U19" s="174">
        <f t="shared" si="5"/>
        <v>4966.0764</v>
      </c>
      <c r="V19" s="196">
        <f t="shared" si="7"/>
        <v>-773.3036</v>
      </c>
      <c r="W19" s="196"/>
      <c r="Y19" s="205">
        <v>4966.0764</v>
      </c>
      <c r="Z19" s="198" t="str">
        <f t="shared" si="9"/>
        <v>02</v>
      </c>
      <c r="AA19" s="198">
        <f>_xlfn.XLOOKUP("*"&amp;$S19&amp;"*",'Other pmt'!H$1:H$1126,'Other pmt'!D$1:D$1126,0,2)</f>
        <v>0</v>
      </c>
      <c r="AB19" s="198">
        <f t="shared" si="8"/>
        <v>0</v>
      </c>
      <c r="AC19" s="199">
        <f t="shared" si="6"/>
        <v>0</v>
      </c>
      <c r="AD19" s="198"/>
      <c r="AE19" s="200">
        <f>CHOOSE(MATCH($B19,{"Petco","PSP"},0),SUMIF('Petco Rec'!M:M,$S19,'Petco Rec'!E:E),SUMIF('PSP Rec'!B:B,$S19,'PSP Rec'!M:M))</f>
        <v>0</v>
      </c>
      <c r="AF19" s="198"/>
      <c r="AG19" s="198"/>
      <c r="AH19" s="198"/>
      <c r="AI19" s="198"/>
      <c r="AJ19" s="198"/>
      <c r="AK19" s="198"/>
    </row>
    <row r="20" customHeight="1" spans="1:37">
      <c r="A20" s="201">
        <v>29709592</v>
      </c>
      <c r="B20" s="189" t="str">
        <f>_xlfn.XLOOKUP(A20,Sales!D:D,Sales!H:H)</f>
        <v>Petco</v>
      </c>
      <c r="C20" s="190">
        <f>SUMIFS(Sales!G:G,Sales!D:D,A20)</f>
        <v>3092.64</v>
      </c>
      <c r="D20" s="190">
        <f>SUMIFS(Sales!N:N,Sales!D:D,A20)</f>
        <v>1544.6</v>
      </c>
      <c r="E20" s="191" t="s">
        <v>130</v>
      </c>
      <c r="F20" s="190">
        <f t="shared" si="0"/>
        <v>255</v>
      </c>
      <c r="G20" s="192">
        <f>SUMIFS(Sales!R:R,Sales!D:D,A20)</f>
        <v>2.55</v>
      </c>
      <c r="H20" s="202">
        <v>600</v>
      </c>
      <c r="I20" s="202">
        <v>600</v>
      </c>
      <c r="J20" s="202">
        <v>645</v>
      </c>
      <c r="K20" s="190">
        <f t="shared" si="1"/>
        <v>139.1688</v>
      </c>
      <c r="L20" s="190">
        <v>0</v>
      </c>
      <c r="M20" s="190">
        <v>0</v>
      </c>
      <c r="N20" s="202">
        <f t="shared" si="2"/>
        <v>177.208272</v>
      </c>
      <c r="O20" s="190">
        <f t="shared" si="3"/>
        <v>-268.337072</v>
      </c>
      <c r="P20" s="202" t="s">
        <v>403</v>
      </c>
      <c r="Q20" s="203">
        <f>_xlfn.XLOOKUP(A20,Sales!D:D,Sales!K:K)</f>
        <v>46048</v>
      </c>
      <c r="R20" s="203">
        <f>VLOOKUP(A20,Sales!D:L,8,0)</f>
        <v>46048</v>
      </c>
      <c r="S20" s="204" t="s">
        <v>414</v>
      </c>
      <c r="T20" s="195">
        <f t="shared" si="4"/>
        <v>-3647.15</v>
      </c>
      <c r="U20" s="174">
        <f t="shared" si="5"/>
        <v>2953.4712</v>
      </c>
      <c r="V20" s="196">
        <f t="shared" si="7"/>
        <v>-693.6788</v>
      </c>
      <c r="W20" s="196"/>
      <c r="Y20" s="205">
        <v>2953.4712</v>
      </c>
      <c r="Z20" s="198" t="str">
        <f t="shared" si="9"/>
        <v>02</v>
      </c>
      <c r="AA20" s="198">
        <f>_xlfn.XLOOKUP("*"&amp;$S20&amp;"*",'Other pmt'!H$1:H$1126,'Other pmt'!D$1:D$1126,0,2)</f>
        <v>0</v>
      </c>
      <c r="AB20" s="198">
        <f t="shared" si="8"/>
        <v>0</v>
      </c>
      <c r="AC20" s="199">
        <f t="shared" si="6"/>
        <v>0</v>
      </c>
      <c r="AD20" s="198"/>
      <c r="AE20" s="200">
        <f>CHOOSE(MATCH($B20,{"Petco","PSP"},0),SUMIF('Petco Rec'!M:M,$S20,'Petco Rec'!E:E),SUMIF('PSP Rec'!B:B,$S20,'PSP Rec'!M:M))</f>
        <v>0</v>
      </c>
      <c r="AF20" s="198"/>
      <c r="AG20" s="198"/>
      <c r="AH20" s="198"/>
      <c r="AI20" s="198"/>
      <c r="AJ20" s="198"/>
      <c r="AK20" s="198"/>
    </row>
    <row r="21" customHeight="1" spans="1:37">
      <c r="A21" s="201">
        <v>29709588</v>
      </c>
      <c r="B21" s="189" t="str">
        <f>_xlfn.XLOOKUP(A21,Sales!D:D,Sales!H:H)</f>
        <v>Petco</v>
      </c>
      <c r="C21" s="190">
        <f>SUMIFS(Sales!G:G,Sales!D:D,A21)</f>
        <v>4048.64</v>
      </c>
      <c r="D21" s="190">
        <f>SUMIFS(Sales!N:N,Sales!D:D,A21)</f>
        <v>2018.84</v>
      </c>
      <c r="E21" s="191" t="s">
        <v>130</v>
      </c>
      <c r="F21" s="190">
        <f t="shared" si="0"/>
        <v>339</v>
      </c>
      <c r="G21" s="192">
        <f>SUMIFS(Sales!R:R,Sales!D:D,A21)</f>
        <v>3.39</v>
      </c>
      <c r="H21" s="202">
        <v>600</v>
      </c>
      <c r="I21" s="202">
        <v>600</v>
      </c>
      <c r="J21" s="202">
        <v>937.35</v>
      </c>
      <c r="K21" s="190">
        <f t="shared" si="1"/>
        <v>182.1888</v>
      </c>
      <c r="L21" s="190">
        <v>0</v>
      </c>
      <c r="M21" s="190">
        <v>0</v>
      </c>
      <c r="N21" s="202">
        <f t="shared" si="2"/>
        <v>231.987072</v>
      </c>
      <c r="O21" s="190">
        <f t="shared" si="3"/>
        <v>-260.725872</v>
      </c>
      <c r="P21" s="202" t="s">
        <v>403</v>
      </c>
      <c r="Q21" s="203">
        <f>_xlfn.XLOOKUP(A21,Sales!D:D,Sales!K:K)</f>
        <v>46048</v>
      </c>
      <c r="R21" s="203">
        <f>VLOOKUP(A21,Sales!D:L,8,0)</f>
        <v>46048</v>
      </c>
      <c r="S21" s="204" t="s">
        <v>415</v>
      </c>
      <c r="T21" s="195">
        <f t="shared" si="4"/>
        <v>-4498.58</v>
      </c>
      <c r="U21" s="174">
        <f t="shared" si="5"/>
        <v>3866.4512</v>
      </c>
      <c r="V21" s="196">
        <f t="shared" si="7"/>
        <v>-632.1288</v>
      </c>
      <c r="W21" s="196"/>
      <c r="Y21" s="205">
        <v>3866.4512</v>
      </c>
      <c r="Z21" s="198" t="str">
        <f t="shared" si="9"/>
        <v>02</v>
      </c>
      <c r="AA21" s="198">
        <f>_xlfn.XLOOKUP("*"&amp;$S21&amp;"*",'Other pmt'!H$1:H$1126,'Other pmt'!D$1:D$1126,0,2)</f>
        <v>0</v>
      </c>
      <c r="AB21" s="198">
        <f t="shared" si="8"/>
        <v>0</v>
      </c>
      <c r="AC21" s="199">
        <f t="shared" si="6"/>
        <v>0</v>
      </c>
      <c r="AD21" s="198"/>
      <c r="AE21" s="200">
        <f>CHOOSE(MATCH($B21,{"Petco","PSP"},0),SUMIF('Petco Rec'!M:M,$S21,'Petco Rec'!E:E),SUMIF('PSP Rec'!B:B,$S21,'PSP Rec'!M:M))</f>
        <v>0</v>
      </c>
      <c r="AF21" s="198"/>
      <c r="AG21" s="198"/>
      <c r="AH21" s="198"/>
      <c r="AI21" s="198"/>
      <c r="AJ21" s="198"/>
      <c r="AK21" s="198"/>
    </row>
    <row r="22" customHeight="1" spans="1:37">
      <c r="A22" s="125">
        <v>30493123</v>
      </c>
      <c r="B22" s="189" t="str">
        <f>_xlfn.XLOOKUP(A22,Sales!D:D,Sales!H:H)</f>
        <v>Petco</v>
      </c>
      <c r="C22" s="190">
        <f>SUMIFS(Sales!G:G,Sales!D:D,A22)</f>
        <v>10648.5</v>
      </c>
      <c r="D22" s="190">
        <f>SUMIFS(Sales!N:N,Sales!D:D,A22)</f>
        <v>5504.68</v>
      </c>
      <c r="E22" s="191" t="s">
        <v>130</v>
      </c>
      <c r="F22" s="190">
        <f t="shared" si="0"/>
        <v>1333</v>
      </c>
      <c r="G22" s="192">
        <f>SUMIFS(Sales!R:R,Sales!D:D,A22)</f>
        <v>13.33</v>
      </c>
      <c r="H22" s="192">
        <v>1500</v>
      </c>
      <c r="I22" s="192">
        <v>1500</v>
      </c>
      <c r="J22" s="190">
        <v>3600</v>
      </c>
      <c r="K22" s="190">
        <f t="shared" si="1"/>
        <v>479.1825</v>
      </c>
      <c r="L22" s="190">
        <v>496.46</v>
      </c>
      <c r="M22" s="190">
        <v>0</v>
      </c>
      <c r="N22" s="202">
        <f t="shared" ref="N22:N27" si="10">(C22-K22)*0.04</f>
        <v>406.7727</v>
      </c>
      <c r="O22" s="190">
        <f t="shared" si="3"/>
        <v>-2671.5952</v>
      </c>
      <c r="P22" s="190" t="s">
        <v>403</v>
      </c>
      <c r="Q22" s="193">
        <f>_xlfn.XLOOKUP(A22,Sales!D:D,Sales!K:K)</f>
        <v>46115</v>
      </c>
      <c r="R22" s="193">
        <f>VLOOKUP(A22,Sales!D:L,8,0)</f>
        <v>46115</v>
      </c>
      <c r="S22" s="204" t="s">
        <v>416</v>
      </c>
      <c r="T22" s="195">
        <f t="shared" si="4"/>
        <v>-13451.01</v>
      </c>
      <c r="U22" s="174">
        <f t="shared" si="5"/>
        <v>9672.8575</v>
      </c>
      <c r="V22" s="196">
        <f t="shared" si="7"/>
        <v>-3778.1525</v>
      </c>
      <c r="W22" s="196"/>
      <c r="X22" s="206" t="s">
        <v>417</v>
      </c>
      <c r="Y22" s="205">
        <v>9672.8575</v>
      </c>
      <c r="Z22" s="198" t="str">
        <f t="shared" si="9"/>
        <v>04</v>
      </c>
      <c r="AA22" s="198">
        <f>_xlfn.XLOOKUP("*"&amp;$S22&amp;"*",'Other pmt'!H$1:H$1126,'Other pmt'!D$1:D$1126,0,2)</f>
        <v>0</v>
      </c>
      <c r="AB22" s="198">
        <f t="shared" si="8"/>
        <v>0</v>
      </c>
      <c r="AC22" s="199">
        <f t="shared" si="6"/>
        <v>0</v>
      </c>
      <c r="AD22" s="198"/>
      <c r="AE22" s="200">
        <f>CHOOSE(MATCH($B22,{"Petco","PSP"},0),SUMIF('Petco Rec'!M:M,$S22,'Petco Rec'!E:E),SUMIF('PSP Rec'!B:B,$S22,'PSP Rec'!M:M))</f>
        <v>0</v>
      </c>
      <c r="AF22" s="198"/>
      <c r="AG22" s="198"/>
      <c r="AH22" s="198"/>
      <c r="AI22" s="198"/>
      <c r="AJ22" s="198"/>
      <c r="AK22" s="198"/>
    </row>
    <row r="23" customHeight="1" spans="1:37">
      <c r="A23" s="125">
        <v>30493126</v>
      </c>
      <c r="B23" s="189" t="str">
        <f>_xlfn.XLOOKUP(A23,Sales!D:D,Sales!H:H)</f>
        <v>Petco</v>
      </c>
      <c r="C23" s="190">
        <f>SUMIFS(Sales!G:G,Sales!D:D,A23)</f>
        <v>15118.68</v>
      </c>
      <c r="D23" s="190">
        <f>SUMIFS(Sales!N:N,Sales!D:D,A23)</f>
        <v>7778.22</v>
      </c>
      <c r="E23" s="191" t="s">
        <v>130</v>
      </c>
      <c r="F23" s="190">
        <f t="shared" si="0"/>
        <v>1918</v>
      </c>
      <c r="G23" s="192">
        <f>SUMIFS(Sales!R:R,Sales!D:D,A23)</f>
        <v>19.18</v>
      </c>
      <c r="H23" s="192">
        <v>1500</v>
      </c>
      <c r="I23" s="192">
        <v>1500</v>
      </c>
      <c r="J23" s="190">
        <v>1000</v>
      </c>
      <c r="K23" s="190">
        <f t="shared" si="1"/>
        <v>680.3406</v>
      </c>
      <c r="L23" s="190">
        <v>0</v>
      </c>
      <c r="M23" s="190">
        <v>0</v>
      </c>
      <c r="N23" s="202">
        <f t="shared" si="10"/>
        <v>577.533576</v>
      </c>
      <c r="O23" s="190">
        <f t="shared" si="3"/>
        <v>1664.585824</v>
      </c>
      <c r="P23" s="190" t="s">
        <v>403</v>
      </c>
      <c r="Q23" s="193">
        <f>_xlfn.XLOOKUP(A23,Sales!D:D,Sales!K:K)</f>
        <v>46115</v>
      </c>
      <c r="R23" s="193">
        <f>VLOOKUP(A23,Sales!D:L,8,0)</f>
        <v>46115</v>
      </c>
      <c r="S23" s="204" t="s">
        <v>418</v>
      </c>
      <c r="T23" s="195">
        <f t="shared" si="4"/>
        <v>-13715.4</v>
      </c>
      <c r="U23" s="174">
        <f t="shared" si="5"/>
        <v>14438.3394</v>
      </c>
      <c r="V23" s="196">
        <f t="shared" si="7"/>
        <v>722.939400000001</v>
      </c>
      <c r="W23" s="196"/>
      <c r="X23" s="206" t="s">
        <v>417</v>
      </c>
      <c r="Y23" s="205">
        <v>14438.3394</v>
      </c>
      <c r="Z23" s="198" t="str">
        <f t="shared" si="9"/>
        <v>04</v>
      </c>
      <c r="AA23" s="198">
        <f>_xlfn.XLOOKUP("*"&amp;$S23&amp;"*",'Other pmt'!H$1:H$1126,'Other pmt'!D$1:D$1126,0,2)</f>
        <v>0</v>
      </c>
      <c r="AB23" s="198">
        <f t="shared" si="8"/>
        <v>0</v>
      </c>
      <c r="AC23" s="199">
        <f t="shared" si="6"/>
        <v>0</v>
      </c>
      <c r="AD23" s="198"/>
      <c r="AE23" s="200">
        <f>CHOOSE(MATCH($B23,{"Petco","PSP"},0),SUMIF('Petco Rec'!M:M,$S23,'Petco Rec'!E:E),SUMIF('PSP Rec'!B:B,$S23,'PSP Rec'!M:M))</f>
        <v>0</v>
      </c>
      <c r="AF23" s="198"/>
      <c r="AG23" s="198"/>
      <c r="AH23" s="198"/>
      <c r="AI23" s="198"/>
      <c r="AJ23" s="198"/>
      <c r="AK23" s="198"/>
    </row>
    <row r="24" customHeight="1" spans="1:37">
      <c r="A24" s="125">
        <v>30493128</v>
      </c>
      <c r="B24" s="189" t="str">
        <f>_xlfn.XLOOKUP(A24,Sales!D:D,Sales!H:H)</f>
        <v>Petco</v>
      </c>
      <c r="C24" s="190">
        <f>SUMIFS(Sales!G:G,Sales!D:D,A24)</f>
        <v>24796.78</v>
      </c>
      <c r="D24" s="190">
        <f>SUMIFS(Sales!N:N,Sales!D:D,A24)</f>
        <v>12765.4</v>
      </c>
      <c r="E24" s="191" t="s">
        <v>130</v>
      </c>
      <c r="F24" s="190">
        <f t="shared" si="0"/>
        <v>3179</v>
      </c>
      <c r="G24" s="192">
        <f>SUMIFS(Sales!R:R,Sales!D:D,A24)</f>
        <v>31.79</v>
      </c>
      <c r="H24" s="192">
        <v>1500</v>
      </c>
      <c r="I24" s="192">
        <v>1500</v>
      </c>
      <c r="J24" s="190">
        <v>7300</v>
      </c>
      <c r="K24" s="190">
        <f t="shared" si="1"/>
        <v>1115.8551</v>
      </c>
      <c r="L24" s="190">
        <v>0</v>
      </c>
      <c r="M24" s="190">
        <v>0</v>
      </c>
      <c r="N24" s="202">
        <f t="shared" si="10"/>
        <v>947.236996</v>
      </c>
      <c r="O24" s="190">
        <f t="shared" si="3"/>
        <v>-2010.71209599999</v>
      </c>
      <c r="P24" s="190" t="s">
        <v>403</v>
      </c>
      <c r="Q24" s="193">
        <f>_xlfn.XLOOKUP(A24,Sales!D:D,Sales!K:K)</f>
        <v>46115</v>
      </c>
      <c r="R24" s="193">
        <f>VLOOKUP(A24,Sales!D:L,8,0)</f>
        <v>46115</v>
      </c>
      <c r="S24" s="204" t="s">
        <v>419</v>
      </c>
      <c r="T24" s="195">
        <f t="shared" si="4"/>
        <v>-26276.19</v>
      </c>
      <c r="U24" s="174">
        <f t="shared" si="5"/>
        <v>23680.9249</v>
      </c>
      <c r="V24" s="196">
        <f t="shared" si="7"/>
        <v>-2595.2651</v>
      </c>
      <c r="W24" s="196"/>
      <c r="X24" s="206" t="s">
        <v>417</v>
      </c>
      <c r="Y24" s="205">
        <v>23680.9249</v>
      </c>
      <c r="Z24" s="198" t="str">
        <f t="shared" si="9"/>
        <v>04</v>
      </c>
      <c r="AA24" s="198">
        <f>_xlfn.XLOOKUP("*"&amp;$S24&amp;"*",'Other pmt'!H$1:H$1126,'Other pmt'!D$1:D$1126,0,2)</f>
        <v>0</v>
      </c>
      <c r="AB24" s="198">
        <f t="shared" si="8"/>
        <v>0</v>
      </c>
      <c r="AC24" s="199">
        <f t="shared" si="6"/>
        <v>0</v>
      </c>
      <c r="AD24" s="198"/>
      <c r="AE24" s="200">
        <f>CHOOSE(MATCH($B24,{"Petco","PSP"},0),SUMIF('Petco Rec'!M:M,$S24,'Petco Rec'!E:E),SUMIF('PSP Rec'!B:B,$S24,'PSP Rec'!M:M))</f>
        <v>0</v>
      </c>
      <c r="AF24" s="198"/>
      <c r="AG24" s="198"/>
      <c r="AH24" s="198"/>
      <c r="AI24" s="198"/>
      <c r="AJ24" s="198"/>
      <c r="AK24" s="198"/>
    </row>
    <row r="25" customHeight="1" spans="1:37">
      <c r="A25" s="125">
        <v>30493127</v>
      </c>
      <c r="B25" s="189" t="str">
        <f>_xlfn.XLOOKUP(A25,Sales!D:D,Sales!H:H)</f>
        <v>Petco</v>
      </c>
      <c r="C25" s="190">
        <f>SUMIFS(Sales!G:G,Sales!D:D,A25)</f>
        <v>14875.23</v>
      </c>
      <c r="D25" s="190">
        <f>SUMIFS(Sales!N:N,Sales!D:D,A25)</f>
        <v>7654.05</v>
      </c>
      <c r="E25" s="191" t="s">
        <v>130</v>
      </c>
      <c r="F25" s="190">
        <f t="shared" si="0"/>
        <v>1908</v>
      </c>
      <c r="G25" s="192">
        <f>SUMIFS(Sales!R:R,Sales!D:D,A25)</f>
        <v>19.08</v>
      </c>
      <c r="H25" s="192">
        <v>1500</v>
      </c>
      <c r="I25" s="192">
        <v>1500</v>
      </c>
      <c r="J25" s="190">
        <v>2300</v>
      </c>
      <c r="K25" s="190">
        <f t="shared" si="1"/>
        <v>669.38535</v>
      </c>
      <c r="L25" s="190">
        <v>0</v>
      </c>
      <c r="M25" s="190">
        <v>0</v>
      </c>
      <c r="N25" s="202">
        <f t="shared" si="10"/>
        <v>568.233786</v>
      </c>
      <c r="O25" s="190">
        <f t="shared" si="3"/>
        <v>275.560864</v>
      </c>
      <c r="P25" s="190" t="s">
        <v>403</v>
      </c>
      <c r="Q25" s="193">
        <f>_xlfn.XLOOKUP(A25,Sales!D:D,Sales!K:K)</f>
        <v>46115</v>
      </c>
      <c r="R25" s="193">
        <f>VLOOKUP(A25,Sales!D:L,8,0)</f>
        <v>46115</v>
      </c>
      <c r="S25" s="204" t="s">
        <v>420</v>
      </c>
      <c r="T25" s="195">
        <f t="shared" si="4"/>
        <v>-14881.13</v>
      </c>
      <c r="U25" s="174">
        <f t="shared" si="5"/>
        <v>14205.84465</v>
      </c>
      <c r="V25" s="196">
        <f t="shared" si="7"/>
        <v>-675.28535</v>
      </c>
      <c r="W25" s="196"/>
      <c r="X25" s="206" t="s">
        <v>417</v>
      </c>
      <c r="Y25" s="205">
        <v>14205.84465</v>
      </c>
      <c r="Z25" s="198" t="str">
        <f t="shared" si="9"/>
        <v>04</v>
      </c>
      <c r="AA25" s="198">
        <f>_xlfn.XLOOKUP("*"&amp;$S25&amp;"*",'Other pmt'!H$1:H$1126,'Other pmt'!D$1:D$1126,0,2)</f>
        <v>0</v>
      </c>
      <c r="AB25" s="198">
        <f t="shared" si="8"/>
        <v>0</v>
      </c>
      <c r="AC25" s="199">
        <f t="shared" si="6"/>
        <v>0</v>
      </c>
      <c r="AD25" s="198"/>
      <c r="AE25" s="200">
        <f>CHOOSE(MATCH($B25,{"Petco","PSP"},0),SUMIF('Petco Rec'!M:M,$S25,'Petco Rec'!E:E),SUMIF('PSP Rec'!B:B,$S25,'PSP Rec'!M:M))</f>
        <v>0</v>
      </c>
      <c r="AF25" s="198"/>
      <c r="AG25" s="198"/>
      <c r="AH25" s="198"/>
      <c r="AI25" s="198"/>
      <c r="AJ25" s="198"/>
      <c r="AK25" s="198"/>
    </row>
    <row r="26" customHeight="1" spans="1:37">
      <c r="A26" s="125">
        <v>30493122</v>
      </c>
      <c r="B26" s="189" t="str">
        <f>_xlfn.XLOOKUP(A26,Sales!D:D,Sales!H:H)</f>
        <v>Petco</v>
      </c>
      <c r="C26" s="190">
        <f>SUMIFS(Sales!G:G,Sales!D:D,A26)</f>
        <v>20921.17</v>
      </c>
      <c r="D26" s="190">
        <f>SUMIFS(Sales!N:N,Sales!D:D,A26)</f>
        <v>10773.65</v>
      </c>
      <c r="E26" s="191" t="s">
        <v>130</v>
      </c>
      <c r="F26" s="190">
        <f t="shared" si="0"/>
        <v>2670</v>
      </c>
      <c r="G26" s="192">
        <f>SUMIFS(Sales!R:R,Sales!D:D,A26)</f>
        <v>26.7</v>
      </c>
      <c r="H26" s="192">
        <v>1500</v>
      </c>
      <c r="I26" s="192">
        <v>1500</v>
      </c>
      <c r="J26" s="190">
        <v>3300</v>
      </c>
      <c r="K26" s="190">
        <f t="shared" si="1"/>
        <v>941.45265</v>
      </c>
      <c r="L26" s="190">
        <v>0</v>
      </c>
      <c r="M26" s="190">
        <v>0</v>
      </c>
      <c r="N26" s="202">
        <f t="shared" si="10"/>
        <v>799.188694</v>
      </c>
      <c r="O26" s="190">
        <f t="shared" si="3"/>
        <v>936.878656</v>
      </c>
      <c r="P26" s="190" t="s">
        <v>403</v>
      </c>
      <c r="Q26" s="193">
        <f>_xlfn.XLOOKUP(A26,Sales!D:D,Sales!K:K)</f>
        <v>46115</v>
      </c>
      <c r="R26" s="193">
        <f>VLOOKUP(A26,Sales!D:L,8,0)</f>
        <v>46115</v>
      </c>
      <c r="S26" s="204" t="s">
        <v>421</v>
      </c>
      <c r="T26" s="195">
        <f t="shared" si="4"/>
        <v>-19770.35</v>
      </c>
      <c r="U26" s="174">
        <f t="shared" si="5"/>
        <v>19979.71735</v>
      </c>
      <c r="V26" s="196">
        <f t="shared" si="7"/>
        <v>209.367349999997</v>
      </c>
      <c r="W26" s="196"/>
      <c r="X26" s="206" t="s">
        <v>417</v>
      </c>
      <c r="Y26" s="205">
        <v>19979.71735</v>
      </c>
      <c r="Z26" s="198" t="str">
        <f t="shared" si="9"/>
        <v>04</v>
      </c>
      <c r="AA26" s="198">
        <f>_xlfn.XLOOKUP("*"&amp;$S26&amp;"*",'Other pmt'!H$1:H$1126,'Other pmt'!D$1:D$1126,0,2)</f>
        <v>0</v>
      </c>
      <c r="AB26" s="198">
        <f t="shared" si="8"/>
        <v>0</v>
      </c>
      <c r="AC26" s="199">
        <f t="shared" si="6"/>
        <v>0</v>
      </c>
      <c r="AD26" s="198"/>
      <c r="AE26" s="200">
        <f>CHOOSE(MATCH($B26,{"Petco","PSP"},0),SUMIF('Petco Rec'!M:M,$S26,'Petco Rec'!E:E),SUMIF('PSP Rec'!B:B,$S26,'PSP Rec'!M:M))</f>
        <v>0</v>
      </c>
      <c r="AF26" s="198"/>
      <c r="AG26" s="198"/>
      <c r="AH26" s="198"/>
      <c r="AI26" s="198"/>
      <c r="AJ26" s="198"/>
      <c r="AK26" s="198"/>
    </row>
    <row r="27" customHeight="1" spans="1:37">
      <c r="A27" s="125">
        <v>30493124</v>
      </c>
      <c r="B27" s="189" t="str">
        <f>_xlfn.XLOOKUP(A27,Sales!D:D,Sales!H:H)</f>
        <v>Petco</v>
      </c>
      <c r="C27" s="190">
        <f>SUMIFS(Sales!G:G,Sales!D:D,A27)</f>
        <v>10443</v>
      </c>
      <c r="D27" s="190">
        <f>SUMIFS(Sales!N:N,Sales!D:D,A27)</f>
        <v>5389.14</v>
      </c>
      <c r="E27" s="191" t="s">
        <v>130</v>
      </c>
      <c r="F27" s="190">
        <f t="shared" si="0"/>
        <v>1310</v>
      </c>
      <c r="G27" s="192">
        <f>SUMIFS(Sales!R:R,Sales!D:D,A27)</f>
        <v>13.1</v>
      </c>
      <c r="H27" s="192">
        <v>1500</v>
      </c>
      <c r="I27" s="192">
        <v>1500</v>
      </c>
      <c r="J27" s="190">
        <v>2900</v>
      </c>
      <c r="K27" s="190">
        <f t="shared" si="1"/>
        <v>469.935</v>
      </c>
      <c r="L27" s="190">
        <v>0</v>
      </c>
      <c r="M27" s="190">
        <v>0</v>
      </c>
      <c r="N27" s="202">
        <f t="shared" si="10"/>
        <v>398.9226</v>
      </c>
      <c r="O27" s="190">
        <f t="shared" si="3"/>
        <v>-1524.9976</v>
      </c>
      <c r="P27" s="190" t="s">
        <v>403</v>
      </c>
      <c r="Q27" s="193">
        <f>_xlfn.XLOOKUP(A27,Sales!D:D,Sales!K:K)</f>
        <v>46115</v>
      </c>
      <c r="R27" s="193">
        <f>VLOOKUP(A27,Sales!D:L,8,0)</f>
        <v>46115</v>
      </c>
      <c r="S27" s="204" t="s">
        <v>422</v>
      </c>
      <c r="T27" s="195">
        <f t="shared" si="4"/>
        <v>-12612.24</v>
      </c>
      <c r="U27" s="174">
        <f t="shared" si="5"/>
        <v>9973.065</v>
      </c>
      <c r="V27" s="196">
        <f t="shared" si="7"/>
        <v>-2848.04</v>
      </c>
      <c r="W27" s="196"/>
      <c r="X27" s="206" t="s">
        <v>417</v>
      </c>
      <c r="Y27" s="197">
        <f>SUMIF('Other pmt'!H:H,"*"&amp;S27&amp;"*",'Other pmt'!F:F)</f>
        <v>9764.2</v>
      </c>
      <c r="Z27" s="198" t="str">
        <f t="shared" si="9"/>
        <v>04</v>
      </c>
      <c r="AA27" s="198" t="str">
        <f>_xlfn.XLOOKUP("*"&amp;$S27&amp;"*",'Other pmt'!H$1:H$1126,'Other pmt'!D$1:D$1126,0,2)</f>
        <v>06/01/2026</v>
      </c>
      <c r="AB27" s="198">
        <f t="shared" si="8"/>
        <v>-208.865000000002</v>
      </c>
      <c r="AC27" s="199">
        <f t="shared" si="6"/>
        <v>-0.0209429097273508</v>
      </c>
      <c r="AD27" s="198"/>
      <c r="AE27" s="200">
        <f>CHOOSE(MATCH($B27,{"Petco","PSP"},0),SUMIF('Petco Rec'!M:M,$S27,'Petco Rec'!E:E),SUMIF('PSP Rec'!B:B,$S27,'PSP Rec'!M:M))</f>
        <v>0</v>
      </c>
      <c r="AF27" s="198"/>
      <c r="AG27" s="198"/>
      <c r="AH27" s="198"/>
      <c r="AI27" s="198"/>
      <c r="AJ27" s="198"/>
      <c r="AK27" s="198"/>
    </row>
    <row r="28" customHeight="1" spans="1:37">
      <c r="A28" s="130" t="s">
        <v>423</v>
      </c>
      <c r="B28" s="189" t="s">
        <v>298</v>
      </c>
      <c r="C28" s="190">
        <v>10291.1</v>
      </c>
      <c r="D28" s="190">
        <f>SUMIFS(Sales!N:N,Sales!D:D,A28)</f>
        <v>0</v>
      </c>
      <c r="E28" s="191" t="s">
        <v>130</v>
      </c>
      <c r="F28" s="190">
        <f t="shared" ref="F28:F34" si="11">G28*110</f>
        <v>0</v>
      </c>
      <c r="G28" s="192">
        <f>SUMIFS(Sales!R:R,Sales!D:D,A28)</f>
        <v>0</v>
      </c>
      <c r="H28" s="192">
        <v>0</v>
      </c>
      <c r="I28" s="192">
        <v>0</v>
      </c>
      <c r="J28" s="190">
        <v>805.49</v>
      </c>
      <c r="K28" s="190">
        <f t="shared" ref="K28:K33" si="12">0.045*C28</f>
        <v>463.0995</v>
      </c>
      <c r="L28" s="190">
        <v>450</v>
      </c>
      <c r="M28" s="190">
        <v>0</v>
      </c>
      <c r="N28" s="190">
        <f t="shared" ref="N28:N33" si="13">(C28-K28)*0.06</f>
        <v>589.68003</v>
      </c>
      <c r="O28" s="190">
        <f t="shared" si="3"/>
        <v>7982.83047</v>
      </c>
      <c r="P28" s="190" t="s">
        <v>403</v>
      </c>
      <c r="Q28" s="193" t="s">
        <v>403</v>
      </c>
      <c r="R28" s="193" t="s">
        <v>403</v>
      </c>
      <c r="S28" s="204" t="s">
        <v>423</v>
      </c>
      <c r="T28" s="195">
        <f t="shared" si="4"/>
        <v>-805.49</v>
      </c>
      <c r="U28" s="174">
        <f t="shared" si="5"/>
        <v>9378.0005</v>
      </c>
      <c r="V28" s="196">
        <f t="shared" si="7"/>
        <v>8816.69</v>
      </c>
      <c r="W28" s="196"/>
      <c r="Y28" s="197">
        <f>SUMIF('Other pmt'!H:H,"*"&amp;S28&amp;"*",'Other pmt'!F:F)</f>
        <v>9622.18</v>
      </c>
      <c r="Z28" s="198" t="str">
        <f t="shared" si="9"/>
        <v>11</v>
      </c>
      <c r="AA28" s="198" t="str">
        <f>_xlfn.XLOOKUP("*"&amp;$S28&amp;"*",'Other pmt'!H$1:H$1126,'Other pmt'!D$1:D$1126,0,2)</f>
        <v>03/09/2026</v>
      </c>
      <c r="AB28" s="198">
        <f t="shared" si="8"/>
        <v>244.1795</v>
      </c>
      <c r="AC28" s="199">
        <f t="shared" si="6"/>
        <v>0.0260374799510834</v>
      </c>
      <c r="AD28" s="198"/>
      <c r="AE28" s="200">
        <f>CHOOSE(MATCH($B28,{"Petco","PSP"},0),SUMIF('Petco Rec'!M:M,$S28,'Petco Rec'!E:E),SUMIF('PSP Rec'!B:B,$S28,'PSP Rec'!M:M))</f>
        <v>0</v>
      </c>
      <c r="AF28" s="198"/>
      <c r="AG28" s="198"/>
      <c r="AH28" s="198"/>
      <c r="AI28" s="198"/>
      <c r="AJ28" s="198"/>
      <c r="AK28" s="198"/>
    </row>
    <row r="29" customHeight="1" spans="1:37">
      <c r="A29" s="130" t="s">
        <v>424</v>
      </c>
      <c r="B29" s="189" t="s">
        <v>298</v>
      </c>
      <c r="C29" s="190">
        <v>5556.08</v>
      </c>
      <c r="D29" s="190">
        <f>SUMIFS(Sales!N:N,Sales!D:D,A29)</f>
        <v>0</v>
      </c>
      <c r="E29" s="191" t="s">
        <v>130</v>
      </c>
      <c r="F29" s="190">
        <f t="shared" si="11"/>
        <v>0</v>
      </c>
      <c r="G29" s="192">
        <f>SUMIFS(Sales!R:R,Sales!D:D,A29)</f>
        <v>0</v>
      </c>
      <c r="H29" s="192">
        <v>0</v>
      </c>
      <c r="I29" s="192">
        <v>0</v>
      </c>
      <c r="J29" s="190">
        <v>965.48</v>
      </c>
      <c r="K29" s="190">
        <f t="shared" si="12"/>
        <v>250.0236</v>
      </c>
      <c r="L29" s="190">
        <v>0</v>
      </c>
      <c r="M29" s="190">
        <v>0</v>
      </c>
      <c r="N29" s="190">
        <f t="shared" si="13"/>
        <v>318.363384</v>
      </c>
      <c r="O29" s="190">
        <f t="shared" si="3"/>
        <v>4022.213016</v>
      </c>
      <c r="P29" s="190" t="s">
        <v>403</v>
      </c>
      <c r="Q29" s="193" t="s">
        <v>403</v>
      </c>
      <c r="R29" s="193" t="s">
        <v>403</v>
      </c>
      <c r="S29" s="204" t="s">
        <v>424</v>
      </c>
      <c r="T29" s="195">
        <f t="shared" si="4"/>
        <v>-965.48</v>
      </c>
      <c r="U29" s="174">
        <f t="shared" si="5"/>
        <v>5306.0564</v>
      </c>
      <c r="V29" s="196">
        <f t="shared" si="7"/>
        <v>4229.46</v>
      </c>
      <c r="W29" s="196"/>
      <c r="Y29" s="197">
        <f>SUMIF('Other pmt'!H:H,"*"&amp;S29&amp;"*",'Other pmt'!F:F)</f>
        <v>5194.94</v>
      </c>
      <c r="Z29" s="198" t="str">
        <f t="shared" si="9"/>
        <v>11</v>
      </c>
      <c r="AA29" s="198" t="str">
        <f>_xlfn.XLOOKUP("*"&amp;$S29&amp;"*",'Other pmt'!H$1:H$1126,'Other pmt'!D$1:D$1126,0,2)</f>
        <v>03/09/2026</v>
      </c>
      <c r="AB29" s="198">
        <f t="shared" si="8"/>
        <v>-111.116399999999</v>
      </c>
      <c r="AC29" s="199">
        <f t="shared" si="6"/>
        <v>-0.0209414283647643</v>
      </c>
      <c r="AD29" s="198"/>
      <c r="AE29" s="200">
        <f>CHOOSE(MATCH($B29,{"Petco","PSP"},0),SUMIF('Petco Rec'!M:M,$S29,'Petco Rec'!E:E),SUMIF('PSP Rec'!B:B,$S29,'PSP Rec'!M:M))</f>
        <v>0</v>
      </c>
      <c r="AF29" s="198"/>
      <c r="AG29" s="198"/>
      <c r="AH29" s="198"/>
      <c r="AI29" s="198"/>
      <c r="AJ29" s="198"/>
      <c r="AK29" s="198"/>
    </row>
    <row r="30" customHeight="1" spans="1:37">
      <c r="A30" s="130" t="s">
        <v>425</v>
      </c>
      <c r="B30" s="189" t="s">
        <v>298</v>
      </c>
      <c r="C30" s="190">
        <v>6160.48</v>
      </c>
      <c r="D30" s="190">
        <f>SUMIFS(Sales!N:N,Sales!D:D,A30)</f>
        <v>0</v>
      </c>
      <c r="E30" s="191" t="s">
        <v>130</v>
      </c>
      <c r="F30" s="190">
        <f t="shared" si="11"/>
        <v>0</v>
      </c>
      <c r="G30" s="192">
        <f>SUMIFS(Sales!R:R,Sales!D:D,A30)</f>
        <v>0</v>
      </c>
      <c r="H30" s="192">
        <v>0</v>
      </c>
      <c r="I30" s="192">
        <v>0</v>
      </c>
      <c r="J30" s="190">
        <v>456.01</v>
      </c>
      <c r="K30" s="190">
        <f t="shared" si="12"/>
        <v>277.2216</v>
      </c>
      <c r="L30" s="190">
        <v>0</v>
      </c>
      <c r="M30" s="190">
        <v>0</v>
      </c>
      <c r="N30" s="190">
        <f t="shared" si="13"/>
        <v>352.995504</v>
      </c>
      <c r="O30" s="190">
        <f t="shared" si="3"/>
        <v>5074.252896</v>
      </c>
      <c r="P30" s="190" t="s">
        <v>403</v>
      </c>
      <c r="Q30" s="193" t="s">
        <v>403</v>
      </c>
      <c r="R30" s="193" t="s">
        <v>403</v>
      </c>
      <c r="S30" s="204" t="s">
        <v>425</v>
      </c>
      <c r="T30" s="195">
        <f t="shared" si="4"/>
        <v>-456.01</v>
      </c>
      <c r="U30" s="174">
        <f t="shared" si="5"/>
        <v>5883.2584</v>
      </c>
      <c r="V30" s="196">
        <f t="shared" si="7"/>
        <v>5304.04</v>
      </c>
      <c r="W30" s="196"/>
      <c r="Y30" s="197">
        <f>SUMIF('Other pmt'!H:H,"*"&amp;S30&amp;"*",'Other pmt'!F:F)</f>
        <v>5760.05</v>
      </c>
      <c r="Z30" s="198" t="str">
        <f t="shared" si="9"/>
        <v>11</v>
      </c>
      <c r="AA30" s="198" t="str">
        <f>_xlfn.XLOOKUP("*"&amp;$S30&amp;"*",'Other pmt'!H$1:H$1126,'Other pmt'!D$1:D$1126,0,2)</f>
        <v>03/09/2026</v>
      </c>
      <c r="AB30" s="198">
        <f t="shared" si="8"/>
        <v>-123.2084</v>
      </c>
      <c r="AC30" s="199">
        <f t="shared" si="6"/>
        <v>-0.0209422044083598</v>
      </c>
      <c r="AD30" s="198"/>
      <c r="AE30" s="200">
        <f>CHOOSE(MATCH($B30,{"Petco","PSP"},0),SUMIF('Petco Rec'!M:M,$S30,'Petco Rec'!E:E),SUMIF('PSP Rec'!B:B,$S30,'PSP Rec'!M:M))</f>
        <v>0</v>
      </c>
      <c r="AF30" s="198"/>
      <c r="AG30" s="198"/>
      <c r="AH30" s="198"/>
      <c r="AI30" s="198"/>
      <c r="AJ30" s="198"/>
      <c r="AK30" s="198"/>
    </row>
    <row r="31" customHeight="1" spans="1:37">
      <c r="A31" s="130" t="s">
        <v>426</v>
      </c>
      <c r="B31" s="189" t="s">
        <v>298</v>
      </c>
      <c r="C31" s="190">
        <v>7652.74</v>
      </c>
      <c r="D31" s="190">
        <f>SUMIFS(Sales!N:N,Sales!D:D,A31)</f>
        <v>0</v>
      </c>
      <c r="E31" s="191" t="s">
        <v>130</v>
      </c>
      <c r="F31" s="190">
        <f t="shared" si="11"/>
        <v>0</v>
      </c>
      <c r="G31" s="192">
        <f>SUMIFS(Sales!R:R,Sales!D:D,A31)</f>
        <v>0</v>
      </c>
      <c r="H31" s="192">
        <v>0</v>
      </c>
      <c r="I31" s="192">
        <v>0</v>
      </c>
      <c r="J31" s="190">
        <v>56.82</v>
      </c>
      <c r="K31" s="190">
        <f t="shared" si="12"/>
        <v>344.3733</v>
      </c>
      <c r="L31" s="190">
        <v>0</v>
      </c>
      <c r="M31" s="190">
        <v>0</v>
      </c>
      <c r="N31" s="190">
        <f t="shared" si="13"/>
        <v>438.502002</v>
      </c>
      <c r="O31" s="190">
        <f t="shared" si="3"/>
        <v>6813.044698</v>
      </c>
      <c r="P31" s="190" t="s">
        <v>403</v>
      </c>
      <c r="Q31" s="193" t="s">
        <v>403</v>
      </c>
      <c r="R31" s="193" t="s">
        <v>403</v>
      </c>
      <c r="S31" s="204" t="s">
        <v>426</v>
      </c>
      <c r="T31" s="195">
        <f t="shared" si="4"/>
        <v>-56.82</v>
      </c>
      <c r="U31" s="174">
        <f t="shared" si="5"/>
        <v>7308.3667</v>
      </c>
      <c r="V31" s="196">
        <f t="shared" si="7"/>
        <v>7098.5</v>
      </c>
      <c r="W31" s="196"/>
      <c r="Y31" s="197">
        <f>SUMIF('Other pmt'!H:H,"*"&amp;S31&amp;"*",'Other pmt'!F:F)</f>
        <v>7155.32</v>
      </c>
      <c r="Z31" s="198" t="str">
        <f t="shared" si="9"/>
        <v>11</v>
      </c>
      <c r="AA31" s="198" t="str">
        <f>_xlfn.XLOOKUP("*"&amp;$S31&amp;"*",'Other pmt'!H$1:H$1126,'Other pmt'!D$1:D$1126,0,2)</f>
        <v>03/09/2026</v>
      </c>
      <c r="AB31" s="198">
        <f t="shared" si="8"/>
        <v>-153.0467</v>
      </c>
      <c r="AC31" s="199">
        <f t="shared" si="6"/>
        <v>-0.0209413000581922</v>
      </c>
      <c r="AD31" s="198"/>
      <c r="AE31" s="200">
        <f>CHOOSE(MATCH($B31,{"Petco","PSP"},0),SUMIF('Petco Rec'!M:M,$S31,'Petco Rec'!E:E),SUMIF('PSP Rec'!B:B,$S31,'PSP Rec'!M:M))</f>
        <v>0</v>
      </c>
      <c r="AF31" s="198"/>
      <c r="AG31" s="198"/>
      <c r="AH31" s="198"/>
      <c r="AI31" s="198"/>
      <c r="AJ31" s="198"/>
      <c r="AK31" s="198"/>
    </row>
    <row r="32" customHeight="1" spans="1:37">
      <c r="A32" s="130" t="s">
        <v>427</v>
      </c>
      <c r="B32" s="189" t="s">
        <v>298</v>
      </c>
      <c r="C32" s="207">
        <v>12474.26</v>
      </c>
      <c r="D32" s="190">
        <f>SUMIFS(Sales!N:N,Sales!D:D,A32)</f>
        <v>0</v>
      </c>
      <c r="E32" s="191" t="s">
        <v>130</v>
      </c>
      <c r="F32" s="190">
        <f t="shared" si="11"/>
        <v>0</v>
      </c>
      <c r="G32" s="192">
        <f>SUMIFS(Sales!R:R,Sales!D:D,A32)</f>
        <v>0</v>
      </c>
      <c r="H32" s="192">
        <v>0</v>
      </c>
      <c r="I32" s="192">
        <v>0</v>
      </c>
      <c r="J32" s="190">
        <v>1572.83</v>
      </c>
      <c r="K32" s="190">
        <f t="shared" si="12"/>
        <v>561.3417</v>
      </c>
      <c r="L32" s="190">
        <v>0</v>
      </c>
      <c r="M32" s="190">
        <v>0</v>
      </c>
      <c r="N32" s="190">
        <f t="shared" si="13"/>
        <v>714.775098</v>
      </c>
      <c r="O32" s="190">
        <f t="shared" si="3"/>
        <v>9625.313202</v>
      </c>
      <c r="P32" s="190" t="s">
        <v>403</v>
      </c>
      <c r="Q32" s="193" t="s">
        <v>403</v>
      </c>
      <c r="R32" s="193" t="s">
        <v>403</v>
      </c>
      <c r="S32" s="204" t="s">
        <v>427</v>
      </c>
      <c r="T32" s="195">
        <f t="shared" si="4"/>
        <v>-1572.83</v>
      </c>
      <c r="U32" s="174">
        <f t="shared" si="5"/>
        <v>11912.9183</v>
      </c>
      <c r="V32" s="196">
        <f t="shared" si="7"/>
        <v>10090.59</v>
      </c>
      <c r="W32" s="196"/>
      <c r="Y32" s="197">
        <f>SUMIF('Other pmt'!H:H,"*"&amp;S32&amp;"*",'Other pmt'!F:F)</f>
        <v>11663.42</v>
      </c>
      <c r="Z32" s="198" t="str">
        <f t="shared" si="9"/>
        <v>11</v>
      </c>
      <c r="AA32" s="198" t="str">
        <f>_xlfn.XLOOKUP("*"&amp;$S32&amp;"*",'Other pmt'!H$1:H$1126,'Other pmt'!D$1:D$1126,0,2)</f>
        <v>03/09/2026</v>
      </c>
      <c r="AB32" s="198">
        <f t="shared" si="8"/>
        <v>-249.498300000001</v>
      </c>
      <c r="AC32" s="199">
        <f t="shared" si="6"/>
        <v>-0.0209435080235547</v>
      </c>
      <c r="AD32" s="198"/>
      <c r="AE32" s="200">
        <f>CHOOSE(MATCH($B32,{"Petco","PSP"},0),SUMIF('Petco Rec'!M:M,$S32,'Petco Rec'!E:E),SUMIF('PSP Rec'!B:B,$S32,'PSP Rec'!M:M))</f>
        <v>0</v>
      </c>
      <c r="AF32" s="198"/>
      <c r="AG32" s="198"/>
      <c r="AH32" s="198"/>
      <c r="AI32" s="198"/>
      <c r="AJ32" s="198"/>
      <c r="AK32" s="198"/>
    </row>
    <row r="33" customHeight="1" spans="1:37">
      <c r="A33" s="130" t="s">
        <v>428</v>
      </c>
      <c r="B33" s="189" t="s">
        <v>298</v>
      </c>
      <c r="C33" s="190">
        <v>7652.74</v>
      </c>
      <c r="D33" s="190">
        <f>SUMIFS(Sales!N:N,Sales!D:D,A33)</f>
        <v>0</v>
      </c>
      <c r="E33" s="191" t="s">
        <v>130</v>
      </c>
      <c r="F33" s="190">
        <f t="shared" si="11"/>
        <v>0</v>
      </c>
      <c r="G33" s="192">
        <f>SUMIFS(Sales!R:R,Sales!D:D,A33)</f>
        <v>0</v>
      </c>
      <c r="H33" s="192">
        <v>0</v>
      </c>
      <c r="I33" s="192">
        <v>0</v>
      </c>
      <c r="J33" s="190">
        <v>1132.65</v>
      </c>
      <c r="K33" s="190">
        <f t="shared" si="12"/>
        <v>344.3733</v>
      </c>
      <c r="L33" s="190">
        <v>0</v>
      </c>
      <c r="M33" s="190">
        <v>0</v>
      </c>
      <c r="N33" s="190">
        <f t="shared" si="13"/>
        <v>438.502002</v>
      </c>
      <c r="O33" s="190">
        <f t="shared" si="3"/>
        <v>5737.214698</v>
      </c>
      <c r="P33" s="190" t="s">
        <v>403</v>
      </c>
      <c r="Q33" s="193" t="s">
        <v>403</v>
      </c>
      <c r="R33" s="193" t="s">
        <v>403</v>
      </c>
      <c r="S33" s="204" t="s">
        <v>428</v>
      </c>
      <c r="T33" s="195">
        <f t="shared" si="4"/>
        <v>-1132.65</v>
      </c>
      <c r="U33" s="174">
        <f t="shared" si="5"/>
        <v>7308.3667</v>
      </c>
      <c r="V33" s="196">
        <f t="shared" si="7"/>
        <v>6022.67</v>
      </c>
      <c r="W33" s="196"/>
      <c r="Y33" s="197">
        <f>SUMIF('Other pmt'!H:H,"*"&amp;S33&amp;"*",'Other pmt'!F:F)</f>
        <v>7155.32</v>
      </c>
      <c r="Z33" s="198" t="str">
        <f t="shared" si="9"/>
        <v>11</v>
      </c>
      <c r="AA33" s="198" t="str">
        <f>_xlfn.XLOOKUP("*"&amp;$S33&amp;"*",'Other pmt'!H$1:H$1126,'Other pmt'!D$1:D$1126,0,2)</f>
        <v>03/09/2026</v>
      </c>
      <c r="AB33" s="198">
        <f t="shared" si="8"/>
        <v>-153.0467</v>
      </c>
      <c r="AC33" s="199">
        <f t="shared" si="6"/>
        <v>-0.0209413000581922</v>
      </c>
      <c r="AD33" s="198"/>
      <c r="AE33" s="200">
        <f>CHOOSE(MATCH($B33,{"Petco","PSP"},0),SUMIF('Petco Rec'!M:M,$S33,'Petco Rec'!E:E),SUMIF('PSP Rec'!B:B,$S33,'PSP Rec'!M:M))</f>
        <v>0</v>
      </c>
      <c r="AF33" s="198"/>
      <c r="AG33" s="198"/>
      <c r="AH33" s="198"/>
      <c r="AI33" s="198"/>
      <c r="AJ33" s="198"/>
      <c r="AK33" s="198"/>
    </row>
    <row r="34" customHeight="1" spans="1:37">
      <c r="A34" s="208" t="s">
        <v>429</v>
      </c>
      <c r="B34" s="209" t="s">
        <v>430</v>
      </c>
      <c r="C34" s="190">
        <f>SUMIFS(Sales!G:G,Sales!D:D,A34)</f>
        <v>0</v>
      </c>
      <c r="D34" s="190">
        <f>SUMIFS(Sales!N:N,Sales!D:D,A34)</f>
        <v>0</v>
      </c>
      <c r="E34" s="191" t="s">
        <v>130</v>
      </c>
      <c r="F34" s="190">
        <f t="shared" si="11"/>
        <v>0</v>
      </c>
      <c r="G34" s="192">
        <f>SUMIFS(Sales!R:R,Sales!D:D,A34)</f>
        <v>0</v>
      </c>
      <c r="H34" s="192">
        <v>0</v>
      </c>
      <c r="I34" s="192">
        <v>0</v>
      </c>
      <c r="J34" s="190">
        <v>0</v>
      </c>
      <c r="K34" s="190">
        <v>0</v>
      </c>
      <c r="L34" s="190">
        <v>47.49</v>
      </c>
      <c r="M34" s="190">
        <v>11600</v>
      </c>
      <c r="N34" s="190">
        <f t="shared" ref="N34:N40" si="14">C34*0.04</f>
        <v>0</v>
      </c>
      <c r="O34" s="190">
        <f t="shared" si="3"/>
        <v>-11647.49</v>
      </c>
      <c r="P34" s="190" t="s">
        <v>403</v>
      </c>
      <c r="Q34" s="193">
        <v>46127</v>
      </c>
      <c r="R34" s="193">
        <v>46127</v>
      </c>
      <c r="S34" s="210" t="str">
        <f>IFERROR(VLOOKUP(A34,'[1]#REF'!A:B,2,0),"")</f>
        <v/>
      </c>
      <c r="T34" s="195">
        <f t="shared" si="4"/>
        <v>0</v>
      </c>
      <c r="U34" s="174">
        <f t="shared" si="5"/>
        <v>-11647.49</v>
      </c>
      <c r="V34" s="196">
        <f t="shared" si="7"/>
        <v>966714.13</v>
      </c>
      <c r="W34" s="196"/>
      <c r="X34" s="206" t="s">
        <v>417</v>
      </c>
      <c r="Y34" s="197">
        <f>SUMIF('Other pmt'!H:H,"*"&amp;S34&amp;"*",'Other pmt'!F:F)</f>
        <v>966714.13</v>
      </c>
      <c r="Z34" s="198" t="str">
        <f t="shared" si="9"/>
        <v/>
      </c>
      <c r="AA34" s="198" t="str">
        <f>_xlfn.XLOOKUP("*"&amp;$S34&amp;"*",'Other pmt'!H$1:H$1126,'Other pmt'!D$1:D$1126,0,2)</f>
        <v>Check Date</v>
      </c>
      <c r="AB34" s="198">
        <f t="shared" si="8"/>
        <v>978361.62</v>
      </c>
      <c r="AC34" s="199">
        <f t="shared" si="6"/>
        <v>-83.9976355420782</v>
      </c>
      <c r="AD34" s="198"/>
      <c r="AE34" s="200" t="e">
        <f>CHOOSE(MATCH($B34,{"Petco","PSP"},0),SUMIF('Petco Rec'!M:M,$S34,'Petco Rec'!E:E),SUMIF('PSP Rec'!B:B,$S34,'PSP Rec'!M:M))</f>
        <v>#N/A</v>
      </c>
      <c r="AF34" s="198"/>
      <c r="AG34" s="198"/>
      <c r="AH34" s="198"/>
      <c r="AI34" s="198"/>
      <c r="AJ34" s="198"/>
      <c r="AK34" s="198"/>
    </row>
    <row r="35" customHeight="1" spans="1:37">
      <c r="A35" s="130">
        <v>30440517</v>
      </c>
      <c r="B35" s="189" t="str">
        <f>_xlfn.XLOOKUP(A35,Sales!D:D,Sales!H:H)</f>
        <v>Petco</v>
      </c>
      <c r="C35" s="190">
        <f>SUMIFS(Sales!G:G,Sales!D:D,A35)</f>
        <v>1567.04</v>
      </c>
      <c r="D35" s="190">
        <f>SUMIFS(Sales!N:N,Sales!D:D,A35)</f>
        <v>923.84</v>
      </c>
      <c r="E35" s="191" t="s">
        <v>130</v>
      </c>
      <c r="F35" s="190">
        <f t="shared" ref="F35:F47" si="15">G35*100</f>
        <v>102</v>
      </c>
      <c r="G35" s="192">
        <f>SUMIFS(Sales!R:R,Sales!D:D,A35)</f>
        <v>1.02</v>
      </c>
      <c r="H35" s="190">
        <v>50</v>
      </c>
      <c r="I35" s="190">
        <v>50</v>
      </c>
      <c r="J35" s="192">
        <v>350</v>
      </c>
      <c r="K35" s="190">
        <f t="shared" ref="K35:K98" si="16">IF(B35="Petco",C35*0.045,IF(B35="Petsmart",C35*0.02,C35*0.05))</f>
        <v>70.5168</v>
      </c>
      <c r="L35" s="190">
        <v>188.56</v>
      </c>
      <c r="M35" s="190">
        <v>0</v>
      </c>
      <c r="N35" s="190">
        <f t="shared" si="14"/>
        <v>62.6816</v>
      </c>
      <c r="O35" s="190">
        <f t="shared" si="3"/>
        <v>-180.5584</v>
      </c>
      <c r="P35" s="190" t="s">
        <v>403</v>
      </c>
      <c r="Q35" s="193">
        <f>_xlfn.XLOOKUP(A35,Sales!D:D,Sales!K:K)</f>
        <v>46122</v>
      </c>
      <c r="R35" s="193">
        <v>46127</v>
      </c>
      <c r="S35" s="204" t="s">
        <v>431</v>
      </c>
      <c r="T35" s="195">
        <f t="shared" si="4"/>
        <v>-1476.86</v>
      </c>
      <c r="U35" s="174">
        <f t="shared" si="5"/>
        <v>1307.9632</v>
      </c>
      <c r="V35" s="196">
        <f t="shared" ref="V35:V66" si="17">SUM(Y35,T35)</f>
        <v>-1476.86</v>
      </c>
      <c r="W35" s="196"/>
      <c r="Y35" s="197">
        <f>SUMIF('Other pmt'!H:H,"*"&amp;S35&amp;"*",'Other pmt'!F:F)</f>
        <v>0</v>
      </c>
      <c r="Z35" s="198" t="str">
        <f t="shared" si="9"/>
        <v>04</v>
      </c>
      <c r="AA35" s="198">
        <f>_xlfn.XLOOKUP("*"&amp;$S35&amp;"*",'Other pmt'!H$1:H$1126,'Other pmt'!D$1:D$1126,0,2)</f>
        <v>0</v>
      </c>
      <c r="AB35" s="198">
        <f t="shared" si="8"/>
        <v>-1307.9632</v>
      </c>
      <c r="AC35" s="199">
        <f t="shared" si="6"/>
        <v>-1</v>
      </c>
      <c r="AD35" s="198"/>
      <c r="AE35" s="200">
        <f>CHOOSE(MATCH($B35,{"Petco","PSP"},0),SUMIF('Petco Rec'!M:M,$S35,'Petco Rec'!E:E),SUMIF('PSP Rec'!B:B,$S35,'PSP Rec'!M:M))</f>
        <v>0</v>
      </c>
      <c r="AF35" s="198"/>
      <c r="AG35" s="198"/>
      <c r="AH35" s="198"/>
      <c r="AI35" s="198"/>
      <c r="AJ35" s="198"/>
      <c r="AK35" s="198"/>
    </row>
    <row r="36" customHeight="1" spans="1:37">
      <c r="A36" s="130">
        <v>30440521</v>
      </c>
      <c r="B36" s="189" t="str">
        <f>_xlfn.XLOOKUP(A36,Sales!D:D,Sales!H:H)</f>
        <v>Petco</v>
      </c>
      <c r="C36" s="190">
        <f>SUMIFS(Sales!G:G,Sales!D:D,A36)</f>
        <v>1138.56</v>
      </c>
      <c r="D36" s="190">
        <f>SUMIFS(Sales!N:N,Sales!D:D,A36)</f>
        <v>672</v>
      </c>
      <c r="E36" s="191" t="s">
        <v>130</v>
      </c>
      <c r="F36" s="190">
        <f t="shared" si="15"/>
        <v>73</v>
      </c>
      <c r="G36" s="192">
        <f>SUMIFS(Sales!R:R,Sales!D:D,A36)</f>
        <v>0.73</v>
      </c>
      <c r="H36" s="190">
        <v>50</v>
      </c>
      <c r="I36" s="190">
        <v>50</v>
      </c>
      <c r="J36" s="192">
        <v>300</v>
      </c>
      <c r="K36" s="190">
        <f t="shared" si="16"/>
        <v>51.2352</v>
      </c>
      <c r="L36" s="190">
        <v>184.16</v>
      </c>
      <c r="M36" s="190">
        <v>0</v>
      </c>
      <c r="N36" s="190">
        <f t="shared" si="14"/>
        <v>45.5424</v>
      </c>
      <c r="O36" s="190">
        <f t="shared" si="3"/>
        <v>-237.3776</v>
      </c>
      <c r="P36" s="190" t="s">
        <v>403</v>
      </c>
      <c r="Q36" s="193">
        <f>_xlfn.XLOOKUP(A36,Sales!D:D,Sales!K:K)</f>
        <v>46122</v>
      </c>
      <c r="R36" s="193">
        <v>46127</v>
      </c>
      <c r="S36" s="204" t="s">
        <v>432</v>
      </c>
      <c r="T36" s="195">
        <f t="shared" si="4"/>
        <v>-1145.73</v>
      </c>
      <c r="U36" s="174">
        <f t="shared" si="5"/>
        <v>903.1648</v>
      </c>
      <c r="V36" s="196">
        <f t="shared" si="17"/>
        <v>-1145.73</v>
      </c>
      <c r="W36" s="196"/>
      <c r="Y36" s="197">
        <f>SUMIF('Other pmt'!H:H,"*"&amp;S36&amp;"*",'Other pmt'!F:F)</f>
        <v>0</v>
      </c>
      <c r="Z36" s="198" t="str">
        <f t="shared" si="9"/>
        <v>04</v>
      </c>
      <c r="AA36" s="198">
        <f>_xlfn.XLOOKUP("*"&amp;$S36&amp;"*",'Other pmt'!H$1:H$1126,'Other pmt'!D$1:D$1126,0,2)</f>
        <v>0</v>
      </c>
      <c r="AB36" s="198">
        <f t="shared" si="8"/>
        <v>-903.1648</v>
      </c>
      <c r="AC36" s="199">
        <f t="shared" si="6"/>
        <v>-1</v>
      </c>
      <c r="AD36" s="198"/>
      <c r="AE36" s="200">
        <f>CHOOSE(MATCH($B36,{"Petco","PSP"},0),SUMIF('Petco Rec'!M:M,$S36,'Petco Rec'!E:E),SUMIF('PSP Rec'!B:B,$S36,'PSP Rec'!M:M))</f>
        <v>0</v>
      </c>
      <c r="AF36" s="198"/>
      <c r="AG36" s="198"/>
      <c r="AH36" s="198"/>
      <c r="AI36" s="198"/>
      <c r="AJ36" s="198"/>
      <c r="AK36" s="198"/>
    </row>
    <row r="37" customHeight="1" spans="1:37">
      <c r="A37" s="130">
        <v>30440518</v>
      </c>
      <c r="B37" s="189" t="str">
        <f>_xlfn.XLOOKUP(A37,Sales!D:D,Sales!H:H)</f>
        <v>Petco</v>
      </c>
      <c r="C37" s="190">
        <f>SUMIFS(Sales!G:G,Sales!D:D,A37)</f>
        <v>1212</v>
      </c>
      <c r="D37" s="190">
        <f>SUMIFS(Sales!N:N,Sales!D:D,A37)</f>
        <v>713.76</v>
      </c>
      <c r="E37" s="191" t="s">
        <v>130</v>
      </c>
      <c r="F37" s="190">
        <f t="shared" si="15"/>
        <v>81</v>
      </c>
      <c r="G37" s="192">
        <f>SUMIFS(Sales!R:R,Sales!D:D,A37)</f>
        <v>0.81</v>
      </c>
      <c r="H37" s="190">
        <v>50</v>
      </c>
      <c r="I37" s="190">
        <v>50</v>
      </c>
      <c r="J37" s="192">
        <v>350</v>
      </c>
      <c r="K37" s="190">
        <f t="shared" si="16"/>
        <v>54.54</v>
      </c>
      <c r="L37" s="190">
        <v>186.36</v>
      </c>
      <c r="M37" s="190">
        <v>0</v>
      </c>
      <c r="N37" s="190">
        <f t="shared" si="14"/>
        <v>48.48</v>
      </c>
      <c r="O37" s="190">
        <f t="shared" si="3"/>
        <v>-272.14</v>
      </c>
      <c r="P37" s="190" t="s">
        <v>403</v>
      </c>
      <c r="Q37" s="193">
        <f>_xlfn.XLOOKUP(A37,Sales!D:D,Sales!K:K)</f>
        <v>46122</v>
      </c>
      <c r="R37" s="193">
        <v>46127</v>
      </c>
      <c r="S37" s="204" t="s">
        <v>433</v>
      </c>
      <c r="T37" s="195">
        <f t="shared" si="4"/>
        <v>-1245.57</v>
      </c>
      <c r="U37" s="174">
        <f t="shared" si="5"/>
        <v>971.1</v>
      </c>
      <c r="V37" s="196">
        <f t="shared" si="17"/>
        <v>-112.35</v>
      </c>
      <c r="W37" s="196"/>
      <c r="Y37" s="197">
        <f>SUMIF('Other pmt'!H:H,"*"&amp;S37&amp;"*",'Other pmt'!F:F)</f>
        <v>1133.22</v>
      </c>
      <c r="Z37" s="198" t="str">
        <f t="shared" si="9"/>
        <v>04</v>
      </c>
      <c r="AA37" s="198" t="str">
        <f>_xlfn.XLOOKUP("*"&amp;$S37&amp;"*",'Other pmt'!H$1:H$1126,'Other pmt'!D$1:D$1126,0,2)</f>
        <v>06/01/2026</v>
      </c>
      <c r="AB37" s="198">
        <f t="shared" ref="AB37:AB68" si="18">Y37-U37</f>
        <v>162.12</v>
      </c>
      <c r="AC37" s="199">
        <f t="shared" si="6"/>
        <v>0.166944701884461</v>
      </c>
      <c r="AD37" s="198"/>
      <c r="AE37" s="200">
        <f>CHOOSE(MATCH($B37,{"Petco","PSP"},0),SUMIF('Petco Rec'!M:M,$S37,'Petco Rec'!E:E),SUMIF('PSP Rec'!B:B,$S37,'PSP Rec'!M:M))</f>
        <v>0</v>
      </c>
      <c r="AF37" s="198"/>
      <c r="AG37" s="198"/>
      <c r="AH37" s="198"/>
      <c r="AI37" s="198"/>
      <c r="AJ37" s="198"/>
      <c r="AK37" s="198"/>
    </row>
    <row r="38" customHeight="1" spans="1:37">
      <c r="A38" s="130">
        <v>30440519</v>
      </c>
      <c r="B38" s="189" t="str">
        <f>_xlfn.XLOOKUP(A38,Sales!D:D,Sales!H:H)</f>
        <v>Petco</v>
      </c>
      <c r="C38" s="190">
        <f>SUMIFS(Sales!G:G,Sales!D:D,A38)</f>
        <v>1995.52</v>
      </c>
      <c r="D38" s="190">
        <f>SUMIFS(Sales!N:N,Sales!D:D,A38)</f>
        <v>1175.68</v>
      </c>
      <c r="E38" s="191" t="s">
        <v>130</v>
      </c>
      <c r="F38" s="190">
        <f t="shared" si="15"/>
        <v>133</v>
      </c>
      <c r="G38" s="192">
        <f>SUMIFS(Sales!R:R,Sales!D:D,A38)</f>
        <v>1.33</v>
      </c>
      <c r="H38" s="190">
        <v>50</v>
      </c>
      <c r="I38" s="190">
        <v>50</v>
      </c>
      <c r="J38" s="192">
        <v>300</v>
      </c>
      <c r="K38" s="190">
        <f t="shared" si="16"/>
        <v>89.7984</v>
      </c>
      <c r="L38" s="190">
        <v>0</v>
      </c>
      <c r="M38" s="190">
        <v>0</v>
      </c>
      <c r="N38" s="190">
        <f t="shared" si="14"/>
        <v>79.8208</v>
      </c>
      <c r="O38" s="190">
        <f t="shared" si="3"/>
        <v>167.2208</v>
      </c>
      <c r="P38" s="190" t="s">
        <v>403</v>
      </c>
      <c r="Q38" s="193">
        <f>_xlfn.XLOOKUP(A38,Sales!D:D,Sales!K:K)</f>
        <v>46122</v>
      </c>
      <c r="R38" s="193">
        <v>46127</v>
      </c>
      <c r="S38" s="204" t="s">
        <v>434</v>
      </c>
      <c r="T38" s="195">
        <f t="shared" si="4"/>
        <v>-1710.01</v>
      </c>
      <c r="U38" s="174">
        <f t="shared" si="5"/>
        <v>1905.7216</v>
      </c>
      <c r="V38" s="196">
        <f t="shared" si="17"/>
        <v>155.8</v>
      </c>
      <c r="W38" s="196"/>
      <c r="X38" s="206" t="s">
        <v>417</v>
      </c>
      <c r="Y38" s="197">
        <f>SUMIF('Other pmt'!H:H,"*"&amp;S38&amp;"*",'Other pmt'!F:F)</f>
        <v>1865.81</v>
      </c>
      <c r="Z38" s="198" t="str">
        <f t="shared" si="9"/>
        <v>04</v>
      </c>
      <c r="AA38" s="198" t="str">
        <f>_xlfn.XLOOKUP("*"&amp;$S38&amp;"*",'Other pmt'!H$1:H$1126,'Other pmt'!D$1:D$1126,0,2)</f>
        <v>06/03/2026</v>
      </c>
      <c r="AB38" s="198">
        <f t="shared" si="18"/>
        <v>-39.9116000000001</v>
      </c>
      <c r="AC38" s="199">
        <f t="shared" si="6"/>
        <v>-0.0209430380597041</v>
      </c>
      <c r="AD38" s="198"/>
      <c r="AE38" s="200">
        <f>CHOOSE(MATCH($B38,{"Petco","PSP"},0),SUMIF('Petco Rec'!M:M,$S38,'Petco Rec'!E:E),SUMIF('PSP Rec'!B:B,$S38,'PSP Rec'!M:M))</f>
        <v>0</v>
      </c>
      <c r="AF38" s="198"/>
      <c r="AG38" s="198"/>
      <c r="AH38" s="198"/>
      <c r="AI38" s="198"/>
      <c r="AJ38" s="198"/>
      <c r="AK38" s="198"/>
    </row>
    <row r="39" customHeight="1" spans="1:37">
      <c r="A39" s="130">
        <v>30440520</v>
      </c>
      <c r="B39" s="189" t="str">
        <f>_xlfn.XLOOKUP(A39,Sales!D:D,Sales!H:H)</f>
        <v>Petco</v>
      </c>
      <c r="C39" s="190">
        <f>SUMIFS(Sales!G:G,Sales!D:D,A39)</f>
        <v>1138.56</v>
      </c>
      <c r="D39" s="190">
        <f>SUMIFS(Sales!N:N,Sales!D:D,A39)</f>
        <v>672</v>
      </c>
      <c r="E39" s="191" t="s">
        <v>130</v>
      </c>
      <c r="F39" s="190">
        <f t="shared" si="15"/>
        <v>73</v>
      </c>
      <c r="G39" s="192">
        <f>SUMIFS(Sales!R:R,Sales!D:D,A39)</f>
        <v>0.73</v>
      </c>
      <c r="H39" s="190">
        <v>50</v>
      </c>
      <c r="I39" s="190">
        <v>50</v>
      </c>
      <c r="J39" s="192">
        <v>135</v>
      </c>
      <c r="K39" s="190">
        <f t="shared" si="16"/>
        <v>51.2352</v>
      </c>
      <c r="L39" s="190">
        <v>0</v>
      </c>
      <c r="M39" s="190">
        <v>0</v>
      </c>
      <c r="N39" s="190">
        <f t="shared" si="14"/>
        <v>45.5424</v>
      </c>
      <c r="O39" s="190">
        <f t="shared" si="3"/>
        <v>111.7824</v>
      </c>
      <c r="P39" s="190" t="s">
        <v>403</v>
      </c>
      <c r="Q39" s="193">
        <f>_xlfn.XLOOKUP(A39,Sales!D:D,Sales!K:K)</f>
        <v>46122</v>
      </c>
      <c r="R39" s="193">
        <v>46127</v>
      </c>
      <c r="S39" s="204" t="s">
        <v>435</v>
      </c>
      <c r="T39" s="195">
        <f t="shared" si="4"/>
        <v>-980.73</v>
      </c>
      <c r="U39" s="174">
        <f t="shared" si="5"/>
        <v>1087.3248</v>
      </c>
      <c r="V39" s="196">
        <f t="shared" si="17"/>
        <v>-980.73</v>
      </c>
      <c r="W39" s="196"/>
      <c r="X39" s="206"/>
      <c r="Y39" s="197">
        <f>SUMIF('Other pmt'!H:H,"*"&amp;S39&amp;"*",'Other pmt'!F:F)</f>
        <v>0</v>
      </c>
      <c r="Z39" s="198" t="str">
        <f t="shared" si="9"/>
        <v>04</v>
      </c>
      <c r="AA39" s="198">
        <f>_xlfn.XLOOKUP("*"&amp;$S39&amp;"*",'Other pmt'!H$1:H$1126,'Other pmt'!D$1:D$1126,0,2)</f>
        <v>0</v>
      </c>
      <c r="AB39" s="198">
        <f t="shared" si="18"/>
        <v>-1087.3248</v>
      </c>
      <c r="AC39" s="199">
        <f t="shared" si="6"/>
        <v>-1</v>
      </c>
      <c r="AD39" s="198"/>
      <c r="AE39" s="200">
        <f>CHOOSE(MATCH($B39,{"Petco","PSP"},0),SUMIF('Petco Rec'!M:M,$S39,'Petco Rec'!E:E),SUMIF('PSP Rec'!B:B,$S39,'PSP Rec'!M:M))</f>
        <v>0</v>
      </c>
      <c r="AF39" s="198"/>
      <c r="AG39" s="198"/>
      <c r="AH39" s="198"/>
      <c r="AI39" s="198"/>
      <c r="AJ39" s="198"/>
      <c r="AK39" s="198"/>
    </row>
    <row r="40" customHeight="1" spans="1:37">
      <c r="A40" s="130">
        <v>30440522</v>
      </c>
      <c r="B40" s="189" t="str">
        <f>_xlfn.XLOOKUP(A40,Sales!D:D,Sales!H:H)</f>
        <v>Petco</v>
      </c>
      <c r="C40" s="190">
        <f>SUMIFS(Sales!G:G,Sales!D:D,A40)</f>
        <v>783.52</v>
      </c>
      <c r="D40" s="190">
        <f>SUMIFS(Sales!N:N,Sales!D:D,A40)</f>
        <v>461.92</v>
      </c>
      <c r="E40" s="191" t="s">
        <v>130</v>
      </c>
      <c r="F40" s="190">
        <f t="shared" si="15"/>
        <v>52</v>
      </c>
      <c r="G40" s="192">
        <f>SUMIFS(Sales!R:R,Sales!D:D,A40)</f>
        <v>0.52</v>
      </c>
      <c r="H40" s="190">
        <v>50</v>
      </c>
      <c r="I40" s="190">
        <v>50</v>
      </c>
      <c r="J40" s="192">
        <v>500</v>
      </c>
      <c r="K40" s="190">
        <f t="shared" si="16"/>
        <v>35.2584</v>
      </c>
      <c r="L40" s="211">
        <v>173.51</v>
      </c>
      <c r="M40" s="190">
        <v>0</v>
      </c>
      <c r="N40" s="190">
        <f t="shared" si="14"/>
        <v>31.3408</v>
      </c>
      <c r="O40" s="190">
        <f t="shared" si="3"/>
        <v>-520.5092</v>
      </c>
      <c r="P40" s="190" t="s">
        <v>403</v>
      </c>
      <c r="Q40" s="193">
        <f>_xlfn.XLOOKUP(A40,Sales!D:D,Sales!K:K)</f>
        <v>46122</v>
      </c>
      <c r="R40" s="193">
        <v>46127</v>
      </c>
      <c r="S40" s="204" t="s">
        <v>436</v>
      </c>
      <c r="T40" s="195">
        <f t="shared" si="4"/>
        <v>-1114.44</v>
      </c>
      <c r="U40" s="174">
        <f t="shared" si="5"/>
        <v>574.7516</v>
      </c>
      <c r="V40" s="196">
        <f t="shared" si="17"/>
        <v>-1114.44</v>
      </c>
      <c r="W40" s="196"/>
      <c r="Y40" s="197">
        <f>SUMIF('Other pmt'!H:H,"*"&amp;S40&amp;"*",'Other pmt'!F:F)</f>
        <v>0</v>
      </c>
      <c r="Z40" s="198" t="str">
        <f t="shared" si="9"/>
        <v>04</v>
      </c>
      <c r="AA40" s="198">
        <f>_xlfn.XLOOKUP("*"&amp;$S40&amp;"*",'Other pmt'!H$1:H$1126,'Other pmt'!D$1:D$1126,0,2)</f>
        <v>0</v>
      </c>
      <c r="AB40" s="198">
        <f t="shared" si="18"/>
        <v>-574.7516</v>
      </c>
      <c r="AC40" s="199">
        <f t="shared" si="6"/>
        <v>-1</v>
      </c>
      <c r="AD40" s="198"/>
      <c r="AE40" s="200">
        <f>CHOOSE(MATCH($B40,{"Petco","PSP"},0),SUMIF('Petco Rec'!M:M,$S40,'Petco Rec'!E:E),SUMIF('PSP Rec'!B:B,$S40,'PSP Rec'!M:M))</f>
        <v>0</v>
      </c>
      <c r="AF40" s="198"/>
      <c r="AG40" s="198"/>
      <c r="AH40" s="198"/>
      <c r="AI40" s="198"/>
      <c r="AJ40" s="198"/>
      <c r="AK40" s="198"/>
    </row>
    <row r="41" customHeight="1" spans="1:37">
      <c r="A41" s="125">
        <v>733349</v>
      </c>
      <c r="B41" s="189" t="str">
        <f>_xlfn.XLOOKUP(A41,Sales!D:D,Sales!H:H)</f>
        <v>Pet Supermarket</v>
      </c>
      <c r="C41" s="190">
        <f>SUMIFS(Sales!G:G,Sales!D:D,A41)</f>
        <v>25467.92</v>
      </c>
      <c r="D41" s="190">
        <f>SUMIFS(Sales!N:N,Sales!D:D,A41)</f>
        <v>13088.62</v>
      </c>
      <c r="E41" s="191" t="s">
        <v>130</v>
      </c>
      <c r="F41" s="190">
        <f t="shared" si="15"/>
        <v>3366</v>
      </c>
      <c r="G41" s="192">
        <f>SUMIFS(Sales!R:R,Sales!D:D,A41)</f>
        <v>33.66</v>
      </c>
      <c r="H41" s="190">
        <v>2471</v>
      </c>
      <c r="I41" s="190">
        <v>2471</v>
      </c>
      <c r="J41" s="192">
        <v>8650</v>
      </c>
      <c r="K41" s="190">
        <f t="shared" si="16"/>
        <v>1273.396</v>
      </c>
      <c r="L41" s="190"/>
      <c r="M41" s="190"/>
      <c r="N41" s="190">
        <f>C41*0.06</f>
        <v>1528.0752</v>
      </c>
      <c r="O41" s="190">
        <f t="shared" si="3"/>
        <v>-4909.1712</v>
      </c>
      <c r="P41" s="190" t="s">
        <v>403</v>
      </c>
      <c r="Q41" s="193">
        <f>_xlfn.XLOOKUP(A41,Sales!D:D,Sales!K:K)</f>
        <v>46159</v>
      </c>
      <c r="R41" s="193">
        <f>VLOOKUP(A41,Sales!D:L,8,0)</f>
        <v>46159</v>
      </c>
      <c r="S41" s="212" t="s">
        <v>437</v>
      </c>
      <c r="T41" s="195">
        <f t="shared" si="4"/>
        <v>-30080.28</v>
      </c>
      <c r="U41" s="174">
        <f t="shared" si="5"/>
        <v>24194.524</v>
      </c>
      <c r="V41" s="196">
        <f t="shared" si="17"/>
        <v>-7159.16</v>
      </c>
      <c r="W41" s="213" t="s">
        <v>438</v>
      </c>
      <c r="X41" s="206"/>
      <c r="Y41" s="197">
        <v>22921.12</v>
      </c>
      <c r="Z41" s="198" t="str">
        <f t="shared" si="9"/>
        <v>05</v>
      </c>
      <c r="AA41" s="213" t="s">
        <v>439</v>
      </c>
      <c r="AB41" s="198">
        <f t="shared" si="18"/>
        <v>-1273.40400000001</v>
      </c>
      <c r="AC41" s="199">
        <f t="shared" si="6"/>
        <v>-0.0526319096007016</v>
      </c>
      <c r="AD41" s="198"/>
      <c r="AE41" s="200" t="e">
        <f>CHOOSE(MATCH($B41,{"Petco","PSP"},0),SUMIF('Petco Rec'!M:M,$S41,'Petco Rec'!E:E),SUMIF('PSP Rec'!B:B,$S41,'PSP Rec'!M:M))</f>
        <v>#N/A</v>
      </c>
      <c r="AF41" s="198"/>
      <c r="AG41" s="198"/>
      <c r="AH41" s="198"/>
      <c r="AI41" s="198"/>
      <c r="AJ41" s="198"/>
      <c r="AK41" s="198"/>
    </row>
    <row r="42" customHeight="1" spans="1:37">
      <c r="A42" s="125">
        <v>30935526</v>
      </c>
      <c r="B42" s="189" t="str">
        <f>_xlfn.XLOOKUP(A42,Sales!D:D,Sales!H:H)</f>
        <v>Petco</v>
      </c>
      <c r="C42" s="190">
        <f>SUMIFS(Sales!G:G,Sales!D:D,A42)</f>
        <v>7452.92</v>
      </c>
      <c r="D42" s="190">
        <f>SUMIFS(Sales!N:N,Sales!D:D,A42)</f>
        <v>3855.06</v>
      </c>
      <c r="E42" s="191" t="s">
        <v>130</v>
      </c>
      <c r="F42" s="190">
        <f t="shared" si="15"/>
        <v>897</v>
      </c>
      <c r="G42" s="192">
        <f>SUMIFS(Sales!R:R,Sales!D:D,A42)</f>
        <v>8.97</v>
      </c>
      <c r="H42" s="190">
        <v>612</v>
      </c>
      <c r="I42" s="190">
        <v>612</v>
      </c>
      <c r="J42" s="192">
        <v>2280</v>
      </c>
      <c r="K42" s="190">
        <f t="shared" si="16"/>
        <v>335.3814</v>
      </c>
      <c r="L42" s="190">
        <v>300</v>
      </c>
      <c r="M42" s="190"/>
      <c r="N42" s="190">
        <f t="shared" ref="N42:N63" si="19">C42*0.04</f>
        <v>298.1168</v>
      </c>
      <c r="O42" s="190">
        <f t="shared" si="3"/>
        <v>-1124.6382</v>
      </c>
      <c r="P42" s="190" t="s">
        <v>403</v>
      </c>
      <c r="Q42" s="193">
        <f>_xlfn.XLOOKUP(A42,Sales!D:D,Sales!K:K)</f>
        <v>46146</v>
      </c>
      <c r="R42" s="193">
        <f>VLOOKUP(A42,Sales!D:L,8,0)</f>
        <v>46146</v>
      </c>
      <c r="S42" s="204" t="s">
        <v>440</v>
      </c>
      <c r="T42" s="195">
        <f t="shared" si="4"/>
        <v>-8265.03</v>
      </c>
      <c r="U42" s="174">
        <f t="shared" si="5"/>
        <v>6817.5386</v>
      </c>
      <c r="V42" s="196">
        <f t="shared" si="17"/>
        <v>-139.06</v>
      </c>
      <c r="W42" s="196"/>
      <c r="Y42" s="197">
        <f>SUMIF('Other pmt'!H:H,"*"&amp;S42&amp;"*",'Other pmt'!F:F)</f>
        <v>8125.97</v>
      </c>
      <c r="Z42" s="198" t="str">
        <f t="shared" si="9"/>
        <v>05</v>
      </c>
      <c r="AA42" s="198" t="str">
        <f>_xlfn.XLOOKUP("*"&amp;$S42&amp;"*",'Other pmt'!H$1:H$1126,'Other pmt'!D$1:D$1126,0,2)</f>
        <v>06/02/2026</v>
      </c>
      <c r="AB42" s="198">
        <f t="shared" si="18"/>
        <v>1308.4314</v>
      </c>
      <c r="AC42" s="199">
        <f t="shared" si="6"/>
        <v>0.191921377606868</v>
      </c>
      <c r="AD42" s="198"/>
      <c r="AE42" s="200">
        <f>CHOOSE(MATCH($B42,{"Petco","PSP"},0),SUMIF('Petco Rec'!M:M,$S42,'Petco Rec'!E:E),SUMIF('PSP Rec'!B:B,$S42,'PSP Rec'!M:M))</f>
        <v>6323.13</v>
      </c>
      <c r="AF42" s="198"/>
      <c r="AG42" s="198"/>
      <c r="AH42" s="198"/>
      <c r="AI42" s="198"/>
      <c r="AJ42" s="198"/>
      <c r="AK42" s="198"/>
    </row>
    <row r="43" ht="12.75" spans="1:37">
      <c r="A43" s="214">
        <v>30935527</v>
      </c>
      <c r="B43" s="189" t="str">
        <f>_xlfn.XLOOKUP(A43,Sales!D:D,Sales!H:H)</f>
        <v>Petco</v>
      </c>
      <c r="C43" s="190">
        <f>SUMIFS(Sales!G:G,Sales!D:D,A43)</f>
        <v>10987.46</v>
      </c>
      <c r="D43" s="190">
        <f>SUMIFS(Sales!N:N,Sales!D:D,A43)</f>
        <v>5920.91</v>
      </c>
      <c r="E43" s="191" t="s">
        <v>130</v>
      </c>
      <c r="F43" s="190">
        <f t="shared" si="15"/>
        <v>1456</v>
      </c>
      <c r="G43" s="192">
        <f>SUMIFS(Sales!R:R,Sales!D:D,A43)</f>
        <v>14.56</v>
      </c>
      <c r="H43" s="190">
        <v>1141</v>
      </c>
      <c r="I43" s="190">
        <v>1141</v>
      </c>
      <c r="J43" s="192">
        <v>2353</v>
      </c>
      <c r="K43" s="190">
        <f t="shared" si="16"/>
        <v>494.4357</v>
      </c>
      <c r="L43" s="190"/>
      <c r="M43" s="190"/>
      <c r="N43" s="190">
        <f t="shared" si="19"/>
        <v>439.4984</v>
      </c>
      <c r="O43" s="190">
        <f t="shared" si="3"/>
        <v>-817.384100000002</v>
      </c>
      <c r="P43" s="190" t="s">
        <v>403</v>
      </c>
      <c r="Q43" s="193">
        <f>_xlfn.XLOOKUP(A43,Sales!D:D,Sales!K:K)</f>
        <v>46164</v>
      </c>
      <c r="R43" s="193">
        <f>VLOOKUP(A43,Sales!D:L,8,0)</f>
        <v>46164</v>
      </c>
      <c r="S43" s="215" t="s">
        <v>441</v>
      </c>
      <c r="T43" s="195">
        <f t="shared" si="4"/>
        <v>-12026.47</v>
      </c>
      <c r="U43" s="174">
        <f t="shared" si="5"/>
        <v>10493.0243</v>
      </c>
      <c r="V43" s="196">
        <f t="shared" si="17"/>
        <v>-1753.2</v>
      </c>
      <c r="W43" s="213" t="s">
        <v>442</v>
      </c>
      <c r="X43" s="206"/>
      <c r="Y43" s="197">
        <f>SUMIF('Other pmt'!H:H,"*"&amp;S43&amp;"*",'Other pmt'!F:F)</f>
        <v>10273.27</v>
      </c>
      <c r="Z43" s="198" t="str">
        <f t="shared" si="9"/>
        <v>05</v>
      </c>
      <c r="AA43" s="198" t="str">
        <f>_xlfn.XLOOKUP("*"&amp;$S43&amp;"*",'Other pmt'!H$1:H$1126,'Other pmt'!D$1:D$1126,0,2)</f>
        <v>07/13/2026</v>
      </c>
      <c r="AB43" s="198">
        <f t="shared" si="18"/>
        <v>-219.754299999999</v>
      </c>
      <c r="AC43" s="199">
        <f t="shared" si="6"/>
        <v>-0.0209428944141489</v>
      </c>
      <c r="AD43" s="198"/>
      <c r="AE43" s="200">
        <f>CHOOSE(MATCH($B43,{"Petco","PSP"},0),SUMIF('Petco Rec'!M:M,$S43,'Petco Rec'!E:E),SUMIF('PSP Rec'!B:B,$S43,'PSP Rec'!M:M))</f>
        <v>0</v>
      </c>
      <c r="AF43" s="198"/>
      <c r="AG43" s="198"/>
      <c r="AH43" s="198"/>
      <c r="AI43" s="198"/>
      <c r="AJ43" s="198"/>
      <c r="AK43" s="198"/>
    </row>
    <row r="44" customHeight="1" spans="1:37">
      <c r="A44" s="125">
        <v>30935528</v>
      </c>
      <c r="B44" s="189" t="str">
        <f>_xlfn.XLOOKUP(A44,Sales!D:D,Sales!H:H)</f>
        <v>Petco</v>
      </c>
      <c r="C44" s="190">
        <f>SUMIFS(Sales!G:G,Sales!D:D,A44)</f>
        <v>3928.42</v>
      </c>
      <c r="D44" s="190">
        <f>SUMIFS(Sales!N:N,Sales!D:D,A44)</f>
        <v>2014.18</v>
      </c>
      <c r="E44" s="191" t="s">
        <v>130</v>
      </c>
      <c r="F44" s="190">
        <f t="shared" si="15"/>
        <v>510</v>
      </c>
      <c r="G44" s="192">
        <f>SUMIFS(Sales!R:R,Sales!D:D,A44)</f>
        <v>5.1</v>
      </c>
      <c r="H44" s="190">
        <v>312</v>
      </c>
      <c r="I44" s="190">
        <v>312</v>
      </c>
      <c r="J44" s="192">
        <v>1795</v>
      </c>
      <c r="K44" s="190">
        <f t="shared" si="16"/>
        <v>176.7789</v>
      </c>
      <c r="L44" s="190"/>
      <c r="M44" s="190"/>
      <c r="N44" s="190">
        <f t="shared" si="19"/>
        <v>157.1368</v>
      </c>
      <c r="O44" s="190">
        <f t="shared" si="3"/>
        <v>-1036.6757</v>
      </c>
      <c r="P44" s="190" t="s">
        <v>403</v>
      </c>
      <c r="Q44" s="193">
        <f>_xlfn.XLOOKUP(A44,Sales!D:D,Sales!K:K)</f>
        <v>46146</v>
      </c>
      <c r="R44" s="193">
        <f>VLOOKUP(A44,Sales!D:L,8,0)</f>
        <v>46146</v>
      </c>
      <c r="S44" s="204" t="s">
        <v>443</v>
      </c>
      <c r="T44" s="195">
        <f t="shared" si="4"/>
        <v>-4948.28</v>
      </c>
      <c r="U44" s="174">
        <f t="shared" si="5"/>
        <v>3751.6411</v>
      </c>
      <c r="V44" s="196">
        <f t="shared" si="17"/>
        <v>-1275.21</v>
      </c>
      <c r="W44" s="196"/>
      <c r="Y44" s="197">
        <f>SUMIF('Other pmt'!H:H,"*"&amp;S44&amp;"*",'Other pmt'!F:F)</f>
        <v>3673.07</v>
      </c>
      <c r="Z44" s="198" t="str">
        <f t="shared" si="9"/>
        <v>05</v>
      </c>
      <c r="AA44" s="198" t="str">
        <f>_xlfn.XLOOKUP("*"&amp;$S44&amp;"*",'Other pmt'!H$1:H$1126,'Other pmt'!D$1:D$1126,0,2)</f>
        <v>06/17/2026</v>
      </c>
      <c r="AB44" s="198">
        <f t="shared" si="18"/>
        <v>-78.5710999999997</v>
      </c>
      <c r="AC44" s="199">
        <f t="shared" si="6"/>
        <v>-0.0209431280620099</v>
      </c>
      <c r="AD44" s="198"/>
      <c r="AE44" s="200">
        <f>CHOOSE(MATCH($B44,{"Petco","PSP"},0),SUMIF('Petco Rec'!M:M,$S44,'Petco Rec'!E:E),SUMIF('PSP Rec'!B:B,$S44,'PSP Rec'!M:M))</f>
        <v>3673.07</v>
      </c>
      <c r="AF44" s="198"/>
      <c r="AG44" s="198"/>
      <c r="AH44" s="198"/>
      <c r="AI44" s="198"/>
      <c r="AJ44" s="198"/>
      <c r="AK44" s="198"/>
    </row>
    <row r="45" s="170" customFormat="1" ht="12.75" spans="1:37">
      <c r="A45" s="216">
        <v>30935529</v>
      </c>
      <c r="B45" s="217" t="str">
        <f>_xlfn.XLOOKUP(A45,Sales!D:D,Sales!H:H)</f>
        <v>Petco</v>
      </c>
      <c r="C45" s="218">
        <f>SUMIFS(Sales!G:G,Sales!D:D,A45)</f>
        <v>7183.77</v>
      </c>
      <c r="D45" s="218">
        <f>SUMIFS(Sales!N:N,Sales!D:D,A45)</f>
        <v>3801.77</v>
      </c>
      <c r="E45" s="219" t="s">
        <v>130</v>
      </c>
      <c r="F45" s="190">
        <f t="shared" si="15"/>
        <v>1018</v>
      </c>
      <c r="G45" s="192">
        <f>SUMIFS(Sales!R:R,Sales!D:D,A45)</f>
        <v>10.18</v>
      </c>
      <c r="H45" s="218">
        <v>868</v>
      </c>
      <c r="I45" s="218">
        <v>868</v>
      </c>
      <c r="J45" s="220">
        <v>2152</v>
      </c>
      <c r="K45" s="218">
        <f t="shared" si="16"/>
        <v>323.26965</v>
      </c>
      <c r="L45" s="218"/>
      <c r="M45" s="218"/>
      <c r="N45" s="218">
        <f t="shared" si="19"/>
        <v>287.3508</v>
      </c>
      <c r="O45" s="190">
        <f t="shared" si="3"/>
        <v>-1266.62045</v>
      </c>
      <c r="P45" s="218" t="s">
        <v>403</v>
      </c>
      <c r="Q45" s="221">
        <f>_xlfn.XLOOKUP(A45,Sales!D:D,Sales!K:K)</f>
        <v>46164</v>
      </c>
      <c r="R45" s="221">
        <f>VLOOKUP(A45,Sales!D:L,8,0)</f>
        <v>46164</v>
      </c>
      <c r="S45" s="222" t="s">
        <v>444</v>
      </c>
      <c r="T45" s="223">
        <f t="shared" si="4"/>
        <v>-8717.95</v>
      </c>
      <c r="U45" s="224">
        <f t="shared" si="5"/>
        <v>6860.50035</v>
      </c>
      <c r="V45" s="196">
        <f t="shared" si="17"/>
        <v>-2013.46</v>
      </c>
      <c r="W45" s="225" t="s">
        <v>445</v>
      </c>
      <c r="X45" s="226"/>
      <c r="Y45" s="197">
        <f>SUMIF('Other pmt'!H:H,"*"&amp;S45&amp;"*",'Other pmt'!F:F)</f>
        <v>6704.49</v>
      </c>
      <c r="Z45" s="198" t="str">
        <f t="shared" si="9"/>
        <v>05</v>
      </c>
      <c r="AA45" s="198" t="str">
        <f>_xlfn.XLOOKUP("*"&amp;$S45&amp;"*",'Other pmt'!H$1:H$1126,'Other pmt'!D$1:D$1126,0,2)</f>
        <v>07/06/2026</v>
      </c>
      <c r="AB45" s="198">
        <f t="shared" si="18"/>
        <v>-156.01035</v>
      </c>
      <c r="AC45" s="199">
        <f t="shared" si="6"/>
        <v>-0.0227403749057457</v>
      </c>
      <c r="AD45" s="227"/>
      <c r="AE45" s="200">
        <f>CHOOSE(MATCH($B45,{"Petco","PSP"},0),SUMIF('Petco Rec'!M:M,$S45,'Petco Rec'!E:E),SUMIF('PSP Rec'!B:B,$S45,'PSP Rec'!M:M))</f>
        <v>6704.49</v>
      </c>
      <c r="AF45" s="227"/>
      <c r="AG45" s="227"/>
      <c r="AH45" s="227"/>
      <c r="AI45" s="227"/>
      <c r="AJ45" s="227"/>
      <c r="AK45" s="227"/>
    </row>
    <row r="46" customHeight="1" spans="1:37">
      <c r="A46" s="125">
        <v>30935530</v>
      </c>
      <c r="B46" s="189" t="str">
        <f>_xlfn.XLOOKUP(A46,Sales!D:D,Sales!H:H)</f>
        <v>Petco</v>
      </c>
      <c r="C46" s="190">
        <f>SUMIFS(Sales!G:G,Sales!D:D,A46)</f>
        <v>3633.89</v>
      </c>
      <c r="D46" s="190">
        <f>SUMIFS(Sales!N:N,Sales!D:D,A46)</f>
        <v>1951.73</v>
      </c>
      <c r="E46" s="191" t="s">
        <v>130</v>
      </c>
      <c r="F46" s="190">
        <f t="shared" si="15"/>
        <v>370</v>
      </c>
      <c r="G46" s="192">
        <f>SUMIFS(Sales!R:R,Sales!D:D,A46)</f>
        <v>3.7</v>
      </c>
      <c r="H46" s="190">
        <v>288</v>
      </c>
      <c r="I46" s="190">
        <v>288</v>
      </c>
      <c r="J46" s="192">
        <v>1240</v>
      </c>
      <c r="K46" s="190">
        <f t="shared" si="16"/>
        <v>163.52505</v>
      </c>
      <c r="L46" s="190"/>
      <c r="M46" s="190"/>
      <c r="N46" s="190">
        <f t="shared" si="19"/>
        <v>145.3556</v>
      </c>
      <c r="O46" s="190">
        <f t="shared" si="3"/>
        <v>-524.720650000001</v>
      </c>
      <c r="P46" s="190" t="s">
        <v>403</v>
      </c>
      <c r="Q46" s="193">
        <f>_xlfn.XLOOKUP(A46,Sales!D:D,Sales!K:K)</f>
        <v>46146</v>
      </c>
      <c r="R46" s="193">
        <f>VLOOKUP(A46,Sales!D:L,8,0)</f>
        <v>46146</v>
      </c>
      <c r="S46" s="204" t="s">
        <v>446</v>
      </c>
      <c r="T46" s="195">
        <f t="shared" si="4"/>
        <v>-4141.43</v>
      </c>
      <c r="U46" s="174">
        <f t="shared" si="5"/>
        <v>3470.36495</v>
      </c>
      <c r="V46" s="196">
        <f t="shared" si="17"/>
        <v>-898.63</v>
      </c>
      <c r="W46" s="196"/>
      <c r="Y46" s="197">
        <f>SUMIF('Other pmt'!H:H,"*"&amp;S46&amp;"*",'Other pmt'!F:F)</f>
        <v>3242.8</v>
      </c>
      <c r="Z46" s="198" t="str">
        <f t="shared" si="9"/>
        <v>05</v>
      </c>
      <c r="AA46" s="198" t="str">
        <f>_xlfn.XLOOKUP("*"&amp;$S46&amp;"*",'Other pmt'!H$1:H$1126,'Other pmt'!D$1:D$1126,0,2)</f>
        <v>06/03/2026</v>
      </c>
      <c r="AB46" s="198">
        <f t="shared" si="18"/>
        <v>-227.564949999999</v>
      </c>
      <c r="AC46" s="199">
        <f t="shared" si="6"/>
        <v>-0.0655737806480552</v>
      </c>
      <c r="AD46" s="198"/>
      <c r="AE46" s="200">
        <f>CHOOSE(MATCH($B46,{"Petco","PSP"},0),SUMIF('Petco Rec'!M:M,$S46,'Petco Rec'!E:E),SUMIF('PSP Rec'!B:B,$S46,'PSP Rec'!M:M))</f>
        <v>3242.8</v>
      </c>
      <c r="AF46" s="198"/>
      <c r="AG46" s="198"/>
      <c r="AH46" s="198"/>
      <c r="AI46" s="198"/>
      <c r="AJ46" s="198"/>
      <c r="AK46" s="198"/>
    </row>
    <row r="47" s="170" customFormat="1" ht="12.75" spans="1:37">
      <c r="A47" s="216">
        <v>30935531</v>
      </c>
      <c r="B47" s="217" t="str">
        <f>_xlfn.XLOOKUP(A47,Sales!D:D,Sales!H:H)</f>
        <v>Petco</v>
      </c>
      <c r="C47" s="218">
        <f>SUMIFS(Sales!G:G,Sales!D:D,A47)</f>
        <v>2881.92</v>
      </c>
      <c r="D47" s="218">
        <f>SUMIFS(Sales!N:N,Sales!D:D,A47)</f>
        <v>1502.82</v>
      </c>
      <c r="E47" s="219" t="s">
        <v>130</v>
      </c>
      <c r="F47" s="190">
        <f t="shared" si="15"/>
        <v>406</v>
      </c>
      <c r="G47" s="192">
        <f>SUMIFS(Sales!R:R,Sales!D:D,A47)</f>
        <v>4.06</v>
      </c>
      <c r="H47" s="218">
        <v>343</v>
      </c>
      <c r="I47" s="218">
        <v>343</v>
      </c>
      <c r="J47" s="220">
        <v>1358</v>
      </c>
      <c r="K47" s="218">
        <f t="shared" si="16"/>
        <v>129.6864</v>
      </c>
      <c r="L47" s="218"/>
      <c r="M47" s="218"/>
      <c r="N47" s="218">
        <f t="shared" si="19"/>
        <v>115.2768</v>
      </c>
      <c r="O47" s="190">
        <f t="shared" si="3"/>
        <v>-972.8632</v>
      </c>
      <c r="P47" s="218" t="s">
        <v>403</v>
      </c>
      <c r="Q47" s="221">
        <f>_xlfn.XLOOKUP(A47,Sales!D:D,Sales!K:K)</f>
        <v>46164</v>
      </c>
      <c r="R47" s="221">
        <f>VLOOKUP(A47,Sales!D:L,8,0)</f>
        <v>46164</v>
      </c>
      <c r="S47" s="222" t="s">
        <v>447</v>
      </c>
      <c r="T47" s="228">
        <f t="shared" si="4"/>
        <v>-3956.88</v>
      </c>
      <c r="U47" s="229">
        <f t="shared" si="5"/>
        <v>2752.2336</v>
      </c>
      <c r="V47" s="196">
        <f t="shared" si="17"/>
        <v>-1248.71</v>
      </c>
      <c r="W47" s="225" t="s">
        <v>445</v>
      </c>
      <c r="X47" s="226"/>
      <c r="Y47" s="197">
        <f>SUMIF('Other pmt'!H:H,"*"&amp;S47&amp;"*",'Other pmt'!F:F)</f>
        <v>2708.17</v>
      </c>
      <c r="Z47" s="198" t="str">
        <f t="shared" si="9"/>
        <v>05</v>
      </c>
      <c r="AA47" s="198" t="str">
        <f>_xlfn.XLOOKUP("*"&amp;$S47&amp;"*",'Other pmt'!H$1:H$1126,'Other pmt'!D$1:D$1126,0,2)</f>
        <v>07/07/2026</v>
      </c>
      <c r="AB47" s="198">
        <f t="shared" si="18"/>
        <v>-44.0635999999995</v>
      </c>
      <c r="AC47" s="199">
        <f t="shared" si="6"/>
        <v>-0.0160101235592791</v>
      </c>
      <c r="AD47" s="227"/>
      <c r="AE47" s="200">
        <f>CHOOSE(MATCH($B47,{"Petco","PSP"},0),SUMIF('Petco Rec'!M:M,$S47,'Petco Rec'!E:E),SUMIF('PSP Rec'!B:B,$S47,'PSP Rec'!M:M))</f>
        <v>0</v>
      </c>
      <c r="AF47" s="227"/>
      <c r="AG47" s="227"/>
      <c r="AH47" s="227"/>
      <c r="AI47" s="227"/>
      <c r="AJ47" s="227"/>
      <c r="AK47" s="227"/>
    </row>
    <row r="48" customHeight="1" spans="1:37">
      <c r="A48" s="125">
        <v>30935532</v>
      </c>
      <c r="B48" s="189" t="str">
        <f>_xlfn.XLOOKUP(A48,Sales!D:D,Sales!H:H)</f>
        <v>Petco</v>
      </c>
      <c r="C48" s="190">
        <f>SUMIFS(Sales!G:G,Sales!D:D,A48)</f>
        <v>3352.35</v>
      </c>
      <c r="D48" s="190">
        <f>SUMIFS(Sales!N:N,Sales!D:D,A48)</f>
        <v>1738.23</v>
      </c>
      <c r="E48" s="191" t="s">
        <v>130</v>
      </c>
      <c r="F48" s="190">
        <f>G48*110</f>
        <v>445.5</v>
      </c>
      <c r="G48" s="192">
        <f>SUMIFS(Sales!R:R,Sales!D:D,A48)</f>
        <v>4.05</v>
      </c>
      <c r="H48" s="190">
        <v>0</v>
      </c>
      <c r="I48" s="190">
        <v>0</v>
      </c>
      <c r="J48" s="192">
        <v>300</v>
      </c>
      <c r="K48" s="190">
        <f t="shared" si="16"/>
        <v>150.85575</v>
      </c>
      <c r="L48" s="190">
        <v>25</v>
      </c>
      <c r="M48" s="190"/>
      <c r="N48" s="190">
        <f t="shared" si="19"/>
        <v>134.094</v>
      </c>
      <c r="O48" s="190">
        <f t="shared" si="3"/>
        <v>558.67025</v>
      </c>
      <c r="P48" s="190" t="s">
        <v>403</v>
      </c>
      <c r="Q48" s="193">
        <f>_xlfn.XLOOKUP(A48,Sales!D:D,Sales!K:K)</f>
        <v>46146</v>
      </c>
      <c r="R48" s="193">
        <f>VLOOKUP(A48,Sales!D:L,8,0)</f>
        <v>46146</v>
      </c>
      <c r="S48" s="204" t="s">
        <v>448</v>
      </c>
      <c r="T48" s="195">
        <f t="shared" si="4"/>
        <v>-2487.78</v>
      </c>
      <c r="U48" s="174">
        <f t="shared" si="5"/>
        <v>3176.49425</v>
      </c>
      <c r="V48" s="196">
        <f t="shared" si="17"/>
        <v>601.32</v>
      </c>
      <c r="W48" s="196"/>
      <c r="Y48" s="197">
        <f>SUMIF('Other pmt'!H:H,"*"&amp;S48&amp;"*",'Other pmt'!F:F)</f>
        <v>3089.1</v>
      </c>
      <c r="Z48" s="198" t="str">
        <f t="shared" si="9"/>
        <v>05</v>
      </c>
      <c r="AA48" s="198" t="str">
        <f>_xlfn.XLOOKUP("*"&amp;$S48&amp;"*",'Other pmt'!H$1:H$1126,'Other pmt'!D$1:D$1126,0,2)</f>
        <v>06/17/2026</v>
      </c>
      <c r="AB48" s="198">
        <f t="shared" si="18"/>
        <v>-87.3942499999998</v>
      </c>
      <c r="AC48" s="199">
        <f t="shared" si="6"/>
        <v>-0.0275127996847467</v>
      </c>
      <c r="AD48" s="198"/>
      <c r="AE48" s="200">
        <f>CHOOSE(MATCH($B48,{"Petco","PSP"},0),SUMIF('Petco Rec'!M:M,$S48,'Petco Rec'!E:E),SUMIF('PSP Rec'!B:B,$S48,'PSP Rec'!M:M))</f>
        <v>3089.1</v>
      </c>
      <c r="AF48" s="198"/>
      <c r="AG48" s="198"/>
      <c r="AH48" s="198"/>
      <c r="AI48" s="198"/>
      <c r="AJ48" s="198"/>
      <c r="AK48" s="198"/>
    </row>
    <row r="49" s="170" customFormat="1" ht="12.75" spans="1:37">
      <c r="A49" s="216">
        <v>30935533</v>
      </c>
      <c r="B49" s="217" t="str">
        <f>_xlfn.XLOOKUP(A49,Sales!D:D,Sales!H:H)</f>
        <v>Petco</v>
      </c>
      <c r="C49" s="218">
        <f>SUMIFS(Sales!G:G,Sales!D:D,A49)</f>
        <v>6030.82</v>
      </c>
      <c r="D49" s="218">
        <f>SUMIFS(Sales!N:N,Sales!D:D,A49)</f>
        <v>3281.68</v>
      </c>
      <c r="E49" s="219" t="s">
        <v>130</v>
      </c>
      <c r="F49" s="190">
        <f t="shared" ref="F49:F112" si="20">G49*100</f>
        <v>789</v>
      </c>
      <c r="G49" s="192">
        <f>SUMIFS(Sales!R:R,Sales!D:D,A49)</f>
        <v>7.89</v>
      </c>
      <c r="H49" s="218">
        <v>637</v>
      </c>
      <c r="I49" s="218">
        <v>637</v>
      </c>
      <c r="J49" s="220">
        <v>440</v>
      </c>
      <c r="K49" s="218">
        <f t="shared" si="16"/>
        <v>271.3869</v>
      </c>
      <c r="L49" s="218"/>
      <c r="M49" s="218"/>
      <c r="N49" s="218">
        <f t="shared" si="19"/>
        <v>241.2328</v>
      </c>
      <c r="O49" s="190">
        <f t="shared" si="3"/>
        <v>370.5203</v>
      </c>
      <c r="P49" s="218" t="s">
        <v>403</v>
      </c>
      <c r="Q49" s="221">
        <f>_xlfn.XLOOKUP(A49,Sales!D:D,Sales!K:K)</f>
        <v>46164</v>
      </c>
      <c r="R49" s="221">
        <f>VLOOKUP(A49,Sales!D:L,8,0)</f>
        <v>46164</v>
      </c>
      <c r="S49" s="222" t="s">
        <v>449</v>
      </c>
      <c r="T49" s="223">
        <f t="shared" si="4"/>
        <v>-5792.57</v>
      </c>
      <c r="U49" s="224">
        <f t="shared" si="5"/>
        <v>5759.4331</v>
      </c>
      <c r="V49" s="196">
        <f t="shared" si="17"/>
        <v>-210.309999999999</v>
      </c>
      <c r="W49" s="225" t="s">
        <v>445</v>
      </c>
      <c r="X49" s="226"/>
      <c r="Y49" s="197">
        <f>SUMIF('Other pmt'!H:H,"*"&amp;S49&amp;"*",'Other pmt'!F:F)</f>
        <v>5582.26</v>
      </c>
      <c r="Z49" s="198" t="str">
        <f t="shared" si="9"/>
        <v>05</v>
      </c>
      <c r="AA49" s="198" t="str">
        <f>_xlfn.XLOOKUP("*"&amp;$S49&amp;"*",'Other pmt'!H$1:H$1126,'Other pmt'!D$1:D$1126,0,2)</f>
        <v>07/06/2026</v>
      </c>
      <c r="AB49" s="198">
        <f t="shared" si="18"/>
        <v>-177.1731</v>
      </c>
      <c r="AC49" s="199">
        <f t="shared" si="6"/>
        <v>-0.0307622463745607</v>
      </c>
      <c r="AD49" s="227"/>
      <c r="AE49" s="200">
        <f>CHOOSE(MATCH($B49,{"Petco","PSP"},0),SUMIF('Petco Rec'!M:M,$S49,'Petco Rec'!E:E),SUMIF('PSP Rec'!B:B,$S49,'PSP Rec'!M:M))</f>
        <v>5582.26</v>
      </c>
      <c r="AF49" s="227"/>
      <c r="AG49" s="227"/>
      <c r="AH49" s="227"/>
      <c r="AI49" s="227"/>
      <c r="AJ49" s="227"/>
      <c r="AK49" s="227"/>
    </row>
    <row r="50" customHeight="1" spans="1:37">
      <c r="A50" s="125">
        <v>30935534</v>
      </c>
      <c r="B50" s="189" t="str">
        <f>_xlfn.XLOOKUP(A50,Sales!D:D,Sales!H:H)</f>
        <v>Petco</v>
      </c>
      <c r="C50" s="190">
        <f>SUMIFS(Sales!G:G,Sales!D:D,A50)</f>
        <v>3900.92</v>
      </c>
      <c r="D50" s="190">
        <f>SUMIFS(Sales!N:N,Sales!D:D,A50)</f>
        <v>2018.36</v>
      </c>
      <c r="E50" s="191" t="s">
        <v>130</v>
      </c>
      <c r="F50" s="190">
        <f t="shared" si="20"/>
        <v>484</v>
      </c>
      <c r="G50" s="192">
        <f>SUMIFS(Sales!R:R,Sales!D:D,A50)</f>
        <v>4.84</v>
      </c>
      <c r="H50" s="190">
        <v>312</v>
      </c>
      <c r="I50" s="190">
        <v>312</v>
      </c>
      <c r="J50" s="192">
        <v>1140</v>
      </c>
      <c r="K50" s="190">
        <f t="shared" si="16"/>
        <v>175.5414</v>
      </c>
      <c r="L50" s="190">
        <v>267.03</v>
      </c>
      <c r="M50" s="190"/>
      <c r="N50" s="190">
        <f t="shared" si="19"/>
        <v>156.0368</v>
      </c>
      <c r="O50" s="190">
        <f t="shared" si="3"/>
        <v>-652.0482</v>
      </c>
      <c r="P50" s="190" t="s">
        <v>403</v>
      </c>
      <c r="Q50" s="193">
        <f>_xlfn.XLOOKUP(A50,Sales!D:D,Sales!K:K)</f>
        <v>46146</v>
      </c>
      <c r="R50" s="193">
        <f>VLOOKUP(A50,Sales!D:L,8,0)</f>
        <v>46146</v>
      </c>
      <c r="S50" s="230" t="s">
        <v>450</v>
      </c>
      <c r="T50" s="195">
        <f t="shared" si="4"/>
        <v>-4271.2</v>
      </c>
      <c r="U50" s="174">
        <f t="shared" si="5"/>
        <v>3458.3486</v>
      </c>
      <c r="V50" s="196">
        <f t="shared" si="17"/>
        <v>-623.84</v>
      </c>
      <c r="W50" s="196"/>
      <c r="Y50" s="197">
        <f>SUMIF('Other pmt'!H:H,"*"&amp;S50&amp;"*",'Other pmt'!F:F)</f>
        <v>3647.36</v>
      </c>
      <c r="Z50" s="198" t="str">
        <f t="shared" si="9"/>
        <v>05</v>
      </c>
      <c r="AA50" s="198" t="str">
        <f>_xlfn.XLOOKUP("*"&amp;$S50&amp;"*",'Other pmt'!H$1:H$1126,'Other pmt'!D$1:D$1126,0,2)</f>
        <v>06/17/2026</v>
      </c>
      <c r="AB50" s="198">
        <f t="shared" si="18"/>
        <v>189.0114</v>
      </c>
      <c r="AC50" s="199">
        <f t="shared" si="6"/>
        <v>0.0546536575289142</v>
      </c>
      <c r="AD50" s="198"/>
      <c r="AE50" s="200">
        <f>CHOOSE(MATCH($B50,{"Petco","PSP"},0),SUMIF('Petco Rec'!M:M,$S50,'Petco Rec'!E:E),SUMIF('PSP Rec'!B:B,$S50,'PSP Rec'!M:M))</f>
        <v>3647.36</v>
      </c>
      <c r="AF50" s="198"/>
      <c r="AG50" s="198"/>
      <c r="AH50" s="198"/>
      <c r="AI50" s="198"/>
      <c r="AJ50" s="198"/>
      <c r="AK50" s="198"/>
    </row>
    <row r="51" s="170" customFormat="1" ht="12.75" spans="1:37">
      <c r="A51" s="216">
        <v>30935535</v>
      </c>
      <c r="B51" s="217" t="str">
        <f>_xlfn.XLOOKUP(A51,Sales!D:D,Sales!H:H)</f>
        <v>Petco</v>
      </c>
      <c r="C51" s="218">
        <f>SUMIFS(Sales!G:G,Sales!D:D,A51)</f>
        <v>6407.89</v>
      </c>
      <c r="D51" s="218">
        <f>SUMIFS(Sales!N:N,Sales!D:D,A51)</f>
        <v>3468.98</v>
      </c>
      <c r="E51" s="219" t="s">
        <v>130</v>
      </c>
      <c r="F51" s="190">
        <f t="shared" si="20"/>
        <v>852</v>
      </c>
      <c r="G51" s="192">
        <f>SUMIFS(Sales!R:R,Sales!D:D,A51)</f>
        <v>8.52</v>
      </c>
      <c r="H51" s="218">
        <v>637</v>
      </c>
      <c r="I51" s="218">
        <v>637</v>
      </c>
      <c r="J51" s="220">
        <v>1427</v>
      </c>
      <c r="K51" s="218">
        <f t="shared" si="16"/>
        <v>288.35505</v>
      </c>
      <c r="L51" s="218"/>
      <c r="M51" s="218"/>
      <c r="N51" s="218">
        <f t="shared" si="19"/>
        <v>256.3156</v>
      </c>
      <c r="O51" s="190">
        <f t="shared" si="3"/>
        <v>-521.76065</v>
      </c>
      <c r="P51" s="218" t="s">
        <v>403</v>
      </c>
      <c r="Q51" s="221">
        <f>_xlfn.XLOOKUP(A51,Sales!D:D,Sales!K:K)</f>
        <v>46164</v>
      </c>
      <c r="R51" s="221">
        <f>VLOOKUP(A51,Sales!D:L,8,0)</f>
        <v>46164</v>
      </c>
      <c r="S51" s="222" t="s">
        <v>451</v>
      </c>
      <c r="T51" s="223">
        <f t="shared" si="4"/>
        <v>-7030.5</v>
      </c>
      <c r="U51" s="224">
        <f t="shared" si="5"/>
        <v>6119.53495</v>
      </c>
      <c r="V51" s="196">
        <f t="shared" si="17"/>
        <v>-1068.05</v>
      </c>
      <c r="W51" s="225" t="s">
        <v>445</v>
      </c>
      <c r="X51" s="226"/>
      <c r="Y51" s="197">
        <f>SUMIF('Other pmt'!H:H,"*"&amp;S51&amp;"*",'Other pmt'!F:F)</f>
        <v>5962.45</v>
      </c>
      <c r="Z51" s="198" t="str">
        <f t="shared" si="9"/>
        <v>05</v>
      </c>
      <c r="AA51" s="198" t="str">
        <f>_xlfn.XLOOKUP("*"&amp;$S51&amp;"*",'Other pmt'!H$1:H$1126,'Other pmt'!D$1:D$1126,0,2)</f>
        <v>07/01/2026</v>
      </c>
      <c r="AB51" s="198">
        <f t="shared" si="18"/>
        <v>-157.08495</v>
      </c>
      <c r="AC51" s="199">
        <f t="shared" si="6"/>
        <v>-0.0256694260729731</v>
      </c>
      <c r="AD51" s="227"/>
      <c r="AE51" s="200">
        <f>CHOOSE(MATCH($B51,{"Petco","PSP"},0),SUMIF('Petco Rec'!M:M,$S51,'Petco Rec'!E:E),SUMIF('PSP Rec'!B:B,$S51,'PSP Rec'!M:M))</f>
        <v>5962.45</v>
      </c>
      <c r="AF51" s="227"/>
      <c r="AG51" s="227"/>
      <c r="AH51" s="227"/>
      <c r="AI51" s="227"/>
      <c r="AJ51" s="227"/>
      <c r="AK51" s="227"/>
    </row>
    <row r="52" customHeight="1" spans="1:37">
      <c r="A52" s="125">
        <v>30935536</v>
      </c>
      <c r="B52" s="189" t="str">
        <f>_xlfn.XLOOKUP(A52,Sales!D:D,Sales!H:H)</f>
        <v>Petco</v>
      </c>
      <c r="C52" s="190">
        <f>SUMIFS(Sales!G:G,Sales!D:D,A52)</f>
        <v>7395.15</v>
      </c>
      <c r="D52" s="190">
        <f>SUMIFS(Sales!N:N,Sales!D:D,A52)</f>
        <v>3799.79</v>
      </c>
      <c r="E52" s="191" t="s">
        <v>130</v>
      </c>
      <c r="F52" s="190">
        <f t="shared" si="20"/>
        <v>890</v>
      </c>
      <c r="G52" s="192">
        <f>SUMIFS(Sales!R:R,Sales!D:D,A52)</f>
        <v>8.9</v>
      </c>
      <c r="H52" s="190">
        <v>612</v>
      </c>
      <c r="I52" s="190">
        <v>612</v>
      </c>
      <c r="J52" s="192">
        <v>3200</v>
      </c>
      <c r="K52" s="190">
        <f t="shared" si="16"/>
        <v>332.78175</v>
      </c>
      <c r="L52" s="190"/>
      <c r="M52" s="190"/>
      <c r="N52" s="190">
        <f t="shared" si="19"/>
        <v>295.806</v>
      </c>
      <c r="O52" s="190">
        <f t="shared" si="3"/>
        <v>-1735.22775</v>
      </c>
      <c r="P52" s="190" t="s">
        <v>403</v>
      </c>
      <c r="Q52" s="193">
        <f>_xlfn.XLOOKUP(A52,Sales!D:D,Sales!K:K)</f>
        <v>46146</v>
      </c>
      <c r="R52" s="193">
        <f>VLOOKUP(A52,Sales!D:L,8,0)</f>
        <v>46146</v>
      </c>
      <c r="S52" s="204" t="s">
        <v>452</v>
      </c>
      <c r="T52" s="195">
        <f t="shared" si="4"/>
        <v>-9122.69</v>
      </c>
      <c r="U52" s="174">
        <f t="shared" si="5"/>
        <v>7062.36825</v>
      </c>
      <c r="V52" s="196">
        <f t="shared" si="17"/>
        <v>-2208.22</v>
      </c>
      <c r="W52" s="196"/>
      <c r="Y52" s="197">
        <f>SUMIF('Other pmt'!H:H,"*"&amp;S52&amp;"*",'Other pmt'!F:F)</f>
        <v>6914.47</v>
      </c>
      <c r="Z52" s="198" t="str">
        <f t="shared" si="9"/>
        <v>05</v>
      </c>
      <c r="AA52" s="198" t="str">
        <f>_xlfn.XLOOKUP("*"&amp;$S52&amp;"*",'Other pmt'!H$1:H$1126,'Other pmt'!D$1:D$1126,0,2)</f>
        <v>06/22/2026</v>
      </c>
      <c r="AB52" s="198">
        <f t="shared" si="18"/>
        <v>-147.898249999999</v>
      </c>
      <c r="AC52" s="199">
        <f t="shared" si="6"/>
        <v>-0.0209417357980447</v>
      </c>
      <c r="AD52" s="198"/>
      <c r="AE52" s="200">
        <f>CHOOSE(MATCH($B52,{"Petco","PSP"},0),SUMIF('Petco Rec'!M:M,$S52,'Petco Rec'!E:E),SUMIF('PSP Rec'!B:B,$S52,'PSP Rec'!M:M))</f>
        <v>6914.47</v>
      </c>
      <c r="AF52" s="198"/>
      <c r="AG52" s="198"/>
      <c r="AH52" s="198"/>
      <c r="AI52" s="198"/>
      <c r="AJ52" s="198"/>
      <c r="AK52" s="198"/>
    </row>
    <row r="53" s="170" customFormat="1" ht="12.75" spans="1:37">
      <c r="A53" s="216">
        <v>30935537</v>
      </c>
      <c r="B53" s="217" t="str">
        <f>_xlfn.XLOOKUP(A53,Sales!D:D,Sales!H:H)</f>
        <v>Petco</v>
      </c>
      <c r="C53" s="218">
        <f>SUMIFS(Sales!G:G,Sales!D:D,A53)</f>
        <v>10659.27</v>
      </c>
      <c r="D53" s="218">
        <f>SUMIFS(Sales!N:N,Sales!D:D,A53)</f>
        <v>5704.15</v>
      </c>
      <c r="E53" s="219" t="s">
        <v>130</v>
      </c>
      <c r="F53" s="190">
        <f t="shared" si="20"/>
        <v>1461</v>
      </c>
      <c r="G53" s="192">
        <f>SUMIFS(Sales!R:R,Sales!D:D,A53)</f>
        <v>14.61</v>
      </c>
      <c r="H53" s="218">
        <v>1155</v>
      </c>
      <c r="I53" s="218">
        <v>1155</v>
      </c>
      <c r="J53" s="220">
        <v>4000</v>
      </c>
      <c r="K53" s="218">
        <f t="shared" si="16"/>
        <v>479.66715</v>
      </c>
      <c r="L53" s="218"/>
      <c r="M53" s="218"/>
      <c r="N53" s="218">
        <f t="shared" si="19"/>
        <v>426.3708</v>
      </c>
      <c r="O53" s="190">
        <f t="shared" si="3"/>
        <v>-2566.91795</v>
      </c>
      <c r="P53" s="218" t="s">
        <v>403</v>
      </c>
      <c r="Q53" s="221">
        <f>_xlfn.XLOOKUP(A53,Sales!D:D,Sales!K:K)</f>
        <v>46164</v>
      </c>
      <c r="R53" s="221">
        <f>VLOOKUP(A53,Sales!D:L,8,0)</f>
        <v>46164</v>
      </c>
      <c r="S53" s="222" t="s">
        <v>453</v>
      </c>
      <c r="T53" s="223">
        <f t="shared" si="4"/>
        <v>-13489.76</v>
      </c>
      <c r="U53" s="224">
        <f t="shared" si="5"/>
        <v>10179.60285</v>
      </c>
      <c r="V53" s="196">
        <f t="shared" si="17"/>
        <v>-3608.61</v>
      </c>
      <c r="W53" s="225" t="s">
        <v>445</v>
      </c>
      <c r="X53" s="226"/>
      <c r="Y53" s="197">
        <f>SUMIF('Other pmt'!H:H,"*"&amp;S53&amp;"*",'Other pmt'!F:F)</f>
        <v>9881.15</v>
      </c>
      <c r="Z53" s="198" t="str">
        <f t="shared" si="9"/>
        <v>05</v>
      </c>
      <c r="AA53" s="198" t="str">
        <f>_xlfn.XLOOKUP("*"&amp;$S53&amp;"*",'Other pmt'!H$1:H$1126,'Other pmt'!D$1:D$1126,0,2)</f>
        <v>07/07/2026</v>
      </c>
      <c r="AB53" s="198">
        <f t="shared" si="18"/>
        <v>-298.45285</v>
      </c>
      <c r="AC53" s="199">
        <f t="shared" si="6"/>
        <v>-0.029318712566473</v>
      </c>
      <c r="AD53" s="227"/>
      <c r="AE53" s="200">
        <f>CHOOSE(MATCH($B53,{"Petco","PSP"},0),SUMIF('Petco Rec'!M:M,$S53,'Petco Rec'!E:E),SUMIF('PSP Rec'!B:B,$S53,'PSP Rec'!M:M))</f>
        <v>9881.15</v>
      </c>
      <c r="AF53" s="227"/>
      <c r="AG53" s="227"/>
      <c r="AH53" s="227"/>
      <c r="AI53" s="227"/>
      <c r="AJ53" s="227"/>
      <c r="AK53" s="227"/>
    </row>
    <row r="54" customHeight="1" spans="1:37">
      <c r="A54" s="130" t="s">
        <v>338</v>
      </c>
      <c r="B54" s="189" t="str">
        <f>_xlfn.XLOOKUP(A54,Sales!D:D,Sales!H:H)</f>
        <v>PSP</v>
      </c>
      <c r="C54" s="190">
        <f>SUMIFS(Sales!G:G,Sales!D:D,A54)</f>
        <v>2229.16</v>
      </c>
      <c r="D54" s="190">
        <f>SUMIFS(Sales!N:N,Sales!D:D,A54)</f>
        <v>1083.64</v>
      </c>
      <c r="E54" s="202">
        <f>SUMIF(Sales!D:D,A54,Sales!O:O)</f>
        <v>26</v>
      </c>
      <c r="F54" s="190">
        <f t="shared" si="20"/>
        <v>317</v>
      </c>
      <c r="G54" s="192">
        <f>SUMIFS(Sales!R:R,Sales!D:D,A54)</f>
        <v>3.17</v>
      </c>
      <c r="H54" s="190">
        <v>210</v>
      </c>
      <c r="I54" s="190">
        <v>210</v>
      </c>
      <c r="J54" s="192">
        <v>1418</v>
      </c>
      <c r="K54" s="190">
        <f t="shared" si="16"/>
        <v>111.458</v>
      </c>
      <c r="L54" s="190"/>
      <c r="M54" s="190"/>
      <c r="N54" s="190">
        <f t="shared" si="19"/>
        <v>89.1664</v>
      </c>
      <c r="O54" s="190">
        <f t="shared" si="3"/>
        <v>-1000.1044</v>
      </c>
      <c r="P54" s="190" t="s">
        <v>403</v>
      </c>
      <c r="Q54" s="193">
        <f>_xlfn.XLOOKUP(A54,Sales!D:D,Sales!K:K)</f>
        <v>46174</v>
      </c>
      <c r="R54" s="193">
        <f>VLOOKUP(A54,Sales!D:L,8,0)</f>
        <v>46174</v>
      </c>
      <c r="S54" s="212" t="s">
        <v>454</v>
      </c>
      <c r="T54" s="195">
        <f t="shared" si="4"/>
        <v>-3267.81</v>
      </c>
      <c r="U54" s="174">
        <f t="shared" si="5"/>
        <v>2117.702</v>
      </c>
      <c r="V54" s="196">
        <f t="shared" si="17"/>
        <v>-1172.4</v>
      </c>
      <c r="W54" s="213" t="s">
        <v>455</v>
      </c>
      <c r="X54" s="206"/>
      <c r="Y54" s="197">
        <f>SUMIF('Other pmt'!H:H,"*"&amp;S54&amp;"*",'Other pmt'!F:F)</f>
        <v>2095.41</v>
      </c>
      <c r="Z54" s="198" t="str">
        <f t="shared" si="9"/>
        <v>05</v>
      </c>
      <c r="AA54" s="198" t="str">
        <f>_xlfn.XLOOKUP("*"&amp;$S54&amp;"*",'Other pmt'!H$1:H$1126,'Other pmt'!D$1:D$1126,0,2)</f>
        <v>7/6/2026</v>
      </c>
      <c r="AB54" s="198">
        <f t="shared" si="18"/>
        <v>-22.2919999999999</v>
      </c>
      <c r="AC54" s="199">
        <f t="shared" si="6"/>
        <v>-0.010526504673462</v>
      </c>
      <c r="AD54" s="198"/>
      <c r="AE54" s="200">
        <f>CHOOSE(MATCH($B54,{"Petco","PSP"},0),SUMIF('Petco Rec'!M:M,$S54,'Petco Rec'!E:E),SUMIF('PSP Rec'!B:B,$S54,'PSP Rec'!M:M))</f>
        <v>0</v>
      </c>
      <c r="AF54" s="198"/>
      <c r="AG54" s="198"/>
      <c r="AH54" s="198"/>
      <c r="AI54" s="198"/>
      <c r="AJ54" s="198"/>
      <c r="AK54" s="198"/>
    </row>
    <row r="55" customHeight="1" spans="1:37">
      <c r="A55" s="130" t="s">
        <v>339</v>
      </c>
      <c r="B55" s="189" t="str">
        <f>_xlfn.XLOOKUP(A55,Sales!D:D,Sales!H:H)</f>
        <v>PSP</v>
      </c>
      <c r="C55" s="190">
        <f>SUMIFS(Sales!G:G,Sales!D:D,A55)</f>
        <v>7711.58</v>
      </c>
      <c r="D55" s="190">
        <f>SUMIFS(Sales!N:N,Sales!D:D,A55)</f>
        <v>3767.84</v>
      </c>
      <c r="E55" s="202">
        <f>SUMIF(Sales!D:D,A55,Sales!O:O)</f>
        <v>90</v>
      </c>
      <c r="F55" s="190">
        <f t="shared" si="20"/>
        <v>1105</v>
      </c>
      <c r="G55" s="192">
        <f>SUMIFS(Sales!R:R,Sales!D:D,A55)</f>
        <v>11.05</v>
      </c>
      <c r="H55" s="190">
        <v>630</v>
      </c>
      <c r="I55" s="190">
        <v>630</v>
      </c>
      <c r="J55" s="192">
        <v>2393.8</v>
      </c>
      <c r="K55" s="190">
        <f t="shared" si="16"/>
        <v>385.579</v>
      </c>
      <c r="L55" s="190"/>
      <c r="M55" s="190"/>
      <c r="N55" s="190">
        <f t="shared" si="19"/>
        <v>308.4632</v>
      </c>
      <c r="O55" s="190">
        <f t="shared" si="3"/>
        <v>-879.1022</v>
      </c>
      <c r="P55" s="190" t="s">
        <v>403</v>
      </c>
      <c r="Q55" s="193">
        <f>_xlfn.XLOOKUP(A55,Sales!D:D,Sales!K:K)</f>
        <v>46174</v>
      </c>
      <c r="R55" s="193">
        <f>VLOOKUP(A55,Sales!D:L,8,0)</f>
        <v>46174</v>
      </c>
      <c r="S55" s="212" t="s">
        <v>456</v>
      </c>
      <c r="T55" s="195">
        <f t="shared" si="4"/>
        <v>-8627.69</v>
      </c>
      <c r="U55" s="174">
        <f t="shared" si="5"/>
        <v>7326.001</v>
      </c>
      <c r="V55" s="196">
        <f t="shared" si="17"/>
        <v>-1709.7</v>
      </c>
      <c r="W55" s="213" t="s">
        <v>455</v>
      </c>
      <c r="X55" s="206"/>
      <c r="Y55" s="197">
        <f>SUMIF('Other pmt'!H:H,"*"&amp;S55&amp;"*",'Other pmt'!F:F)</f>
        <v>6917.99</v>
      </c>
      <c r="Z55" s="198" t="str">
        <f t="shared" si="9"/>
        <v>05</v>
      </c>
      <c r="AA55" s="198" t="str">
        <f>_xlfn.XLOOKUP("*"&amp;$S55&amp;"*",'Other pmt'!H$1:H$1126,'Other pmt'!D$1:D$1126,0,2)</f>
        <v>7/6/2026</v>
      </c>
      <c r="AB55" s="198">
        <f t="shared" si="18"/>
        <v>-408.011</v>
      </c>
      <c r="AC55" s="199">
        <f t="shared" si="6"/>
        <v>-0.0556935495913801</v>
      </c>
      <c r="AD55" s="198"/>
      <c r="AE55" s="200">
        <f>CHOOSE(MATCH($B55,{"Petco","PSP"},0),SUMIF('Petco Rec'!M:M,$S55,'Petco Rec'!E:E),SUMIF('PSP Rec'!B:B,$S55,'PSP Rec'!M:M))</f>
        <v>0</v>
      </c>
      <c r="AF55" s="198"/>
      <c r="AG55" s="198"/>
      <c r="AH55" s="198"/>
      <c r="AI55" s="198"/>
      <c r="AJ55" s="198"/>
      <c r="AK55" s="198"/>
    </row>
    <row r="56" customHeight="1" spans="1:37">
      <c r="A56" s="130" t="s">
        <v>340</v>
      </c>
      <c r="B56" s="189" t="str">
        <f>_xlfn.XLOOKUP(A56,Sales!D:D,Sales!H:H)</f>
        <v>PSP</v>
      </c>
      <c r="C56" s="190">
        <f>SUMIFS(Sales!G:G,Sales!D:D,A56)</f>
        <v>1267.92</v>
      </c>
      <c r="D56" s="190">
        <f>SUMIFS(Sales!N:N,Sales!D:D,A56)</f>
        <v>613.68</v>
      </c>
      <c r="E56" s="202">
        <f>SUMIF(Sales!D:D,A56,Sales!O:O)</f>
        <v>16</v>
      </c>
      <c r="F56" s="190">
        <f t="shared" si="20"/>
        <v>169</v>
      </c>
      <c r="G56" s="192">
        <f>SUMIFS(Sales!R:R,Sales!D:D,A56)</f>
        <v>1.69</v>
      </c>
      <c r="H56" s="190">
        <v>10000</v>
      </c>
      <c r="I56" s="190">
        <f t="shared" ref="I56:I119" si="21">H56*G56/68</f>
        <v>248.529411764706</v>
      </c>
      <c r="J56" s="192">
        <v>691.91</v>
      </c>
      <c r="K56" s="190">
        <f t="shared" si="16"/>
        <v>63.396</v>
      </c>
      <c r="L56" s="190"/>
      <c r="M56" s="190"/>
      <c r="N56" s="190">
        <f t="shared" si="19"/>
        <v>50.7168</v>
      </c>
      <c r="O56" s="190">
        <f t="shared" si="3"/>
        <v>-569.312211764706</v>
      </c>
      <c r="P56" s="190"/>
      <c r="Q56" s="193">
        <f>_xlfn.XLOOKUP(A56,Sales!D:D,Sales!K:K)</f>
        <v>46208</v>
      </c>
      <c r="R56" s="193">
        <v>46197</v>
      </c>
      <c r="S56" s="212" t="s">
        <v>457</v>
      </c>
      <c r="T56" s="195">
        <f t="shared" si="4"/>
        <v>-11740.8094117647</v>
      </c>
      <c r="U56" s="174">
        <f t="shared" si="5"/>
        <v>1204.524</v>
      </c>
      <c r="V56" s="196">
        <f t="shared" si="17"/>
        <v>-10569.4894117647</v>
      </c>
      <c r="W56" s="213" t="s">
        <v>455</v>
      </c>
      <c r="X56" s="206"/>
      <c r="Y56" s="197">
        <f>SUMIF('Other pmt'!H:H,"*"&amp;S56&amp;"*",'Other pmt'!F:F)</f>
        <v>1171.32</v>
      </c>
      <c r="Z56" s="198" t="str">
        <f t="shared" si="9"/>
        <v>06</v>
      </c>
      <c r="AA56" s="198" t="str">
        <f>_xlfn.XLOOKUP("*"&amp;$S56&amp;"*",'Other pmt'!H$1:H$1126,'Other pmt'!D$1:D$1126,0,2)</f>
        <v>7/27/2026</v>
      </c>
      <c r="AB56" s="198">
        <f t="shared" si="18"/>
        <v>-33.2040000000002</v>
      </c>
      <c r="AC56" s="199">
        <f t="shared" si="6"/>
        <v>-0.0275660758938802</v>
      </c>
      <c r="AD56" s="198"/>
      <c r="AE56" s="200">
        <f>CHOOSE(MATCH($B56,{"Petco","PSP"},0),SUMIF('Petco Rec'!M:M,$S56,'Petco Rec'!E:E),SUMIF('PSP Rec'!B:B,$S56,'PSP Rec'!M:M))</f>
        <v>1171.32</v>
      </c>
      <c r="AF56" s="198"/>
      <c r="AG56" s="198"/>
      <c r="AH56" s="198"/>
      <c r="AI56" s="198"/>
      <c r="AJ56" s="198"/>
      <c r="AK56" s="198"/>
    </row>
    <row r="57" customHeight="1" spans="1:37">
      <c r="A57" s="130" t="s">
        <v>341</v>
      </c>
      <c r="B57" s="189" t="str">
        <f>_xlfn.XLOOKUP(A57,Sales!D:D,Sales!H:H)</f>
        <v>PSP</v>
      </c>
      <c r="C57" s="190">
        <f>SUMIFS(Sales!G:G,Sales!D:D,A57)</f>
        <v>8891.58</v>
      </c>
      <c r="D57" s="190">
        <f>SUMIFS(Sales!N:N,Sales!D:D,A57)</f>
        <v>4304.94</v>
      </c>
      <c r="E57" s="202">
        <f>SUMIF(Sales!D:D,A57,Sales!O:O)</f>
        <v>126</v>
      </c>
      <c r="F57" s="190">
        <f t="shared" si="20"/>
        <v>1226</v>
      </c>
      <c r="G57" s="192">
        <f>SUMIFS(Sales!R:R,Sales!D:D,A57)</f>
        <v>12.26</v>
      </c>
      <c r="H57" s="190">
        <v>10000</v>
      </c>
      <c r="I57" s="190">
        <f t="shared" si="21"/>
        <v>1802.94117647059</v>
      </c>
      <c r="J57" s="192">
        <v>2474</v>
      </c>
      <c r="K57" s="190">
        <f t="shared" si="16"/>
        <v>444.579</v>
      </c>
      <c r="L57" s="190"/>
      <c r="M57" s="190"/>
      <c r="N57" s="190">
        <f t="shared" si="19"/>
        <v>355.6632</v>
      </c>
      <c r="O57" s="190">
        <f t="shared" si="3"/>
        <v>-1716.54337647059</v>
      </c>
      <c r="P57" s="190"/>
      <c r="Q57" s="193">
        <f>_xlfn.XLOOKUP(A57,Sales!D:D,Sales!K:K)</f>
        <v>46208</v>
      </c>
      <c r="R57" s="193">
        <v>46197</v>
      </c>
      <c r="S57" s="212" t="s">
        <v>458</v>
      </c>
      <c r="T57" s="195">
        <f t="shared" si="4"/>
        <v>-19946.1411764706</v>
      </c>
      <c r="U57" s="174">
        <f t="shared" si="5"/>
        <v>8447.001</v>
      </c>
      <c r="V57" s="196">
        <f t="shared" si="17"/>
        <v>-11577.0511764706</v>
      </c>
      <c r="W57" s="213" t="s">
        <v>455</v>
      </c>
      <c r="X57" s="206"/>
      <c r="Y57" s="197">
        <f>SUMIF('Other pmt'!H:H,"*"&amp;S57&amp;"*",'Other pmt'!F:F)</f>
        <v>8369.09</v>
      </c>
      <c r="Z57" s="198" t="str">
        <f t="shared" si="9"/>
        <v>06</v>
      </c>
      <c r="AA57" s="198" t="str">
        <f>_xlfn.XLOOKUP("*"&amp;$S57&amp;"*",'Other pmt'!H$1:H$1126,'Other pmt'!D$1:D$1126,0,2)</f>
        <v>7/27/2026</v>
      </c>
      <c r="AB57" s="198">
        <f t="shared" si="18"/>
        <v>-77.9110000000001</v>
      </c>
      <c r="AC57" s="199">
        <f t="shared" si="6"/>
        <v>-0.00922351021386171</v>
      </c>
      <c r="AD57" s="198"/>
      <c r="AE57" s="200">
        <f>CHOOSE(MATCH($B57,{"Petco","PSP"},0),SUMIF('Petco Rec'!M:M,$S57,'Petco Rec'!E:E),SUMIF('PSP Rec'!B:B,$S57,'PSP Rec'!M:M))</f>
        <v>8369.09</v>
      </c>
      <c r="AF57" s="198"/>
      <c r="AG57" s="198"/>
      <c r="AH57" s="198"/>
      <c r="AI57" s="198"/>
      <c r="AJ57" s="198"/>
      <c r="AK57" s="198"/>
    </row>
    <row r="58" customHeight="1" spans="1:37">
      <c r="A58" s="130" t="s">
        <v>346</v>
      </c>
      <c r="B58" s="189" t="str">
        <f>_xlfn.XLOOKUP(A58,Sales!D:D,Sales!H:H)</f>
        <v>PSP</v>
      </c>
      <c r="C58" s="190">
        <f>SUMIFS(Sales!G:G,Sales!D:D,A58)</f>
        <v>3233.49</v>
      </c>
      <c r="D58" s="190">
        <f>SUMIFS(Sales!N:N,Sales!D:D,A58)</f>
        <v>1597.62</v>
      </c>
      <c r="E58" s="202">
        <f>SUMIF(Sales!D:D,A58,Sales!O:O)</f>
        <v>41</v>
      </c>
      <c r="F58" s="190">
        <f t="shared" si="20"/>
        <v>645</v>
      </c>
      <c r="G58" s="192">
        <f>SUMIFS(Sales!R:R,Sales!D:D,A58)</f>
        <v>6.45</v>
      </c>
      <c r="H58" s="190">
        <v>10000</v>
      </c>
      <c r="I58" s="190">
        <f t="shared" si="21"/>
        <v>948.529411764706</v>
      </c>
      <c r="J58" s="192">
        <v>1828</v>
      </c>
      <c r="K58" s="190">
        <f t="shared" si="16"/>
        <v>161.6745</v>
      </c>
      <c r="L58" s="190"/>
      <c r="M58" s="190"/>
      <c r="N58" s="190">
        <f t="shared" si="19"/>
        <v>129.3396</v>
      </c>
      <c r="O58" s="190">
        <f t="shared" si="3"/>
        <v>-2076.67351176471</v>
      </c>
      <c r="P58" s="190"/>
      <c r="Q58" s="193">
        <f>_xlfn.XLOOKUP(A58,Sales!D:D,Sales!K:K)</f>
        <v>46208</v>
      </c>
      <c r="R58" s="193">
        <v>46198</v>
      </c>
      <c r="S58" s="212" t="s">
        <v>459</v>
      </c>
      <c r="T58" s="195">
        <f t="shared" si="4"/>
        <v>-15066.5994117647</v>
      </c>
      <c r="U58" s="174">
        <f t="shared" si="5"/>
        <v>3071.8155</v>
      </c>
      <c r="V58" s="196">
        <f t="shared" si="17"/>
        <v>-12023.6594117647</v>
      </c>
      <c r="W58" s="213" t="s">
        <v>455</v>
      </c>
      <c r="X58" s="206"/>
      <c r="Y58" s="197">
        <f>SUMIF('Other pmt'!H:H,"*"&amp;S58&amp;"*",'Other pmt'!F:F)</f>
        <v>3042.94</v>
      </c>
      <c r="Z58" s="198" t="str">
        <f t="shared" si="9"/>
        <v>06</v>
      </c>
      <c r="AA58" s="198" t="str">
        <f>_xlfn.XLOOKUP("*"&amp;$S58&amp;"*",'Other pmt'!H$1:H$1126,'Other pmt'!D$1:D$1126,0,2)</f>
        <v>7/27/2026</v>
      </c>
      <c r="AB58" s="198">
        <f t="shared" si="18"/>
        <v>-28.8755000000001</v>
      </c>
      <c r="AC58" s="199">
        <f t="shared" si="6"/>
        <v>-0.00940014138218916</v>
      </c>
      <c r="AD58" s="198"/>
      <c r="AE58" s="200">
        <f>CHOOSE(MATCH($B58,{"Petco","PSP"},0),SUMIF('Petco Rec'!M:M,$S58,'Petco Rec'!E:E),SUMIF('PSP Rec'!B:B,$S58,'PSP Rec'!M:M))</f>
        <v>3042.94</v>
      </c>
      <c r="AF58" s="198"/>
      <c r="AG58" s="198"/>
      <c r="AH58" s="198"/>
      <c r="AI58" s="198"/>
      <c r="AJ58" s="198"/>
      <c r="AK58" s="198"/>
    </row>
    <row r="59" customHeight="1" spans="1:37">
      <c r="A59" s="130">
        <v>31068083</v>
      </c>
      <c r="B59" s="189" t="str">
        <f>_xlfn.XLOOKUP(A59,Sales!D:D,Sales!H:H)</f>
        <v>Petco</v>
      </c>
      <c r="C59" s="190">
        <f>SUMIFS(Sales!G:G,Sales!D:D,A59)</f>
        <v>3001.66</v>
      </c>
      <c r="D59" s="190">
        <f>SUMIFS(Sales!N:N,Sales!D:D,A59)</f>
        <v>1639.56</v>
      </c>
      <c r="E59" s="202">
        <f>SUMIF(Sales!D:D,A59,Sales!O:O)</f>
        <v>27</v>
      </c>
      <c r="F59" s="190">
        <f t="shared" si="20"/>
        <v>397</v>
      </c>
      <c r="G59" s="192">
        <f>SUMIFS(Sales!R:R,Sales!D:D,A59)</f>
        <v>3.97</v>
      </c>
      <c r="H59" s="190">
        <v>10000</v>
      </c>
      <c r="I59" s="190">
        <f t="shared" si="21"/>
        <v>583.823529411765</v>
      </c>
      <c r="J59" s="192">
        <v>1422.88</v>
      </c>
      <c r="K59" s="190">
        <f t="shared" si="16"/>
        <v>135.0747</v>
      </c>
      <c r="L59" s="190"/>
      <c r="M59" s="190"/>
      <c r="N59" s="190">
        <f t="shared" si="19"/>
        <v>120.0664</v>
      </c>
      <c r="O59" s="190">
        <f t="shared" si="3"/>
        <v>-1296.74462941176</v>
      </c>
      <c r="P59" s="190"/>
      <c r="Q59" s="193">
        <f>_xlfn.XLOOKUP(A59,Sales!D:D,Sales!K:K)</f>
        <v>46181</v>
      </c>
      <c r="R59" s="193">
        <v>46182</v>
      </c>
      <c r="S59" s="212" t="s">
        <v>460</v>
      </c>
      <c r="T59" s="195">
        <f t="shared" si="4"/>
        <v>-14074.2335294118</v>
      </c>
      <c r="U59" s="174">
        <f t="shared" si="5"/>
        <v>2866.5853</v>
      </c>
      <c r="V59" s="196">
        <f t="shared" si="17"/>
        <v>-9787.01352941176</v>
      </c>
      <c r="W59" s="213" t="s">
        <v>442</v>
      </c>
      <c r="X59" s="206"/>
      <c r="Y59" s="197">
        <f>SUMIF('Other pmt'!H:H,"*"&amp;S59&amp;"*",'Other pmt'!F:F)</f>
        <v>4287.22</v>
      </c>
      <c r="Z59" s="198" t="str">
        <f t="shared" si="9"/>
        <v>00</v>
      </c>
      <c r="AA59" s="198" t="str">
        <f>_xlfn.XLOOKUP("*"&amp;$S59&amp;"*",'Other pmt'!H$1:H$1126,'Other pmt'!D$1:D$1126,0,2)</f>
        <v>07/10/2026</v>
      </c>
      <c r="AB59" s="198">
        <f t="shared" si="18"/>
        <v>1420.6347</v>
      </c>
      <c r="AC59" s="199">
        <f t="shared" si="6"/>
        <v>0.495584310712819</v>
      </c>
      <c r="AD59" s="198"/>
      <c r="AE59" s="200">
        <f>CHOOSE(MATCH($B59,{"Petco","PSP"},0),SUMIF('Petco Rec'!M:M,$S59,'Petco Rec'!E:E),SUMIF('PSP Rec'!B:B,$S59,'PSP Rec'!M:M))</f>
        <v>2806.56</v>
      </c>
      <c r="AF59" s="198"/>
      <c r="AG59" s="198"/>
      <c r="AH59" s="198"/>
      <c r="AI59" s="198"/>
      <c r="AJ59" s="198"/>
      <c r="AK59" s="198"/>
    </row>
    <row r="60" customFormat="1" customHeight="1" spans="1:37">
      <c r="A60" s="130">
        <v>31068084</v>
      </c>
      <c r="B60" s="189" t="str">
        <f>_xlfn.XLOOKUP(A60,Sales!D:D,Sales!H:H)</f>
        <v>Petco</v>
      </c>
      <c r="C60" s="190">
        <f>SUMIFS(Sales!G:G,Sales!D:D,A60)</f>
        <v>3197.26</v>
      </c>
      <c r="D60" s="190">
        <f>SUMIFS(Sales!N:N,Sales!D:D,A60)</f>
        <v>1763.09</v>
      </c>
      <c r="E60" s="202">
        <f>SUMIF(Sales!D:D,A60,Sales!O:O)</f>
        <v>26</v>
      </c>
      <c r="F60" s="190">
        <f t="shared" si="20"/>
        <v>350</v>
      </c>
      <c r="G60" s="192">
        <f>SUMIFS(Sales!R:R,Sales!D:D,A60)</f>
        <v>3.5</v>
      </c>
      <c r="H60" s="190">
        <v>10000</v>
      </c>
      <c r="I60" s="190">
        <f t="shared" si="21"/>
        <v>514.705882352941</v>
      </c>
      <c r="J60" s="192">
        <v>1148.86</v>
      </c>
      <c r="K60" s="190">
        <f t="shared" si="16"/>
        <v>143.8767</v>
      </c>
      <c r="L60" s="190"/>
      <c r="M60" s="190"/>
      <c r="N60" s="190">
        <f t="shared" si="19"/>
        <v>127.8904</v>
      </c>
      <c r="O60" s="190">
        <f t="shared" si="3"/>
        <v>-851.162982352941</v>
      </c>
      <c r="P60" s="190"/>
      <c r="Q60" s="193">
        <f>_xlfn.XLOOKUP(A60,Sales!D:D,Sales!K:K)</f>
        <v>46209</v>
      </c>
      <c r="R60" s="193">
        <v>46197</v>
      </c>
      <c r="S60" s="212" t="s">
        <v>461</v>
      </c>
      <c r="T60" s="195">
        <f t="shared" si="4"/>
        <v>-13806.1558823529</v>
      </c>
      <c r="U60" s="174">
        <f t="shared" si="5"/>
        <v>3053.3833</v>
      </c>
      <c r="V60" s="196">
        <f t="shared" si="17"/>
        <v>-10816.7258823529</v>
      </c>
      <c r="W60" s="198" t="s">
        <v>442</v>
      </c>
      <c r="X60" s="206"/>
      <c r="Y60" s="197">
        <f>SUMIF('Other pmt'!H:H,"*"&amp;S60&amp;"*",'Other pmt'!F:F)</f>
        <v>2989.43</v>
      </c>
      <c r="Z60" s="198" t="str">
        <f t="shared" si="9"/>
        <v>06</v>
      </c>
      <c r="AA60" s="198" t="str">
        <f>_xlfn.XLOOKUP("*"&amp;$S60&amp;"*",'Other pmt'!H$1:H$1126,'Other pmt'!D$1:D$1126,0,2)</f>
        <v>08/05/2026</v>
      </c>
      <c r="AB60" s="198">
        <f t="shared" si="18"/>
        <v>-63.9533000000001</v>
      </c>
      <c r="AC60" s="199">
        <f t="shared" si="6"/>
        <v>-0.0209450611719793</v>
      </c>
      <c r="AD60" s="198"/>
      <c r="AE60" s="200">
        <f>CHOOSE(MATCH($B60,{"Petco","PSP"},0),SUMIF('Petco Rec'!M:M,$S60,'Petco Rec'!E:E),SUMIF('PSP Rec'!B:B,$S60,'PSP Rec'!M:M))</f>
        <v>2989.43</v>
      </c>
      <c r="AF60" s="198"/>
      <c r="AG60" s="198"/>
      <c r="AH60" s="198"/>
      <c r="AI60" s="198"/>
      <c r="AJ60" s="198"/>
      <c r="AK60" s="198"/>
    </row>
    <row r="61" customFormat="1" customHeight="1" spans="1:37">
      <c r="A61" s="130">
        <v>31205996</v>
      </c>
      <c r="B61" s="189" t="str">
        <f>_xlfn.XLOOKUP(A61,Sales!D:D,Sales!H:H)</f>
        <v>Petco</v>
      </c>
      <c r="C61" s="190">
        <f>SUMIFS(Sales!G:G,Sales!D:D,A61)</f>
        <v>3022</v>
      </c>
      <c r="D61" s="190">
        <f>SUMIFS(Sales!N:N,Sales!D:D,A61)</f>
        <v>1626.26</v>
      </c>
      <c r="E61" s="202">
        <f>SUMIF(Sales!D:D,A61,Sales!O:O)</f>
        <v>44</v>
      </c>
      <c r="F61" s="190">
        <f t="shared" si="20"/>
        <v>416</v>
      </c>
      <c r="G61" s="192">
        <f>SUMIFS(Sales!R:R,Sales!D:D,A61)</f>
        <v>4.16</v>
      </c>
      <c r="H61" s="190">
        <v>10000</v>
      </c>
      <c r="I61" s="190">
        <f t="shared" si="21"/>
        <v>611.764705882353</v>
      </c>
      <c r="J61" s="192">
        <v>250</v>
      </c>
      <c r="K61" s="190">
        <f t="shared" si="16"/>
        <v>135.99</v>
      </c>
      <c r="L61" s="190"/>
      <c r="M61" s="190"/>
      <c r="N61" s="190">
        <f t="shared" si="19"/>
        <v>120.88</v>
      </c>
      <c r="O61" s="190">
        <f t="shared" si="3"/>
        <v>-138.894705882353</v>
      </c>
      <c r="P61" s="190"/>
      <c r="Q61" s="193">
        <f>_xlfn.XLOOKUP(A61,Sales!D:D,Sales!K:K)</f>
        <v>46197</v>
      </c>
      <c r="R61" s="193">
        <v>46197</v>
      </c>
      <c r="S61" s="212" t="s">
        <v>462</v>
      </c>
      <c r="T61" s="195">
        <f t="shared" si="4"/>
        <v>-12952.1847058824</v>
      </c>
      <c r="U61" s="174">
        <f t="shared" si="5"/>
        <v>2886.01</v>
      </c>
      <c r="V61" s="196">
        <f t="shared" si="17"/>
        <v>-8126.61470588235</v>
      </c>
      <c r="W61" s="198" t="s">
        <v>442</v>
      </c>
      <c r="X61" s="206"/>
      <c r="Y61" s="197">
        <f>SUMIF('Other pmt'!H:H,"*"&amp;S61&amp;"*",'Other pmt'!F:F)</f>
        <v>4825.57</v>
      </c>
      <c r="Z61" s="198" t="str">
        <f t="shared" si="9"/>
        <v>06</v>
      </c>
      <c r="AA61" s="198" t="str">
        <f>_xlfn.XLOOKUP("*"&amp;$S61&amp;"*",'Other pmt'!H$1:H$1126,'Other pmt'!D$1:D$1126,0,2)</f>
        <v>07/24/2026</v>
      </c>
      <c r="AB61" s="198">
        <f t="shared" si="18"/>
        <v>1939.56</v>
      </c>
      <c r="AC61" s="199">
        <f t="shared" ref="AC55:AC86" si="22">IF(AB61&lt;&gt;"",AB61/U61,"")</f>
        <v>0.672055883382247</v>
      </c>
      <c r="AD61" s="198"/>
      <c r="AE61" s="200">
        <f>CHOOSE(MATCH($B61,{"Petco","PSP"},0),SUMIF('Petco Rec'!M:M,$S61,'Petco Rec'!E:E),SUMIF('PSP Rec'!B:B,$S61,'PSP Rec'!M:M))</f>
        <v>2825.57</v>
      </c>
      <c r="AF61" s="198"/>
      <c r="AG61" s="198"/>
      <c r="AH61" s="198"/>
      <c r="AI61" s="198"/>
      <c r="AJ61" s="198"/>
      <c r="AK61" s="198"/>
    </row>
    <row r="62" customFormat="1" customHeight="1" spans="1:37">
      <c r="A62" s="130">
        <v>31173385</v>
      </c>
      <c r="B62" s="189" t="str">
        <f>_xlfn.XLOOKUP(A62,Sales!D:D,Sales!H:H)</f>
        <v>Petco</v>
      </c>
      <c r="C62" s="190">
        <f>SUMIFS(Sales!G:G,Sales!D:D,A62)</f>
        <v>3123.61</v>
      </c>
      <c r="D62" s="190">
        <f>SUMIFS(Sales!N:N,Sales!D:D,A62)</f>
        <v>1934.01</v>
      </c>
      <c r="E62" s="202">
        <f>SUMIF(Sales!D:D,A62,Sales!O:O)</f>
        <v>27</v>
      </c>
      <c r="F62" s="190">
        <f t="shared" si="20"/>
        <v>268</v>
      </c>
      <c r="G62" s="192">
        <f>SUMIFS(Sales!R:R,Sales!D:D,A62)</f>
        <v>2.68</v>
      </c>
      <c r="H62" s="190">
        <v>10000</v>
      </c>
      <c r="I62" s="190">
        <f t="shared" si="21"/>
        <v>394.117647058824</v>
      </c>
      <c r="J62" s="192">
        <v>1192.77</v>
      </c>
      <c r="K62" s="190">
        <f t="shared" si="16"/>
        <v>140.56245</v>
      </c>
      <c r="L62" s="190"/>
      <c r="M62" s="190"/>
      <c r="N62" s="190">
        <f t="shared" si="19"/>
        <v>124.9444</v>
      </c>
      <c r="O62" s="190">
        <f t="shared" si="3"/>
        <v>-930.794497058824</v>
      </c>
      <c r="P62" s="190"/>
      <c r="Q62" s="193">
        <f>_xlfn.XLOOKUP(A62,Sales!D:D,Sales!K:K)</f>
        <v>46198</v>
      </c>
      <c r="R62" s="193">
        <v>46197</v>
      </c>
      <c r="S62" s="212" t="s">
        <v>463</v>
      </c>
      <c r="T62" s="195">
        <f t="shared" si="4"/>
        <v>-13818.5776470588</v>
      </c>
      <c r="U62" s="174">
        <f t="shared" si="5"/>
        <v>2983.04755</v>
      </c>
      <c r="V62" s="196">
        <f t="shared" si="17"/>
        <v>-10897.9976470588</v>
      </c>
      <c r="W62" s="213" t="s">
        <v>442</v>
      </c>
      <c r="X62" s="206"/>
      <c r="Y62" s="197">
        <f>SUMIF('Other pmt'!H:H,"*"&amp;S62&amp;"*",'Other pmt'!F:F)</f>
        <v>2920.58</v>
      </c>
      <c r="Z62" s="198" t="str">
        <f t="shared" si="9"/>
        <v>06</v>
      </c>
      <c r="AA62" s="198" t="str">
        <f>_xlfn.XLOOKUP("*"&amp;$S62&amp;"*",'Other pmt'!H$1:H$1126,'Other pmt'!D$1:D$1126,0,2)</f>
        <v>08/10/2026</v>
      </c>
      <c r="AB62" s="198">
        <f t="shared" si="18"/>
        <v>-62.4675499999998</v>
      </c>
      <c r="AC62" s="199">
        <f t="shared" si="22"/>
        <v>-0.020940849568422</v>
      </c>
      <c r="AD62" s="198"/>
      <c r="AE62" s="200">
        <f>CHOOSE(MATCH($B62,{"Petco","PSP"},0),SUMIF('Petco Rec'!M:M,$S62,'Petco Rec'!E:E),SUMIF('PSP Rec'!B:B,$S62,'PSP Rec'!M:M))</f>
        <v>2920.58</v>
      </c>
      <c r="AF62" s="198"/>
      <c r="AG62" s="198"/>
      <c r="AH62" s="198"/>
      <c r="AI62" s="198"/>
      <c r="AJ62" s="198"/>
      <c r="AK62" s="198"/>
    </row>
    <row r="63" customFormat="1" customHeight="1" spans="1:37">
      <c r="A63" s="130">
        <v>31173386</v>
      </c>
      <c r="B63" s="189" t="str">
        <f>_xlfn.XLOOKUP(A63,Sales!D:D,Sales!H:H)</f>
        <v>Petco</v>
      </c>
      <c r="C63" s="190">
        <f>SUMIFS(Sales!G:G,Sales!D:D,A63)</f>
        <v>3722.13</v>
      </c>
      <c r="D63" s="190">
        <f>SUMIFS(Sales!N:N,Sales!D:D,A63)</f>
        <v>2072.93</v>
      </c>
      <c r="E63" s="202">
        <f>SUMIF(Sales!D:D,A63,Sales!O:O)</f>
        <v>48</v>
      </c>
      <c r="F63" s="190">
        <f t="shared" si="20"/>
        <v>463</v>
      </c>
      <c r="G63" s="192">
        <f>SUMIFS(Sales!R:R,Sales!D:D,A63)</f>
        <v>4.63</v>
      </c>
      <c r="H63" s="190">
        <v>10000</v>
      </c>
      <c r="I63" s="190">
        <f t="shared" si="21"/>
        <v>680.882352941177</v>
      </c>
      <c r="J63" s="192">
        <v>250</v>
      </c>
      <c r="K63" s="190">
        <f t="shared" si="16"/>
        <v>167.49585</v>
      </c>
      <c r="L63" s="190"/>
      <c r="M63" s="190"/>
      <c r="N63" s="190">
        <f t="shared" si="19"/>
        <v>148.8852</v>
      </c>
      <c r="O63" s="190">
        <f t="shared" si="3"/>
        <v>-61.0634029411763</v>
      </c>
      <c r="P63" s="190"/>
      <c r="Q63" s="193">
        <f>_xlfn.XLOOKUP(A63,Sales!D:D,Sales!K:K)</f>
        <v>46192</v>
      </c>
      <c r="R63" s="193">
        <v>46192</v>
      </c>
      <c r="S63" s="212" t="s">
        <v>464</v>
      </c>
      <c r="T63" s="195">
        <f t="shared" si="4"/>
        <v>-13519.4423529412</v>
      </c>
      <c r="U63" s="174">
        <f t="shared" si="5"/>
        <v>3554.63415</v>
      </c>
      <c r="V63" s="196">
        <f t="shared" si="17"/>
        <v>-9069.99235294118</v>
      </c>
      <c r="W63" s="198" t="s">
        <v>442</v>
      </c>
      <c r="X63" s="206"/>
      <c r="Y63" s="197">
        <f>SUMIF('Other pmt'!H:H,"*"&amp;S63&amp;"*",'Other pmt'!F:F)</f>
        <v>4449.45</v>
      </c>
      <c r="Z63" s="198" t="str">
        <f t="shared" si="9"/>
        <v>06</v>
      </c>
      <c r="AA63" s="198" t="str">
        <f>_xlfn.XLOOKUP("*"&amp;$S63&amp;"*",'Other pmt'!H$1:H$1126,'Other pmt'!D$1:D$1126,0,2)</f>
        <v>08/04/2026</v>
      </c>
      <c r="AB63" s="198">
        <f t="shared" si="18"/>
        <v>894.81585</v>
      </c>
      <c r="AC63" s="199">
        <f t="shared" si="22"/>
        <v>0.251732193030329</v>
      </c>
      <c r="AD63" s="198"/>
      <c r="AE63" s="200">
        <f>CHOOSE(MATCH($B63,{"Petco","PSP"},0),SUMIF('Petco Rec'!M:M,$S63,'Petco Rec'!E:E),SUMIF('PSP Rec'!B:B,$S63,'PSP Rec'!M:M))</f>
        <v>3480.2</v>
      </c>
      <c r="AF63" s="198"/>
      <c r="AG63" s="198"/>
      <c r="AH63" s="198"/>
      <c r="AI63" s="198"/>
      <c r="AJ63" s="198"/>
      <c r="AK63" s="198"/>
    </row>
    <row r="64" customFormat="1" customHeight="1" spans="1:37">
      <c r="A64" s="130">
        <v>454343202</v>
      </c>
      <c r="B64" s="189" t="str">
        <f>_xlfn.XLOOKUP(A64,Sales!D:D,Sales!H:H)</f>
        <v>Petsmart</v>
      </c>
      <c r="C64" s="190">
        <f>SUMIFS(Sales!G:G,Sales!D:D,A64)</f>
        <v>26058.8988</v>
      </c>
      <c r="D64" s="190">
        <f>SUMIFS(Sales!N:N,Sales!D:D,A64)</f>
        <v>13514.49</v>
      </c>
      <c r="E64" s="202">
        <f>SUMIF(Sales!D:D,A64,Sales!O:O)</f>
        <v>561</v>
      </c>
      <c r="F64" s="190">
        <f t="shared" si="20"/>
        <v>4152</v>
      </c>
      <c r="G64" s="192">
        <f>SUMIFS(Sales!R:R,Sales!D:D,A64)</f>
        <v>41.52</v>
      </c>
      <c r="H64" s="190">
        <v>10000</v>
      </c>
      <c r="I64" s="190">
        <f t="shared" si="21"/>
        <v>6105.88235294118</v>
      </c>
      <c r="J64" s="192">
        <v>0</v>
      </c>
      <c r="K64" s="190">
        <f t="shared" si="16"/>
        <v>521.177976</v>
      </c>
      <c r="L64" s="190"/>
      <c r="M64" s="190"/>
      <c r="N64" s="190">
        <f t="shared" ref="N64:N69" si="23">C64*0.06</f>
        <v>1563.533928</v>
      </c>
      <c r="O64" s="190">
        <f t="shared" si="3"/>
        <v>201.814543058822</v>
      </c>
      <c r="P64" s="190"/>
      <c r="Q64" s="193">
        <f>_xlfn.XLOOKUP(A64,Sales!D:D,Sales!K:K)</f>
        <v>46230</v>
      </c>
      <c r="R64" s="193">
        <f>_xlfn.XLOOKUP(A64,Sales!D:D,Sales!L:L)</f>
        <v>46233</v>
      </c>
      <c r="S64" s="212" t="s">
        <v>465</v>
      </c>
      <c r="T64" s="195">
        <f t="shared" si="4"/>
        <v>-34374.8923529412</v>
      </c>
      <c r="U64" s="174">
        <f t="shared" si="5"/>
        <v>25537.720824</v>
      </c>
      <c r="V64" s="196">
        <f t="shared" si="17"/>
        <v>-8837.17235294118</v>
      </c>
      <c r="W64" s="196"/>
      <c r="X64" s="206"/>
      <c r="Y64" s="197">
        <f>SUMIF('Other pmt'!H:H,"*"&amp;S64&amp;"*",'Other pmt'!F:F)</f>
        <v>25537.72</v>
      </c>
      <c r="Z64" s="198" t="str">
        <f t="shared" si="9"/>
        <v>07</v>
      </c>
      <c r="AA64" s="198" t="str">
        <f>_xlfn.XLOOKUP("*"&amp;$S64&amp;"*",'Other pmt'!H$1:H$1126,'Other pmt'!D$1:D$1126,0,2)</f>
        <v>10/19/2026</v>
      </c>
      <c r="AB64" s="198">
        <f t="shared" si="18"/>
        <v>-0.000823999998829095</v>
      </c>
      <c r="AC64" s="199">
        <f t="shared" si="22"/>
        <v>-3.22659960341767e-8</v>
      </c>
      <c r="AD64" s="198"/>
      <c r="AE64" s="200" t="e">
        <f>CHOOSE(MATCH($B64,{"Petco","PSP"},0),SUMIF('Petco Rec'!M:M,$S64,'Petco Rec'!E:E),SUMIF('PSP Rec'!B:B,$S64,'PSP Rec'!M:M))</f>
        <v>#N/A</v>
      </c>
      <c r="AF64" s="198"/>
      <c r="AG64" s="198"/>
      <c r="AH64" s="198"/>
      <c r="AI64" s="198"/>
      <c r="AJ64" s="198"/>
      <c r="AK64" s="198"/>
    </row>
    <row r="65" customFormat="1" customHeight="1" spans="1:37">
      <c r="A65" s="130">
        <v>454343203</v>
      </c>
      <c r="B65" s="189" t="str">
        <f>_xlfn.XLOOKUP(A65,Sales!D:D,Sales!H:H)</f>
        <v>Petsmart</v>
      </c>
      <c r="C65" s="190">
        <f>SUMIFS(Sales!G:G,Sales!D:D,A65)</f>
        <v>33444.576</v>
      </c>
      <c r="D65" s="190">
        <f>SUMIFS(Sales!N:N,Sales!D:D,A65)</f>
        <v>17344.8</v>
      </c>
      <c r="E65" s="202">
        <f>SUMIF(Sales!D:D,A65,Sales!O:O)</f>
        <v>720</v>
      </c>
      <c r="F65" s="190">
        <f t="shared" si="20"/>
        <v>5328</v>
      </c>
      <c r="G65" s="192">
        <f>SUMIFS(Sales!R:R,Sales!D:D,A65)</f>
        <v>53.28</v>
      </c>
      <c r="H65" s="190">
        <v>10000</v>
      </c>
      <c r="I65" s="190">
        <f t="shared" si="21"/>
        <v>7835.29411764706</v>
      </c>
      <c r="J65" s="192">
        <v>0</v>
      </c>
      <c r="K65" s="190">
        <f t="shared" si="16"/>
        <v>668.89152</v>
      </c>
      <c r="L65" s="190"/>
      <c r="M65" s="190"/>
      <c r="N65" s="190">
        <f t="shared" si="23"/>
        <v>2006.67456</v>
      </c>
      <c r="O65" s="190">
        <f t="shared" si="3"/>
        <v>260.915802352943</v>
      </c>
      <c r="P65" s="190"/>
      <c r="Q65" s="193">
        <f>_xlfn.XLOOKUP(A65,Sales!D:D,Sales!K:K)</f>
        <v>46226</v>
      </c>
      <c r="R65" s="193">
        <f>_xlfn.XLOOKUP(A65,Sales!D:D,Sales!L:L)</f>
        <v>46232</v>
      </c>
      <c r="S65" s="212" t="s">
        <v>466</v>
      </c>
      <c r="T65" s="195">
        <f t="shared" si="4"/>
        <v>-41281.3741176471</v>
      </c>
      <c r="U65" s="174">
        <f t="shared" ref="U65:U70" si="24">C65-K65-L65-M65</f>
        <v>32775.68448</v>
      </c>
      <c r="V65" s="196">
        <f t="shared" si="17"/>
        <v>-41281.3741176471</v>
      </c>
      <c r="W65" s="196"/>
      <c r="X65" s="206"/>
      <c r="Y65" s="197">
        <f>SUMIF('Other pmt'!H:H,"*"&amp;S65&amp;"*",'Other pmt'!F:F)</f>
        <v>0</v>
      </c>
      <c r="Z65" s="198" t="str">
        <f t="shared" si="9"/>
        <v>07</v>
      </c>
      <c r="AA65" s="198">
        <f>_xlfn.XLOOKUP("*"&amp;$S65&amp;"*",'Other pmt'!H$1:H$1126,'Other pmt'!D$1:D$1126,0,2)</f>
        <v>0</v>
      </c>
      <c r="AB65" s="198">
        <f t="shared" si="18"/>
        <v>-32775.68448</v>
      </c>
      <c r="AC65" s="199">
        <f t="shared" si="22"/>
        <v>-1</v>
      </c>
      <c r="AD65" s="198"/>
      <c r="AE65" s="200" t="e">
        <f>CHOOSE(MATCH($B65,{"Petco","PSP"},0),SUMIF('Petco Rec'!M:M,$S65,'Petco Rec'!E:E),SUMIF('PSP Rec'!B:B,$S65,'PSP Rec'!M:M))</f>
        <v>#N/A</v>
      </c>
      <c r="AF65" s="198"/>
      <c r="AG65" s="198"/>
      <c r="AH65" s="198"/>
      <c r="AI65" s="198"/>
      <c r="AJ65" s="198"/>
      <c r="AK65" s="198"/>
    </row>
    <row r="66" customFormat="1" customHeight="1" spans="1:37">
      <c r="A66" s="130">
        <v>454343204</v>
      </c>
      <c r="B66" s="189" t="str">
        <f>_xlfn.XLOOKUP(A66,Sales!D:D,Sales!H:H)</f>
        <v>Petsmart</v>
      </c>
      <c r="C66" s="190">
        <f>SUMIFS(Sales!G:G,Sales!D:D,A66)</f>
        <v>33444.576</v>
      </c>
      <c r="D66" s="190">
        <f>SUMIFS(Sales!N:N,Sales!D:D,A66)</f>
        <v>17344.8</v>
      </c>
      <c r="E66" s="202">
        <f>SUMIF(Sales!D:D,A66,Sales!O:O)</f>
        <v>720</v>
      </c>
      <c r="F66" s="190">
        <f t="shared" si="20"/>
        <v>5328</v>
      </c>
      <c r="G66" s="192">
        <f>SUMIFS(Sales!R:R,Sales!D:D,A66)</f>
        <v>53.28</v>
      </c>
      <c r="H66" s="190">
        <v>10000</v>
      </c>
      <c r="I66" s="190">
        <f t="shared" si="21"/>
        <v>7835.29411764706</v>
      </c>
      <c r="J66" s="192">
        <v>0</v>
      </c>
      <c r="K66" s="190">
        <f t="shared" si="16"/>
        <v>668.89152</v>
      </c>
      <c r="L66" s="190"/>
      <c r="M66" s="190"/>
      <c r="N66" s="190">
        <f t="shared" si="23"/>
        <v>2006.67456</v>
      </c>
      <c r="O66" s="190">
        <f t="shared" ref="O66:O129" si="25">C66-D66-F66-I66-J66-K66-N66-L66-M66</f>
        <v>260.915802352943</v>
      </c>
      <c r="P66" s="190"/>
      <c r="Q66" s="193">
        <f>_xlfn.XLOOKUP(A66,Sales!D:D,Sales!K:K)</f>
        <v>46226</v>
      </c>
      <c r="R66" s="193">
        <f>_xlfn.XLOOKUP(A66,Sales!D:D,Sales!L:L)</f>
        <v>46232</v>
      </c>
      <c r="S66" s="212" t="s">
        <v>467</v>
      </c>
      <c r="T66" s="195">
        <f t="shared" ref="T66:T122" si="26">-SUM(D66:J66)</f>
        <v>-41281.3741176471</v>
      </c>
      <c r="U66" s="174">
        <f t="shared" si="24"/>
        <v>32775.68448</v>
      </c>
      <c r="V66" s="196">
        <f t="shared" si="17"/>
        <v>-8505.68411764706</v>
      </c>
      <c r="W66" s="196"/>
      <c r="X66" s="206"/>
      <c r="Y66" s="197">
        <f>SUMIF('Other pmt'!H:H,"*"&amp;S66&amp;"*",'Other pmt'!F:F)</f>
        <v>32775.69</v>
      </c>
      <c r="Z66" s="198" t="str">
        <f t="shared" si="9"/>
        <v>07</v>
      </c>
      <c r="AA66" s="198" t="str">
        <f>_xlfn.XLOOKUP("*"&amp;$S66&amp;"*",'Other pmt'!H$1:H$1126,'Other pmt'!D$1:D$1126,0,2)</f>
        <v>10/19/2026</v>
      </c>
      <c r="AB66" s="198">
        <f t="shared" si="18"/>
        <v>0.00551999999879627</v>
      </c>
      <c r="AC66" s="199">
        <f t="shared" si="22"/>
        <v>1.68417535327588e-7</v>
      </c>
      <c r="AD66" s="198"/>
      <c r="AE66" s="200" t="e">
        <f>CHOOSE(MATCH($B66,{"Petco","PSP"},0),SUMIF('Petco Rec'!M:M,$S66,'Petco Rec'!E:E),SUMIF('PSP Rec'!B:B,$S66,'PSP Rec'!M:M))</f>
        <v>#N/A</v>
      </c>
      <c r="AF66" s="198"/>
      <c r="AG66" s="198"/>
      <c r="AH66" s="198"/>
      <c r="AI66" s="198"/>
      <c r="AJ66" s="198"/>
      <c r="AK66" s="198"/>
    </row>
    <row r="67" customFormat="1" customHeight="1" spans="1:37">
      <c r="A67" s="130">
        <v>454343205</v>
      </c>
      <c r="B67" s="189" t="str">
        <f>_xlfn.XLOOKUP(A67,Sales!D:D,Sales!H:H)</f>
        <v>Petsmart</v>
      </c>
      <c r="C67" s="190">
        <f>SUMIFS(Sales!G:G,Sales!D:D,A67)</f>
        <v>33444.576</v>
      </c>
      <c r="D67" s="190">
        <f>SUMIFS(Sales!N:N,Sales!D:D,A67)</f>
        <v>17344.8</v>
      </c>
      <c r="E67" s="202">
        <f>SUMIF(Sales!D:D,A67,Sales!O:O)</f>
        <v>720</v>
      </c>
      <c r="F67" s="190">
        <f t="shared" si="20"/>
        <v>5328</v>
      </c>
      <c r="G67" s="192">
        <f>SUMIFS(Sales!R:R,Sales!D:D,A67)</f>
        <v>53.28</v>
      </c>
      <c r="H67" s="190">
        <v>10000</v>
      </c>
      <c r="I67" s="190">
        <f t="shared" si="21"/>
        <v>7835.29411764706</v>
      </c>
      <c r="J67" s="192">
        <v>0</v>
      </c>
      <c r="K67" s="190">
        <f t="shared" si="16"/>
        <v>668.89152</v>
      </c>
      <c r="L67" s="190"/>
      <c r="M67" s="190"/>
      <c r="N67" s="190">
        <f t="shared" si="23"/>
        <v>2006.67456</v>
      </c>
      <c r="O67" s="190">
        <f t="shared" si="25"/>
        <v>260.915802352943</v>
      </c>
      <c r="P67" s="190"/>
      <c r="Q67" s="193">
        <f>_xlfn.XLOOKUP(A67,Sales!D:D,Sales!K:K)</f>
        <v>46226</v>
      </c>
      <c r="R67" s="193">
        <v>46234</v>
      </c>
      <c r="S67" s="212" t="s">
        <v>468</v>
      </c>
      <c r="T67" s="195">
        <f t="shared" si="26"/>
        <v>-41281.3741176471</v>
      </c>
      <c r="U67" s="174">
        <f t="shared" si="24"/>
        <v>32775.68448</v>
      </c>
      <c r="V67" s="196">
        <f t="shared" ref="V67:V98" si="27">SUM(Y67,T67)</f>
        <v>-41281.3741176471</v>
      </c>
      <c r="W67" s="196"/>
      <c r="X67" s="206"/>
      <c r="Y67" s="197">
        <f>SUMIF('Other pmt'!H:H,"*"&amp;S67&amp;"*",'Other pmt'!F:F)</f>
        <v>0</v>
      </c>
      <c r="Z67" s="198" t="str">
        <f t="shared" si="9"/>
        <v>08</v>
      </c>
      <c r="AA67" s="198">
        <f>_xlfn.XLOOKUP("*"&amp;$S67&amp;"*",'Other pmt'!H$1:H$1126,'Other pmt'!D$1:D$1126,0,2)</f>
        <v>0</v>
      </c>
      <c r="AB67" s="198">
        <f t="shared" si="18"/>
        <v>-32775.68448</v>
      </c>
      <c r="AC67" s="199">
        <f t="shared" si="22"/>
        <v>-1</v>
      </c>
      <c r="AD67" s="198"/>
      <c r="AE67" s="200" t="e">
        <f>CHOOSE(MATCH($B67,{"Petco","PSP"},0),SUMIF('Petco Rec'!M:M,$S67,'Petco Rec'!E:E),SUMIF('PSP Rec'!B:B,$S67,'PSP Rec'!M:M))</f>
        <v>#N/A</v>
      </c>
      <c r="AF67" s="198"/>
      <c r="AG67" s="198"/>
      <c r="AH67" s="198"/>
      <c r="AI67" s="198"/>
      <c r="AJ67" s="198"/>
      <c r="AK67" s="198"/>
    </row>
    <row r="68" customFormat="1" customHeight="1" spans="1:37">
      <c r="A68" s="130">
        <v>454343206</v>
      </c>
      <c r="B68" s="189" t="str">
        <f>_xlfn.XLOOKUP(A68,Sales!D:D,Sales!H:H)</f>
        <v>Petsmart</v>
      </c>
      <c r="C68" s="190">
        <f>SUMIFS(Sales!G:G,Sales!D:D,A68)</f>
        <v>30146.5692</v>
      </c>
      <c r="D68" s="190">
        <f>SUMIFS(Sales!N:N,Sales!D:D,A68)</f>
        <v>15634.41</v>
      </c>
      <c r="E68" s="202">
        <f>SUMIF(Sales!D:D,A68,Sales!O:O)</f>
        <v>649</v>
      </c>
      <c r="F68" s="190">
        <f t="shared" si="20"/>
        <v>4803</v>
      </c>
      <c r="G68" s="192">
        <f>SUMIFS(Sales!R:R,Sales!D:D,A68)</f>
        <v>48.03</v>
      </c>
      <c r="H68" s="190">
        <v>10000</v>
      </c>
      <c r="I68" s="190">
        <f t="shared" si="21"/>
        <v>7063.23529411765</v>
      </c>
      <c r="J68" s="192">
        <v>0</v>
      </c>
      <c r="K68" s="190">
        <f t="shared" si="16"/>
        <v>602.931384</v>
      </c>
      <c r="L68" s="190"/>
      <c r="M68" s="190"/>
      <c r="N68" s="190">
        <f t="shared" si="23"/>
        <v>1808.794152</v>
      </c>
      <c r="O68" s="190">
        <f t="shared" si="25"/>
        <v>234.198369882355</v>
      </c>
      <c r="P68" s="190"/>
      <c r="Q68" s="193">
        <f>_xlfn.XLOOKUP(A68,Sales!D:D,Sales!K:K)</f>
        <v>46230</v>
      </c>
      <c r="R68" s="193">
        <v>46234</v>
      </c>
      <c r="S68" s="212" t="s">
        <v>469</v>
      </c>
      <c r="T68" s="195">
        <f t="shared" si="26"/>
        <v>-38197.6752941176</v>
      </c>
      <c r="U68" s="174">
        <f t="shared" si="24"/>
        <v>29543.637816</v>
      </c>
      <c r="V68" s="196">
        <f t="shared" si="27"/>
        <v>-8654.03529411765</v>
      </c>
      <c r="W68" s="196"/>
      <c r="X68" s="206"/>
      <c r="Y68" s="197">
        <f>SUMIF('Other pmt'!H:H,"*"&amp;S68&amp;"*",'Other pmt'!F:F)</f>
        <v>29543.64</v>
      </c>
      <c r="Z68" s="198" t="str">
        <f t="shared" si="9"/>
        <v>08</v>
      </c>
      <c r="AA68" s="198" t="str">
        <f>_xlfn.XLOOKUP("*"&amp;$S68&amp;"*",'Other pmt'!H$1:H$1126,'Other pmt'!D$1:D$1126,0,2)</f>
        <v>10/19/2026</v>
      </c>
      <c r="AB68" s="198">
        <f t="shared" si="18"/>
        <v>0.00218399999721441</v>
      </c>
      <c r="AC68" s="199">
        <f t="shared" si="22"/>
        <v>7.39245454746139e-8</v>
      </c>
      <c r="AD68" s="198"/>
      <c r="AE68" s="200" t="e">
        <f>CHOOSE(MATCH($B68,{"Petco","PSP"},0),SUMIF('Petco Rec'!M:M,$S68,'Petco Rec'!E:E),SUMIF('PSP Rec'!B:B,$S68,'PSP Rec'!M:M))</f>
        <v>#N/A</v>
      </c>
      <c r="AF68" s="198"/>
      <c r="AG68" s="198"/>
      <c r="AH68" s="198"/>
      <c r="AI68" s="198"/>
      <c r="AJ68" s="198"/>
      <c r="AK68" s="198"/>
    </row>
    <row r="69" customFormat="1" customHeight="1" spans="1:37">
      <c r="A69" s="130">
        <v>454343207</v>
      </c>
      <c r="B69" s="189" t="str">
        <f>_xlfn.XLOOKUP(A69,Sales!D:D,Sales!H:H)</f>
        <v>Petsmart</v>
      </c>
      <c r="C69" s="190">
        <f>SUMIFS(Sales!G:G,Sales!D:D,A69)</f>
        <v>33444.576</v>
      </c>
      <c r="D69" s="190">
        <f>SUMIFS(Sales!N:N,Sales!D:D,A69)</f>
        <v>17344.8</v>
      </c>
      <c r="E69" s="202">
        <f>SUMIF(Sales!D:D,A69,Sales!O:O)</f>
        <v>720</v>
      </c>
      <c r="F69" s="190">
        <f t="shared" si="20"/>
        <v>5328</v>
      </c>
      <c r="G69" s="192">
        <f>SUMIFS(Sales!R:R,Sales!D:D,A69)</f>
        <v>53.28</v>
      </c>
      <c r="H69" s="190">
        <v>10000</v>
      </c>
      <c r="I69" s="190">
        <f t="shared" si="21"/>
        <v>7835.29411764706</v>
      </c>
      <c r="J69" s="192">
        <v>0</v>
      </c>
      <c r="K69" s="190">
        <f t="shared" si="16"/>
        <v>668.89152</v>
      </c>
      <c r="L69" s="190"/>
      <c r="M69" s="190"/>
      <c r="N69" s="190">
        <f t="shared" si="23"/>
        <v>2006.67456</v>
      </c>
      <c r="O69" s="190">
        <f t="shared" si="25"/>
        <v>260.915802352943</v>
      </c>
      <c r="P69" s="190"/>
      <c r="Q69" s="193">
        <f>_xlfn.XLOOKUP(A69,Sales!D:D,Sales!K:K)</f>
        <v>46227</v>
      </c>
      <c r="R69" s="193">
        <f>_xlfn.XLOOKUP(A69,Sales!D:D,Sales!L:L)</f>
        <v>46231</v>
      </c>
      <c r="S69" s="212" t="s">
        <v>470</v>
      </c>
      <c r="T69" s="195">
        <f t="shared" si="26"/>
        <v>-41281.3741176471</v>
      </c>
      <c r="U69" s="174">
        <f t="shared" si="24"/>
        <v>32775.68448</v>
      </c>
      <c r="V69" s="196">
        <f t="shared" si="27"/>
        <v>-8505.68411764706</v>
      </c>
      <c r="W69" s="196"/>
      <c r="X69" s="206"/>
      <c r="Y69" s="197">
        <f>SUMIF('Other pmt'!H:H,"*"&amp;S69&amp;"*",'Other pmt'!F:F)</f>
        <v>32775.69</v>
      </c>
      <c r="Z69" s="198" t="str">
        <f t="shared" si="9"/>
        <v>07</v>
      </c>
      <c r="AA69" s="198" t="str">
        <f>_xlfn.XLOOKUP("*"&amp;$S69&amp;"*",'Other pmt'!H$1:H$1126,'Other pmt'!D$1:D$1126,0,2)</f>
        <v>10/19/2026</v>
      </c>
      <c r="AB69" s="198">
        <f t="shared" ref="AB69:AB100" si="28">Y69-U69</f>
        <v>0.00551999999879627</v>
      </c>
      <c r="AC69" s="199">
        <f t="shared" si="22"/>
        <v>1.68417535327588e-7</v>
      </c>
      <c r="AD69" s="198"/>
      <c r="AE69" s="200" t="e">
        <f>CHOOSE(MATCH($B69,{"Petco","PSP"},0),SUMIF('Petco Rec'!M:M,$S69,'Petco Rec'!E:E),SUMIF('PSP Rec'!B:B,$S69,'PSP Rec'!M:M))</f>
        <v>#N/A</v>
      </c>
      <c r="AF69" s="198"/>
      <c r="AG69" s="198"/>
      <c r="AH69" s="198"/>
      <c r="AI69" s="198"/>
      <c r="AJ69" s="198"/>
      <c r="AK69" s="198"/>
    </row>
    <row r="70" customFormat="1" customHeight="1" spans="1:37">
      <c r="A70" s="130">
        <v>31151333</v>
      </c>
      <c r="B70" s="189" t="str">
        <f>_xlfn.XLOOKUP(A70,Sales!D:D,Sales!H:H)</f>
        <v>Petco</v>
      </c>
      <c r="C70" s="190">
        <f>SUMIFS(Sales!G:G,Sales!D:D,A70)</f>
        <v>3048.32</v>
      </c>
      <c r="D70" s="190">
        <f>SUMIFS(Sales!N:N,Sales!D:D,A70)</f>
        <v>1774.48</v>
      </c>
      <c r="E70" s="202">
        <f>SUMIF(Sales!D:D,A70,Sales!O:O)</f>
        <v>27</v>
      </c>
      <c r="F70" s="190">
        <f t="shared" si="20"/>
        <v>303</v>
      </c>
      <c r="G70" s="192">
        <f>SUMIFS(Sales!R:R,Sales!D:D,A70)</f>
        <v>3.03</v>
      </c>
      <c r="H70" s="190">
        <v>10000</v>
      </c>
      <c r="I70" s="190">
        <f t="shared" si="21"/>
        <v>445.588235294118</v>
      </c>
      <c r="J70" s="192">
        <v>1066.23</v>
      </c>
      <c r="K70" s="190">
        <f t="shared" si="16"/>
        <v>137.1744</v>
      </c>
      <c r="L70" s="190"/>
      <c r="M70" s="190"/>
      <c r="N70" s="190">
        <f t="shared" ref="N70:N82" si="29">C70*0.04</f>
        <v>121.9328</v>
      </c>
      <c r="O70" s="190">
        <f t="shared" si="25"/>
        <v>-800.085435294118</v>
      </c>
      <c r="P70" s="190"/>
      <c r="Q70" s="193">
        <f>_xlfn.XLOOKUP(A70,Sales!D:D,Sales!K:K)</f>
        <v>46220</v>
      </c>
      <c r="R70" s="193">
        <f>_xlfn.XLOOKUP(A70,Sales!D:D,Sales!L:L)</f>
        <v>46211</v>
      </c>
      <c r="S70" s="212" t="s">
        <v>471</v>
      </c>
      <c r="T70" s="195">
        <f t="shared" si="26"/>
        <v>-13619.3282352941</v>
      </c>
      <c r="U70" s="174">
        <f t="shared" si="24"/>
        <v>2911.1456</v>
      </c>
      <c r="V70" s="196">
        <f t="shared" si="27"/>
        <v>-10769.1582352941</v>
      </c>
      <c r="W70" s="196"/>
      <c r="X70" s="206"/>
      <c r="Y70" s="197">
        <f>SUMIF('Other pmt'!H:H,"*"&amp;S70&amp;"*",'Other pmt'!F:F)</f>
        <v>2850.17</v>
      </c>
      <c r="Z70" s="198" t="str">
        <f t="shared" si="9"/>
        <v>07</v>
      </c>
      <c r="AA70" s="198" t="str">
        <f>_xlfn.XLOOKUP("*"&amp;$S70&amp;"*",'Other pmt'!H$1:H$1126,'Other pmt'!D$1:D$1126,0,2)</f>
        <v>08/24/2026</v>
      </c>
      <c r="AB70" s="198">
        <f t="shared" si="28"/>
        <v>-60.9755999999998</v>
      </c>
      <c r="AC70" s="199">
        <f t="shared" si="22"/>
        <v>-0.0209455686448661</v>
      </c>
      <c r="AD70" s="198"/>
      <c r="AE70" s="200">
        <f>CHOOSE(MATCH($B70,{"Petco","PSP"},0),SUMIF('Petco Rec'!M:M,$S70,'Petco Rec'!E:E),SUMIF('PSP Rec'!B:B,$S70,'PSP Rec'!M:M))</f>
        <v>2850.17</v>
      </c>
      <c r="AF70" s="198"/>
      <c r="AG70" s="198"/>
      <c r="AH70" s="198"/>
      <c r="AI70" s="198"/>
      <c r="AJ70" s="198"/>
      <c r="AK70" s="198"/>
    </row>
    <row r="71" customFormat="1" customHeight="1" spans="1:37">
      <c r="A71" s="130">
        <v>31151334</v>
      </c>
      <c r="B71" s="189" t="str">
        <f>_xlfn.XLOOKUP(A71,Sales!D:D,Sales!H:H)</f>
        <v>Petco</v>
      </c>
      <c r="C71" s="190">
        <f>SUMIFS(Sales!G:G,Sales!D:D,A71)</f>
        <v>4328.08</v>
      </c>
      <c r="D71" s="190">
        <f>SUMIFS(Sales!N:N,Sales!D:D,A71)</f>
        <v>2621.52</v>
      </c>
      <c r="E71" s="202">
        <f>SUMIF(Sales!D:D,A71,Sales!O:O)</f>
        <v>38</v>
      </c>
      <c r="F71" s="190">
        <f t="shared" si="20"/>
        <v>407</v>
      </c>
      <c r="G71" s="192">
        <f>SUMIFS(Sales!R:R,Sales!D:D,A71)</f>
        <v>4.07</v>
      </c>
      <c r="H71" s="190">
        <v>10000</v>
      </c>
      <c r="I71" s="190">
        <f t="shared" si="21"/>
        <v>598.529411764706</v>
      </c>
      <c r="J71" s="192">
        <v>1411.23</v>
      </c>
      <c r="K71" s="190">
        <f t="shared" si="16"/>
        <v>194.7636</v>
      </c>
      <c r="L71" s="190"/>
      <c r="M71" s="190"/>
      <c r="N71" s="190">
        <f t="shared" si="29"/>
        <v>173.1232</v>
      </c>
      <c r="O71" s="190">
        <f t="shared" si="25"/>
        <v>-1078.08621176471</v>
      </c>
      <c r="P71" s="190"/>
      <c r="Q71" s="193">
        <f>_xlfn.XLOOKUP(A71,Sales!D:D,Sales!K:K)</f>
        <v>46220</v>
      </c>
      <c r="R71" s="193">
        <f>_xlfn.XLOOKUP(A71,Sales!D:D,Sales!L:L)</f>
        <v>46216</v>
      </c>
      <c r="S71" s="212" t="s">
        <v>472</v>
      </c>
      <c r="T71" s="195">
        <f t="shared" si="26"/>
        <v>-15080.3494117647</v>
      </c>
      <c r="U71" s="174">
        <f t="shared" ref="U66:U122" si="30">C71-K71-L71-M71</f>
        <v>4133.3164</v>
      </c>
      <c r="V71" s="196">
        <f t="shared" si="27"/>
        <v>-11045.1994117647</v>
      </c>
      <c r="W71" s="196"/>
      <c r="X71" s="206"/>
      <c r="Y71" s="197">
        <f>SUMIF('Other pmt'!H:H,"*"&amp;S71&amp;"*",'Other pmt'!F:F)</f>
        <v>4035.15</v>
      </c>
      <c r="Z71" s="198" t="str">
        <f t="shared" si="9"/>
        <v>07</v>
      </c>
      <c r="AA71" s="198" t="str">
        <f>_xlfn.XLOOKUP("*"&amp;$S71&amp;"*",'Other pmt'!H$1:H$1126,'Other pmt'!D$1:D$1126,0,2)</f>
        <v>08/10/2026</v>
      </c>
      <c r="AB71" s="198">
        <f t="shared" si="28"/>
        <v>-98.1663999999996</v>
      </c>
      <c r="AC71" s="199">
        <f t="shared" si="22"/>
        <v>-0.0237500327823923</v>
      </c>
      <c r="AD71" s="198"/>
      <c r="AE71" s="200">
        <f>CHOOSE(MATCH($B71,{"Petco","PSP"},0),SUMIF('Petco Rec'!M:M,$S71,'Petco Rec'!E:E),SUMIF('PSP Rec'!B:B,$S71,'PSP Rec'!M:M))</f>
        <v>4035.15</v>
      </c>
      <c r="AF71" s="198"/>
      <c r="AG71" s="198"/>
      <c r="AH71" s="198"/>
      <c r="AI71" s="198"/>
      <c r="AJ71" s="198"/>
      <c r="AK71" s="198"/>
    </row>
    <row r="72" customFormat="1" customHeight="1" spans="1:37">
      <c r="A72" s="130">
        <v>31367791</v>
      </c>
      <c r="B72" s="189" t="str">
        <f>_xlfn.XLOOKUP(A72,Sales!D:D,Sales!H:H)</f>
        <v>Petco</v>
      </c>
      <c r="C72" s="190">
        <f>SUMIFS(Sales!G:G,Sales!D:D,A72)</f>
        <v>7787.08</v>
      </c>
      <c r="D72" s="190">
        <f>SUMIFS(Sales!N:N,Sales!D:D,A72)</f>
        <v>4141.28</v>
      </c>
      <c r="E72" s="202">
        <f>SUMIF(Sales!D:D,A72,Sales!O:O)</f>
        <v>118</v>
      </c>
      <c r="F72" s="190">
        <f t="shared" si="20"/>
        <v>999</v>
      </c>
      <c r="G72" s="192">
        <f>SUMIFS(Sales!R:R,Sales!D:D,A72)</f>
        <v>9.99</v>
      </c>
      <c r="H72" s="190">
        <v>10000</v>
      </c>
      <c r="I72" s="190">
        <f t="shared" si="21"/>
        <v>1469.11764705882</v>
      </c>
      <c r="J72" s="192">
        <v>1792</v>
      </c>
      <c r="K72" s="190">
        <f t="shared" si="16"/>
        <v>350.4186</v>
      </c>
      <c r="L72" s="190"/>
      <c r="M72" s="190"/>
      <c r="N72" s="190">
        <f t="shared" si="29"/>
        <v>311.4832</v>
      </c>
      <c r="O72" s="190">
        <f t="shared" si="25"/>
        <v>-1276.21944705882</v>
      </c>
      <c r="P72" s="190"/>
      <c r="Q72" s="193">
        <f>_xlfn.XLOOKUP(A72,Sales!D:D,Sales!K:K)</f>
        <v>46218</v>
      </c>
      <c r="R72" s="193">
        <f>_xlfn.XLOOKUP(A72,Sales!D:D,Sales!L:L)</f>
        <v>46211</v>
      </c>
      <c r="S72" s="212" t="s">
        <v>473</v>
      </c>
      <c r="T72" s="195">
        <f t="shared" si="26"/>
        <v>-18529.3876470588</v>
      </c>
      <c r="U72" s="174">
        <f t="shared" si="30"/>
        <v>7436.6614</v>
      </c>
      <c r="V72" s="196">
        <f t="shared" si="27"/>
        <v>-11248.4676470588</v>
      </c>
      <c r="W72" s="196"/>
      <c r="X72" s="206"/>
      <c r="Y72" s="197">
        <f>SUMIF('Other pmt'!H:H,"*"&amp;S72&amp;"*",'Other pmt'!F:F)</f>
        <v>7280.92</v>
      </c>
      <c r="Z72" s="198" t="str">
        <f t="shared" si="9"/>
        <v>07</v>
      </c>
      <c r="AA72" s="198" t="str">
        <f>_xlfn.XLOOKUP("*"&amp;$S72&amp;"*",'Other pmt'!H$1:H$1126,'Other pmt'!D$1:D$1126,0,2)</f>
        <v>08/31/2026</v>
      </c>
      <c r="AB72" s="198">
        <f t="shared" si="28"/>
        <v>-155.7414</v>
      </c>
      <c r="AC72" s="199">
        <f t="shared" si="22"/>
        <v>-0.0209423814831747</v>
      </c>
      <c r="AD72" s="198"/>
      <c r="AE72" s="200">
        <f>CHOOSE(MATCH($B72,{"Petco","PSP"},0),SUMIF('Petco Rec'!M:M,$S72,'Petco Rec'!E:E),SUMIF('PSP Rec'!B:B,$S72,'PSP Rec'!M:M))</f>
        <v>7280.92</v>
      </c>
      <c r="AF72" s="198"/>
      <c r="AG72" s="198"/>
      <c r="AH72" s="198"/>
      <c r="AI72" s="198"/>
      <c r="AJ72" s="198"/>
      <c r="AK72" s="198"/>
    </row>
    <row r="73" customFormat="1" customHeight="1" spans="1:37">
      <c r="A73" s="130">
        <v>31205995</v>
      </c>
      <c r="B73" s="189" t="str">
        <f>_xlfn.XLOOKUP(A73,Sales!D:D,Sales!H:H)</f>
        <v>Petco</v>
      </c>
      <c r="C73" s="190">
        <f>SUMIFS(Sales!G:G,Sales!D:D,A73)</f>
        <v>3048.17</v>
      </c>
      <c r="D73" s="190">
        <f>SUMIFS(Sales!N:N,Sales!D:D,A73)</f>
        <v>1601.49</v>
      </c>
      <c r="E73" s="202">
        <f>SUMIF(Sales!D:D,A73,Sales!O:O)</f>
        <v>56</v>
      </c>
      <c r="F73" s="190">
        <f t="shared" si="20"/>
        <v>430</v>
      </c>
      <c r="G73" s="192">
        <f>SUMIFS(Sales!R:R,Sales!D:D,A73)</f>
        <v>4.3</v>
      </c>
      <c r="H73" s="190">
        <v>10000</v>
      </c>
      <c r="I73" s="190">
        <f t="shared" si="21"/>
        <v>632.352941176471</v>
      </c>
      <c r="J73" s="192">
        <v>1495.61</v>
      </c>
      <c r="K73" s="190">
        <f t="shared" si="16"/>
        <v>137.16765</v>
      </c>
      <c r="L73" s="190"/>
      <c r="M73" s="190"/>
      <c r="N73" s="190">
        <f t="shared" si="29"/>
        <v>121.9268</v>
      </c>
      <c r="O73" s="190">
        <f t="shared" si="25"/>
        <v>-1370.37739117647</v>
      </c>
      <c r="P73" s="190"/>
      <c r="Q73" s="193">
        <f>_xlfn.XLOOKUP(A73,Sales!D:D,Sales!K:K)</f>
        <v>46225</v>
      </c>
      <c r="R73" s="193">
        <f>_xlfn.XLOOKUP(A73,Sales!D:D,Sales!L:L)</f>
        <v>46218</v>
      </c>
      <c r="S73" s="212" t="s">
        <v>474</v>
      </c>
      <c r="T73" s="195">
        <f t="shared" si="26"/>
        <v>-14219.7529411765</v>
      </c>
      <c r="U73" s="174">
        <f t="shared" si="30"/>
        <v>2911.00235</v>
      </c>
      <c r="V73" s="196">
        <f t="shared" si="27"/>
        <v>-11369.7029411765</v>
      </c>
      <c r="W73" s="196"/>
      <c r="X73" s="206"/>
      <c r="Y73" s="197">
        <f>SUMIF('Other pmt'!H:H,"*"&amp;S73&amp;"*",'Other pmt'!F:F)</f>
        <v>2850.05</v>
      </c>
      <c r="Z73" s="198" t="str">
        <f t="shared" si="9"/>
        <v>07</v>
      </c>
      <c r="AA73" s="198" t="str">
        <f>_xlfn.XLOOKUP("*"&amp;$S73&amp;"*",'Other pmt'!H$1:H$1126,'Other pmt'!D$1:D$1126,0,2)</f>
        <v>09/08/2026</v>
      </c>
      <c r="AB73" s="198">
        <f t="shared" si="28"/>
        <v>-60.95235</v>
      </c>
      <c r="AC73" s="199">
        <f t="shared" si="22"/>
        <v>-0.0209386124336176</v>
      </c>
      <c r="AD73" s="198"/>
      <c r="AE73" s="200">
        <f>CHOOSE(MATCH($B73,{"Petco","PSP"},0),SUMIF('Petco Rec'!M:M,$S73,'Petco Rec'!E:E),SUMIF('PSP Rec'!B:B,$S73,'PSP Rec'!M:M))</f>
        <v>2850.05</v>
      </c>
      <c r="AF73" s="198"/>
      <c r="AG73" s="198"/>
      <c r="AH73" s="198"/>
      <c r="AI73" s="198"/>
      <c r="AJ73" s="198"/>
      <c r="AK73" s="198"/>
    </row>
    <row r="74" customFormat="1" customHeight="1" spans="1:37">
      <c r="A74" s="130">
        <v>31441547</v>
      </c>
      <c r="B74" s="189" t="str">
        <f>_xlfn.XLOOKUP(A74,Sales!D:D,Sales!H:H)</f>
        <v>Petco</v>
      </c>
      <c r="C74" s="190">
        <f>SUMIFS(Sales!G:G,Sales!D:D,A74)</f>
        <v>12495.11</v>
      </c>
      <c r="D74" s="190">
        <f>SUMIFS(Sales!N:N,Sales!D:D,A74)</f>
        <v>6662.07</v>
      </c>
      <c r="E74" s="202">
        <f>SUMIF(Sales!D:D,A74,Sales!O:O)</f>
        <v>181</v>
      </c>
      <c r="F74" s="190">
        <f t="shared" si="20"/>
        <v>1650</v>
      </c>
      <c r="G74" s="192">
        <f>SUMIFS(Sales!R:R,Sales!D:D,A74)</f>
        <v>16.5</v>
      </c>
      <c r="H74" s="190">
        <v>10000</v>
      </c>
      <c r="I74" s="190">
        <f t="shared" si="21"/>
        <v>2426.47058823529</v>
      </c>
      <c r="J74" s="192">
        <v>4321.62921348315</v>
      </c>
      <c r="K74" s="190">
        <f t="shared" si="16"/>
        <v>562.27995</v>
      </c>
      <c r="L74" s="190"/>
      <c r="M74" s="190"/>
      <c r="N74" s="190">
        <f t="shared" si="29"/>
        <v>499.8044</v>
      </c>
      <c r="O74" s="190">
        <f t="shared" si="25"/>
        <v>-3627.14415171844</v>
      </c>
      <c r="P74" s="190"/>
      <c r="Q74" s="193">
        <f>_xlfn.XLOOKUP(A74,Sales!D:D,Sales!K:K)</f>
        <v>46232</v>
      </c>
      <c r="R74" s="193">
        <f>_xlfn.XLOOKUP(A74,Sales!D:D,Sales!L:L)</f>
        <v>46225</v>
      </c>
      <c r="S74" s="212" t="s">
        <v>475</v>
      </c>
      <c r="T74" s="195">
        <f t="shared" si="26"/>
        <v>-25257.6698017184</v>
      </c>
      <c r="U74" s="174">
        <f t="shared" si="30"/>
        <v>11932.83005</v>
      </c>
      <c r="V74" s="196">
        <f t="shared" si="27"/>
        <v>-13772.7398017184</v>
      </c>
      <c r="W74" s="196"/>
      <c r="X74" s="206"/>
      <c r="Y74" s="197">
        <f>SUMIF('Other pmt'!H:H,"*"&amp;S74&amp;"*",'Other pmt'!F:F)</f>
        <v>11484.93</v>
      </c>
      <c r="Z74" s="198" t="str">
        <f t="shared" ref="Z74:Z131" si="31">MID(S74,8,2)</f>
        <v>07</v>
      </c>
      <c r="AA74" s="198" t="str">
        <f>_xlfn.XLOOKUP("*"&amp;$S74&amp;"*",'Other pmt'!H$1:H$1126,'Other pmt'!D$1:D$1126,0,2)</f>
        <v>08/24/2026</v>
      </c>
      <c r="AB74" s="198">
        <f t="shared" si="28"/>
        <v>-447.900049999998</v>
      </c>
      <c r="AC74" s="199">
        <f t="shared" si="22"/>
        <v>-0.0375351067704177</v>
      </c>
      <c r="AD74" s="198"/>
      <c r="AE74" s="200">
        <f>CHOOSE(MATCH($B74,{"Petco","PSP"},0),SUMIF('Petco Rec'!M:M,$S74,'Petco Rec'!E:E),SUMIF('PSP Rec'!B:B,$S74,'PSP Rec'!M:M))</f>
        <v>11484.93</v>
      </c>
      <c r="AF74" s="198"/>
      <c r="AG74" s="198"/>
      <c r="AH74" s="198"/>
      <c r="AI74" s="198"/>
      <c r="AJ74" s="198"/>
      <c r="AK74" s="198"/>
    </row>
    <row r="75" customFormat="1" customHeight="1" spans="1:37">
      <c r="A75" s="130">
        <v>31367789</v>
      </c>
      <c r="B75" s="189" t="str">
        <f>_xlfn.XLOOKUP(A75,Sales!D:D,Sales!H:H)</f>
        <v>Petco</v>
      </c>
      <c r="C75" s="190">
        <f>SUMIFS(Sales!G:G,Sales!D:D,A75)</f>
        <v>13270.97</v>
      </c>
      <c r="D75" s="190">
        <f>SUMIFS(Sales!N:N,Sales!D:D,A75)</f>
        <v>7016.44</v>
      </c>
      <c r="E75" s="202">
        <f>SUMIF(Sales!D:D,A75,Sales!O:O)</f>
        <v>175</v>
      </c>
      <c r="F75" s="190">
        <f t="shared" si="20"/>
        <v>1669</v>
      </c>
      <c r="G75" s="192">
        <f>SUMIFS(Sales!R:R,Sales!D:D,A75)</f>
        <v>16.69</v>
      </c>
      <c r="H75" s="190">
        <v>10000</v>
      </c>
      <c r="I75" s="190">
        <f t="shared" si="21"/>
        <v>2454.41176470588</v>
      </c>
      <c r="J75" s="192">
        <v>4178.37078651685</v>
      </c>
      <c r="K75" s="190">
        <f t="shared" si="16"/>
        <v>597.19365</v>
      </c>
      <c r="L75" s="190"/>
      <c r="M75" s="190"/>
      <c r="N75" s="190">
        <f t="shared" si="29"/>
        <v>530.8388</v>
      </c>
      <c r="O75" s="190">
        <f t="shared" si="25"/>
        <v>-3175.28500122273</v>
      </c>
      <c r="P75" s="190"/>
      <c r="Q75" s="193">
        <f>_xlfn.XLOOKUP(A75,Sales!D:D,Sales!K:K)</f>
        <v>46230</v>
      </c>
      <c r="R75" s="193">
        <f>_xlfn.XLOOKUP(A75,Sales!D:D,Sales!L:L)</f>
        <v>46225</v>
      </c>
      <c r="S75" s="212" t="s">
        <v>476</v>
      </c>
      <c r="T75" s="195">
        <f t="shared" si="26"/>
        <v>-25509.9125512227</v>
      </c>
      <c r="U75" s="174">
        <f t="shared" si="30"/>
        <v>12673.77635</v>
      </c>
      <c r="V75" s="196">
        <f t="shared" si="27"/>
        <v>-13313.0725512227</v>
      </c>
      <c r="W75" s="196"/>
      <c r="X75" s="206"/>
      <c r="Y75" s="197">
        <f>SUMIF('Other pmt'!H:H,"*"&amp;S75&amp;"*",'Other pmt'!F:F)</f>
        <v>12196.84</v>
      </c>
      <c r="Z75" s="198" t="str">
        <f t="shared" si="31"/>
        <v>07</v>
      </c>
      <c r="AA75" s="198" t="str">
        <f>_xlfn.XLOOKUP("*"&amp;$S75&amp;"*",'Other pmt'!H$1:H$1126,'Other pmt'!D$1:D$1126,0,2)</f>
        <v>08/24/2026</v>
      </c>
      <c r="AB75" s="198">
        <f t="shared" si="28"/>
        <v>-476.93635</v>
      </c>
      <c r="AC75" s="199">
        <f t="shared" si="22"/>
        <v>-0.0376317473836439</v>
      </c>
      <c r="AD75" s="198"/>
      <c r="AE75" s="200">
        <f>CHOOSE(MATCH($B75,{"Petco","PSP"},0),SUMIF('Petco Rec'!M:M,$S75,'Petco Rec'!E:E),SUMIF('PSP Rec'!B:B,$S75,'PSP Rec'!M:M))</f>
        <v>12196.84</v>
      </c>
      <c r="AF75" s="198"/>
      <c r="AG75" s="198"/>
      <c r="AH75" s="198"/>
      <c r="AI75" s="198"/>
      <c r="AJ75" s="198"/>
      <c r="AK75" s="198"/>
    </row>
    <row r="76" customFormat="1" customHeight="1" spans="1:37">
      <c r="A76" s="130">
        <v>31367790</v>
      </c>
      <c r="B76" s="189" t="str">
        <f>_xlfn.XLOOKUP(A76,Sales!D:D,Sales!H:H)</f>
        <v>Petco</v>
      </c>
      <c r="C76" s="190">
        <f>SUMIFS(Sales!G:G,Sales!D:D,A76)</f>
        <v>5757.97</v>
      </c>
      <c r="D76" s="190">
        <f>SUMIFS(Sales!N:N,Sales!D:D,A76)</f>
        <v>3063.09</v>
      </c>
      <c r="E76" s="202">
        <f>SUMIF(Sales!D:D,A76,Sales!O:O)</f>
        <v>69</v>
      </c>
      <c r="F76" s="190">
        <f t="shared" si="20"/>
        <v>652</v>
      </c>
      <c r="G76" s="192">
        <f>SUMIFS(Sales!R:R,Sales!D:D,A76)</f>
        <v>6.52</v>
      </c>
      <c r="H76" s="190">
        <v>10000</v>
      </c>
      <c r="I76" s="190">
        <f t="shared" si="21"/>
        <v>958.823529411765</v>
      </c>
      <c r="J76" s="192">
        <v>350</v>
      </c>
      <c r="K76" s="190">
        <f t="shared" si="16"/>
        <v>259.10865</v>
      </c>
      <c r="L76" s="190"/>
      <c r="M76" s="190"/>
      <c r="N76" s="190">
        <f t="shared" si="29"/>
        <v>230.3188</v>
      </c>
      <c r="O76" s="190">
        <f t="shared" si="25"/>
        <v>244.629020588236</v>
      </c>
      <c r="P76" s="190"/>
      <c r="Q76" s="193">
        <f>_xlfn.XLOOKUP(A76,Sales!D:D,Sales!K:K)</f>
        <v>46224</v>
      </c>
      <c r="R76" s="193">
        <f>_xlfn.XLOOKUP(A76,Sales!D:D,Sales!L:L)</f>
        <v>46226</v>
      </c>
      <c r="S76" s="212" t="s">
        <v>477</v>
      </c>
      <c r="T76" s="195">
        <f t="shared" si="26"/>
        <v>-15099.4335294118</v>
      </c>
      <c r="U76" s="174">
        <f t="shared" si="30"/>
        <v>5498.86135</v>
      </c>
      <c r="V76" s="196">
        <f t="shared" si="27"/>
        <v>-9715.73352941177</v>
      </c>
      <c r="W76" s="196"/>
      <c r="X76" s="206"/>
      <c r="Y76" s="197">
        <f>SUMIF('Other pmt'!H:H,"*"&amp;S76&amp;"*",'Other pmt'!F:F)</f>
        <v>5383.7</v>
      </c>
      <c r="Z76" s="198" t="str">
        <f t="shared" si="31"/>
        <v>07</v>
      </c>
      <c r="AA76" s="198" t="str">
        <f>_xlfn.XLOOKUP("*"&amp;$S76&amp;"*",'Other pmt'!H$1:H$1126,'Other pmt'!D$1:D$1126,0,2)</f>
        <v>09/02/2026</v>
      </c>
      <c r="AB76" s="198">
        <f t="shared" si="28"/>
        <v>-115.16135</v>
      </c>
      <c r="AC76" s="199">
        <f t="shared" si="22"/>
        <v>-0.0209427629958337</v>
      </c>
      <c r="AD76" s="198"/>
      <c r="AE76" s="200">
        <f>CHOOSE(MATCH($B76,{"Petco","PSP"},0),SUMIF('Petco Rec'!M:M,$S76,'Petco Rec'!E:E),SUMIF('PSP Rec'!B:B,$S76,'PSP Rec'!M:M))</f>
        <v>5383.7</v>
      </c>
      <c r="AF76" s="198"/>
      <c r="AG76" s="198"/>
      <c r="AH76" s="198"/>
      <c r="AI76" s="198"/>
      <c r="AJ76" s="198"/>
      <c r="AK76" s="198"/>
    </row>
    <row r="77" customFormat="1" customHeight="1" spans="1:37">
      <c r="A77" s="130">
        <v>31441551</v>
      </c>
      <c r="B77" s="189" t="str">
        <f>_xlfn.XLOOKUP(A77,Sales!D:D,Sales!H:H)</f>
        <v>Petco</v>
      </c>
      <c r="C77" s="190">
        <f>SUMIFS(Sales!G:G,Sales!D:D,A77)</f>
        <v>22030.68</v>
      </c>
      <c r="D77" s="190">
        <f>SUMIFS(Sales!N:N,Sales!D:D,A77)</f>
        <v>11542.85</v>
      </c>
      <c r="E77" s="202">
        <f>SUMIF(Sales!D:D,A77,Sales!O:O)</f>
        <v>322</v>
      </c>
      <c r="F77" s="190">
        <f t="shared" si="20"/>
        <v>2897</v>
      </c>
      <c r="G77" s="192">
        <f>SUMIFS(Sales!R:R,Sales!D:D,A77)</f>
        <v>28.97</v>
      </c>
      <c r="H77" s="190">
        <v>10000</v>
      </c>
      <c r="I77" s="190">
        <f t="shared" si="21"/>
        <v>4260.29411764706</v>
      </c>
      <c r="J77" s="192">
        <v>6664.48801742919</v>
      </c>
      <c r="K77" s="190">
        <f t="shared" si="16"/>
        <v>991.3806</v>
      </c>
      <c r="L77" s="190"/>
      <c r="M77" s="190"/>
      <c r="N77" s="190">
        <f t="shared" si="29"/>
        <v>881.2272</v>
      </c>
      <c r="O77" s="190">
        <f t="shared" si="25"/>
        <v>-5206.55993507625</v>
      </c>
      <c r="P77" s="190"/>
      <c r="Q77" s="193">
        <f>_xlfn.XLOOKUP(A77,Sales!D:D,Sales!K:K)</f>
        <v>46232</v>
      </c>
      <c r="R77" s="193">
        <f>_xlfn.XLOOKUP(A77,Sales!D:D,Sales!L:L)</f>
        <v>46227</v>
      </c>
      <c r="S77" s="212" t="s">
        <v>478</v>
      </c>
      <c r="T77" s="195">
        <f t="shared" si="26"/>
        <v>-35715.6021350762</v>
      </c>
      <c r="U77" s="174">
        <f t="shared" si="30"/>
        <v>21039.2994</v>
      </c>
      <c r="V77" s="196">
        <f t="shared" si="27"/>
        <v>-15116.9121350762</v>
      </c>
      <c r="W77" s="196"/>
      <c r="X77" s="206"/>
      <c r="Y77" s="197">
        <f>SUMIF('Other pmt'!H:H,"*"&amp;S77&amp;"*",'Other pmt'!F:F)</f>
        <v>20598.69</v>
      </c>
      <c r="Z77" s="198" t="str">
        <f t="shared" si="31"/>
        <v>07</v>
      </c>
      <c r="AA77" s="198" t="str">
        <f>_xlfn.XLOOKUP("*"&amp;$S77&amp;"*",'Other pmt'!H$1:H$1126,'Other pmt'!D$1:D$1126,0,2)</f>
        <v>09/08/2026</v>
      </c>
      <c r="AB77" s="198">
        <f t="shared" si="28"/>
        <v>-440.609399999998</v>
      </c>
      <c r="AC77" s="199">
        <f t="shared" si="22"/>
        <v>-0.0209422087505441</v>
      </c>
      <c r="AD77" s="198"/>
      <c r="AE77" s="200">
        <f>CHOOSE(MATCH($B77,{"Petco","PSP"},0),SUMIF('Petco Rec'!M:M,$S77,'Petco Rec'!E:E),SUMIF('PSP Rec'!B:B,$S77,'PSP Rec'!M:M))</f>
        <v>20598.69</v>
      </c>
      <c r="AF77" s="198"/>
      <c r="AG77" s="198"/>
      <c r="AH77" s="198"/>
      <c r="AI77" s="198"/>
      <c r="AJ77" s="198"/>
      <c r="AK77" s="198"/>
    </row>
    <row r="78" customFormat="1" customHeight="1" spans="1:37">
      <c r="A78" s="130">
        <v>31367792</v>
      </c>
      <c r="B78" s="189" t="str">
        <f>_xlfn.XLOOKUP(A78,Sales!D:D,Sales!H:H)</f>
        <v>Petco</v>
      </c>
      <c r="C78" s="190">
        <f>SUMIFS(Sales!G:G,Sales!D:D,A78)</f>
        <v>7540.18</v>
      </c>
      <c r="D78" s="190">
        <f>SUMIFS(Sales!N:N,Sales!D:D,A78)</f>
        <v>4023.42</v>
      </c>
      <c r="E78" s="202">
        <f>SUMIF(Sales!D:D,A78,Sales!O:O)</f>
        <v>80</v>
      </c>
      <c r="F78" s="190">
        <f t="shared" si="20"/>
        <v>835</v>
      </c>
      <c r="G78" s="192">
        <f>SUMIFS(Sales!R:R,Sales!D:D,A78)</f>
        <v>8.35</v>
      </c>
      <c r="H78" s="190">
        <v>10000</v>
      </c>
      <c r="I78" s="190">
        <f t="shared" si="21"/>
        <v>1227.94117647059</v>
      </c>
      <c r="J78" s="192">
        <v>1655.7734204793</v>
      </c>
      <c r="K78" s="190">
        <f t="shared" si="16"/>
        <v>339.3081</v>
      </c>
      <c r="L78" s="190"/>
      <c r="M78" s="190"/>
      <c r="N78" s="190">
        <f t="shared" si="29"/>
        <v>301.6072</v>
      </c>
      <c r="O78" s="190">
        <f t="shared" si="25"/>
        <v>-842.869896949889</v>
      </c>
      <c r="P78" s="190"/>
      <c r="Q78" s="193">
        <f>_xlfn.XLOOKUP(A78,Sales!D:D,Sales!K:K)</f>
        <v>46231</v>
      </c>
      <c r="R78" s="193">
        <f>_xlfn.XLOOKUP(A78,Sales!D:D,Sales!L:L)</f>
        <v>46227</v>
      </c>
      <c r="S78" s="212" t="s">
        <v>479</v>
      </c>
      <c r="T78" s="195">
        <f t="shared" si="26"/>
        <v>-17830.4845969499</v>
      </c>
      <c r="U78" s="174">
        <f t="shared" si="30"/>
        <v>7200.8719</v>
      </c>
      <c r="V78" s="196">
        <f t="shared" si="27"/>
        <v>-10780.4045969499</v>
      </c>
      <c r="W78" s="196"/>
      <c r="X78" s="206"/>
      <c r="Y78" s="197">
        <f>SUMIF('Other pmt'!H:H,"*"&amp;S78&amp;"*",'Other pmt'!F:F)</f>
        <v>7050.08</v>
      </c>
      <c r="Z78" s="198" t="str">
        <f t="shared" si="31"/>
        <v>07</v>
      </c>
      <c r="AA78" s="198" t="str">
        <f>_xlfn.XLOOKUP("*"&amp;$S78&amp;"*",'Other pmt'!H$1:H$1126,'Other pmt'!D$1:D$1126,0,2)</f>
        <v>09/08/2026</v>
      </c>
      <c r="AB78" s="198">
        <f t="shared" si="28"/>
        <v>-150.791899999999</v>
      </c>
      <c r="AC78" s="199">
        <f t="shared" si="22"/>
        <v>-0.0209407835737224</v>
      </c>
      <c r="AD78" s="198"/>
      <c r="AE78" s="200">
        <f>CHOOSE(MATCH($B78,{"Petco","PSP"},0),SUMIF('Petco Rec'!M:M,$S78,'Petco Rec'!E:E),SUMIF('PSP Rec'!B:B,$S78,'PSP Rec'!M:M))</f>
        <v>7050.08</v>
      </c>
      <c r="AF78" s="198"/>
      <c r="AG78" s="198"/>
      <c r="AH78" s="198"/>
      <c r="AI78" s="198"/>
      <c r="AJ78" s="198"/>
      <c r="AK78" s="198"/>
    </row>
    <row r="79" customFormat="1" customHeight="1" spans="1:37">
      <c r="A79" s="130">
        <v>31205997</v>
      </c>
      <c r="B79" s="189" t="str">
        <f>_xlfn.XLOOKUP(A79,Sales!D:D,Sales!H:H)</f>
        <v>Petco</v>
      </c>
      <c r="C79" s="190">
        <f>SUMIFS(Sales!G:G,Sales!D:D,A79)</f>
        <v>4055.04</v>
      </c>
      <c r="D79" s="190">
        <f>SUMIFS(Sales!N:N,Sales!D:D,A79)</f>
        <v>2279.63</v>
      </c>
      <c r="E79" s="202">
        <f>SUMIF(Sales!D:D,A79,Sales!O:O)</f>
        <v>57</v>
      </c>
      <c r="F79" s="190">
        <f t="shared" si="20"/>
        <v>508</v>
      </c>
      <c r="G79" s="192">
        <f>SUMIFS(Sales!R:R,Sales!D:D,A79)</f>
        <v>5.08</v>
      </c>
      <c r="H79" s="190">
        <v>10000</v>
      </c>
      <c r="I79" s="190">
        <f t="shared" si="21"/>
        <v>747.058823529412</v>
      </c>
      <c r="J79" s="192">
        <v>1179.7385620915</v>
      </c>
      <c r="K79" s="190">
        <f t="shared" si="16"/>
        <v>182.4768</v>
      </c>
      <c r="L79" s="190"/>
      <c r="M79" s="190"/>
      <c r="N79" s="190">
        <f t="shared" si="29"/>
        <v>162.2016</v>
      </c>
      <c r="O79" s="190">
        <f t="shared" si="25"/>
        <v>-1004.06578562091</v>
      </c>
      <c r="P79" s="190"/>
      <c r="Q79" s="193">
        <f>_xlfn.XLOOKUP(A79,Sales!D:D,Sales!K:K)</f>
        <v>46232</v>
      </c>
      <c r="R79" s="193">
        <f>_xlfn.XLOOKUP(A79,Sales!D:D,Sales!L:L)</f>
        <v>46227</v>
      </c>
      <c r="S79" s="212" t="s">
        <v>480</v>
      </c>
      <c r="T79" s="195">
        <f t="shared" si="26"/>
        <v>-14776.5073856209</v>
      </c>
      <c r="U79" s="174">
        <f t="shared" si="30"/>
        <v>3872.5632</v>
      </c>
      <c r="V79" s="196">
        <f t="shared" si="27"/>
        <v>-10985.0473856209</v>
      </c>
      <c r="W79" s="196"/>
      <c r="X79" s="206"/>
      <c r="Y79" s="197">
        <f>SUMIF('Other pmt'!H:H,"*"&amp;S79&amp;"*",'Other pmt'!F:F)</f>
        <v>3791.46</v>
      </c>
      <c r="Z79" s="198" t="str">
        <f t="shared" si="31"/>
        <v>07</v>
      </c>
      <c r="AA79" s="198" t="str">
        <f>_xlfn.XLOOKUP("*"&amp;$S79&amp;"*",'Other pmt'!H$1:H$1126,'Other pmt'!D$1:D$1126,0,2)</f>
        <v>09/08/2026</v>
      </c>
      <c r="AB79" s="198">
        <f t="shared" si="28"/>
        <v>-81.1032</v>
      </c>
      <c r="AC79" s="199">
        <f t="shared" si="22"/>
        <v>-0.0209430281215294</v>
      </c>
      <c r="AD79" s="198"/>
      <c r="AE79" s="200">
        <f>CHOOSE(MATCH($B79,{"Petco","PSP"},0),SUMIF('Petco Rec'!M:M,$S79,'Petco Rec'!E:E),SUMIF('PSP Rec'!B:B,$S79,'PSP Rec'!M:M))</f>
        <v>3791.46</v>
      </c>
      <c r="AF79" s="198"/>
      <c r="AG79" s="198"/>
      <c r="AH79" s="198"/>
      <c r="AI79" s="198"/>
      <c r="AJ79" s="198"/>
      <c r="AK79" s="198"/>
    </row>
    <row r="80" customFormat="1" customHeight="1" spans="1:37">
      <c r="A80" s="130">
        <v>31367788</v>
      </c>
      <c r="B80" s="189" t="str">
        <f>_xlfn.XLOOKUP(A80,Sales!D:D,Sales!H:H)</f>
        <v>Petco</v>
      </c>
      <c r="C80" s="190">
        <f>SUMIFS(Sales!G:G,Sales!D:D,A80)</f>
        <v>5933.79</v>
      </c>
      <c r="D80" s="190">
        <f>SUMIFS(Sales!N:N,Sales!D:D,A80)</f>
        <v>3188.01</v>
      </c>
      <c r="E80" s="202">
        <f>SUMIF(Sales!D:D,A80,Sales!O:O)</f>
        <v>62</v>
      </c>
      <c r="F80" s="190">
        <f t="shared" si="20"/>
        <v>640</v>
      </c>
      <c r="G80" s="192">
        <f>SUMIFS(Sales!R:R,Sales!D:D,A80)</f>
        <v>6.4</v>
      </c>
      <c r="H80" s="190">
        <v>10000</v>
      </c>
      <c r="I80" s="190">
        <f t="shared" si="21"/>
        <v>941.176470588235</v>
      </c>
      <c r="J80" s="192">
        <v>1864.18918918919</v>
      </c>
      <c r="K80" s="190">
        <f t="shared" si="16"/>
        <v>267.02055</v>
      </c>
      <c r="L80" s="190"/>
      <c r="M80" s="190"/>
      <c r="N80" s="190">
        <f t="shared" si="29"/>
        <v>237.3516</v>
      </c>
      <c r="O80" s="190">
        <f t="shared" si="25"/>
        <v>-1203.95780977743</v>
      </c>
      <c r="P80" s="190"/>
      <c r="Q80" s="193">
        <f>_xlfn.XLOOKUP(A80,Sales!D:D,Sales!K:K)</f>
        <v>46231</v>
      </c>
      <c r="R80" s="193">
        <f>_xlfn.XLOOKUP(A80,Sales!D:D,Sales!L:L)</f>
        <v>46227</v>
      </c>
      <c r="S80" s="212" t="s">
        <v>481</v>
      </c>
      <c r="T80" s="195">
        <f t="shared" si="26"/>
        <v>-16701.7756597774</v>
      </c>
      <c r="U80" s="174">
        <f t="shared" si="30"/>
        <v>5666.76945</v>
      </c>
      <c r="V80" s="196">
        <f t="shared" si="27"/>
        <v>-11387.2656597774</v>
      </c>
      <c r="W80" s="196"/>
      <c r="X80" s="206"/>
      <c r="Y80" s="197">
        <f>SUMIF('Other pmt'!H:H,"*"&amp;S80&amp;"*",'Other pmt'!F:F)</f>
        <v>5314.51</v>
      </c>
      <c r="Z80" s="198" t="str">
        <f t="shared" si="31"/>
        <v>07</v>
      </c>
      <c r="AA80" s="198" t="str">
        <f>_xlfn.XLOOKUP("*"&amp;$S80&amp;"*",'Other pmt'!H$1:H$1126,'Other pmt'!D$1:D$1126,0,2)</f>
        <v>08/24/2026</v>
      </c>
      <c r="AB80" s="198">
        <f t="shared" si="28"/>
        <v>-352.25945</v>
      </c>
      <c r="AC80" s="231">
        <f t="shared" si="22"/>
        <v>-0.0621623048384295</v>
      </c>
      <c r="AD80" s="198"/>
      <c r="AE80" s="200">
        <f>CHOOSE(MATCH($B80,{"Petco","PSP"},0),SUMIF('Petco Rec'!M:M,$S80,'Petco Rec'!E:E),SUMIF('PSP Rec'!B:B,$S80,'PSP Rec'!M:M))</f>
        <v>5314.51</v>
      </c>
      <c r="AF80" s="198"/>
      <c r="AG80" s="198"/>
      <c r="AH80" s="198"/>
      <c r="AI80" s="198"/>
      <c r="AJ80" s="198"/>
      <c r="AK80" s="198"/>
    </row>
    <row r="81" customFormat="1" customHeight="1" spans="1:37">
      <c r="A81" s="130">
        <v>31441546</v>
      </c>
      <c r="B81" s="189" t="str">
        <f>_xlfn.XLOOKUP(A81,Sales!D:D,Sales!H:H)</f>
        <v>Petco</v>
      </c>
      <c r="C81" s="190">
        <f>SUMIFS(Sales!G:G,Sales!D:D,A81)</f>
        <v>14772.99</v>
      </c>
      <c r="D81" s="190">
        <f>SUMIFS(Sales!N:N,Sales!D:D,A81)</f>
        <v>7889.02</v>
      </c>
      <c r="E81" s="202">
        <f>SUMIF(Sales!D:D,A81,Sales!O:O)</f>
        <v>190</v>
      </c>
      <c r="F81" s="190">
        <f t="shared" si="20"/>
        <v>1865</v>
      </c>
      <c r="G81" s="192">
        <f>SUMIFS(Sales!R:R,Sales!D:D,A81)</f>
        <v>18.65</v>
      </c>
      <c r="H81" s="190">
        <v>10000</v>
      </c>
      <c r="I81" s="190">
        <f t="shared" si="21"/>
        <v>2742.64705882353</v>
      </c>
      <c r="J81" s="192">
        <v>5712.83783783784</v>
      </c>
      <c r="K81" s="190">
        <f t="shared" si="16"/>
        <v>664.78455</v>
      </c>
      <c r="L81" s="190"/>
      <c r="M81" s="190"/>
      <c r="N81" s="190">
        <f t="shared" si="29"/>
        <v>590.9196</v>
      </c>
      <c r="O81" s="190">
        <f t="shared" si="25"/>
        <v>-4692.21904666137</v>
      </c>
      <c r="P81" s="190"/>
      <c r="Q81" s="193">
        <f>_xlfn.XLOOKUP(A81,Sales!D:D,Sales!K:K)</f>
        <v>46230</v>
      </c>
      <c r="R81" s="193">
        <f>_xlfn.XLOOKUP(A81,Sales!D:D,Sales!L:L)</f>
        <v>46227</v>
      </c>
      <c r="S81" s="212" t="s">
        <v>482</v>
      </c>
      <c r="T81" s="195">
        <f t="shared" si="26"/>
        <v>-28418.1548966614</v>
      </c>
      <c r="U81" s="174">
        <f t="shared" si="30"/>
        <v>14108.20545</v>
      </c>
      <c r="V81" s="196">
        <f t="shared" si="27"/>
        <v>-14605.4048966614</v>
      </c>
      <c r="W81" s="196"/>
      <c r="X81" s="206"/>
      <c r="Y81" s="197">
        <f>SUMIF('Other pmt'!H:H,"*"&amp;S81&amp;"*",'Other pmt'!F:F)</f>
        <v>13812.75</v>
      </c>
      <c r="Z81" s="198" t="str">
        <f t="shared" si="31"/>
        <v>07</v>
      </c>
      <c r="AA81" s="198" t="str">
        <f>_xlfn.XLOOKUP("*"&amp;$S81&amp;"*",'Other pmt'!H$1:H$1126,'Other pmt'!D$1:D$1126,0,2)</f>
        <v>09/08/2026</v>
      </c>
      <c r="AB81" s="198">
        <f t="shared" si="28"/>
        <v>-295.455450000001</v>
      </c>
      <c r="AC81" s="199">
        <f t="shared" si="22"/>
        <v>-0.0209421000457575</v>
      </c>
      <c r="AD81" s="198"/>
      <c r="AE81" s="200">
        <f>CHOOSE(MATCH($B81,{"Petco","PSP"},0),SUMIF('Petco Rec'!M:M,$S81,'Petco Rec'!E:E),SUMIF('PSP Rec'!B:B,$S81,'PSP Rec'!M:M))</f>
        <v>13812.75</v>
      </c>
      <c r="AF81" s="198"/>
      <c r="AG81" s="198"/>
      <c r="AH81" s="198"/>
      <c r="AI81" s="198"/>
      <c r="AJ81" s="198"/>
      <c r="AK81" s="198"/>
    </row>
    <row r="82" customFormat="1" customHeight="1" spans="1:37">
      <c r="A82" s="130">
        <v>31205994</v>
      </c>
      <c r="B82" s="189" t="str">
        <f>_xlfn.XLOOKUP(A82,Sales!D:D,Sales!H:H)</f>
        <v>Petco</v>
      </c>
      <c r="C82" s="190">
        <f>SUMIFS(Sales!G:G,Sales!D:D,A82)</f>
        <v>3123.37</v>
      </c>
      <c r="D82" s="190">
        <f>SUMIFS(Sales!N:N,Sales!D:D,A82)</f>
        <v>1800.91</v>
      </c>
      <c r="E82" s="202">
        <f>SUMIF(Sales!D:D,A82,Sales!O:O)</f>
        <v>44</v>
      </c>
      <c r="F82" s="190">
        <f t="shared" si="20"/>
        <v>371</v>
      </c>
      <c r="G82" s="192">
        <f>SUMIFS(Sales!R:R,Sales!D:D,A82)</f>
        <v>3.71</v>
      </c>
      <c r="H82" s="190">
        <v>10000</v>
      </c>
      <c r="I82" s="190">
        <f t="shared" si="21"/>
        <v>545.588235294118</v>
      </c>
      <c r="J82" s="192">
        <v>1322.97297297297</v>
      </c>
      <c r="K82" s="190">
        <f t="shared" si="16"/>
        <v>140.55165</v>
      </c>
      <c r="L82" s="190"/>
      <c r="M82" s="190"/>
      <c r="N82" s="190">
        <f t="shared" si="29"/>
        <v>124.9348</v>
      </c>
      <c r="O82" s="190">
        <f t="shared" si="25"/>
        <v>-1182.58765826709</v>
      </c>
      <c r="P82" s="190"/>
      <c r="Q82" s="193">
        <f>_xlfn.XLOOKUP(A82,Sales!D:D,Sales!K:K)</f>
        <v>46231</v>
      </c>
      <c r="R82" s="193">
        <f>_xlfn.XLOOKUP(A82,Sales!D:D,Sales!L:L)</f>
        <v>46227</v>
      </c>
      <c r="S82" s="212" t="s">
        <v>483</v>
      </c>
      <c r="T82" s="195">
        <f t="shared" si="26"/>
        <v>-14088.1812082671</v>
      </c>
      <c r="U82" s="174">
        <f t="shared" si="30"/>
        <v>2982.81835</v>
      </c>
      <c r="V82" s="196">
        <f t="shared" si="27"/>
        <v>-11167.8312082671</v>
      </c>
      <c r="W82" s="196"/>
      <c r="X82" s="206"/>
      <c r="Y82" s="197">
        <f>SUMIF('Other pmt'!H:H,"*"&amp;S82&amp;"*",'Other pmt'!F:F)</f>
        <v>2920.35</v>
      </c>
      <c r="Z82" s="198" t="str">
        <f t="shared" si="31"/>
        <v>07</v>
      </c>
      <c r="AA82" s="198" t="str">
        <f>_xlfn.XLOOKUP("*"&amp;$S82&amp;"*",'Other pmt'!H$1:H$1126,'Other pmt'!D$1:D$1126,0,2)</f>
        <v>09/08/2026</v>
      </c>
      <c r="AB82" s="198">
        <f t="shared" si="28"/>
        <v>-62.4683500000001</v>
      </c>
      <c r="AC82" s="199">
        <f t="shared" si="22"/>
        <v>-0.0209427268676955</v>
      </c>
      <c r="AD82" s="198"/>
      <c r="AE82" s="200">
        <f>CHOOSE(MATCH($B82,{"Petco","PSP"},0),SUMIF('Petco Rec'!M:M,$S82,'Petco Rec'!E:E),SUMIF('PSP Rec'!B:B,$S82,'PSP Rec'!M:M))</f>
        <v>2920.35</v>
      </c>
      <c r="AF82" s="198"/>
      <c r="AG82" s="198"/>
      <c r="AH82" s="198"/>
      <c r="AI82" s="198"/>
      <c r="AJ82" s="198"/>
      <c r="AK82" s="198"/>
    </row>
    <row r="83" customFormat="1" customHeight="1" spans="1:37">
      <c r="A83" s="130" t="s">
        <v>342</v>
      </c>
      <c r="B83" s="189" t="str">
        <f>_xlfn.XLOOKUP(A83,Sales!D:D,Sales!H:H)</f>
        <v>PSP</v>
      </c>
      <c r="C83" s="190">
        <f>SUMIFS(Sales!G:G,Sales!D:D,A83)</f>
        <v>31689.8</v>
      </c>
      <c r="D83" s="190">
        <f>SUMIFS(Sales!N:N,Sales!D:D,A83)</f>
        <v>17793.16</v>
      </c>
      <c r="E83" s="202">
        <f>SUMIF(Sales!D:D,A83,Sales!O:O)</f>
        <v>326</v>
      </c>
      <c r="F83" s="190">
        <f t="shared" si="20"/>
        <v>3629</v>
      </c>
      <c r="G83" s="192">
        <f>SUMIFS(Sales!R:R,Sales!D:D,A83)</f>
        <v>36.29</v>
      </c>
      <c r="H83" s="190">
        <v>10000</v>
      </c>
      <c r="I83" s="190">
        <f t="shared" si="21"/>
        <v>5336.76470588235</v>
      </c>
      <c r="J83" s="192">
        <v>3735.1</v>
      </c>
      <c r="K83" s="190">
        <f t="shared" si="16"/>
        <v>1584.49</v>
      </c>
      <c r="L83" s="190"/>
      <c r="M83" s="190"/>
      <c r="N83" s="190">
        <f>C83*0.06</f>
        <v>1901.388</v>
      </c>
      <c r="O83" s="190">
        <f t="shared" si="25"/>
        <v>-2290.10270588235</v>
      </c>
      <c r="P83" s="190"/>
      <c r="Q83" s="193">
        <f>_xlfn.XLOOKUP(A83,Sales!D:D,Sales!K:K)</f>
        <v>46231</v>
      </c>
      <c r="R83" s="193">
        <f>_xlfn.XLOOKUP(A83,Sales!D:D,Sales!L:L)</f>
        <v>46227</v>
      </c>
      <c r="S83" s="212" t="s">
        <v>484</v>
      </c>
      <c r="T83" s="195">
        <f t="shared" si="26"/>
        <v>-40856.3147058823</v>
      </c>
      <c r="U83" s="174">
        <f t="shared" si="30"/>
        <v>30105.31</v>
      </c>
      <c r="V83" s="196">
        <f t="shared" si="27"/>
        <v>-11624.8047058823</v>
      </c>
      <c r="W83" s="196"/>
      <c r="X83" s="206"/>
      <c r="Y83" s="197">
        <f>SUMIF('Other pmt'!H:H,"*"&amp;S83&amp;"*",'Other pmt'!F:F)</f>
        <v>29231.51</v>
      </c>
      <c r="Z83" s="198" t="str">
        <f t="shared" si="31"/>
        <v>08</v>
      </c>
      <c r="AA83" s="198" t="str">
        <f>_xlfn.XLOOKUP("*"&amp;$S83&amp;"*",'Other pmt'!H$1:H$1126,'Other pmt'!D$1:D$1126,0,2)</f>
        <v>8/31/2026</v>
      </c>
      <c r="AB83" s="198">
        <f t="shared" si="28"/>
        <v>-873.799999999999</v>
      </c>
      <c r="AC83" s="199">
        <f t="shared" si="22"/>
        <v>-0.0290247800138912</v>
      </c>
      <c r="AD83" s="198"/>
      <c r="AE83" s="200">
        <f>CHOOSE(MATCH($B83,{"Petco","PSP"},0),SUMIF('Petco Rec'!M:M,$S83,'Petco Rec'!E:E),SUMIF('PSP Rec'!B:B,$S83,'PSP Rec'!M:M))</f>
        <v>29231.51</v>
      </c>
      <c r="AF83" s="198"/>
      <c r="AG83" s="198"/>
      <c r="AH83" s="198"/>
      <c r="AI83" s="198"/>
      <c r="AJ83" s="198"/>
      <c r="AK83" s="198"/>
    </row>
    <row r="84" customFormat="1" customHeight="1" spans="1:37">
      <c r="A84" s="130" t="s">
        <v>343</v>
      </c>
      <c r="B84" s="189" t="str">
        <f>_xlfn.XLOOKUP(A84,Sales!D:D,Sales!H:H)</f>
        <v>PSP</v>
      </c>
      <c r="C84" s="190">
        <f>SUMIFS(Sales!G:G,Sales!D:D,A84)</f>
        <v>10544.94</v>
      </c>
      <c r="D84" s="190">
        <f>SUMIFS(Sales!N:N,Sales!D:D,A84)</f>
        <v>6002.22</v>
      </c>
      <c r="E84" s="202">
        <f>SUMIF(Sales!D:D,A84,Sales!O:O)</f>
        <v>109</v>
      </c>
      <c r="F84" s="190">
        <f t="shared" si="20"/>
        <v>1216</v>
      </c>
      <c r="G84" s="192">
        <f>SUMIFS(Sales!R:R,Sales!D:D,A84)</f>
        <v>12.16</v>
      </c>
      <c r="H84" s="190">
        <v>10000</v>
      </c>
      <c r="I84" s="190">
        <f t="shared" si="21"/>
        <v>1788.23529411765</v>
      </c>
      <c r="J84" s="192">
        <v>6800</v>
      </c>
      <c r="K84" s="190">
        <f t="shared" si="16"/>
        <v>527.247</v>
      </c>
      <c r="L84" s="190"/>
      <c r="M84" s="190"/>
      <c r="N84" s="190">
        <f>C84*0.06</f>
        <v>632.6964</v>
      </c>
      <c r="O84" s="190">
        <f t="shared" si="25"/>
        <v>-6421.45869411765</v>
      </c>
      <c r="P84" s="190"/>
      <c r="Q84" s="193">
        <f>_xlfn.XLOOKUP(A84,Sales!D:D,Sales!K:K)</f>
        <v>46233</v>
      </c>
      <c r="R84" s="193">
        <f>_xlfn.XLOOKUP(A84,Sales!D:D,Sales!L:L)</f>
        <v>46227</v>
      </c>
      <c r="S84" s="212" t="s">
        <v>485</v>
      </c>
      <c r="T84" s="195">
        <f t="shared" si="26"/>
        <v>-25927.6152941176</v>
      </c>
      <c r="U84" s="174">
        <f t="shared" si="30"/>
        <v>10017.693</v>
      </c>
      <c r="V84" s="196">
        <f t="shared" si="27"/>
        <v>-16229.9752941176</v>
      </c>
      <c r="W84" s="196"/>
      <c r="X84" s="206"/>
      <c r="Y84" s="197">
        <f>SUMIF('Other pmt'!H:H,"*"&amp;S84&amp;"*",'Other pmt'!F:F)</f>
        <v>9697.64</v>
      </c>
      <c r="Z84" s="198" t="str">
        <f t="shared" si="31"/>
        <v>07</v>
      </c>
      <c r="AA84" s="198" t="str">
        <f>_xlfn.XLOOKUP("*"&amp;$S84&amp;"*",'Other pmt'!H$1:H$1126,'Other pmt'!D$1:D$1126,0,2)</f>
        <v>8/24/2026</v>
      </c>
      <c r="AB84" s="198">
        <f t="shared" si="28"/>
        <v>-320.053000000002</v>
      </c>
      <c r="AC84" s="199">
        <f t="shared" si="22"/>
        <v>-0.0319487730358678</v>
      </c>
      <c r="AD84" s="198"/>
      <c r="AE84" s="200">
        <f>CHOOSE(MATCH($B84,{"Petco","PSP"},0),SUMIF('Petco Rec'!M:M,$S84,'Petco Rec'!E:E),SUMIF('PSP Rec'!B:B,$S84,'PSP Rec'!M:M))</f>
        <v>9697.64</v>
      </c>
      <c r="AF84" s="198"/>
      <c r="AG84" s="198"/>
      <c r="AH84" s="198"/>
      <c r="AI84" s="198"/>
      <c r="AJ84" s="198"/>
      <c r="AK84" s="198"/>
    </row>
    <row r="85" customFormat="1" customHeight="1" spans="1:37">
      <c r="A85" s="130" t="s">
        <v>344</v>
      </c>
      <c r="B85" s="189" t="str">
        <f>_xlfn.XLOOKUP(A85,Sales!D:D,Sales!H:H)</f>
        <v>PSP</v>
      </c>
      <c r="C85" s="190">
        <f>SUMIFS(Sales!G:G,Sales!D:D,A85)</f>
        <v>38005.2</v>
      </c>
      <c r="D85" s="190">
        <f>SUMIFS(Sales!N:N,Sales!D:D,A85)</f>
        <v>18350.95</v>
      </c>
      <c r="E85" s="202">
        <f>SUMIF(Sales!D:D,A85,Sales!O:O)</f>
        <v>691</v>
      </c>
      <c r="F85" s="190">
        <f t="shared" si="20"/>
        <v>5403</v>
      </c>
      <c r="G85" s="192">
        <f>SUMIFS(Sales!R:R,Sales!D:D,A85)</f>
        <v>54.03</v>
      </c>
      <c r="H85" s="190">
        <v>10000</v>
      </c>
      <c r="I85" s="190">
        <f t="shared" si="21"/>
        <v>7945.58823529412</v>
      </c>
      <c r="J85" s="192">
        <v>7800</v>
      </c>
      <c r="K85" s="190">
        <f t="shared" si="16"/>
        <v>1900.26</v>
      </c>
      <c r="L85" s="190"/>
      <c r="M85" s="190"/>
      <c r="N85" s="190">
        <f>C85*0.06</f>
        <v>2280.312</v>
      </c>
      <c r="O85" s="190">
        <f t="shared" si="25"/>
        <v>-5674.91023529412</v>
      </c>
      <c r="P85" s="190"/>
      <c r="Q85" s="193">
        <f>_xlfn.XLOOKUP(A85,Sales!D:D,Sales!K:K)</f>
        <v>46269</v>
      </c>
      <c r="R85" s="193">
        <f>_xlfn.XLOOKUP(A85,Sales!D:D,Sales!L:L)</f>
        <v>46269</v>
      </c>
      <c r="S85" s="232" t="s">
        <v>486</v>
      </c>
      <c r="T85" s="195">
        <f t="shared" si="26"/>
        <v>-50244.5682352941</v>
      </c>
      <c r="U85" s="174">
        <f t="shared" si="30"/>
        <v>36104.94</v>
      </c>
      <c r="V85" s="196">
        <f t="shared" si="27"/>
        <v>-18122.2782352941</v>
      </c>
      <c r="W85" s="196"/>
      <c r="X85" s="206"/>
      <c r="Y85" s="197">
        <f>SUMIF('Other pmt'!H:H,"*"&amp;S85&amp;"*",'Other pmt'!F:F)</f>
        <v>32122.29</v>
      </c>
      <c r="Z85" s="198" t="str">
        <f t="shared" si="31"/>
        <v>09</v>
      </c>
      <c r="AA85" s="198" t="str">
        <f>_xlfn.XLOOKUP("*"&amp;$S85&amp;"*",'Other pmt'!H$1:H$1126,'Other pmt'!D$1:D$1126,0,2)</f>
        <v>10/05/2006</v>
      </c>
      <c r="AB85" s="198">
        <f t="shared" si="28"/>
        <v>-3982.64999999999</v>
      </c>
      <c r="AC85" s="231">
        <f t="shared" si="22"/>
        <v>-0.110307619954499</v>
      </c>
      <c r="AD85" s="198"/>
      <c r="AE85" s="200">
        <f>CHOOSE(MATCH($B85,{"Petco","PSP"},0),SUMIF('Petco Rec'!M:M,$S85,'Petco Rec'!E:E),SUMIF('PSP Rec'!B:B,$S85,'PSP Rec'!M:M))</f>
        <v>35186.27</v>
      </c>
      <c r="AF85" s="198"/>
      <c r="AG85" s="198"/>
      <c r="AH85" s="198"/>
      <c r="AI85" s="198"/>
      <c r="AJ85" s="198"/>
      <c r="AK85" s="198"/>
    </row>
    <row r="86" customFormat="1" customHeight="1" spans="1:37">
      <c r="A86" s="130" t="s">
        <v>345</v>
      </c>
      <c r="B86" s="189" t="str">
        <f>_xlfn.XLOOKUP(A86,Sales!D:D,Sales!H:H)</f>
        <v>PSP</v>
      </c>
      <c r="C86" s="190">
        <f>SUMIFS(Sales!G:G,Sales!D:D,A86)</f>
        <v>24239.51</v>
      </c>
      <c r="D86" s="190">
        <f>SUMIFS(Sales!N:N,Sales!D:D,A86)</f>
        <v>12042.04</v>
      </c>
      <c r="E86" s="202">
        <f>SUMIF(Sales!D:D,A86,Sales!O:O)</f>
        <v>355</v>
      </c>
      <c r="F86" s="190">
        <f t="shared" si="20"/>
        <v>3084</v>
      </c>
      <c r="G86" s="192">
        <f>SUMIFS(Sales!R:R,Sales!D:D,A86)</f>
        <v>30.84</v>
      </c>
      <c r="H86" s="190">
        <v>10000</v>
      </c>
      <c r="I86" s="190">
        <f t="shared" si="21"/>
        <v>4535.29411764706</v>
      </c>
      <c r="J86" s="192">
        <v>5741.8</v>
      </c>
      <c r="K86" s="190">
        <f t="shared" si="16"/>
        <v>1211.9755</v>
      </c>
      <c r="L86" s="190"/>
      <c r="M86" s="190"/>
      <c r="N86" s="190">
        <f>C86*0.06</f>
        <v>1454.3706</v>
      </c>
      <c r="O86" s="190">
        <f t="shared" si="25"/>
        <v>-3829.97021764706</v>
      </c>
      <c r="P86" s="190"/>
      <c r="Q86" s="193">
        <f>_xlfn.XLOOKUP(A86,Sales!D:D,Sales!K:K)</f>
        <v>46269</v>
      </c>
      <c r="R86" s="193">
        <f>_xlfn.XLOOKUP(A86,Sales!D:D,Sales!L:L)</f>
        <v>46265</v>
      </c>
      <c r="S86" s="212" t="s">
        <v>487</v>
      </c>
      <c r="T86" s="195">
        <f t="shared" si="26"/>
        <v>-35788.9741176471</v>
      </c>
      <c r="U86" s="174">
        <f t="shared" si="30"/>
        <v>23027.5345</v>
      </c>
      <c r="V86" s="196">
        <f t="shared" si="27"/>
        <v>-14705.6241176471</v>
      </c>
      <c r="W86" s="196"/>
      <c r="X86" s="206"/>
      <c r="Y86" s="197">
        <f>SUMIF('Other pmt'!H:H,"*"&amp;S86&amp;"*",'Other pmt'!F:F)</f>
        <v>21083.35</v>
      </c>
      <c r="Z86" s="198" t="str">
        <f t="shared" si="31"/>
        <v>09</v>
      </c>
      <c r="AA86" s="198" t="str">
        <f>_xlfn.XLOOKUP("*"&amp;$S86&amp;"*",'Other pmt'!H$1:H$1126,'Other pmt'!D$1:D$1126,0,2)</f>
        <v>9/28/2026</v>
      </c>
      <c r="AB86" s="198">
        <f t="shared" si="28"/>
        <v>-1944.1845</v>
      </c>
      <c r="AC86" s="231">
        <f t="shared" si="22"/>
        <v>-0.084428686883522</v>
      </c>
      <c r="AD86" s="198"/>
      <c r="AE86" s="200">
        <f>CHOOSE(MATCH($B86,{"Petco","PSP"},0),SUMIF('Petco Rec'!M:M,$S86,'Petco Rec'!E:E),SUMIF('PSP Rec'!B:B,$S86,'PSP Rec'!M:M))</f>
        <v>21083.35</v>
      </c>
      <c r="AF86" s="198"/>
      <c r="AG86" s="198"/>
      <c r="AH86" s="198"/>
      <c r="AI86" s="198"/>
      <c r="AJ86" s="198"/>
      <c r="AK86" s="198"/>
    </row>
    <row r="87" customFormat="1" customHeight="1" spans="1:37">
      <c r="A87" s="130">
        <v>31307402</v>
      </c>
      <c r="B87" s="189" t="str">
        <f>_xlfn.XLOOKUP(A87,Sales!D:D,Sales!H:H)</f>
        <v>Petco</v>
      </c>
      <c r="C87" s="190">
        <f>SUMIFS(Sales!G:G,Sales!D:D,A87)</f>
        <v>3002.51</v>
      </c>
      <c r="D87" s="190">
        <f>SUMIFS(Sales!N:N,Sales!D:D,A87)</f>
        <v>1764.33</v>
      </c>
      <c r="E87" s="202">
        <f>SUMIF(Sales!D:D,A87,Sales!O:O)</f>
        <v>28</v>
      </c>
      <c r="F87" s="190">
        <f t="shared" si="20"/>
        <v>242</v>
      </c>
      <c r="G87" s="192">
        <f>SUMIFS(Sales!R:R,Sales!D:D,A87)</f>
        <v>2.42</v>
      </c>
      <c r="H87" s="190">
        <v>10000</v>
      </c>
      <c r="I87" s="190">
        <f t="shared" si="21"/>
        <v>355.882352941177</v>
      </c>
      <c r="J87" s="192">
        <v>363.461538461538</v>
      </c>
      <c r="K87" s="190">
        <f t="shared" si="16"/>
        <v>135.11295</v>
      </c>
      <c r="L87" s="190"/>
      <c r="M87" s="190"/>
      <c r="N87" s="190">
        <f t="shared" ref="N87:N149" si="32">C87*0.04</f>
        <v>120.1004</v>
      </c>
      <c r="O87" s="190">
        <f t="shared" si="25"/>
        <v>21.6227585972851</v>
      </c>
      <c r="P87" s="190"/>
      <c r="Q87" s="193">
        <f>_xlfn.XLOOKUP(A87,Sales!D:D,Sales!K:K)</f>
        <v>46232</v>
      </c>
      <c r="R87" s="193">
        <f>_xlfn.XLOOKUP(A87,Sales!D:D,Sales!L:L)</f>
        <v>46231</v>
      </c>
      <c r="S87" s="212" t="s">
        <v>488</v>
      </c>
      <c r="T87" s="195">
        <f t="shared" si="26"/>
        <v>-12756.0938914027</v>
      </c>
      <c r="U87" s="174">
        <f t="shared" si="30"/>
        <v>2867.39705</v>
      </c>
      <c r="V87" s="196">
        <f t="shared" si="27"/>
        <v>-9948.74389140271</v>
      </c>
      <c r="W87" s="196"/>
      <c r="X87" s="206"/>
      <c r="Y87" s="197">
        <f>SUMIF('Other pmt'!H:H,"*"&amp;S87&amp;"*",'Other pmt'!F:F)</f>
        <v>2807.35</v>
      </c>
      <c r="Z87" s="198" t="str">
        <f t="shared" si="31"/>
        <v>07</v>
      </c>
      <c r="AA87" s="198" t="str">
        <f>_xlfn.XLOOKUP("*"&amp;$S87&amp;"*",'Other pmt'!H$1:H$1126,'Other pmt'!D$1:D$1126,0,2)</f>
        <v>09/09/2026</v>
      </c>
      <c r="AB87" s="198">
        <f t="shared" si="28"/>
        <v>-60.0470499999997</v>
      </c>
      <c r="AC87" s="199">
        <f t="shared" ref="AC87:AC118" si="33">IF(AB87&lt;&gt;"",AB87/U87,"")</f>
        <v>-0.0209413098196497</v>
      </c>
      <c r="AD87" s="198"/>
      <c r="AE87" s="200">
        <f>CHOOSE(MATCH($B87,{"Petco","PSP"},0),SUMIF('Petco Rec'!M:M,$S87,'Petco Rec'!E:E),SUMIF('PSP Rec'!B:B,$S87,'PSP Rec'!M:M))</f>
        <v>2807.35</v>
      </c>
      <c r="AF87" s="198"/>
      <c r="AG87" s="198"/>
      <c r="AH87" s="198"/>
      <c r="AI87" s="198"/>
      <c r="AJ87" s="198"/>
      <c r="AK87" s="198"/>
    </row>
    <row r="88" customFormat="1" customHeight="1" spans="1:37">
      <c r="A88" s="130">
        <v>31441548</v>
      </c>
      <c r="B88" s="189" t="str">
        <f>_xlfn.XLOOKUP(A88,Sales!D:D,Sales!H:H)</f>
        <v>Petco</v>
      </c>
      <c r="C88" s="190">
        <f>SUMIFS(Sales!G:G,Sales!D:D,A88)</f>
        <v>14163.7</v>
      </c>
      <c r="D88" s="190">
        <f>SUMIFS(Sales!N:N,Sales!D:D,A88)</f>
        <v>7411.06</v>
      </c>
      <c r="E88" s="202">
        <f>SUMIF(Sales!D:D,A88,Sales!O:O)</f>
        <v>215</v>
      </c>
      <c r="F88" s="190">
        <f t="shared" si="20"/>
        <v>1874</v>
      </c>
      <c r="G88" s="192">
        <f>SUMIFS(Sales!R:R,Sales!D:D,A88)</f>
        <v>18.74</v>
      </c>
      <c r="H88" s="190">
        <v>10000</v>
      </c>
      <c r="I88" s="190">
        <f t="shared" si="21"/>
        <v>2755.88235294118</v>
      </c>
      <c r="J88" s="192">
        <v>3282.73</v>
      </c>
      <c r="K88" s="190">
        <f t="shared" si="16"/>
        <v>637.3665</v>
      </c>
      <c r="L88" s="190"/>
      <c r="M88" s="190"/>
      <c r="N88" s="190">
        <f t="shared" si="32"/>
        <v>566.548</v>
      </c>
      <c r="O88" s="190">
        <f t="shared" si="25"/>
        <v>-2363.88685294118</v>
      </c>
      <c r="P88" s="190"/>
      <c r="Q88" s="193">
        <f>_xlfn.XLOOKUP(A88,Sales!D:D,Sales!K:K)</f>
        <v>46260</v>
      </c>
      <c r="R88" s="193">
        <f>_xlfn.XLOOKUP(A88,Sales!D:D,Sales!L:L)</f>
        <v>46248</v>
      </c>
      <c r="S88" s="212" t="s">
        <v>489</v>
      </c>
      <c r="T88" s="195">
        <f t="shared" si="26"/>
        <v>-25557.4123529412</v>
      </c>
      <c r="U88" s="174">
        <f t="shared" si="30"/>
        <v>13526.3335</v>
      </c>
      <c r="V88" s="196">
        <f t="shared" si="27"/>
        <v>-12314.3423529412</v>
      </c>
      <c r="W88" s="196"/>
      <c r="X88" s="206"/>
      <c r="Y88" s="197">
        <f>SUMIF('Other pmt'!H:H,"*"&amp;S88&amp;"*",'Other pmt'!F:F)</f>
        <v>13243.07</v>
      </c>
      <c r="Z88" s="198" t="str">
        <f t="shared" si="31"/>
        <v>08</v>
      </c>
      <c r="AA88" s="198" t="str">
        <f>_xlfn.XLOOKUP("*"&amp;$S88&amp;"*",'Other pmt'!H$1:H$1126,'Other pmt'!D$1:D$1126,0,2)</f>
        <v>10/08/2026</v>
      </c>
      <c r="AB88" s="198">
        <f t="shared" si="28"/>
        <v>-283.263499999999</v>
      </c>
      <c r="AC88" s="199">
        <f t="shared" si="33"/>
        <v>-0.0209416321133882</v>
      </c>
      <c r="AD88" s="198"/>
      <c r="AE88" s="200">
        <f>CHOOSE(MATCH($B88,{"Petco","PSP"},0),SUMIF('Petco Rec'!M:M,$S88,'Petco Rec'!E:E),SUMIF('PSP Rec'!B:B,$S88,'PSP Rec'!M:M))</f>
        <v>13243.07</v>
      </c>
      <c r="AF88" s="198"/>
      <c r="AG88" s="198"/>
      <c r="AH88" s="198"/>
      <c r="AI88" s="198"/>
      <c r="AJ88" s="198"/>
      <c r="AK88" s="198"/>
    </row>
    <row r="89" customFormat="1" customHeight="1" spans="1:37">
      <c r="A89" s="130">
        <v>31441549</v>
      </c>
      <c r="B89" s="189" t="str">
        <f>_xlfn.XLOOKUP(A89,Sales!D:D,Sales!H:H)</f>
        <v>Petco</v>
      </c>
      <c r="C89" s="190">
        <f>SUMIFS(Sales!G:G,Sales!D:D,A89)</f>
        <v>12124.71</v>
      </c>
      <c r="D89" s="190">
        <f>SUMIFS(Sales!N:N,Sales!D:D,A89)</f>
        <v>6452.36</v>
      </c>
      <c r="E89" s="202">
        <f>SUMIF(Sales!D:D,A89,Sales!O:O)</f>
        <v>163</v>
      </c>
      <c r="F89" s="190">
        <f t="shared" si="20"/>
        <v>1576</v>
      </c>
      <c r="G89" s="192">
        <f>SUMIFS(Sales!R:R,Sales!D:D,A89)</f>
        <v>15.76</v>
      </c>
      <c r="H89" s="190">
        <v>10000</v>
      </c>
      <c r="I89" s="190">
        <f t="shared" si="21"/>
        <v>2317.64705882353</v>
      </c>
      <c r="J89" s="192">
        <v>420</v>
      </c>
      <c r="K89" s="190">
        <f t="shared" si="16"/>
        <v>545.61195</v>
      </c>
      <c r="L89" s="190"/>
      <c r="M89" s="190"/>
      <c r="N89" s="190">
        <f t="shared" si="32"/>
        <v>484.9884</v>
      </c>
      <c r="O89" s="190">
        <f t="shared" si="25"/>
        <v>328.102591176471</v>
      </c>
      <c r="P89" s="190"/>
      <c r="Q89" s="193">
        <f>_xlfn.XLOOKUP(A89,Sales!D:D,Sales!K:K)</f>
        <v>46255</v>
      </c>
      <c r="R89" s="193">
        <f>_xlfn.XLOOKUP(A89,Sales!D:D,Sales!L:L)</f>
        <v>46258</v>
      </c>
      <c r="S89" s="212" t="s">
        <v>490</v>
      </c>
      <c r="T89" s="195">
        <f t="shared" si="26"/>
        <v>-20944.7670588235</v>
      </c>
      <c r="U89" s="174">
        <f t="shared" si="30"/>
        <v>11579.09805</v>
      </c>
      <c r="V89" s="196">
        <f t="shared" si="27"/>
        <v>-9608.15705882353</v>
      </c>
      <c r="W89" s="196"/>
      <c r="X89" s="206"/>
      <c r="Y89" s="197">
        <f>SUMIF('Other pmt'!H:H,"*"&amp;S89&amp;"*",'Other pmt'!F:F)</f>
        <v>11336.61</v>
      </c>
      <c r="Z89" s="198" t="str">
        <f t="shared" si="31"/>
        <v>08</v>
      </c>
      <c r="AA89" s="198" t="str">
        <f>_xlfn.XLOOKUP("*"&amp;$S89&amp;"*",'Other pmt'!H$1:H$1126,'Other pmt'!D$1:D$1126,0,2)</f>
        <v>10/05/2026</v>
      </c>
      <c r="AB89" s="198">
        <f t="shared" si="28"/>
        <v>-242.48805</v>
      </c>
      <c r="AC89" s="199">
        <f t="shared" si="33"/>
        <v>-0.0209418772475115</v>
      </c>
      <c r="AD89" s="198"/>
      <c r="AE89" s="200">
        <f>CHOOSE(MATCH($B89,{"Petco","PSP"},0),SUMIF('Petco Rec'!M:M,$S89,'Petco Rec'!E:E),SUMIF('PSP Rec'!B:B,$S89,'PSP Rec'!M:M))</f>
        <v>11336.61</v>
      </c>
      <c r="AF89" s="198"/>
      <c r="AG89" s="198"/>
      <c r="AH89" s="198"/>
      <c r="AI89" s="198"/>
      <c r="AJ89" s="198"/>
      <c r="AK89" s="198"/>
    </row>
    <row r="90" customFormat="1" customHeight="1" spans="1:37">
      <c r="A90" s="130">
        <v>31441550</v>
      </c>
      <c r="B90" s="189" t="str">
        <f>_xlfn.XLOOKUP(A90,Sales!D:D,Sales!H:H)</f>
        <v>Petco</v>
      </c>
      <c r="C90" s="190">
        <f>SUMIFS(Sales!G:G,Sales!D:D,A90)</f>
        <v>12552.47</v>
      </c>
      <c r="D90" s="190">
        <f>SUMIFS(Sales!N:N,Sales!D:D,A90)</f>
        <v>6589.1</v>
      </c>
      <c r="E90" s="202">
        <f>SUMIF(Sales!D:D,A90,Sales!O:O)</f>
        <v>180</v>
      </c>
      <c r="F90" s="190">
        <f t="shared" si="20"/>
        <v>1691</v>
      </c>
      <c r="G90" s="192">
        <f>SUMIFS(Sales!R:R,Sales!D:D,A90)</f>
        <v>16.91</v>
      </c>
      <c r="H90" s="190">
        <v>10000</v>
      </c>
      <c r="I90" s="190">
        <f t="shared" si="21"/>
        <v>2486.76470588235</v>
      </c>
      <c r="J90" s="192">
        <v>2336.53846153846</v>
      </c>
      <c r="K90" s="190">
        <f t="shared" si="16"/>
        <v>564.86115</v>
      </c>
      <c r="L90" s="190"/>
      <c r="M90" s="190"/>
      <c r="N90" s="190">
        <f t="shared" si="32"/>
        <v>502.0988</v>
      </c>
      <c r="O90" s="190">
        <f t="shared" si="25"/>
        <v>-1617.89311742081</v>
      </c>
      <c r="P90" s="190"/>
      <c r="Q90" s="193">
        <f>_xlfn.XLOOKUP(A90,Sales!D:D,Sales!K:K)</f>
        <v>46232</v>
      </c>
      <c r="R90" s="193">
        <f>_xlfn.XLOOKUP(A90,Sales!D:D,Sales!L:L)</f>
        <v>46231</v>
      </c>
      <c r="S90" s="212" t="s">
        <v>491</v>
      </c>
      <c r="T90" s="195">
        <f t="shared" si="26"/>
        <v>-23300.3131674208</v>
      </c>
      <c r="U90" s="174">
        <f t="shared" si="30"/>
        <v>11987.60885</v>
      </c>
      <c r="V90" s="196">
        <f t="shared" si="27"/>
        <v>-11563.7531674208</v>
      </c>
      <c r="W90" s="196"/>
      <c r="X90" s="206"/>
      <c r="Y90" s="197">
        <f>SUMIF('Other pmt'!H:H,"*"&amp;S90&amp;"*",'Other pmt'!F:F)</f>
        <v>11736.56</v>
      </c>
      <c r="Z90" s="198" t="str">
        <f t="shared" si="31"/>
        <v>07</v>
      </c>
      <c r="AA90" s="198" t="str">
        <f>_xlfn.XLOOKUP("*"&amp;$S90&amp;"*",'Other pmt'!H$1:H$1126,'Other pmt'!D$1:D$1126,0,2)</f>
        <v>09/09/2026</v>
      </c>
      <c r="AB90" s="198">
        <f t="shared" si="28"/>
        <v>-251.048849999999</v>
      </c>
      <c r="AC90" s="199">
        <f t="shared" si="33"/>
        <v>-0.0209423624962537</v>
      </c>
      <c r="AD90" s="198"/>
      <c r="AE90" s="200">
        <f>CHOOSE(MATCH($B90,{"Petco","PSP"},0),SUMIF('Petco Rec'!M:M,$S90,'Petco Rec'!E:E),SUMIF('PSP Rec'!B:B,$S90,'PSP Rec'!M:M))</f>
        <v>11736.56</v>
      </c>
      <c r="AF90" s="198"/>
      <c r="AG90" s="198"/>
      <c r="AH90" s="198"/>
      <c r="AI90" s="198"/>
      <c r="AJ90" s="198"/>
      <c r="AK90" s="198"/>
    </row>
    <row r="91" customFormat="1" customHeight="1" spans="1:37">
      <c r="A91" s="130">
        <v>31496998</v>
      </c>
      <c r="B91" s="189" t="str">
        <f>_xlfn.XLOOKUP(A91,Sales!D:D,Sales!H:H)</f>
        <v>Petco</v>
      </c>
      <c r="C91" s="190">
        <f>SUMIFS(Sales!G:G,Sales!D:D,A91)</f>
        <v>14510.46</v>
      </c>
      <c r="D91" s="190">
        <f>SUMIFS(Sales!N:N,Sales!D:D,A91)</f>
        <v>7599</v>
      </c>
      <c r="E91" s="202">
        <f>SUMIF(Sales!D:D,A91,Sales!O:O)</f>
        <v>242</v>
      </c>
      <c r="F91" s="190">
        <f t="shared" si="20"/>
        <v>1916</v>
      </c>
      <c r="G91" s="192">
        <f>SUMIFS(Sales!R:R,Sales!D:D,A91)</f>
        <v>19.16</v>
      </c>
      <c r="H91" s="190">
        <v>10000</v>
      </c>
      <c r="I91" s="190">
        <f t="shared" si="21"/>
        <v>2817.64705882353</v>
      </c>
      <c r="J91" s="192">
        <v>3725.71</v>
      </c>
      <c r="K91" s="190">
        <f t="shared" si="16"/>
        <v>652.9707</v>
      </c>
      <c r="L91" s="190"/>
      <c r="M91" s="190"/>
      <c r="N91" s="190">
        <f t="shared" si="32"/>
        <v>580.4184</v>
      </c>
      <c r="O91" s="190">
        <f t="shared" si="25"/>
        <v>-2781.28615882353</v>
      </c>
      <c r="P91" s="190"/>
      <c r="Q91" s="193">
        <f>_xlfn.XLOOKUP(A91,Sales!D:D,Sales!K:K)</f>
        <v>46260</v>
      </c>
      <c r="R91" s="193">
        <f>_xlfn.XLOOKUP(A91,Sales!D:D,Sales!L:L)</f>
        <v>46251</v>
      </c>
      <c r="S91" s="212" t="s">
        <v>492</v>
      </c>
      <c r="T91" s="195">
        <f t="shared" si="26"/>
        <v>-26319.5170588235</v>
      </c>
      <c r="U91" s="174">
        <f t="shared" si="30"/>
        <v>13857.4893</v>
      </c>
      <c r="V91" s="196">
        <f t="shared" si="27"/>
        <v>-12752.2370588235</v>
      </c>
      <c r="W91" s="196"/>
      <c r="X91" s="206"/>
      <c r="Y91" s="197">
        <f>SUMIF('Other pmt'!H:H,"*"&amp;S91&amp;"*",'Other pmt'!F:F)</f>
        <v>13567.28</v>
      </c>
      <c r="Z91" s="198" t="str">
        <f t="shared" si="31"/>
        <v>08</v>
      </c>
      <c r="AA91" s="198" t="str">
        <f>_xlfn.XLOOKUP("*"&amp;$S91&amp;"*",'Other pmt'!H$1:H$1126,'Other pmt'!D$1:D$1126,0,2)</f>
        <v>10/05/2026</v>
      </c>
      <c r="AB91" s="198">
        <f t="shared" si="28"/>
        <v>-290.209299999999</v>
      </c>
      <c r="AC91" s="199">
        <f t="shared" si="33"/>
        <v>-0.0209424155932777</v>
      </c>
      <c r="AD91" s="198"/>
      <c r="AE91" s="200">
        <f>CHOOSE(MATCH($B91,{"Petco","PSP"},0),SUMIF('Petco Rec'!M:M,$S91,'Petco Rec'!E:E),SUMIF('PSP Rec'!B:B,$S91,'PSP Rec'!M:M))</f>
        <v>13567.28</v>
      </c>
      <c r="AF91" s="198"/>
      <c r="AG91" s="198"/>
      <c r="AH91" s="198"/>
      <c r="AI91" s="198"/>
      <c r="AJ91" s="198"/>
      <c r="AK91" s="198"/>
    </row>
    <row r="92" customFormat="1" customHeight="1" spans="1:37">
      <c r="A92" s="130">
        <v>31496999</v>
      </c>
      <c r="B92" s="189" t="str">
        <f>_xlfn.XLOOKUP(A92,Sales!D:D,Sales!H:H)</f>
        <v>Petco</v>
      </c>
      <c r="C92" s="190">
        <f>SUMIFS(Sales!G:G,Sales!D:D,A92)</f>
        <v>4180.58</v>
      </c>
      <c r="D92" s="190">
        <f>SUMIFS(Sales!N:N,Sales!D:D,A92)</f>
        <v>2149.76</v>
      </c>
      <c r="E92" s="202">
        <f>SUMIF(Sales!D:D,A92,Sales!O:O)</f>
        <v>66</v>
      </c>
      <c r="F92" s="190">
        <f t="shared" si="20"/>
        <v>530</v>
      </c>
      <c r="G92" s="192">
        <f>SUMIFS(Sales!R:R,Sales!D:D,A92)</f>
        <v>5.3</v>
      </c>
      <c r="H92" s="190">
        <v>10000</v>
      </c>
      <c r="I92" s="190">
        <f t="shared" si="21"/>
        <v>779.411764705882</v>
      </c>
      <c r="J92" s="192">
        <v>1268.54</v>
      </c>
      <c r="K92" s="190">
        <f t="shared" si="16"/>
        <v>188.1261</v>
      </c>
      <c r="L92" s="190"/>
      <c r="M92" s="190"/>
      <c r="N92" s="190">
        <f t="shared" si="32"/>
        <v>167.2232</v>
      </c>
      <c r="O92" s="190">
        <f t="shared" si="25"/>
        <v>-902.481064705882</v>
      </c>
      <c r="P92" s="190"/>
      <c r="Q92" s="193">
        <f>_xlfn.XLOOKUP(A92,Sales!D:D,Sales!K:K)</f>
        <v>46260</v>
      </c>
      <c r="R92" s="193">
        <f>_xlfn.XLOOKUP(A92,Sales!D:D,Sales!L:L)</f>
        <v>46253</v>
      </c>
      <c r="S92" s="212" t="s">
        <v>493</v>
      </c>
      <c r="T92" s="195">
        <f t="shared" si="26"/>
        <v>-14799.0117647059</v>
      </c>
      <c r="U92" s="174">
        <f t="shared" si="30"/>
        <v>3992.4539</v>
      </c>
      <c r="V92" s="196">
        <f t="shared" si="27"/>
        <v>-10890.1617647059</v>
      </c>
      <c r="W92" s="196"/>
      <c r="X92" s="206"/>
      <c r="Y92" s="197">
        <f>SUMIF('Other pmt'!H:H,"*"&amp;S92&amp;"*",'Other pmt'!F:F)</f>
        <v>3908.85</v>
      </c>
      <c r="Z92" s="198" t="str">
        <f t="shared" si="31"/>
        <v>08</v>
      </c>
      <c r="AA92" s="198" t="str">
        <f>_xlfn.XLOOKUP("*"&amp;$S92&amp;"*",'Other pmt'!H$1:H$1126,'Other pmt'!D$1:D$1126,0,2)</f>
        <v>10/05/2026</v>
      </c>
      <c r="AB92" s="198">
        <f t="shared" si="28"/>
        <v>-83.6039000000001</v>
      </c>
      <c r="AC92" s="199">
        <f t="shared" si="33"/>
        <v>-0.0209404797385388</v>
      </c>
      <c r="AD92" s="198"/>
      <c r="AE92" s="200">
        <f>CHOOSE(MATCH($B92,{"Petco","PSP"},0),SUMIF('Petco Rec'!M:M,$S92,'Petco Rec'!E:E),SUMIF('PSP Rec'!B:B,$S92,'PSP Rec'!M:M))</f>
        <v>3908.85</v>
      </c>
      <c r="AF92" s="198"/>
      <c r="AG92" s="198"/>
      <c r="AH92" s="198"/>
      <c r="AI92" s="198"/>
      <c r="AJ92" s="198"/>
      <c r="AK92" s="198"/>
    </row>
    <row r="93" customFormat="1" customHeight="1" spans="1:37">
      <c r="A93" s="130">
        <v>31497000</v>
      </c>
      <c r="B93" s="189" t="str">
        <f>_xlfn.XLOOKUP(A93,Sales!D:D,Sales!H:H)</f>
        <v>Petco</v>
      </c>
      <c r="C93" s="190">
        <f>SUMIFS(Sales!G:G,Sales!D:D,A93)</f>
        <v>5464.17</v>
      </c>
      <c r="D93" s="190">
        <f>SUMIFS(Sales!N:N,Sales!D:D,A93)</f>
        <v>2878.97</v>
      </c>
      <c r="E93" s="202">
        <f>SUMIF(Sales!D:D,A93,Sales!O:O)</f>
        <v>83</v>
      </c>
      <c r="F93" s="190">
        <f t="shared" si="20"/>
        <v>655</v>
      </c>
      <c r="G93" s="192">
        <f>SUMIFS(Sales!R:R,Sales!D:D,A93)</f>
        <v>6.55</v>
      </c>
      <c r="H93" s="190">
        <v>10000</v>
      </c>
      <c r="I93" s="190">
        <f t="shared" si="21"/>
        <v>963.235294117647</v>
      </c>
      <c r="J93" s="192">
        <v>350</v>
      </c>
      <c r="K93" s="190">
        <f t="shared" si="16"/>
        <v>245.88765</v>
      </c>
      <c r="L93" s="190"/>
      <c r="M93" s="190"/>
      <c r="N93" s="190">
        <f t="shared" si="32"/>
        <v>218.5668</v>
      </c>
      <c r="O93" s="190">
        <f t="shared" si="25"/>
        <v>152.510255882353</v>
      </c>
      <c r="P93" s="190"/>
      <c r="Q93" s="193">
        <f>_xlfn.XLOOKUP(A93,Sales!D:D,Sales!K:K)</f>
        <v>46253</v>
      </c>
      <c r="R93" s="193">
        <f>_xlfn.XLOOKUP(A93,Sales!D:D,Sales!L:L)</f>
        <v>46253</v>
      </c>
      <c r="S93" s="212" t="s">
        <v>494</v>
      </c>
      <c r="T93" s="195">
        <f t="shared" si="26"/>
        <v>-14936.7552941176</v>
      </c>
      <c r="U93" s="174">
        <f t="shared" si="30"/>
        <v>5218.28235</v>
      </c>
      <c r="V93" s="196">
        <f t="shared" si="27"/>
        <v>-9827.74529411765</v>
      </c>
      <c r="W93" s="196"/>
      <c r="X93" s="206"/>
      <c r="Y93" s="197">
        <f>SUMIF('Other pmt'!H:H,"*"&amp;S93&amp;"*",'Other pmt'!F:F)</f>
        <v>5109.01</v>
      </c>
      <c r="Z93" s="198" t="str">
        <f t="shared" si="31"/>
        <v>08</v>
      </c>
      <c r="AA93" s="198" t="str">
        <f>_xlfn.XLOOKUP("*"&amp;$S93&amp;"*",'Other pmt'!H$1:H$1126,'Other pmt'!D$1:D$1126,0,2)</f>
        <v>09/29/2026</v>
      </c>
      <c r="AB93" s="198">
        <f t="shared" si="28"/>
        <v>-109.27235</v>
      </c>
      <c r="AC93" s="199">
        <f t="shared" si="33"/>
        <v>-0.0209402908219407</v>
      </c>
      <c r="AD93" s="198"/>
      <c r="AE93" s="200">
        <f>CHOOSE(MATCH($B93,{"Petco","PSP"},0),SUMIF('Petco Rec'!M:M,$S93,'Petco Rec'!E:E),SUMIF('PSP Rec'!B:B,$S93,'PSP Rec'!M:M))</f>
        <v>5109.01</v>
      </c>
      <c r="AF93" s="198"/>
      <c r="AG93" s="198"/>
      <c r="AH93" s="198"/>
      <c r="AI93" s="198"/>
      <c r="AJ93" s="198"/>
      <c r="AK93" s="198"/>
    </row>
    <row r="94" customFormat="1" customHeight="1" spans="1:37">
      <c r="A94" s="130">
        <v>31497001</v>
      </c>
      <c r="B94" s="189" t="str">
        <f>_xlfn.XLOOKUP(A94,Sales!D:D,Sales!H:H)</f>
        <v>Petco</v>
      </c>
      <c r="C94" s="190">
        <f>SUMIFS(Sales!G:G,Sales!D:D,A94)</f>
        <v>14361.83</v>
      </c>
      <c r="D94" s="190">
        <f>SUMIFS(Sales!N:N,Sales!D:D,A94)</f>
        <v>7614.83</v>
      </c>
      <c r="E94" s="202">
        <f>SUMIF(Sales!D:D,A94,Sales!O:O)</f>
        <v>226</v>
      </c>
      <c r="F94" s="190">
        <f t="shared" si="20"/>
        <v>1840</v>
      </c>
      <c r="G94" s="192">
        <f>SUMIFS(Sales!R:R,Sales!D:D,A94)</f>
        <v>18.4</v>
      </c>
      <c r="H94" s="190">
        <v>10000</v>
      </c>
      <c r="I94" s="190">
        <f t="shared" si="21"/>
        <v>2705.88235294118</v>
      </c>
      <c r="J94" s="192">
        <v>4983.99</v>
      </c>
      <c r="K94" s="190">
        <f t="shared" si="16"/>
        <v>646.28235</v>
      </c>
      <c r="L94" s="190"/>
      <c r="M94" s="190"/>
      <c r="N94" s="190">
        <f t="shared" si="32"/>
        <v>574.4732</v>
      </c>
      <c r="O94" s="190">
        <f t="shared" si="25"/>
        <v>-4003.62790294117</v>
      </c>
      <c r="P94" s="190"/>
      <c r="Q94" s="193">
        <f>_xlfn.XLOOKUP(A94,Sales!D:D,Sales!K:K)</f>
        <v>46265</v>
      </c>
      <c r="R94" s="193">
        <f>_xlfn.XLOOKUP(A94,Sales!D:D,Sales!L:L)</f>
        <v>46253</v>
      </c>
      <c r="S94" s="212" t="s">
        <v>495</v>
      </c>
      <c r="T94" s="195">
        <f t="shared" si="26"/>
        <v>-27389.1023529412</v>
      </c>
      <c r="U94" s="174">
        <f t="shared" si="30"/>
        <v>13715.54765</v>
      </c>
      <c r="V94" s="196">
        <f t="shared" si="27"/>
        <v>-27389.1023529412</v>
      </c>
      <c r="W94" s="196"/>
      <c r="X94" s="206"/>
      <c r="Y94" s="197">
        <f>SUMIF('Other pmt'!H:H,"*"&amp;S94&amp;"*",'Other pmt'!F:F)</f>
        <v>0</v>
      </c>
      <c r="Z94" s="198" t="str">
        <f t="shared" si="31"/>
        <v>08</v>
      </c>
      <c r="AA94" s="198">
        <f>_xlfn.XLOOKUP("*"&amp;$S94&amp;"*",'Other pmt'!H$1:H$1126,'Other pmt'!D$1:D$1126,0,2)</f>
        <v>0</v>
      </c>
      <c r="AB94" s="198">
        <f t="shared" si="28"/>
        <v>-13715.54765</v>
      </c>
      <c r="AC94" s="199">
        <f t="shared" si="33"/>
        <v>-1</v>
      </c>
      <c r="AD94" s="198"/>
      <c r="AE94" s="200">
        <f>CHOOSE(MATCH($B94,{"Petco","PSP"},0),SUMIF('Petco Rec'!M:M,$S94,'Petco Rec'!E:E),SUMIF('PSP Rec'!B:B,$S94,'PSP Rec'!M:M))</f>
        <v>0</v>
      </c>
      <c r="AF94" s="198"/>
      <c r="AG94" s="198"/>
      <c r="AH94" s="198"/>
      <c r="AI94" s="198"/>
      <c r="AJ94" s="198"/>
      <c r="AK94" s="198"/>
    </row>
    <row r="95" customHeight="1" spans="1:37">
      <c r="A95" s="130">
        <v>31577968</v>
      </c>
      <c r="B95" s="189" t="str">
        <f>_xlfn.XLOOKUP(A95,Sales!D:D,Sales!H:H)</f>
        <v>Petco</v>
      </c>
      <c r="C95" s="190">
        <f>SUMIFS(Sales!G:G,Sales!D:D,A95)</f>
        <v>6715.89</v>
      </c>
      <c r="D95" s="190">
        <f>SUMIFS(Sales!N:N,Sales!D:D,A95)</f>
        <v>3446.49</v>
      </c>
      <c r="E95" s="202">
        <f>SUMIF(Sales!D:D,A95,Sales!O:O)</f>
        <v>126</v>
      </c>
      <c r="F95" s="190">
        <f t="shared" si="20"/>
        <v>968</v>
      </c>
      <c r="G95" s="192">
        <f>SUMIFS(Sales!R:R,Sales!D:D,A95)</f>
        <v>9.68</v>
      </c>
      <c r="H95" s="190">
        <v>10000</v>
      </c>
      <c r="I95" s="190">
        <f t="shared" si="21"/>
        <v>1423.52941176471</v>
      </c>
      <c r="J95" s="192">
        <v>2392.81</v>
      </c>
      <c r="K95" s="190">
        <f t="shared" si="16"/>
        <v>302.21505</v>
      </c>
      <c r="L95" s="190"/>
      <c r="M95" s="190"/>
      <c r="N95" s="190">
        <f t="shared" si="32"/>
        <v>268.6356</v>
      </c>
      <c r="O95" s="190">
        <f t="shared" si="25"/>
        <v>-2085.79006176471</v>
      </c>
      <c r="P95" s="190"/>
      <c r="Q95" s="193">
        <f>_xlfn.XLOOKUP(A95,Sales!D:D,Sales!K:K)</f>
        <v>46247</v>
      </c>
      <c r="R95" s="193">
        <f>_xlfn.XLOOKUP(A95,Sales!D:D,Sales!L:L)</f>
        <v>46238</v>
      </c>
      <c r="S95" s="212" t="s">
        <v>496</v>
      </c>
      <c r="T95" s="195">
        <f t="shared" si="26"/>
        <v>-18366.5094117647</v>
      </c>
      <c r="U95" s="174">
        <f t="shared" si="30"/>
        <v>6413.67495</v>
      </c>
      <c r="V95" s="196">
        <f t="shared" si="27"/>
        <v>-12087.1594117647</v>
      </c>
      <c r="W95" s="196"/>
      <c r="X95" s="206"/>
      <c r="Y95" s="197">
        <f>SUMIF('Other pmt'!H:H,"*"&amp;S95&amp;"*",'Other pmt'!F:F)</f>
        <v>6279.35</v>
      </c>
      <c r="Z95" s="198" t="str">
        <f t="shared" si="31"/>
        <v>08</v>
      </c>
      <c r="AA95" s="198" t="str">
        <f>_xlfn.XLOOKUP("*"&amp;$S95&amp;"*",'Other pmt'!H$1:H$1126,'Other pmt'!D$1:D$1126,0,2)</f>
        <v>09/21/2026</v>
      </c>
      <c r="AB95" s="198">
        <f t="shared" si="28"/>
        <v>-134.32495</v>
      </c>
      <c r="AC95" s="199">
        <f t="shared" si="33"/>
        <v>-0.0209435231824463</v>
      </c>
      <c r="AD95" s="198"/>
      <c r="AE95" s="200">
        <f>CHOOSE(MATCH($B95,{"Petco","PSP"},0),SUMIF('Petco Rec'!M:M,$S95,'Petco Rec'!E:E),SUMIF('PSP Rec'!B:B,$S95,'PSP Rec'!M:M))</f>
        <v>6279.35</v>
      </c>
      <c r="AF95" s="198"/>
      <c r="AG95" s="198"/>
      <c r="AH95" s="198"/>
      <c r="AI95" s="198"/>
      <c r="AJ95" s="198"/>
      <c r="AK95" s="198"/>
    </row>
    <row r="96" customHeight="1" spans="1:37">
      <c r="A96" s="130">
        <v>31577969</v>
      </c>
      <c r="B96" s="189" t="str">
        <f>_xlfn.XLOOKUP(A96,Sales!D:D,Sales!H:H)</f>
        <v>Petco</v>
      </c>
      <c r="C96" s="190">
        <f>SUMIFS(Sales!G:G,Sales!D:D,A96)</f>
        <v>10209.31</v>
      </c>
      <c r="D96" s="190">
        <f>SUMIFS(Sales!N:N,Sales!D:D,A96)</f>
        <v>5243.79</v>
      </c>
      <c r="E96" s="202">
        <f>SUMIF(Sales!D:D,A96,Sales!O:O)</f>
        <v>183</v>
      </c>
      <c r="F96" s="190">
        <f t="shared" si="20"/>
        <v>1411</v>
      </c>
      <c r="G96" s="192">
        <f>SUMIFS(Sales!R:R,Sales!D:D,A96)</f>
        <v>14.11</v>
      </c>
      <c r="H96" s="190">
        <v>10000</v>
      </c>
      <c r="I96" s="190">
        <f t="shared" si="21"/>
        <v>2075</v>
      </c>
      <c r="J96" s="192">
        <v>2867.69</v>
      </c>
      <c r="K96" s="190">
        <f t="shared" si="16"/>
        <v>459.41895</v>
      </c>
      <c r="L96" s="190"/>
      <c r="M96" s="190"/>
      <c r="N96" s="190">
        <f t="shared" si="32"/>
        <v>408.3724</v>
      </c>
      <c r="O96" s="190">
        <f t="shared" si="25"/>
        <v>-2255.96135</v>
      </c>
      <c r="P96" s="190"/>
      <c r="Q96" s="193">
        <f>_xlfn.XLOOKUP(A96,Sales!D:D,Sales!K:K)</f>
        <v>46247</v>
      </c>
      <c r="R96" s="193">
        <f>_xlfn.XLOOKUP(A96,Sales!D:D,Sales!L:L)</f>
        <v>46239</v>
      </c>
      <c r="S96" s="212" t="s">
        <v>497</v>
      </c>
      <c r="T96" s="195">
        <f t="shared" si="26"/>
        <v>-21794.59</v>
      </c>
      <c r="U96" s="174">
        <f t="shared" si="30"/>
        <v>9749.89105</v>
      </c>
      <c r="V96" s="196">
        <f t="shared" si="27"/>
        <v>-12248.89</v>
      </c>
      <c r="W96" s="196"/>
      <c r="X96" s="206"/>
      <c r="Y96" s="197">
        <f>SUMIF('Other pmt'!H:H,"*"&amp;S96&amp;"*",'Other pmt'!F:F)</f>
        <v>9545.7</v>
      </c>
      <c r="Z96" s="198" t="str">
        <f t="shared" si="31"/>
        <v>08</v>
      </c>
      <c r="AA96" s="198" t="str">
        <f>_xlfn.XLOOKUP("*"&amp;$S96&amp;"*",'Other pmt'!H$1:H$1126,'Other pmt'!D$1:D$1126,0,2)</f>
        <v>09/23/2026</v>
      </c>
      <c r="AB96" s="198">
        <f t="shared" si="28"/>
        <v>-204.191049999999</v>
      </c>
      <c r="AC96" s="199">
        <f t="shared" si="33"/>
        <v>-0.0209429058184193</v>
      </c>
      <c r="AD96" s="198"/>
      <c r="AE96" s="200">
        <f>CHOOSE(MATCH($B96,{"Petco","PSP"},0),SUMIF('Petco Rec'!M:M,$S96,'Petco Rec'!E:E),SUMIF('PSP Rec'!B:B,$S96,'PSP Rec'!M:M))</f>
        <v>9545.7</v>
      </c>
      <c r="AF96" s="198"/>
      <c r="AG96" s="198"/>
      <c r="AH96" s="198"/>
      <c r="AI96" s="198"/>
      <c r="AJ96" s="198"/>
      <c r="AK96" s="198"/>
    </row>
    <row r="97" customHeight="1" spans="1:37">
      <c r="A97" s="130">
        <v>31577970</v>
      </c>
      <c r="B97" s="189" t="str">
        <f>_xlfn.XLOOKUP(A97,Sales!D:D,Sales!H:H)</f>
        <v>Petco</v>
      </c>
      <c r="C97" s="190">
        <f>SUMIFS(Sales!G:G,Sales!D:D,A97)</f>
        <v>5032.11</v>
      </c>
      <c r="D97" s="190">
        <f>SUMIFS(Sales!N:N,Sales!D:D,A97)</f>
        <v>2663.37</v>
      </c>
      <c r="E97" s="202">
        <f>SUMIF(Sales!D:D,A97,Sales!O:O)</f>
        <v>88</v>
      </c>
      <c r="F97" s="190">
        <f t="shared" si="20"/>
        <v>691</v>
      </c>
      <c r="G97" s="192">
        <f>SUMIFS(Sales!R:R,Sales!D:D,A97)</f>
        <v>6.91</v>
      </c>
      <c r="H97" s="190">
        <v>10000</v>
      </c>
      <c r="I97" s="190">
        <f t="shared" si="21"/>
        <v>1016.17647058824</v>
      </c>
      <c r="J97" s="192">
        <v>350</v>
      </c>
      <c r="K97" s="190">
        <f t="shared" si="16"/>
        <v>226.44495</v>
      </c>
      <c r="L97" s="190"/>
      <c r="M97" s="190"/>
      <c r="N97" s="190">
        <f t="shared" si="32"/>
        <v>201.2844</v>
      </c>
      <c r="O97" s="190">
        <f t="shared" si="25"/>
        <v>-116.165820588235</v>
      </c>
      <c r="P97" s="190"/>
      <c r="Q97" s="193">
        <f>_xlfn.XLOOKUP(A97,Sales!D:D,Sales!K:K)</f>
        <v>46245</v>
      </c>
      <c r="R97" s="193">
        <f>_xlfn.XLOOKUP(A97,Sales!D:D,Sales!L:L)</f>
        <v>46246</v>
      </c>
      <c r="S97" s="212" t="s">
        <v>498</v>
      </c>
      <c r="T97" s="195">
        <f t="shared" si="26"/>
        <v>-14815.4564705882</v>
      </c>
      <c r="U97" s="174">
        <f t="shared" si="30"/>
        <v>4805.66505</v>
      </c>
      <c r="V97" s="196">
        <f t="shared" si="27"/>
        <v>-10110.4264705882</v>
      </c>
      <c r="W97" s="196"/>
      <c r="X97" s="206"/>
      <c r="Y97" s="197">
        <f>SUMIF('Other pmt'!H:H,"*"&amp;S97&amp;"*",'Other pmt'!F:F)</f>
        <v>4705.03</v>
      </c>
      <c r="Z97" s="198" t="str">
        <f t="shared" si="31"/>
        <v>08</v>
      </c>
      <c r="AA97" s="198" t="str">
        <f>_xlfn.XLOOKUP("*"&amp;$S97&amp;"*",'Other pmt'!H$1:H$1126,'Other pmt'!D$1:D$1126,0,2)</f>
        <v>09/22/2026</v>
      </c>
      <c r="AB97" s="198">
        <f t="shared" si="28"/>
        <v>-100.635050000001</v>
      </c>
      <c r="AC97" s="199">
        <f t="shared" si="33"/>
        <v>-0.0209409205495919</v>
      </c>
      <c r="AD97" s="198"/>
      <c r="AE97" s="200">
        <f>CHOOSE(MATCH($B97,{"Petco","PSP"},0),SUMIF('Petco Rec'!M:M,$S97,'Petco Rec'!E:E),SUMIF('PSP Rec'!B:B,$S97,'PSP Rec'!M:M))</f>
        <v>4705.03</v>
      </c>
      <c r="AF97" s="198"/>
      <c r="AG97" s="198"/>
      <c r="AH97" s="198"/>
      <c r="AI97" s="198"/>
      <c r="AJ97" s="198"/>
      <c r="AK97" s="198"/>
    </row>
    <row r="98" customHeight="1" spans="1:37">
      <c r="A98" s="130">
        <v>31577971</v>
      </c>
      <c r="B98" s="189" t="str">
        <f>_xlfn.XLOOKUP(A98,Sales!D:D,Sales!H:H)</f>
        <v>Petco</v>
      </c>
      <c r="C98" s="190">
        <f>SUMIFS(Sales!G:G,Sales!D:D,A98)</f>
        <v>4264.69</v>
      </c>
      <c r="D98" s="190">
        <f>SUMIFS(Sales!N:N,Sales!D:D,A98)</f>
        <v>2144.85</v>
      </c>
      <c r="E98" s="202">
        <f>SUMIF(Sales!D:D,A98,Sales!O:O)</f>
        <v>84</v>
      </c>
      <c r="F98" s="190">
        <f t="shared" si="20"/>
        <v>633</v>
      </c>
      <c r="G98" s="192">
        <f>SUMIFS(Sales!R:R,Sales!D:D,A98)</f>
        <v>6.33</v>
      </c>
      <c r="H98" s="190">
        <v>10000</v>
      </c>
      <c r="I98" s="190">
        <f t="shared" si="21"/>
        <v>930.882352941176</v>
      </c>
      <c r="J98" s="192">
        <v>2527.01</v>
      </c>
      <c r="K98" s="190">
        <f t="shared" si="16"/>
        <v>191.91105</v>
      </c>
      <c r="L98" s="190"/>
      <c r="M98" s="190"/>
      <c r="N98" s="190">
        <f t="shared" si="32"/>
        <v>170.5876</v>
      </c>
      <c r="O98" s="190">
        <f t="shared" si="25"/>
        <v>-2333.55100294118</v>
      </c>
      <c r="P98" s="190"/>
      <c r="Q98" s="193">
        <f>_xlfn.XLOOKUP(A98,Sales!D:D,Sales!K:K)</f>
        <v>46250</v>
      </c>
      <c r="R98" s="193">
        <f>_xlfn.XLOOKUP(A98,Sales!D:D,Sales!L:L)</f>
        <v>46238</v>
      </c>
      <c r="S98" s="212" t="s">
        <v>499</v>
      </c>
      <c r="T98" s="195">
        <f t="shared" si="26"/>
        <v>-16326.0723529412</v>
      </c>
      <c r="U98" s="174">
        <f t="shared" si="30"/>
        <v>4072.77895</v>
      </c>
      <c r="V98" s="196">
        <f t="shared" si="27"/>
        <v>-12338.5823529412</v>
      </c>
      <c r="W98" s="196"/>
      <c r="X98" s="206"/>
      <c r="Y98" s="197">
        <f>SUMIF('Other pmt'!H:H,"*"&amp;S98&amp;"*",'Other pmt'!F:F)</f>
        <v>3987.49</v>
      </c>
      <c r="Z98" s="198" t="str">
        <f t="shared" si="31"/>
        <v>08</v>
      </c>
      <c r="AA98" s="198" t="str">
        <f>_xlfn.XLOOKUP("*"&amp;$S98&amp;"*",'Other pmt'!H$1:H$1126,'Other pmt'!D$1:D$1126,0,2)</f>
        <v>09/28/2026</v>
      </c>
      <c r="AB98" s="198">
        <f t="shared" si="28"/>
        <v>-85.2889499999997</v>
      </c>
      <c r="AC98" s="199">
        <f t="shared" si="33"/>
        <v>-0.020941217543859</v>
      </c>
      <c r="AD98" s="198"/>
      <c r="AE98" s="200">
        <f>CHOOSE(MATCH($B98,{"Petco","PSP"},0),SUMIF('Petco Rec'!M:M,$S98,'Petco Rec'!E:E),SUMIF('PSP Rec'!B:B,$S98,'PSP Rec'!M:M))</f>
        <v>3987.49</v>
      </c>
      <c r="AF98" s="198"/>
      <c r="AG98" s="198"/>
      <c r="AH98" s="198"/>
      <c r="AI98" s="198"/>
      <c r="AJ98" s="198"/>
      <c r="AK98" s="198"/>
    </row>
    <row r="99" customHeight="1" spans="1:37">
      <c r="A99" s="130">
        <v>31583554</v>
      </c>
      <c r="B99" s="189" t="str">
        <f>_xlfn.XLOOKUP(A99,Sales!D:D,Sales!H:H)</f>
        <v>Petco</v>
      </c>
      <c r="C99" s="190">
        <f>SUMIFS(Sales!G:G,Sales!D:D,A99)</f>
        <v>3012.23</v>
      </c>
      <c r="D99" s="190">
        <f>SUMIFS(Sales!N:N,Sales!D:D,A99)</f>
        <v>1591.11</v>
      </c>
      <c r="E99" s="202">
        <f>SUMIF(Sales!D:D,A99,Sales!O:O)</f>
        <v>53</v>
      </c>
      <c r="F99" s="190">
        <f t="shared" si="20"/>
        <v>381</v>
      </c>
      <c r="G99" s="192">
        <f>SUMIFS(Sales!R:R,Sales!D:D,A99)</f>
        <v>3.81</v>
      </c>
      <c r="H99" s="190">
        <v>10000</v>
      </c>
      <c r="I99" s="190">
        <f t="shared" si="21"/>
        <v>560.294117647059</v>
      </c>
      <c r="J99" s="192">
        <v>868.85</v>
      </c>
      <c r="K99" s="190">
        <f t="shared" ref="K99:K149" si="34">IF(B99="Petco",C99*0.045,IF(B99="Petsmart",C99*0.02,C99*0.05))</f>
        <v>135.55035</v>
      </c>
      <c r="L99" s="190"/>
      <c r="M99" s="190"/>
      <c r="N99" s="190">
        <f t="shared" si="32"/>
        <v>120.4892</v>
      </c>
      <c r="O99" s="190">
        <f t="shared" si="25"/>
        <v>-645.063667647058</v>
      </c>
      <c r="P99" s="190"/>
      <c r="Q99" s="193">
        <f>_xlfn.XLOOKUP(A99,Sales!D:D,Sales!K:K)</f>
        <v>46246</v>
      </c>
      <c r="R99" s="193">
        <f>_xlfn.XLOOKUP(A99,Sales!D:D,Sales!L:L)</f>
        <v>46240</v>
      </c>
      <c r="S99" s="212" t="s">
        <v>500</v>
      </c>
      <c r="T99" s="195">
        <f t="shared" si="26"/>
        <v>-13458.0641176471</v>
      </c>
      <c r="U99" s="174">
        <f t="shared" si="30"/>
        <v>2876.67965</v>
      </c>
      <c r="V99" s="196">
        <f t="shared" ref="V99:V131" si="35">SUM(Y99,T99)</f>
        <v>-10641.6241176471</v>
      </c>
      <c r="W99" s="196"/>
      <c r="X99" s="206"/>
      <c r="Y99" s="197">
        <f>SUMIF('Other pmt'!H:H,"*"&amp;S99&amp;"*",'Other pmt'!F:F)</f>
        <v>2816.44</v>
      </c>
      <c r="Z99" s="198" t="str">
        <f t="shared" si="31"/>
        <v>08</v>
      </c>
      <c r="AA99" s="198" t="str">
        <f>_xlfn.XLOOKUP("*"&amp;$S99&amp;"*",'Other pmt'!H$1:H$1126,'Other pmt'!D$1:D$1126,0,2)</f>
        <v>09/30/2026</v>
      </c>
      <c r="AB99" s="198">
        <f t="shared" si="28"/>
        <v>-60.2396500000004</v>
      </c>
      <c r="AC99" s="199">
        <f t="shared" si="33"/>
        <v>-0.0209406876431307</v>
      </c>
      <c r="AD99" s="198"/>
      <c r="AE99" s="200">
        <f>CHOOSE(MATCH($B99,{"Petco","PSP"},0),SUMIF('Petco Rec'!M:M,$S99,'Petco Rec'!E:E),SUMIF('PSP Rec'!B:B,$S99,'PSP Rec'!M:M))</f>
        <v>2816.44</v>
      </c>
      <c r="AF99" s="198"/>
      <c r="AG99" s="198"/>
      <c r="AH99" s="198"/>
      <c r="AI99" s="198"/>
      <c r="AJ99" s="198"/>
      <c r="AK99" s="198"/>
    </row>
    <row r="100" customHeight="1" spans="1:37">
      <c r="A100" s="130">
        <v>454348660</v>
      </c>
      <c r="B100" s="189" t="str">
        <f>_xlfn.XLOOKUP(A100,Sales!D:D,Sales!H:H)</f>
        <v>Petsmart</v>
      </c>
      <c r="C100" s="190">
        <f>SUMIFS(Sales!G:G,Sales!D:D,A100)</f>
        <v>20939.36</v>
      </c>
      <c r="D100" s="190">
        <f>SUMIFS(Sales!N:N,Sales!D:D,A100)</f>
        <v>13445.44</v>
      </c>
      <c r="E100" s="202">
        <f>SUMIF(Sales!D:D,A100,Sales!O:O)</f>
        <v>260</v>
      </c>
      <c r="F100" s="190">
        <f t="shared" si="20"/>
        <v>2266</v>
      </c>
      <c r="G100" s="192">
        <f>SUMIFS(Sales!R:R,Sales!D:D,A100)</f>
        <v>22.66</v>
      </c>
      <c r="H100" s="190">
        <v>10000</v>
      </c>
      <c r="I100" s="190">
        <f t="shared" si="21"/>
        <v>3332.35294117647</v>
      </c>
      <c r="J100" s="192">
        <v>0</v>
      </c>
      <c r="K100" s="190">
        <f t="shared" si="34"/>
        <v>418.7872</v>
      </c>
      <c r="L100" s="190"/>
      <c r="M100" s="190"/>
      <c r="N100" s="190">
        <f t="shared" si="32"/>
        <v>837.5744</v>
      </c>
      <c r="O100" s="190">
        <f t="shared" si="25"/>
        <v>639.20545882353</v>
      </c>
      <c r="P100" s="190"/>
      <c r="Q100" s="193">
        <f>_xlfn.XLOOKUP(A100,Sales!D:D,Sales!K:K)</f>
        <v>46236</v>
      </c>
      <c r="R100" s="193">
        <v>46234</v>
      </c>
      <c r="S100" s="212" t="s">
        <v>501</v>
      </c>
      <c r="T100" s="195">
        <f t="shared" si="26"/>
        <v>-29326.4529411765</v>
      </c>
      <c r="U100" s="174">
        <f t="shared" si="30"/>
        <v>20520.5728</v>
      </c>
      <c r="V100" s="196">
        <f t="shared" si="35"/>
        <v>-8800.16294117647</v>
      </c>
      <c r="W100" s="196"/>
      <c r="X100" s="206"/>
      <c r="Y100" s="197">
        <f>SUMIF('Other pmt'!H:H,"*"&amp;S100&amp;"*",'Other pmt'!F:F)</f>
        <v>20526.29</v>
      </c>
      <c r="Z100" s="198" t="str">
        <f t="shared" si="31"/>
        <v>08</v>
      </c>
      <c r="AA100" s="198" t="str">
        <f>_xlfn.XLOOKUP("*"&amp;$S100&amp;"*",'Other pmt'!H$1:H$1126,'Other pmt'!D$1:D$1126,0,2)</f>
        <v>10/19/2026</v>
      </c>
      <c r="AB100" s="198">
        <f t="shared" si="28"/>
        <v>5.71719999999914</v>
      </c>
      <c r="AC100" s="199">
        <f t="shared" si="33"/>
        <v>0.000278608207271833</v>
      </c>
      <c r="AD100" s="198"/>
      <c r="AE100" s="200" t="e">
        <f>CHOOSE(MATCH($B100,{"Petco","PSP"},0),SUMIF('Petco Rec'!M:M,$S100,'Petco Rec'!E:E),SUMIF('PSP Rec'!B:B,$S100,'PSP Rec'!M:M))</f>
        <v>#N/A</v>
      </c>
      <c r="AF100" s="198"/>
      <c r="AG100" s="198"/>
      <c r="AH100" s="198"/>
      <c r="AI100" s="198"/>
      <c r="AJ100" s="198"/>
      <c r="AK100" s="198"/>
    </row>
    <row r="101" customHeight="1" spans="1:37">
      <c r="A101" s="130">
        <v>454348661</v>
      </c>
      <c r="B101" s="189" t="str">
        <f>_xlfn.XLOOKUP(A101,Sales!D:D,Sales!H:H)</f>
        <v>Petsmart</v>
      </c>
      <c r="C101" s="190">
        <f>SUMIFS(Sales!G:G,Sales!D:D,A101)</f>
        <v>13115.67</v>
      </c>
      <c r="D101" s="190">
        <f>SUMIFS(Sales!N:N,Sales!D:D,A101)</f>
        <v>8744.07</v>
      </c>
      <c r="E101" s="202">
        <f>SUMIF(Sales!D:D,A101,Sales!O:O)</f>
        <v>131</v>
      </c>
      <c r="F101" s="190">
        <f t="shared" si="20"/>
        <v>1254</v>
      </c>
      <c r="G101" s="192">
        <f>SUMIFS(Sales!R:R,Sales!D:D,A101)</f>
        <v>12.54</v>
      </c>
      <c r="H101" s="190">
        <v>10000</v>
      </c>
      <c r="I101" s="190">
        <f t="shared" si="21"/>
        <v>1844.11764705882</v>
      </c>
      <c r="J101" s="192">
        <v>0</v>
      </c>
      <c r="K101" s="190">
        <f t="shared" si="34"/>
        <v>262.3134</v>
      </c>
      <c r="L101" s="190"/>
      <c r="M101" s="190"/>
      <c r="N101" s="190">
        <f t="shared" si="32"/>
        <v>524.6268</v>
      </c>
      <c r="O101" s="190">
        <f t="shared" si="25"/>
        <v>486.542152941177</v>
      </c>
      <c r="P101" s="190"/>
      <c r="Q101" s="193">
        <f>_xlfn.XLOOKUP(A101,Sales!D:D,Sales!K:K)</f>
        <v>46236</v>
      </c>
      <c r="R101" s="193">
        <v>46234</v>
      </c>
      <c r="S101" s="212" t="s">
        <v>502</v>
      </c>
      <c r="T101" s="195">
        <f t="shared" si="26"/>
        <v>-21985.7276470588</v>
      </c>
      <c r="U101" s="174">
        <f t="shared" si="30"/>
        <v>12853.3566</v>
      </c>
      <c r="V101" s="196">
        <f t="shared" si="35"/>
        <v>-9128.52764705883</v>
      </c>
      <c r="W101" s="196"/>
      <c r="X101" s="206"/>
      <c r="Y101" s="197">
        <f>SUMIF('Other pmt'!H:H,"*"&amp;S101&amp;"*",'Other pmt'!F:F)</f>
        <v>12857.2</v>
      </c>
      <c r="Z101" s="198" t="str">
        <f t="shared" si="31"/>
        <v>08</v>
      </c>
      <c r="AA101" s="198" t="str">
        <f>_xlfn.XLOOKUP("*"&amp;$S101&amp;"*",'Other pmt'!H$1:H$1126,'Other pmt'!D$1:D$1126,0,2)</f>
        <v>10/19/2026</v>
      </c>
      <c r="AB101" s="198">
        <f t="shared" ref="AB101:AB132" si="36">Y101-U101</f>
        <v>3.84340000000157</v>
      </c>
      <c r="AC101" s="199">
        <f t="shared" si="33"/>
        <v>0.000299019168269366</v>
      </c>
      <c r="AD101" s="198"/>
      <c r="AE101" s="200" t="e">
        <f>CHOOSE(MATCH($B101,{"Petco","PSP"},0),SUMIF('Petco Rec'!M:M,$S101,'Petco Rec'!E:E),SUMIF('PSP Rec'!B:B,$S101,'PSP Rec'!M:M))</f>
        <v>#N/A</v>
      </c>
      <c r="AF101" s="198"/>
      <c r="AG101" s="198"/>
      <c r="AH101" s="198"/>
      <c r="AI101" s="198"/>
      <c r="AJ101" s="198"/>
      <c r="AK101" s="198"/>
    </row>
    <row r="102" customHeight="1" spans="1:37">
      <c r="A102" s="130">
        <v>454348662</v>
      </c>
      <c r="B102" s="189" t="str">
        <f>_xlfn.XLOOKUP(A102,Sales!D:D,Sales!H:H)</f>
        <v>Petsmart</v>
      </c>
      <c r="C102" s="190">
        <f>SUMIFS(Sales!G:G,Sales!D:D,A102)</f>
        <v>45282.58</v>
      </c>
      <c r="D102" s="190">
        <f>SUMIFS(Sales!N:N,Sales!D:D,A102)</f>
        <v>27205.94</v>
      </c>
      <c r="E102" s="202">
        <f>SUMIF(Sales!D:D,A102,Sales!O:O)</f>
        <v>697</v>
      </c>
      <c r="F102" s="190">
        <f t="shared" si="20"/>
        <v>5711</v>
      </c>
      <c r="G102" s="192">
        <f>SUMIFS(Sales!R:R,Sales!D:D,A102)</f>
        <v>57.11</v>
      </c>
      <c r="H102" s="190">
        <v>10000</v>
      </c>
      <c r="I102" s="190">
        <f t="shared" si="21"/>
        <v>8398.5294117647</v>
      </c>
      <c r="J102" s="192">
        <v>0</v>
      </c>
      <c r="K102" s="190">
        <f t="shared" si="34"/>
        <v>905.6516</v>
      </c>
      <c r="L102" s="190"/>
      <c r="M102" s="190"/>
      <c r="N102" s="190">
        <f t="shared" si="32"/>
        <v>1811.3032</v>
      </c>
      <c r="O102" s="190">
        <f t="shared" si="25"/>
        <v>1250.15578823529</v>
      </c>
      <c r="P102" s="190"/>
      <c r="Q102" s="193">
        <f>_xlfn.XLOOKUP(A102,Sales!D:D,Sales!K:K)</f>
        <v>46236</v>
      </c>
      <c r="R102" s="193">
        <f>_xlfn.XLOOKUP(A102,Sales!D:D,Sales!L:L)</f>
        <v>46234</v>
      </c>
      <c r="S102" s="212" t="s">
        <v>503</v>
      </c>
      <c r="T102" s="195">
        <f t="shared" si="26"/>
        <v>-52069.5794117647</v>
      </c>
      <c r="U102" s="174">
        <f t="shared" si="30"/>
        <v>44376.9284</v>
      </c>
      <c r="V102" s="196">
        <f t="shared" si="35"/>
        <v>-7685.49941176471</v>
      </c>
      <c r="W102" s="196"/>
      <c r="X102" s="206"/>
      <c r="Y102" s="197">
        <f>SUMIF('Other pmt'!H:H,"*"&amp;S102&amp;"*",'Other pmt'!F:F)</f>
        <v>44384.08</v>
      </c>
      <c r="Z102" s="198" t="str">
        <f t="shared" si="31"/>
        <v>08</v>
      </c>
      <c r="AA102" s="198" t="str">
        <f>_xlfn.XLOOKUP("*"&amp;$S102&amp;"*",'Other pmt'!H$1:H$1126,'Other pmt'!D$1:D$1126,0,2)</f>
        <v>10/19/2026</v>
      </c>
      <c r="AB102" s="198">
        <f t="shared" si="36"/>
        <v>7.15160000000469</v>
      </c>
      <c r="AC102" s="199">
        <f t="shared" si="33"/>
        <v>0.000161155813569212</v>
      </c>
      <c r="AD102" s="198"/>
      <c r="AE102" s="200" t="e">
        <f>CHOOSE(MATCH($B102,{"Petco","PSP"},0),SUMIF('Petco Rec'!M:M,$S102,'Petco Rec'!E:E),SUMIF('PSP Rec'!B:B,$S102,'PSP Rec'!M:M))</f>
        <v>#N/A</v>
      </c>
      <c r="AF102" s="198"/>
      <c r="AG102" s="198"/>
      <c r="AH102" s="198"/>
      <c r="AI102" s="198"/>
      <c r="AJ102" s="198"/>
      <c r="AK102" s="198"/>
    </row>
    <row r="103" customHeight="1" spans="1:37">
      <c r="A103" s="130">
        <v>454348663</v>
      </c>
      <c r="B103" s="189" t="str">
        <f>_xlfn.XLOOKUP(A103,Sales!D:D,Sales!H:H)</f>
        <v>Petsmart</v>
      </c>
      <c r="C103" s="190">
        <f>SUMIFS(Sales!G:G,Sales!D:D,A103)</f>
        <v>32063.13</v>
      </c>
      <c r="D103" s="190">
        <f>SUMIFS(Sales!N:N,Sales!D:D,A103)</f>
        <v>16838.91</v>
      </c>
      <c r="E103" s="202">
        <f>SUMIF(Sales!D:D,A103,Sales!O:O)</f>
        <v>699</v>
      </c>
      <c r="F103" s="190">
        <f t="shared" si="20"/>
        <v>5173</v>
      </c>
      <c r="G103" s="192">
        <f>SUMIFS(Sales!R:R,Sales!D:D,A103)</f>
        <v>51.73</v>
      </c>
      <c r="H103" s="190">
        <v>10000</v>
      </c>
      <c r="I103" s="190">
        <f t="shared" si="21"/>
        <v>7607.35294117647</v>
      </c>
      <c r="J103" s="192">
        <v>0</v>
      </c>
      <c r="K103" s="190">
        <f t="shared" si="34"/>
        <v>641.2626</v>
      </c>
      <c r="L103" s="190"/>
      <c r="M103" s="190"/>
      <c r="N103" s="190">
        <f t="shared" si="32"/>
        <v>1282.5252</v>
      </c>
      <c r="O103" s="190">
        <f t="shared" si="25"/>
        <v>520.079258823532</v>
      </c>
      <c r="P103" s="190"/>
      <c r="Q103" s="193">
        <f>_xlfn.XLOOKUP(A103,Sales!D:D,Sales!K:K)</f>
        <v>46234</v>
      </c>
      <c r="R103" s="193">
        <f>_xlfn.XLOOKUP(A103,Sales!D:D,Sales!L:L)</f>
        <v>46230</v>
      </c>
      <c r="S103" s="212" t="s">
        <v>504</v>
      </c>
      <c r="T103" s="195">
        <f t="shared" si="26"/>
        <v>-40369.9929411765</v>
      </c>
      <c r="U103" s="174">
        <f t="shared" si="30"/>
        <v>31421.8674</v>
      </c>
      <c r="V103" s="196">
        <f t="shared" si="35"/>
        <v>-8947.99294117647</v>
      </c>
      <c r="W103" s="196"/>
      <c r="X103" s="206"/>
      <c r="Y103" s="197">
        <f>SUMIF('Other pmt'!H:H,"*"&amp;S103&amp;"*",'Other pmt'!F:F)</f>
        <v>31422</v>
      </c>
      <c r="Z103" s="198" t="str">
        <f t="shared" si="31"/>
        <v>07</v>
      </c>
      <c r="AA103" s="198" t="str">
        <f>_xlfn.XLOOKUP("*"&amp;$S103&amp;"*",'Other pmt'!H$1:H$1126,'Other pmt'!D$1:D$1126,0,2)</f>
        <v>10/19/2026</v>
      </c>
      <c r="AB103" s="198">
        <f t="shared" si="36"/>
        <v>0.132599999997183</v>
      </c>
      <c r="AC103" s="199">
        <f t="shared" si="33"/>
        <v>4.21999107529754e-6</v>
      </c>
      <c r="AD103" s="198"/>
      <c r="AE103" s="200" t="e">
        <f>CHOOSE(MATCH($B103,{"Petco","PSP"},0),SUMIF('Petco Rec'!M:M,$S103,'Petco Rec'!E:E),SUMIF('PSP Rec'!B:B,$S103,'PSP Rec'!M:M))</f>
        <v>#N/A</v>
      </c>
      <c r="AF103" s="198"/>
      <c r="AG103" s="198"/>
      <c r="AH103" s="198"/>
      <c r="AI103" s="198"/>
      <c r="AJ103" s="198"/>
      <c r="AK103" s="198"/>
    </row>
    <row r="104" customHeight="1" spans="1:37">
      <c r="A104" s="130">
        <v>454348664</v>
      </c>
      <c r="B104" s="189" t="str">
        <f>_xlfn.XLOOKUP(A104,Sales!D:D,Sales!H:H)</f>
        <v>Petsmart</v>
      </c>
      <c r="C104" s="190">
        <f>SUMIFS(Sales!G:G,Sales!D:D,A104)</f>
        <v>27588.24</v>
      </c>
      <c r="D104" s="190">
        <f>SUMIFS(Sales!N:N,Sales!D:D,A104)</f>
        <v>18446.4</v>
      </c>
      <c r="E104" s="202">
        <f>SUMIF(Sales!D:D,A104,Sales!O:O)</f>
        <v>281</v>
      </c>
      <c r="F104" s="190">
        <f t="shared" si="20"/>
        <v>2656</v>
      </c>
      <c r="G104" s="192">
        <f>SUMIFS(Sales!R:R,Sales!D:D,A104)</f>
        <v>26.56</v>
      </c>
      <c r="H104" s="190">
        <v>10000</v>
      </c>
      <c r="I104" s="190">
        <f t="shared" si="21"/>
        <v>3905.88235294118</v>
      </c>
      <c r="J104" s="192">
        <v>0</v>
      </c>
      <c r="K104" s="190">
        <f t="shared" si="34"/>
        <v>551.7648</v>
      </c>
      <c r="L104" s="190"/>
      <c r="M104" s="190"/>
      <c r="N104" s="190">
        <f t="shared" si="32"/>
        <v>1103.5296</v>
      </c>
      <c r="O104" s="190">
        <f t="shared" si="25"/>
        <v>924.66324705882</v>
      </c>
      <c r="P104" s="190"/>
      <c r="Q104" s="193">
        <f>_xlfn.XLOOKUP(A104,Sales!D:D,Sales!K:K)</f>
        <v>46234</v>
      </c>
      <c r="R104" s="193">
        <f>_xlfn.XLOOKUP(A104,Sales!D:D,Sales!L:L)</f>
        <v>46233</v>
      </c>
      <c r="S104" s="212" t="s">
        <v>505</v>
      </c>
      <c r="T104" s="195">
        <f t="shared" si="26"/>
        <v>-35315.8423529412</v>
      </c>
      <c r="U104" s="174">
        <f t="shared" si="30"/>
        <v>27036.4752</v>
      </c>
      <c r="V104" s="196">
        <f t="shared" si="35"/>
        <v>-8270.42235294118</v>
      </c>
      <c r="W104" s="196"/>
      <c r="X104" s="206"/>
      <c r="Y104" s="197">
        <f>SUMIF('Other pmt'!H:H,"*"&amp;S104&amp;"*",'Other pmt'!F:F)</f>
        <v>27045.42</v>
      </c>
      <c r="Z104" s="198" t="str">
        <f t="shared" si="31"/>
        <v>07</v>
      </c>
      <c r="AA104" s="198" t="str">
        <f>_xlfn.XLOOKUP("*"&amp;$S104&amp;"*",'Other pmt'!H$1:H$1126,'Other pmt'!D$1:D$1126,0,2)</f>
        <v>10/19/2026</v>
      </c>
      <c r="AB104" s="198">
        <f t="shared" si="36"/>
        <v>8.94480000000112</v>
      </c>
      <c r="AC104" s="199">
        <f t="shared" si="33"/>
        <v>0.000330841943479419</v>
      </c>
      <c r="AD104" s="198"/>
      <c r="AE104" s="200" t="e">
        <f>CHOOSE(MATCH($B104,{"Petco","PSP"},0),SUMIF('Petco Rec'!M:M,$S104,'Petco Rec'!E:E),SUMIF('PSP Rec'!B:B,$S104,'PSP Rec'!M:M))</f>
        <v>#N/A</v>
      </c>
      <c r="AF104" s="198"/>
      <c r="AG104" s="198"/>
      <c r="AH104" s="198"/>
      <c r="AI104" s="198"/>
      <c r="AJ104" s="198"/>
      <c r="AK104" s="198"/>
    </row>
    <row r="105" customHeight="1" spans="1:37">
      <c r="A105" s="130">
        <v>454348665</v>
      </c>
      <c r="B105" s="189" t="str">
        <f>_xlfn.XLOOKUP(A105,Sales!D:D,Sales!H:H)</f>
        <v>Petsmart</v>
      </c>
      <c r="C105" s="190">
        <f>SUMIFS(Sales!G:G,Sales!D:D,A105)</f>
        <v>29035.71</v>
      </c>
      <c r="D105" s="190">
        <f>SUMIFS(Sales!N:N,Sales!D:D,A105)</f>
        <v>15248.97</v>
      </c>
      <c r="E105" s="202">
        <f>SUMIF(Sales!D:D,A105,Sales!O:O)</f>
        <v>633</v>
      </c>
      <c r="F105" s="190">
        <f t="shared" si="20"/>
        <v>4684</v>
      </c>
      <c r="G105" s="192">
        <f>SUMIFS(Sales!R:R,Sales!D:D,A105)</f>
        <v>46.84</v>
      </c>
      <c r="H105" s="190">
        <v>10000</v>
      </c>
      <c r="I105" s="190">
        <f t="shared" si="21"/>
        <v>6888.23529411765</v>
      </c>
      <c r="J105" s="192">
        <v>0</v>
      </c>
      <c r="K105" s="190">
        <f t="shared" si="34"/>
        <v>580.7142</v>
      </c>
      <c r="L105" s="190"/>
      <c r="M105" s="190"/>
      <c r="N105" s="190">
        <f t="shared" si="32"/>
        <v>1161.4284</v>
      </c>
      <c r="O105" s="190">
        <f t="shared" si="25"/>
        <v>472.362105882352</v>
      </c>
      <c r="P105" s="190"/>
      <c r="Q105" s="193">
        <f>_xlfn.XLOOKUP(A105,Sales!D:D,Sales!K:K)</f>
        <v>46235</v>
      </c>
      <c r="R105" s="193">
        <f>_xlfn.XLOOKUP(A105,Sales!D:D,Sales!L:L)</f>
        <v>46230</v>
      </c>
      <c r="S105" s="212" t="s">
        <v>506</v>
      </c>
      <c r="T105" s="195">
        <f t="shared" si="26"/>
        <v>-37501.0452941176</v>
      </c>
      <c r="U105" s="174">
        <f t="shared" si="30"/>
        <v>28454.9958</v>
      </c>
      <c r="V105" s="196">
        <f t="shared" si="35"/>
        <v>-9045.92529411765</v>
      </c>
      <c r="W105" s="196"/>
      <c r="X105" s="206"/>
      <c r="Y105" s="197">
        <f>SUMIF('Other pmt'!H:H,"*"&amp;S105&amp;"*",'Other pmt'!F:F)</f>
        <v>28455.12</v>
      </c>
      <c r="Z105" s="198" t="str">
        <f t="shared" si="31"/>
        <v>07</v>
      </c>
      <c r="AA105" s="198" t="str">
        <f>_xlfn.XLOOKUP("*"&amp;$S105&amp;"*",'Other pmt'!H$1:H$1126,'Other pmt'!D$1:D$1126,0,2)</f>
        <v>10/19/2026</v>
      </c>
      <c r="AB105" s="198">
        <f t="shared" si="36"/>
        <v>0.124199999998382</v>
      </c>
      <c r="AC105" s="199">
        <f t="shared" si="33"/>
        <v>4.36478714920006e-6</v>
      </c>
      <c r="AD105" s="198"/>
      <c r="AE105" s="200" t="e">
        <f>CHOOSE(MATCH($B105,{"Petco","PSP"},0),SUMIF('Petco Rec'!M:M,$S105,'Petco Rec'!E:E),SUMIF('PSP Rec'!B:B,$S105,'PSP Rec'!M:M))</f>
        <v>#N/A</v>
      </c>
      <c r="AF105" s="198"/>
      <c r="AG105" s="198"/>
      <c r="AH105" s="198"/>
      <c r="AI105" s="198"/>
      <c r="AJ105" s="198"/>
      <c r="AK105" s="198"/>
    </row>
    <row r="106" customHeight="1" spans="1:37">
      <c r="A106" s="130">
        <v>454348666</v>
      </c>
      <c r="B106" s="189" t="str">
        <f>_xlfn.XLOOKUP(A106,Sales!D:D,Sales!H:H)</f>
        <v>Petsmart</v>
      </c>
      <c r="C106" s="190">
        <f>SUMIFS(Sales!G:G,Sales!D:D,A106)</f>
        <v>27588.24</v>
      </c>
      <c r="D106" s="190">
        <f>SUMIFS(Sales!N:N,Sales!D:D,A106)</f>
        <v>18446.4</v>
      </c>
      <c r="E106" s="202">
        <f>SUMIF(Sales!D:D,A106,Sales!O:O)</f>
        <v>281</v>
      </c>
      <c r="F106" s="190">
        <f t="shared" si="20"/>
        <v>2656</v>
      </c>
      <c r="G106" s="192">
        <f>SUMIFS(Sales!R:R,Sales!D:D,A106)</f>
        <v>26.56</v>
      </c>
      <c r="H106" s="190">
        <v>10000</v>
      </c>
      <c r="I106" s="190">
        <f t="shared" si="21"/>
        <v>3905.88235294118</v>
      </c>
      <c r="J106" s="192">
        <v>0</v>
      </c>
      <c r="K106" s="190">
        <f t="shared" si="34"/>
        <v>551.7648</v>
      </c>
      <c r="L106" s="190"/>
      <c r="M106" s="190"/>
      <c r="N106" s="190">
        <f t="shared" si="32"/>
        <v>1103.5296</v>
      </c>
      <c r="O106" s="190">
        <f t="shared" si="25"/>
        <v>924.66324705882</v>
      </c>
      <c r="P106" s="190"/>
      <c r="Q106" s="193">
        <f>_xlfn.XLOOKUP(A106,Sales!D:D,Sales!K:K)</f>
        <v>46235</v>
      </c>
      <c r="R106" s="193">
        <f>_xlfn.XLOOKUP(A106,Sales!D:D,Sales!L:L)</f>
        <v>46239</v>
      </c>
      <c r="S106" s="212" t="s">
        <v>507</v>
      </c>
      <c r="T106" s="195">
        <f t="shared" si="26"/>
        <v>-35315.8423529412</v>
      </c>
      <c r="U106" s="174">
        <f t="shared" si="30"/>
        <v>27036.4752</v>
      </c>
      <c r="V106" s="196">
        <f t="shared" si="35"/>
        <v>-8270.42235294118</v>
      </c>
      <c r="W106" s="196"/>
      <c r="X106" s="206"/>
      <c r="Y106" s="197">
        <f>SUMIF('Other pmt'!H:H,"*"&amp;S106&amp;"*",'Other pmt'!F:F)</f>
        <v>27045.42</v>
      </c>
      <c r="Z106" s="198" t="str">
        <f t="shared" si="31"/>
        <v>08</v>
      </c>
      <c r="AA106" s="198" t="str">
        <f>_xlfn.XLOOKUP("*"&amp;$S106&amp;"*",'Other pmt'!H$1:H$1126,'Other pmt'!D$1:D$1126,0,2)</f>
        <v>10/19/2026</v>
      </c>
      <c r="AB106" s="198">
        <f t="shared" si="36"/>
        <v>8.94480000000112</v>
      </c>
      <c r="AC106" s="199">
        <f t="shared" si="33"/>
        <v>0.000330841943479419</v>
      </c>
      <c r="AD106" s="198"/>
      <c r="AE106" s="200" t="e">
        <f>CHOOSE(MATCH($B106,{"Petco","PSP"},0),SUMIF('Petco Rec'!M:M,$S106,'Petco Rec'!E:E),SUMIF('PSP Rec'!B:B,$S106,'PSP Rec'!M:M))</f>
        <v>#N/A</v>
      </c>
      <c r="AF106" s="198"/>
      <c r="AG106" s="198"/>
      <c r="AH106" s="198"/>
      <c r="AI106" s="198"/>
      <c r="AJ106" s="198"/>
      <c r="AK106" s="198"/>
    </row>
    <row r="107" customHeight="1" spans="1:37">
      <c r="A107" s="130">
        <v>454348667</v>
      </c>
      <c r="B107" s="189" t="str">
        <f>_xlfn.XLOOKUP(A107,Sales!D:D,Sales!H:H)</f>
        <v>Petsmart</v>
      </c>
      <c r="C107" s="190">
        <f>SUMIFS(Sales!G:G,Sales!D:D,A107)</f>
        <v>12682.23</v>
      </c>
      <c r="D107" s="190">
        <f>SUMIFS(Sales!N:N,Sales!D:D,A107)</f>
        <v>8480.55</v>
      </c>
      <c r="E107" s="202">
        <f>SUMIF(Sales!D:D,A107,Sales!O:O)</f>
        <v>128</v>
      </c>
      <c r="F107" s="190">
        <f t="shared" si="20"/>
        <v>1221</v>
      </c>
      <c r="G107" s="192">
        <f>SUMIFS(Sales!R:R,Sales!D:D,A107)</f>
        <v>12.21</v>
      </c>
      <c r="H107" s="190">
        <v>10000</v>
      </c>
      <c r="I107" s="190">
        <f t="shared" si="21"/>
        <v>1795.58823529412</v>
      </c>
      <c r="J107" s="192">
        <v>0</v>
      </c>
      <c r="K107" s="190">
        <f t="shared" si="34"/>
        <v>253.6446</v>
      </c>
      <c r="L107" s="190"/>
      <c r="M107" s="190"/>
      <c r="N107" s="190">
        <f t="shared" si="32"/>
        <v>507.2892</v>
      </c>
      <c r="O107" s="190">
        <f t="shared" si="25"/>
        <v>424.157964705885</v>
      </c>
      <c r="P107" s="190"/>
      <c r="Q107" s="193">
        <f>_xlfn.XLOOKUP(A107,Sales!D:D,Sales!K:K)</f>
        <v>46235</v>
      </c>
      <c r="R107" s="193">
        <f>_xlfn.XLOOKUP(A107,Sales!D:D,Sales!L:L)</f>
        <v>46239</v>
      </c>
      <c r="S107" s="212" t="s">
        <v>508</v>
      </c>
      <c r="T107" s="195">
        <f t="shared" si="26"/>
        <v>-21637.3482352941</v>
      </c>
      <c r="U107" s="174">
        <f t="shared" si="30"/>
        <v>12428.5854</v>
      </c>
      <c r="V107" s="196">
        <f t="shared" si="35"/>
        <v>-9204.50823529412</v>
      </c>
      <c r="W107" s="196"/>
      <c r="X107" s="206"/>
      <c r="Y107" s="197">
        <f>SUMIF('Other pmt'!H:H,"*"&amp;S107&amp;"*",'Other pmt'!F:F)</f>
        <v>12432.84</v>
      </c>
      <c r="Z107" s="198" t="str">
        <f t="shared" si="31"/>
        <v>08</v>
      </c>
      <c r="AA107" s="198" t="str">
        <f>_xlfn.XLOOKUP("*"&amp;$S107&amp;"*",'Other pmt'!H$1:H$1126,'Other pmt'!D$1:D$1126,0,2)</f>
        <v>10/19/2026</v>
      </c>
      <c r="AB107" s="198">
        <f t="shared" si="36"/>
        <v>4.25459999999839</v>
      </c>
      <c r="AC107" s="199">
        <f t="shared" si="33"/>
        <v>0.000342323753111789</v>
      </c>
      <c r="AD107" s="198"/>
      <c r="AE107" s="200" t="e">
        <f>CHOOSE(MATCH($B107,{"Petco","PSP"},0),SUMIF('Petco Rec'!M:M,$S107,'Petco Rec'!E:E),SUMIF('PSP Rec'!B:B,$S107,'PSP Rec'!M:M))</f>
        <v>#N/A</v>
      </c>
      <c r="AF107" s="198"/>
      <c r="AG107" s="198"/>
      <c r="AH107" s="198"/>
      <c r="AI107" s="198"/>
      <c r="AJ107" s="198"/>
      <c r="AK107" s="198"/>
    </row>
    <row r="108" customHeight="1" spans="1:37">
      <c r="A108" s="130" t="s">
        <v>355</v>
      </c>
      <c r="B108" s="189" t="str">
        <f>_xlfn.XLOOKUP(A108,Sales!D:D,Sales!H:H)</f>
        <v>PSP</v>
      </c>
      <c r="C108" s="190">
        <f>SUMIFS(Sales!G:G,Sales!D:D,A108)</f>
        <v>1654.4</v>
      </c>
      <c r="D108" s="190">
        <f>SUMIFS(Sales!N:N,Sales!D:D,A108)</f>
        <v>800.42</v>
      </c>
      <c r="E108" s="202">
        <f>SUMIF(Sales!D:D,A108,Sales!O:O)</f>
        <v>18</v>
      </c>
      <c r="F108" s="190">
        <f t="shared" si="20"/>
        <v>241</v>
      </c>
      <c r="G108" s="192">
        <f>SUMIFS(Sales!R:R,Sales!D:D,A108)</f>
        <v>2.41</v>
      </c>
      <c r="H108" s="190">
        <v>10000</v>
      </c>
      <c r="I108" s="190">
        <f t="shared" si="21"/>
        <v>354.411764705882</v>
      </c>
      <c r="J108" s="192">
        <v>852.22</v>
      </c>
      <c r="K108" s="190">
        <f t="shared" si="34"/>
        <v>82.72</v>
      </c>
      <c r="L108" s="190"/>
      <c r="M108" s="190"/>
      <c r="N108" s="190">
        <f t="shared" si="32"/>
        <v>66.176</v>
      </c>
      <c r="O108" s="190">
        <f t="shared" si="25"/>
        <v>-742.547764705883</v>
      </c>
      <c r="P108" s="190"/>
      <c r="Q108" s="193">
        <f>_xlfn.XLOOKUP(A108,Sales!D:D,Sales!K:K)</f>
        <v>46251</v>
      </c>
      <c r="R108" s="193">
        <f>_xlfn.XLOOKUP(A108,Sales!D:D,Sales!L:L)</f>
        <v>46241</v>
      </c>
      <c r="S108" s="212" t="s">
        <v>509</v>
      </c>
      <c r="T108" s="195">
        <f t="shared" si="26"/>
        <v>-12268.4617647059</v>
      </c>
      <c r="U108" s="174">
        <f t="shared" si="30"/>
        <v>1571.68</v>
      </c>
      <c r="V108" s="196">
        <f t="shared" si="35"/>
        <v>-10700.9217647059</v>
      </c>
      <c r="W108" s="196"/>
      <c r="X108" s="206"/>
      <c r="Y108" s="197">
        <f>SUMIF('Other pmt'!H:H,"*"&amp;S108&amp;"*",'Other pmt'!F:F)</f>
        <v>1567.54</v>
      </c>
      <c r="Z108" s="198" t="str">
        <f t="shared" si="31"/>
        <v>08</v>
      </c>
      <c r="AA108" s="198" t="str">
        <f>_xlfn.XLOOKUP("*"&amp;$S108&amp;"*",'Other pmt'!H$1:H$1126,'Other pmt'!D$1:D$1126,0,2)</f>
        <v>09/22/2026</v>
      </c>
      <c r="AB108" s="198">
        <f t="shared" si="36"/>
        <v>-4.1400000000001</v>
      </c>
      <c r="AC108" s="199">
        <f t="shared" si="33"/>
        <v>-0.00263412399470636</v>
      </c>
      <c r="AD108" s="198"/>
      <c r="AE108" s="200">
        <f>CHOOSE(MATCH($B108,{"Petco","PSP"},0),SUMIF('Petco Rec'!M:M,$S108,'Petco Rec'!E:E),SUMIF('PSP Rec'!B:B,$S108,'PSP Rec'!M:M))</f>
        <v>1567.54</v>
      </c>
      <c r="AF108" s="198"/>
      <c r="AG108" s="198"/>
      <c r="AH108" s="198"/>
      <c r="AI108" s="198"/>
      <c r="AJ108" s="198"/>
      <c r="AK108" s="198"/>
    </row>
    <row r="109" customHeight="1" spans="1:37">
      <c r="A109" s="130" t="s">
        <v>356</v>
      </c>
      <c r="B109" s="189" t="str">
        <f>_xlfn.XLOOKUP(A109,Sales!D:D,Sales!H:H)</f>
        <v>PSP</v>
      </c>
      <c r="C109" s="190">
        <f>SUMIFS(Sales!G:G,Sales!D:D,A109)</f>
        <v>380.28</v>
      </c>
      <c r="D109" s="190">
        <f>SUMIFS(Sales!N:N,Sales!D:D,A109)</f>
        <v>188.98</v>
      </c>
      <c r="E109" s="202">
        <f>SUMIF(Sales!D:D,A109,Sales!O:O)</f>
        <v>5</v>
      </c>
      <c r="F109" s="190">
        <f t="shared" si="20"/>
        <v>56</v>
      </c>
      <c r="G109" s="192">
        <f>SUMIFS(Sales!R:R,Sales!D:D,A109)</f>
        <v>0.56</v>
      </c>
      <c r="H109" s="190">
        <v>10000</v>
      </c>
      <c r="I109" s="190">
        <f t="shared" si="21"/>
        <v>82.3529411764706</v>
      </c>
      <c r="J109" s="192">
        <f>860.24/(E109+E110)*E109</f>
        <v>215.06</v>
      </c>
      <c r="K109" s="190">
        <f t="shared" si="34"/>
        <v>19.014</v>
      </c>
      <c r="L109" s="190"/>
      <c r="M109" s="190"/>
      <c r="N109" s="190">
        <f t="shared" si="32"/>
        <v>15.2112</v>
      </c>
      <c r="O109" s="190">
        <f t="shared" si="25"/>
        <v>-196.338141176471</v>
      </c>
      <c r="P109" s="190"/>
      <c r="Q109" s="193">
        <f>_xlfn.XLOOKUP(A109,Sales!D:D,Sales!K:K)</f>
        <v>46251</v>
      </c>
      <c r="R109" s="193">
        <f>_xlfn.XLOOKUP(A109,Sales!D:D,Sales!L:L)</f>
        <v>46241</v>
      </c>
      <c r="S109" s="212" t="s">
        <v>510</v>
      </c>
      <c r="T109" s="195">
        <f t="shared" si="26"/>
        <v>-10547.9529411765</v>
      </c>
      <c r="U109" s="174">
        <f t="shared" si="30"/>
        <v>361.266</v>
      </c>
      <c r="V109" s="196">
        <f t="shared" si="35"/>
        <v>-10187.6429411765</v>
      </c>
      <c r="W109" s="196"/>
      <c r="X109" s="206"/>
      <c r="Y109" s="197">
        <f>SUMIF('Other pmt'!H:H,"*"&amp;S109&amp;"*",'Other pmt'!F:F)</f>
        <v>360.31</v>
      </c>
      <c r="Z109" s="198" t="str">
        <f t="shared" si="31"/>
        <v>08</v>
      </c>
      <c r="AA109" s="198" t="str">
        <f>_xlfn.XLOOKUP("*"&amp;$S109&amp;"*",'Other pmt'!H$1:H$1126,'Other pmt'!D$1:D$1126,0,2)</f>
        <v>09/22/2026</v>
      </c>
      <c r="AB109" s="198">
        <f t="shared" si="36"/>
        <v>-0.95599999999996</v>
      </c>
      <c r="AC109" s="199">
        <f t="shared" si="33"/>
        <v>-0.00264624957787326</v>
      </c>
      <c r="AD109" s="198"/>
      <c r="AE109" s="200">
        <f>CHOOSE(MATCH($B109,{"Petco","PSP"},0),SUMIF('Petco Rec'!M:M,$S109,'Petco Rec'!E:E),SUMIF('PSP Rec'!B:B,$S109,'PSP Rec'!M:M))</f>
        <v>360.31</v>
      </c>
      <c r="AF109" s="198"/>
      <c r="AG109" s="198"/>
      <c r="AH109" s="198"/>
      <c r="AI109" s="198"/>
      <c r="AJ109" s="198"/>
      <c r="AK109" s="198"/>
    </row>
    <row r="110" customFormat="1" customHeight="1" spans="1:37">
      <c r="A110" s="130" t="s">
        <v>358</v>
      </c>
      <c r="B110" s="189" t="str">
        <f>_xlfn.XLOOKUP(A110,Sales!D:D,Sales!H:H)</f>
        <v>PSP</v>
      </c>
      <c r="C110" s="190">
        <f>SUMIFS(Sales!G:G,Sales!D:D,A110)</f>
        <v>1564.8</v>
      </c>
      <c r="D110" s="190">
        <f>SUMIFS(Sales!N:N,Sales!D:D,A110)</f>
        <v>787.2</v>
      </c>
      <c r="E110" s="202">
        <f>SUMIF(Sales!D:D,A110,Sales!O:O)</f>
        <v>15</v>
      </c>
      <c r="F110" s="190">
        <f t="shared" si="20"/>
        <v>165</v>
      </c>
      <c r="G110" s="192">
        <f>SUMIFS(Sales!R:R,Sales!D:D,A110)</f>
        <v>1.65</v>
      </c>
      <c r="H110" s="190">
        <v>10000</v>
      </c>
      <c r="I110" s="190">
        <f t="shared" si="21"/>
        <v>242.647058823529</v>
      </c>
      <c r="J110" s="192">
        <f>860.24/(E110+E109)*E110</f>
        <v>645.18</v>
      </c>
      <c r="K110" s="190">
        <f t="shared" si="34"/>
        <v>78.24</v>
      </c>
      <c r="L110" s="190"/>
      <c r="M110" s="190"/>
      <c r="N110" s="190">
        <f t="shared" si="32"/>
        <v>62.592</v>
      </c>
      <c r="O110" s="190">
        <f t="shared" si="25"/>
        <v>-416.05905882353</v>
      </c>
      <c r="P110" s="190"/>
      <c r="Q110" s="193">
        <f>_xlfn.XLOOKUP(A110,Sales!D:D,Sales!K:K)</f>
        <v>46262</v>
      </c>
      <c r="R110" s="193">
        <f>_xlfn.XLOOKUP(A110,Sales!D:D,Sales!L:L)</f>
        <v>46246</v>
      </c>
      <c r="S110" s="212" t="s">
        <v>511</v>
      </c>
      <c r="T110" s="195">
        <f t="shared" si="26"/>
        <v>-11856.6770588235</v>
      </c>
      <c r="U110" s="174">
        <f t="shared" si="30"/>
        <v>1486.56</v>
      </c>
      <c r="V110" s="196">
        <f t="shared" si="35"/>
        <v>-10411.0970588235</v>
      </c>
      <c r="W110" s="196"/>
      <c r="X110" s="206"/>
      <c r="Y110" s="197">
        <f>SUMIF('Other pmt'!H:H,"*"&amp;S110&amp;"*",'Other pmt'!F:F)</f>
        <v>1445.58</v>
      </c>
      <c r="Z110" s="198" t="str">
        <f t="shared" si="31"/>
        <v>08</v>
      </c>
      <c r="AA110" s="198" t="str">
        <f>_xlfn.XLOOKUP("*"&amp;$S110&amp;"*",'Other pmt'!H$1:H$1126,'Other pmt'!D$1:D$1126,0,2)</f>
        <v>09/22/2026</v>
      </c>
      <c r="AB110" s="198">
        <f t="shared" si="36"/>
        <v>-40.98</v>
      </c>
      <c r="AC110" s="199">
        <f t="shared" si="33"/>
        <v>-0.0275670003228931</v>
      </c>
      <c r="AD110" s="198"/>
      <c r="AE110" s="200">
        <f>CHOOSE(MATCH($B110,{"Petco","PSP"},0),SUMIF('Petco Rec'!M:M,$S110,'Petco Rec'!E:E),SUMIF('PSP Rec'!B:B,$S110,'PSP Rec'!M:M))</f>
        <v>1445.58</v>
      </c>
      <c r="AF110" s="198"/>
      <c r="AG110" s="198"/>
      <c r="AH110" s="198"/>
      <c r="AI110" s="198"/>
      <c r="AJ110" s="198"/>
      <c r="AK110" s="198"/>
    </row>
    <row r="111" customFormat="1" customHeight="1" spans="1:37">
      <c r="A111" s="130" t="s">
        <v>362</v>
      </c>
      <c r="B111" s="189" t="str">
        <f>_xlfn.XLOOKUP(A111,Sales!D:D,Sales!H:H)</f>
        <v>PSP</v>
      </c>
      <c r="C111" s="190">
        <f>SUMIFS(Sales!G:G,Sales!D:D,A111)</f>
        <v>10658.88</v>
      </c>
      <c r="D111" s="190">
        <f>SUMIFS(Sales!N:N,Sales!D:D,A111)</f>
        <v>5193.4</v>
      </c>
      <c r="E111" s="202">
        <f>SUMIF(Sales!D:D,A111,Sales!O:O)</f>
        <v>163</v>
      </c>
      <c r="F111" s="190">
        <f t="shared" si="20"/>
        <v>1571</v>
      </c>
      <c r="G111" s="192">
        <f>SUMIFS(Sales!R:R,Sales!D:D,A111)</f>
        <v>15.71</v>
      </c>
      <c r="H111" s="190">
        <v>10000</v>
      </c>
      <c r="I111" s="190">
        <f t="shared" si="21"/>
        <v>2310.29411764706</v>
      </c>
      <c r="J111" s="192">
        <v>3735.1</v>
      </c>
      <c r="K111" s="190">
        <f t="shared" si="34"/>
        <v>532.944</v>
      </c>
      <c r="L111" s="190"/>
      <c r="M111" s="190"/>
      <c r="N111" s="190">
        <f t="shared" si="32"/>
        <v>426.3552</v>
      </c>
      <c r="O111" s="190">
        <f t="shared" si="25"/>
        <v>-3110.21331764706</v>
      </c>
      <c r="P111" s="190"/>
      <c r="Q111" s="193">
        <f>_xlfn.XLOOKUP(A111,Sales!D:D,Sales!K:K)</f>
        <v>46273</v>
      </c>
      <c r="R111" s="193">
        <f>_xlfn.XLOOKUP(A111,Sales!D:D,Sales!L:L)</f>
        <v>46259</v>
      </c>
      <c r="S111" s="232" t="s">
        <v>512</v>
      </c>
      <c r="T111" s="195">
        <f t="shared" si="26"/>
        <v>-22988.5041176471</v>
      </c>
      <c r="U111" s="174">
        <f t="shared" si="30"/>
        <v>10125.936</v>
      </c>
      <c r="V111" s="196">
        <f t="shared" si="35"/>
        <v>-13141.6841176471</v>
      </c>
      <c r="W111" s="196"/>
      <c r="X111" s="206"/>
      <c r="Y111" s="197">
        <f>SUMIF('Other pmt'!H:H,"*"&amp;S111&amp;"*",'Other pmt'!F:F)</f>
        <v>9846.82</v>
      </c>
      <c r="Z111" s="198" t="str">
        <f t="shared" si="31"/>
        <v>08</v>
      </c>
      <c r="AA111" s="198" t="str">
        <f>_xlfn.XLOOKUP("*"&amp;$S111&amp;"*",'Other pmt'!H$1:H$1126,'Other pmt'!D$1:D$1126,0,2)</f>
        <v>09/22/2026</v>
      </c>
      <c r="AB111" s="198">
        <f t="shared" si="36"/>
        <v>-279.116000000002</v>
      </c>
      <c r="AC111" s="199">
        <f t="shared" si="33"/>
        <v>-0.0275644641641031</v>
      </c>
      <c r="AD111" s="198"/>
      <c r="AE111" s="200">
        <f>CHOOSE(MATCH($B111,{"Petco","PSP"},0),SUMIF('Petco Rec'!M:M,$S111,'Petco Rec'!E:E),SUMIF('PSP Rec'!B:B,$S111,'PSP Rec'!M:M))</f>
        <v>9846.82</v>
      </c>
      <c r="AF111" s="198"/>
      <c r="AG111" s="198"/>
      <c r="AH111" s="198"/>
      <c r="AI111" s="198"/>
      <c r="AJ111" s="198"/>
      <c r="AK111" s="198"/>
    </row>
    <row r="112" customFormat="1" customHeight="1" spans="1:37">
      <c r="A112" s="130" t="s">
        <v>363</v>
      </c>
      <c r="B112" s="189" t="str">
        <f>_xlfn.XLOOKUP(A112,Sales!D:D,Sales!H:H)</f>
        <v>PSP</v>
      </c>
      <c r="C112" s="190">
        <f>SUMIFS(Sales!G:G,Sales!D:D,A112)</f>
        <v>2074.64</v>
      </c>
      <c r="D112" s="190">
        <f>SUMIFS(Sales!N:N,Sales!D:D,A112)</f>
        <v>1041.12</v>
      </c>
      <c r="E112" s="202">
        <f>SUMIF(Sales!D:D,A112,Sales!O:O)</f>
        <v>27</v>
      </c>
      <c r="F112" s="190">
        <f t="shared" si="20"/>
        <v>301</v>
      </c>
      <c r="G112" s="192">
        <f>SUMIFS(Sales!R:R,Sales!D:D,A112)</f>
        <v>3.01</v>
      </c>
      <c r="H112" s="190">
        <v>10000</v>
      </c>
      <c r="I112" s="190">
        <f t="shared" si="21"/>
        <v>442.647058823529</v>
      </c>
      <c r="J112" s="192">
        <f>4586.6/(E112+E113)*E112</f>
        <v>809.4</v>
      </c>
      <c r="K112" s="190">
        <f t="shared" si="34"/>
        <v>103.732</v>
      </c>
      <c r="L112" s="190"/>
      <c r="M112" s="190"/>
      <c r="N112" s="190">
        <f t="shared" si="32"/>
        <v>82.9856</v>
      </c>
      <c r="O112" s="190">
        <f t="shared" si="25"/>
        <v>-706.244658823529</v>
      </c>
      <c r="P112" s="190"/>
      <c r="Q112" s="193">
        <f>_xlfn.XLOOKUP(A112,Sales!D:D,Sales!K:K)</f>
        <v>46273</v>
      </c>
      <c r="R112" s="193">
        <f>_xlfn.XLOOKUP(A112,Sales!D:D,Sales!L:L)</f>
        <v>46260</v>
      </c>
      <c r="S112" s="212" t="s">
        <v>513</v>
      </c>
      <c r="T112" s="195">
        <f t="shared" si="26"/>
        <v>-12624.1770588235</v>
      </c>
      <c r="U112" s="174">
        <f t="shared" si="30"/>
        <v>1970.908</v>
      </c>
      <c r="V112" s="196">
        <f t="shared" si="35"/>
        <v>-10707.5970588235</v>
      </c>
      <c r="W112" s="196"/>
      <c r="X112" s="206"/>
      <c r="Y112" s="197">
        <f>SUMIF('Other pmt'!H:H,"*"&amp;S112&amp;"*",'Other pmt'!F:F)</f>
        <v>1916.58</v>
      </c>
      <c r="Z112" s="198" t="str">
        <f t="shared" si="31"/>
        <v>08</v>
      </c>
      <c r="AA112" s="198" t="str">
        <f>_xlfn.XLOOKUP("*"&amp;$S112&amp;"*",'Other pmt'!H$1:H$1126,'Other pmt'!D$1:D$1126,0,2)</f>
        <v>09/22/2026</v>
      </c>
      <c r="AB112" s="198">
        <f t="shared" si="36"/>
        <v>-54.328</v>
      </c>
      <c r="AC112" s="199">
        <f t="shared" si="33"/>
        <v>-0.0275649599068044</v>
      </c>
      <c r="AD112" s="198"/>
      <c r="AE112" s="200">
        <f>CHOOSE(MATCH($B112,{"Petco","PSP"},0),SUMIF('Petco Rec'!M:M,$S112,'Petco Rec'!E:E),SUMIF('PSP Rec'!B:B,$S112,'PSP Rec'!M:M))</f>
        <v>1916.58</v>
      </c>
      <c r="AF112" s="198"/>
      <c r="AG112" s="198"/>
      <c r="AH112" s="198"/>
      <c r="AI112" s="198"/>
      <c r="AJ112" s="198"/>
      <c r="AK112" s="198"/>
    </row>
    <row r="113" customFormat="1" customHeight="1" spans="1:37">
      <c r="A113" s="130" t="s">
        <v>360</v>
      </c>
      <c r="B113" s="189" t="str">
        <f>_xlfn.XLOOKUP(A113,Sales!D:D,Sales!H:H)</f>
        <v>PSP</v>
      </c>
      <c r="C113" s="190">
        <f>SUMIFS(Sales!G:G,Sales!D:D,A113)</f>
        <v>8109.16</v>
      </c>
      <c r="D113" s="190">
        <f>SUMIFS(Sales!N:N,Sales!D:D,A113)</f>
        <v>3889.45</v>
      </c>
      <c r="E113" s="202">
        <f>SUMIF(Sales!D:D,A113,Sales!O:O)</f>
        <v>126</v>
      </c>
      <c r="F113" s="190">
        <f t="shared" ref="F113:F122" si="37">G113*100</f>
        <v>1583</v>
      </c>
      <c r="G113" s="192">
        <f>SUMIFS(Sales!R:R,Sales!D:D,A113)</f>
        <v>15.83</v>
      </c>
      <c r="H113" s="190">
        <v>10000</v>
      </c>
      <c r="I113" s="190">
        <f t="shared" si="21"/>
        <v>2327.94117647059</v>
      </c>
      <c r="J113" s="192">
        <f>4586.6/(E112+E113)*E113</f>
        <v>3777.2</v>
      </c>
      <c r="K113" s="190">
        <f t="shared" si="34"/>
        <v>405.458</v>
      </c>
      <c r="L113" s="190"/>
      <c r="M113" s="190"/>
      <c r="N113" s="190">
        <f t="shared" si="32"/>
        <v>324.3664</v>
      </c>
      <c r="O113" s="190">
        <f t="shared" si="25"/>
        <v>-4198.25557647059</v>
      </c>
      <c r="P113" s="190"/>
      <c r="Q113" s="193">
        <f>_xlfn.XLOOKUP(A113,Sales!D:D,Sales!K:K)</f>
        <v>46273</v>
      </c>
      <c r="R113" s="193">
        <f>_xlfn.XLOOKUP(A113,Sales!D:D,Sales!L:L)</f>
        <v>46260</v>
      </c>
      <c r="S113" s="212" t="s">
        <v>514</v>
      </c>
      <c r="T113" s="195">
        <f t="shared" si="26"/>
        <v>-21719.4211764706</v>
      </c>
      <c r="U113" s="174">
        <f t="shared" si="30"/>
        <v>7703.702</v>
      </c>
      <c r="V113" s="196">
        <f t="shared" si="35"/>
        <v>-14228.0811764706</v>
      </c>
      <c r="W113" s="196"/>
      <c r="X113" s="206"/>
      <c r="Y113" s="197">
        <f>SUMIF('Other pmt'!H:H,"*"&amp;S113&amp;"*",'Other pmt'!F:F)</f>
        <v>7491.34</v>
      </c>
      <c r="Z113" s="198" t="str">
        <f t="shared" si="31"/>
        <v>08</v>
      </c>
      <c r="AA113" s="198" t="str">
        <f>_xlfn.XLOOKUP("*"&amp;$S113&amp;"*",'Other pmt'!H$1:H$1126,'Other pmt'!D$1:D$1126,0,2)</f>
        <v>09/22/2026</v>
      </c>
      <c r="AB113" s="198">
        <f t="shared" si="36"/>
        <v>-212.362</v>
      </c>
      <c r="AC113" s="199">
        <f t="shared" si="33"/>
        <v>-0.0275662272502233</v>
      </c>
      <c r="AD113" s="198"/>
      <c r="AE113" s="200">
        <f>CHOOSE(MATCH($B113,{"Petco","PSP"},0),SUMIF('Petco Rec'!M:M,$S113,'Petco Rec'!E:E),SUMIF('PSP Rec'!B:B,$S113,'PSP Rec'!M:M))</f>
        <v>7491.34</v>
      </c>
      <c r="AF113" s="198"/>
      <c r="AG113" s="198"/>
      <c r="AH113" s="198"/>
      <c r="AI113" s="198"/>
      <c r="AJ113" s="198"/>
      <c r="AK113" s="198"/>
    </row>
    <row r="114" customFormat="1" customHeight="1" spans="1:37">
      <c r="A114" s="130" t="s">
        <v>364</v>
      </c>
      <c r="B114" s="189" t="str">
        <f>_xlfn.XLOOKUP(A114,Sales!D:D,Sales!H:H)</f>
        <v>PSP</v>
      </c>
      <c r="C114" s="190">
        <f>SUMIFS(Sales!G:G,Sales!D:D,A114)</f>
        <v>25301.15</v>
      </c>
      <c r="D114" s="190">
        <f>SUMIFS(Sales!N:N,Sales!D:D,A114)</f>
        <v>12902.62</v>
      </c>
      <c r="E114" s="202">
        <f>SUMIF(Sales!D:D,A114,Sales!O:O)</f>
        <v>251</v>
      </c>
      <c r="F114" s="190">
        <f t="shared" si="37"/>
        <v>2753</v>
      </c>
      <c r="G114" s="192">
        <f>SUMIFS(Sales!R:R,Sales!D:D,A114)</f>
        <v>27.53</v>
      </c>
      <c r="H114" s="190">
        <v>10000</v>
      </c>
      <c r="I114" s="190">
        <f t="shared" si="21"/>
        <v>4048.52941176471</v>
      </c>
      <c r="J114" s="192">
        <f>ROUND(7800/(E114+E115)*E114,2)</f>
        <v>3502.33</v>
      </c>
      <c r="K114" s="190">
        <f t="shared" si="34"/>
        <v>1265.0575</v>
      </c>
      <c r="L114" s="190"/>
      <c r="M114" s="190"/>
      <c r="N114" s="190">
        <f t="shared" si="32"/>
        <v>1012.046</v>
      </c>
      <c r="O114" s="190">
        <f t="shared" si="25"/>
        <v>-182.432911764709</v>
      </c>
      <c r="P114" s="190"/>
      <c r="Q114" s="193">
        <f>_xlfn.XLOOKUP(A114,Sales!D:D,Sales!K:K)</f>
        <v>46269</v>
      </c>
      <c r="R114" s="193">
        <f>_xlfn.XLOOKUP(A114,Sales!D:D,Sales!L:L)</f>
        <v>46265</v>
      </c>
      <c r="S114" s="212" t="s">
        <v>515</v>
      </c>
      <c r="T114" s="195">
        <f t="shared" si="26"/>
        <v>-33485.0094117647</v>
      </c>
      <c r="U114" s="174">
        <f t="shared" si="30"/>
        <v>24036.0925</v>
      </c>
      <c r="V114" s="196">
        <f t="shared" si="35"/>
        <v>-11417.3894117647</v>
      </c>
      <c r="W114" s="196"/>
      <c r="X114" s="206"/>
      <c r="Y114" s="197">
        <f>SUMIF('Other pmt'!H:H,"*"&amp;S114&amp;"*",'Other pmt'!F:F)</f>
        <v>22067.62</v>
      </c>
      <c r="Z114" s="198" t="str">
        <f t="shared" si="31"/>
        <v>09</v>
      </c>
      <c r="AA114" s="198" t="str">
        <f>_xlfn.XLOOKUP("*"&amp;$S114&amp;"*",'Other pmt'!H$1:H$1126,'Other pmt'!D$1:D$1126,0,2)</f>
        <v>9/28/2026</v>
      </c>
      <c r="AB114" s="198">
        <f t="shared" si="36"/>
        <v>-1968.4725</v>
      </c>
      <c r="AC114" s="231">
        <f t="shared" si="33"/>
        <v>-0.0818965270665355</v>
      </c>
      <c r="AD114" s="213"/>
      <c r="AE114" s="200">
        <f>CHOOSE(MATCH($B114,{"Petco","PSP"},0),SUMIF('Petco Rec'!M:M,$S114,'Petco Rec'!E:E),SUMIF('PSP Rec'!B:B,$S114,'PSP Rec'!M:M))</f>
        <v>22067.62</v>
      </c>
      <c r="AF114" s="198"/>
      <c r="AG114" s="198"/>
      <c r="AH114" s="198"/>
      <c r="AI114" s="198"/>
      <c r="AJ114" s="198"/>
      <c r="AK114" s="198"/>
    </row>
    <row r="115" customFormat="1" customHeight="1" spans="1:37">
      <c r="A115" s="130" t="s">
        <v>361</v>
      </c>
      <c r="B115" s="189" t="str">
        <f>_xlfn.XLOOKUP(A115,Sales!D:D,Sales!H:H)</f>
        <v>PSP</v>
      </c>
      <c r="C115" s="190">
        <f>SUMIFS(Sales!G:G,Sales!D:D,A115)</f>
        <v>19351.55</v>
      </c>
      <c r="D115" s="190">
        <f>SUMIFS(Sales!N:N,Sales!D:D,A115)</f>
        <v>9370.16</v>
      </c>
      <c r="E115" s="202">
        <f>SUMIF(Sales!D:D,A115,Sales!O:O)</f>
        <v>308</v>
      </c>
      <c r="F115" s="190">
        <f t="shared" si="37"/>
        <v>3611</v>
      </c>
      <c r="G115" s="192">
        <f>SUMIFS(Sales!R:R,Sales!D:D,A115)</f>
        <v>36.11</v>
      </c>
      <c r="H115" s="190">
        <v>10000</v>
      </c>
      <c r="I115" s="190">
        <f t="shared" si="21"/>
        <v>5310.29411764706</v>
      </c>
      <c r="J115" s="192">
        <f>ROUND(7800/(E114+E115)*E115,2)</f>
        <v>4297.67</v>
      </c>
      <c r="K115" s="190">
        <f t="shared" si="34"/>
        <v>967.5775</v>
      </c>
      <c r="L115" s="190"/>
      <c r="M115" s="190"/>
      <c r="N115" s="190">
        <f t="shared" si="32"/>
        <v>774.062</v>
      </c>
      <c r="O115" s="190">
        <f t="shared" si="25"/>
        <v>-4979.21361764706</v>
      </c>
      <c r="P115" s="190"/>
      <c r="Q115" s="193">
        <f>_xlfn.XLOOKUP(A115,Sales!D:D,Sales!K:K)</f>
        <v>46273</v>
      </c>
      <c r="R115" s="193">
        <f>_xlfn.XLOOKUP(A115,Sales!D:D,Sales!L:L)</f>
        <v>46265</v>
      </c>
      <c r="S115" s="212" t="s">
        <v>516</v>
      </c>
      <c r="T115" s="195">
        <f t="shared" si="26"/>
        <v>-32933.2341176471</v>
      </c>
      <c r="U115" s="174">
        <f t="shared" si="30"/>
        <v>18383.9725</v>
      </c>
      <c r="V115" s="196">
        <f t="shared" si="35"/>
        <v>-15056.0341176471</v>
      </c>
      <c r="W115" s="196"/>
      <c r="X115" s="206"/>
      <c r="Y115" s="197">
        <f>SUMIF('Other pmt'!H:H,"*"&amp;S115&amp;"*",'Other pmt'!F:F)</f>
        <v>17877.2</v>
      </c>
      <c r="Z115" s="198" t="str">
        <f t="shared" si="31"/>
        <v>09</v>
      </c>
      <c r="AA115" s="198" t="str">
        <f>_xlfn.XLOOKUP("*"&amp;$S115&amp;"*",'Other pmt'!H$1:H$1126,'Other pmt'!D$1:D$1126,0,2)</f>
        <v>9/28/2026</v>
      </c>
      <c r="AB115" s="198">
        <f t="shared" si="36"/>
        <v>-506.772500000003</v>
      </c>
      <c r="AC115" s="199">
        <f t="shared" si="33"/>
        <v>-0.027565995325548</v>
      </c>
      <c r="AD115" s="198"/>
      <c r="AE115" s="200">
        <f>CHOOSE(MATCH($B115,{"Petco","PSP"},0),SUMIF('Petco Rec'!M:M,$S115,'Petco Rec'!E:E),SUMIF('PSP Rec'!B:B,$S115,'PSP Rec'!M:M))</f>
        <v>17877.2</v>
      </c>
      <c r="AF115" s="198"/>
      <c r="AG115" s="198"/>
      <c r="AH115" s="198"/>
      <c r="AI115" s="198"/>
      <c r="AJ115" s="198"/>
      <c r="AK115" s="198"/>
    </row>
    <row r="116" customFormat="1" customHeight="1" spans="1:37">
      <c r="A116" s="130" t="s">
        <v>357</v>
      </c>
      <c r="B116" s="189" t="str">
        <f>_xlfn.XLOOKUP(A116,Sales!D:D,Sales!H:H)</f>
        <v>PSP</v>
      </c>
      <c r="C116" s="190">
        <f>SUMIFS(Sales!G:G,Sales!D:D,A116)</f>
        <v>3038.64</v>
      </c>
      <c r="D116" s="190">
        <f>SUMIFS(Sales!N:N,Sales!D:D,A116)</f>
        <v>1488.96</v>
      </c>
      <c r="E116" s="202">
        <f>SUMIF(Sales!D:D,A116,Sales!O:O)</f>
        <v>42</v>
      </c>
      <c r="F116" s="190">
        <f t="shared" si="37"/>
        <v>396</v>
      </c>
      <c r="G116" s="192">
        <f>SUMIFS(Sales!R:R,Sales!D:D,A116)</f>
        <v>3.96</v>
      </c>
      <c r="H116" s="190">
        <v>10000</v>
      </c>
      <c r="I116" s="190">
        <f t="shared" si="21"/>
        <v>582.352941176471</v>
      </c>
      <c r="J116" s="192">
        <v>979.86</v>
      </c>
      <c r="K116" s="190">
        <f t="shared" si="34"/>
        <v>151.932</v>
      </c>
      <c r="L116" s="190"/>
      <c r="M116" s="190"/>
      <c r="N116" s="190">
        <f t="shared" si="32"/>
        <v>121.5456</v>
      </c>
      <c r="O116" s="190">
        <f t="shared" si="25"/>
        <v>-682.010541176471</v>
      </c>
      <c r="P116" s="190"/>
      <c r="Q116" s="193">
        <f>_xlfn.XLOOKUP(A116,Sales!D:D,Sales!K:K)</f>
        <v>46276</v>
      </c>
      <c r="R116" s="193">
        <f>_xlfn.XLOOKUP(A116,Sales!D:D,Sales!L:L)</f>
        <v>46266</v>
      </c>
      <c r="S116" s="212" t="s">
        <v>517</v>
      </c>
      <c r="T116" s="195">
        <f t="shared" si="26"/>
        <v>-13493.1329411765</v>
      </c>
      <c r="U116" s="174">
        <f t="shared" si="30"/>
        <v>2886.708</v>
      </c>
      <c r="V116" s="196">
        <f t="shared" si="35"/>
        <v>-10686.0029411765</v>
      </c>
      <c r="W116" s="196"/>
      <c r="X116" s="206"/>
      <c r="Y116" s="197">
        <f>SUMIF('Other pmt'!H:H,"*"&amp;S116&amp;"*",'Other pmt'!F:F)</f>
        <v>2807.13</v>
      </c>
      <c r="Z116" s="198" t="str">
        <f t="shared" si="31"/>
        <v>09</v>
      </c>
      <c r="AA116" s="198" t="str">
        <f>_xlfn.XLOOKUP("*"&amp;$S116&amp;"*",'Other pmt'!H$1:H$1126,'Other pmt'!D$1:D$1126,0,2)</f>
        <v>9/28/2026</v>
      </c>
      <c r="AB116" s="198">
        <f t="shared" si="36"/>
        <v>-79.578</v>
      </c>
      <c r="AC116" s="199">
        <f t="shared" si="33"/>
        <v>-0.0275670417652218</v>
      </c>
      <c r="AD116" s="198"/>
      <c r="AE116" s="200">
        <f>CHOOSE(MATCH($B116,{"Petco","PSP"},0),SUMIF('Petco Rec'!M:M,$S116,'Petco Rec'!E:E),SUMIF('PSP Rec'!B:B,$S116,'PSP Rec'!M:M))</f>
        <v>2807.13</v>
      </c>
      <c r="AF116" s="198"/>
      <c r="AG116" s="198"/>
      <c r="AH116" s="198"/>
      <c r="AI116" s="198"/>
      <c r="AJ116" s="198"/>
      <c r="AK116" s="198"/>
    </row>
    <row r="117" customFormat="1" customHeight="1" spans="1:37">
      <c r="A117" s="130">
        <v>31820611</v>
      </c>
      <c r="B117" s="189" t="str">
        <f>_xlfn.XLOOKUP(A117,Sales!D:D,Sales!H:H)</f>
        <v>Petco</v>
      </c>
      <c r="C117" s="190">
        <f>SUMIFS(Sales!G:G,Sales!D:D,A117)</f>
        <v>2977.38</v>
      </c>
      <c r="D117" s="190">
        <f>SUMIFS(Sales!N:N,Sales!D:D,A117)</f>
        <v>1607.84</v>
      </c>
      <c r="E117" s="202">
        <f>SUMIF(Sales!D:D,A117,Sales!O:O)</f>
        <v>45</v>
      </c>
      <c r="F117" s="190">
        <f t="shared" si="37"/>
        <v>369</v>
      </c>
      <c r="G117" s="192">
        <f>SUMIFS(Sales!R:R,Sales!D:D,A117)</f>
        <v>3.69</v>
      </c>
      <c r="H117" s="190">
        <v>10000</v>
      </c>
      <c r="I117" s="190">
        <f t="shared" si="21"/>
        <v>542.647058823529</v>
      </c>
      <c r="J117" s="192">
        <v>748.04</v>
      </c>
      <c r="K117" s="190">
        <f t="shared" si="34"/>
        <v>133.9821</v>
      </c>
      <c r="L117" s="190"/>
      <c r="M117" s="190"/>
      <c r="N117" s="190">
        <f t="shared" si="32"/>
        <v>119.0952</v>
      </c>
      <c r="O117" s="190">
        <f t="shared" si="25"/>
        <v>-543.22435882353</v>
      </c>
      <c r="P117" s="190"/>
      <c r="Q117" s="193">
        <f>_xlfn.XLOOKUP(A117,Sales!D:D,Sales!K:K)</f>
        <v>46276</v>
      </c>
      <c r="R117" s="193">
        <f>_xlfn.XLOOKUP(A117,Sales!D:D,Sales!L:L)</f>
        <v>46269</v>
      </c>
      <c r="S117" s="212" t="s">
        <v>518</v>
      </c>
      <c r="T117" s="195">
        <f t="shared" si="26"/>
        <v>-13316.2170588235</v>
      </c>
      <c r="U117" s="174">
        <f t="shared" si="30"/>
        <v>2843.3979</v>
      </c>
      <c r="V117" s="196">
        <f t="shared" si="35"/>
        <v>-13316.2170588235</v>
      </c>
      <c r="W117" s="196"/>
      <c r="X117" s="206"/>
      <c r="Y117" s="197">
        <f>SUMIF('Other pmt'!H:H,"*"&amp;S117&amp;"*",'Other pmt'!F:F)</f>
        <v>0</v>
      </c>
      <c r="Z117" s="198" t="str">
        <f t="shared" si="31"/>
        <v>09</v>
      </c>
      <c r="AA117" s="198">
        <f>_xlfn.XLOOKUP("*"&amp;$S117&amp;"*",'Other pmt'!H$1:H$1126,'Other pmt'!D$1:D$1126,0,2)</f>
        <v>0</v>
      </c>
      <c r="AB117" s="198">
        <f t="shared" si="36"/>
        <v>-2843.3979</v>
      </c>
      <c r="AC117" s="199">
        <f t="shared" si="33"/>
        <v>-1</v>
      </c>
      <c r="AD117" s="198"/>
      <c r="AE117" s="200">
        <f>CHOOSE(MATCH($B117,{"Petco","PSP"},0),SUMIF('Petco Rec'!M:M,$S117,'Petco Rec'!E:E),SUMIF('PSP Rec'!B:B,$S117,'PSP Rec'!M:M))</f>
        <v>0</v>
      </c>
      <c r="AF117" s="198"/>
      <c r="AG117" s="198"/>
      <c r="AH117" s="198"/>
      <c r="AI117" s="198"/>
      <c r="AJ117" s="198"/>
      <c r="AK117" s="198"/>
    </row>
    <row r="118" customFormat="1" customHeight="1" spans="1:37">
      <c r="A118" s="130">
        <v>31799425</v>
      </c>
      <c r="B118" s="189" t="str">
        <f>_xlfn.XLOOKUP(A118,Sales!D:D,Sales!H:H)</f>
        <v>Petco</v>
      </c>
      <c r="C118" s="190">
        <f>SUMIFS(Sales!G:G,Sales!D:D,A118)</f>
        <v>3081.54</v>
      </c>
      <c r="D118" s="190">
        <f>SUMIFS(Sales!N:N,Sales!D:D,A118)</f>
        <v>1886.68</v>
      </c>
      <c r="E118" s="202">
        <f>SUMIF(Sales!D:D,A118,Sales!O:O)</f>
        <v>27</v>
      </c>
      <c r="F118" s="190">
        <f t="shared" si="37"/>
        <v>255</v>
      </c>
      <c r="G118" s="192">
        <f>SUMIFS(Sales!R:R,Sales!D:D,A118)</f>
        <v>2.55</v>
      </c>
      <c r="H118" s="190">
        <v>10000</v>
      </c>
      <c r="I118" s="190">
        <f t="shared" si="21"/>
        <v>375</v>
      </c>
      <c r="J118" s="192">
        <v>659.11</v>
      </c>
      <c r="K118" s="190">
        <f t="shared" si="34"/>
        <v>138.6693</v>
      </c>
      <c r="L118" s="190"/>
      <c r="M118" s="190"/>
      <c r="N118" s="190">
        <f t="shared" si="32"/>
        <v>123.2616</v>
      </c>
      <c r="O118" s="190">
        <f t="shared" si="25"/>
        <v>-356.180900000001</v>
      </c>
      <c r="P118" s="190"/>
      <c r="Q118" s="193">
        <f>_xlfn.XLOOKUP(A118,Sales!D:D,Sales!K:K)</f>
        <v>46279</v>
      </c>
      <c r="R118" s="193">
        <f>_xlfn.XLOOKUP(A118,Sales!D:D,Sales!L:L)</f>
        <v>46269</v>
      </c>
      <c r="S118" s="232" t="s">
        <v>519</v>
      </c>
      <c r="T118" s="195">
        <f t="shared" si="26"/>
        <v>-13205.34</v>
      </c>
      <c r="U118" s="174">
        <f t="shared" si="30"/>
        <v>2942.8707</v>
      </c>
      <c r="V118" s="196">
        <f t="shared" si="35"/>
        <v>-13205.34</v>
      </c>
      <c r="W118" s="196"/>
      <c r="X118" s="206"/>
      <c r="Y118" s="197">
        <f>SUMIF('Other pmt'!H:H,"*"&amp;S118&amp;"*",'Other pmt'!F:F)</f>
        <v>0</v>
      </c>
      <c r="Z118" s="198" t="str">
        <f t="shared" si="31"/>
        <v>09</v>
      </c>
      <c r="AA118" s="198">
        <f>_xlfn.XLOOKUP("*"&amp;$S118&amp;"*",'Other pmt'!H$1:H$1126,'Other pmt'!D$1:D$1126,0,2)</f>
        <v>0</v>
      </c>
      <c r="AB118" s="198">
        <f t="shared" si="36"/>
        <v>-2942.8707</v>
      </c>
      <c r="AC118" s="199">
        <f t="shared" si="33"/>
        <v>-1</v>
      </c>
      <c r="AD118" s="198"/>
      <c r="AE118" s="200">
        <f>CHOOSE(MATCH($B118,{"Petco","PSP"},0),SUMIF('Petco Rec'!M:M,$S118,'Petco Rec'!E:E),SUMIF('PSP Rec'!B:B,$S118,'PSP Rec'!M:M))</f>
        <v>0</v>
      </c>
      <c r="AF118" s="198"/>
      <c r="AG118" s="198"/>
      <c r="AH118" s="198"/>
      <c r="AI118" s="198"/>
      <c r="AJ118" s="198"/>
      <c r="AK118" s="198"/>
    </row>
    <row r="119" customFormat="1" customHeight="1" spans="1:37">
      <c r="A119" s="130">
        <v>31820610</v>
      </c>
      <c r="B119" s="189" t="str">
        <f>_xlfn.XLOOKUP(A119,Sales!D:D,Sales!H:H)</f>
        <v>Petco</v>
      </c>
      <c r="C119" s="190">
        <f>SUMIFS(Sales!G:G,Sales!D:D,A119)</f>
        <v>2753.52</v>
      </c>
      <c r="D119" s="190">
        <f>SUMIFS(Sales!N:N,Sales!D:D,A119)</f>
        <v>1733.36</v>
      </c>
      <c r="E119" s="202">
        <f>SUMIF(Sales!D:D,A119,Sales!O:O)</f>
        <v>23</v>
      </c>
      <c r="F119" s="190">
        <f t="shared" si="37"/>
        <v>199</v>
      </c>
      <c r="G119" s="192">
        <f>SUMIFS(Sales!R:R,Sales!D:D,A119)</f>
        <v>1.99</v>
      </c>
      <c r="H119" s="190">
        <v>10000</v>
      </c>
      <c r="I119" s="190">
        <f t="shared" si="21"/>
        <v>292.647058823529</v>
      </c>
      <c r="J119" s="192">
        <v>666.85</v>
      </c>
      <c r="K119" s="190">
        <f t="shared" si="34"/>
        <v>123.9084</v>
      </c>
      <c r="L119" s="190"/>
      <c r="M119" s="190"/>
      <c r="N119" s="190">
        <f t="shared" si="32"/>
        <v>110.1408</v>
      </c>
      <c r="O119" s="190">
        <f t="shared" si="25"/>
        <v>-372.386258823529</v>
      </c>
      <c r="P119" s="190"/>
      <c r="Q119" s="193">
        <f>_xlfn.XLOOKUP(A119,Sales!D:D,Sales!K:K)</f>
        <v>46279</v>
      </c>
      <c r="R119" s="193">
        <f>_xlfn.XLOOKUP(A119,Sales!D:D,Sales!L:L)</f>
        <v>46269</v>
      </c>
      <c r="S119" s="232" t="s">
        <v>520</v>
      </c>
      <c r="T119" s="195">
        <f t="shared" si="26"/>
        <v>-12916.8470588235</v>
      </c>
      <c r="U119" s="174">
        <f t="shared" si="30"/>
        <v>2629.6116</v>
      </c>
      <c r="V119" s="196">
        <f t="shared" si="35"/>
        <v>-12916.8470588235</v>
      </c>
      <c r="W119" s="196"/>
      <c r="X119" s="206"/>
      <c r="Y119" s="197">
        <f>SUMIF('Other pmt'!H:H,"*"&amp;S119&amp;"*",'Other pmt'!F:F)</f>
        <v>0</v>
      </c>
      <c r="Z119" s="198" t="str">
        <f t="shared" si="31"/>
        <v>09</v>
      </c>
      <c r="AA119" s="198">
        <f>_xlfn.XLOOKUP("*"&amp;$S119&amp;"*",'Other pmt'!H$1:H$1126,'Other pmt'!D$1:D$1126,0,2)</f>
        <v>0</v>
      </c>
      <c r="AB119" s="198">
        <f t="shared" si="36"/>
        <v>-2629.6116</v>
      </c>
      <c r="AC119" s="199">
        <f t="shared" ref="AC119:AC143" si="38">IF(AB119&lt;&gt;"",AB119/U119,"")</f>
        <v>-1</v>
      </c>
      <c r="AD119" s="198"/>
      <c r="AE119" s="200">
        <f>CHOOSE(MATCH($B119,{"Petco","PSP"},0),SUMIF('Petco Rec'!M:M,$S119,'Petco Rec'!E:E),SUMIF('PSP Rec'!B:B,$S119,'PSP Rec'!M:M))</f>
        <v>0</v>
      </c>
      <c r="AF119" s="198"/>
      <c r="AG119" s="198"/>
      <c r="AH119" s="198"/>
      <c r="AI119" s="198"/>
      <c r="AJ119" s="198"/>
      <c r="AK119" s="198"/>
    </row>
    <row r="120" customFormat="1" customHeight="1" spans="1:37">
      <c r="A120" s="130">
        <v>31877481</v>
      </c>
      <c r="B120" s="189" t="str">
        <f>_xlfn.XLOOKUP(A120,Sales!D:D,Sales!H:H)</f>
        <v>Petco</v>
      </c>
      <c r="C120" s="190">
        <f>SUMIFS(Sales!G:G,Sales!D:D,A120)</f>
        <v>2568.38</v>
      </c>
      <c r="D120" s="190">
        <f>SUMIFS(Sales!N:N,Sales!D:D,A120)</f>
        <v>1582.52</v>
      </c>
      <c r="E120" s="202">
        <f>SUMIF(Sales!D:D,A120,Sales!O:O)</f>
        <v>20</v>
      </c>
      <c r="F120" s="190">
        <f t="shared" si="37"/>
        <v>269</v>
      </c>
      <c r="G120" s="192">
        <f>SUMIFS(Sales!R:R,Sales!D:D,A120)</f>
        <v>2.69</v>
      </c>
      <c r="H120" s="190">
        <v>10000</v>
      </c>
      <c r="I120" s="190">
        <f t="shared" ref="I120:I149" si="39">H120*G120/68</f>
        <v>395.588235294118</v>
      </c>
      <c r="J120" s="192">
        <v>950.47</v>
      </c>
      <c r="K120" s="190">
        <f t="shared" si="34"/>
        <v>115.5771</v>
      </c>
      <c r="L120" s="190"/>
      <c r="M120" s="190"/>
      <c r="N120" s="190">
        <f t="shared" si="32"/>
        <v>102.7352</v>
      </c>
      <c r="O120" s="190">
        <f t="shared" si="25"/>
        <v>-847.510535294117</v>
      </c>
      <c r="P120" s="190"/>
      <c r="Q120" s="193">
        <f>_xlfn.XLOOKUP(A120,Sales!D:D,Sales!K:K)</f>
        <v>46288</v>
      </c>
      <c r="R120" s="193">
        <f>_xlfn.XLOOKUP(A120,Sales!D:D,Sales!L:L)</f>
        <v>46275</v>
      </c>
      <c r="S120" s="232" t="s">
        <v>521</v>
      </c>
      <c r="T120" s="195">
        <f t="shared" si="26"/>
        <v>-13220.2682352941</v>
      </c>
      <c r="U120" s="174">
        <f t="shared" si="30"/>
        <v>2452.8029</v>
      </c>
      <c r="V120" s="196">
        <f t="shared" si="35"/>
        <v>-13220.2682352941</v>
      </c>
      <c r="W120" s="196"/>
      <c r="X120" s="206"/>
      <c r="Y120" s="197">
        <f>SUMIF('Other pmt'!H:H,"*"&amp;S120&amp;"*",'Other pmt'!F:F)</f>
        <v>0</v>
      </c>
      <c r="Z120" s="198" t="str">
        <f t="shared" si="31"/>
        <v>09</v>
      </c>
      <c r="AA120" s="198">
        <f>_xlfn.XLOOKUP("*"&amp;$S120&amp;"*",'Other pmt'!H$1:H$1126,'Other pmt'!D$1:D$1126,0,2)</f>
        <v>0</v>
      </c>
      <c r="AB120" s="198">
        <f t="shared" si="36"/>
        <v>-2452.8029</v>
      </c>
      <c r="AC120" s="199">
        <f t="shared" si="38"/>
        <v>-1</v>
      </c>
      <c r="AD120" s="198"/>
      <c r="AE120" s="200">
        <f>CHOOSE(MATCH($B120,{"Petco","PSP"},0),SUMIF('Petco Rec'!M:M,$S120,'Petco Rec'!E:E),SUMIF('PSP Rec'!B:B,$S120,'PSP Rec'!M:M))</f>
        <v>0</v>
      </c>
      <c r="AF120" s="198"/>
      <c r="AG120" s="198"/>
      <c r="AH120" s="198"/>
      <c r="AI120" s="198"/>
      <c r="AJ120" s="198"/>
      <c r="AK120" s="198"/>
    </row>
    <row r="121" customFormat="1" customHeight="1" spans="1:37">
      <c r="A121" s="130">
        <v>31955933</v>
      </c>
      <c r="B121" s="189" t="str">
        <f>_xlfn.XLOOKUP(A121,Sales!D:D,Sales!H:H)</f>
        <v>Petco</v>
      </c>
      <c r="C121" s="190">
        <f>SUMIFS(Sales!G:G,Sales!D:D,A121)</f>
        <v>3011.76</v>
      </c>
      <c r="D121" s="190">
        <f>SUMIFS(Sales!N:N,Sales!D:D,A121)</f>
        <v>1676.08</v>
      </c>
      <c r="E121" s="202">
        <f>SUMIF(Sales!D:D,A121,Sales!O:O)</f>
        <v>26</v>
      </c>
      <c r="F121" s="190">
        <f t="shared" si="37"/>
        <v>365</v>
      </c>
      <c r="G121" s="192">
        <f>SUMIFS(Sales!R:R,Sales!D:D,A121)</f>
        <v>3.65</v>
      </c>
      <c r="H121" s="190">
        <v>10000</v>
      </c>
      <c r="I121" s="190">
        <f t="shared" si="39"/>
        <v>536.764705882353</v>
      </c>
      <c r="J121" s="192">
        <v>945.33</v>
      </c>
      <c r="K121" s="190">
        <f t="shared" si="34"/>
        <v>135.5292</v>
      </c>
      <c r="L121" s="190"/>
      <c r="M121" s="190"/>
      <c r="N121" s="190">
        <f t="shared" si="32"/>
        <v>120.4704</v>
      </c>
      <c r="O121" s="190">
        <f t="shared" si="25"/>
        <v>-767.414305882353</v>
      </c>
      <c r="P121" s="190"/>
      <c r="Q121" s="193">
        <f>_xlfn.XLOOKUP(A121,Sales!D:D,Sales!K:K)</f>
        <v>46296</v>
      </c>
      <c r="R121" s="193">
        <f>_xlfn.XLOOKUP(A121,Sales!D:D,Sales!L:L)</f>
        <v>46286</v>
      </c>
      <c r="S121" s="232" t="s">
        <v>522</v>
      </c>
      <c r="T121" s="195">
        <f t="shared" si="26"/>
        <v>-13552.8247058824</v>
      </c>
      <c r="U121" s="174">
        <f t="shared" si="30"/>
        <v>2876.2308</v>
      </c>
      <c r="V121" s="196">
        <f t="shared" si="35"/>
        <v>-13552.8247058824</v>
      </c>
      <c r="W121" s="196"/>
      <c r="X121" s="206"/>
      <c r="Y121" s="197">
        <f>SUMIF('Other pmt'!H:H,"*"&amp;S121&amp;"*",'Other pmt'!F:F)</f>
        <v>0</v>
      </c>
      <c r="Z121" s="198" t="str">
        <f t="shared" si="31"/>
        <v>09</v>
      </c>
      <c r="AA121" s="198">
        <f>_xlfn.XLOOKUP("*"&amp;$S121&amp;"*",'Other pmt'!H$1:H$1126,'Other pmt'!D$1:D$1126,0,2)</f>
        <v>0</v>
      </c>
      <c r="AB121" s="198">
        <f t="shared" si="36"/>
        <v>-2876.2308</v>
      </c>
      <c r="AC121" s="199">
        <f t="shared" si="38"/>
        <v>-1</v>
      </c>
      <c r="AD121" s="198"/>
      <c r="AE121" s="200">
        <f>CHOOSE(MATCH($B121,{"Petco","PSP"},0),SUMIF('Petco Rec'!M:M,$S121,'Petco Rec'!E:E),SUMIF('PSP Rec'!B:B,$S121,'PSP Rec'!M:M))</f>
        <v>0</v>
      </c>
      <c r="AF121" s="198"/>
      <c r="AG121" s="198"/>
      <c r="AH121" s="198"/>
      <c r="AI121" s="198"/>
      <c r="AJ121" s="198"/>
      <c r="AK121" s="198"/>
    </row>
    <row r="122" customFormat="1" customHeight="1" spans="1:37">
      <c r="A122" s="130" t="s">
        <v>365</v>
      </c>
      <c r="B122" s="189" t="str">
        <f>_xlfn.XLOOKUP(A122,Sales!D:D,Sales!H:H)</f>
        <v>PSP</v>
      </c>
      <c r="C122" s="190">
        <f>SUMIFS(Sales!G:G,Sales!D:D,A122)</f>
        <v>12640.54</v>
      </c>
      <c r="D122" s="190">
        <f>SUMIFS(Sales!N:N,Sales!D:D,A122)</f>
        <v>6729.84</v>
      </c>
      <c r="E122" s="202">
        <f>SUMIF(Sales!D:D,A122,Sales!O:O)</f>
        <v>154</v>
      </c>
      <c r="F122" s="190">
        <f t="shared" si="37"/>
        <v>1765</v>
      </c>
      <c r="G122" s="192">
        <f>SUMIFS(Sales!R:R,Sales!D:D,A122)</f>
        <v>17.65</v>
      </c>
      <c r="H122" s="190">
        <v>10000</v>
      </c>
      <c r="I122" s="190">
        <f t="shared" si="39"/>
        <v>2595.58823529412</v>
      </c>
      <c r="J122" s="192">
        <v>2955.52</v>
      </c>
      <c r="K122" s="190">
        <f t="shared" si="34"/>
        <v>632.027</v>
      </c>
      <c r="L122" s="190"/>
      <c r="M122" s="190"/>
      <c r="N122" s="190">
        <f t="shared" si="32"/>
        <v>505.6216</v>
      </c>
      <c r="O122" s="190">
        <f t="shared" si="25"/>
        <v>-2543.05683529412</v>
      </c>
      <c r="P122" s="190"/>
      <c r="Q122" s="193">
        <f>_xlfn.XLOOKUP(A122,Sales!D:D,Sales!K:K)</f>
        <v>46279</v>
      </c>
      <c r="R122" s="193">
        <f>_xlfn.XLOOKUP(A122,Sales!D:D,Sales!L:L)</f>
        <v>46280</v>
      </c>
      <c r="S122" s="232" t="s">
        <v>523</v>
      </c>
      <c r="T122" s="195">
        <f t="shared" si="26"/>
        <v>-24217.5982352941</v>
      </c>
      <c r="U122" s="174">
        <f t="shared" ref="U122:U144" si="40">C122-K122-L122-M122</f>
        <v>12008.513</v>
      </c>
      <c r="V122" s="196">
        <f t="shared" si="35"/>
        <v>-13104.4482352941</v>
      </c>
      <c r="W122" s="196"/>
      <c r="X122" s="206"/>
      <c r="Y122" s="197">
        <f>SUMIF('Other pmt'!H:H,"*"&amp;S122&amp;"*",'Other pmt'!F:F)</f>
        <v>11113.15</v>
      </c>
      <c r="Z122" s="198" t="str">
        <f t="shared" si="31"/>
        <v>09</v>
      </c>
      <c r="AA122" s="198" t="str">
        <f>_xlfn.XLOOKUP("*"&amp;$S122&amp;"*",'Other pmt'!H$1:H$1126,'Other pmt'!D$1:D$1126,0,2)</f>
        <v>10/13/2026</v>
      </c>
      <c r="AB122" s="198">
        <f t="shared" si="36"/>
        <v>-895.363000000001</v>
      </c>
      <c r="AC122" s="231">
        <f t="shared" si="38"/>
        <v>-0.0745606887380645</v>
      </c>
      <c r="AD122" s="213" t="s">
        <v>524</v>
      </c>
      <c r="AE122" s="200">
        <f>CHOOSE(MATCH($B122,{"Petco","PSP"},0),SUMIF('Petco Rec'!M:M,$S122,'Petco Rec'!E:E),SUMIF('PSP Rec'!B:B,$S122,'PSP Rec'!M:M))</f>
        <v>11113.15</v>
      </c>
      <c r="AF122" s="198"/>
      <c r="AG122" s="198"/>
      <c r="AH122" s="198"/>
      <c r="AI122" s="198"/>
      <c r="AJ122" s="198"/>
      <c r="AK122" s="198"/>
    </row>
    <row r="123" customFormat="1" customHeight="1" spans="1:37">
      <c r="A123" s="130">
        <v>32011885</v>
      </c>
      <c r="B123" s="189" t="str">
        <f>_xlfn.XLOOKUP(A123,Sales!D:D,Sales!H:H)</f>
        <v>Petco</v>
      </c>
      <c r="C123" s="190">
        <f>SUMIFS(Sales!G:G,Sales!D:D,A123)</f>
        <v>3850.7</v>
      </c>
      <c r="D123" s="190">
        <f>SUMIFS(Sales!N:N,Sales!D:D,A123)</f>
        <v>2140.7</v>
      </c>
      <c r="E123" s="202">
        <f>SUMIF(Sales!D:D,A123,Sales!O:O)</f>
        <v>61</v>
      </c>
      <c r="F123" s="190">
        <f t="shared" ref="F123:F149" si="41">G123*110</f>
        <v>570.9</v>
      </c>
      <c r="G123" s="192">
        <f>SUMIFS(Sales!R:R,Sales!D:D,A123)</f>
        <v>5.19</v>
      </c>
      <c r="H123" s="190"/>
      <c r="I123" s="190">
        <f t="shared" si="39"/>
        <v>0</v>
      </c>
      <c r="J123" s="192">
        <v>903.91</v>
      </c>
      <c r="K123" s="190">
        <f t="shared" si="34"/>
        <v>173.2815</v>
      </c>
      <c r="L123" s="190"/>
      <c r="M123" s="190"/>
      <c r="N123" s="190">
        <f t="shared" si="32"/>
        <v>154.028</v>
      </c>
      <c r="O123" s="190">
        <f t="shared" si="25"/>
        <v>-92.1195</v>
      </c>
      <c r="P123" s="190"/>
      <c r="Q123" s="193">
        <f>_xlfn.XLOOKUP(A123,Sales!D:D,Sales!K:K)</f>
        <v>46301</v>
      </c>
      <c r="R123" s="193">
        <f>_xlfn.XLOOKUP(A123,Sales!D:D,Sales!L:L)</f>
        <v>46300</v>
      </c>
      <c r="S123" s="232" t="s">
        <v>525</v>
      </c>
      <c r="T123" s="195">
        <f t="shared" ref="T123:T132" si="42">-SUM(D123:J123)</f>
        <v>-3681.7</v>
      </c>
      <c r="U123" s="174">
        <f t="shared" si="40"/>
        <v>3677.4185</v>
      </c>
      <c r="V123" s="196">
        <f t="shared" si="35"/>
        <v>-3681.7</v>
      </c>
      <c r="W123" s="196"/>
      <c r="X123" s="206"/>
      <c r="Y123" s="197">
        <f>SUMIF('Other pmt'!H:H,"*"&amp;S123&amp;"*",'Other pmt'!F:F)</f>
        <v>0</v>
      </c>
      <c r="Z123" s="198" t="str">
        <f t="shared" si="31"/>
        <v>10</v>
      </c>
      <c r="AA123" s="198">
        <f>_xlfn.XLOOKUP("*"&amp;$S123&amp;"*",'Other pmt'!H$1:H$1126,'Other pmt'!D$1:D$1126,0,2)</f>
        <v>0</v>
      </c>
      <c r="AB123" s="198">
        <f t="shared" si="36"/>
        <v>-3677.4185</v>
      </c>
      <c r="AC123" s="199">
        <f t="shared" si="38"/>
        <v>-1</v>
      </c>
      <c r="AD123" s="198"/>
      <c r="AE123" s="200">
        <f>CHOOSE(MATCH($B123,{"Petco","PSP"},0),SUMIF('Petco Rec'!M:M,$S123,'Petco Rec'!E:E),SUMIF('PSP Rec'!B:B,$S123,'PSP Rec'!M:M))</f>
        <v>0</v>
      </c>
      <c r="AF123" s="198"/>
      <c r="AG123" s="198"/>
      <c r="AH123" s="198"/>
      <c r="AI123" s="198"/>
      <c r="AJ123" s="198"/>
      <c r="AK123" s="198"/>
    </row>
    <row r="124" customFormat="1" customHeight="1" spans="1:37">
      <c r="A124" s="130">
        <v>32044352</v>
      </c>
      <c r="B124" s="189" t="str">
        <f>_xlfn.XLOOKUP(A124,Sales!D:D,Sales!H:H)</f>
        <v>Petco</v>
      </c>
      <c r="C124" s="190">
        <f>SUMIFS(Sales!G:G,Sales!D:D,A124)</f>
        <v>3096.86</v>
      </c>
      <c r="D124" s="190">
        <f>SUMIFS(Sales!N:N,Sales!D:D,A124)</f>
        <v>1819.96</v>
      </c>
      <c r="E124" s="202">
        <f>SUMIF(Sales!D:D,A124,Sales!O:O)</f>
        <v>26</v>
      </c>
      <c r="F124" s="190">
        <f t="shared" si="41"/>
        <v>374</v>
      </c>
      <c r="G124" s="192">
        <f>SUMIFS(Sales!R:R,Sales!D:D,A124)</f>
        <v>3.4</v>
      </c>
      <c r="H124" s="190"/>
      <c r="I124" s="190">
        <f t="shared" si="39"/>
        <v>0</v>
      </c>
      <c r="J124" s="192">
        <v>963.29</v>
      </c>
      <c r="K124" s="190">
        <f t="shared" si="34"/>
        <v>139.3587</v>
      </c>
      <c r="L124" s="190"/>
      <c r="M124" s="190"/>
      <c r="N124" s="190">
        <f t="shared" si="32"/>
        <v>123.8744</v>
      </c>
      <c r="O124" s="190">
        <f t="shared" si="25"/>
        <v>-323.6231</v>
      </c>
      <c r="P124" s="190"/>
      <c r="Q124" s="193">
        <f>_xlfn.XLOOKUP(A124,Sales!D:D,Sales!K:K)</f>
        <v>46307</v>
      </c>
      <c r="R124" s="193">
        <f>_xlfn.XLOOKUP(A124,Sales!D:D,Sales!L:L)</f>
        <v>46296</v>
      </c>
      <c r="S124" s="232" t="s">
        <v>526</v>
      </c>
      <c r="T124" s="195">
        <f t="shared" si="42"/>
        <v>-3186.65</v>
      </c>
      <c r="U124" s="174">
        <f t="shared" si="40"/>
        <v>2957.5013</v>
      </c>
      <c r="V124" s="196">
        <f t="shared" si="35"/>
        <v>-3186.65</v>
      </c>
      <c r="W124" s="196"/>
      <c r="X124" s="206"/>
      <c r="Y124" s="197">
        <f>SUMIF('Other pmt'!H:H,"*"&amp;S124&amp;"*",'Other pmt'!F:F)</f>
        <v>0</v>
      </c>
      <c r="Z124" s="198" t="str">
        <f t="shared" si="31"/>
        <v>10</v>
      </c>
      <c r="AA124" s="198">
        <f>_xlfn.XLOOKUP("*"&amp;$S124&amp;"*",'Other pmt'!H$1:H$1126,'Other pmt'!D$1:D$1126,0,2)</f>
        <v>0</v>
      </c>
      <c r="AB124" s="198">
        <f t="shared" si="36"/>
        <v>-2957.5013</v>
      </c>
      <c r="AC124" s="199">
        <f t="shared" si="38"/>
        <v>-1</v>
      </c>
      <c r="AD124" s="198"/>
      <c r="AE124" s="200">
        <f>CHOOSE(MATCH($B124,{"Petco","PSP"},0),SUMIF('Petco Rec'!M:M,$S124,'Petco Rec'!E:E),SUMIF('PSP Rec'!B:B,$S124,'PSP Rec'!M:M))</f>
        <v>0</v>
      </c>
      <c r="AF124" s="198"/>
      <c r="AG124" s="198"/>
      <c r="AH124" s="198"/>
      <c r="AI124" s="198"/>
      <c r="AJ124" s="198"/>
      <c r="AK124" s="198"/>
    </row>
    <row r="125" customFormat="1" customHeight="1" spans="1:37">
      <c r="A125" s="130">
        <v>32044353</v>
      </c>
      <c r="B125" s="189" t="str">
        <f>_xlfn.XLOOKUP(A125,Sales!D:D,Sales!H:H)</f>
        <v>Petco</v>
      </c>
      <c r="C125" s="190">
        <f>SUMIFS(Sales!G:G,Sales!D:D,A125)</f>
        <v>3835.07</v>
      </c>
      <c r="D125" s="190">
        <f>SUMIFS(Sales!N:N,Sales!D:D,A125)</f>
        <v>2083.37</v>
      </c>
      <c r="E125" s="202">
        <f>SUMIF(Sales!D:D,A125,Sales!O:O)</f>
        <v>60</v>
      </c>
      <c r="F125" s="190">
        <f t="shared" si="41"/>
        <v>584.1</v>
      </c>
      <c r="G125" s="192">
        <f>SUMIFS(Sales!R:R,Sales!D:D,A125)</f>
        <v>5.31</v>
      </c>
      <c r="H125" s="190"/>
      <c r="I125" s="190">
        <f t="shared" si="39"/>
        <v>0</v>
      </c>
      <c r="J125" s="192">
        <v>1361.44</v>
      </c>
      <c r="K125" s="190">
        <f t="shared" si="34"/>
        <v>172.57815</v>
      </c>
      <c r="L125" s="190"/>
      <c r="M125" s="190"/>
      <c r="N125" s="190">
        <f t="shared" si="32"/>
        <v>153.4028</v>
      </c>
      <c r="O125" s="190">
        <f t="shared" si="25"/>
        <v>-519.82095</v>
      </c>
      <c r="P125" s="190"/>
      <c r="Q125" s="193">
        <f>_xlfn.XLOOKUP(A125,Sales!D:D,Sales!K:K)</f>
        <v>46309</v>
      </c>
      <c r="R125" s="193">
        <f>_xlfn.XLOOKUP(A125,Sales!D:D,Sales!L:L)</f>
        <v>46297</v>
      </c>
      <c r="S125" s="232" t="s">
        <v>527</v>
      </c>
      <c r="T125" s="195">
        <f t="shared" si="42"/>
        <v>-4094.22</v>
      </c>
      <c r="U125" s="174">
        <f t="shared" si="40"/>
        <v>3662.49185</v>
      </c>
      <c r="V125" s="196">
        <f t="shared" si="35"/>
        <v>-4094.22</v>
      </c>
      <c r="W125" s="196"/>
      <c r="X125" s="206"/>
      <c r="Y125" s="197">
        <f>SUMIF('Other pmt'!H:H,"*"&amp;S125&amp;"*",'Other pmt'!F:F)</f>
        <v>0</v>
      </c>
      <c r="Z125" s="198" t="str">
        <f t="shared" si="31"/>
        <v>10</v>
      </c>
      <c r="AA125" s="198">
        <f>_xlfn.XLOOKUP("*"&amp;$S125&amp;"*",'Other pmt'!H$1:H$1126,'Other pmt'!D$1:D$1126,0,2)</f>
        <v>0</v>
      </c>
      <c r="AB125" s="198">
        <f t="shared" si="36"/>
        <v>-3662.49185</v>
      </c>
      <c r="AC125" s="199">
        <f t="shared" si="38"/>
        <v>-1</v>
      </c>
      <c r="AD125" s="198"/>
      <c r="AE125" s="200">
        <f>CHOOSE(MATCH($B125,{"Petco","PSP"},0),SUMIF('Petco Rec'!M:M,$S125,'Petco Rec'!E:E),SUMIF('PSP Rec'!B:B,$S125,'PSP Rec'!M:M))</f>
        <v>0</v>
      </c>
      <c r="AF125" s="198"/>
      <c r="AG125" s="198"/>
      <c r="AH125" s="198"/>
      <c r="AI125" s="198"/>
      <c r="AJ125" s="198"/>
      <c r="AK125" s="198"/>
    </row>
    <row r="126" customFormat="1" customHeight="1" spans="1:37">
      <c r="A126" s="130">
        <v>32044354</v>
      </c>
      <c r="B126" s="189" t="str">
        <f>_xlfn.XLOOKUP(A126,Sales!D:D,Sales!H:H)</f>
        <v>Petco</v>
      </c>
      <c r="C126" s="190">
        <f>SUMIFS(Sales!G:G,Sales!D:D,A126)</f>
        <v>4308.42</v>
      </c>
      <c r="D126" s="190">
        <f>SUMIFS(Sales!N:N,Sales!D:D,A126)</f>
        <v>2540.96</v>
      </c>
      <c r="E126" s="202">
        <f>SUMIF(Sales!D:D,A126,Sales!O:O)</f>
        <v>35</v>
      </c>
      <c r="F126" s="190">
        <f t="shared" si="41"/>
        <v>506</v>
      </c>
      <c r="G126" s="192">
        <f>SUMIFS(Sales!R:R,Sales!D:D,A126)</f>
        <v>4.6</v>
      </c>
      <c r="H126" s="190"/>
      <c r="I126" s="190">
        <f t="shared" si="39"/>
        <v>0</v>
      </c>
      <c r="J126" s="192">
        <v>1278.12</v>
      </c>
      <c r="K126" s="190">
        <f t="shared" si="34"/>
        <v>193.8789</v>
      </c>
      <c r="L126" s="190"/>
      <c r="M126" s="190"/>
      <c r="N126" s="190">
        <f t="shared" si="32"/>
        <v>172.3368</v>
      </c>
      <c r="O126" s="190">
        <f t="shared" si="25"/>
        <v>-382.8757</v>
      </c>
      <c r="P126" s="190"/>
      <c r="Q126" s="193">
        <f>_xlfn.XLOOKUP(A126,Sales!D:D,Sales!K:K)</f>
        <v>46309</v>
      </c>
      <c r="R126" s="193">
        <f>_xlfn.XLOOKUP(A126,Sales!D:D,Sales!L:L)</f>
        <v>46296</v>
      </c>
      <c r="S126" s="232" t="s">
        <v>528</v>
      </c>
      <c r="T126" s="195">
        <f t="shared" si="42"/>
        <v>-4364.68</v>
      </c>
      <c r="U126" s="174">
        <f t="shared" si="40"/>
        <v>4114.5411</v>
      </c>
      <c r="V126" s="196">
        <f t="shared" si="35"/>
        <v>-4364.68</v>
      </c>
      <c r="W126" s="196"/>
      <c r="X126" s="206"/>
      <c r="Y126" s="197">
        <f>SUMIF('Other pmt'!H:H,"*"&amp;S126&amp;"*",'Other pmt'!F:F)</f>
        <v>0</v>
      </c>
      <c r="Z126" s="198" t="str">
        <f t="shared" si="31"/>
        <v>10</v>
      </c>
      <c r="AA126" s="198">
        <f>_xlfn.XLOOKUP("*"&amp;$S126&amp;"*",'Other pmt'!H$1:H$1126,'Other pmt'!D$1:D$1126,0,2)</f>
        <v>0</v>
      </c>
      <c r="AB126" s="198">
        <f t="shared" si="36"/>
        <v>-4114.5411</v>
      </c>
      <c r="AC126" s="199">
        <f t="shared" si="38"/>
        <v>-1</v>
      </c>
      <c r="AD126" s="198"/>
      <c r="AE126" s="200">
        <f>CHOOSE(MATCH($B126,{"Petco","PSP"},0),SUMIF('Petco Rec'!M:M,$S126,'Petco Rec'!E:E),SUMIF('PSP Rec'!B:B,$S126,'PSP Rec'!M:M))</f>
        <v>0</v>
      </c>
      <c r="AF126" s="198"/>
      <c r="AG126" s="198"/>
      <c r="AH126" s="198"/>
      <c r="AI126" s="198"/>
      <c r="AJ126" s="198"/>
      <c r="AK126" s="198"/>
    </row>
    <row r="127" customHeight="1" spans="1:37">
      <c r="A127" s="214">
        <v>860738154</v>
      </c>
      <c r="B127" s="189" t="str">
        <f>_xlfn.XLOOKUP(A127,Sales!D:D,Sales!H:H)</f>
        <v>Petsmart</v>
      </c>
      <c r="C127" s="190">
        <f>SUMIFS(Sales!G:G,Sales!D:D,A127)</f>
        <v>18334.8249</v>
      </c>
      <c r="D127" s="190">
        <f>SUMIFS(Sales!N:N,Sales!D:D,A127)</f>
        <v>12190.45</v>
      </c>
      <c r="E127" s="202">
        <f>SUMIF(Sales!D:D,A127,Sales!O:O)</f>
        <v>280</v>
      </c>
      <c r="F127" s="190">
        <f t="shared" si="41"/>
        <v>2359.5</v>
      </c>
      <c r="G127" s="192">
        <f>SUMIFS(Sales!R:R,Sales!D:D,A127)</f>
        <v>21.45</v>
      </c>
      <c r="H127" s="190"/>
      <c r="I127" s="190">
        <f t="shared" si="39"/>
        <v>0</v>
      </c>
      <c r="J127" s="192">
        <v>0</v>
      </c>
      <c r="K127" s="190">
        <f t="shared" si="34"/>
        <v>366.696498</v>
      </c>
      <c r="L127" s="190"/>
      <c r="M127" s="190"/>
      <c r="N127" s="190">
        <f t="shared" si="32"/>
        <v>733.392996</v>
      </c>
      <c r="O127" s="190">
        <f t="shared" si="25"/>
        <v>2684.785406</v>
      </c>
      <c r="P127" s="190"/>
      <c r="Q127" s="193">
        <f>_xlfn.XLOOKUP(A127,Sales!D:D,Sales!K:K)</f>
        <v>46311</v>
      </c>
      <c r="R127" s="193">
        <f>_xlfn.XLOOKUP(A127,Sales!D:D,Sales!L:L)</f>
        <v>46304</v>
      </c>
      <c r="S127" s="232" t="s">
        <v>529</v>
      </c>
      <c r="T127" s="195">
        <f t="shared" si="42"/>
        <v>-14851.4</v>
      </c>
      <c r="U127" s="174">
        <f t="shared" si="40"/>
        <v>17968.128402</v>
      </c>
      <c r="V127" s="196">
        <f t="shared" si="35"/>
        <v>-14851.4</v>
      </c>
      <c r="W127" s="196"/>
      <c r="X127" s="206"/>
      <c r="Y127" s="197">
        <f>SUMIF('Other pmt'!H:H,"*"&amp;S127&amp;"*",'Other pmt'!F:F)</f>
        <v>0</v>
      </c>
      <c r="Z127" s="198" t="str">
        <f t="shared" si="31"/>
        <v>10</v>
      </c>
      <c r="AA127" s="198">
        <f>_xlfn.XLOOKUP("*"&amp;$S127&amp;"*",'Other pmt'!H$1:H$1126,'Other pmt'!D$1:D$1126,0,2)</f>
        <v>0</v>
      </c>
      <c r="AB127" s="198">
        <f t="shared" si="36"/>
        <v>-17968.128402</v>
      </c>
      <c r="AC127" s="199">
        <f t="shared" si="38"/>
        <v>-1</v>
      </c>
      <c r="AD127" s="198"/>
      <c r="AE127" s="200" t="e">
        <f>CHOOSE(MATCH($B127,{"Petco","PSP"},0),SUMIF('Petco Rec'!M:M,$S127,'Petco Rec'!E:E),SUMIF('PSP Rec'!B:B,$S127,'PSP Rec'!M:M))</f>
        <v>#N/A</v>
      </c>
      <c r="AF127" s="198"/>
      <c r="AG127" s="198"/>
      <c r="AH127" s="198"/>
      <c r="AI127" s="198"/>
      <c r="AJ127" s="198"/>
      <c r="AK127" s="198"/>
    </row>
    <row r="128" customHeight="1" spans="1:37">
      <c r="A128" s="135">
        <v>860738340</v>
      </c>
      <c r="B128" s="189" t="str">
        <f>_xlfn.XLOOKUP(A128,Sales!D:D,Sales!H:H)</f>
        <v>Petsmart</v>
      </c>
      <c r="C128" s="190">
        <f>SUMIFS(Sales!G:G,Sales!D:D,A128)</f>
        <v>15004.6995</v>
      </c>
      <c r="D128" s="190">
        <f>SUMIFS(Sales!N:N,Sales!D:D,A128)</f>
        <v>8454.3</v>
      </c>
      <c r="E128" s="202">
        <f>SUMIF(Sales!D:D,A128,Sales!O:O)</f>
        <v>286</v>
      </c>
      <c r="F128" s="190">
        <f t="shared" si="41"/>
        <v>2391.4</v>
      </c>
      <c r="G128" s="192">
        <f>SUMIFS(Sales!R:R,Sales!D:D,A128)</f>
        <v>21.74</v>
      </c>
      <c r="H128" s="190"/>
      <c r="I128" s="190">
        <f t="shared" si="39"/>
        <v>0</v>
      </c>
      <c r="J128" s="192">
        <v>0</v>
      </c>
      <c r="K128" s="190">
        <f t="shared" si="34"/>
        <v>300.09399</v>
      </c>
      <c r="L128" s="190"/>
      <c r="M128" s="190"/>
      <c r="N128" s="190">
        <f t="shared" si="32"/>
        <v>600.18798</v>
      </c>
      <c r="O128" s="190">
        <f t="shared" si="25"/>
        <v>3258.71753</v>
      </c>
      <c r="P128" s="190"/>
      <c r="Q128" s="193">
        <f>_xlfn.XLOOKUP(A128,Sales!D:D,Sales!K:K)</f>
        <v>46310</v>
      </c>
      <c r="R128" s="193">
        <f>_xlfn.XLOOKUP(A128,Sales!D:D,Sales!L:L)</f>
        <v>46304</v>
      </c>
      <c r="S128" s="232" t="s">
        <v>530</v>
      </c>
      <c r="T128" s="195">
        <f t="shared" si="42"/>
        <v>-11153.44</v>
      </c>
      <c r="U128" s="174">
        <f t="shared" si="40"/>
        <v>14704.60551</v>
      </c>
      <c r="V128" s="196">
        <f t="shared" si="35"/>
        <v>-11153.44</v>
      </c>
      <c r="W128" s="196"/>
      <c r="X128" s="206"/>
      <c r="Y128" s="197">
        <f>SUMIF('Other pmt'!H:H,"*"&amp;S128&amp;"*",'Other pmt'!F:F)</f>
        <v>0</v>
      </c>
      <c r="Z128" s="198" t="str">
        <f t="shared" si="31"/>
        <v>10</v>
      </c>
      <c r="AA128" s="198">
        <f>_xlfn.XLOOKUP("*"&amp;$S128&amp;"*",'Other pmt'!H$1:H$1126,'Other pmt'!D$1:D$1126,0,2)</f>
        <v>0</v>
      </c>
      <c r="AB128" s="198">
        <f t="shared" ref="AB128:AB143" si="43">Y128-U128</f>
        <v>-14704.60551</v>
      </c>
      <c r="AC128" s="199">
        <f t="shared" ref="AC128:AC143" si="44">IF(AB128&lt;&gt;"",AB128/U128,"")</f>
        <v>-1</v>
      </c>
      <c r="AD128" s="198"/>
      <c r="AE128" s="200" t="e">
        <f>CHOOSE(MATCH($B128,{"Petco","PSP"},0),SUMIF('Petco Rec'!M:M,$S128,'Petco Rec'!E:E),SUMIF('PSP Rec'!B:B,$S128,'PSP Rec'!M:M))</f>
        <v>#N/A</v>
      </c>
      <c r="AF128" s="198"/>
      <c r="AG128" s="198"/>
      <c r="AH128" s="198"/>
      <c r="AI128" s="198"/>
      <c r="AJ128" s="198"/>
      <c r="AK128" s="198"/>
    </row>
    <row r="129" customHeight="1" spans="1:37">
      <c r="A129" s="135">
        <v>860738356</v>
      </c>
      <c r="B129" s="189" t="str">
        <f>_xlfn.XLOOKUP(A129,Sales!D:D,Sales!H:H)</f>
        <v>Petsmart</v>
      </c>
      <c r="C129" s="190">
        <f>SUMIFS(Sales!G:G,Sales!D:D,A129)</f>
        <v>15440.1154</v>
      </c>
      <c r="D129" s="190">
        <f>SUMIFS(Sales!N:N,Sales!D:D,A129)</f>
        <v>9086.7</v>
      </c>
      <c r="E129" s="202">
        <f>SUMIF(Sales!D:D,A129,Sales!O:O)</f>
        <v>288</v>
      </c>
      <c r="F129" s="190">
        <f t="shared" si="41"/>
        <v>2352.9</v>
      </c>
      <c r="G129" s="192">
        <f>SUMIFS(Sales!R:R,Sales!D:D,A129)</f>
        <v>21.39</v>
      </c>
      <c r="H129" s="190"/>
      <c r="I129" s="190">
        <f t="shared" si="39"/>
        <v>0</v>
      </c>
      <c r="J129" s="192">
        <v>0</v>
      </c>
      <c r="K129" s="190">
        <f t="shared" si="34"/>
        <v>308.802308</v>
      </c>
      <c r="L129" s="190"/>
      <c r="M129" s="190"/>
      <c r="N129" s="190">
        <f t="shared" si="32"/>
        <v>617.604616</v>
      </c>
      <c r="O129" s="190">
        <f t="shared" si="25"/>
        <v>3074.108476</v>
      </c>
      <c r="P129" s="190"/>
      <c r="Q129" s="193">
        <f>_xlfn.XLOOKUP(A129,Sales!D:D,Sales!K:K)</f>
        <v>46310</v>
      </c>
      <c r="R129" s="193">
        <f>_xlfn.XLOOKUP(A129,Sales!D:D,Sales!L:L)</f>
        <v>46304</v>
      </c>
      <c r="S129" s="232" t="s">
        <v>531</v>
      </c>
      <c r="T129" s="195">
        <f t="shared" si="42"/>
        <v>-11748.99</v>
      </c>
      <c r="U129" s="174">
        <f t="shared" si="40"/>
        <v>15131.313092</v>
      </c>
      <c r="V129" s="196">
        <f t="shared" si="35"/>
        <v>-11748.99</v>
      </c>
      <c r="W129" s="196"/>
      <c r="X129" s="206"/>
      <c r="Y129" s="197">
        <f>SUMIF('Other pmt'!H:H,"*"&amp;S129&amp;"*",'Other pmt'!F:F)</f>
        <v>0</v>
      </c>
      <c r="Z129" s="198" t="str">
        <f t="shared" si="31"/>
        <v>10</v>
      </c>
      <c r="AA129" s="198">
        <f>_xlfn.XLOOKUP("*"&amp;$S129&amp;"*",'Other pmt'!H$1:H$1126,'Other pmt'!D$1:D$1126,0,2)</f>
        <v>0</v>
      </c>
      <c r="AB129" s="198">
        <f t="shared" si="43"/>
        <v>-15131.313092</v>
      </c>
      <c r="AC129" s="199">
        <f t="shared" si="44"/>
        <v>-1</v>
      </c>
      <c r="AD129" s="198"/>
      <c r="AE129" s="200" t="e">
        <f>CHOOSE(MATCH($B129,{"Petco","PSP"},0),SUMIF('Petco Rec'!M:M,$S129,'Petco Rec'!E:E),SUMIF('PSP Rec'!B:B,$S129,'PSP Rec'!M:M))</f>
        <v>#N/A</v>
      </c>
      <c r="AF129" s="198"/>
      <c r="AG129" s="198"/>
      <c r="AH129" s="198"/>
      <c r="AI129" s="198"/>
      <c r="AJ129" s="198"/>
      <c r="AK129" s="198"/>
    </row>
    <row r="130" customHeight="1" spans="1:37">
      <c r="A130" s="135">
        <v>860738360</v>
      </c>
      <c r="B130" s="189" t="str">
        <f>_xlfn.XLOOKUP(A130,Sales!D:D,Sales!H:H)</f>
        <v>Petsmart</v>
      </c>
      <c r="C130" s="190">
        <f>SUMIFS(Sales!G:G,Sales!D:D,A130)</f>
        <v>14626.0534</v>
      </c>
      <c r="D130" s="190">
        <f>SUMIFS(Sales!N:N,Sales!D:D,A130)</f>
        <v>8290.19</v>
      </c>
      <c r="E130" s="202">
        <f>SUMIF(Sales!D:D,A130,Sales!O:O)</f>
        <v>287</v>
      </c>
      <c r="F130" s="190">
        <f t="shared" si="41"/>
        <v>2355.1</v>
      </c>
      <c r="G130" s="192">
        <f>SUMIFS(Sales!R:R,Sales!D:D,A130)</f>
        <v>21.41</v>
      </c>
      <c r="H130" s="190"/>
      <c r="I130" s="190">
        <f t="shared" si="39"/>
        <v>0</v>
      </c>
      <c r="J130" s="192">
        <v>0</v>
      </c>
      <c r="K130" s="190">
        <f t="shared" si="34"/>
        <v>292.521068</v>
      </c>
      <c r="L130" s="190"/>
      <c r="M130" s="190"/>
      <c r="N130" s="190">
        <f t="shared" si="32"/>
        <v>585.042136</v>
      </c>
      <c r="O130" s="190">
        <f t="shared" ref="O130:O149" si="45">C130-D130-F130-I130-J130-K130-N130-L130-M130</f>
        <v>3103.200196</v>
      </c>
      <c r="P130" s="190"/>
      <c r="Q130" s="193">
        <f>_xlfn.XLOOKUP(A130,Sales!D:D,Sales!K:K)</f>
        <v>46306</v>
      </c>
      <c r="R130" s="193">
        <f>_xlfn.XLOOKUP(A130,Sales!D:D,Sales!L:L)</f>
        <v>46304</v>
      </c>
      <c r="S130" s="232" t="s">
        <v>532</v>
      </c>
      <c r="T130" s="195">
        <f t="shared" ref="T130:T144" si="46">-SUM(D130:J130)</f>
        <v>-10953.7</v>
      </c>
      <c r="U130" s="174">
        <f t="shared" si="40"/>
        <v>14333.532332</v>
      </c>
      <c r="V130" s="196">
        <f t="shared" si="35"/>
        <v>-10953.7</v>
      </c>
      <c r="W130"/>
      <c r="Y130" s="197">
        <f>SUMIF('Other pmt'!H:H,"*"&amp;S130&amp;"*",'Other pmt'!F:F)</f>
        <v>0</v>
      </c>
      <c r="Z130" s="198" t="str">
        <f t="shared" ref="Z130:Z143" si="47">MID(S130,8,2)</f>
        <v>10</v>
      </c>
      <c r="AA130" s="198">
        <f>_xlfn.XLOOKUP("*"&amp;$S130&amp;"*",'Other pmt'!H$1:H$1126,'Other pmt'!D$1:D$1126,0,2)</f>
        <v>0</v>
      </c>
      <c r="AB130" s="198">
        <f t="shared" si="43"/>
        <v>-14333.532332</v>
      </c>
      <c r="AC130" s="199">
        <f t="shared" si="44"/>
        <v>-1</v>
      </c>
      <c r="AE130" s="200" t="e">
        <f>CHOOSE(MATCH($B130,{"Petco","PSP"},0),SUMIF('Petco Rec'!M:M,$S130,'Petco Rec'!E:E),SUMIF('PSP Rec'!B:B,$S130,'PSP Rec'!M:M))</f>
        <v>#N/A</v>
      </c>
    </row>
    <row r="131" customHeight="1" spans="1:37">
      <c r="A131" s="135">
        <v>860738362</v>
      </c>
      <c r="B131" s="189" t="str">
        <f>_xlfn.XLOOKUP(A131,Sales!D:D,Sales!H:H)</f>
        <v>Petsmart</v>
      </c>
      <c r="C131" s="190">
        <f>SUMIFS(Sales!G:G,Sales!D:D,A131)</f>
        <v>17236.3124</v>
      </c>
      <c r="D131" s="190">
        <f>SUMIFS(Sales!N:N,Sales!D:D,A131)</f>
        <v>10739.56</v>
      </c>
      <c r="E131" s="202">
        <f>SUMIF(Sales!D:D,A131,Sales!O:O)</f>
        <v>285</v>
      </c>
      <c r="F131" s="190">
        <f t="shared" si="41"/>
        <v>2363.9</v>
      </c>
      <c r="G131" s="192">
        <f>SUMIFS(Sales!R:R,Sales!D:D,A131)</f>
        <v>21.49</v>
      </c>
      <c r="H131" s="190"/>
      <c r="I131" s="190">
        <f t="shared" si="39"/>
        <v>0</v>
      </c>
      <c r="J131" s="192">
        <v>0</v>
      </c>
      <c r="K131" s="190">
        <f t="shared" si="34"/>
        <v>344.726248</v>
      </c>
      <c r="L131" s="190"/>
      <c r="M131" s="190"/>
      <c r="N131" s="190">
        <f t="shared" si="32"/>
        <v>689.452496</v>
      </c>
      <c r="O131" s="190">
        <f t="shared" si="45"/>
        <v>3098.673656</v>
      </c>
      <c r="P131" s="190"/>
      <c r="Q131" s="193">
        <f>_xlfn.XLOOKUP(A131,Sales!D:D,Sales!K:K)</f>
        <v>46309</v>
      </c>
      <c r="R131" s="193">
        <f>_xlfn.XLOOKUP(A131,Sales!D:D,Sales!L:L)</f>
        <v>46304</v>
      </c>
      <c r="S131" s="232" t="s">
        <v>533</v>
      </c>
      <c r="T131" s="195">
        <f t="shared" si="46"/>
        <v>-13409.95</v>
      </c>
      <c r="U131" s="174">
        <f t="shared" si="40"/>
        <v>16891.586152</v>
      </c>
      <c r="V131" s="196">
        <f t="shared" si="35"/>
        <v>-13409.95</v>
      </c>
      <c r="W131"/>
      <c r="Y131" s="197">
        <f>SUMIF('Other pmt'!H:H,"*"&amp;S131&amp;"*",'Other pmt'!F:F)</f>
        <v>0</v>
      </c>
      <c r="Z131" s="198" t="str">
        <f t="shared" si="47"/>
        <v>10</v>
      </c>
      <c r="AA131" s="198">
        <f>_xlfn.XLOOKUP("*"&amp;$S131&amp;"*",'Other pmt'!H$1:H$1126,'Other pmt'!D$1:D$1126,0,2)</f>
        <v>0</v>
      </c>
      <c r="AB131" s="198">
        <f t="shared" si="43"/>
        <v>-16891.586152</v>
      </c>
      <c r="AC131" s="199">
        <f t="shared" si="44"/>
        <v>-1</v>
      </c>
      <c r="AE131" s="200" t="e">
        <f>CHOOSE(MATCH($B131,{"Petco","PSP"},0),SUMIF('Petco Rec'!M:M,$S131,'Petco Rec'!E:E),SUMIF('PSP Rec'!B:B,$S131,'PSP Rec'!M:M))</f>
        <v>#N/A</v>
      </c>
    </row>
    <row r="132" customHeight="1" spans="1:37">
      <c r="A132" s="135">
        <v>860798255</v>
      </c>
      <c r="B132" s="189" t="str">
        <f>_xlfn.XLOOKUP(A132,Sales!D:D,Sales!H:H)</f>
        <v>Petsmart</v>
      </c>
      <c r="C132" s="190">
        <f>SUMIFS(Sales!G:G,Sales!D:D,A132)</f>
        <v>14403.4638</v>
      </c>
      <c r="D132" s="190">
        <f>SUMIFS(Sales!N:N,Sales!D:D,A132)</f>
        <v>8010.92</v>
      </c>
      <c r="E132" s="202">
        <f>SUMIF(Sales!D:D,A132,Sales!O:O)</f>
        <v>283</v>
      </c>
      <c r="F132" s="190">
        <f t="shared" si="41"/>
        <v>2359.5</v>
      </c>
      <c r="G132" s="192">
        <f>SUMIFS(Sales!R:R,Sales!D:D,A132)</f>
        <v>21.45</v>
      </c>
      <c r="H132" s="190"/>
      <c r="I132" s="190">
        <f t="shared" si="39"/>
        <v>0</v>
      </c>
      <c r="J132" s="192"/>
      <c r="K132" s="190">
        <f t="shared" si="34"/>
        <v>288.069276</v>
      </c>
      <c r="L132" s="190"/>
      <c r="M132" s="190"/>
      <c r="N132" s="190">
        <f t="shared" si="32"/>
        <v>576.138552</v>
      </c>
      <c r="O132" s="190">
        <f t="shared" si="45"/>
        <v>3168.835972</v>
      </c>
      <c r="P132" s="190"/>
      <c r="Q132" s="193">
        <f>_xlfn.XLOOKUP(A132,Sales!D:D,Sales!K:K)</f>
        <v>46323</v>
      </c>
      <c r="R132" s="193">
        <f>_xlfn.XLOOKUP(A132,Sales!D:D,Sales!L:L)</f>
        <v>46318</v>
      </c>
      <c r="S132" s="232" t="s">
        <v>534</v>
      </c>
      <c r="T132" s="195">
        <f t="shared" si="46"/>
        <v>-10674.87</v>
      </c>
      <c r="U132" s="174">
        <f t="shared" si="40"/>
        <v>14115.394524</v>
      </c>
      <c r="W132"/>
      <c r="Y132" s="197">
        <f>SUMIF('Other pmt'!H:H,"*"&amp;S132&amp;"*",'Other pmt'!F:F)</f>
        <v>0</v>
      </c>
      <c r="Z132" s="198" t="str">
        <f t="shared" si="47"/>
        <v>10</v>
      </c>
      <c r="AA132" s="198">
        <f>_xlfn.XLOOKUP("*"&amp;$S132&amp;"*",'Other pmt'!H$1:H$1126,'Other pmt'!D$1:D$1126,0,2)</f>
        <v>0</v>
      </c>
      <c r="AB132" s="198">
        <f t="shared" si="43"/>
        <v>-14115.394524</v>
      </c>
      <c r="AC132" s="199">
        <f t="shared" si="44"/>
        <v>-1</v>
      </c>
      <c r="AE132" s="200" t="e">
        <f>CHOOSE(MATCH($B132,{"Petco","PSP"},0),SUMIF('Petco Rec'!M:M,$S132,'Petco Rec'!E:E),SUMIF('PSP Rec'!B:B,$S132,'PSP Rec'!M:M))</f>
        <v>#N/A</v>
      </c>
    </row>
    <row r="133" customHeight="1" spans="1:37">
      <c r="A133" s="94" t="s">
        <v>366</v>
      </c>
      <c r="B133" s="189" t="str">
        <f>_xlfn.XLOOKUP(A133,Sales!D:D,Sales!H:H)</f>
        <v>PSP</v>
      </c>
      <c r="C133" s="190">
        <f>SUMIFS(Sales!G:G,Sales!D:D,A133)</f>
        <v>14528.41</v>
      </c>
      <c r="D133" s="190">
        <f>SUMIFS(Sales!N:N,Sales!D:D,A133)</f>
        <v>7014.48</v>
      </c>
      <c r="E133" s="202">
        <f>SUMIF(Sales!D:D,A133,Sales!O:O)</f>
        <v>219</v>
      </c>
      <c r="F133" s="190">
        <f t="shared" si="41"/>
        <v>2585</v>
      </c>
      <c r="G133" s="192">
        <f>SUMIFS(Sales!R:R,Sales!D:D,A133)</f>
        <v>23.5</v>
      </c>
      <c r="H133" s="190"/>
      <c r="I133" s="190">
        <f t="shared" si="39"/>
        <v>0</v>
      </c>
      <c r="J133" s="192">
        <v>5021.6</v>
      </c>
      <c r="K133" s="190">
        <f t="shared" si="34"/>
        <v>726.4205</v>
      </c>
      <c r="L133" s="190"/>
      <c r="M133" s="190"/>
      <c r="N133" s="190">
        <f t="shared" si="32"/>
        <v>581.1364</v>
      </c>
      <c r="O133" s="190">
        <f t="shared" si="45"/>
        <v>-1400.2269</v>
      </c>
      <c r="P133" s="190"/>
      <c r="Q133" s="193">
        <f>_xlfn.XLOOKUP(A133,Sales!D:D,Sales!K:K)</f>
        <v>46318</v>
      </c>
      <c r="R133" s="193">
        <f>_xlfn.XLOOKUP(A133,Sales!D:D,Sales!L:L)</f>
        <v>46309</v>
      </c>
      <c r="S133" s="232" t="s">
        <v>535</v>
      </c>
      <c r="T133" s="195">
        <f t="shared" si="46"/>
        <v>-14863.58</v>
      </c>
      <c r="U133" s="174">
        <f t="shared" si="40"/>
        <v>13801.9895</v>
      </c>
      <c r="W133"/>
      <c r="Y133" s="197">
        <f>SUMIF('Other pmt'!H:H,"*"&amp;S133&amp;"*",'Other pmt'!F:F)</f>
        <v>0</v>
      </c>
      <c r="Z133" s="198" t="str">
        <f t="shared" si="47"/>
        <v>10</v>
      </c>
      <c r="AA133" s="198">
        <f>_xlfn.XLOOKUP("*"&amp;$S133&amp;"*",'Other pmt'!H$1:H$1126,'Other pmt'!D$1:D$1126,0,2)</f>
        <v>0</v>
      </c>
      <c r="AB133" s="198">
        <f t="shared" si="43"/>
        <v>-13801.9895</v>
      </c>
      <c r="AC133" s="199">
        <f t="shared" si="44"/>
        <v>-1</v>
      </c>
      <c r="AE133" s="200">
        <f>CHOOSE(MATCH($B133,{"Petco","PSP"},0),SUMIF('Petco Rec'!M:M,$S133,'Petco Rec'!E:E),SUMIF('PSP Rec'!B:B,$S133,'PSP Rec'!M:M))</f>
        <v>0</v>
      </c>
    </row>
    <row r="134" customHeight="1" spans="1:37">
      <c r="A134" s="125">
        <v>32182081</v>
      </c>
      <c r="B134" s="189" t="str">
        <f>_xlfn.XLOOKUP(A134,Sales!D:D,Sales!H:H)</f>
        <v>Petco</v>
      </c>
      <c r="C134" s="190">
        <f>SUMIFS(Sales!G:G,Sales!D:D,A134)</f>
        <v>3020.3</v>
      </c>
      <c r="D134" s="190">
        <f>SUMIFS(Sales!N:N,Sales!D:D,A134)</f>
        <v>1716.64</v>
      </c>
      <c r="E134" s="202">
        <f>SUMIF(Sales!D:D,A134,Sales!O:O)</f>
        <v>27</v>
      </c>
      <c r="F134" s="190">
        <f t="shared" si="41"/>
        <v>414.7</v>
      </c>
      <c r="G134" s="192">
        <f>SUMIFS(Sales!R:R,Sales!D:D,A134)</f>
        <v>3.77</v>
      </c>
      <c r="H134" s="190"/>
      <c r="I134" s="190">
        <f t="shared" si="39"/>
        <v>0</v>
      </c>
      <c r="J134" s="192">
        <v>928.35</v>
      </c>
      <c r="K134" s="190">
        <f t="shared" si="34"/>
        <v>135.9135</v>
      </c>
      <c r="L134" s="190"/>
      <c r="M134" s="190"/>
      <c r="N134" s="190">
        <f t="shared" si="32"/>
        <v>120.812</v>
      </c>
      <c r="O134" s="190">
        <f t="shared" si="45"/>
        <v>-296.1155</v>
      </c>
      <c r="P134" s="190"/>
      <c r="Q134" s="193">
        <f>_xlfn.XLOOKUP(A134,Sales!D:D,Sales!K:K)</f>
        <v>46325</v>
      </c>
      <c r="R134" s="193">
        <f>_xlfn.XLOOKUP(A134,Sales!D:D,Sales!L:L)</f>
        <v>46316</v>
      </c>
      <c r="S134" s="232" t="s">
        <v>536</v>
      </c>
      <c r="T134" s="195">
        <f t="shared" si="46"/>
        <v>-3090.46</v>
      </c>
      <c r="U134" s="174">
        <f t="shared" si="40"/>
        <v>2884.3865</v>
      </c>
      <c r="W134"/>
      <c r="Y134" s="197">
        <f>SUMIF('Other pmt'!H:H,"*"&amp;S134&amp;"*",'Other pmt'!F:F)</f>
        <v>0</v>
      </c>
      <c r="Z134" s="198" t="str">
        <f t="shared" si="47"/>
        <v>10</v>
      </c>
      <c r="AA134" s="198">
        <f>_xlfn.XLOOKUP("*"&amp;$S134&amp;"*",'Other pmt'!H$1:H$1126,'Other pmt'!D$1:D$1126,0,2)</f>
        <v>0</v>
      </c>
      <c r="AB134" s="198">
        <f t="shared" si="43"/>
        <v>-2884.3865</v>
      </c>
      <c r="AC134" s="199">
        <f t="shared" si="44"/>
        <v>-1</v>
      </c>
      <c r="AE134" s="200">
        <f>CHOOSE(MATCH($B134,{"Petco","PSP"},0),SUMIF('Petco Rec'!M:M,$S134,'Petco Rec'!E:E),SUMIF('PSP Rec'!B:B,$S134,'PSP Rec'!M:M))</f>
        <v>0</v>
      </c>
    </row>
    <row r="135" customHeight="1" spans="1:37">
      <c r="A135" s="125">
        <v>32182082</v>
      </c>
      <c r="B135" s="189" t="str">
        <f>_xlfn.XLOOKUP(A135,Sales!D:D,Sales!H:H)</f>
        <v>Petco</v>
      </c>
      <c r="C135" s="190">
        <f>SUMIFS(Sales!G:G,Sales!D:D,A135)</f>
        <v>3039.56</v>
      </c>
      <c r="D135" s="190">
        <f>SUMIFS(Sales!N:N,Sales!D:D,A135)</f>
        <v>1765.8</v>
      </c>
      <c r="E135" s="202">
        <f>SUMIF(Sales!D:D,A135,Sales!O:O)</f>
        <v>26</v>
      </c>
      <c r="F135" s="190">
        <f t="shared" si="41"/>
        <v>390.5</v>
      </c>
      <c r="G135" s="192">
        <f>SUMIFS(Sales!R:R,Sales!D:D,A135)</f>
        <v>3.55</v>
      </c>
      <c r="H135" s="190"/>
      <c r="I135" s="190">
        <f t="shared" si="39"/>
        <v>0</v>
      </c>
      <c r="J135" s="192">
        <v>884.95</v>
      </c>
      <c r="K135" s="190">
        <f t="shared" si="34"/>
        <v>136.7802</v>
      </c>
      <c r="L135" s="190"/>
      <c r="M135" s="190"/>
      <c r="N135" s="190">
        <f t="shared" si="32"/>
        <v>121.5824</v>
      </c>
      <c r="O135" s="190">
        <f t="shared" si="45"/>
        <v>-260.0526</v>
      </c>
      <c r="P135" s="190"/>
      <c r="Q135" s="193">
        <f>_xlfn.XLOOKUP(A135,Sales!D:D,Sales!K:K)</f>
        <v>46325</v>
      </c>
      <c r="R135" s="193">
        <f>_xlfn.XLOOKUP(A135,Sales!D:D,Sales!L:L)</f>
        <v>46316</v>
      </c>
      <c r="S135" s="232" t="s">
        <v>537</v>
      </c>
      <c r="T135" s="195">
        <f t="shared" si="46"/>
        <v>-3070.8</v>
      </c>
      <c r="U135" s="174">
        <f t="shared" si="40"/>
        <v>2902.7798</v>
      </c>
      <c r="W135"/>
      <c r="Y135" s="197">
        <f>SUMIF('Other pmt'!H:H,"*"&amp;S135&amp;"*",'Other pmt'!F:F)</f>
        <v>0</v>
      </c>
      <c r="Z135" s="198" t="str">
        <f t="shared" si="47"/>
        <v>10</v>
      </c>
      <c r="AA135" s="198">
        <f>_xlfn.XLOOKUP("*"&amp;$S135&amp;"*",'Other pmt'!H$1:H$1126,'Other pmt'!D$1:D$1126,0,2)</f>
        <v>0</v>
      </c>
      <c r="AB135" s="198">
        <f t="shared" si="43"/>
        <v>-2902.7798</v>
      </c>
      <c r="AC135" s="199">
        <f t="shared" si="44"/>
        <v>-1</v>
      </c>
      <c r="AE135" s="200">
        <f>CHOOSE(MATCH($B135,{"Petco","PSP"},0),SUMIF('Petco Rec'!M:M,$S135,'Petco Rec'!E:E),SUMIF('PSP Rec'!B:B,$S135,'PSP Rec'!M:M))</f>
        <v>0</v>
      </c>
    </row>
    <row r="136" customHeight="1" spans="1:37">
      <c r="A136" s="125">
        <v>32182083</v>
      </c>
      <c r="B136" s="189" t="str">
        <f>_xlfn.XLOOKUP(A136,Sales!D:D,Sales!H:H)</f>
        <v>Petco</v>
      </c>
      <c r="C136" s="190">
        <f>SUMIFS(Sales!G:G,Sales!D:D,A136)</f>
        <v>3044.9</v>
      </c>
      <c r="D136" s="190">
        <f>SUMIFS(Sales!N:N,Sales!D:D,A136)</f>
        <v>1796.6</v>
      </c>
      <c r="E136" s="202">
        <f>SUMIF(Sales!D:D,A136,Sales!O:O)</f>
        <v>26</v>
      </c>
      <c r="F136" s="190">
        <f t="shared" si="41"/>
        <v>386.1</v>
      </c>
      <c r="G136" s="192">
        <f>SUMIFS(Sales!R:R,Sales!D:D,A136)</f>
        <v>3.51</v>
      </c>
      <c r="H136" s="190"/>
      <c r="I136" s="190">
        <f t="shared" si="39"/>
        <v>0</v>
      </c>
      <c r="J136" s="192">
        <v>250</v>
      </c>
      <c r="K136" s="190">
        <f t="shared" si="34"/>
        <v>137.0205</v>
      </c>
      <c r="L136" s="190"/>
      <c r="M136" s="190"/>
      <c r="N136" s="190">
        <f t="shared" si="32"/>
        <v>121.796</v>
      </c>
      <c r="O136" s="190">
        <f t="shared" si="45"/>
        <v>353.3835</v>
      </c>
      <c r="P136" s="190"/>
      <c r="Q136" s="193">
        <f>_xlfn.XLOOKUP(A136,Sales!D:D,Sales!K:K)</f>
        <v>46323</v>
      </c>
      <c r="R136" s="193">
        <f>_xlfn.XLOOKUP(A136,Sales!D:D,Sales!L:L)</f>
        <v>46323</v>
      </c>
      <c r="S136" s="232" t="s">
        <v>538</v>
      </c>
      <c r="T136" s="195">
        <f t="shared" si="46"/>
        <v>-2462.21</v>
      </c>
      <c r="U136" s="174">
        <f t="shared" si="40"/>
        <v>2907.8795</v>
      </c>
      <c r="W136"/>
      <c r="Y136" s="197">
        <f>SUMIF('Other pmt'!H:H,"*"&amp;S136&amp;"*",'Other pmt'!F:F)</f>
        <v>0</v>
      </c>
      <c r="Z136" s="198" t="str">
        <f t="shared" si="47"/>
        <v>10</v>
      </c>
      <c r="AA136" s="198">
        <f>_xlfn.XLOOKUP("*"&amp;$S136&amp;"*",'Other pmt'!H$1:H$1126,'Other pmt'!D$1:D$1126,0,2)</f>
        <v>0</v>
      </c>
      <c r="AB136" s="198">
        <f t="shared" si="43"/>
        <v>-2907.8795</v>
      </c>
      <c r="AC136" s="199">
        <f t="shared" si="44"/>
        <v>-1</v>
      </c>
      <c r="AE136" s="200">
        <f>CHOOSE(MATCH($B136,{"Petco","PSP"},0),SUMIF('Petco Rec'!M:M,$S136,'Petco Rec'!E:E),SUMIF('PSP Rec'!B:B,$S136,'PSP Rec'!M:M))</f>
        <v>0</v>
      </c>
    </row>
    <row r="137" customHeight="1" spans="1:37">
      <c r="A137" s="125">
        <v>32182084</v>
      </c>
      <c r="B137" s="189" t="str">
        <f>_xlfn.XLOOKUP(A137,Sales!D:D,Sales!H:H)</f>
        <v>Petco</v>
      </c>
      <c r="C137" s="190">
        <f>SUMIFS(Sales!G:G,Sales!D:D,A137)</f>
        <v>3028.2</v>
      </c>
      <c r="D137" s="190">
        <f>SUMIFS(Sales!N:N,Sales!D:D,A137)</f>
        <v>1771.36</v>
      </c>
      <c r="E137" s="202">
        <f>SUMIF(Sales!D:D,A137,Sales!O:O)</f>
        <v>26</v>
      </c>
      <c r="F137" s="190">
        <f t="shared" si="41"/>
        <v>391.6</v>
      </c>
      <c r="G137" s="192">
        <f>SUMIFS(Sales!R:R,Sales!D:D,A137)</f>
        <v>3.56</v>
      </c>
      <c r="H137" s="190"/>
      <c r="I137" s="190">
        <f t="shared" si="39"/>
        <v>0</v>
      </c>
      <c r="J137" s="192">
        <v>1071.44</v>
      </c>
      <c r="K137" s="190">
        <f t="shared" si="34"/>
        <v>136.269</v>
      </c>
      <c r="L137" s="190"/>
      <c r="M137" s="190"/>
      <c r="N137" s="190">
        <f t="shared" si="32"/>
        <v>121.128</v>
      </c>
      <c r="O137" s="190">
        <f t="shared" si="45"/>
        <v>-463.597</v>
      </c>
      <c r="P137" s="190"/>
      <c r="Q137" s="193">
        <f>_xlfn.XLOOKUP(A137,Sales!D:D,Sales!K:K)</f>
        <v>46328</v>
      </c>
      <c r="R137" s="193">
        <f>_xlfn.XLOOKUP(A137,Sales!D:D,Sales!L:L)</f>
        <v>46316</v>
      </c>
      <c r="S137" s="232" t="s">
        <v>539</v>
      </c>
      <c r="T137" s="195">
        <f t="shared" si="46"/>
        <v>-3263.96</v>
      </c>
      <c r="U137" s="174">
        <f t="shared" si="40"/>
        <v>2891.931</v>
      </c>
      <c r="W137"/>
      <c r="Y137" s="197">
        <f>SUMIF('Other pmt'!H:H,"*"&amp;S137&amp;"*",'Other pmt'!F:F)</f>
        <v>0</v>
      </c>
      <c r="Z137" s="198" t="str">
        <f t="shared" si="47"/>
        <v>10</v>
      </c>
      <c r="AA137" s="198">
        <f>_xlfn.XLOOKUP("*"&amp;$S137&amp;"*",'Other pmt'!H$1:H$1126,'Other pmt'!D$1:D$1126,0,2)</f>
        <v>0</v>
      </c>
      <c r="AB137" s="198">
        <f t="shared" si="43"/>
        <v>-2891.931</v>
      </c>
      <c r="AC137" s="199">
        <f t="shared" si="44"/>
        <v>-1</v>
      </c>
      <c r="AE137" s="200">
        <f>CHOOSE(MATCH($B137,{"Petco","PSP"},0),SUMIF('Petco Rec'!M:M,$S137,'Petco Rec'!E:E),SUMIF('PSP Rec'!B:B,$S137,'PSP Rec'!M:M))</f>
        <v>0</v>
      </c>
    </row>
    <row r="138" customHeight="1" spans="1:37">
      <c r="A138" s="125" t="s">
        <v>367</v>
      </c>
      <c r="B138" s="189" t="str">
        <f>_xlfn.XLOOKUP(A138,Sales!D:D,Sales!H:H)</f>
        <v>PSP</v>
      </c>
      <c r="C138" s="190">
        <f>SUMIFS(Sales!G:G,Sales!D:D,A138)</f>
        <v>2520.76</v>
      </c>
      <c r="D138" s="190">
        <f>SUMIFS(Sales!N:N,Sales!D:D,A138)</f>
        <v>1490.8</v>
      </c>
      <c r="E138" s="202">
        <f>SUMIF(Sales!D:D,A138,Sales!O:O)</f>
        <v>25</v>
      </c>
      <c r="F138" s="190">
        <f t="shared" si="41"/>
        <v>313.5</v>
      </c>
      <c r="G138" s="192">
        <f>SUMIFS(Sales!R:R,Sales!D:D,A138)</f>
        <v>2.85</v>
      </c>
      <c r="H138" s="190"/>
      <c r="I138" s="190">
        <f t="shared" si="39"/>
        <v>0</v>
      </c>
      <c r="J138" s="192">
        <v>917.19</v>
      </c>
      <c r="K138" s="190">
        <f t="shared" si="34"/>
        <v>126.038</v>
      </c>
      <c r="L138" s="190"/>
      <c r="M138" s="190"/>
      <c r="N138" s="190">
        <f t="shared" si="32"/>
        <v>100.8304</v>
      </c>
      <c r="O138" s="190">
        <f t="shared" si="45"/>
        <v>-427.5984</v>
      </c>
      <c r="P138" s="190"/>
      <c r="Q138" s="193">
        <f>_xlfn.XLOOKUP(A138,Sales!D:D,Sales!K:K)</f>
        <v>46314</v>
      </c>
      <c r="R138" s="193">
        <f>_xlfn.XLOOKUP(A138,Sales!D:D,Sales!L:L)</f>
        <v>46311</v>
      </c>
      <c r="S138" s="232" t="s">
        <v>540</v>
      </c>
      <c r="T138" s="195">
        <f t="shared" si="46"/>
        <v>-2749.34</v>
      </c>
      <c r="U138" s="174">
        <f t="shared" si="40"/>
        <v>2394.722</v>
      </c>
      <c r="W138"/>
      <c r="Y138" s="197">
        <f>SUMIF('Other pmt'!H:H,"*"&amp;S138&amp;"*",'Other pmt'!F:F)</f>
        <v>0</v>
      </c>
      <c r="Z138" s="198" t="str">
        <f t="shared" si="47"/>
        <v>10</v>
      </c>
      <c r="AA138" s="198">
        <f>_xlfn.XLOOKUP("*"&amp;$S138&amp;"*",'Other pmt'!H$1:H$1126,'Other pmt'!D$1:D$1126,0,2)</f>
        <v>0</v>
      </c>
      <c r="AB138" s="198">
        <f t="shared" si="43"/>
        <v>-2394.722</v>
      </c>
      <c r="AC138" s="199">
        <f t="shared" si="44"/>
        <v>-1</v>
      </c>
      <c r="AE138" s="200">
        <f>CHOOSE(MATCH($B138,{"Petco","PSP"},0),SUMIF('Petco Rec'!M:M,$S138,'Petco Rec'!E:E),SUMIF('PSP Rec'!B:B,$S138,'PSP Rec'!M:M))</f>
        <v>0</v>
      </c>
    </row>
    <row r="139" customHeight="1" spans="1:37">
      <c r="A139" s="125">
        <v>32297647</v>
      </c>
      <c r="B139" s="189" t="str">
        <f>_xlfn.XLOOKUP(A139,Sales!D:D,Sales!H:H)</f>
        <v>Petco</v>
      </c>
      <c r="C139" s="190">
        <f>SUMIFS(Sales!G:G,Sales!D:D,A139)</f>
        <v>4076.83</v>
      </c>
      <c r="D139" s="190">
        <f>SUMIFS(Sales!N:N,Sales!D:D,A139)</f>
        <v>2207.43</v>
      </c>
      <c r="E139" s="202">
        <f>SUMIF(Sales!D:D,A139,Sales!O:O)</f>
        <v>64</v>
      </c>
      <c r="F139" s="190">
        <f t="shared" si="41"/>
        <v>605</v>
      </c>
      <c r="G139" s="192">
        <f>SUMIFS(Sales!R:R,Sales!D:D,A139)</f>
        <v>5.5</v>
      </c>
      <c r="H139" s="190"/>
      <c r="I139" s="190">
        <f t="shared" si="39"/>
        <v>0</v>
      </c>
      <c r="J139" s="192"/>
      <c r="K139" s="190">
        <f t="shared" si="34"/>
        <v>183.45735</v>
      </c>
      <c r="L139" s="190"/>
      <c r="M139" s="190"/>
      <c r="N139" s="190">
        <f t="shared" si="32"/>
        <v>163.0732</v>
      </c>
      <c r="O139" s="190">
        <f t="shared" si="45"/>
        <v>917.86945</v>
      </c>
      <c r="P139" s="190"/>
      <c r="Q139" s="193">
        <f>_xlfn.XLOOKUP(A139,Sales!D:D,Sales!K:K)</f>
        <v>46342</v>
      </c>
      <c r="R139" s="193">
        <f>_xlfn.XLOOKUP(A139,Sales!D:D,Sales!L:L)</f>
        <v>0</v>
      </c>
      <c r="S139" s="212"/>
      <c r="T139" s="195">
        <f t="shared" si="46"/>
        <v>-2881.93</v>
      </c>
      <c r="U139" s="174">
        <f t="shared" si="40"/>
        <v>3893.37265</v>
      </c>
      <c r="W139"/>
      <c r="Y139" s="197">
        <f>SUMIF('Other pmt'!H:H,"*"&amp;S139&amp;"*",'Other pmt'!F:F)</f>
        <v>966714.13</v>
      </c>
      <c r="Z139" s="198" t="str">
        <f t="shared" si="47"/>
        <v/>
      </c>
      <c r="AA139" s="198" t="str">
        <f>_xlfn.XLOOKUP("*"&amp;$S139&amp;"*",'Other pmt'!H$1:H$1126,'Other pmt'!D$1:D$1126,0,2)</f>
        <v>Check Date</v>
      </c>
      <c r="AB139" s="198">
        <f t="shared" si="43"/>
        <v>962820.75735</v>
      </c>
      <c r="AC139" s="199">
        <f t="shared" si="44"/>
        <v>247.297354736901</v>
      </c>
      <c r="AE139" s="200">
        <f>CHOOSE(MATCH($B139,{"Petco","PSP"},0),SUMIF('Petco Rec'!M:M,$S139,'Petco Rec'!E:E),SUMIF('PSP Rec'!B:B,$S139,'PSP Rec'!M:M))</f>
        <v>0</v>
      </c>
    </row>
    <row r="140" customHeight="1" spans="1:37">
      <c r="A140" s="125">
        <v>32297648</v>
      </c>
      <c r="B140" s="189" t="str">
        <f>_xlfn.XLOOKUP(A140,Sales!D:D,Sales!H:H)</f>
        <v>Petco</v>
      </c>
      <c r="C140" s="190">
        <f>SUMIFS(Sales!G:G,Sales!D:D,A140)</f>
        <v>3680.89</v>
      </c>
      <c r="D140" s="190">
        <f>SUMIFS(Sales!N:N,Sales!D:D,A140)</f>
        <v>1920.53</v>
      </c>
      <c r="E140" s="202">
        <f>SUMIF(Sales!D:D,A140,Sales!O:O)</f>
        <v>67</v>
      </c>
      <c r="F140" s="190">
        <f t="shared" si="41"/>
        <v>570.9</v>
      </c>
      <c r="G140" s="192">
        <f>SUMIFS(Sales!R:R,Sales!D:D,A140)</f>
        <v>5.19</v>
      </c>
      <c r="H140" s="190"/>
      <c r="I140" s="190">
        <f t="shared" si="39"/>
        <v>0</v>
      </c>
      <c r="J140" s="192"/>
      <c r="K140" s="190">
        <f t="shared" si="34"/>
        <v>165.64005</v>
      </c>
      <c r="L140" s="190"/>
      <c r="M140" s="190"/>
      <c r="N140" s="190">
        <f t="shared" si="32"/>
        <v>147.2356</v>
      </c>
      <c r="O140" s="190">
        <f t="shared" si="45"/>
        <v>876.58435</v>
      </c>
      <c r="P140" s="190"/>
      <c r="Q140" s="193">
        <f>_xlfn.XLOOKUP(A140,Sales!D:D,Sales!K:K)</f>
        <v>46339</v>
      </c>
      <c r="R140" s="193">
        <f>_xlfn.XLOOKUP(A140,Sales!D:D,Sales!L:L)</f>
        <v>0</v>
      </c>
      <c r="S140" s="212"/>
      <c r="T140" s="195">
        <f t="shared" si="46"/>
        <v>-2563.62</v>
      </c>
      <c r="U140" s="174">
        <f t="shared" si="40"/>
        <v>3515.24995</v>
      </c>
      <c r="W140"/>
      <c r="Y140" s="197">
        <f>SUMIF('Other pmt'!H:H,"*"&amp;S140&amp;"*",'Other pmt'!F:F)</f>
        <v>966714.13</v>
      </c>
      <c r="Z140" s="198" t="str">
        <f t="shared" si="47"/>
        <v/>
      </c>
      <c r="AA140" s="198" t="str">
        <f>_xlfn.XLOOKUP("*"&amp;$S140&amp;"*",'Other pmt'!H$1:H$1126,'Other pmt'!D$1:D$1126,0,2)</f>
        <v>Check Date</v>
      </c>
      <c r="AB140" s="198">
        <f t="shared" si="43"/>
        <v>963198.88005</v>
      </c>
      <c r="AC140" s="199">
        <f t="shared" si="44"/>
        <v>274.005801507799</v>
      </c>
      <c r="AE140" s="200">
        <f>CHOOSE(MATCH($B140,{"Petco","PSP"},0),SUMIF('Petco Rec'!M:M,$S140,'Petco Rec'!E:E),SUMIF('PSP Rec'!B:B,$S140,'PSP Rec'!M:M))</f>
        <v>0</v>
      </c>
    </row>
    <row r="141" customHeight="1" spans="1:37">
      <c r="A141" s="125">
        <v>32297649</v>
      </c>
      <c r="B141" s="189" t="str">
        <f>_xlfn.XLOOKUP(A141,Sales!D:D,Sales!H:H)</f>
        <v>Petco</v>
      </c>
      <c r="C141" s="190">
        <f>SUMIFS(Sales!G:G,Sales!D:D,A141)</f>
        <v>4097.89</v>
      </c>
      <c r="D141" s="190">
        <f>SUMIFS(Sales!N:N,Sales!D:D,A141)</f>
        <v>2266.49</v>
      </c>
      <c r="E141" s="202">
        <f>SUMIF(Sales!D:D,A141,Sales!O:O)</f>
        <v>66</v>
      </c>
      <c r="F141" s="190">
        <f t="shared" si="41"/>
        <v>609.4</v>
      </c>
      <c r="G141" s="192">
        <f>SUMIFS(Sales!R:R,Sales!D:D,A141)</f>
        <v>5.54</v>
      </c>
      <c r="H141" s="190"/>
      <c r="I141" s="190">
        <f t="shared" si="39"/>
        <v>0</v>
      </c>
      <c r="J141" s="192"/>
      <c r="K141" s="190">
        <f t="shared" si="34"/>
        <v>184.40505</v>
      </c>
      <c r="L141" s="190"/>
      <c r="M141" s="190"/>
      <c r="N141" s="190">
        <f t="shared" si="32"/>
        <v>163.9156</v>
      </c>
      <c r="O141" s="190">
        <f t="shared" si="45"/>
        <v>873.67935</v>
      </c>
      <c r="P141" s="190"/>
      <c r="Q141" s="193">
        <f>_xlfn.XLOOKUP(A141,Sales!D:D,Sales!K:K)</f>
        <v>46337</v>
      </c>
      <c r="R141" s="193">
        <f>_xlfn.XLOOKUP(A141,Sales!D:D,Sales!L:L)</f>
        <v>0</v>
      </c>
      <c r="S141" s="212"/>
      <c r="T141" s="195">
        <f t="shared" si="46"/>
        <v>-2947.43</v>
      </c>
      <c r="U141" s="174">
        <f t="shared" si="40"/>
        <v>3913.48495</v>
      </c>
      <c r="W141"/>
      <c r="Y141" s="197">
        <f>SUMIF('Other pmt'!H:H,"*"&amp;S141&amp;"*",'Other pmt'!F:F)</f>
        <v>966714.13</v>
      </c>
      <c r="Z141" s="198" t="str">
        <f t="shared" si="47"/>
        <v/>
      </c>
      <c r="AA141" s="198" t="str">
        <f>_xlfn.XLOOKUP("*"&amp;$S141&amp;"*",'Other pmt'!H$1:H$1126,'Other pmt'!D$1:D$1126,0,2)</f>
        <v>Check Date</v>
      </c>
      <c r="AB141" s="198">
        <f t="shared" si="43"/>
        <v>962800.64505</v>
      </c>
      <c r="AC141" s="199">
        <f t="shared" si="44"/>
        <v>246.02129747554</v>
      </c>
      <c r="AE141" s="200">
        <f>CHOOSE(MATCH($B141,{"Petco","PSP"},0),SUMIF('Petco Rec'!M:M,$S141,'Petco Rec'!E:E),SUMIF('PSP Rec'!B:B,$S141,'PSP Rec'!M:M))</f>
        <v>0</v>
      </c>
    </row>
    <row r="142" customHeight="1" spans="1:37">
      <c r="A142" s="125">
        <v>32297650</v>
      </c>
      <c r="B142" s="189" t="str">
        <f>_xlfn.XLOOKUP(A142,Sales!D:D,Sales!H:H)</f>
        <v>Petco</v>
      </c>
      <c r="C142" s="190">
        <f>SUMIFS(Sales!G:G,Sales!D:D,A142)</f>
        <v>3014.61</v>
      </c>
      <c r="D142" s="190">
        <f>SUMIFS(Sales!N:N,Sales!D:D,A142)</f>
        <v>1727.43</v>
      </c>
      <c r="E142" s="202">
        <f>SUMIF(Sales!D:D,A142,Sales!O:O)</f>
        <v>38</v>
      </c>
      <c r="F142" s="190">
        <f t="shared" si="41"/>
        <v>402.6</v>
      </c>
      <c r="G142" s="192">
        <f>SUMIFS(Sales!R:R,Sales!D:D,A142)</f>
        <v>3.66</v>
      </c>
      <c r="H142" s="190"/>
      <c r="I142" s="190">
        <f t="shared" si="39"/>
        <v>0</v>
      </c>
      <c r="J142" s="192"/>
      <c r="K142" s="190">
        <f t="shared" si="34"/>
        <v>135.65745</v>
      </c>
      <c r="L142" s="190"/>
      <c r="M142" s="190"/>
      <c r="N142" s="190">
        <f t="shared" si="32"/>
        <v>120.5844</v>
      </c>
      <c r="O142" s="190">
        <f t="shared" si="45"/>
        <v>628.33815</v>
      </c>
      <c r="P142" s="190"/>
      <c r="Q142" s="193">
        <f>_xlfn.XLOOKUP(A142,Sales!D:D,Sales!K:K)</f>
        <v>46342</v>
      </c>
      <c r="R142" s="193">
        <f>_xlfn.XLOOKUP(A142,Sales!D:D,Sales!L:L)</f>
        <v>0</v>
      </c>
      <c r="S142" s="212"/>
      <c r="T142" s="195">
        <f t="shared" si="46"/>
        <v>-2171.69</v>
      </c>
      <c r="U142" s="174">
        <f t="shared" si="40"/>
        <v>2878.95255</v>
      </c>
      <c r="W142"/>
      <c r="Y142" s="197">
        <f>SUMIF('Other pmt'!H:H,"*"&amp;S142&amp;"*",'Other pmt'!F:F)</f>
        <v>966714.13</v>
      </c>
      <c r="Z142" s="198" t="str">
        <f t="shared" si="47"/>
        <v/>
      </c>
      <c r="AA142" s="198" t="str">
        <f>_xlfn.XLOOKUP("*"&amp;$S142&amp;"*",'Other pmt'!H$1:H$1126,'Other pmt'!D$1:D$1126,0,2)</f>
        <v>Check Date</v>
      </c>
      <c r="AB142" s="198">
        <f t="shared" si="43"/>
        <v>963835.17745</v>
      </c>
      <c r="AC142" s="199">
        <f t="shared" si="44"/>
        <v>334.786753414883</v>
      </c>
      <c r="AE142" s="200">
        <f>CHOOSE(MATCH($B142,{"Petco","PSP"},0),SUMIF('Petco Rec'!M:M,$S142,'Petco Rec'!E:E),SUMIF('PSP Rec'!B:B,$S142,'PSP Rec'!M:M))</f>
        <v>0</v>
      </c>
    </row>
    <row r="143" customHeight="1" spans="1:37">
      <c r="A143" s="233" t="s">
        <v>368</v>
      </c>
      <c r="B143" s="189" t="str">
        <f>_xlfn.XLOOKUP(A143,Sales!D:D,Sales!H:H)</f>
        <v>PSP</v>
      </c>
      <c r="C143" s="190">
        <f>SUMIFS(Sales!G:G,Sales!D:D,A143)</f>
        <v>11680.24</v>
      </c>
      <c r="D143" s="190">
        <f>SUMIFS(Sales!N:N,Sales!D:D,A143)</f>
        <v>5427.88</v>
      </c>
      <c r="E143" s="202">
        <f>SUMIF(Sales!D:D,A143,Sales!O:O)</f>
        <v>199</v>
      </c>
      <c r="F143" s="190">
        <f t="shared" si="41"/>
        <v>1912.9</v>
      </c>
      <c r="G143" s="192">
        <f>SUMIFS(Sales!R:R,Sales!D:D,A143)</f>
        <v>17.39</v>
      </c>
      <c r="H143" s="190"/>
      <c r="I143" s="190">
        <f t="shared" si="39"/>
        <v>0</v>
      </c>
      <c r="J143" s="192"/>
      <c r="K143" s="190">
        <f t="shared" si="34"/>
        <v>584.012</v>
      </c>
      <c r="L143" s="190"/>
      <c r="M143" s="190"/>
      <c r="N143" s="190">
        <f t="shared" si="32"/>
        <v>467.2096</v>
      </c>
      <c r="O143" s="190">
        <f t="shared" si="45"/>
        <v>3288.2384</v>
      </c>
      <c r="P143" s="190"/>
      <c r="Q143" s="193">
        <f>_xlfn.XLOOKUP(A143,Sales!D:D,Sales!K:K)</f>
        <v>46329</v>
      </c>
      <c r="R143" s="193">
        <f>_xlfn.XLOOKUP(A143,Sales!D:D,Sales!L:L)</f>
        <v>46323</v>
      </c>
      <c r="S143" s="212"/>
      <c r="T143" s="195">
        <f t="shared" si="46"/>
        <v>-7557.17</v>
      </c>
      <c r="U143" s="174">
        <f t="shared" si="40"/>
        <v>11096.228</v>
      </c>
      <c r="W143"/>
      <c r="Y143" s="197">
        <f>SUMIF('Other pmt'!H:H,"*"&amp;S143&amp;"*",'Other pmt'!F:F)</f>
        <v>966714.13</v>
      </c>
      <c r="Z143" s="198" t="str">
        <f t="shared" si="47"/>
        <v/>
      </c>
      <c r="AA143" s="198" t="str">
        <f>_xlfn.XLOOKUP("*"&amp;$S143&amp;"*",'Other pmt'!H$1:H$1126,'Other pmt'!D$1:D$1126,0,2)</f>
        <v>Check Date</v>
      </c>
      <c r="AB143" s="198">
        <f t="shared" si="43"/>
        <v>955617.902</v>
      </c>
      <c r="AC143" s="199">
        <f t="shared" si="44"/>
        <v>86.1209684948795</v>
      </c>
      <c r="AE143" s="200">
        <f>CHOOSE(MATCH($B143,{"Petco","PSP"},0),SUMIF('Petco Rec'!M:M,$S143,'Petco Rec'!E:E),SUMIF('PSP Rec'!B:B,$S143,'PSP Rec'!M:M))</f>
        <v>0</v>
      </c>
    </row>
    <row r="144" customHeight="1" spans="1:37">
      <c r="A144" s="234">
        <v>32403374</v>
      </c>
      <c r="B144" s="189" t="str">
        <f>_xlfn.XLOOKUP(A144,Sales!D:D,Sales!H:H)</f>
        <v>Petco</v>
      </c>
      <c r="C144" s="190">
        <f>SUMIFS(Sales!G:G,Sales!D:D,A144)</f>
        <v>3738.14</v>
      </c>
      <c r="D144" s="190">
        <f>SUMIFS(Sales!N:N,Sales!D:D,A144)</f>
        <v>1867.14</v>
      </c>
      <c r="E144" s="202">
        <f>SUMIF(Sales!D:D,A144,Sales!O:O)</f>
        <v>61</v>
      </c>
      <c r="F144" s="190">
        <f t="shared" si="41"/>
        <v>598.4</v>
      </c>
      <c r="G144" s="192">
        <f>SUMIFS(Sales!R:R,Sales!D:D,A144)</f>
        <v>5.44</v>
      </c>
      <c r="H144" s="190"/>
      <c r="I144" s="190">
        <f t="shared" si="39"/>
        <v>0</v>
      </c>
      <c r="J144" s="192"/>
      <c r="K144" s="190">
        <f t="shared" si="34"/>
        <v>168.2163</v>
      </c>
      <c r="L144" s="190"/>
      <c r="M144" s="190"/>
      <c r="N144" s="190">
        <f t="shared" si="32"/>
        <v>149.5256</v>
      </c>
      <c r="O144" s="190">
        <f t="shared" si="45"/>
        <v>954.8581</v>
      </c>
      <c r="P144" s="190"/>
      <c r="Q144" s="193">
        <f>_xlfn.XLOOKUP(A144,Sales!D:D,Sales!K:K)</f>
        <v>46350</v>
      </c>
      <c r="R144" s="193">
        <f>_xlfn.XLOOKUP(A144,Sales!D:D,Sales!L:L)</f>
        <v>0</v>
      </c>
      <c r="S144" s="212"/>
      <c r="T144" s="195">
        <f t="shared" si="46"/>
        <v>-2531.98</v>
      </c>
      <c r="U144" s="174">
        <f t="shared" si="40"/>
        <v>3569.9237</v>
      </c>
      <c r="W144"/>
    </row>
    <row r="145" customHeight="1" spans="1:23">
      <c r="A145" s="233" t="s">
        <v>370</v>
      </c>
      <c r="B145" s="189" t="str">
        <f>_xlfn.XLOOKUP(A145,Sales!D:D,Sales!H:H)</f>
        <v>PSP</v>
      </c>
      <c r="C145" s="190">
        <f>SUMIFS(Sales!G:G,Sales!D:D,A145)</f>
        <v>5276.72</v>
      </c>
      <c r="D145" s="190">
        <f>SUMIFS(Sales!N:N,Sales!D:D,A145)</f>
        <v>2263.2</v>
      </c>
      <c r="E145" s="202">
        <f>SUMIF(Sales!D:D,A145,Sales!O:O)</f>
        <v>83</v>
      </c>
      <c r="F145" s="190">
        <f t="shared" si="41"/>
        <v>1050.5</v>
      </c>
      <c r="G145" s="192">
        <f>SUMIFS(Sales!R:R,Sales!D:D,A145)</f>
        <v>9.55</v>
      </c>
      <c r="H145" s="190"/>
      <c r="I145" s="190">
        <f t="shared" si="39"/>
        <v>0</v>
      </c>
      <c r="J145" s="192"/>
      <c r="K145" s="190">
        <f t="shared" si="34"/>
        <v>263.836</v>
      </c>
      <c r="L145" s="190"/>
      <c r="M145" s="190"/>
      <c r="N145" s="190">
        <f t="shared" si="32"/>
        <v>211.0688</v>
      </c>
      <c r="O145" s="190">
        <f t="shared" si="45"/>
        <v>1488.1152</v>
      </c>
      <c r="P145" s="190"/>
      <c r="Q145" s="193">
        <f>_xlfn.XLOOKUP(A145,Sales!D:D,Sales!K:K)</f>
        <v>46342</v>
      </c>
      <c r="R145" s="193">
        <f>_xlfn.XLOOKUP(A145,Sales!D:D,Sales!L:L)</f>
        <v>0</v>
      </c>
      <c r="S145" s="212"/>
      <c r="W145"/>
    </row>
    <row r="146" customHeight="1" spans="1:23">
      <c r="A146" s="234" t="s">
        <v>371</v>
      </c>
      <c r="B146" s="189" t="str">
        <f>_xlfn.XLOOKUP(A146,Sales!D:D,Sales!H:H)</f>
        <v>PSP</v>
      </c>
      <c r="C146" s="190">
        <f>SUMIFS(Sales!G:G,Sales!D:D,A146)</f>
        <v>16832</v>
      </c>
      <c r="D146" s="190">
        <f>SUMIFS(Sales!N:N,Sales!D:D,A146)</f>
        <v>7475.81</v>
      </c>
      <c r="E146" s="202">
        <f>SUMIF(Sales!D:D,A146,Sales!O:O)</f>
        <v>271</v>
      </c>
      <c r="F146" s="190">
        <f t="shared" si="41"/>
        <v>3439.7</v>
      </c>
      <c r="G146" s="192">
        <f>SUMIFS(Sales!R:R,Sales!D:D,A146)</f>
        <v>31.27</v>
      </c>
      <c r="H146" s="190"/>
      <c r="I146" s="190">
        <f t="shared" si="39"/>
        <v>0</v>
      </c>
      <c r="J146" s="192"/>
      <c r="K146" s="190">
        <f t="shared" si="34"/>
        <v>841.6</v>
      </c>
      <c r="L146" s="190"/>
      <c r="M146" s="190"/>
      <c r="N146" s="190">
        <f t="shared" si="32"/>
        <v>673.28</v>
      </c>
      <c r="O146" s="190">
        <f t="shared" si="45"/>
        <v>4401.61</v>
      </c>
      <c r="P146" s="190"/>
      <c r="Q146" s="193">
        <f>_xlfn.XLOOKUP(A146,Sales!D:D,Sales!K:K)</f>
        <v>46342</v>
      </c>
      <c r="R146" s="193">
        <f>_xlfn.XLOOKUP(A146,Sales!D:D,Sales!L:L)</f>
        <v>0</v>
      </c>
      <c r="S146" s="212"/>
      <c r="W146"/>
    </row>
    <row r="147" customHeight="1" spans="1:23">
      <c r="A147" s="235">
        <v>32467640</v>
      </c>
      <c r="B147" s="189" t="str">
        <f>_xlfn.XLOOKUP(A147,Sales!D:D,Sales!H:H)</f>
        <v>Petco</v>
      </c>
      <c r="C147" s="190">
        <f>SUMIFS(Sales!G:G,Sales!D:D,A147)</f>
        <v>20907.51</v>
      </c>
      <c r="D147" s="190">
        <f>SUMIFS(Sales!N:N,Sales!D:D,A147)</f>
        <v>11370.77</v>
      </c>
      <c r="E147" s="202">
        <f>SUMIF(Sales!D:D,A147,Sales!O:O)</f>
        <v>297</v>
      </c>
      <c r="F147" s="190">
        <f t="shared" si="41"/>
        <v>3001.9</v>
      </c>
      <c r="G147" s="192">
        <f>SUMIFS(Sales!R:R,Sales!D:D,A147)</f>
        <v>27.29</v>
      </c>
      <c r="H147" s="190"/>
      <c r="I147" s="190">
        <f t="shared" si="39"/>
        <v>0</v>
      </c>
      <c r="J147" s="192"/>
      <c r="K147" s="190">
        <f t="shared" si="34"/>
        <v>940.83795</v>
      </c>
      <c r="L147" s="190"/>
      <c r="M147" s="190"/>
      <c r="N147" s="190">
        <f t="shared" si="32"/>
        <v>836.3004</v>
      </c>
      <c r="O147" s="190">
        <f t="shared" si="45"/>
        <v>4757.70165</v>
      </c>
      <c r="P147" s="190"/>
      <c r="Q147" s="193">
        <f>_xlfn.XLOOKUP(A147,Sales!D:D,Sales!K:K)</f>
        <v>46360</v>
      </c>
      <c r="R147" s="193">
        <f>_xlfn.XLOOKUP(A147,Sales!D:D,Sales!L:L)</f>
        <v>0</v>
      </c>
      <c r="S147" s="212"/>
      <c r="W147"/>
    </row>
    <row r="148" customHeight="1" spans="1:23">
      <c r="A148" s="235">
        <v>32467641</v>
      </c>
      <c r="B148" s="189" t="str">
        <f>_xlfn.XLOOKUP(A148,Sales!D:D,Sales!H:H)</f>
        <v>Petco</v>
      </c>
      <c r="C148" s="190">
        <f>SUMIFS(Sales!G:G,Sales!D:D,A148)</f>
        <v>19776.34</v>
      </c>
      <c r="D148" s="190">
        <f>SUMIFS(Sales!N:N,Sales!D:D,A148)</f>
        <v>10318.52</v>
      </c>
      <c r="E148" s="202">
        <f>SUMIF(Sales!D:D,A148,Sales!O:O)</f>
        <v>335</v>
      </c>
      <c r="F148" s="190">
        <f t="shared" si="41"/>
        <v>3116.3</v>
      </c>
      <c r="G148" s="192">
        <f>SUMIFS(Sales!R:R,Sales!D:D,A148)</f>
        <v>28.33</v>
      </c>
      <c r="H148" s="190"/>
      <c r="I148" s="190">
        <f t="shared" si="39"/>
        <v>0</v>
      </c>
      <c r="J148" s="192"/>
      <c r="K148" s="190">
        <f t="shared" si="34"/>
        <v>889.9353</v>
      </c>
      <c r="L148" s="190"/>
      <c r="M148" s="190"/>
      <c r="N148" s="190">
        <f t="shared" si="32"/>
        <v>791.0536</v>
      </c>
      <c r="O148" s="190">
        <f t="shared" si="45"/>
        <v>4660.5311</v>
      </c>
      <c r="P148" s="190"/>
      <c r="Q148" s="193">
        <f>_xlfn.XLOOKUP(A148,Sales!D:D,Sales!K:K)</f>
        <v>46363</v>
      </c>
      <c r="R148" s="193">
        <f>_xlfn.XLOOKUP(A148,Sales!D:D,Sales!L:L)</f>
        <v>0</v>
      </c>
      <c r="S148" s="212"/>
      <c r="W148"/>
    </row>
    <row r="149" customHeight="1" spans="1:23">
      <c r="A149" s="135">
        <v>32467642</v>
      </c>
      <c r="B149" s="189" t="str">
        <f>_xlfn.XLOOKUP(A149,Sales!D:D,Sales!H:H)</f>
        <v>Petco</v>
      </c>
      <c r="C149" s="190">
        <f>SUMIFS(Sales!G:G,Sales!D:D,A149)</f>
        <v>24743.66</v>
      </c>
      <c r="D149" s="190">
        <f>SUMIFS(Sales!N:N,Sales!D:D,A149)</f>
        <v>13356.84</v>
      </c>
      <c r="E149" s="202">
        <f>SUMIF(Sales!D:D,A149,Sales!O:O)</f>
        <v>379</v>
      </c>
      <c r="F149" s="190">
        <f t="shared" si="41"/>
        <v>3657.5</v>
      </c>
      <c r="G149" s="192">
        <f>SUMIFS(Sales!R:R,Sales!D:D,A149)</f>
        <v>33.25</v>
      </c>
      <c r="H149" s="190"/>
      <c r="I149" s="190">
        <f t="shared" si="39"/>
        <v>0</v>
      </c>
      <c r="J149" s="192"/>
      <c r="K149" s="190">
        <f t="shared" si="34"/>
        <v>1113.4647</v>
      </c>
      <c r="L149" s="190"/>
      <c r="M149" s="190"/>
      <c r="N149" s="190">
        <f t="shared" si="32"/>
        <v>989.7464</v>
      </c>
      <c r="O149" s="190">
        <f t="shared" si="45"/>
        <v>5626.1089</v>
      </c>
      <c r="P149" s="190"/>
      <c r="Q149" s="193">
        <f>_xlfn.XLOOKUP(A149,Sales!D:D,Sales!K:K)</f>
        <v>46363</v>
      </c>
      <c r="R149" s="193">
        <f>_xlfn.XLOOKUP(A149,Sales!D:D,Sales!L:L)</f>
        <v>0</v>
      </c>
      <c r="S149" s="212"/>
      <c r="W149"/>
    </row>
    <row r="150" customHeight="1" spans="1:23">
      <c r="A150"/>
      <c r="L150" s="236"/>
      <c r="Q150" s="237"/>
      <c r="R150" s="237"/>
      <c r="W150"/>
    </row>
    <row r="151" customHeight="1" spans="1:23">
      <c r="A151"/>
      <c r="L151" s="236"/>
      <c r="Q151" s="237"/>
      <c r="R151" s="237"/>
      <c r="W151"/>
    </row>
    <row r="152" customHeight="1" spans="1:23">
      <c r="A152"/>
      <c r="L152" s="236"/>
      <c r="Q152" s="237"/>
      <c r="R152" s="237"/>
      <c r="W152"/>
    </row>
    <row r="153" customHeight="1" spans="1:23">
      <c r="A153"/>
      <c r="L153" s="236"/>
      <c r="Q153" s="237"/>
      <c r="R153" s="237"/>
      <c r="W153"/>
    </row>
    <row r="154" customHeight="1" spans="1:23">
      <c r="A154"/>
      <c r="L154" s="236"/>
      <c r="Q154" s="237"/>
      <c r="R154" s="237"/>
      <c r="W154"/>
    </row>
    <row r="155" customHeight="1" spans="1:23">
      <c r="A155"/>
      <c r="L155" s="236"/>
      <c r="Q155" s="237"/>
      <c r="R155" s="237"/>
      <c r="W155"/>
    </row>
    <row r="156" customHeight="1" spans="1:23">
      <c r="A156"/>
      <c r="L156" s="236"/>
      <c r="Q156" s="237"/>
      <c r="R156" s="237"/>
      <c r="W156"/>
    </row>
    <row r="157" customHeight="1" spans="1:23">
      <c r="A157"/>
      <c r="L157" s="236"/>
      <c r="Q157" s="237"/>
      <c r="R157" s="237"/>
      <c r="W157"/>
    </row>
    <row r="158" customHeight="1" spans="1:23">
      <c r="A158"/>
      <c r="L158" s="236"/>
      <c r="Q158" s="237"/>
      <c r="R158" s="237"/>
      <c r="W158"/>
    </row>
    <row r="159" customHeight="1" spans="1:23">
      <c r="A159"/>
      <c r="L159" s="236"/>
      <c r="Q159" s="237"/>
      <c r="R159" s="237"/>
      <c r="W159"/>
    </row>
    <row r="160" customHeight="1" spans="1:23">
      <c r="A160"/>
      <c r="L160" s="236"/>
      <c r="Q160" s="237"/>
      <c r="R160" s="237"/>
      <c r="W160"/>
    </row>
    <row r="161" customHeight="1" spans="1:23">
      <c r="A161"/>
      <c r="L161" s="236"/>
      <c r="Q161" s="237"/>
      <c r="R161" s="237"/>
      <c r="W161"/>
    </row>
    <row r="162" customHeight="1" spans="1:23">
      <c r="A162"/>
      <c r="L162" s="236"/>
      <c r="Q162" s="237"/>
      <c r="R162" s="237"/>
      <c r="W162"/>
    </row>
    <row r="163" customHeight="1" spans="1:23">
      <c r="A163"/>
      <c r="L163" s="236"/>
      <c r="Q163" s="237"/>
      <c r="R163" s="237"/>
      <c r="W163"/>
    </row>
    <row r="164" customHeight="1" spans="1:23">
      <c r="A164"/>
      <c r="L164" s="236"/>
      <c r="Q164" s="237"/>
      <c r="R164" s="237"/>
      <c r="W164"/>
    </row>
    <row r="165" customHeight="1" spans="1:23">
      <c r="A165"/>
      <c r="L165" s="236"/>
      <c r="Q165" s="237"/>
      <c r="R165" s="237"/>
      <c r="W165"/>
    </row>
    <row r="166" customHeight="1" spans="1:23">
      <c r="A166"/>
      <c r="L166" s="236"/>
      <c r="Q166" s="237"/>
      <c r="R166" s="237"/>
      <c r="W166"/>
    </row>
    <row r="167" customHeight="1" spans="1:23">
      <c r="A167"/>
      <c r="L167" s="236"/>
      <c r="Q167" s="237"/>
      <c r="R167" s="237"/>
      <c r="W167"/>
    </row>
    <row r="168" customHeight="1" spans="1:23">
      <c r="A168"/>
      <c r="L168" s="236"/>
      <c r="Q168" s="237"/>
      <c r="R168" s="237"/>
      <c r="W168"/>
    </row>
    <row r="169" customHeight="1" spans="1:23">
      <c r="A169"/>
      <c r="L169" s="236"/>
      <c r="Q169" s="237"/>
      <c r="R169" s="237"/>
      <c r="W169"/>
    </row>
    <row r="170" customHeight="1" spans="1:23">
      <c r="A170"/>
      <c r="L170" s="236"/>
      <c r="Q170" s="237"/>
      <c r="R170" s="237"/>
      <c r="W170"/>
    </row>
    <row r="171" customHeight="1" spans="1:23">
      <c r="A171"/>
      <c r="L171" s="236"/>
      <c r="Q171" s="237"/>
      <c r="R171" s="237"/>
      <c r="W171"/>
    </row>
    <row r="172" customHeight="1" spans="1:23">
      <c r="A172"/>
      <c r="L172" s="236"/>
      <c r="Q172" s="237"/>
      <c r="R172" s="237"/>
      <c r="W172"/>
    </row>
    <row r="173" customHeight="1" spans="1:23">
      <c r="A173"/>
      <c r="L173" s="236"/>
      <c r="Q173" s="237"/>
      <c r="R173" s="237"/>
      <c r="W173"/>
    </row>
    <row r="174" customHeight="1" spans="1:23">
      <c r="A174"/>
      <c r="L174" s="236"/>
      <c r="Q174" s="237"/>
      <c r="R174" s="237"/>
      <c r="W174"/>
    </row>
    <row r="175" customHeight="1" spans="1:23">
      <c r="A175"/>
      <c r="L175" s="236"/>
      <c r="Q175" s="237"/>
      <c r="R175" s="237"/>
      <c r="W175"/>
    </row>
    <row r="176" customHeight="1" spans="1:23">
      <c r="A176"/>
      <c r="L176" s="236"/>
      <c r="Q176" s="237"/>
      <c r="R176" s="237"/>
      <c r="W176"/>
    </row>
    <row r="177" customHeight="1" spans="1:23">
      <c r="A177"/>
      <c r="L177" s="236"/>
      <c r="Q177" s="237"/>
      <c r="R177" s="237"/>
      <c r="W177"/>
    </row>
    <row r="178" customHeight="1" spans="1:23">
      <c r="A178"/>
      <c r="L178" s="236"/>
      <c r="Q178" s="237"/>
      <c r="R178" s="237"/>
      <c r="W178"/>
    </row>
    <row r="179" customHeight="1" spans="1:23">
      <c r="A179"/>
      <c r="L179" s="236"/>
      <c r="Q179" s="237"/>
      <c r="R179" s="237"/>
      <c r="W179"/>
    </row>
    <row r="180" customHeight="1" spans="1:23">
      <c r="A180"/>
      <c r="L180" s="236"/>
      <c r="Q180" s="237"/>
      <c r="R180" s="237"/>
      <c r="W180"/>
    </row>
    <row r="181" customHeight="1" spans="1:23">
      <c r="A181"/>
      <c r="L181" s="236"/>
      <c r="Q181" s="237"/>
      <c r="R181" s="237"/>
      <c r="W181"/>
    </row>
    <row r="182" customHeight="1" spans="1:23">
      <c r="A182"/>
      <c r="L182" s="236"/>
      <c r="Q182" s="237"/>
      <c r="R182" s="237"/>
      <c r="W182"/>
    </row>
    <row r="183" customHeight="1" spans="1:23">
      <c r="A183"/>
      <c r="L183" s="236"/>
      <c r="Q183" s="237"/>
      <c r="R183" s="237"/>
      <c r="W183"/>
    </row>
    <row r="184" customHeight="1" spans="1:23">
      <c r="A184"/>
      <c r="L184" s="236"/>
      <c r="Q184" s="237"/>
      <c r="R184" s="237"/>
      <c r="W184"/>
    </row>
    <row r="185" customHeight="1" spans="1:23">
      <c r="A185"/>
      <c r="L185" s="236"/>
      <c r="Q185" s="237"/>
      <c r="R185" s="237"/>
      <c r="W185"/>
    </row>
    <row r="186" customHeight="1" spans="1:23">
      <c r="A186"/>
      <c r="L186" s="236"/>
      <c r="Q186" s="237"/>
      <c r="R186" s="237"/>
      <c r="W186"/>
    </row>
    <row r="187" customHeight="1" spans="1:23">
      <c r="A187"/>
      <c r="L187" s="236"/>
      <c r="Q187" s="237"/>
      <c r="R187" s="237"/>
      <c r="W187"/>
    </row>
    <row r="188" customHeight="1" spans="1:23">
      <c r="A188"/>
      <c r="L188" s="236"/>
      <c r="Q188" s="237"/>
      <c r="R188" s="237"/>
      <c r="W188"/>
    </row>
    <row r="189" customHeight="1" spans="1:23">
      <c r="A189"/>
      <c r="L189" s="236"/>
      <c r="Q189" s="237"/>
      <c r="R189" s="237"/>
      <c r="W189"/>
    </row>
    <row r="190" customHeight="1" spans="1:23">
      <c r="A190"/>
      <c r="L190" s="236"/>
      <c r="Q190" s="237"/>
      <c r="R190" s="237"/>
      <c r="W190"/>
    </row>
    <row r="191" customHeight="1" spans="1:23">
      <c r="A191"/>
      <c r="L191" s="236"/>
      <c r="Q191" s="237"/>
      <c r="R191" s="237"/>
      <c r="W191"/>
    </row>
    <row r="192" customHeight="1" spans="1:23">
      <c r="A192"/>
      <c r="L192" s="236"/>
      <c r="Q192" s="237"/>
      <c r="R192" s="237"/>
      <c r="W192"/>
    </row>
    <row r="193" customHeight="1" spans="1:23">
      <c r="A193"/>
      <c r="L193" s="236"/>
      <c r="Q193" s="237"/>
      <c r="R193" s="237"/>
      <c r="W193"/>
    </row>
    <row r="194" customHeight="1" spans="1:23">
      <c r="A194"/>
      <c r="L194" s="236"/>
      <c r="Q194" s="237"/>
      <c r="R194" s="237"/>
      <c r="W194"/>
    </row>
    <row r="195" customHeight="1" spans="1:23">
      <c r="A195"/>
      <c r="L195" s="236"/>
      <c r="Q195" s="237"/>
      <c r="R195" s="237"/>
      <c r="W195"/>
    </row>
    <row r="196" customHeight="1" spans="1:23">
      <c r="A196"/>
      <c r="L196" s="236"/>
      <c r="Q196" s="237"/>
      <c r="R196" s="237"/>
      <c r="W196"/>
    </row>
    <row r="197" customHeight="1" spans="1:23">
      <c r="A197"/>
      <c r="L197" s="236"/>
      <c r="Q197" s="237"/>
      <c r="R197" s="237"/>
      <c r="W197"/>
    </row>
    <row r="198" customHeight="1" spans="1:23">
      <c r="A198"/>
      <c r="L198" s="236"/>
      <c r="Q198" s="237"/>
      <c r="R198" s="237"/>
      <c r="W198"/>
    </row>
    <row r="199" customHeight="1" spans="1:23">
      <c r="A199"/>
      <c r="L199" s="236"/>
      <c r="Q199" s="237"/>
      <c r="R199" s="237"/>
      <c r="W199"/>
    </row>
    <row r="200" customHeight="1" spans="1:23">
      <c r="A200"/>
      <c r="L200" s="236"/>
      <c r="Q200" s="237"/>
      <c r="R200" s="237"/>
      <c r="W200"/>
    </row>
    <row r="201" customHeight="1" spans="1:23">
      <c r="A201"/>
      <c r="L201" s="236"/>
      <c r="Q201" s="237"/>
      <c r="R201" s="237"/>
      <c r="W201"/>
    </row>
    <row r="202" customHeight="1" spans="1:23">
      <c r="A202"/>
      <c r="L202" s="236"/>
      <c r="Q202" s="237"/>
      <c r="R202" s="237"/>
      <c r="W202"/>
    </row>
    <row r="203" customHeight="1" spans="1:23">
      <c r="A203"/>
      <c r="L203" s="236"/>
      <c r="Q203" s="237"/>
      <c r="R203" s="237"/>
      <c r="W203"/>
    </row>
    <row r="204" customHeight="1" spans="1:23">
      <c r="A204"/>
      <c r="L204" s="236"/>
      <c r="Q204" s="237"/>
      <c r="R204" s="237"/>
      <c r="W204"/>
    </row>
    <row r="205" customHeight="1" spans="1:23">
      <c r="A205"/>
      <c r="L205" s="236"/>
      <c r="Q205" s="237"/>
      <c r="R205" s="237"/>
      <c r="W205"/>
    </row>
    <row r="206" customHeight="1" spans="1:23">
      <c r="A206"/>
      <c r="L206" s="236"/>
      <c r="Q206" s="237"/>
      <c r="R206" s="237"/>
      <c r="W206"/>
    </row>
    <row r="207" customHeight="1" spans="1:23">
      <c r="A207"/>
      <c r="L207" s="236"/>
      <c r="Q207" s="237"/>
      <c r="R207" s="237"/>
      <c r="W207"/>
    </row>
    <row r="208" customHeight="1" spans="1:23">
      <c r="A208"/>
      <c r="L208" s="236"/>
      <c r="Q208" s="237"/>
      <c r="R208" s="237"/>
      <c r="W208"/>
    </row>
    <row r="209" customHeight="1" spans="1:23">
      <c r="A209"/>
      <c r="L209" s="236"/>
      <c r="Q209" s="237"/>
      <c r="R209" s="237"/>
      <c r="W209"/>
    </row>
    <row r="210" customHeight="1" spans="1:23">
      <c r="A210"/>
      <c r="L210" s="236"/>
      <c r="Q210" s="237"/>
      <c r="R210" s="237"/>
      <c r="W210"/>
    </row>
    <row r="211" customHeight="1" spans="1:23">
      <c r="A211"/>
      <c r="L211" s="236"/>
      <c r="Q211" s="237"/>
      <c r="R211" s="237"/>
      <c r="W211"/>
    </row>
    <row r="212" customHeight="1" spans="1:23">
      <c r="A212"/>
      <c r="L212" s="236"/>
      <c r="Q212" s="237"/>
      <c r="R212" s="237"/>
      <c r="W212"/>
    </row>
    <row r="213" customHeight="1" spans="1:23">
      <c r="A213"/>
      <c r="L213" s="236"/>
      <c r="Q213" s="237"/>
      <c r="R213" s="237"/>
      <c r="W213"/>
    </row>
    <row r="214" customHeight="1" spans="1:23">
      <c r="A214"/>
      <c r="L214" s="236"/>
      <c r="Q214" s="237"/>
      <c r="R214" s="237"/>
      <c r="W214"/>
    </row>
    <row r="215" customHeight="1" spans="1:23">
      <c r="A215"/>
      <c r="L215" s="236"/>
      <c r="Q215" s="237"/>
      <c r="R215" s="237"/>
      <c r="W215"/>
    </row>
    <row r="216" customHeight="1" spans="1:23">
      <c r="A216"/>
      <c r="L216" s="236"/>
      <c r="Q216" s="237"/>
      <c r="R216" s="237"/>
      <c r="W216"/>
    </row>
    <row r="217" customHeight="1" spans="1:23">
      <c r="A217"/>
      <c r="L217" s="236"/>
      <c r="Q217" s="237"/>
      <c r="R217" s="237"/>
      <c r="W217"/>
    </row>
    <row r="218" customHeight="1" spans="1:23">
      <c r="A218"/>
      <c r="L218" s="236"/>
      <c r="Q218" s="237"/>
      <c r="R218" s="237"/>
      <c r="W218"/>
    </row>
    <row r="219" customHeight="1" spans="1:23">
      <c r="A219"/>
      <c r="L219" s="236"/>
      <c r="Q219" s="237"/>
      <c r="R219" s="237"/>
      <c r="W219"/>
    </row>
    <row r="220" customHeight="1" spans="1:23">
      <c r="A220"/>
      <c r="L220" s="236"/>
      <c r="Q220" s="237"/>
      <c r="R220" s="237"/>
      <c r="W220"/>
    </row>
    <row r="221" customHeight="1" spans="1:23">
      <c r="A221"/>
      <c r="L221" s="236"/>
      <c r="Q221" s="237"/>
      <c r="R221" s="237"/>
      <c r="W221"/>
    </row>
    <row r="222" customHeight="1" spans="1:23">
      <c r="A222"/>
      <c r="L222" s="236"/>
      <c r="Q222" s="237"/>
      <c r="R222" s="237"/>
      <c r="W222"/>
    </row>
    <row r="223" customHeight="1" spans="1:23">
      <c r="A223"/>
      <c r="L223" s="236"/>
      <c r="Q223" s="237"/>
      <c r="R223" s="237"/>
      <c r="W223"/>
    </row>
    <row r="224" customHeight="1" spans="1:23">
      <c r="A224"/>
      <c r="L224" s="236"/>
      <c r="Q224" s="237"/>
      <c r="R224" s="237"/>
      <c r="W224"/>
    </row>
    <row r="225" customHeight="1" spans="1:23">
      <c r="A225"/>
      <c r="L225" s="236"/>
      <c r="Q225" s="237"/>
      <c r="R225" s="237"/>
      <c r="W225"/>
    </row>
    <row r="226" customHeight="1" spans="1:23">
      <c r="A226"/>
      <c r="L226" s="236"/>
      <c r="Q226" s="237"/>
      <c r="R226" s="237"/>
      <c r="W226"/>
    </row>
    <row r="227" customHeight="1" spans="1:23">
      <c r="A227"/>
      <c r="L227" s="236"/>
      <c r="Q227" s="237"/>
      <c r="R227" s="237"/>
      <c r="W227"/>
    </row>
    <row r="228" customHeight="1" spans="1:23">
      <c r="A228"/>
      <c r="L228" s="236"/>
      <c r="Q228" s="237"/>
      <c r="R228" s="237"/>
      <c r="W228"/>
    </row>
    <row r="229" customHeight="1" spans="1:23">
      <c r="A229"/>
      <c r="L229" s="236"/>
      <c r="Q229" s="237"/>
      <c r="R229" s="237"/>
      <c r="W229"/>
    </row>
    <row r="230" customHeight="1" spans="1:23">
      <c r="A230"/>
      <c r="L230" s="236"/>
      <c r="Q230" s="237"/>
      <c r="R230" s="237"/>
      <c r="W230"/>
    </row>
    <row r="231" customHeight="1" spans="1:23">
      <c r="A231"/>
      <c r="L231" s="236"/>
      <c r="Q231" s="237"/>
      <c r="R231" s="237"/>
      <c r="W231"/>
    </row>
    <row r="232" customHeight="1" spans="1:23">
      <c r="A232"/>
      <c r="L232" s="236"/>
      <c r="Q232" s="237"/>
      <c r="R232" s="237"/>
      <c r="W232"/>
    </row>
    <row r="233" customHeight="1" spans="1:23">
      <c r="A233"/>
      <c r="L233" s="236"/>
      <c r="Q233" s="237"/>
      <c r="R233" s="237"/>
      <c r="W233"/>
    </row>
    <row r="234" customHeight="1" spans="1:23">
      <c r="A234"/>
      <c r="L234" s="236"/>
      <c r="Q234" s="237"/>
      <c r="R234" s="237"/>
      <c r="W234"/>
    </row>
    <row r="235" customHeight="1" spans="1:23">
      <c r="A235"/>
      <c r="L235" s="236"/>
      <c r="Q235" s="237"/>
      <c r="R235" s="237"/>
      <c r="W235"/>
    </row>
    <row r="236" customHeight="1" spans="1:23">
      <c r="A236"/>
      <c r="L236" s="236"/>
      <c r="Q236" s="237"/>
      <c r="R236" s="237"/>
      <c r="W236"/>
    </row>
    <row r="237" customHeight="1" spans="1:23">
      <c r="A237"/>
      <c r="L237" s="236"/>
      <c r="Q237" s="237"/>
      <c r="R237" s="237"/>
      <c r="W237"/>
    </row>
    <row r="238" customHeight="1" spans="1:23">
      <c r="A238"/>
      <c r="L238" s="236"/>
      <c r="Q238" s="237"/>
      <c r="R238" s="237"/>
      <c r="W238"/>
    </row>
    <row r="239" customHeight="1" spans="1:23">
      <c r="A239"/>
      <c r="L239" s="236"/>
      <c r="Q239" s="237"/>
      <c r="R239" s="237"/>
      <c r="W239"/>
    </row>
    <row r="240" customHeight="1" spans="1:23">
      <c r="A240"/>
      <c r="L240" s="236"/>
      <c r="Q240" s="237"/>
      <c r="R240" s="237"/>
      <c r="W240"/>
    </row>
    <row r="241" customHeight="1" spans="1:23">
      <c r="A241"/>
      <c r="L241" s="236"/>
      <c r="Q241" s="237"/>
      <c r="R241" s="237"/>
      <c r="W241"/>
    </row>
    <row r="242" customHeight="1" spans="1:23">
      <c r="A242"/>
      <c r="L242" s="236"/>
      <c r="Q242" s="237"/>
      <c r="R242" s="237"/>
      <c r="W242"/>
    </row>
    <row r="243" customHeight="1" spans="1:23">
      <c r="A243"/>
      <c r="L243" s="236"/>
      <c r="Q243" s="237"/>
      <c r="R243" s="237"/>
      <c r="W243"/>
    </row>
    <row r="244" customHeight="1" spans="1:23">
      <c r="A244"/>
      <c r="L244" s="236"/>
      <c r="Q244" s="237"/>
      <c r="R244" s="237"/>
      <c r="W244"/>
    </row>
    <row r="245" customHeight="1" spans="1:23">
      <c r="A245"/>
      <c r="L245" s="236"/>
      <c r="Q245" s="237"/>
      <c r="R245" s="237"/>
      <c r="W245"/>
    </row>
    <row r="246" customHeight="1" spans="1:23">
      <c r="A246"/>
      <c r="L246" s="236"/>
      <c r="Q246" s="237"/>
      <c r="R246" s="237"/>
      <c r="W246"/>
    </row>
    <row r="247" customHeight="1" spans="1:23">
      <c r="A247"/>
      <c r="L247" s="236"/>
      <c r="Q247" s="237"/>
      <c r="R247" s="237"/>
      <c r="W247"/>
    </row>
    <row r="248" customHeight="1" spans="1:23">
      <c r="A248"/>
      <c r="L248" s="236"/>
      <c r="Q248" s="237"/>
      <c r="R248" s="237"/>
      <c r="W248"/>
    </row>
    <row r="249" customHeight="1" spans="1:23">
      <c r="A249"/>
      <c r="L249" s="236"/>
      <c r="Q249" s="237"/>
      <c r="R249" s="237"/>
      <c r="W249"/>
    </row>
    <row r="250" customHeight="1" spans="1:23">
      <c r="A250"/>
      <c r="L250" s="236"/>
      <c r="Q250" s="237"/>
      <c r="R250" s="237"/>
      <c r="W250"/>
    </row>
    <row r="251" customHeight="1" spans="1:23">
      <c r="A251"/>
      <c r="L251" s="236"/>
      <c r="Q251" s="237"/>
      <c r="R251" s="237"/>
      <c r="W251"/>
    </row>
    <row r="252" customHeight="1" spans="1:23">
      <c r="A252"/>
      <c r="L252" s="236"/>
      <c r="Q252" s="237"/>
      <c r="R252" s="237"/>
      <c r="W252"/>
    </row>
    <row r="253" customHeight="1" spans="1:23">
      <c r="A253"/>
      <c r="L253" s="236"/>
      <c r="Q253" s="237"/>
      <c r="R253" s="237"/>
      <c r="W253"/>
    </row>
    <row r="254" customHeight="1" spans="1:23">
      <c r="A254"/>
      <c r="L254" s="236"/>
      <c r="Q254" s="237"/>
      <c r="R254" s="237"/>
      <c r="W254"/>
    </row>
    <row r="255" customHeight="1" spans="1:23">
      <c r="A255"/>
      <c r="L255" s="236"/>
      <c r="Q255" s="237"/>
      <c r="R255" s="237"/>
      <c r="W255"/>
    </row>
    <row r="256" customHeight="1" spans="1:23">
      <c r="A256"/>
      <c r="L256" s="236"/>
      <c r="Q256" s="237"/>
      <c r="R256" s="237"/>
      <c r="W256"/>
    </row>
    <row r="257" customHeight="1" spans="1:23">
      <c r="A257"/>
      <c r="L257" s="236"/>
      <c r="Q257" s="237"/>
      <c r="R257" s="237"/>
      <c r="W257"/>
    </row>
    <row r="258" customHeight="1" spans="1:23">
      <c r="A258"/>
      <c r="L258" s="236"/>
      <c r="Q258" s="237"/>
      <c r="R258" s="237"/>
      <c r="W258"/>
    </row>
    <row r="259" customHeight="1" spans="1:23">
      <c r="A259"/>
      <c r="L259" s="236"/>
      <c r="Q259" s="237"/>
      <c r="R259" s="237"/>
      <c r="W259"/>
    </row>
    <row r="260" customHeight="1" spans="1:23">
      <c r="A260"/>
      <c r="L260" s="236"/>
      <c r="Q260" s="237"/>
      <c r="R260" s="237"/>
      <c r="W260"/>
    </row>
    <row r="261" customHeight="1" spans="1:23">
      <c r="A261"/>
      <c r="L261" s="236"/>
      <c r="Q261" s="237"/>
      <c r="R261" s="237"/>
      <c r="W261"/>
    </row>
    <row r="262" customHeight="1" spans="1:23">
      <c r="A262"/>
      <c r="L262" s="236"/>
      <c r="Q262" s="237"/>
      <c r="R262" s="237"/>
      <c r="W262"/>
    </row>
    <row r="263" customHeight="1" spans="1:23">
      <c r="A263"/>
      <c r="L263" s="236"/>
      <c r="Q263" s="237"/>
      <c r="R263" s="237"/>
      <c r="W263"/>
    </row>
    <row r="264" customHeight="1" spans="1:23">
      <c r="A264"/>
      <c r="L264" s="236"/>
      <c r="Q264" s="237"/>
      <c r="R264" s="237"/>
      <c r="W264"/>
    </row>
    <row r="265" customHeight="1" spans="1:23">
      <c r="A265"/>
      <c r="L265" s="236"/>
      <c r="Q265" s="237"/>
      <c r="R265" s="237"/>
      <c r="W265"/>
    </row>
    <row r="266" customHeight="1" spans="1:23">
      <c r="A266"/>
      <c r="L266" s="236"/>
      <c r="Q266" s="237"/>
      <c r="R266" s="237"/>
      <c r="W266"/>
    </row>
    <row r="267" customHeight="1" spans="1:23">
      <c r="A267"/>
      <c r="L267" s="236"/>
      <c r="Q267" s="237"/>
      <c r="R267" s="237"/>
      <c r="W267"/>
    </row>
    <row r="268" customHeight="1" spans="1:23">
      <c r="A268"/>
      <c r="L268" s="236"/>
      <c r="Q268" s="237"/>
      <c r="R268" s="237"/>
      <c r="W268"/>
    </row>
    <row r="269" customHeight="1" spans="1:23">
      <c r="A269"/>
      <c r="L269" s="236"/>
      <c r="Q269" s="237"/>
      <c r="R269" s="237"/>
      <c r="W269"/>
    </row>
    <row r="270" customHeight="1" spans="1:23">
      <c r="A270"/>
      <c r="L270" s="236"/>
      <c r="Q270" s="237"/>
      <c r="R270" s="237"/>
      <c r="W270"/>
    </row>
    <row r="271" customHeight="1" spans="1:23">
      <c r="A271"/>
      <c r="L271" s="236"/>
      <c r="Q271" s="237"/>
      <c r="R271" s="237"/>
      <c r="W271"/>
    </row>
    <row r="272" customHeight="1" spans="1:23">
      <c r="A272"/>
      <c r="L272" s="236"/>
      <c r="Q272" s="237"/>
      <c r="R272" s="237"/>
      <c r="W272"/>
    </row>
    <row r="273" customHeight="1" spans="1:23">
      <c r="A273"/>
      <c r="L273" s="236"/>
      <c r="Q273" s="237"/>
      <c r="R273" s="237"/>
      <c r="W273"/>
    </row>
    <row r="274" customHeight="1" spans="1:23">
      <c r="A274"/>
      <c r="L274" s="236"/>
      <c r="Q274" s="237"/>
      <c r="R274" s="237"/>
      <c r="W274"/>
    </row>
    <row r="275" customHeight="1" spans="1:23">
      <c r="A275"/>
      <c r="L275" s="236"/>
      <c r="Q275" s="237"/>
      <c r="R275" s="237"/>
      <c r="W275"/>
    </row>
    <row r="276" customHeight="1" spans="1:23">
      <c r="A276"/>
      <c r="L276" s="236"/>
      <c r="Q276" s="237"/>
      <c r="R276" s="237"/>
      <c r="W276"/>
    </row>
    <row r="277" customHeight="1" spans="1:23">
      <c r="A277"/>
      <c r="L277" s="236"/>
      <c r="Q277" s="237"/>
      <c r="R277" s="237"/>
      <c r="W277"/>
    </row>
    <row r="278" customHeight="1" spans="1:23">
      <c r="A278"/>
      <c r="L278" s="236"/>
      <c r="Q278" s="237"/>
      <c r="R278" s="237"/>
      <c r="W278"/>
    </row>
    <row r="279" customHeight="1" spans="1:23">
      <c r="A279"/>
      <c r="L279" s="236"/>
      <c r="Q279" s="237"/>
      <c r="R279" s="237"/>
      <c r="W279"/>
    </row>
    <row r="280" customHeight="1" spans="1:23">
      <c r="A280"/>
      <c r="L280" s="236"/>
      <c r="Q280" s="237"/>
      <c r="R280" s="237"/>
      <c r="W280"/>
    </row>
    <row r="281" customHeight="1" spans="1:23">
      <c r="A281"/>
      <c r="L281" s="236"/>
      <c r="Q281" s="237"/>
      <c r="R281" s="237"/>
      <c r="W281"/>
    </row>
    <row r="282" customHeight="1" spans="1:23">
      <c r="A282"/>
      <c r="L282" s="236"/>
      <c r="Q282" s="237"/>
      <c r="R282" s="237"/>
      <c r="W282"/>
    </row>
    <row r="283" customHeight="1" spans="1:23">
      <c r="A283"/>
      <c r="L283" s="236"/>
      <c r="Q283" s="237"/>
      <c r="R283" s="237"/>
      <c r="W283"/>
    </row>
    <row r="284" customHeight="1" spans="1:23">
      <c r="A284"/>
      <c r="L284" s="236"/>
      <c r="Q284" s="237"/>
      <c r="R284" s="237"/>
      <c r="W284"/>
    </row>
    <row r="285" customHeight="1" spans="1:23">
      <c r="A285"/>
      <c r="L285" s="236"/>
      <c r="Q285" s="237"/>
      <c r="R285" s="237"/>
      <c r="W285"/>
    </row>
    <row r="286" customHeight="1" spans="1:23">
      <c r="A286"/>
      <c r="L286" s="236"/>
      <c r="Q286" s="237"/>
      <c r="R286" s="237"/>
      <c r="W286"/>
    </row>
    <row r="287" customHeight="1" spans="1:23">
      <c r="A287"/>
      <c r="L287" s="236"/>
      <c r="Q287" s="237"/>
      <c r="R287" s="237"/>
      <c r="W287"/>
    </row>
    <row r="288" customHeight="1" spans="1:23">
      <c r="A288"/>
      <c r="L288" s="236"/>
      <c r="Q288" s="237"/>
      <c r="R288" s="237"/>
      <c r="W288"/>
    </row>
    <row r="289" customHeight="1" spans="1:23">
      <c r="A289"/>
      <c r="L289" s="236"/>
      <c r="Q289" s="237"/>
      <c r="R289" s="237"/>
      <c r="W289"/>
    </row>
    <row r="290" customHeight="1" spans="1:23">
      <c r="A290"/>
      <c r="L290" s="236"/>
      <c r="Q290" s="237"/>
      <c r="R290" s="237"/>
      <c r="W290"/>
    </row>
    <row r="291" customHeight="1" spans="1:23">
      <c r="A291"/>
      <c r="L291" s="236"/>
      <c r="Q291" s="237"/>
      <c r="R291" s="237"/>
      <c r="W291"/>
    </row>
    <row r="292" customHeight="1" spans="1:23">
      <c r="A292"/>
      <c r="L292" s="236"/>
      <c r="Q292" s="237"/>
      <c r="R292" s="237"/>
      <c r="W292"/>
    </row>
    <row r="293" customHeight="1" spans="1:23">
      <c r="A293"/>
      <c r="L293" s="236"/>
      <c r="Q293" s="237"/>
      <c r="R293" s="237"/>
      <c r="W293"/>
    </row>
    <row r="294" customHeight="1" spans="1:23">
      <c r="A294"/>
      <c r="L294" s="236"/>
      <c r="Q294" s="237"/>
      <c r="R294" s="237"/>
      <c r="W294"/>
    </row>
    <row r="295" customHeight="1" spans="1:23">
      <c r="A295"/>
      <c r="L295" s="236"/>
      <c r="Q295" s="237"/>
      <c r="R295" s="237"/>
      <c r="W295"/>
    </row>
    <row r="296" customHeight="1" spans="1:23">
      <c r="A296"/>
      <c r="L296" s="236"/>
      <c r="Q296" s="237"/>
      <c r="R296" s="237"/>
      <c r="W296"/>
    </row>
    <row r="297" customHeight="1" spans="1:23">
      <c r="A297"/>
      <c r="L297" s="236"/>
      <c r="Q297" s="237"/>
      <c r="R297" s="237"/>
      <c r="W297"/>
    </row>
    <row r="298" customHeight="1" spans="1:23">
      <c r="A298"/>
      <c r="L298" s="236"/>
      <c r="Q298" s="237"/>
      <c r="R298" s="237"/>
      <c r="W298"/>
    </row>
    <row r="299" customHeight="1" spans="1:23">
      <c r="A299"/>
      <c r="L299" s="236"/>
      <c r="Q299" s="237"/>
      <c r="R299" s="237"/>
      <c r="W299"/>
    </row>
    <row r="300" customHeight="1" spans="1:23">
      <c r="A300"/>
      <c r="L300" s="236"/>
      <c r="Q300" s="237"/>
      <c r="R300" s="237"/>
      <c r="W300"/>
    </row>
    <row r="301" customHeight="1" spans="1:23">
      <c r="A301"/>
      <c r="L301" s="236"/>
      <c r="Q301" s="237"/>
      <c r="R301" s="237"/>
      <c r="W301"/>
    </row>
    <row r="302" customHeight="1" spans="1:23">
      <c r="A302"/>
      <c r="L302" s="236"/>
      <c r="Q302" s="237"/>
      <c r="R302" s="237"/>
      <c r="W302"/>
    </row>
    <row r="303" customHeight="1" spans="1:23">
      <c r="A303"/>
      <c r="L303" s="236"/>
      <c r="Q303" s="237"/>
      <c r="R303" s="237"/>
      <c r="W303"/>
    </row>
    <row r="304" customHeight="1" spans="1:23">
      <c r="A304"/>
      <c r="L304" s="236"/>
      <c r="Q304" s="237"/>
      <c r="R304" s="237"/>
      <c r="W304"/>
    </row>
    <row r="305" customHeight="1" spans="1:23">
      <c r="A305"/>
      <c r="L305" s="236"/>
      <c r="Q305" s="237"/>
      <c r="R305" s="237"/>
      <c r="W305"/>
    </row>
    <row r="306" customHeight="1" spans="1:23">
      <c r="A306"/>
      <c r="L306" s="236"/>
      <c r="Q306" s="237"/>
      <c r="R306" s="237"/>
      <c r="W306"/>
    </row>
    <row r="307" customHeight="1" spans="1:23">
      <c r="A307"/>
      <c r="L307" s="236"/>
      <c r="Q307" s="237"/>
      <c r="R307" s="237"/>
      <c r="W307"/>
    </row>
    <row r="308" customHeight="1" spans="1:23">
      <c r="A308"/>
      <c r="L308" s="236"/>
      <c r="Q308" s="237"/>
      <c r="R308" s="237"/>
      <c r="W308"/>
    </row>
    <row r="309" customHeight="1" spans="1:23">
      <c r="A309"/>
      <c r="L309" s="236"/>
      <c r="Q309" s="237"/>
      <c r="R309" s="237"/>
      <c r="W309"/>
    </row>
    <row r="310" customHeight="1" spans="1:23">
      <c r="A310"/>
      <c r="L310" s="236"/>
      <c r="Q310" s="237"/>
      <c r="R310" s="237"/>
      <c r="W310"/>
    </row>
    <row r="311" customHeight="1" spans="1:23">
      <c r="A311"/>
      <c r="L311" s="236"/>
      <c r="Q311" s="237"/>
      <c r="R311" s="237"/>
      <c r="W311"/>
    </row>
    <row r="312" customHeight="1" spans="1:23">
      <c r="A312"/>
      <c r="L312" s="236"/>
      <c r="Q312" s="237"/>
      <c r="R312" s="237"/>
      <c r="W312"/>
    </row>
    <row r="313" customHeight="1" spans="1:23">
      <c r="A313"/>
      <c r="L313" s="236"/>
      <c r="Q313" s="237"/>
      <c r="R313" s="237"/>
      <c r="W313"/>
    </row>
    <row r="314" customHeight="1" spans="1:23">
      <c r="A314"/>
      <c r="L314" s="236"/>
      <c r="Q314" s="237"/>
      <c r="R314" s="237"/>
      <c r="W314"/>
    </row>
    <row r="315" customHeight="1" spans="1:23">
      <c r="A315"/>
      <c r="L315" s="236"/>
      <c r="Q315" s="237"/>
      <c r="R315" s="237"/>
      <c r="W315"/>
    </row>
    <row r="316" customHeight="1" spans="1:23">
      <c r="A316"/>
      <c r="L316" s="236"/>
      <c r="Q316" s="237"/>
      <c r="R316" s="237"/>
      <c r="W316"/>
    </row>
    <row r="317" customHeight="1" spans="1:23">
      <c r="A317"/>
      <c r="L317" s="236"/>
      <c r="Q317" s="237"/>
      <c r="R317" s="237"/>
      <c r="W317"/>
    </row>
    <row r="318" customHeight="1" spans="1:23">
      <c r="A318"/>
      <c r="L318" s="236"/>
      <c r="Q318" s="237"/>
      <c r="R318" s="237"/>
      <c r="W318"/>
    </row>
    <row r="319" customHeight="1" spans="1:23">
      <c r="A319"/>
      <c r="L319" s="236"/>
      <c r="Q319" s="237"/>
      <c r="R319" s="237"/>
      <c r="W319"/>
    </row>
    <row r="320" customHeight="1" spans="1:23">
      <c r="A320"/>
      <c r="L320" s="236"/>
      <c r="Q320" s="237"/>
      <c r="R320" s="237"/>
      <c r="W320"/>
    </row>
    <row r="321" customHeight="1" spans="12:23">
      <c r="L321" s="236"/>
      <c r="Q321" s="237"/>
      <c r="R321" s="237"/>
      <c r="W321"/>
    </row>
    <row r="322" customHeight="1" spans="12:23">
      <c r="L322" s="236"/>
      <c r="Q322" s="237"/>
      <c r="R322" s="237"/>
      <c r="W322"/>
    </row>
    <row r="323" customHeight="1" spans="12:23">
      <c r="L323" s="236"/>
      <c r="Q323" s="237"/>
      <c r="R323" s="237"/>
      <c r="W323"/>
    </row>
    <row r="324" customHeight="1" spans="12:23">
      <c r="L324" s="236"/>
      <c r="Q324" s="237"/>
      <c r="R324" s="237"/>
      <c r="W324"/>
    </row>
    <row r="325" customHeight="1" spans="12:23">
      <c r="L325" s="236"/>
      <c r="Q325" s="237"/>
      <c r="R325" s="237"/>
      <c r="W325"/>
    </row>
    <row r="326" customHeight="1" spans="12:23">
      <c r="L326" s="236"/>
      <c r="Q326" s="237"/>
      <c r="R326" s="237"/>
      <c r="W326"/>
    </row>
    <row r="327" customHeight="1" spans="12:23">
      <c r="L327" s="236"/>
      <c r="Q327" s="237"/>
      <c r="R327" s="237"/>
      <c r="W327"/>
    </row>
    <row r="328" customHeight="1" spans="12:23">
      <c r="L328" s="236"/>
      <c r="Q328" s="237"/>
      <c r="R328" s="237"/>
      <c r="W328"/>
    </row>
    <row r="329" customHeight="1" spans="12:23">
      <c r="L329" s="236"/>
      <c r="Q329" s="237"/>
      <c r="R329" s="237"/>
      <c r="W329"/>
    </row>
    <row r="330" customHeight="1" spans="12:23">
      <c r="L330" s="236"/>
      <c r="Q330" s="237"/>
      <c r="R330" s="237"/>
      <c r="W330"/>
    </row>
    <row r="331" customHeight="1" spans="12:23">
      <c r="L331" s="236"/>
      <c r="Q331" s="237"/>
      <c r="R331" s="237"/>
      <c r="W331"/>
    </row>
    <row r="332" customHeight="1" spans="12:23">
      <c r="L332" s="236"/>
      <c r="Q332" s="237"/>
      <c r="R332" s="237"/>
      <c r="W332"/>
    </row>
    <row r="333" customHeight="1" spans="12:23">
      <c r="L333" s="236"/>
      <c r="Q333" s="237"/>
      <c r="R333" s="237"/>
      <c r="W333"/>
    </row>
    <row r="334" customHeight="1" spans="12:23">
      <c r="L334" s="236"/>
      <c r="Q334" s="237"/>
      <c r="R334" s="237"/>
      <c r="W334"/>
    </row>
    <row r="335" customHeight="1" spans="12:23">
      <c r="L335" s="236"/>
      <c r="Q335" s="237"/>
      <c r="R335" s="237"/>
      <c r="W335"/>
    </row>
    <row r="336" customHeight="1" spans="12:23">
      <c r="L336" s="236"/>
      <c r="Q336" s="237"/>
      <c r="R336" s="237"/>
      <c r="W336"/>
    </row>
    <row r="337" customHeight="1" spans="12:23">
      <c r="L337" s="236"/>
      <c r="Q337" s="237"/>
      <c r="R337" s="237"/>
      <c r="W337"/>
    </row>
    <row r="338" customHeight="1" spans="12:23">
      <c r="L338" s="236"/>
      <c r="Q338" s="237"/>
      <c r="R338" s="237"/>
      <c r="W338"/>
    </row>
    <row r="339" customHeight="1" spans="12:23">
      <c r="L339" s="236"/>
      <c r="Q339" s="237"/>
      <c r="R339" s="237"/>
      <c r="W339"/>
    </row>
    <row r="340" customHeight="1" spans="12:23">
      <c r="L340" s="236"/>
      <c r="Q340" s="237"/>
      <c r="R340" s="237"/>
      <c r="W340"/>
    </row>
    <row r="341" customHeight="1" spans="12:23">
      <c r="L341" s="236"/>
      <c r="Q341" s="237"/>
      <c r="R341" s="237"/>
      <c r="W341"/>
    </row>
    <row r="342" customHeight="1" spans="12:23">
      <c r="L342" s="236"/>
      <c r="Q342" s="237"/>
      <c r="R342" s="237"/>
      <c r="W342"/>
    </row>
    <row r="343" customHeight="1" spans="12:23">
      <c r="L343" s="236"/>
      <c r="Q343" s="237"/>
      <c r="R343" s="237"/>
      <c r="W343"/>
    </row>
    <row r="344" customHeight="1" spans="12:23">
      <c r="L344" s="236"/>
      <c r="Q344" s="237"/>
      <c r="R344" s="237"/>
      <c r="W344"/>
    </row>
    <row r="345" customHeight="1" spans="12:23">
      <c r="L345" s="236"/>
      <c r="Q345" s="237"/>
      <c r="R345" s="237"/>
      <c r="W345"/>
    </row>
    <row r="346" customHeight="1" spans="12:23">
      <c r="L346" s="236"/>
      <c r="Q346" s="237"/>
      <c r="R346" s="237"/>
      <c r="W346"/>
    </row>
    <row r="347" customHeight="1" spans="12:23">
      <c r="L347" s="236"/>
      <c r="Q347" s="237"/>
      <c r="R347" s="237"/>
      <c r="W347"/>
    </row>
    <row r="348" customHeight="1" spans="12:23">
      <c r="L348" s="236"/>
      <c r="Q348" s="237"/>
      <c r="R348" s="237"/>
      <c r="W348"/>
    </row>
    <row r="349" customHeight="1" spans="12:23">
      <c r="L349" s="236"/>
      <c r="Q349" s="237"/>
      <c r="R349" s="237"/>
      <c r="W349"/>
    </row>
    <row r="350" customHeight="1" spans="12:23">
      <c r="L350" s="236"/>
      <c r="Q350" s="237"/>
      <c r="R350" s="237"/>
      <c r="W350"/>
    </row>
    <row r="351" customHeight="1" spans="12:23">
      <c r="L351" s="236"/>
      <c r="Q351" s="237"/>
      <c r="R351" s="237"/>
      <c r="W351"/>
    </row>
    <row r="352" customHeight="1" spans="12:23">
      <c r="L352" s="236"/>
      <c r="Q352" s="237"/>
      <c r="R352" s="237"/>
      <c r="W352"/>
    </row>
    <row r="353" customHeight="1" spans="12:23">
      <c r="L353" s="236"/>
      <c r="Q353" s="237"/>
      <c r="R353" s="237"/>
      <c r="W353"/>
    </row>
    <row r="354" customHeight="1" spans="12:23">
      <c r="L354" s="236"/>
      <c r="Q354" s="237"/>
      <c r="R354" s="237"/>
      <c r="W354"/>
    </row>
    <row r="355" customHeight="1" spans="12:23">
      <c r="L355" s="236"/>
      <c r="Q355" s="237"/>
      <c r="R355" s="237"/>
      <c r="W355"/>
    </row>
    <row r="356" customHeight="1" spans="12:23">
      <c r="L356" s="236"/>
      <c r="Q356" s="237"/>
      <c r="R356" s="237"/>
      <c r="W356"/>
    </row>
    <row r="357" customHeight="1" spans="12:23">
      <c r="L357" s="236"/>
      <c r="Q357" s="237"/>
      <c r="R357" s="237"/>
      <c r="W357"/>
    </row>
    <row r="358" customHeight="1" spans="12:23">
      <c r="L358" s="236"/>
      <c r="Q358" s="237"/>
      <c r="R358" s="237"/>
      <c r="W358"/>
    </row>
    <row r="359" customHeight="1" spans="12:23">
      <c r="L359" s="236"/>
      <c r="Q359" s="237"/>
      <c r="R359" s="237"/>
      <c r="W359"/>
    </row>
    <row r="360" customHeight="1" spans="12:23">
      <c r="L360" s="236"/>
      <c r="Q360" s="237"/>
      <c r="R360" s="237"/>
      <c r="W360"/>
    </row>
    <row r="361" customHeight="1" spans="12:23">
      <c r="L361" s="236"/>
      <c r="Q361" s="237"/>
      <c r="R361" s="237"/>
      <c r="W361"/>
    </row>
    <row r="362" customHeight="1" spans="12:23">
      <c r="L362" s="236"/>
      <c r="Q362" s="237"/>
      <c r="R362" s="237"/>
      <c r="W362"/>
    </row>
    <row r="363" customHeight="1" spans="12:23">
      <c r="L363" s="236"/>
      <c r="Q363" s="237"/>
      <c r="R363" s="237"/>
      <c r="W363"/>
    </row>
    <row r="364" customHeight="1" spans="12:23">
      <c r="L364" s="236"/>
      <c r="Q364" s="237"/>
      <c r="R364" s="237"/>
      <c r="W364"/>
    </row>
    <row r="365" customHeight="1" spans="12:23">
      <c r="L365" s="236"/>
      <c r="Q365" s="237"/>
      <c r="R365" s="237"/>
      <c r="W365"/>
    </row>
    <row r="366" customHeight="1" spans="12:23">
      <c r="L366" s="236"/>
      <c r="Q366" s="237"/>
      <c r="R366" s="237"/>
      <c r="W366"/>
    </row>
    <row r="367" customHeight="1" spans="12:23">
      <c r="L367" s="236"/>
      <c r="Q367" s="237"/>
      <c r="R367" s="237"/>
      <c r="W367"/>
    </row>
    <row r="368" customHeight="1" spans="12:23">
      <c r="L368" s="236"/>
      <c r="Q368" s="237"/>
      <c r="R368" s="237"/>
      <c r="W368"/>
    </row>
    <row r="369" customHeight="1" spans="12:23">
      <c r="L369" s="236"/>
      <c r="Q369" s="237"/>
      <c r="R369" s="237"/>
      <c r="W369"/>
    </row>
    <row r="370" customHeight="1" spans="12:23">
      <c r="L370" s="236"/>
      <c r="Q370" s="237"/>
      <c r="R370" s="237"/>
      <c r="W370"/>
    </row>
    <row r="371" customHeight="1" spans="12:23">
      <c r="L371" s="236"/>
      <c r="Q371" s="237"/>
      <c r="R371" s="237"/>
      <c r="W371"/>
    </row>
    <row r="372" customHeight="1" spans="12:23">
      <c r="L372" s="236"/>
      <c r="Q372" s="237"/>
      <c r="R372" s="237"/>
      <c r="W372"/>
    </row>
    <row r="373" customHeight="1" spans="12:23">
      <c r="L373" s="236"/>
      <c r="Q373" s="237"/>
      <c r="R373" s="237"/>
      <c r="W373"/>
    </row>
    <row r="374" customHeight="1" spans="12:23">
      <c r="L374" s="236"/>
      <c r="Q374" s="237"/>
      <c r="R374" s="237"/>
      <c r="W374"/>
    </row>
    <row r="375" customHeight="1" spans="12:23">
      <c r="L375" s="236"/>
      <c r="Q375" s="237"/>
      <c r="R375" s="237"/>
      <c r="W375"/>
    </row>
    <row r="376" customHeight="1" spans="12:23">
      <c r="L376" s="236"/>
      <c r="Q376" s="237"/>
      <c r="R376" s="237"/>
      <c r="W376"/>
    </row>
    <row r="377" customHeight="1" spans="12:23">
      <c r="L377" s="236"/>
      <c r="Q377" s="237"/>
      <c r="R377" s="237"/>
      <c r="W377"/>
    </row>
    <row r="378" customHeight="1" spans="12:23">
      <c r="L378" s="236"/>
      <c r="Q378" s="237"/>
      <c r="R378" s="237"/>
      <c r="W378"/>
    </row>
    <row r="379" customHeight="1" spans="12:23">
      <c r="L379" s="236"/>
      <c r="Q379" s="237"/>
      <c r="R379" s="237"/>
      <c r="W379"/>
    </row>
    <row r="380" customHeight="1" spans="12:23">
      <c r="L380" s="236"/>
      <c r="Q380" s="237"/>
      <c r="R380" s="237"/>
      <c r="W380"/>
    </row>
    <row r="381" customHeight="1" spans="12:23">
      <c r="L381" s="236"/>
      <c r="Q381" s="237"/>
      <c r="R381" s="237"/>
      <c r="W381"/>
    </row>
    <row r="382" customHeight="1" spans="12:23">
      <c r="L382" s="236"/>
      <c r="Q382" s="237"/>
      <c r="R382" s="237"/>
      <c r="W382"/>
    </row>
    <row r="383" customHeight="1" spans="12:23">
      <c r="L383" s="236"/>
      <c r="Q383" s="237"/>
      <c r="R383" s="237"/>
      <c r="W383"/>
    </row>
    <row r="384" customHeight="1" spans="12:23">
      <c r="L384" s="236"/>
      <c r="Q384" s="237"/>
      <c r="R384" s="237"/>
      <c r="W384"/>
    </row>
    <row r="385" customHeight="1" spans="12:23">
      <c r="L385" s="236"/>
      <c r="Q385" s="237"/>
      <c r="R385" s="237"/>
      <c r="W385"/>
    </row>
    <row r="386" customHeight="1" spans="12:23">
      <c r="L386" s="236"/>
      <c r="Q386" s="237"/>
      <c r="R386" s="237"/>
      <c r="W386"/>
    </row>
    <row r="387" customHeight="1" spans="12:23">
      <c r="L387" s="236"/>
      <c r="Q387" s="237"/>
      <c r="R387" s="237"/>
      <c r="W387"/>
    </row>
    <row r="388" customHeight="1" spans="12:23">
      <c r="L388" s="236"/>
      <c r="Q388" s="237"/>
      <c r="R388" s="237"/>
      <c r="W388"/>
    </row>
    <row r="389" customHeight="1" spans="12:23">
      <c r="L389" s="236"/>
      <c r="Q389" s="237"/>
      <c r="R389" s="237"/>
      <c r="W389"/>
    </row>
    <row r="390" customHeight="1" spans="12:23">
      <c r="L390" s="236"/>
      <c r="Q390" s="237"/>
      <c r="R390" s="237"/>
      <c r="W390"/>
    </row>
    <row r="391" customHeight="1" spans="12:23">
      <c r="L391" s="236"/>
      <c r="Q391" s="237"/>
      <c r="R391" s="237"/>
      <c r="W391"/>
    </row>
    <row r="392" customHeight="1" spans="12:23">
      <c r="L392" s="236"/>
      <c r="Q392" s="237"/>
      <c r="R392" s="237"/>
      <c r="W392"/>
    </row>
    <row r="393" customHeight="1" spans="12:23">
      <c r="L393" s="236"/>
      <c r="Q393" s="237"/>
      <c r="R393" s="237"/>
      <c r="W393"/>
    </row>
    <row r="394" customHeight="1" spans="12:23">
      <c r="L394" s="236"/>
      <c r="Q394" s="237"/>
      <c r="R394" s="237"/>
      <c r="W394"/>
    </row>
    <row r="395" customHeight="1" spans="12:23">
      <c r="L395" s="236"/>
      <c r="Q395" s="237"/>
      <c r="R395" s="237"/>
      <c r="W395"/>
    </row>
    <row r="396" customHeight="1" spans="12:23">
      <c r="L396" s="236"/>
      <c r="Q396" s="237"/>
      <c r="R396" s="237"/>
      <c r="W396"/>
    </row>
    <row r="397" customHeight="1" spans="12:23">
      <c r="L397" s="236"/>
      <c r="Q397" s="237"/>
      <c r="R397" s="237"/>
      <c r="W397"/>
    </row>
    <row r="398" customHeight="1" spans="12:23">
      <c r="L398" s="236"/>
      <c r="Q398" s="237"/>
      <c r="R398" s="237"/>
      <c r="W398"/>
    </row>
    <row r="399" customHeight="1" spans="12:23">
      <c r="L399" s="236"/>
      <c r="Q399" s="237"/>
      <c r="R399" s="237"/>
      <c r="W399"/>
    </row>
    <row r="400" customHeight="1" spans="12:23">
      <c r="L400" s="236"/>
      <c r="Q400" s="237"/>
      <c r="R400" s="237"/>
      <c r="W400"/>
    </row>
    <row r="401" customHeight="1" spans="12:23">
      <c r="L401" s="236"/>
      <c r="Q401" s="237"/>
      <c r="R401" s="237"/>
      <c r="W401"/>
    </row>
    <row r="402" customHeight="1" spans="12:23">
      <c r="L402" s="236"/>
      <c r="Q402" s="237"/>
      <c r="R402" s="237"/>
      <c r="W402"/>
    </row>
    <row r="403" customHeight="1" spans="12:23">
      <c r="L403" s="236"/>
      <c r="Q403" s="237"/>
      <c r="R403" s="237"/>
      <c r="W403"/>
    </row>
    <row r="404" customHeight="1" spans="12:23">
      <c r="L404" s="236"/>
      <c r="Q404" s="237"/>
      <c r="R404" s="237"/>
      <c r="W404"/>
    </row>
    <row r="405" customHeight="1" spans="12:23">
      <c r="L405" s="236"/>
      <c r="Q405" s="237"/>
      <c r="R405" s="237"/>
      <c r="W405"/>
    </row>
    <row r="406" customHeight="1" spans="12:23">
      <c r="L406" s="236"/>
      <c r="Q406" s="237"/>
      <c r="R406" s="237"/>
      <c r="W406"/>
    </row>
    <row r="407" customHeight="1" spans="12:23">
      <c r="L407" s="236"/>
      <c r="Q407" s="237"/>
      <c r="R407" s="237"/>
      <c r="W407"/>
    </row>
    <row r="408" customHeight="1" spans="12:23">
      <c r="L408" s="236"/>
      <c r="Q408" s="237"/>
      <c r="R408" s="237"/>
      <c r="W408"/>
    </row>
    <row r="409" customHeight="1" spans="12:23">
      <c r="L409" s="236"/>
      <c r="Q409" s="237"/>
      <c r="R409" s="237"/>
      <c r="W409"/>
    </row>
    <row r="410" customHeight="1" spans="12:23">
      <c r="L410" s="236"/>
      <c r="Q410" s="237"/>
      <c r="R410" s="237"/>
      <c r="W410"/>
    </row>
    <row r="411" customHeight="1" spans="12:23">
      <c r="L411" s="236"/>
      <c r="Q411" s="237"/>
      <c r="R411" s="237"/>
      <c r="W411"/>
    </row>
    <row r="412" customHeight="1" spans="12:23">
      <c r="L412" s="236"/>
      <c r="Q412" s="237"/>
      <c r="R412" s="237"/>
      <c r="W412"/>
    </row>
    <row r="413" customHeight="1" spans="12:23">
      <c r="L413" s="236"/>
      <c r="Q413" s="237"/>
      <c r="R413" s="237"/>
      <c r="W413"/>
    </row>
    <row r="414" customHeight="1" spans="12:23">
      <c r="L414" s="236"/>
      <c r="Q414" s="237"/>
      <c r="R414" s="237"/>
      <c r="W414"/>
    </row>
    <row r="415" customHeight="1" spans="12:23">
      <c r="L415" s="236"/>
      <c r="Q415" s="237"/>
      <c r="R415" s="237"/>
      <c r="W415"/>
    </row>
    <row r="416" customHeight="1" spans="12:23">
      <c r="L416" s="236"/>
      <c r="Q416" s="237"/>
      <c r="R416" s="237"/>
      <c r="W416"/>
    </row>
    <row r="417" customHeight="1" spans="12:23">
      <c r="L417" s="236"/>
      <c r="Q417" s="237"/>
      <c r="R417" s="237"/>
      <c r="W417"/>
    </row>
    <row r="418" customHeight="1" spans="12:23">
      <c r="L418" s="236"/>
      <c r="Q418" s="237"/>
      <c r="R418" s="237"/>
      <c r="W418"/>
    </row>
    <row r="419" customHeight="1" spans="12:23">
      <c r="L419" s="236"/>
      <c r="Q419" s="237"/>
      <c r="R419" s="237"/>
      <c r="W419"/>
    </row>
    <row r="420" customHeight="1" spans="12:23">
      <c r="L420" s="236"/>
      <c r="Q420" s="237"/>
      <c r="R420" s="237"/>
      <c r="W420"/>
    </row>
    <row r="421" customHeight="1" spans="12:23">
      <c r="L421" s="236"/>
      <c r="Q421" s="237"/>
      <c r="R421" s="237"/>
      <c r="W421"/>
    </row>
    <row r="422" customHeight="1" spans="12:23">
      <c r="L422" s="236"/>
      <c r="Q422" s="237"/>
      <c r="R422" s="237"/>
      <c r="W422"/>
    </row>
    <row r="423" customHeight="1" spans="12:23">
      <c r="L423" s="236"/>
      <c r="Q423" s="237"/>
      <c r="R423" s="237"/>
      <c r="W423"/>
    </row>
    <row r="424" customHeight="1" spans="12:23">
      <c r="L424" s="236"/>
      <c r="Q424" s="237"/>
      <c r="R424" s="237"/>
      <c r="W424"/>
    </row>
    <row r="425" customHeight="1" spans="12:23">
      <c r="L425" s="236"/>
      <c r="Q425" s="237"/>
      <c r="R425" s="237"/>
      <c r="W425"/>
    </row>
    <row r="426" customHeight="1" spans="12:23">
      <c r="L426" s="236"/>
      <c r="Q426" s="237"/>
      <c r="R426" s="237"/>
      <c r="W426"/>
    </row>
    <row r="427" customHeight="1" spans="12:23">
      <c r="L427" s="236"/>
      <c r="Q427" s="237"/>
      <c r="R427" s="237"/>
      <c r="W427"/>
    </row>
    <row r="428" customHeight="1" spans="12:23">
      <c r="L428" s="236"/>
      <c r="Q428" s="237"/>
      <c r="R428" s="237"/>
      <c r="W428"/>
    </row>
    <row r="429" customHeight="1" spans="12:23">
      <c r="L429" s="236"/>
      <c r="Q429" s="237"/>
      <c r="R429" s="237"/>
      <c r="W429"/>
    </row>
    <row r="430" customHeight="1" spans="12:23">
      <c r="L430" s="236"/>
      <c r="Q430" s="237"/>
      <c r="R430" s="237"/>
      <c r="W430"/>
    </row>
    <row r="431" customHeight="1" spans="12:23">
      <c r="L431" s="236"/>
      <c r="Q431" s="237"/>
      <c r="R431" s="237"/>
      <c r="W431"/>
    </row>
    <row r="432" customHeight="1" spans="12:23">
      <c r="L432" s="236"/>
      <c r="Q432" s="237"/>
      <c r="R432" s="237"/>
      <c r="W432"/>
    </row>
    <row r="433" customHeight="1" spans="12:23">
      <c r="L433" s="236"/>
      <c r="Q433" s="237"/>
      <c r="R433" s="237"/>
      <c r="W433"/>
    </row>
    <row r="434" customHeight="1" spans="12:23">
      <c r="L434" s="236"/>
      <c r="Q434" s="237"/>
      <c r="R434" s="237"/>
      <c r="W434"/>
    </row>
    <row r="435" customHeight="1" spans="12:23">
      <c r="L435" s="236"/>
      <c r="Q435" s="237"/>
      <c r="R435" s="237"/>
      <c r="W435"/>
    </row>
    <row r="436" customHeight="1" spans="12:23">
      <c r="L436" s="236"/>
      <c r="Q436" s="237"/>
      <c r="R436" s="237"/>
      <c r="W436"/>
    </row>
    <row r="437" customHeight="1" spans="12:23">
      <c r="L437" s="236"/>
      <c r="Q437" s="237"/>
      <c r="R437" s="237"/>
      <c r="W437"/>
    </row>
    <row r="438" customHeight="1" spans="12:23">
      <c r="L438" s="236"/>
      <c r="Q438" s="237"/>
      <c r="R438" s="237"/>
      <c r="W438"/>
    </row>
    <row r="439" customHeight="1" spans="12:23">
      <c r="L439" s="236"/>
      <c r="Q439" s="237"/>
      <c r="R439" s="237"/>
      <c r="W439"/>
    </row>
    <row r="440" customHeight="1" spans="12:23">
      <c r="L440" s="236"/>
      <c r="Q440" s="237"/>
      <c r="R440" s="237"/>
      <c r="W440"/>
    </row>
    <row r="441" customHeight="1" spans="12:23">
      <c r="L441" s="236"/>
      <c r="Q441" s="237"/>
      <c r="R441" s="237"/>
      <c r="W441"/>
    </row>
    <row r="442" customHeight="1" spans="12:23">
      <c r="L442" s="236"/>
      <c r="Q442" s="237"/>
      <c r="R442" s="237"/>
      <c r="W442"/>
    </row>
    <row r="443" customHeight="1" spans="12:23">
      <c r="L443" s="236"/>
      <c r="Q443" s="237"/>
      <c r="R443" s="237"/>
      <c r="W443"/>
    </row>
    <row r="444" customHeight="1" spans="12:23">
      <c r="L444" s="236"/>
      <c r="Q444" s="237"/>
      <c r="R444" s="237"/>
      <c r="W444"/>
    </row>
    <row r="445" customHeight="1" spans="12:23">
      <c r="L445" s="236"/>
      <c r="Q445" s="237"/>
      <c r="R445" s="237"/>
      <c r="W445"/>
    </row>
    <row r="446" customHeight="1" spans="12:23">
      <c r="L446" s="236"/>
      <c r="Q446" s="237"/>
      <c r="R446" s="237"/>
      <c r="W446"/>
    </row>
    <row r="447" customHeight="1" spans="12:23">
      <c r="L447" s="236"/>
      <c r="Q447" s="237"/>
      <c r="R447" s="237"/>
      <c r="W447"/>
    </row>
    <row r="448" customHeight="1" spans="12:23">
      <c r="L448" s="236"/>
      <c r="Q448" s="237"/>
      <c r="R448" s="237"/>
      <c r="W448"/>
    </row>
    <row r="449" customHeight="1" spans="12:23">
      <c r="L449" s="236"/>
      <c r="Q449" s="237"/>
      <c r="R449" s="237"/>
      <c r="W449"/>
    </row>
    <row r="450" customHeight="1" spans="12:23">
      <c r="L450" s="236"/>
      <c r="Q450" s="237"/>
      <c r="R450" s="237"/>
      <c r="W450"/>
    </row>
    <row r="451" customHeight="1" spans="12:23">
      <c r="L451" s="236"/>
      <c r="Q451" s="237"/>
      <c r="R451" s="237"/>
      <c r="W451"/>
    </row>
    <row r="452" customHeight="1" spans="12:23">
      <c r="L452" s="236"/>
      <c r="Q452" s="237"/>
      <c r="R452" s="237"/>
      <c r="W452"/>
    </row>
    <row r="453" customHeight="1" spans="12:23">
      <c r="L453" s="236"/>
      <c r="Q453" s="237"/>
      <c r="R453" s="237"/>
      <c r="W453"/>
    </row>
    <row r="454" customHeight="1" spans="12:23">
      <c r="L454" s="236"/>
      <c r="Q454" s="237"/>
      <c r="R454" s="237"/>
      <c r="W454"/>
    </row>
    <row r="455" customHeight="1" spans="12:23">
      <c r="L455" s="236"/>
      <c r="Q455" s="237"/>
      <c r="R455" s="237"/>
      <c r="W455"/>
    </row>
    <row r="456" customHeight="1" spans="12:23">
      <c r="L456" s="236"/>
      <c r="Q456" s="237"/>
      <c r="R456" s="237"/>
      <c r="W456"/>
    </row>
    <row r="457" customHeight="1" spans="12:23">
      <c r="L457" s="236"/>
      <c r="Q457" s="237"/>
      <c r="R457" s="237"/>
      <c r="W457"/>
    </row>
    <row r="458" customHeight="1" spans="12:23">
      <c r="L458" s="236"/>
      <c r="Q458" s="237"/>
      <c r="R458" s="237"/>
      <c r="W458"/>
    </row>
    <row r="459" customHeight="1" spans="12:23">
      <c r="L459" s="236"/>
      <c r="Q459" s="237"/>
      <c r="R459" s="237"/>
      <c r="W459"/>
    </row>
    <row r="460" customHeight="1" spans="12:23">
      <c r="L460" s="236"/>
      <c r="Q460" s="237"/>
      <c r="R460" s="237"/>
      <c r="W460"/>
    </row>
    <row r="461" customHeight="1" spans="12:23">
      <c r="L461" s="236"/>
      <c r="Q461" s="237"/>
      <c r="R461" s="237"/>
      <c r="W461"/>
    </row>
    <row r="462" customHeight="1" spans="12:23">
      <c r="L462" s="236"/>
      <c r="Q462" s="237"/>
      <c r="R462" s="237"/>
      <c r="W462"/>
    </row>
    <row r="463" customHeight="1" spans="12:23">
      <c r="L463" s="236"/>
      <c r="Q463" s="237"/>
      <c r="R463" s="237"/>
      <c r="W463"/>
    </row>
    <row r="464" customHeight="1" spans="12:23">
      <c r="L464" s="236"/>
      <c r="Q464" s="237"/>
      <c r="R464" s="237"/>
      <c r="W464"/>
    </row>
    <row r="465" customHeight="1" spans="12:23">
      <c r="L465" s="236"/>
      <c r="Q465" s="237"/>
      <c r="R465" s="237"/>
      <c r="W465"/>
    </row>
    <row r="466" customHeight="1" spans="12:23">
      <c r="L466" s="236"/>
      <c r="Q466" s="237"/>
      <c r="R466" s="237"/>
      <c r="W466"/>
    </row>
    <row r="467" customHeight="1" spans="12:23">
      <c r="L467" s="236"/>
      <c r="Q467" s="237"/>
      <c r="R467" s="237"/>
      <c r="W467"/>
    </row>
    <row r="468" customHeight="1" spans="12:23">
      <c r="L468" s="236"/>
      <c r="Q468" s="237"/>
      <c r="R468" s="237"/>
      <c r="W468"/>
    </row>
    <row r="469" customHeight="1" spans="12:23">
      <c r="L469" s="236"/>
      <c r="Q469" s="237"/>
      <c r="R469" s="237"/>
      <c r="W469"/>
    </row>
    <row r="470" customHeight="1" spans="12:23">
      <c r="L470" s="236"/>
      <c r="Q470" s="237"/>
      <c r="R470" s="237"/>
      <c r="W470"/>
    </row>
    <row r="471" customHeight="1" spans="12:23">
      <c r="L471" s="236"/>
      <c r="Q471" s="237"/>
      <c r="R471" s="237"/>
      <c r="W471"/>
    </row>
    <row r="472" customHeight="1" spans="12:23">
      <c r="L472" s="236"/>
      <c r="Q472" s="237"/>
      <c r="R472" s="237"/>
      <c r="W472"/>
    </row>
    <row r="473" customHeight="1" spans="12:23">
      <c r="L473" s="236"/>
      <c r="Q473" s="237"/>
      <c r="R473" s="237"/>
      <c r="W473"/>
    </row>
    <row r="474" customHeight="1" spans="12:23">
      <c r="L474" s="236"/>
      <c r="Q474" s="237"/>
      <c r="R474" s="237"/>
      <c r="W474"/>
    </row>
    <row r="475" customHeight="1" spans="12:23">
      <c r="L475" s="236"/>
      <c r="Q475" s="237"/>
      <c r="R475" s="237"/>
      <c r="W475"/>
    </row>
    <row r="476" customHeight="1" spans="12:23">
      <c r="L476" s="236"/>
      <c r="Q476" s="237"/>
      <c r="R476" s="237"/>
      <c r="W476"/>
    </row>
    <row r="477" customHeight="1" spans="12:23">
      <c r="L477" s="236"/>
      <c r="Q477" s="237"/>
      <c r="R477" s="237"/>
      <c r="W477"/>
    </row>
    <row r="478" customHeight="1" spans="12:23">
      <c r="L478" s="236"/>
      <c r="Q478" s="237"/>
      <c r="R478" s="237"/>
      <c r="W478"/>
    </row>
    <row r="479" customHeight="1" spans="12:23">
      <c r="L479" s="236"/>
      <c r="Q479" s="237"/>
      <c r="R479" s="237"/>
      <c r="W479"/>
    </row>
    <row r="480" customHeight="1" spans="12:23">
      <c r="L480" s="236"/>
      <c r="Q480" s="237"/>
      <c r="R480" s="237"/>
      <c r="W480"/>
    </row>
    <row r="481" customHeight="1" spans="12:23">
      <c r="L481" s="236"/>
      <c r="Q481" s="237"/>
      <c r="R481" s="237"/>
      <c r="W481"/>
    </row>
    <row r="482" customHeight="1" spans="12:23">
      <c r="L482" s="236"/>
      <c r="Q482" s="237"/>
      <c r="R482" s="237"/>
      <c r="W482"/>
    </row>
    <row r="483" customHeight="1" spans="12:23">
      <c r="L483" s="236"/>
      <c r="Q483" s="237"/>
      <c r="R483" s="237"/>
      <c r="W483"/>
    </row>
    <row r="484" customHeight="1" spans="12:23">
      <c r="L484" s="236"/>
      <c r="Q484" s="237"/>
      <c r="R484" s="237"/>
      <c r="W484"/>
    </row>
    <row r="485" customHeight="1" spans="12:23">
      <c r="L485" s="236"/>
      <c r="Q485" s="237"/>
      <c r="R485" s="237"/>
      <c r="W485"/>
    </row>
    <row r="486" customHeight="1" spans="12:23">
      <c r="L486" s="236"/>
      <c r="Q486" s="237"/>
      <c r="R486" s="237"/>
      <c r="W486"/>
    </row>
    <row r="487" customHeight="1" spans="12:23">
      <c r="L487" s="236"/>
      <c r="Q487" s="237"/>
      <c r="R487" s="237"/>
      <c r="W487"/>
    </row>
    <row r="488" customHeight="1" spans="12:23">
      <c r="L488" s="236"/>
      <c r="Q488" s="237"/>
      <c r="R488" s="237"/>
      <c r="W488"/>
    </row>
    <row r="489" customHeight="1" spans="12:23">
      <c r="L489" s="236"/>
      <c r="Q489" s="237"/>
      <c r="R489" s="237"/>
      <c r="W489"/>
    </row>
    <row r="490" customHeight="1" spans="12:23">
      <c r="L490" s="236"/>
      <c r="Q490" s="237"/>
      <c r="R490" s="237"/>
      <c r="W490"/>
    </row>
    <row r="491" customHeight="1" spans="12:23">
      <c r="L491" s="236"/>
      <c r="Q491" s="237"/>
      <c r="R491" s="237"/>
      <c r="W491"/>
    </row>
    <row r="492" customHeight="1" spans="12:23">
      <c r="L492" s="236"/>
      <c r="Q492" s="237"/>
      <c r="R492" s="237"/>
      <c r="W492"/>
    </row>
    <row r="493" customHeight="1" spans="12:23">
      <c r="L493" s="236"/>
      <c r="Q493" s="237"/>
      <c r="R493" s="237"/>
      <c r="W493"/>
    </row>
    <row r="494" customHeight="1" spans="12:23">
      <c r="L494" s="236"/>
      <c r="Q494" s="237"/>
      <c r="R494" s="237"/>
      <c r="W494"/>
    </row>
    <row r="495" customHeight="1" spans="12:23">
      <c r="L495" s="236"/>
      <c r="Q495" s="237"/>
      <c r="R495" s="237"/>
      <c r="W495"/>
    </row>
    <row r="496" customHeight="1" spans="12:23">
      <c r="L496" s="236"/>
      <c r="Q496" s="237"/>
      <c r="R496" s="237"/>
      <c r="W496"/>
    </row>
    <row r="497" customHeight="1" spans="12:23">
      <c r="L497" s="236"/>
      <c r="Q497" s="237"/>
      <c r="R497" s="237"/>
      <c r="W497"/>
    </row>
    <row r="498" customHeight="1" spans="12:23">
      <c r="L498" s="236"/>
      <c r="Q498" s="237"/>
      <c r="R498" s="237"/>
      <c r="W498"/>
    </row>
    <row r="499" customHeight="1" spans="12:23">
      <c r="L499" s="236"/>
      <c r="Q499" s="237"/>
      <c r="R499" s="237"/>
      <c r="W499"/>
    </row>
    <row r="500" customHeight="1" spans="12:23">
      <c r="L500" s="236"/>
      <c r="Q500" s="237"/>
      <c r="R500" s="237"/>
      <c r="W500"/>
    </row>
    <row r="501" customHeight="1" spans="12:23">
      <c r="L501" s="236"/>
      <c r="Q501" s="237"/>
      <c r="R501" s="237"/>
      <c r="W501"/>
    </row>
    <row r="502" customHeight="1" spans="12:23">
      <c r="L502" s="236"/>
      <c r="Q502" s="237"/>
      <c r="R502" s="237"/>
      <c r="W502"/>
    </row>
    <row r="503" customHeight="1" spans="12:23">
      <c r="L503" s="236"/>
      <c r="Q503" s="237"/>
      <c r="R503" s="237"/>
      <c r="W503"/>
    </row>
    <row r="504" customHeight="1" spans="12:23">
      <c r="L504" s="236"/>
      <c r="Q504" s="237"/>
      <c r="R504" s="237"/>
      <c r="W504"/>
    </row>
    <row r="505" customHeight="1" spans="12:23">
      <c r="L505" s="236"/>
      <c r="Q505" s="237"/>
      <c r="R505" s="237"/>
      <c r="W505"/>
    </row>
    <row r="506" customHeight="1" spans="12:23">
      <c r="L506" s="236"/>
      <c r="Q506" s="237"/>
      <c r="R506" s="237"/>
      <c r="W506"/>
    </row>
    <row r="507" customHeight="1" spans="12:23">
      <c r="L507" s="236"/>
      <c r="Q507" s="237"/>
      <c r="R507" s="237"/>
      <c r="W507"/>
    </row>
    <row r="508" customHeight="1" spans="12:23">
      <c r="L508" s="236"/>
      <c r="Q508" s="237"/>
      <c r="R508" s="237"/>
      <c r="W508"/>
    </row>
    <row r="509" customHeight="1" spans="12:23">
      <c r="L509" s="236"/>
      <c r="Q509" s="237"/>
      <c r="R509" s="237"/>
      <c r="W509"/>
    </row>
    <row r="510" customHeight="1" spans="12:23">
      <c r="L510" s="236"/>
      <c r="Q510" s="237"/>
      <c r="R510" s="237"/>
      <c r="W510"/>
    </row>
    <row r="511" customHeight="1" spans="12:23">
      <c r="L511" s="236"/>
      <c r="Q511" s="237"/>
      <c r="R511" s="237"/>
      <c r="W511"/>
    </row>
    <row r="512" customHeight="1" spans="12:23">
      <c r="L512" s="236"/>
      <c r="Q512" s="237"/>
      <c r="R512" s="237"/>
      <c r="W512"/>
    </row>
    <row r="513" customHeight="1" spans="12:23">
      <c r="L513" s="236"/>
      <c r="Q513" s="237"/>
      <c r="R513" s="237"/>
      <c r="W513"/>
    </row>
    <row r="514" customHeight="1" spans="12:23">
      <c r="L514" s="236"/>
      <c r="Q514" s="237"/>
      <c r="R514" s="237"/>
      <c r="W514"/>
    </row>
    <row r="515" customHeight="1" spans="12:23">
      <c r="L515" s="236"/>
      <c r="Q515" s="237"/>
      <c r="R515" s="237"/>
      <c r="W515"/>
    </row>
    <row r="516" customHeight="1" spans="12:23">
      <c r="L516" s="236"/>
      <c r="Q516" s="237"/>
      <c r="R516" s="237"/>
      <c r="W516"/>
    </row>
    <row r="517" customHeight="1" spans="12:23">
      <c r="L517" s="236"/>
      <c r="Q517" s="237"/>
      <c r="R517" s="237"/>
      <c r="W517"/>
    </row>
    <row r="518" customHeight="1" spans="12:23">
      <c r="L518" s="236"/>
      <c r="Q518" s="237"/>
      <c r="R518" s="237"/>
      <c r="W518"/>
    </row>
    <row r="519" customHeight="1" spans="12:23">
      <c r="L519" s="236"/>
      <c r="Q519" s="237"/>
      <c r="R519" s="237"/>
      <c r="W519"/>
    </row>
    <row r="520" customHeight="1" spans="12:23">
      <c r="L520" s="236"/>
      <c r="Q520" s="237"/>
      <c r="R520" s="237"/>
      <c r="W520"/>
    </row>
    <row r="521" customHeight="1" spans="12:23">
      <c r="L521" s="236"/>
      <c r="Q521" s="237"/>
      <c r="R521" s="237"/>
      <c r="W521"/>
    </row>
    <row r="522" customHeight="1" spans="12:23">
      <c r="L522" s="236"/>
      <c r="Q522" s="237"/>
      <c r="R522" s="237"/>
      <c r="W522"/>
    </row>
    <row r="523" customHeight="1" spans="12:23">
      <c r="L523" s="236"/>
      <c r="Q523" s="237"/>
      <c r="R523" s="237"/>
      <c r="W523"/>
    </row>
    <row r="524" customHeight="1" spans="12:23">
      <c r="L524" s="236"/>
      <c r="Q524" s="237"/>
      <c r="R524" s="237"/>
      <c r="W524"/>
    </row>
    <row r="525" customHeight="1" spans="12:23">
      <c r="L525" s="236"/>
      <c r="Q525" s="237"/>
      <c r="R525" s="237"/>
      <c r="W525"/>
    </row>
    <row r="526" customHeight="1" spans="12:23">
      <c r="L526" s="236"/>
      <c r="Q526" s="237"/>
      <c r="R526" s="237"/>
      <c r="W526"/>
    </row>
    <row r="527" customHeight="1" spans="12:23">
      <c r="L527" s="236"/>
      <c r="Q527" s="237"/>
      <c r="R527" s="237"/>
      <c r="W527"/>
    </row>
    <row r="528" customHeight="1" spans="12:23">
      <c r="L528" s="236"/>
      <c r="Q528" s="237"/>
      <c r="R528" s="237"/>
      <c r="W528"/>
    </row>
    <row r="529" customHeight="1" spans="12:23">
      <c r="L529" s="236"/>
      <c r="Q529" s="237"/>
      <c r="R529" s="237"/>
      <c r="W529"/>
    </row>
    <row r="530" customHeight="1" spans="12:23">
      <c r="L530" s="236"/>
      <c r="Q530" s="237"/>
      <c r="R530" s="237"/>
      <c r="W530"/>
    </row>
    <row r="531" customHeight="1" spans="12:23">
      <c r="L531" s="236"/>
      <c r="Q531" s="237"/>
      <c r="R531" s="237"/>
      <c r="W531"/>
    </row>
    <row r="532" customHeight="1" spans="12:23">
      <c r="L532" s="236"/>
      <c r="Q532" s="237"/>
      <c r="R532" s="237"/>
      <c r="W532"/>
    </row>
    <row r="533" customHeight="1" spans="12:23">
      <c r="L533" s="236"/>
      <c r="Q533" s="237"/>
      <c r="R533" s="237"/>
      <c r="W533"/>
    </row>
    <row r="534" customHeight="1" spans="12:23">
      <c r="L534" s="236"/>
      <c r="Q534" s="237"/>
      <c r="R534" s="237"/>
      <c r="W534"/>
    </row>
    <row r="535" customHeight="1" spans="12:23">
      <c r="L535" s="236"/>
      <c r="Q535" s="237"/>
      <c r="R535" s="237"/>
      <c r="W535"/>
    </row>
    <row r="536" customHeight="1" spans="12:23">
      <c r="L536" s="236"/>
      <c r="Q536" s="237"/>
      <c r="R536" s="237"/>
      <c r="W536"/>
    </row>
    <row r="537" customHeight="1" spans="12:23">
      <c r="L537" s="236"/>
      <c r="Q537" s="237"/>
      <c r="R537" s="237"/>
      <c r="W537"/>
    </row>
    <row r="538" customHeight="1" spans="12:23">
      <c r="L538" s="236"/>
      <c r="Q538" s="237"/>
      <c r="R538" s="237"/>
      <c r="W538"/>
    </row>
    <row r="539" customHeight="1" spans="12:23">
      <c r="L539" s="236"/>
      <c r="Q539" s="237"/>
      <c r="R539" s="237"/>
      <c r="W539"/>
    </row>
    <row r="540" customHeight="1" spans="12:23">
      <c r="L540" s="236"/>
      <c r="Q540" s="237"/>
      <c r="R540" s="237"/>
      <c r="W540"/>
    </row>
    <row r="541" customHeight="1" spans="12:23">
      <c r="L541" s="236"/>
      <c r="Q541" s="237"/>
      <c r="R541" s="237"/>
      <c r="W541"/>
    </row>
    <row r="542" customHeight="1" spans="12:23">
      <c r="L542" s="236"/>
      <c r="Q542" s="237"/>
      <c r="R542" s="237"/>
      <c r="W542"/>
    </row>
    <row r="543" customHeight="1" spans="12:23">
      <c r="L543" s="236"/>
      <c r="Q543" s="237"/>
      <c r="R543" s="237"/>
      <c r="W543"/>
    </row>
    <row r="544" customHeight="1" spans="12:23">
      <c r="L544" s="236"/>
      <c r="Q544" s="237"/>
      <c r="R544" s="237"/>
      <c r="W544"/>
    </row>
    <row r="545" customHeight="1" spans="12:23">
      <c r="L545" s="236"/>
      <c r="Q545" s="237"/>
      <c r="R545" s="237"/>
      <c r="W545"/>
    </row>
    <row r="546" customHeight="1" spans="12:23">
      <c r="L546" s="236"/>
      <c r="Q546" s="237"/>
      <c r="R546" s="237"/>
      <c r="W546"/>
    </row>
    <row r="547" customHeight="1" spans="12:23">
      <c r="L547" s="236"/>
      <c r="Q547" s="237"/>
      <c r="R547" s="237"/>
      <c r="W547"/>
    </row>
    <row r="548" customHeight="1" spans="12:23">
      <c r="L548" s="236"/>
      <c r="Q548" s="237"/>
      <c r="R548" s="237"/>
      <c r="W548"/>
    </row>
    <row r="549" customHeight="1" spans="12:23">
      <c r="L549" s="236"/>
      <c r="Q549" s="237"/>
      <c r="R549" s="237"/>
      <c r="W549"/>
    </row>
    <row r="550" customHeight="1" spans="12:23">
      <c r="L550" s="236"/>
      <c r="Q550" s="237"/>
      <c r="R550" s="237"/>
      <c r="W550"/>
    </row>
    <row r="551" customHeight="1" spans="12:23">
      <c r="L551" s="236"/>
      <c r="Q551" s="237"/>
      <c r="R551" s="237"/>
      <c r="W551"/>
    </row>
    <row r="552" customHeight="1" spans="12:23">
      <c r="L552" s="236"/>
      <c r="Q552" s="237"/>
      <c r="R552" s="237"/>
      <c r="W552"/>
    </row>
    <row r="553" customHeight="1" spans="12:23">
      <c r="L553" s="236"/>
      <c r="Q553" s="237"/>
      <c r="R553" s="237"/>
      <c r="W553"/>
    </row>
    <row r="554" customHeight="1" spans="12:23">
      <c r="L554" s="236"/>
      <c r="Q554" s="237"/>
      <c r="R554" s="237"/>
      <c r="W554"/>
    </row>
    <row r="555" customHeight="1" spans="12:23">
      <c r="L555" s="236"/>
      <c r="Q555" s="237"/>
      <c r="R555" s="237"/>
      <c r="W555"/>
    </row>
    <row r="556" customHeight="1" spans="12:23">
      <c r="L556" s="236"/>
      <c r="Q556" s="237"/>
      <c r="R556" s="237"/>
      <c r="W556"/>
    </row>
    <row r="557" customHeight="1" spans="12:23">
      <c r="L557" s="236"/>
      <c r="Q557" s="237"/>
      <c r="R557" s="237"/>
      <c r="W557"/>
    </row>
    <row r="558" customHeight="1" spans="12:23">
      <c r="L558" s="236"/>
      <c r="Q558" s="237"/>
      <c r="R558" s="237"/>
      <c r="W558"/>
    </row>
    <row r="559" customHeight="1" spans="12:23">
      <c r="L559" s="236"/>
      <c r="Q559" s="237"/>
      <c r="R559" s="237"/>
      <c r="W559"/>
    </row>
    <row r="560" customHeight="1" spans="12:23">
      <c r="L560" s="236"/>
      <c r="Q560" s="237"/>
      <c r="R560" s="237"/>
      <c r="W560"/>
    </row>
    <row r="561" customHeight="1" spans="12:23">
      <c r="L561" s="236"/>
      <c r="Q561" s="237"/>
      <c r="R561" s="237"/>
      <c r="W561"/>
    </row>
    <row r="562" customHeight="1" spans="12:23">
      <c r="L562" s="236"/>
      <c r="Q562" s="237"/>
      <c r="R562" s="237"/>
      <c r="W562"/>
    </row>
    <row r="563" customHeight="1" spans="12:23">
      <c r="L563" s="236"/>
      <c r="Q563" s="237"/>
      <c r="R563" s="237"/>
      <c r="W563"/>
    </row>
    <row r="564" customHeight="1" spans="12:23">
      <c r="L564" s="236"/>
      <c r="Q564" s="237"/>
      <c r="R564" s="237"/>
      <c r="W564"/>
    </row>
    <row r="565" customHeight="1" spans="12:23">
      <c r="L565" s="236"/>
      <c r="Q565" s="237"/>
      <c r="R565" s="237"/>
      <c r="W565"/>
    </row>
    <row r="566" customHeight="1" spans="12:23">
      <c r="L566" s="236"/>
      <c r="Q566" s="237"/>
      <c r="R566" s="237"/>
      <c r="W566"/>
    </row>
    <row r="567" customHeight="1" spans="12:23">
      <c r="L567" s="236"/>
      <c r="Q567" s="237"/>
      <c r="R567" s="237"/>
      <c r="W567"/>
    </row>
    <row r="568" customHeight="1" spans="12:23">
      <c r="L568" s="236"/>
      <c r="Q568" s="237"/>
      <c r="R568" s="237"/>
      <c r="W568"/>
    </row>
    <row r="569" customHeight="1" spans="12:23">
      <c r="L569" s="236"/>
      <c r="Q569" s="237"/>
      <c r="R569" s="237"/>
      <c r="W569"/>
    </row>
    <row r="570" customHeight="1" spans="12:23">
      <c r="L570" s="236"/>
      <c r="Q570" s="237"/>
      <c r="R570" s="237"/>
      <c r="W570"/>
    </row>
    <row r="571" customHeight="1" spans="12:23">
      <c r="L571" s="236"/>
      <c r="Q571" s="237"/>
      <c r="R571" s="237"/>
      <c r="W571"/>
    </row>
    <row r="572" customHeight="1" spans="12:23">
      <c r="L572" s="236"/>
      <c r="Q572" s="237"/>
      <c r="R572" s="237"/>
      <c r="W572"/>
    </row>
    <row r="573" customHeight="1" spans="12:23">
      <c r="L573" s="236"/>
      <c r="Q573" s="237"/>
      <c r="R573" s="237"/>
      <c r="W573"/>
    </row>
    <row r="574" customHeight="1" spans="12:23">
      <c r="L574" s="236"/>
      <c r="Q574" s="237"/>
      <c r="R574" s="237"/>
      <c r="W574"/>
    </row>
    <row r="575" customHeight="1" spans="12:23">
      <c r="L575" s="236"/>
      <c r="Q575" s="237"/>
      <c r="R575" s="237"/>
      <c r="W575"/>
    </row>
    <row r="576" customHeight="1" spans="12:23">
      <c r="L576" s="236"/>
      <c r="Q576" s="237"/>
      <c r="R576" s="237"/>
      <c r="W576"/>
    </row>
    <row r="577" customHeight="1" spans="12:23">
      <c r="L577" s="236"/>
      <c r="Q577" s="237"/>
      <c r="R577" s="237"/>
      <c r="W577"/>
    </row>
    <row r="578" customHeight="1" spans="12:23">
      <c r="L578" s="236"/>
      <c r="Q578" s="237"/>
      <c r="R578" s="237"/>
      <c r="W578"/>
    </row>
    <row r="579" customHeight="1" spans="12:23">
      <c r="L579" s="236"/>
      <c r="Q579" s="237"/>
      <c r="R579" s="237"/>
      <c r="W579"/>
    </row>
    <row r="580" customHeight="1" spans="12:23">
      <c r="L580" s="236"/>
      <c r="Q580" s="237"/>
      <c r="R580" s="237"/>
      <c r="W580"/>
    </row>
    <row r="581" customHeight="1" spans="12:23">
      <c r="L581" s="236"/>
      <c r="Q581" s="237"/>
      <c r="R581" s="237"/>
      <c r="W581"/>
    </row>
    <row r="582" customHeight="1" spans="12:23">
      <c r="L582" s="236"/>
      <c r="Q582" s="237"/>
      <c r="R582" s="237"/>
      <c r="W582"/>
    </row>
    <row r="583" customHeight="1" spans="12:23">
      <c r="L583" s="236"/>
      <c r="Q583" s="237"/>
      <c r="R583" s="237"/>
      <c r="W583"/>
    </row>
    <row r="584" customHeight="1" spans="12:23">
      <c r="L584" s="236"/>
      <c r="Q584" s="237"/>
      <c r="R584" s="237"/>
      <c r="W584"/>
    </row>
    <row r="585" customHeight="1" spans="12:23">
      <c r="L585" s="236"/>
      <c r="Q585" s="237"/>
      <c r="R585" s="237"/>
      <c r="W585"/>
    </row>
    <row r="586" customHeight="1" spans="12:23">
      <c r="L586" s="236"/>
      <c r="Q586" s="237"/>
      <c r="R586" s="237"/>
      <c r="W586"/>
    </row>
    <row r="587" customHeight="1" spans="12:23">
      <c r="L587" s="236"/>
      <c r="Q587" s="237"/>
      <c r="R587" s="237"/>
      <c r="W587"/>
    </row>
    <row r="588" customHeight="1" spans="12:23">
      <c r="L588" s="236"/>
      <c r="Q588" s="237"/>
      <c r="R588" s="237"/>
      <c r="W588"/>
    </row>
    <row r="589" customHeight="1" spans="12:23">
      <c r="L589" s="236"/>
      <c r="Q589" s="237"/>
      <c r="R589" s="237"/>
      <c r="W589"/>
    </row>
    <row r="590" customHeight="1" spans="12:23">
      <c r="L590" s="236"/>
      <c r="Q590" s="237"/>
      <c r="R590" s="237"/>
      <c r="W590"/>
    </row>
    <row r="591" customHeight="1" spans="12:23">
      <c r="L591" s="236"/>
      <c r="Q591" s="237"/>
      <c r="R591" s="237"/>
      <c r="W591"/>
    </row>
    <row r="592" customHeight="1" spans="12:23">
      <c r="L592" s="236"/>
      <c r="Q592" s="237"/>
      <c r="R592" s="237"/>
      <c r="W592"/>
    </row>
    <row r="593" customHeight="1" spans="12:23">
      <c r="L593" s="236"/>
      <c r="Q593" s="237"/>
      <c r="R593" s="237"/>
      <c r="W593"/>
    </row>
    <row r="594" customHeight="1" spans="12:23">
      <c r="L594" s="236"/>
      <c r="Q594" s="237"/>
      <c r="R594" s="237"/>
      <c r="W594"/>
    </row>
    <row r="595" customHeight="1" spans="12:23">
      <c r="L595" s="236"/>
      <c r="Q595" s="237"/>
      <c r="R595" s="237"/>
      <c r="W595"/>
    </row>
    <row r="596" customHeight="1" spans="12:23">
      <c r="L596" s="236"/>
      <c r="Q596" s="237"/>
      <c r="R596" s="237"/>
      <c r="W596"/>
    </row>
    <row r="597" customHeight="1" spans="12:23">
      <c r="L597" s="236"/>
      <c r="Q597" s="237"/>
      <c r="R597" s="237"/>
      <c r="W597"/>
    </row>
    <row r="598" customHeight="1" spans="12:23">
      <c r="L598" s="236"/>
      <c r="Q598" s="237"/>
      <c r="R598" s="237"/>
      <c r="W598"/>
    </row>
    <row r="599" customHeight="1" spans="12:23">
      <c r="L599" s="236"/>
      <c r="Q599" s="237"/>
      <c r="R599" s="237"/>
      <c r="W599"/>
    </row>
    <row r="600" customHeight="1" spans="12:23">
      <c r="L600" s="236"/>
      <c r="Q600" s="237"/>
      <c r="R600" s="237"/>
      <c r="W600"/>
    </row>
    <row r="601" customHeight="1" spans="12:23">
      <c r="L601" s="236"/>
      <c r="Q601" s="237"/>
      <c r="R601" s="237"/>
      <c r="W601"/>
    </row>
    <row r="602" customHeight="1" spans="12:23">
      <c r="L602" s="236"/>
      <c r="Q602" s="237"/>
      <c r="R602" s="237"/>
      <c r="W602"/>
    </row>
    <row r="603" customHeight="1" spans="12:23">
      <c r="L603" s="236"/>
      <c r="Q603" s="237"/>
      <c r="R603" s="237"/>
      <c r="W603"/>
    </row>
    <row r="604" customHeight="1" spans="12:23">
      <c r="L604" s="236"/>
      <c r="Q604" s="237"/>
      <c r="R604" s="237"/>
      <c r="W604"/>
    </row>
    <row r="605" customHeight="1" spans="12:23">
      <c r="L605" s="236"/>
      <c r="Q605" s="237"/>
      <c r="R605" s="237"/>
      <c r="W605"/>
    </row>
    <row r="606" customHeight="1" spans="12:23">
      <c r="L606" s="236"/>
      <c r="Q606" s="237"/>
      <c r="R606" s="237"/>
      <c r="W606"/>
    </row>
    <row r="607" customHeight="1" spans="12:23">
      <c r="L607" s="236"/>
      <c r="Q607" s="237"/>
      <c r="R607" s="237"/>
      <c r="W607"/>
    </row>
    <row r="608" customHeight="1" spans="12:23">
      <c r="L608" s="236"/>
      <c r="Q608" s="237"/>
      <c r="R608" s="237"/>
      <c r="W608"/>
    </row>
    <row r="609" customHeight="1" spans="12:23">
      <c r="L609" s="236"/>
      <c r="Q609" s="237"/>
      <c r="R609" s="237"/>
      <c r="W609"/>
    </row>
    <row r="610" customHeight="1" spans="12:23">
      <c r="L610" s="236"/>
      <c r="Q610" s="237"/>
      <c r="R610" s="237"/>
      <c r="W610"/>
    </row>
    <row r="611" customHeight="1" spans="12:23">
      <c r="L611" s="236"/>
      <c r="Q611" s="237"/>
      <c r="R611" s="237"/>
      <c r="W611"/>
    </row>
    <row r="612" customHeight="1" spans="12:23">
      <c r="L612" s="236"/>
      <c r="Q612" s="237"/>
      <c r="R612" s="237"/>
      <c r="W612"/>
    </row>
    <row r="613" customHeight="1" spans="12:23">
      <c r="L613" s="236"/>
      <c r="Q613" s="237"/>
      <c r="R613" s="237"/>
      <c r="W613"/>
    </row>
    <row r="614" customHeight="1" spans="12:23">
      <c r="L614" s="236"/>
      <c r="Q614" s="237"/>
      <c r="R614" s="237"/>
      <c r="W614"/>
    </row>
    <row r="615" customHeight="1" spans="12:23">
      <c r="L615" s="236"/>
      <c r="Q615" s="237"/>
      <c r="R615" s="237"/>
      <c r="W615"/>
    </row>
    <row r="616" customHeight="1" spans="12:23">
      <c r="L616" s="236"/>
      <c r="Q616" s="237"/>
      <c r="R616" s="237"/>
      <c r="W616"/>
    </row>
    <row r="617" customHeight="1" spans="12:23">
      <c r="L617" s="236"/>
      <c r="Q617" s="237"/>
      <c r="R617" s="237"/>
      <c r="W617"/>
    </row>
    <row r="618" customHeight="1" spans="12:23">
      <c r="L618" s="236"/>
      <c r="Q618" s="237"/>
      <c r="R618" s="237"/>
      <c r="W618"/>
    </row>
    <row r="619" customHeight="1" spans="12:23">
      <c r="L619" s="236"/>
      <c r="Q619" s="237"/>
      <c r="R619" s="237"/>
      <c r="W619"/>
    </row>
    <row r="620" customHeight="1" spans="12:23">
      <c r="L620" s="236"/>
      <c r="Q620" s="237"/>
      <c r="R620" s="237"/>
      <c r="W620"/>
    </row>
    <row r="621" customHeight="1" spans="12:23">
      <c r="L621" s="236"/>
      <c r="Q621" s="237"/>
      <c r="R621" s="237"/>
      <c r="W621"/>
    </row>
    <row r="622" customHeight="1" spans="12:23">
      <c r="L622" s="236"/>
      <c r="Q622" s="237"/>
      <c r="R622" s="237"/>
      <c r="W622"/>
    </row>
    <row r="623" customHeight="1" spans="12:23">
      <c r="L623" s="236"/>
      <c r="Q623" s="237"/>
      <c r="R623" s="237"/>
      <c r="W623"/>
    </row>
    <row r="624" customHeight="1" spans="12:23">
      <c r="L624" s="236"/>
      <c r="Q624" s="237"/>
      <c r="R624" s="237"/>
      <c r="W624"/>
    </row>
    <row r="625" customHeight="1" spans="12:23">
      <c r="L625" s="236"/>
      <c r="Q625" s="237"/>
      <c r="R625" s="237"/>
      <c r="W625"/>
    </row>
    <row r="626" customHeight="1" spans="12:23">
      <c r="L626" s="236"/>
      <c r="Q626" s="237"/>
      <c r="R626" s="237"/>
      <c r="W626"/>
    </row>
    <row r="627" customHeight="1" spans="12:23">
      <c r="L627" s="236"/>
      <c r="Q627" s="237"/>
      <c r="R627" s="237"/>
      <c r="W627"/>
    </row>
    <row r="628" customHeight="1" spans="12:23">
      <c r="L628" s="236"/>
      <c r="Q628" s="237"/>
      <c r="R628" s="237"/>
      <c r="W628"/>
    </row>
    <row r="629" customHeight="1" spans="12:23">
      <c r="L629" s="236"/>
      <c r="Q629" s="237"/>
      <c r="R629" s="237"/>
      <c r="W629"/>
    </row>
    <row r="630" customHeight="1" spans="12:23">
      <c r="L630" s="236"/>
      <c r="Q630" s="237"/>
      <c r="R630" s="237"/>
      <c r="W630"/>
    </row>
    <row r="631" customHeight="1" spans="12:23">
      <c r="L631" s="236"/>
      <c r="Q631" s="237"/>
      <c r="R631" s="237"/>
      <c r="W631"/>
    </row>
    <row r="632" customHeight="1" spans="12:23">
      <c r="L632" s="236"/>
      <c r="Q632" s="237"/>
      <c r="R632" s="237"/>
      <c r="W632"/>
    </row>
    <row r="633" customHeight="1" spans="12:23">
      <c r="L633" s="236"/>
      <c r="Q633" s="237"/>
      <c r="R633" s="237"/>
      <c r="W633"/>
    </row>
    <row r="634" customHeight="1" spans="12:23">
      <c r="L634" s="236"/>
      <c r="Q634" s="237"/>
      <c r="R634" s="237"/>
      <c r="W634"/>
    </row>
    <row r="635" customHeight="1" spans="12:23">
      <c r="L635" s="236"/>
      <c r="Q635" s="237"/>
      <c r="R635" s="237"/>
      <c r="W635"/>
    </row>
    <row r="636" customHeight="1" spans="12:23">
      <c r="L636" s="236"/>
      <c r="Q636" s="237"/>
      <c r="R636" s="237"/>
      <c r="W636"/>
    </row>
    <row r="637" customHeight="1" spans="12:23">
      <c r="L637" s="236"/>
      <c r="Q637" s="237"/>
      <c r="R637" s="237"/>
      <c r="W637"/>
    </row>
    <row r="638" customHeight="1" spans="12:23">
      <c r="L638" s="236"/>
      <c r="Q638" s="237"/>
      <c r="R638" s="237"/>
      <c r="W638"/>
    </row>
    <row r="639" customHeight="1" spans="12:23">
      <c r="L639" s="236"/>
      <c r="Q639" s="237"/>
      <c r="R639" s="237"/>
      <c r="W639"/>
    </row>
    <row r="640" customHeight="1" spans="12:23">
      <c r="L640" s="236"/>
      <c r="Q640" s="237"/>
      <c r="R640" s="237"/>
      <c r="W640"/>
    </row>
    <row r="641" customHeight="1" spans="12:23">
      <c r="L641" s="236"/>
      <c r="Q641" s="237"/>
      <c r="R641" s="237"/>
      <c r="W641"/>
    </row>
    <row r="642" customHeight="1" spans="12:23">
      <c r="L642" s="236"/>
      <c r="Q642" s="237"/>
      <c r="R642" s="237"/>
      <c r="W642"/>
    </row>
    <row r="643" customHeight="1" spans="12:23">
      <c r="L643" s="236"/>
      <c r="Q643" s="237"/>
      <c r="R643" s="237"/>
      <c r="W643"/>
    </row>
    <row r="644" customHeight="1" spans="12:23">
      <c r="L644" s="236"/>
      <c r="Q644" s="237"/>
      <c r="R644" s="237"/>
      <c r="W644"/>
    </row>
    <row r="645" customHeight="1" spans="12:23">
      <c r="L645" s="236"/>
      <c r="Q645" s="237"/>
      <c r="R645" s="237"/>
      <c r="W645"/>
    </row>
    <row r="646" customHeight="1" spans="12:23">
      <c r="L646" s="236"/>
      <c r="Q646" s="237"/>
      <c r="R646" s="237"/>
      <c r="W646"/>
    </row>
    <row r="647" customHeight="1" spans="12:23">
      <c r="L647" s="236"/>
      <c r="Q647" s="237"/>
      <c r="R647" s="237"/>
      <c r="W647"/>
    </row>
    <row r="648" customHeight="1" spans="12:23">
      <c r="L648" s="236"/>
      <c r="Q648" s="237"/>
      <c r="R648" s="237"/>
      <c r="W648"/>
    </row>
    <row r="649" customHeight="1" spans="12:23">
      <c r="L649" s="236"/>
      <c r="Q649" s="237"/>
      <c r="R649" s="237"/>
      <c r="W649"/>
    </row>
    <row r="650" customHeight="1" spans="12:23">
      <c r="L650" s="236"/>
      <c r="Q650" s="237"/>
      <c r="R650" s="237"/>
      <c r="W650"/>
    </row>
    <row r="651" customHeight="1" spans="12:23">
      <c r="L651" s="236"/>
      <c r="Q651" s="237"/>
      <c r="R651" s="237"/>
      <c r="W651"/>
    </row>
    <row r="652" customHeight="1" spans="12:23">
      <c r="L652" s="236"/>
      <c r="Q652" s="237"/>
      <c r="R652" s="237"/>
      <c r="W652"/>
    </row>
    <row r="653" customHeight="1" spans="12:23">
      <c r="L653" s="236"/>
      <c r="Q653" s="237"/>
      <c r="R653" s="237"/>
      <c r="W653"/>
    </row>
    <row r="654" customHeight="1" spans="12:23">
      <c r="L654" s="236"/>
      <c r="Q654" s="237"/>
      <c r="R654" s="237"/>
      <c r="W654"/>
    </row>
    <row r="655" customHeight="1" spans="12:23">
      <c r="L655" s="236"/>
      <c r="Q655" s="237"/>
      <c r="R655" s="237"/>
      <c r="W655"/>
    </row>
    <row r="656" customHeight="1" spans="12:23">
      <c r="L656" s="236"/>
      <c r="Q656" s="237"/>
      <c r="R656" s="237"/>
      <c r="W656"/>
    </row>
    <row r="657" customHeight="1" spans="12:23">
      <c r="L657" s="236"/>
      <c r="Q657" s="237"/>
      <c r="R657" s="237"/>
      <c r="W657"/>
    </row>
    <row r="658" customHeight="1" spans="12:23">
      <c r="L658" s="236"/>
      <c r="Q658" s="237"/>
      <c r="R658" s="237"/>
      <c r="W658"/>
    </row>
    <row r="659" customHeight="1" spans="12:23">
      <c r="L659" s="236"/>
      <c r="Q659" s="237"/>
      <c r="R659" s="237"/>
      <c r="W659"/>
    </row>
    <row r="660" customHeight="1" spans="12:23">
      <c r="L660" s="236"/>
      <c r="Q660" s="237"/>
      <c r="R660" s="237"/>
      <c r="W660"/>
    </row>
    <row r="661" customHeight="1" spans="12:23">
      <c r="L661" s="236"/>
      <c r="Q661" s="237"/>
      <c r="R661" s="237"/>
      <c r="W661"/>
    </row>
    <row r="662" customHeight="1" spans="12:23">
      <c r="L662" s="236"/>
      <c r="Q662" s="237"/>
      <c r="R662" s="237"/>
      <c r="W662"/>
    </row>
    <row r="663" customHeight="1" spans="12:23">
      <c r="L663" s="236"/>
      <c r="Q663" s="237"/>
      <c r="R663" s="237"/>
      <c r="W663"/>
    </row>
    <row r="664" customHeight="1" spans="12:23">
      <c r="L664" s="236"/>
      <c r="Q664" s="237"/>
      <c r="R664" s="237"/>
      <c r="W664"/>
    </row>
    <row r="665" customHeight="1" spans="12:23">
      <c r="L665" s="236"/>
      <c r="Q665" s="237"/>
      <c r="R665" s="237"/>
      <c r="W665"/>
    </row>
    <row r="666" customHeight="1" spans="12:23">
      <c r="L666" s="236"/>
      <c r="Q666" s="237"/>
      <c r="R666" s="237"/>
      <c r="W666"/>
    </row>
    <row r="667" customHeight="1" spans="12:23">
      <c r="L667" s="236"/>
      <c r="Q667" s="237"/>
      <c r="R667" s="237"/>
      <c r="W667"/>
    </row>
    <row r="668" customHeight="1" spans="12:23">
      <c r="L668" s="236"/>
      <c r="Q668" s="237"/>
      <c r="R668" s="237"/>
      <c r="W668"/>
    </row>
    <row r="669" customHeight="1" spans="12:23">
      <c r="L669" s="236"/>
      <c r="Q669" s="237"/>
      <c r="R669" s="237"/>
      <c r="W669"/>
    </row>
    <row r="670" customHeight="1" spans="12:23">
      <c r="L670" s="236"/>
      <c r="Q670" s="237"/>
      <c r="R670" s="237"/>
      <c r="W670"/>
    </row>
    <row r="671" customHeight="1" spans="12:23">
      <c r="L671" s="236"/>
      <c r="Q671" s="237"/>
      <c r="R671" s="237"/>
      <c r="W671"/>
    </row>
    <row r="672" customHeight="1" spans="12:23">
      <c r="L672" s="236"/>
      <c r="Q672" s="237"/>
      <c r="R672" s="237"/>
      <c r="W672"/>
    </row>
    <row r="673" customHeight="1" spans="12:23">
      <c r="L673" s="236"/>
      <c r="Q673" s="237"/>
      <c r="R673" s="237"/>
      <c r="W673"/>
    </row>
    <row r="674" customHeight="1" spans="12:23">
      <c r="L674" s="236"/>
      <c r="Q674" s="237"/>
      <c r="R674" s="237"/>
      <c r="W674"/>
    </row>
    <row r="675" customHeight="1" spans="12:23">
      <c r="L675" s="236"/>
      <c r="Q675" s="237"/>
      <c r="R675" s="237"/>
      <c r="W675"/>
    </row>
    <row r="676" customHeight="1" spans="12:23">
      <c r="L676" s="236"/>
      <c r="Q676" s="237"/>
      <c r="R676" s="237"/>
      <c r="W676"/>
    </row>
    <row r="677" customHeight="1" spans="12:23">
      <c r="L677" s="236"/>
      <c r="Q677" s="237"/>
      <c r="R677" s="237"/>
      <c r="W677"/>
    </row>
    <row r="678" customHeight="1" spans="12:23">
      <c r="L678" s="236"/>
      <c r="Q678" s="237"/>
      <c r="R678" s="237"/>
      <c r="W678"/>
    </row>
    <row r="679" customHeight="1" spans="12:23">
      <c r="L679" s="236"/>
      <c r="Q679" s="237"/>
      <c r="R679" s="237"/>
      <c r="W679"/>
    </row>
    <row r="680" customHeight="1" spans="12:23">
      <c r="L680" s="236"/>
      <c r="Q680" s="237"/>
      <c r="R680" s="237"/>
      <c r="W680"/>
    </row>
    <row r="681" customHeight="1" spans="12:23">
      <c r="L681" s="236"/>
      <c r="Q681" s="237"/>
      <c r="R681" s="237"/>
      <c r="W681"/>
    </row>
    <row r="682" customHeight="1" spans="12:23">
      <c r="L682" s="236"/>
      <c r="Q682" s="237"/>
      <c r="R682" s="237"/>
      <c r="W682"/>
    </row>
    <row r="683" customHeight="1" spans="12:23">
      <c r="L683" s="236"/>
      <c r="Q683" s="237"/>
      <c r="R683" s="237"/>
      <c r="W683"/>
    </row>
    <row r="684" customHeight="1" spans="12:23">
      <c r="L684" s="236"/>
      <c r="Q684" s="237"/>
      <c r="R684" s="237"/>
      <c r="W684"/>
    </row>
    <row r="685" customHeight="1" spans="12:23">
      <c r="L685" s="236"/>
      <c r="Q685" s="237"/>
      <c r="R685" s="237"/>
      <c r="W685"/>
    </row>
    <row r="686" customHeight="1" spans="12:23">
      <c r="L686" s="236"/>
      <c r="Q686" s="237"/>
      <c r="R686" s="237"/>
      <c r="W686"/>
    </row>
    <row r="687" customHeight="1" spans="12:23">
      <c r="L687" s="236"/>
      <c r="Q687" s="237"/>
      <c r="R687" s="237"/>
      <c r="W687"/>
    </row>
    <row r="688" customHeight="1" spans="12:23">
      <c r="L688" s="236"/>
      <c r="Q688" s="237"/>
      <c r="R688" s="237"/>
      <c r="W688"/>
    </row>
    <row r="689" customHeight="1" spans="12:23">
      <c r="L689" s="236"/>
      <c r="Q689" s="237"/>
      <c r="R689" s="237"/>
      <c r="W689"/>
    </row>
    <row r="690" customHeight="1" spans="12:23">
      <c r="L690" s="236"/>
      <c r="Q690" s="237"/>
      <c r="R690" s="237"/>
      <c r="W690"/>
    </row>
    <row r="691" customHeight="1" spans="12:23">
      <c r="L691" s="236"/>
      <c r="Q691" s="237"/>
      <c r="R691" s="237"/>
      <c r="W691"/>
    </row>
    <row r="692" customHeight="1" spans="12:23">
      <c r="L692" s="236"/>
      <c r="Q692" s="237"/>
      <c r="R692" s="237"/>
      <c r="W692"/>
    </row>
    <row r="693" customHeight="1" spans="12:23">
      <c r="L693" s="236"/>
      <c r="Q693" s="237"/>
      <c r="R693" s="237"/>
      <c r="W693"/>
    </row>
    <row r="694" customHeight="1" spans="12:23">
      <c r="L694" s="236"/>
      <c r="Q694" s="237"/>
      <c r="R694" s="237"/>
      <c r="W694"/>
    </row>
    <row r="695" customHeight="1" spans="12:23">
      <c r="L695" s="236"/>
      <c r="Q695" s="237"/>
      <c r="R695" s="237"/>
      <c r="W695"/>
    </row>
    <row r="696" customHeight="1" spans="12:23">
      <c r="L696" s="236"/>
      <c r="Q696" s="237"/>
      <c r="R696" s="237"/>
      <c r="W696"/>
    </row>
    <row r="697" customHeight="1" spans="12:23">
      <c r="L697" s="236"/>
      <c r="Q697" s="237"/>
      <c r="R697" s="237"/>
      <c r="W697"/>
    </row>
    <row r="698" customHeight="1" spans="12:23">
      <c r="L698" s="236"/>
      <c r="Q698" s="237"/>
      <c r="R698" s="237"/>
      <c r="W698"/>
    </row>
    <row r="699" customHeight="1" spans="12:23">
      <c r="L699" s="236"/>
      <c r="Q699" s="237"/>
      <c r="R699" s="237"/>
      <c r="W699"/>
    </row>
    <row r="700" customHeight="1" spans="12:23">
      <c r="L700" s="236"/>
      <c r="Q700" s="237"/>
      <c r="R700" s="237"/>
      <c r="W700"/>
    </row>
    <row r="701" customHeight="1" spans="12:23">
      <c r="L701" s="236"/>
      <c r="Q701" s="237"/>
      <c r="R701" s="237"/>
      <c r="W701"/>
    </row>
    <row r="702" customHeight="1" spans="12:23">
      <c r="L702" s="236"/>
      <c r="Q702" s="237"/>
      <c r="R702" s="237"/>
      <c r="W702"/>
    </row>
    <row r="703" customHeight="1" spans="12:23">
      <c r="L703" s="236"/>
      <c r="Q703" s="237"/>
      <c r="R703" s="237"/>
      <c r="W703"/>
    </row>
    <row r="704" customHeight="1" spans="12:23">
      <c r="L704" s="236"/>
      <c r="Q704" s="237"/>
      <c r="R704" s="237"/>
      <c r="W704"/>
    </row>
    <row r="705" customHeight="1" spans="12:23">
      <c r="L705" s="236"/>
      <c r="Q705" s="237"/>
      <c r="R705" s="237"/>
      <c r="W705"/>
    </row>
    <row r="706" customHeight="1" spans="12:23">
      <c r="L706" s="236"/>
      <c r="Q706" s="237"/>
      <c r="R706" s="237"/>
      <c r="W706"/>
    </row>
    <row r="707" customHeight="1" spans="12:23">
      <c r="L707" s="236"/>
      <c r="Q707" s="237"/>
      <c r="R707" s="237"/>
      <c r="W707"/>
    </row>
    <row r="708" customHeight="1" spans="12:23">
      <c r="L708" s="236"/>
      <c r="Q708" s="237"/>
      <c r="R708" s="237"/>
      <c r="W708"/>
    </row>
    <row r="709" customHeight="1" spans="12:23">
      <c r="L709" s="236"/>
      <c r="Q709" s="237"/>
      <c r="R709" s="237"/>
      <c r="W709"/>
    </row>
    <row r="710" customHeight="1" spans="12:23">
      <c r="L710" s="236"/>
      <c r="Q710" s="237"/>
      <c r="R710" s="237"/>
      <c r="W710"/>
    </row>
    <row r="711" customHeight="1" spans="12:23">
      <c r="L711" s="236"/>
      <c r="Q711" s="237"/>
      <c r="R711" s="237"/>
      <c r="W711"/>
    </row>
    <row r="712" customHeight="1" spans="12:23">
      <c r="L712" s="236"/>
      <c r="Q712" s="237"/>
      <c r="R712" s="237"/>
      <c r="W712"/>
    </row>
    <row r="713" customHeight="1" spans="12:23">
      <c r="L713" s="236"/>
      <c r="Q713" s="237"/>
      <c r="R713" s="237"/>
      <c r="W713"/>
    </row>
    <row r="714" customHeight="1" spans="12:23">
      <c r="L714" s="236"/>
      <c r="Q714" s="237"/>
      <c r="R714" s="237"/>
      <c r="W714"/>
    </row>
    <row r="715" customHeight="1" spans="12:23">
      <c r="L715" s="236"/>
      <c r="Q715" s="237"/>
      <c r="R715" s="237"/>
      <c r="W715"/>
    </row>
    <row r="716" customHeight="1" spans="12:23">
      <c r="L716" s="236"/>
      <c r="Q716" s="237"/>
      <c r="R716" s="237"/>
      <c r="W716"/>
    </row>
    <row r="717" customHeight="1" spans="12:23">
      <c r="L717" s="236"/>
      <c r="Q717" s="237"/>
      <c r="R717" s="237"/>
      <c r="W717"/>
    </row>
    <row r="718" customHeight="1" spans="12:23">
      <c r="L718" s="236"/>
      <c r="Q718" s="237"/>
      <c r="R718" s="237"/>
      <c r="W718"/>
    </row>
    <row r="719" customHeight="1" spans="12:23">
      <c r="L719" s="236"/>
      <c r="Q719" s="237"/>
      <c r="R719" s="237"/>
      <c r="W719"/>
    </row>
    <row r="720" customHeight="1" spans="12:23">
      <c r="L720" s="236"/>
      <c r="Q720" s="237"/>
      <c r="R720" s="237"/>
      <c r="W720"/>
    </row>
    <row r="721" customHeight="1" spans="12:23">
      <c r="L721" s="236"/>
      <c r="Q721" s="237"/>
      <c r="R721" s="237"/>
      <c r="W721"/>
    </row>
    <row r="722" customHeight="1" spans="12:23">
      <c r="L722" s="236"/>
      <c r="Q722" s="237"/>
      <c r="R722" s="237"/>
      <c r="W722"/>
    </row>
    <row r="723" customHeight="1" spans="12:23">
      <c r="L723" s="236"/>
      <c r="Q723" s="237"/>
      <c r="R723" s="237"/>
      <c r="W723"/>
    </row>
    <row r="724" customHeight="1" spans="12:23">
      <c r="L724" s="236"/>
      <c r="Q724" s="237"/>
      <c r="R724" s="237"/>
      <c r="W724"/>
    </row>
    <row r="725" customHeight="1" spans="12:23">
      <c r="L725" s="236"/>
      <c r="Q725" s="237"/>
      <c r="R725" s="237"/>
      <c r="W725"/>
    </row>
    <row r="726" customHeight="1" spans="12:23">
      <c r="L726" s="236"/>
      <c r="Q726" s="237"/>
      <c r="R726" s="237"/>
      <c r="W726"/>
    </row>
    <row r="727" customHeight="1" spans="12:23">
      <c r="L727" s="236"/>
      <c r="Q727" s="237"/>
      <c r="R727" s="237"/>
      <c r="W727"/>
    </row>
    <row r="728" customHeight="1" spans="12:23">
      <c r="L728" s="236"/>
      <c r="Q728" s="237"/>
      <c r="R728" s="237"/>
      <c r="W728"/>
    </row>
    <row r="729" customHeight="1" spans="12:23">
      <c r="L729" s="236"/>
      <c r="Q729" s="237"/>
      <c r="R729" s="237"/>
      <c r="W729"/>
    </row>
    <row r="730" customHeight="1" spans="12:23">
      <c r="L730" s="236"/>
      <c r="Q730" s="237"/>
      <c r="R730" s="237"/>
      <c r="W730"/>
    </row>
    <row r="731" customHeight="1" spans="12:23">
      <c r="L731" s="236"/>
      <c r="Q731" s="237"/>
      <c r="R731" s="237"/>
      <c r="W731"/>
    </row>
    <row r="732" customHeight="1" spans="12:23">
      <c r="L732" s="236"/>
      <c r="Q732" s="237"/>
      <c r="R732" s="237"/>
      <c r="W732"/>
    </row>
    <row r="733" customHeight="1" spans="12:23">
      <c r="L733" s="236"/>
      <c r="Q733" s="237"/>
      <c r="R733" s="237"/>
      <c r="W733"/>
    </row>
    <row r="734" customHeight="1" spans="12:23">
      <c r="L734" s="236"/>
      <c r="Q734" s="237"/>
      <c r="R734" s="237"/>
      <c r="W734"/>
    </row>
    <row r="735" customHeight="1" spans="12:23">
      <c r="L735" s="236"/>
      <c r="Q735" s="237"/>
      <c r="R735" s="237"/>
      <c r="W735"/>
    </row>
    <row r="736" customHeight="1" spans="12:23">
      <c r="L736" s="236"/>
      <c r="Q736" s="237"/>
      <c r="R736" s="237"/>
      <c r="W736"/>
    </row>
    <row r="737" customHeight="1" spans="12:23">
      <c r="L737" s="236"/>
      <c r="Q737" s="237"/>
      <c r="R737" s="237"/>
      <c r="W737"/>
    </row>
    <row r="738" customHeight="1" spans="12:23">
      <c r="L738" s="236"/>
      <c r="Q738" s="237"/>
      <c r="R738" s="237"/>
      <c r="W738"/>
    </row>
    <row r="739" customHeight="1" spans="12:23">
      <c r="L739" s="236"/>
      <c r="Q739" s="237"/>
      <c r="R739" s="237"/>
      <c r="W739"/>
    </row>
    <row r="740" customHeight="1" spans="12:23">
      <c r="L740" s="236"/>
      <c r="Q740" s="237"/>
      <c r="R740" s="237"/>
      <c r="W740"/>
    </row>
    <row r="741" customHeight="1" spans="12:23">
      <c r="L741" s="236"/>
      <c r="Q741" s="237"/>
      <c r="R741" s="237"/>
      <c r="W741"/>
    </row>
    <row r="742" customHeight="1" spans="12:23">
      <c r="L742" s="236"/>
      <c r="Q742" s="237"/>
      <c r="R742" s="237"/>
      <c r="W742"/>
    </row>
    <row r="743" customHeight="1" spans="12:23">
      <c r="L743" s="236"/>
      <c r="Q743" s="237"/>
      <c r="R743" s="237"/>
      <c r="W743"/>
    </row>
    <row r="744" customHeight="1" spans="12:23">
      <c r="L744" s="236"/>
      <c r="Q744" s="237"/>
      <c r="R744" s="237"/>
      <c r="W744"/>
    </row>
    <row r="745" customHeight="1" spans="12:23">
      <c r="L745" s="236"/>
      <c r="Q745" s="237"/>
      <c r="R745" s="237"/>
      <c r="W745"/>
    </row>
    <row r="746" customHeight="1" spans="12:23">
      <c r="L746" s="236"/>
      <c r="Q746" s="237"/>
      <c r="R746" s="237"/>
      <c r="W746"/>
    </row>
    <row r="747" customHeight="1" spans="12:23">
      <c r="L747" s="236"/>
      <c r="Q747" s="237"/>
      <c r="R747" s="237"/>
      <c r="W747"/>
    </row>
    <row r="748" customHeight="1" spans="12:23">
      <c r="L748" s="236"/>
      <c r="Q748" s="237"/>
      <c r="R748" s="237"/>
      <c r="W748"/>
    </row>
    <row r="749" customHeight="1" spans="12:23">
      <c r="L749" s="236"/>
      <c r="Q749" s="237"/>
      <c r="R749" s="237"/>
      <c r="W749"/>
    </row>
    <row r="750" customHeight="1" spans="12:23">
      <c r="L750" s="236"/>
      <c r="Q750" s="237"/>
      <c r="R750" s="237"/>
      <c r="W750"/>
    </row>
    <row r="751" customHeight="1" spans="12:23">
      <c r="L751" s="236"/>
      <c r="Q751" s="237"/>
      <c r="R751" s="237"/>
      <c r="W751"/>
    </row>
    <row r="752" customHeight="1" spans="12:23">
      <c r="L752" s="236"/>
      <c r="Q752" s="237"/>
      <c r="R752" s="237"/>
      <c r="W752"/>
    </row>
    <row r="753" customHeight="1" spans="12:23">
      <c r="L753" s="236"/>
      <c r="Q753" s="237"/>
      <c r="R753" s="237"/>
      <c r="W753"/>
    </row>
    <row r="754" customHeight="1" spans="12:23">
      <c r="L754" s="236"/>
      <c r="Q754" s="237"/>
      <c r="R754" s="237"/>
      <c r="W754"/>
    </row>
    <row r="755" customHeight="1" spans="12:23">
      <c r="L755" s="236"/>
      <c r="Q755" s="237"/>
      <c r="R755" s="237"/>
      <c r="W755"/>
    </row>
    <row r="756" customHeight="1" spans="12:23">
      <c r="L756" s="236"/>
      <c r="Q756" s="237"/>
      <c r="R756" s="237"/>
      <c r="W756"/>
    </row>
    <row r="757" customHeight="1" spans="12:23">
      <c r="L757" s="236"/>
      <c r="Q757" s="237"/>
      <c r="R757" s="237"/>
      <c r="W757"/>
    </row>
    <row r="758" customHeight="1" spans="12:23">
      <c r="L758" s="236"/>
      <c r="Q758" s="237"/>
      <c r="R758" s="237"/>
      <c r="W758"/>
    </row>
    <row r="759" customHeight="1" spans="12:23">
      <c r="L759" s="236"/>
      <c r="Q759" s="237"/>
      <c r="R759" s="237"/>
      <c r="W759"/>
    </row>
    <row r="760" customHeight="1" spans="12:23">
      <c r="L760" s="236"/>
      <c r="Q760" s="237"/>
      <c r="R760" s="237"/>
      <c r="W760"/>
    </row>
    <row r="761" customHeight="1" spans="12:23">
      <c r="L761" s="236"/>
      <c r="Q761" s="237"/>
      <c r="R761" s="237"/>
      <c r="W761"/>
    </row>
    <row r="762" customHeight="1" spans="12:23">
      <c r="L762" s="236"/>
      <c r="Q762" s="237"/>
      <c r="R762" s="237"/>
      <c r="W762"/>
    </row>
    <row r="763" customHeight="1" spans="12:23">
      <c r="L763" s="236"/>
      <c r="Q763" s="237"/>
      <c r="R763" s="237"/>
      <c r="W763"/>
    </row>
    <row r="764" customHeight="1" spans="12:23">
      <c r="L764" s="236"/>
      <c r="Q764" s="237"/>
      <c r="R764" s="237"/>
      <c r="W764"/>
    </row>
    <row r="765" customHeight="1" spans="12:23">
      <c r="L765" s="236"/>
      <c r="Q765" s="237"/>
      <c r="R765" s="237"/>
      <c r="W765"/>
    </row>
    <row r="766" customHeight="1" spans="12:23">
      <c r="L766" s="236"/>
      <c r="Q766" s="237"/>
      <c r="R766" s="237"/>
      <c r="W766"/>
    </row>
    <row r="767" customHeight="1" spans="12:23">
      <c r="L767" s="236"/>
      <c r="Q767" s="237"/>
      <c r="R767" s="237"/>
      <c r="W767"/>
    </row>
    <row r="768" customHeight="1" spans="12:23">
      <c r="L768" s="236"/>
      <c r="Q768" s="237"/>
      <c r="R768" s="237"/>
      <c r="W768"/>
    </row>
    <row r="769" customHeight="1" spans="12:23">
      <c r="L769" s="236"/>
      <c r="Q769" s="237"/>
      <c r="R769" s="237"/>
      <c r="W769"/>
    </row>
    <row r="770" customHeight="1" spans="12:23">
      <c r="L770" s="236"/>
      <c r="Q770" s="237"/>
      <c r="R770" s="237"/>
      <c r="W770"/>
    </row>
    <row r="771" customHeight="1" spans="12:23">
      <c r="L771" s="236"/>
      <c r="Q771" s="237"/>
      <c r="R771" s="237"/>
      <c r="W771"/>
    </row>
    <row r="772" customHeight="1" spans="12:23">
      <c r="L772" s="236"/>
      <c r="Q772" s="237"/>
      <c r="R772" s="237"/>
      <c r="W772"/>
    </row>
    <row r="773" customHeight="1" spans="12:23">
      <c r="L773" s="236"/>
      <c r="Q773" s="237"/>
      <c r="R773" s="237"/>
      <c r="W773"/>
    </row>
    <row r="774" customHeight="1" spans="12:23">
      <c r="L774" s="236"/>
      <c r="Q774" s="237"/>
      <c r="R774" s="237"/>
      <c r="W774"/>
    </row>
    <row r="775" customHeight="1" spans="12:23">
      <c r="L775" s="236"/>
      <c r="Q775" s="237"/>
      <c r="R775" s="237"/>
      <c r="W775"/>
    </row>
    <row r="776" customHeight="1" spans="12:23">
      <c r="L776" s="236"/>
      <c r="Q776" s="237"/>
      <c r="R776" s="237"/>
      <c r="W776"/>
    </row>
    <row r="777" customHeight="1" spans="12:23">
      <c r="L777" s="236"/>
      <c r="Q777" s="237"/>
      <c r="R777" s="237"/>
      <c r="W777"/>
    </row>
    <row r="778" customHeight="1" spans="12:23">
      <c r="L778" s="236"/>
      <c r="Q778" s="237"/>
      <c r="R778" s="237"/>
      <c r="W778"/>
    </row>
    <row r="779" customHeight="1" spans="12:23">
      <c r="L779" s="236"/>
      <c r="Q779" s="237"/>
      <c r="R779" s="237"/>
      <c r="W779"/>
    </row>
    <row r="780" customHeight="1" spans="12:23">
      <c r="L780" s="236"/>
      <c r="Q780" s="237"/>
      <c r="R780" s="237"/>
      <c r="W780"/>
    </row>
    <row r="781" customHeight="1" spans="12:23">
      <c r="L781" s="236"/>
      <c r="Q781" s="237"/>
      <c r="R781" s="237"/>
      <c r="W781"/>
    </row>
    <row r="782" customHeight="1" spans="12:23">
      <c r="L782" s="236"/>
      <c r="Q782" s="237"/>
      <c r="R782" s="237"/>
      <c r="W782"/>
    </row>
    <row r="783" customHeight="1" spans="12:23">
      <c r="L783" s="236"/>
      <c r="Q783" s="237"/>
      <c r="R783" s="237"/>
      <c r="W783"/>
    </row>
    <row r="784" customHeight="1" spans="12:23">
      <c r="L784" s="236"/>
      <c r="Q784" s="237"/>
      <c r="R784" s="237"/>
      <c r="W784"/>
    </row>
    <row r="785" customHeight="1" spans="12:23">
      <c r="L785" s="236"/>
      <c r="Q785" s="237"/>
      <c r="R785" s="237"/>
      <c r="W785"/>
    </row>
    <row r="786" customHeight="1" spans="12:23">
      <c r="L786" s="236"/>
      <c r="Q786" s="237"/>
      <c r="R786" s="237"/>
      <c r="W786"/>
    </row>
    <row r="787" customHeight="1" spans="12:23">
      <c r="L787" s="236"/>
      <c r="Q787" s="237"/>
      <c r="R787" s="237"/>
      <c r="W787"/>
    </row>
    <row r="788" customHeight="1" spans="12:23">
      <c r="L788" s="236"/>
      <c r="Q788" s="237"/>
      <c r="R788" s="237"/>
      <c r="W788"/>
    </row>
    <row r="789" customHeight="1" spans="12:23">
      <c r="L789" s="236"/>
      <c r="Q789" s="237"/>
      <c r="R789" s="237"/>
      <c r="W789"/>
    </row>
    <row r="790" customHeight="1" spans="12:23">
      <c r="L790" s="236"/>
      <c r="Q790" s="237"/>
      <c r="R790" s="237"/>
      <c r="W790"/>
    </row>
    <row r="791" customHeight="1" spans="12:23">
      <c r="L791" s="236"/>
      <c r="Q791" s="237"/>
      <c r="R791" s="237"/>
      <c r="W791"/>
    </row>
    <row r="792" customHeight="1" spans="12:23">
      <c r="L792" s="236"/>
      <c r="Q792" s="237"/>
      <c r="R792" s="237"/>
      <c r="W792"/>
    </row>
    <row r="793" customHeight="1" spans="12:23">
      <c r="L793" s="236"/>
      <c r="Q793" s="237"/>
      <c r="R793" s="237"/>
      <c r="W793"/>
    </row>
    <row r="794" customHeight="1" spans="12:23">
      <c r="L794" s="236"/>
      <c r="Q794" s="237"/>
      <c r="R794" s="237"/>
      <c r="W794"/>
    </row>
    <row r="795" customHeight="1" spans="12:23">
      <c r="L795" s="236"/>
      <c r="Q795" s="237"/>
      <c r="R795" s="237"/>
      <c r="W795"/>
    </row>
    <row r="796" customHeight="1" spans="12:23">
      <c r="L796" s="236"/>
      <c r="Q796" s="237"/>
      <c r="R796" s="237"/>
      <c r="W796"/>
    </row>
    <row r="797" customHeight="1" spans="12:23">
      <c r="L797" s="236"/>
      <c r="Q797" s="237"/>
      <c r="R797" s="237"/>
      <c r="W797"/>
    </row>
    <row r="798" customHeight="1" spans="12:23">
      <c r="L798" s="236"/>
      <c r="Q798" s="237"/>
      <c r="R798" s="237"/>
      <c r="W798"/>
    </row>
    <row r="799" customHeight="1" spans="12:23">
      <c r="L799" s="236"/>
      <c r="Q799" s="237"/>
      <c r="R799" s="237"/>
      <c r="W799"/>
    </row>
    <row r="800" customHeight="1" spans="12:23">
      <c r="L800" s="236"/>
      <c r="Q800" s="237"/>
      <c r="R800" s="237"/>
      <c r="W800"/>
    </row>
    <row r="801" customHeight="1" spans="12:23">
      <c r="L801" s="236"/>
      <c r="Q801" s="237"/>
      <c r="R801" s="237"/>
      <c r="W801"/>
    </row>
    <row r="802" customHeight="1" spans="12:23">
      <c r="L802" s="236"/>
      <c r="Q802" s="237"/>
      <c r="R802" s="237"/>
      <c r="W802"/>
    </row>
    <row r="803" customHeight="1" spans="12:23">
      <c r="L803" s="236"/>
      <c r="Q803" s="237"/>
      <c r="R803" s="237"/>
      <c r="W803"/>
    </row>
    <row r="804" customHeight="1" spans="12:23">
      <c r="L804" s="236"/>
      <c r="Q804" s="237"/>
      <c r="R804" s="237"/>
      <c r="W804"/>
    </row>
    <row r="805" customHeight="1" spans="12:23">
      <c r="L805" s="236"/>
      <c r="Q805" s="237"/>
      <c r="R805" s="237"/>
      <c r="W805"/>
    </row>
    <row r="806" customHeight="1" spans="12:23">
      <c r="L806" s="236"/>
      <c r="Q806" s="237"/>
      <c r="R806" s="237"/>
      <c r="W806"/>
    </row>
    <row r="807" customHeight="1" spans="12:23">
      <c r="L807" s="236"/>
      <c r="Q807" s="237"/>
      <c r="R807" s="237"/>
      <c r="W807"/>
    </row>
    <row r="808" customHeight="1" spans="12:23">
      <c r="L808" s="236"/>
      <c r="Q808" s="237"/>
      <c r="R808" s="237"/>
      <c r="W808"/>
    </row>
    <row r="809" customHeight="1" spans="12:23">
      <c r="L809" s="236"/>
      <c r="Q809" s="237"/>
      <c r="R809" s="237"/>
      <c r="W809"/>
    </row>
    <row r="810" customHeight="1" spans="12:23">
      <c r="L810" s="236"/>
      <c r="Q810" s="237"/>
      <c r="R810" s="237"/>
      <c r="W810"/>
    </row>
    <row r="811" customHeight="1" spans="12:23">
      <c r="L811" s="236"/>
      <c r="Q811" s="237"/>
      <c r="R811" s="237"/>
      <c r="W811"/>
    </row>
    <row r="812" customHeight="1" spans="12:23">
      <c r="L812" s="236"/>
      <c r="Q812" s="237"/>
      <c r="R812" s="237"/>
      <c r="W812"/>
    </row>
    <row r="813" customHeight="1" spans="12:23">
      <c r="L813" s="236"/>
      <c r="Q813" s="237"/>
      <c r="R813" s="237"/>
      <c r="W813"/>
    </row>
    <row r="814" customHeight="1" spans="12:23">
      <c r="L814" s="236"/>
      <c r="Q814" s="237"/>
      <c r="R814" s="237"/>
      <c r="W814"/>
    </row>
    <row r="815" customHeight="1" spans="12:23">
      <c r="L815" s="236"/>
      <c r="Q815" s="237"/>
      <c r="R815" s="237"/>
      <c r="W815"/>
    </row>
    <row r="816" customHeight="1" spans="12:23">
      <c r="L816" s="236"/>
      <c r="Q816" s="237"/>
      <c r="R816" s="237"/>
      <c r="W816"/>
    </row>
    <row r="817" customHeight="1" spans="12:23">
      <c r="L817" s="236"/>
      <c r="Q817" s="237"/>
      <c r="R817" s="237"/>
      <c r="W817"/>
    </row>
    <row r="818" customHeight="1" spans="12:23">
      <c r="L818" s="236"/>
      <c r="Q818" s="237"/>
      <c r="R818" s="237"/>
      <c r="W818"/>
    </row>
    <row r="819" customHeight="1" spans="12:23">
      <c r="L819" s="236"/>
      <c r="Q819" s="237"/>
      <c r="R819" s="237"/>
      <c r="W819"/>
    </row>
    <row r="820" customHeight="1" spans="12:23">
      <c r="L820" s="236"/>
      <c r="Q820" s="237"/>
      <c r="R820" s="237"/>
      <c r="W820"/>
    </row>
    <row r="821" customHeight="1" spans="12:23">
      <c r="L821" s="236"/>
      <c r="Q821" s="237"/>
      <c r="R821" s="237"/>
      <c r="W821"/>
    </row>
    <row r="822" customHeight="1" spans="12:23">
      <c r="L822" s="236"/>
      <c r="Q822" s="237"/>
      <c r="R822" s="237"/>
      <c r="W822"/>
    </row>
    <row r="823" customHeight="1" spans="12:23">
      <c r="L823" s="236"/>
      <c r="Q823" s="237"/>
      <c r="R823" s="237"/>
      <c r="W823"/>
    </row>
    <row r="824" customHeight="1" spans="12:23">
      <c r="L824" s="236"/>
      <c r="Q824" s="237"/>
      <c r="R824" s="237"/>
      <c r="W824"/>
    </row>
    <row r="825" customHeight="1" spans="12:23">
      <c r="L825" s="236"/>
      <c r="Q825" s="237"/>
      <c r="R825" s="237"/>
      <c r="W825"/>
    </row>
    <row r="826" customHeight="1" spans="12:23">
      <c r="L826" s="236"/>
      <c r="Q826" s="237"/>
      <c r="R826" s="237"/>
      <c r="W826"/>
    </row>
    <row r="827" customHeight="1" spans="12:23">
      <c r="L827" s="236"/>
      <c r="Q827" s="237"/>
      <c r="R827" s="237"/>
      <c r="W827"/>
    </row>
    <row r="828" customHeight="1" spans="12:23">
      <c r="L828" s="236"/>
      <c r="Q828" s="237"/>
      <c r="R828" s="237"/>
      <c r="W828"/>
    </row>
    <row r="829" customHeight="1" spans="12:23">
      <c r="L829" s="236"/>
      <c r="Q829" s="237"/>
      <c r="R829" s="237"/>
      <c r="W829"/>
    </row>
    <row r="830" customHeight="1" spans="12:23">
      <c r="L830" s="236"/>
      <c r="Q830" s="237"/>
      <c r="R830" s="237"/>
      <c r="W830"/>
    </row>
    <row r="831" customHeight="1" spans="12:23">
      <c r="L831" s="236"/>
      <c r="Q831" s="237"/>
      <c r="R831" s="237"/>
      <c r="W831"/>
    </row>
    <row r="832" customHeight="1" spans="12:23">
      <c r="L832" s="236"/>
      <c r="Q832" s="237"/>
      <c r="R832" s="237"/>
      <c r="W832"/>
    </row>
    <row r="833" customHeight="1" spans="12:23">
      <c r="L833" s="236"/>
      <c r="Q833" s="237"/>
      <c r="R833" s="237"/>
      <c r="W833"/>
    </row>
    <row r="834" customHeight="1" spans="12:23">
      <c r="L834" s="236"/>
      <c r="Q834" s="237"/>
      <c r="R834" s="237"/>
      <c r="W834"/>
    </row>
    <row r="835" customHeight="1" spans="12:23">
      <c r="L835" s="236"/>
      <c r="Q835" s="237"/>
      <c r="R835" s="237"/>
      <c r="W835"/>
    </row>
    <row r="836" customHeight="1" spans="12:23">
      <c r="L836" s="236"/>
      <c r="Q836" s="237"/>
      <c r="R836" s="237"/>
      <c r="W836"/>
    </row>
    <row r="837" customHeight="1" spans="12:23">
      <c r="L837" s="236"/>
      <c r="Q837" s="237"/>
      <c r="R837" s="237"/>
      <c r="W837"/>
    </row>
    <row r="838" customHeight="1" spans="12:23">
      <c r="L838" s="236"/>
      <c r="Q838" s="237"/>
      <c r="R838" s="237"/>
      <c r="W838"/>
    </row>
    <row r="839" customHeight="1" spans="12:23">
      <c r="L839" s="236"/>
      <c r="Q839" s="237"/>
      <c r="R839" s="237"/>
      <c r="W839"/>
    </row>
    <row r="840" customHeight="1" spans="12:23">
      <c r="L840" s="236"/>
      <c r="Q840" s="237"/>
      <c r="R840" s="237"/>
      <c r="W840"/>
    </row>
    <row r="841" customHeight="1" spans="12:23">
      <c r="L841" s="236"/>
      <c r="Q841" s="237"/>
      <c r="R841" s="237"/>
      <c r="W841"/>
    </row>
    <row r="842" customHeight="1" spans="12:23">
      <c r="L842" s="236"/>
      <c r="Q842" s="237"/>
      <c r="R842" s="237"/>
      <c r="W842"/>
    </row>
    <row r="843" customHeight="1" spans="12:23">
      <c r="L843" s="236"/>
      <c r="Q843" s="237"/>
      <c r="R843" s="237"/>
      <c r="W843"/>
    </row>
    <row r="844" customHeight="1" spans="12:23">
      <c r="L844" s="236"/>
      <c r="Q844" s="237"/>
      <c r="R844" s="237"/>
      <c r="W844"/>
    </row>
    <row r="845" customHeight="1" spans="12:23">
      <c r="L845" s="236"/>
      <c r="Q845" s="237"/>
      <c r="R845" s="237"/>
      <c r="W845"/>
    </row>
    <row r="846" customHeight="1" spans="12:23">
      <c r="L846" s="236"/>
      <c r="Q846" s="237"/>
      <c r="R846" s="237"/>
      <c r="W846"/>
    </row>
    <row r="847" customHeight="1" spans="12:23">
      <c r="L847" s="236"/>
      <c r="Q847" s="237"/>
      <c r="R847" s="237"/>
      <c r="W847"/>
    </row>
    <row r="848" customHeight="1" spans="12:23">
      <c r="L848" s="236"/>
      <c r="Q848" s="237"/>
      <c r="R848" s="237"/>
      <c r="W848"/>
    </row>
    <row r="849" customHeight="1" spans="12:23">
      <c r="L849" s="236"/>
      <c r="Q849" s="237"/>
      <c r="R849" s="237"/>
      <c r="W849"/>
    </row>
    <row r="850" customHeight="1" spans="12:23">
      <c r="L850" s="236"/>
      <c r="Q850" s="237"/>
      <c r="R850" s="237"/>
      <c r="W850"/>
    </row>
    <row r="851" customHeight="1" spans="12:23">
      <c r="L851" s="236"/>
      <c r="Q851" s="237"/>
      <c r="R851" s="237"/>
      <c r="W851"/>
    </row>
    <row r="852" customHeight="1" spans="12:23">
      <c r="L852" s="236"/>
      <c r="Q852" s="237"/>
      <c r="R852" s="237"/>
      <c r="W852"/>
    </row>
    <row r="853" customHeight="1" spans="12:23">
      <c r="L853" s="236"/>
      <c r="Q853" s="237"/>
      <c r="R853" s="237"/>
      <c r="W853"/>
    </row>
    <row r="854" customHeight="1" spans="12:23">
      <c r="L854" s="236"/>
      <c r="Q854" s="237"/>
      <c r="R854" s="237"/>
      <c r="W854"/>
    </row>
    <row r="855" customHeight="1" spans="12:23">
      <c r="L855" s="236"/>
      <c r="Q855" s="237"/>
      <c r="R855" s="237"/>
      <c r="W855"/>
    </row>
    <row r="856" customHeight="1" spans="12:23">
      <c r="L856" s="236"/>
      <c r="Q856" s="237"/>
      <c r="R856" s="237"/>
      <c r="W856"/>
    </row>
    <row r="857" customHeight="1" spans="12:23">
      <c r="L857" s="236"/>
      <c r="Q857" s="237"/>
      <c r="R857" s="237"/>
      <c r="W857"/>
    </row>
    <row r="858" customHeight="1" spans="12:23">
      <c r="L858" s="236"/>
      <c r="Q858" s="237"/>
      <c r="R858" s="237"/>
      <c r="W858"/>
    </row>
    <row r="859" customHeight="1" spans="12:23">
      <c r="L859" s="236"/>
      <c r="Q859" s="237"/>
      <c r="R859" s="237"/>
      <c r="W859"/>
    </row>
    <row r="860" customHeight="1" spans="12:23">
      <c r="L860" s="236"/>
      <c r="Q860" s="237"/>
      <c r="R860" s="237"/>
      <c r="W860"/>
    </row>
    <row r="861" customHeight="1" spans="12:23">
      <c r="L861" s="236"/>
      <c r="Q861" s="237"/>
      <c r="R861" s="237"/>
      <c r="W861"/>
    </row>
    <row r="862" customHeight="1" spans="12:23">
      <c r="L862" s="236"/>
      <c r="Q862" s="237"/>
      <c r="R862" s="237"/>
      <c r="W862"/>
    </row>
    <row r="863" customHeight="1" spans="12:23">
      <c r="L863" s="236"/>
      <c r="Q863" s="237"/>
      <c r="R863" s="237"/>
      <c r="W863"/>
    </row>
    <row r="864" customHeight="1" spans="12:23">
      <c r="L864" s="236"/>
      <c r="Q864" s="237"/>
      <c r="R864" s="237"/>
      <c r="W864"/>
    </row>
    <row r="865" customHeight="1" spans="12:23">
      <c r="L865" s="236"/>
      <c r="Q865" s="237"/>
      <c r="R865" s="237"/>
      <c r="W865"/>
    </row>
    <row r="866" customHeight="1" spans="12:23">
      <c r="L866" s="236"/>
      <c r="Q866" s="237"/>
      <c r="R866" s="237"/>
      <c r="W866"/>
    </row>
    <row r="867" customHeight="1" spans="12:23">
      <c r="L867" s="236"/>
      <c r="Q867" s="237"/>
      <c r="R867" s="237"/>
      <c r="W867"/>
    </row>
    <row r="868" customHeight="1" spans="12:23">
      <c r="L868" s="236"/>
      <c r="Q868" s="237"/>
      <c r="R868" s="237"/>
      <c r="W868"/>
    </row>
    <row r="869" customHeight="1" spans="12:23">
      <c r="L869" s="236"/>
      <c r="Q869" s="237"/>
      <c r="R869" s="237"/>
      <c r="W869"/>
    </row>
    <row r="870" customHeight="1" spans="12:23">
      <c r="L870" s="236"/>
      <c r="Q870" s="237"/>
      <c r="R870" s="237"/>
      <c r="W870"/>
    </row>
    <row r="871" customHeight="1" spans="12:23">
      <c r="L871" s="236"/>
      <c r="Q871" s="237"/>
      <c r="R871" s="237"/>
      <c r="W871"/>
    </row>
    <row r="872" customHeight="1" spans="12:23">
      <c r="L872" s="236"/>
      <c r="Q872" s="237"/>
      <c r="R872" s="237"/>
      <c r="W872"/>
    </row>
    <row r="873" customHeight="1" spans="12:23">
      <c r="L873" s="236"/>
      <c r="Q873" s="237"/>
      <c r="R873" s="237"/>
      <c r="W873"/>
    </row>
    <row r="874" customHeight="1" spans="12:23">
      <c r="L874" s="236"/>
      <c r="Q874" s="237"/>
      <c r="R874" s="237"/>
      <c r="W874"/>
    </row>
    <row r="875" customHeight="1" spans="12:23">
      <c r="L875" s="236"/>
      <c r="Q875" s="237"/>
      <c r="R875" s="237"/>
      <c r="W875"/>
    </row>
    <row r="876" customHeight="1" spans="12:23">
      <c r="L876" s="236"/>
      <c r="Q876" s="237"/>
      <c r="R876" s="237"/>
      <c r="W876"/>
    </row>
    <row r="877" customHeight="1" spans="12:23">
      <c r="L877" s="236"/>
      <c r="Q877" s="237"/>
      <c r="R877" s="237"/>
      <c r="W877"/>
    </row>
    <row r="878" customHeight="1" spans="12:23">
      <c r="L878" s="236"/>
      <c r="Q878" s="237"/>
      <c r="R878" s="237"/>
      <c r="W878"/>
    </row>
    <row r="879" customHeight="1" spans="12:23">
      <c r="L879" s="236"/>
      <c r="Q879" s="237"/>
      <c r="R879" s="237"/>
      <c r="W879"/>
    </row>
    <row r="880" customHeight="1" spans="12:23">
      <c r="L880" s="236"/>
      <c r="Q880" s="237"/>
      <c r="R880" s="237"/>
      <c r="W880"/>
    </row>
    <row r="881" customHeight="1" spans="12:23">
      <c r="L881" s="236"/>
      <c r="Q881" s="237"/>
      <c r="R881" s="237"/>
      <c r="W881"/>
    </row>
    <row r="882" customHeight="1" spans="12:23">
      <c r="L882" s="236"/>
      <c r="Q882" s="237"/>
      <c r="R882" s="237"/>
      <c r="W882"/>
    </row>
    <row r="883" customHeight="1" spans="12:23">
      <c r="L883" s="236"/>
      <c r="Q883" s="237"/>
      <c r="R883" s="237"/>
      <c r="W883"/>
    </row>
    <row r="884" customHeight="1" spans="12:23">
      <c r="L884" s="236"/>
      <c r="Q884" s="237"/>
      <c r="R884" s="237"/>
      <c r="W884"/>
    </row>
    <row r="885" customHeight="1" spans="12:23">
      <c r="L885" s="236"/>
      <c r="Q885" s="237"/>
      <c r="R885" s="237"/>
      <c r="W885"/>
    </row>
    <row r="886" customHeight="1" spans="12:23">
      <c r="L886" s="236"/>
      <c r="Q886" s="237"/>
      <c r="R886" s="237"/>
      <c r="W886"/>
    </row>
    <row r="887" customHeight="1" spans="12:23">
      <c r="L887" s="236"/>
      <c r="Q887" s="237"/>
      <c r="R887" s="237"/>
      <c r="W887"/>
    </row>
    <row r="888" customHeight="1" spans="12:23">
      <c r="L888" s="236"/>
      <c r="Q888" s="237"/>
      <c r="R888" s="237"/>
      <c r="W888"/>
    </row>
    <row r="889" customHeight="1" spans="12:23">
      <c r="L889" s="236"/>
      <c r="Q889" s="237"/>
      <c r="R889" s="237"/>
      <c r="W889"/>
    </row>
    <row r="890" customHeight="1" spans="12:23">
      <c r="L890" s="236"/>
      <c r="Q890" s="237"/>
      <c r="R890" s="237"/>
      <c r="W890"/>
    </row>
    <row r="891" customHeight="1" spans="12:23">
      <c r="L891" s="236"/>
      <c r="Q891" s="237"/>
      <c r="R891" s="237"/>
      <c r="W891"/>
    </row>
    <row r="892" customHeight="1" spans="12:23">
      <c r="L892" s="236"/>
      <c r="Q892" s="237"/>
      <c r="R892" s="237"/>
      <c r="W892"/>
    </row>
    <row r="893" customHeight="1" spans="12:23">
      <c r="L893" s="236"/>
      <c r="Q893" s="237"/>
      <c r="R893" s="237"/>
      <c r="W893"/>
    </row>
    <row r="894" customHeight="1" spans="12:23">
      <c r="L894" s="236"/>
      <c r="Q894" s="237"/>
      <c r="R894" s="237"/>
      <c r="W894"/>
    </row>
    <row r="895" customHeight="1" spans="12:23">
      <c r="L895" s="236"/>
      <c r="Q895" s="237"/>
      <c r="R895" s="237"/>
      <c r="W895"/>
    </row>
    <row r="896" customHeight="1" spans="12:23">
      <c r="L896" s="236"/>
      <c r="Q896" s="237"/>
      <c r="R896" s="237"/>
      <c r="W896"/>
    </row>
    <row r="897" customHeight="1" spans="12:23">
      <c r="L897" s="236"/>
      <c r="Q897" s="237"/>
      <c r="R897" s="237"/>
      <c r="W897"/>
    </row>
    <row r="898" customHeight="1" spans="12:23">
      <c r="L898" s="236"/>
      <c r="Q898" s="237"/>
      <c r="R898" s="237"/>
      <c r="W898"/>
    </row>
    <row r="899" customHeight="1" spans="12:23">
      <c r="L899" s="236"/>
      <c r="Q899" s="237"/>
      <c r="R899" s="237"/>
      <c r="W899"/>
    </row>
    <row r="900" customHeight="1" spans="12:23">
      <c r="L900" s="236"/>
      <c r="Q900" s="237"/>
      <c r="R900" s="237"/>
      <c r="W900"/>
    </row>
    <row r="901" customHeight="1" spans="12:23">
      <c r="L901" s="236"/>
      <c r="Q901" s="237"/>
      <c r="R901" s="237"/>
      <c r="W901"/>
    </row>
    <row r="902" customHeight="1" spans="12:23">
      <c r="L902" s="236"/>
      <c r="Q902" s="237"/>
      <c r="R902" s="237"/>
      <c r="W902"/>
    </row>
    <row r="903" customHeight="1" spans="12:23">
      <c r="L903" s="236"/>
      <c r="Q903" s="237"/>
      <c r="R903" s="237"/>
      <c r="W903"/>
    </row>
    <row r="904" customHeight="1" spans="12:23">
      <c r="L904" s="236"/>
      <c r="Q904" s="237"/>
      <c r="R904" s="237"/>
      <c r="W904"/>
    </row>
    <row r="905" customHeight="1" spans="12:23">
      <c r="L905" s="236"/>
      <c r="Q905" s="237"/>
      <c r="R905" s="237"/>
      <c r="W905"/>
    </row>
    <row r="906" customHeight="1" spans="12:23">
      <c r="L906" s="236"/>
      <c r="Q906" s="237"/>
      <c r="R906" s="237"/>
      <c r="W906"/>
    </row>
    <row r="907" customHeight="1" spans="12:23">
      <c r="L907" s="236"/>
      <c r="Q907" s="237"/>
      <c r="R907" s="237"/>
      <c r="W907"/>
    </row>
    <row r="908" customHeight="1" spans="12:23">
      <c r="L908" s="236"/>
      <c r="Q908" s="237"/>
      <c r="R908" s="237"/>
      <c r="W908"/>
    </row>
    <row r="909" customHeight="1" spans="12:23">
      <c r="L909" s="236"/>
      <c r="Q909" s="237"/>
      <c r="R909" s="237"/>
      <c r="W909"/>
    </row>
    <row r="910" customHeight="1" spans="12:23">
      <c r="L910" s="236"/>
      <c r="Q910" s="237"/>
      <c r="R910" s="237"/>
      <c r="W910"/>
    </row>
    <row r="911" customHeight="1" spans="12:23">
      <c r="L911" s="236"/>
      <c r="Q911" s="237"/>
      <c r="R911" s="237"/>
      <c r="W911"/>
    </row>
    <row r="912" customHeight="1" spans="12:23">
      <c r="L912" s="236"/>
      <c r="Q912" s="237"/>
      <c r="R912" s="237"/>
      <c r="W912"/>
    </row>
    <row r="913" customHeight="1" spans="1:25">
      <c r="L913" s="236"/>
      <c r="Q913" s="237"/>
      <c r="R913" s="237"/>
      <c r="W913"/>
    </row>
    <row r="914" customHeight="1" spans="1:25">
      <c r="W914"/>
    </row>
    <row r="915" customHeight="1" spans="1:25">
      <c r="W915"/>
    </row>
    <row r="916" customHeight="1" spans="1:25">
      <c r="B916" s="40"/>
      <c r="W916"/>
    </row>
    <row r="917" customHeight="1" spans="1:25">
      <c r="A917" s="238"/>
      <c r="B917" s="239"/>
      <c r="C917" s="240"/>
      <c r="D917" s="240"/>
      <c r="W917"/>
    </row>
    <row r="918" customHeight="1" spans="1:25">
      <c r="A918" s="125"/>
      <c r="B918" s="239"/>
      <c r="C918" s="241"/>
      <c r="D918" s="240"/>
      <c r="W918"/>
    </row>
    <row r="919" customHeight="1" spans="1:25">
      <c r="A919" s="125"/>
      <c r="B919" s="242"/>
      <c r="C919" s="240"/>
      <c r="D919" s="240"/>
      <c r="W919"/>
    </row>
    <row r="920" customHeight="1" spans="1:25">
      <c r="A920" s="125"/>
      <c r="B920" s="239"/>
      <c r="C920" s="240"/>
      <c r="D920" s="241"/>
      <c r="W920"/>
    </row>
    <row r="921" customHeight="1" spans="1:25">
      <c r="A921" s="125"/>
      <c r="B921" s="239"/>
      <c r="C921" s="243"/>
      <c r="D921" s="243"/>
      <c r="W921"/>
    </row>
    <row r="922" customHeight="1" spans="1:25">
      <c r="D922" s="244"/>
      <c r="W922"/>
      <c r="Y922" s="176">
        <v>234006.87</v>
      </c>
    </row>
    <row r="923" customHeight="1" spans="1:25">
      <c r="W923"/>
    </row>
    <row r="924" ht="39.95" customHeight="1" spans="1:25">
      <c r="S924" s="245"/>
      <c r="W924"/>
    </row>
    <row r="928" customHeight="1" spans="1:25">
      <c r="U928" s="174">
        <v>825.57</v>
      </c>
    </row>
    <row r="929" customHeight="1" spans="21:23">
      <c r="U929" s="174">
        <f>U61-U928</f>
        <v>2060.44</v>
      </c>
    </row>
    <row r="932" customHeight="1" spans="21:23">
      <c r="W932" s="172">
        <v>2516.38</v>
      </c>
    </row>
  </sheetData>
  <sheetProtection formatCells="0" formatColumns="0" formatRows="0" insertRows="0" insertColumns="0" insertHyperlinks="0" deleteColumns="0" deleteRows="0" sort="0" autoFilter="0" pivotTables="0"/>
  <autoFilter xmlns:etc="http://www.wps.cn/officeDocument/2017/etCustomData" ref="A1:AK932" etc:filterBottomFollowUsedRange="1">
    <extLst/>
  </autoFilter>
  <customSheetViews>
    <customSheetView guid="{3B390059-4BF5-4E30-AD66-39A4AB3D2C6F}" filter="1" showAutoFilter="1">
      <autoFilter ref="A1:AE937"/>
    </customSheetView>
  </customSheetViews>
  <conditionalFormatting sqref="S$1:S$1048576">
    <cfRule type="expression" dxfId="5" priority="2">
      <formula>AND(SUMPRODUCT(IFERROR(1*(($S$1:$S$1048576&amp;"x")=(S1&amp;"x")),0))&gt;1,NOT(ISBLANK(S1)))</formula>
    </cfRule>
  </conditionalFormatting>
  <conditionalFormatting sqref="A1:A126 A176:A1048576">
    <cfRule type="duplicateValues" dxfId="3" priority="1"/>
  </conditionalFormatting>
  <pageMargins left="0.75" right="0.75" top="1" bottom="1" header="0.5" footer="0.5"/>
  <headerFooter/>
  <ignoredErrors>
    <ignoredError sqref="A2:E27 I25:T32 A28:B33 D28:E33 G2:G55 W37:X40 W36 I33:U42 Z3:Z9 I2:N3 P3:U3 P2:S2 I4:U24 AE1:AK1 A1:N1 P1:U1 G88:G122 I117:I122 A126 A131 A128:B130 AD144:AK922 AD123:AD143 AD115:AD121 AF2:AK143 AD2:AD113 K120:R125 G123:I125 Z144:AC900 I115:S116 M114:S114 I114:K114 I113:S113 K117:S119 I112:U112 T111:U111 I111:R111 G71:U84 G85:G86 J85:U85 I86:U86 G87:U87 I88:U110 G64:T70 I54:U55 G56:U63 A34:E125 T53:U53 I53:R53 I52:U52 T51:U51 I51:R51 I50:U50 T49:U49 I49:R49 I48:U48 T47:U47 I47:R47 I46:U46 T45:U45 I45:R45 W44 I44:U44 T43:U43 Q43:R43 I43:O43 W42:X42 W2:X35 U2 X1 A922:X922 V144:Y144 A150:Y921 T145:Y149 V132:X143 W64:X131" numberStoredAsText="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CC"/>
    <outlinePr summaryBelow="0" summaryRight="0"/>
  </sheetPr>
  <dimension ref="A1:AF83"/>
  <sheetViews>
    <sheetView workbookViewId="0">
      <pane xSplit="3" ySplit="1" topLeftCell="I39" activePane="bottomRight" state="frozen"/>
      <selection/>
      <selection pane="topRight"/>
      <selection pane="bottomLeft"/>
      <selection pane="bottomRight" activeCell="AA1" sqref="AA$1:AD$1048576"/>
    </sheetView>
  </sheetViews>
  <sheetFormatPr defaultColWidth="12.6285714285714" defaultRowHeight="15.75" customHeight="1"/>
  <cols>
    <col min="1" max="1" width="11.4285714285714" customWidth="1"/>
    <col min="2" max="2" width="17.5714285714286" style="115" customWidth="1"/>
    <col min="3" max="3" width="13.7142857142857" style="115" customWidth="1"/>
    <col min="4" max="4" width="7.85714285714286" style="115" customWidth="1"/>
    <col min="5" max="5" width="36.1619047619048" style="115" customWidth="1"/>
    <col min="6" max="8" width="7.85714285714286" style="144" customWidth="1"/>
    <col min="9" max="9" width="6.07619047619048" style="144" customWidth="1"/>
    <col min="10" max="11" width="9" style="144" customWidth="1"/>
    <col min="12" max="21" width="6.96190476190476" style="115" customWidth="1"/>
    <col min="22" max="22" width="15.4285714285714" customWidth="1"/>
    <col min="23" max="23" width="5.71428571428571" customWidth="1"/>
    <col min="24" max="24" width="3.57142857142857" customWidth="1"/>
    <col min="25" max="25" width="14"/>
    <col min="26" max="26" width="15.0285714285714" customWidth="1"/>
    <col min="27" max="27" width="11.4285714285714" customWidth="1"/>
    <col min="28" max="28" width="10.647619047619" customWidth="1"/>
    <col min="29" max="29" width="8.93333333333333" customWidth="1"/>
    <col min="30" max="30" width="4.81904761904762" customWidth="1"/>
    <col min="31" max="31" width="10.8952380952381" customWidth="1"/>
    <col min="32" max="32" width="11.247619047619" customWidth="1"/>
  </cols>
  <sheetData>
    <row r="1" s="143" customFormat="1" ht="24.4" customHeight="1" spans="1:32">
      <c r="A1" s="145" t="s">
        <v>541</v>
      </c>
      <c r="B1" s="145" t="s">
        <v>542</v>
      </c>
      <c r="C1" s="145" t="s">
        <v>292</v>
      </c>
      <c r="D1" s="145" t="s">
        <v>543</v>
      </c>
      <c r="E1" s="145" t="s">
        <v>1</v>
      </c>
      <c r="F1" s="146" t="s">
        <v>544</v>
      </c>
      <c r="G1" s="147" t="s">
        <v>545</v>
      </c>
      <c r="H1" s="147" t="s">
        <v>546</v>
      </c>
      <c r="I1" s="147" t="s">
        <v>547</v>
      </c>
      <c r="J1" s="147" t="s">
        <v>548</v>
      </c>
      <c r="K1" s="147" t="s">
        <v>549</v>
      </c>
      <c r="L1" s="145" t="s">
        <v>550</v>
      </c>
      <c r="M1" s="145" t="s">
        <v>551</v>
      </c>
      <c r="N1" s="145" t="s">
        <v>552</v>
      </c>
      <c r="O1" s="145" t="s">
        <v>553</v>
      </c>
      <c r="P1" s="145" t="s">
        <v>554</v>
      </c>
      <c r="Q1" s="145" t="s">
        <v>555</v>
      </c>
      <c r="R1" s="145" t="s">
        <v>556</v>
      </c>
      <c r="S1" s="148" t="s">
        <v>557</v>
      </c>
      <c r="T1" s="145" t="s">
        <v>558</v>
      </c>
      <c r="U1" s="145" t="s">
        <v>127</v>
      </c>
      <c r="Z1" s="115"/>
      <c r="AA1" s="115"/>
      <c r="AB1" s="115"/>
      <c r="AC1" s="115"/>
      <c r="AD1" s="115"/>
      <c r="AE1" s="115"/>
      <c r="AF1" s="115"/>
    </row>
    <row r="2" customHeight="1" spans="1:32">
      <c r="A2" s="137">
        <v>4709949</v>
      </c>
      <c r="B2" s="137" t="s">
        <v>62</v>
      </c>
      <c r="C2" s="137" t="str">
        <f>_xlfn.XLOOKUP(A2,'Customer Code'!B:B,'Customer Code'!A:A)</f>
        <v>Petco</v>
      </c>
      <c r="D2" s="137" t="str" cm="1">
        <f t="array" ref="D2">_xlfn.XLOOKUP(B2&amp;C2,'Customer Code'!C:C&amp;'Customer Code'!A:A,'Customer Code'!I:I)</f>
        <v>Phase out</v>
      </c>
      <c r="E2" s="137" t="str">
        <f t="array" ref="E2">_xlfn.XLOOKUP(B2,'Product List'!B:B,'Product List'!I:I)</f>
        <v>MINI/MOE BENDABLE BIRCHWOOD FENCE</v>
      </c>
      <c r="F2" s="140">
        <v>89</v>
      </c>
      <c r="G2" s="140">
        <v>53</v>
      </c>
      <c r="H2" s="140">
        <v>73</v>
      </c>
      <c r="I2" s="140">
        <v>65</v>
      </c>
      <c r="J2" s="140">
        <v>73</v>
      </c>
      <c r="K2" s="140">
        <v>68</v>
      </c>
      <c r="L2" s="137">
        <f t="shared" ref="L2:L65" si="0">IF(D2="Normal",SUM(F2:K2),0)</f>
        <v>0</v>
      </c>
      <c r="M2" s="137">
        <f>_xlfn.XLOOKUP(A2,'Customer Code'!B:B,'Customer Code'!F:F,0)</f>
        <v>1200</v>
      </c>
      <c r="N2" s="137">
        <f t="shared" ref="N2:N65" si="1">IF(OR(L2=0,M2&lt;=0),0,L2/M2)</f>
        <v>0</v>
      </c>
      <c r="O2" s="137">
        <f t="shared" ref="O2:O65" si="2">IF(COUNT(F2:K2)=0,0,N2/COUNT(F2:K2))</f>
        <v>0</v>
      </c>
      <c r="P2" s="137"/>
      <c r="Q2" s="137">
        <f t="shared" ref="Q2:Q65" si="3">IF(OR(D2&lt;&gt;"Normal",COUNT(F2:K2)=0),0,AVERAGE(F2:K2))</f>
        <v>0</v>
      </c>
      <c r="R2" s="137">
        <f t="shared" ref="R2:R65" si="4">IF(D2&lt;&gt;"Normal",0,IF(M2&gt;0,Q2*(M2+P2)/M2,Q2))</f>
        <v>0</v>
      </c>
      <c r="S2" s="137">
        <f ca="1" t="shared" ref="S2:S65" si="5">SUMIF(Z:Z,C:C,AF:AF)</f>
        <v>6.5</v>
      </c>
      <c r="T2" s="137">
        <f ca="1">S2*R2*IF(_xlfn.XLOOKUP(B2,'Product List'!B:B,'Product List'!F:F)="A",1,IF(_xlfn.XLOOKUP(B2,'Product List'!B:B,'Product List'!F:F)="B",0.5,0))</f>
        <v>0</v>
      </c>
      <c r="U2" s="137" t="s">
        <v>92</v>
      </c>
      <c r="V2" s="149"/>
      <c r="W2" s="150"/>
      <c r="Z2" s="151" t="s">
        <v>559</v>
      </c>
      <c r="AA2" s="151" t="s">
        <v>560</v>
      </c>
      <c r="AB2" s="152" t="s">
        <v>561</v>
      </c>
      <c r="AC2" s="151" t="s">
        <v>562</v>
      </c>
      <c r="AD2" s="152" t="s">
        <v>563</v>
      </c>
      <c r="AE2" s="152" t="s">
        <v>564</v>
      </c>
      <c r="AF2" s="152" t="s">
        <v>565</v>
      </c>
    </row>
    <row r="3" customHeight="1" spans="1:32">
      <c r="A3" s="137">
        <v>4709957</v>
      </c>
      <c r="B3" s="137" t="s">
        <v>29</v>
      </c>
      <c r="C3" s="137" t="str">
        <f>_xlfn.XLOOKUP(A3,'Customer Code'!B:B,'Customer Code'!A:A)</f>
        <v>Petco</v>
      </c>
      <c r="D3" s="137" t="str" cm="1">
        <f t="array" ref="D3">_xlfn.XLOOKUP(B3&amp;C3,'Customer Code'!C:C&amp;'Customer Code'!A:A,'Customer Code'!I:I)</f>
        <v>Normal</v>
      </c>
      <c r="E3" s="137" t="str">
        <f t="array" ref="E3">_xlfn.XLOOKUP(B3,'Product List'!B:B,'Product List'!I:I)</f>
        <v>MINI/MOE SILENT CRSTL RUN WHEEL LG 8.5-White</v>
      </c>
      <c r="F3" s="140">
        <v>90</v>
      </c>
      <c r="G3" s="140">
        <v>111</v>
      </c>
      <c r="H3" s="140">
        <v>97</v>
      </c>
      <c r="I3" s="140">
        <v>102</v>
      </c>
      <c r="J3" s="140">
        <v>103</v>
      </c>
      <c r="K3" s="140">
        <v>70</v>
      </c>
      <c r="L3" s="137">
        <f t="shared" si="0"/>
        <v>573</v>
      </c>
      <c r="M3" s="137">
        <f>_xlfn.XLOOKUP(A3,'Customer Code'!B:B,'Customer Code'!F:F,0)</f>
        <v>1200</v>
      </c>
      <c r="N3" s="137">
        <f t="shared" si="1"/>
        <v>0.4775</v>
      </c>
      <c r="O3" s="137">
        <f t="shared" si="2"/>
        <v>0.0795833333333333</v>
      </c>
      <c r="P3" s="137"/>
      <c r="Q3" s="137">
        <f t="shared" si="3"/>
        <v>95.5</v>
      </c>
      <c r="R3" s="137">
        <f t="shared" si="4"/>
        <v>95.5</v>
      </c>
      <c r="S3" s="137">
        <f ca="1" t="shared" si="5"/>
        <v>6.5</v>
      </c>
      <c r="T3" s="137">
        <f ca="1">S3*R3*IF(_xlfn.XLOOKUP(B3,'Product List'!B:B,'Product List'!F:F)="A",1,IF(_xlfn.XLOOKUP(B3,'Product List'!B:B,'Product List'!F:F)="B",0.5,0))</f>
        <v>620.75</v>
      </c>
      <c r="U3" s="137" t="s">
        <v>92</v>
      </c>
      <c r="V3" s="149"/>
      <c r="W3" s="150"/>
      <c r="Y3" s="153"/>
      <c r="Z3" s="154" t="s">
        <v>298</v>
      </c>
      <c r="AA3" s="155" t="s">
        <v>566</v>
      </c>
      <c r="AB3" s="155">
        <v>46325</v>
      </c>
      <c r="AC3" s="154">
        <v>4</v>
      </c>
      <c r="AD3" s="154">
        <v>2</v>
      </c>
      <c r="AE3" s="154">
        <f ca="1" t="shared" ref="AE3:AE8" si="6">IF(AND(TODAY()&lt;=AB3,YEAR(TODAY())=YEAR(AB3)),1,0)</f>
        <v>1</v>
      </c>
      <c r="AF3" s="154">
        <f ca="1" t="shared" ref="AF3:AF8" si="7">AC3*AE3*(AD3-1)</f>
        <v>4</v>
      </c>
    </row>
    <row r="4" customHeight="1" spans="1:32">
      <c r="A4" s="137">
        <v>4709965</v>
      </c>
      <c r="B4" s="137" t="s">
        <v>78</v>
      </c>
      <c r="C4" s="137" t="str">
        <f>_xlfn.XLOOKUP(A4,'Customer Code'!B:B,'Customer Code'!A:A)</f>
        <v>Petco</v>
      </c>
      <c r="D4" s="137" t="str" cm="1">
        <f t="array" ref="D4">_xlfn.XLOOKUP(B4&amp;C4,'Customer Code'!C:C&amp;'Customer Code'!A:A,'Customer Code'!I:I)</f>
        <v>Normal</v>
      </c>
      <c r="E4" s="137" t="str">
        <f t="array" ref="E4">_xlfn.XLOOKUP(B4,'Product List'!B:B,'Product List'!I:I)</f>
        <v>MINI/MOE RUFFLE BOWL</v>
      </c>
      <c r="F4" s="140">
        <v>82</v>
      </c>
      <c r="G4" s="140">
        <v>77</v>
      </c>
      <c r="H4" s="140">
        <v>83</v>
      </c>
      <c r="I4" s="140">
        <v>70</v>
      </c>
      <c r="J4" s="140">
        <v>72</v>
      </c>
      <c r="K4" s="140">
        <v>85</v>
      </c>
      <c r="L4" s="137">
        <f t="shared" si="0"/>
        <v>469</v>
      </c>
      <c r="M4" s="137">
        <f>_xlfn.XLOOKUP(A4,'Customer Code'!B:B,'Customer Code'!F:F,0)</f>
        <v>1200</v>
      </c>
      <c r="N4" s="137">
        <f t="shared" si="1"/>
        <v>0.390833333333333</v>
      </c>
      <c r="O4" s="137">
        <f t="shared" si="2"/>
        <v>0.0651388888888889</v>
      </c>
      <c r="P4" s="137"/>
      <c r="Q4" s="137">
        <f t="shared" si="3"/>
        <v>78.1666666666667</v>
      </c>
      <c r="R4" s="137">
        <f t="shared" si="4"/>
        <v>78.1666666666667</v>
      </c>
      <c r="S4" s="137">
        <f ca="1" t="shared" si="5"/>
        <v>6.5</v>
      </c>
      <c r="T4" s="137">
        <f ca="1">S4*R4*IF(_xlfn.XLOOKUP(B4,'Product List'!B:B,'Product List'!F:F)="A",1,IF(_xlfn.XLOOKUP(B4,'Product List'!B:B,'Product List'!F:F)="B",0.5,0))</f>
        <v>254.041666666667</v>
      </c>
      <c r="U4" s="137" t="s">
        <v>92</v>
      </c>
      <c r="V4" s="149"/>
      <c r="W4" s="150"/>
      <c r="Y4" s="153"/>
      <c r="Z4" s="154" t="s">
        <v>567</v>
      </c>
      <c r="AA4" s="155" t="s">
        <v>566</v>
      </c>
      <c r="AB4" s="155">
        <v>46325</v>
      </c>
      <c r="AC4" s="154">
        <v>4</v>
      </c>
      <c r="AD4" s="154">
        <v>2</v>
      </c>
      <c r="AE4" s="154">
        <f ca="1" t="shared" si="6"/>
        <v>1</v>
      </c>
      <c r="AF4" s="154">
        <f ca="1" t="shared" si="7"/>
        <v>4</v>
      </c>
    </row>
    <row r="5" customHeight="1" spans="1:32">
      <c r="A5" s="137">
        <v>4709973</v>
      </c>
      <c r="B5" s="137" t="s">
        <v>77</v>
      </c>
      <c r="C5" s="137" t="str">
        <f>_xlfn.XLOOKUP(A5,'Customer Code'!B:B,'Customer Code'!A:A)</f>
        <v>Petco</v>
      </c>
      <c r="D5" s="137" t="str" cm="1">
        <f t="array" ref="D5">_xlfn.XLOOKUP(B5&amp;C5,'Customer Code'!C:C&amp;'Customer Code'!A:A,'Customer Code'!I:I)</f>
        <v>Normal</v>
      </c>
      <c r="E5" s="137" t="str">
        <f t="array" ref="E5">_xlfn.XLOOKUP(B5,'Product List'!B:B,'Product List'!I:I)</f>
        <v>MMO-CLOUD WATER BOTTLE</v>
      </c>
      <c r="F5" s="140">
        <v>335</v>
      </c>
      <c r="G5" s="140">
        <v>337</v>
      </c>
      <c r="H5" s="140">
        <v>335</v>
      </c>
      <c r="I5" s="140">
        <v>314</v>
      </c>
      <c r="J5" s="140">
        <v>293</v>
      </c>
      <c r="K5" s="140">
        <v>242</v>
      </c>
      <c r="L5" s="137">
        <f t="shared" si="0"/>
        <v>1856</v>
      </c>
      <c r="M5" s="137">
        <f>_xlfn.XLOOKUP(A5,'Customer Code'!B:B,'Customer Code'!F:F,0)</f>
        <v>1200</v>
      </c>
      <c r="N5" s="137">
        <f t="shared" si="1"/>
        <v>1.54666666666667</v>
      </c>
      <c r="O5" s="137">
        <f t="shared" si="2"/>
        <v>0.257777777777778</v>
      </c>
      <c r="P5" s="137"/>
      <c r="Q5" s="137">
        <f t="shared" si="3"/>
        <v>309.333333333333</v>
      </c>
      <c r="R5" s="137">
        <f t="shared" si="4"/>
        <v>309.333333333333</v>
      </c>
      <c r="S5" s="137">
        <f ca="1" t="shared" si="5"/>
        <v>6.5</v>
      </c>
      <c r="T5" s="137">
        <f ca="1">S5*R5*IF(_xlfn.XLOOKUP(B5,'Product List'!B:B,'Product List'!F:F)="A",1,IF(_xlfn.XLOOKUP(B5,'Product List'!B:B,'Product List'!F:F)="B",0.5,0))</f>
        <v>1005.33333333333</v>
      </c>
      <c r="U5" s="137" t="s">
        <v>92</v>
      </c>
      <c r="V5" s="149"/>
      <c r="W5" s="150"/>
      <c r="Y5" s="153"/>
      <c r="Z5" s="154" t="s">
        <v>568</v>
      </c>
      <c r="AA5" s="155" t="s">
        <v>566</v>
      </c>
      <c r="AB5" s="155">
        <v>46325</v>
      </c>
      <c r="AC5" s="154">
        <v>4</v>
      </c>
      <c r="AD5" s="154">
        <v>3</v>
      </c>
      <c r="AE5" s="154">
        <f ca="1" t="shared" si="6"/>
        <v>1</v>
      </c>
      <c r="AF5" s="154">
        <f ca="1" t="shared" si="7"/>
        <v>8</v>
      </c>
    </row>
    <row r="6" s="115" customFormat="1" customHeight="1" spans="1:32">
      <c r="A6" s="137">
        <v>4709981</v>
      </c>
      <c r="B6" s="137" t="s">
        <v>60</v>
      </c>
      <c r="C6" s="137" t="str">
        <f>_xlfn.XLOOKUP(A6,'Customer Code'!B:B,'Customer Code'!A:A)</f>
        <v>Petco</v>
      </c>
      <c r="D6" s="137" t="str" cm="1">
        <f t="array" ref="D6">_xlfn.XLOOKUP(B6&amp;C6,'Customer Code'!C:C&amp;'Customer Code'!A:A,'Customer Code'!I:I)</f>
        <v>Phase out</v>
      </c>
      <c r="E6" s="137" t="str">
        <f t="array" ref="E6">_xlfn.XLOOKUP(B6,'Product List'!B:B,'Product List'!I:I)</f>
        <v>MMO-STARFISH CASTLE</v>
      </c>
      <c r="F6" s="140">
        <v>59</v>
      </c>
      <c r="G6" s="140">
        <v>49</v>
      </c>
      <c r="H6" s="140">
        <v>56</v>
      </c>
      <c r="I6" s="140">
        <v>55</v>
      </c>
      <c r="J6" s="140">
        <v>56</v>
      </c>
      <c r="K6" s="140">
        <v>49</v>
      </c>
      <c r="L6" s="137">
        <f t="shared" si="0"/>
        <v>0</v>
      </c>
      <c r="M6" s="137">
        <f>_xlfn.XLOOKUP(A6,'Customer Code'!B:B,'Customer Code'!F:F,0)</f>
        <v>1200</v>
      </c>
      <c r="N6" s="137">
        <f t="shared" si="1"/>
        <v>0</v>
      </c>
      <c r="O6" s="137">
        <f t="shared" si="2"/>
        <v>0</v>
      </c>
      <c r="P6" s="137"/>
      <c r="Q6" s="137">
        <f t="shared" si="3"/>
        <v>0</v>
      </c>
      <c r="R6" s="137">
        <f t="shared" si="4"/>
        <v>0</v>
      </c>
      <c r="S6" s="137">
        <f ca="1" t="shared" si="5"/>
        <v>6.5</v>
      </c>
      <c r="T6" s="137">
        <f ca="1">S6*R6*IF(_xlfn.XLOOKUP(B6,'Product List'!B:B,'Product List'!F:F)="A",1,IF(_xlfn.XLOOKUP(B6,'Product List'!B:B,'Product List'!F:F)="B",0.5,0))</f>
        <v>0</v>
      </c>
      <c r="U6" s="137" t="s">
        <v>92</v>
      </c>
      <c r="V6" s="149"/>
      <c r="W6" s="150"/>
      <c r="X6"/>
      <c r="Y6" s="156"/>
      <c r="Z6" s="154" t="s">
        <v>298</v>
      </c>
      <c r="AA6" s="155" t="s">
        <v>569</v>
      </c>
      <c r="AB6" s="155">
        <v>46356</v>
      </c>
      <c r="AC6" s="154">
        <v>5</v>
      </c>
      <c r="AD6" s="154">
        <v>1.5</v>
      </c>
      <c r="AE6" s="154">
        <f ca="1" t="shared" si="6"/>
        <v>1</v>
      </c>
      <c r="AF6" s="154">
        <f ca="1" t="shared" si="7"/>
        <v>2.5</v>
      </c>
    </row>
    <row r="7" s="115" customFormat="1" customHeight="1" spans="1:32">
      <c r="A7" s="137">
        <v>4709990</v>
      </c>
      <c r="B7" s="137" t="s">
        <v>61</v>
      </c>
      <c r="C7" s="137" t="str">
        <f>_xlfn.XLOOKUP(A7,'Customer Code'!B:B,'Customer Code'!A:A)</f>
        <v>Petco</v>
      </c>
      <c r="D7" s="137" t="str" cm="1">
        <f t="array" ref="D7">_xlfn.XLOOKUP(B7&amp;C7,'Customer Code'!C:C&amp;'Customer Code'!A:A,'Customer Code'!I:I)</f>
        <v>Phase out</v>
      </c>
      <c r="E7" s="137" t="str">
        <f t="array" ref="E7">_xlfn.XLOOKUP(B7,'Product List'!B:B,'Product List'!I:I)</f>
        <v>MMO-WAVE BRIDGE</v>
      </c>
      <c r="F7" s="140">
        <v>104</v>
      </c>
      <c r="G7" s="140">
        <v>114</v>
      </c>
      <c r="H7" s="140">
        <v>98</v>
      </c>
      <c r="I7" s="140">
        <v>87</v>
      </c>
      <c r="J7" s="140">
        <v>86</v>
      </c>
      <c r="K7" s="140">
        <v>77</v>
      </c>
      <c r="L7" s="137">
        <f t="shared" si="0"/>
        <v>0</v>
      </c>
      <c r="M7" s="137">
        <f>_xlfn.XLOOKUP(A7,'Customer Code'!B:B,'Customer Code'!F:F,0)</f>
        <v>1200</v>
      </c>
      <c r="N7" s="137">
        <f t="shared" si="1"/>
        <v>0</v>
      </c>
      <c r="O7" s="137">
        <f t="shared" si="2"/>
        <v>0</v>
      </c>
      <c r="P7" s="137"/>
      <c r="Q7" s="137">
        <f t="shared" si="3"/>
        <v>0</v>
      </c>
      <c r="R7" s="137">
        <f t="shared" si="4"/>
        <v>0</v>
      </c>
      <c r="S7" s="137">
        <f ca="1" t="shared" si="5"/>
        <v>6.5</v>
      </c>
      <c r="T7" s="137">
        <f ca="1">S7*R7*IF(_xlfn.XLOOKUP(B7,'Product List'!B:B,'Product List'!F:F)="A",1,IF(_xlfn.XLOOKUP(B7,'Product List'!B:B,'Product List'!F:F)="B",0.5,0))</f>
        <v>0</v>
      </c>
      <c r="U7" s="137" t="s">
        <v>92</v>
      </c>
      <c r="V7" s="149"/>
      <c r="W7" s="150"/>
      <c r="X7"/>
      <c r="Y7" s="156"/>
      <c r="Z7" s="154" t="s">
        <v>567</v>
      </c>
      <c r="AA7" s="155" t="s">
        <v>569</v>
      </c>
      <c r="AB7" s="155">
        <v>46356</v>
      </c>
      <c r="AC7" s="154">
        <v>5</v>
      </c>
      <c r="AD7" s="154">
        <v>1.5</v>
      </c>
      <c r="AE7" s="154">
        <f ca="1" t="shared" si="6"/>
        <v>1</v>
      </c>
      <c r="AF7" s="154">
        <f ca="1" t="shared" si="7"/>
        <v>2.5</v>
      </c>
    </row>
    <row r="8" s="115" customFormat="1" customHeight="1" spans="1:32">
      <c r="A8" s="137">
        <v>4710000</v>
      </c>
      <c r="B8" s="137" t="s">
        <v>81</v>
      </c>
      <c r="C8" s="137" t="str">
        <f>_xlfn.XLOOKUP(A8,'Customer Code'!B:B,'Customer Code'!A:A)</f>
        <v>Petco</v>
      </c>
      <c r="D8" s="137" t="str" cm="1">
        <f t="array" ref="D8">_xlfn.XLOOKUP(B8&amp;C8,'Customer Code'!C:C&amp;'Customer Code'!A:A,'Customer Code'!I:I)</f>
        <v>Normal</v>
      </c>
      <c r="E8" s="137" t="str">
        <f t="array" ref="E8">_xlfn.XLOOKUP(B8,'Product List'!B:B,'Product List'!I:I)</f>
        <v>MMO-PAPER PEBBLES</v>
      </c>
      <c r="F8" s="140">
        <v>49</v>
      </c>
      <c r="G8" s="140">
        <v>46</v>
      </c>
      <c r="H8" s="140">
        <v>50</v>
      </c>
      <c r="I8" s="140">
        <v>27</v>
      </c>
      <c r="J8" s="140">
        <v>48</v>
      </c>
      <c r="K8" s="140">
        <v>42</v>
      </c>
      <c r="L8" s="137">
        <f t="shared" si="0"/>
        <v>262</v>
      </c>
      <c r="M8" s="137">
        <f>_xlfn.XLOOKUP(A8,'Customer Code'!B:B,'Customer Code'!F:F,0)</f>
        <v>1200</v>
      </c>
      <c r="N8" s="137">
        <f t="shared" si="1"/>
        <v>0.218333333333333</v>
      </c>
      <c r="O8" s="137">
        <f t="shared" si="2"/>
        <v>0.0363888888888889</v>
      </c>
      <c r="P8" s="137"/>
      <c r="Q8" s="137">
        <f t="shared" si="3"/>
        <v>43.6666666666667</v>
      </c>
      <c r="R8" s="137">
        <f t="shared" si="4"/>
        <v>43.6666666666667</v>
      </c>
      <c r="S8" s="137">
        <f ca="1" t="shared" si="5"/>
        <v>6.5</v>
      </c>
      <c r="T8" s="137">
        <f ca="1">S8*R8*IF(_xlfn.XLOOKUP(B8,'Product List'!B:B,'Product List'!F:F)="A",1,IF(_xlfn.XLOOKUP(B8,'Product List'!B:B,'Product List'!F:F)="B",0.5,0))</f>
        <v>141.916666666667</v>
      </c>
      <c r="U8" s="137" t="s">
        <v>92</v>
      </c>
      <c r="V8" s="149"/>
      <c r="W8" s="150"/>
      <c r="X8"/>
      <c r="Y8" s="156"/>
      <c r="Z8" s="154" t="s">
        <v>568</v>
      </c>
      <c r="AA8" s="155" t="s">
        <v>569</v>
      </c>
      <c r="AB8" s="155">
        <v>46356</v>
      </c>
      <c r="AC8" s="154">
        <v>5</v>
      </c>
      <c r="AD8" s="154">
        <v>1.5</v>
      </c>
      <c r="AE8" s="154">
        <f ca="1" t="shared" si="6"/>
        <v>1</v>
      </c>
      <c r="AF8" s="154">
        <f ca="1" t="shared" si="7"/>
        <v>2.5</v>
      </c>
    </row>
    <row r="9" s="115" customFormat="1" customHeight="1" spans="1:32">
      <c r="A9" s="137">
        <v>4710018</v>
      </c>
      <c r="B9" s="137" t="s">
        <v>68</v>
      </c>
      <c r="C9" s="137" t="str">
        <f>_xlfn.XLOOKUP(A9,'Customer Code'!B:B,'Customer Code'!A:A)</f>
        <v>Petco</v>
      </c>
      <c r="D9" s="137" t="str" cm="1">
        <f t="array" ref="D9">_xlfn.XLOOKUP(B9&amp;C9,'Customer Code'!C:C&amp;'Customer Code'!A:A,'Customer Code'!I:I)</f>
        <v>Normal</v>
      </c>
      <c r="E9" s="137" t="str">
        <f t="array" ref="E9">_xlfn.XLOOKUP(B9,'Product List'!B:B,'Product List'!I:I)</f>
        <v>MMO-PAPER TWIST BLU/WHT</v>
      </c>
      <c r="F9" s="140">
        <v>48</v>
      </c>
      <c r="G9" s="140">
        <v>55</v>
      </c>
      <c r="H9" s="140">
        <v>51</v>
      </c>
      <c r="I9" s="140">
        <v>42</v>
      </c>
      <c r="J9" s="140">
        <v>45</v>
      </c>
      <c r="K9" s="140">
        <v>50</v>
      </c>
      <c r="L9" s="137">
        <f t="shared" si="0"/>
        <v>291</v>
      </c>
      <c r="M9" s="137">
        <f>_xlfn.XLOOKUP(A9,'Customer Code'!B:B,'Customer Code'!F:F,0)</f>
        <v>1200</v>
      </c>
      <c r="N9" s="137">
        <f t="shared" si="1"/>
        <v>0.2425</v>
      </c>
      <c r="O9" s="137">
        <f t="shared" si="2"/>
        <v>0.0404166666666667</v>
      </c>
      <c r="P9" s="137"/>
      <c r="Q9" s="137">
        <f t="shared" si="3"/>
        <v>48.5</v>
      </c>
      <c r="R9" s="137">
        <f t="shared" si="4"/>
        <v>48.5</v>
      </c>
      <c r="S9" s="137">
        <f ca="1" t="shared" si="5"/>
        <v>6.5</v>
      </c>
      <c r="T9" s="137">
        <f ca="1">S9*R9*IF(_xlfn.XLOOKUP(B9,'Product List'!B:B,'Product List'!F:F)="A",1,IF(_xlfn.XLOOKUP(B9,'Product List'!B:B,'Product List'!F:F)="B",0.5,0))</f>
        <v>157.625</v>
      </c>
      <c r="U9" s="137" t="s">
        <v>92</v>
      </c>
      <c r="V9" s="149"/>
      <c r="W9" s="150"/>
      <c r="X9"/>
      <c r="Y9" s="156"/>
      <c r="Z9" s="154"/>
      <c r="AA9" s="155"/>
      <c r="AB9" s="155"/>
      <c r="AC9" s="154"/>
      <c r="AD9" s="154"/>
      <c r="AE9" s="154"/>
      <c r="AF9" s="154"/>
    </row>
    <row r="10" customHeight="1" spans="1:32">
      <c r="A10" s="137">
        <v>4710026</v>
      </c>
      <c r="B10" s="137" t="s">
        <v>84</v>
      </c>
      <c r="C10" s="137" t="str">
        <f>_xlfn.XLOOKUP(A10,'Customer Code'!B:B,'Customer Code'!A:A)</f>
        <v>Petco</v>
      </c>
      <c r="D10" s="137" t="str" cm="1">
        <f t="array" ref="D10">_xlfn.XLOOKUP(B10&amp;C10,'Customer Code'!C:C&amp;'Customer Code'!A:A,'Customer Code'!I:I)</f>
        <v>Normal</v>
      </c>
      <c r="E10" s="137" t="str">
        <f t="array" ref="E10">_xlfn.XLOOKUP(B10,'Product List'!B:B,'Product List'!I:I)</f>
        <v>MMO-COTTON NESTING BALLS</v>
      </c>
      <c r="F10" s="140">
        <v>62</v>
      </c>
      <c r="G10" s="140">
        <v>57</v>
      </c>
      <c r="H10" s="140">
        <v>43</v>
      </c>
      <c r="I10" s="140">
        <v>46</v>
      </c>
      <c r="J10" s="140">
        <v>26</v>
      </c>
      <c r="K10" s="140">
        <v>57</v>
      </c>
      <c r="L10" s="137">
        <f t="shared" si="0"/>
        <v>291</v>
      </c>
      <c r="M10" s="137">
        <f>_xlfn.XLOOKUP(A10,'Customer Code'!B:B,'Customer Code'!F:F,0)</f>
        <v>1200</v>
      </c>
      <c r="N10" s="137">
        <f t="shared" si="1"/>
        <v>0.2425</v>
      </c>
      <c r="O10" s="137">
        <f t="shared" si="2"/>
        <v>0.0404166666666667</v>
      </c>
      <c r="P10" s="137"/>
      <c r="Q10" s="137">
        <f t="shared" si="3"/>
        <v>48.5</v>
      </c>
      <c r="R10" s="137">
        <f t="shared" si="4"/>
        <v>48.5</v>
      </c>
      <c r="S10" s="137">
        <f ca="1" t="shared" si="5"/>
        <v>6.5</v>
      </c>
      <c r="T10" s="137">
        <f ca="1">S10*R10*IF(_xlfn.XLOOKUP(B10,'Product List'!B:B,'Product List'!F:F)="A",1,IF(_xlfn.XLOOKUP(B10,'Product List'!B:B,'Product List'!F:F)="B",0.5,0))</f>
        <v>0</v>
      </c>
      <c r="U10" s="137" t="s">
        <v>92</v>
      </c>
      <c r="V10" s="149"/>
      <c r="W10" s="150"/>
      <c r="Y10" s="153"/>
    </row>
    <row r="11" customHeight="1" spans="1:32">
      <c r="A11" s="137">
        <v>4710034</v>
      </c>
      <c r="B11" s="137" t="s">
        <v>64</v>
      </c>
      <c r="C11" s="137" t="str">
        <f>_xlfn.XLOOKUP(A11,'Customer Code'!B:B,'Customer Code'!A:A)</f>
        <v>Petco</v>
      </c>
      <c r="D11" s="137" t="str" cm="1">
        <f t="array" ref="D11">_xlfn.XLOOKUP(B11&amp;C11,'Customer Code'!C:C&amp;'Customer Code'!A:A,'Customer Code'!I:I)</f>
        <v>Phase out</v>
      </c>
      <c r="E11" s="137" t="str">
        <f t="array" ref="E11">_xlfn.XLOOKUP(B11,'Product List'!B:B,'Product List'!I:I)</f>
        <v>D. MMO-COTTAGE VIEW CAGE</v>
      </c>
      <c r="F11" s="140">
        <v>1</v>
      </c>
      <c r="G11" s="140">
        <v>0</v>
      </c>
      <c r="H11" s="140">
        <v>0</v>
      </c>
      <c r="I11" s="140">
        <v>0</v>
      </c>
      <c r="J11" s="140">
        <v>1</v>
      </c>
      <c r="K11" s="140">
        <v>1</v>
      </c>
      <c r="L11" s="137">
        <f t="shared" si="0"/>
        <v>0</v>
      </c>
      <c r="M11" s="137">
        <f>_xlfn.XLOOKUP(A11,'Customer Code'!B:B,'Customer Code'!F:F,0)</f>
        <v>1200</v>
      </c>
      <c r="N11" s="137">
        <f t="shared" si="1"/>
        <v>0</v>
      </c>
      <c r="O11" s="137">
        <f t="shared" si="2"/>
        <v>0</v>
      </c>
      <c r="P11" s="137"/>
      <c r="Q11" s="137">
        <f t="shared" si="3"/>
        <v>0</v>
      </c>
      <c r="R11" s="137">
        <f t="shared" si="4"/>
        <v>0</v>
      </c>
      <c r="S11" s="137">
        <f ca="1" t="shared" si="5"/>
        <v>6.5</v>
      </c>
      <c r="T11" s="137">
        <f ca="1">S11*R11*IF(_xlfn.XLOOKUP(B11,'Product List'!B:B,'Product List'!F:F)="A",1,IF(_xlfn.XLOOKUP(B11,'Product List'!B:B,'Product List'!F:F)="B",0.5,0))</f>
        <v>0</v>
      </c>
      <c r="U11" s="137" t="s">
        <v>92</v>
      </c>
      <c r="V11" s="149"/>
      <c r="W11" s="150"/>
      <c r="Y11" s="153"/>
    </row>
    <row r="12" customHeight="1" spans="1:32">
      <c r="A12" s="137">
        <v>4710042</v>
      </c>
      <c r="B12" s="137" t="s">
        <v>50</v>
      </c>
      <c r="C12" s="137" t="str">
        <f>_xlfn.XLOOKUP(A12,'Customer Code'!B:B,'Customer Code'!A:A)</f>
        <v>Petco</v>
      </c>
      <c r="D12" s="137" t="str" cm="1">
        <f t="array" ref="D12">_xlfn.XLOOKUP(B12&amp;C12,'Customer Code'!C:C&amp;'Customer Code'!A:A,'Customer Code'!I:I)</f>
        <v>Normal</v>
      </c>
      <c r="E12" s="137" t="str">
        <f t="array" ref="E12">_xlfn.XLOOKUP(B12,'Product List'!B:B,'Product List'!I:I)</f>
        <v>MINI/MOE TV VIEWING CAGE</v>
      </c>
      <c r="F12" s="140">
        <v>86</v>
      </c>
      <c r="G12" s="140">
        <v>105</v>
      </c>
      <c r="H12" s="140">
        <v>82</v>
      </c>
      <c r="I12" s="140">
        <v>90</v>
      </c>
      <c r="J12" s="140">
        <v>98</v>
      </c>
      <c r="K12" s="140">
        <v>85</v>
      </c>
      <c r="L12" s="137">
        <f t="shared" si="0"/>
        <v>546</v>
      </c>
      <c r="M12" s="137">
        <f>_xlfn.XLOOKUP(A12,'Customer Code'!B:B,'Customer Code'!F:F,0)</f>
        <v>1200</v>
      </c>
      <c r="N12" s="137">
        <f t="shared" si="1"/>
        <v>0.455</v>
      </c>
      <c r="O12" s="137">
        <f t="shared" si="2"/>
        <v>0.0758333333333333</v>
      </c>
      <c r="P12" s="137"/>
      <c r="Q12" s="137">
        <f t="shared" si="3"/>
        <v>91</v>
      </c>
      <c r="R12" s="137">
        <f t="shared" si="4"/>
        <v>91</v>
      </c>
      <c r="S12" s="137">
        <f ca="1" t="shared" si="5"/>
        <v>6.5</v>
      </c>
      <c r="T12" s="137">
        <f ca="1">S12*R12*IF(_xlfn.XLOOKUP(B12,'Product List'!B:B,'Product List'!F:F)="A",1,IF(_xlfn.XLOOKUP(B12,'Product List'!B:B,'Product List'!F:F)="B",0.5,0))</f>
        <v>591.5</v>
      </c>
      <c r="U12" s="137" t="s">
        <v>92</v>
      </c>
      <c r="V12" s="149"/>
      <c r="W12" s="150"/>
      <c r="Y12" s="153"/>
      <c r="Z12" s="157"/>
      <c r="AA12" s="47"/>
    </row>
    <row r="13" customHeight="1" spans="1:32">
      <c r="A13" s="137">
        <v>4710051</v>
      </c>
      <c r="B13" s="137" t="s">
        <v>67</v>
      </c>
      <c r="C13" s="137" t="str">
        <f>_xlfn.XLOOKUP(A13,'Customer Code'!B:B,'Customer Code'!A:A)</f>
        <v>Petco</v>
      </c>
      <c r="D13" s="137" t="str" cm="1">
        <f t="array" ref="D13">_xlfn.XLOOKUP(B13&amp;C13,'Customer Code'!C:C&amp;'Customer Code'!A:A,'Customer Code'!I:I)</f>
        <v>Normal</v>
      </c>
      <c r="E13" s="137" t="str">
        <f t="array" ref="E13">_xlfn.XLOOKUP(B13,'Product List'!B:B,'Product List'!I:I)</f>
        <v>MMO-BUBBLE WATER BOTTLE</v>
      </c>
      <c r="F13" s="140">
        <v>327</v>
      </c>
      <c r="G13" s="140">
        <v>307</v>
      </c>
      <c r="H13" s="140">
        <v>309</v>
      </c>
      <c r="I13" s="140">
        <v>335</v>
      </c>
      <c r="J13" s="140">
        <v>323</v>
      </c>
      <c r="K13" s="140">
        <v>305</v>
      </c>
      <c r="L13" s="137">
        <f t="shared" si="0"/>
        <v>1906</v>
      </c>
      <c r="M13" s="137">
        <f>_xlfn.XLOOKUP(A13,'Customer Code'!B:B,'Customer Code'!F:F,0)</f>
        <v>1200</v>
      </c>
      <c r="N13" s="137">
        <f t="shared" si="1"/>
        <v>1.58833333333333</v>
      </c>
      <c r="O13" s="137">
        <f t="shared" si="2"/>
        <v>0.264722222222222</v>
      </c>
      <c r="P13" s="137"/>
      <c r="Q13" s="137">
        <f t="shared" si="3"/>
        <v>317.666666666667</v>
      </c>
      <c r="R13" s="137">
        <f t="shared" si="4"/>
        <v>317.666666666667</v>
      </c>
      <c r="S13" s="137">
        <f ca="1" t="shared" si="5"/>
        <v>6.5</v>
      </c>
      <c r="T13" s="137">
        <f ca="1">S13*R13*IF(_xlfn.XLOOKUP(B13,'Product List'!B:B,'Product List'!F:F)="A",1,IF(_xlfn.XLOOKUP(B13,'Product List'!B:B,'Product List'!F:F)="B",0.5,0))</f>
        <v>2064.83333333334</v>
      </c>
      <c r="U13" s="137" t="s">
        <v>92</v>
      </c>
      <c r="V13" s="149"/>
      <c r="W13" s="150"/>
      <c r="Y13" s="153"/>
      <c r="Z13" s="157"/>
      <c r="AA13" s="47"/>
    </row>
    <row r="14" customHeight="1" spans="1:32">
      <c r="A14" s="137">
        <v>4782281</v>
      </c>
      <c r="B14" s="137" t="s">
        <v>35</v>
      </c>
      <c r="C14" s="137" t="str">
        <f>_xlfn.XLOOKUP(A14,'Customer Code'!B:B,'Customer Code'!A:A)</f>
        <v>Petco</v>
      </c>
      <c r="D14" s="137" t="str" cm="1">
        <f t="array" ref="D14">_xlfn.XLOOKUP(B14&amp;C14,'Customer Code'!C:C&amp;'Customer Code'!A:A,'Customer Code'!I:I)</f>
        <v>Normal</v>
      </c>
      <c r="E14" s="137" t="str">
        <f t="array" ref="E14">_xlfn.XLOOKUP(B14,'Product List'!B:B,'Product List'!I:I)</f>
        <v>MMO-SHELL PEARL HAMSTER CHEW</v>
      </c>
      <c r="F14" s="140">
        <v>40</v>
      </c>
      <c r="G14" s="140">
        <v>28</v>
      </c>
      <c r="H14" s="140">
        <v>33</v>
      </c>
      <c r="I14" s="140">
        <v>28</v>
      </c>
      <c r="J14" s="140">
        <v>30</v>
      </c>
      <c r="K14" s="140">
        <v>28</v>
      </c>
      <c r="L14" s="137">
        <f t="shared" si="0"/>
        <v>187</v>
      </c>
      <c r="M14" s="137">
        <f>_xlfn.XLOOKUP(A14,'Customer Code'!B:B,'Customer Code'!F:F,0)</f>
        <v>1200</v>
      </c>
      <c r="N14" s="137">
        <f t="shared" si="1"/>
        <v>0.155833333333333</v>
      </c>
      <c r="O14" s="137">
        <f t="shared" si="2"/>
        <v>0.0259722222222222</v>
      </c>
      <c r="P14" s="137"/>
      <c r="Q14" s="137">
        <f t="shared" si="3"/>
        <v>31.1666666666667</v>
      </c>
      <c r="R14" s="137">
        <f t="shared" si="4"/>
        <v>31.1666666666667</v>
      </c>
      <c r="S14" s="137">
        <f ca="1" t="shared" si="5"/>
        <v>6.5</v>
      </c>
      <c r="T14" s="137">
        <f ca="1">S14*R14*IF(_xlfn.XLOOKUP(B14,'Product List'!B:B,'Product List'!F:F)="A",1,IF(_xlfn.XLOOKUP(B14,'Product List'!B:B,'Product List'!F:F)="B",0.5,0))</f>
        <v>0</v>
      </c>
      <c r="U14" s="137" t="s">
        <v>92</v>
      </c>
      <c r="V14" s="149"/>
      <c r="W14" s="150"/>
      <c r="Y14" s="153"/>
      <c r="Z14" s="157"/>
      <c r="AA14" s="47"/>
    </row>
    <row r="15" customHeight="1" spans="1:32">
      <c r="A15" s="137">
        <v>4782290</v>
      </c>
      <c r="B15" s="137" t="s">
        <v>33</v>
      </c>
      <c r="C15" s="137" t="str">
        <f>_xlfn.XLOOKUP(A15,'Customer Code'!B:B,'Customer Code'!A:A)</f>
        <v>Petco</v>
      </c>
      <c r="D15" s="137" t="str" cm="1">
        <f t="array" ref="D15">_xlfn.XLOOKUP(B15&amp;C15,'Customer Code'!C:C&amp;'Customer Code'!A:A,'Customer Code'!I:I)</f>
        <v>Normal</v>
      </c>
      <c r="E15" s="137" t="str">
        <f t="array" ref="E15">_xlfn.XLOOKUP(B15,'Product List'!B:B,'Product List'!I:I)</f>
        <v>MMO-GREEN APPLE CHEW</v>
      </c>
      <c r="F15" s="140">
        <v>147</v>
      </c>
      <c r="G15" s="140">
        <v>129</v>
      </c>
      <c r="H15" s="140">
        <v>156</v>
      </c>
      <c r="I15" s="140">
        <v>150</v>
      </c>
      <c r="J15" s="140">
        <v>159</v>
      </c>
      <c r="K15" s="140">
        <v>128</v>
      </c>
      <c r="L15" s="137">
        <f t="shared" si="0"/>
        <v>869</v>
      </c>
      <c r="M15" s="137">
        <f>_xlfn.XLOOKUP(A15,'Customer Code'!B:B,'Customer Code'!F:F,0)</f>
        <v>1200</v>
      </c>
      <c r="N15" s="137">
        <f t="shared" si="1"/>
        <v>0.724166666666667</v>
      </c>
      <c r="O15" s="137">
        <f t="shared" si="2"/>
        <v>0.120694444444444</v>
      </c>
      <c r="P15" s="137"/>
      <c r="Q15" s="137">
        <f t="shared" si="3"/>
        <v>144.833333333333</v>
      </c>
      <c r="R15" s="137">
        <f t="shared" si="4"/>
        <v>144.833333333333</v>
      </c>
      <c r="S15" s="137">
        <f ca="1" t="shared" si="5"/>
        <v>6.5</v>
      </c>
      <c r="T15" s="137">
        <f ca="1">S15*R15*IF(_xlfn.XLOOKUP(B15,'Product List'!B:B,'Product List'!F:F)="A",1,IF(_xlfn.XLOOKUP(B15,'Product List'!B:B,'Product List'!F:F)="B",0.5,0))</f>
        <v>470.708333333332</v>
      </c>
      <c r="U15" s="137" t="s">
        <v>92</v>
      </c>
      <c r="V15" s="149"/>
      <c r="W15" s="150"/>
      <c r="Y15" s="153"/>
      <c r="Z15" s="158"/>
      <c r="AA15" s="159"/>
      <c r="AB15" s="80"/>
      <c r="AC15" s="80"/>
      <c r="AD15" s="80"/>
      <c r="AE15" s="80"/>
      <c r="AF15" s="80"/>
    </row>
    <row r="16" customHeight="1" spans="1:32">
      <c r="A16" s="137">
        <v>4782302</v>
      </c>
      <c r="B16" s="137" t="s">
        <v>34</v>
      </c>
      <c r="C16" s="137" t="str">
        <f>_xlfn.XLOOKUP(A16,'Customer Code'!B:B,'Customer Code'!A:A)</f>
        <v>Petco</v>
      </c>
      <c r="D16" s="137" t="str" cm="1">
        <f t="array" ref="D16">_xlfn.XLOOKUP(B16&amp;C16,'Customer Code'!C:C&amp;'Customer Code'!A:A,'Customer Code'!I:I)</f>
        <v>Normal</v>
      </c>
      <c r="E16" s="137" t="str">
        <f t="array" ref="E16">_xlfn.XLOOKUP(B16,'Product List'!B:B,'Product List'!I:I)</f>
        <v>MMO-CAMP LUNCH BOX CHEW</v>
      </c>
      <c r="F16" s="140">
        <v>152</v>
      </c>
      <c r="G16" s="140">
        <v>164</v>
      </c>
      <c r="H16" s="140">
        <v>157</v>
      </c>
      <c r="I16" s="140">
        <v>170</v>
      </c>
      <c r="J16" s="140">
        <v>165</v>
      </c>
      <c r="K16" s="140">
        <v>154</v>
      </c>
      <c r="L16" s="137">
        <f t="shared" si="0"/>
        <v>962</v>
      </c>
      <c r="M16" s="137">
        <f>_xlfn.XLOOKUP(A16,'Customer Code'!B:B,'Customer Code'!F:F,0)</f>
        <v>1200</v>
      </c>
      <c r="N16" s="137">
        <f t="shared" si="1"/>
        <v>0.801666666666667</v>
      </c>
      <c r="O16" s="137">
        <f t="shared" si="2"/>
        <v>0.133611111111111</v>
      </c>
      <c r="P16" s="137"/>
      <c r="Q16" s="137">
        <f t="shared" si="3"/>
        <v>160.333333333333</v>
      </c>
      <c r="R16" s="137">
        <f t="shared" si="4"/>
        <v>160.333333333333</v>
      </c>
      <c r="S16" s="137">
        <f ca="1" t="shared" si="5"/>
        <v>6.5</v>
      </c>
      <c r="T16" s="137">
        <f ca="1">S16*R16*IF(_xlfn.XLOOKUP(B16,'Product List'!B:B,'Product List'!F:F)="A",1,IF(_xlfn.XLOOKUP(B16,'Product List'!B:B,'Product List'!F:F)="B",0.5,0))</f>
        <v>521.083333333332</v>
      </c>
      <c r="U16" s="137" t="s">
        <v>92</v>
      </c>
      <c r="V16" s="149"/>
      <c r="W16" s="150"/>
      <c r="Y16" s="153"/>
      <c r="Z16" s="158"/>
      <c r="AA16" s="159"/>
      <c r="AB16" s="80"/>
      <c r="AC16" s="80"/>
      <c r="AD16" s="80"/>
      <c r="AE16" s="80"/>
      <c r="AF16" s="80"/>
    </row>
    <row r="17" customFormat="1" customHeight="1" spans="1:32">
      <c r="A17" s="137">
        <v>4709949</v>
      </c>
      <c r="B17" s="137" t="s">
        <v>62</v>
      </c>
      <c r="C17" s="137" t="str">
        <f>_xlfn.XLOOKUP(A17,'Customer Code'!B:B,'Customer Code'!A:A)</f>
        <v>Petco</v>
      </c>
      <c r="D17" s="137" t="str" cm="1">
        <f t="array" ref="D17">_xlfn.XLOOKUP(B17&amp;C17,'Customer Code'!C:C&amp;'Customer Code'!A:A,'Customer Code'!I:I)</f>
        <v>Phase out</v>
      </c>
      <c r="E17" s="137" t="str">
        <f t="array" ref="E17">_xlfn.XLOOKUP(B17,'Product List'!B:B,'Product List'!I:I)</f>
        <v>MINI/MOE BENDABLE BIRCHWOOD FENCE</v>
      </c>
      <c r="F17" s="140"/>
      <c r="G17" s="140"/>
      <c r="H17" s="140"/>
      <c r="I17" s="140"/>
      <c r="J17" s="140"/>
      <c r="K17" s="140"/>
      <c r="L17" s="137">
        <f t="shared" si="0"/>
        <v>0</v>
      </c>
      <c r="M17" s="137">
        <f>_xlfn.XLOOKUP(A17,'Customer Code'!B:B,'Customer Code'!F:F,0)</f>
        <v>1200</v>
      </c>
      <c r="N17" s="137">
        <f t="shared" si="1"/>
        <v>0</v>
      </c>
      <c r="O17" s="137">
        <f t="shared" si="2"/>
        <v>0</v>
      </c>
      <c r="P17" s="137"/>
      <c r="Q17" s="137">
        <f t="shared" si="3"/>
        <v>0</v>
      </c>
      <c r="R17" s="137">
        <f t="shared" si="4"/>
        <v>0</v>
      </c>
      <c r="S17" s="137">
        <f ca="1" t="shared" si="5"/>
        <v>6.5</v>
      </c>
      <c r="T17" s="137">
        <f ca="1">S17*R17*IF(_xlfn.XLOOKUP(B17,'Product List'!B:B,'Product List'!F:F)="A",1,IF(_xlfn.XLOOKUP(B17,'Product List'!B:B,'Product List'!F:F)="B",0.5,0))</f>
        <v>0</v>
      </c>
      <c r="U17" s="137" t="s">
        <v>93</v>
      </c>
      <c r="V17" s="149"/>
      <c r="W17" s="150"/>
      <c r="Z17" s="160"/>
      <c r="AA17" s="160"/>
      <c r="AB17" s="161"/>
      <c r="AC17" s="160"/>
      <c r="AD17" s="161"/>
      <c r="AE17" s="161"/>
      <c r="AF17" s="161"/>
    </row>
    <row r="18" customFormat="1" customHeight="1" spans="1:32">
      <c r="A18" s="137">
        <v>4709957</v>
      </c>
      <c r="B18" s="137" t="s">
        <v>29</v>
      </c>
      <c r="C18" s="137" t="str">
        <f>_xlfn.XLOOKUP(A18,'Customer Code'!B:B,'Customer Code'!A:A)</f>
        <v>Petco</v>
      </c>
      <c r="D18" s="137" t="str" cm="1">
        <f t="array" ref="D18">_xlfn.XLOOKUP(B18&amp;C18,'Customer Code'!C:C&amp;'Customer Code'!A:A,'Customer Code'!I:I)</f>
        <v>Normal</v>
      </c>
      <c r="E18" s="137" t="str">
        <f t="array" ref="E18">_xlfn.XLOOKUP(B18,'Product List'!B:B,'Product List'!I:I)</f>
        <v>MINI/MOE SILENT CRSTL RUN WHEEL LG 8.5-White</v>
      </c>
      <c r="F18" s="140"/>
      <c r="G18" s="140"/>
      <c r="H18" s="140"/>
      <c r="I18" s="140"/>
      <c r="J18" s="140"/>
      <c r="K18" s="140"/>
      <c r="L18" s="137">
        <f t="shared" si="0"/>
        <v>0</v>
      </c>
      <c r="M18" s="137">
        <f>_xlfn.XLOOKUP(A18,'Customer Code'!B:B,'Customer Code'!F:F,0)</f>
        <v>1200</v>
      </c>
      <c r="N18" s="137">
        <f t="shared" si="1"/>
        <v>0</v>
      </c>
      <c r="O18" s="137">
        <f t="shared" si="2"/>
        <v>0</v>
      </c>
      <c r="P18" s="137"/>
      <c r="Q18" s="137">
        <f t="shared" si="3"/>
        <v>0</v>
      </c>
      <c r="R18" s="137">
        <f t="shared" si="4"/>
        <v>0</v>
      </c>
      <c r="S18" s="137">
        <f ca="1" t="shared" si="5"/>
        <v>6.5</v>
      </c>
      <c r="T18" s="137">
        <f ca="1">S18*R18*IF(_xlfn.XLOOKUP(B18,'Product List'!B:B,'Product List'!F:F)="A",1,IF(_xlfn.XLOOKUP(B18,'Product List'!B:B,'Product List'!F:F)="B",0.5,0))</f>
        <v>0</v>
      </c>
      <c r="U18" s="137" t="s">
        <v>93</v>
      </c>
      <c r="V18" s="149"/>
      <c r="W18" s="150"/>
      <c r="Y18" s="153"/>
      <c r="Z18" s="162"/>
      <c r="AA18" s="163"/>
      <c r="AB18" s="163"/>
      <c r="AC18" s="162"/>
      <c r="AD18" s="162"/>
      <c r="AE18" s="162"/>
      <c r="AF18" s="162"/>
    </row>
    <row r="19" customFormat="1" customHeight="1" spans="1:32">
      <c r="A19" s="137">
        <v>4709965</v>
      </c>
      <c r="B19" s="137" t="s">
        <v>78</v>
      </c>
      <c r="C19" s="137" t="str">
        <f>_xlfn.XLOOKUP(A19,'Customer Code'!B:B,'Customer Code'!A:A)</f>
        <v>Petco</v>
      </c>
      <c r="D19" s="137" t="str" cm="1">
        <f t="array" ref="D19">_xlfn.XLOOKUP(B19&amp;C19,'Customer Code'!C:C&amp;'Customer Code'!A:A,'Customer Code'!I:I)</f>
        <v>Normal</v>
      </c>
      <c r="E19" s="137" t="str">
        <f t="array" ref="E19">_xlfn.XLOOKUP(B19,'Product List'!B:B,'Product List'!I:I)</f>
        <v>MINI/MOE RUFFLE BOWL</v>
      </c>
      <c r="F19" s="140"/>
      <c r="G19" s="140"/>
      <c r="H19" s="140"/>
      <c r="I19" s="140"/>
      <c r="J19" s="140"/>
      <c r="K19" s="140"/>
      <c r="L19" s="137">
        <f t="shared" si="0"/>
        <v>0</v>
      </c>
      <c r="M19" s="137">
        <f>_xlfn.XLOOKUP(A19,'Customer Code'!B:B,'Customer Code'!F:F,0)</f>
        <v>1200</v>
      </c>
      <c r="N19" s="137">
        <f t="shared" si="1"/>
        <v>0</v>
      </c>
      <c r="O19" s="137">
        <f t="shared" si="2"/>
        <v>0</v>
      </c>
      <c r="P19" s="137"/>
      <c r="Q19" s="137">
        <f t="shared" si="3"/>
        <v>0</v>
      </c>
      <c r="R19" s="137">
        <f t="shared" si="4"/>
        <v>0</v>
      </c>
      <c r="S19" s="137">
        <f ca="1" t="shared" si="5"/>
        <v>6.5</v>
      </c>
      <c r="T19" s="137">
        <f ca="1">S19*R19*IF(_xlfn.XLOOKUP(B19,'Product List'!B:B,'Product List'!F:F)="A",1,IF(_xlfn.XLOOKUP(B19,'Product List'!B:B,'Product List'!F:F)="B",0.5,0))</f>
        <v>0</v>
      </c>
      <c r="U19" s="137" t="s">
        <v>93</v>
      </c>
      <c r="V19" s="149"/>
      <c r="W19" s="150"/>
      <c r="Y19" s="153"/>
      <c r="Z19" s="162"/>
      <c r="AA19" s="163"/>
      <c r="AB19" s="163"/>
      <c r="AC19" s="162"/>
      <c r="AD19" s="162"/>
      <c r="AE19" s="162"/>
      <c r="AF19" s="162"/>
    </row>
    <row r="20" customFormat="1" customHeight="1" spans="1:32">
      <c r="A20" s="137">
        <v>4709973</v>
      </c>
      <c r="B20" s="137" t="s">
        <v>77</v>
      </c>
      <c r="C20" s="137" t="str">
        <f>_xlfn.XLOOKUP(A20,'Customer Code'!B:B,'Customer Code'!A:A)</f>
        <v>Petco</v>
      </c>
      <c r="D20" s="137" t="str" cm="1">
        <f t="array" ref="D20">_xlfn.XLOOKUP(B20&amp;C20,'Customer Code'!C:C&amp;'Customer Code'!A:A,'Customer Code'!I:I)</f>
        <v>Normal</v>
      </c>
      <c r="E20" s="137" t="str">
        <f t="array" ref="E20">_xlfn.XLOOKUP(B20,'Product List'!B:B,'Product List'!I:I)</f>
        <v>MMO-CLOUD WATER BOTTLE</v>
      </c>
      <c r="F20" s="140"/>
      <c r="G20" s="140"/>
      <c r="H20" s="140"/>
      <c r="I20" s="140"/>
      <c r="J20" s="140"/>
      <c r="K20" s="140"/>
      <c r="L20" s="137">
        <f t="shared" si="0"/>
        <v>0</v>
      </c>
      <c r="M20" s="137">
        <f>_xlfn.XLOOKUP(A20,'Customer Code'!B:B,'Customer Code'!F:F,0)</f>
        <v>1200</v>
      </c>
      <c r="N20" s="137">
        <f t="shared" si="1"/>
        <v>0</v>
      </c>
      <c r="O20" s="137">
        <f t="shared" si="2"/>
        <v>0</v>
      </c>
      <c r="P20" s="137"/>
      <c r="Q20" s="137">
        <f t="shared" si="3"/>
        <v>0</v>
      </c>
      <c r="R20" s="137">
        <f t="shared" si="4"/>
        <v>0</v>
      </c>
      <c r="S20" s="137">
        <f ca="1" t="shared" si="5"/>
        <v>6.5</v>
      </c>
      <c r="T20" s="137">
        <f ca="1">S20*R20*IF(_xlfn.XLOOKUP(B20,'Product List'!B:B,'Product List'!F:F)="A",1,IF(_xlfn.XLOOKUP(B20,'Product List'!B:B,'Product List'!F:F)="B",0.5,0))</f>
        <v>0</v>
      </c>
      <c r="U20" s="137" t="s">
        <v>93</v>
      </c>
      <c r="V20" s="149"/>
      <c r="W20" s="150"/>
      <c r="Y20" s="153"/>
      <c r="Z20" s="162"/>
      <c r="AA20" s="163"/>
      <c r="AB20" s="163"/>
      <c r="AC20" s="162"/>
      <c r="AD20" s="162"/>
      <c r="AE20" s="162"/>
      <c r="AF20" s="162"/>
    </row>
    <row r="21" s="115" customFormat="1" customHeight="1" spans="1:32">
      <c r="A21" s="137">
        <v>4709981</v>
      </c>
      <c r="B21" s="137" t="s">
        <v>60</v>
      </c>
      <c r="C21" s="137" t="str">
        <f>_xlfn.XLOOKUP(A21,'Customer Code'!B:B,'Customer Code'!A:A)</f>
        <v>Petco</v>
      </c>
      <c r="D21" s="137" t="str" cm="1">
        <f t="array" ref="D21">_xlfn.XLOOKUP(B21&amp;C21,'Customer Code'!C:C&amp;'Customer Code'!A:A,'Customer Code'!I:I)</f>
        <v>Phase out</v>
      </c>
      <c r="E21" s="137" t="str">
        <f t="array" ref="E21">_xlfn.XLOOKUP(B21,'Product List'!B:B,'Product List'!I:I)</f>
        <v>MMO-STARFISH CASTLE</v>
      </c>
      <c r="F21" s="140"/>
      <c r="G21" s="140"/>
      <c r="H21" s="140"/>
      <c r="I21" s="140"/>
      <c r="J21" s="140"/>
      <c r="K21" s="140"/>
      <c r="L21" s="137">
        <f t="shared" si="0"/>
        <v>0</v>
      </c>
      <c r="M21" s="137">
        <f>_xlfn.XLOOKUP(A21,'Customer Code'!B:B,'Customer Code'!F:F,0)</f>
        <v>1200</v>
      </c>
      <c r="N21" s="137">
        <f t="shared" si="1"/>
        <v>0</v>
      </c>
      <c r="O21" s="137">
        <f t="shared" si="2"/>
        <v>0</v>
      </c>
      <c r="P21" s="137"/>
      <c r="Q21" s="137">
        <f t="shared" si="3"/>
        <v>0</v>
      </c>
      <c r="R21" s="137">
        <f t="shared" si="4"/>
        <v>0</v>
      </c>
      <c r="S21" s="137">
        <f ca="1" t="shared" si="5"/>
        <v>6.5</v>
      </c>
      <c r="T21" s="137">
        <f ca="1">S21*R21*IF(_xlfn.XLOOKUP(B21,'Product List'!B:B,'Product List'!F:F)="A",1,IF(_xlfn.XLOOKUP(B21,'Product List'!B:B,'Product List'!F:F)="B",0.5,0))</f>
        <v>0</v>
      </c>
      <c r="U21" s="137" t="s">
        <v>93</v>
      </c>
      <c r="V21" s="149"/>
      <c r="W21" s="150"/>
      <c r="X21"/>
      <c r="Y21" s="156"/>
      <c r="Z21" s="162"/>
      <c r="AA21" s="163"/>
      <c r="AB21" s="163"/>
      <c r="AC21" s="162"/>
      <c r="AD21" s="162"/>
      <c r="AE21" s="162"/>
      <c r="AF21" s="162"/>
    </row>
    <row r="22" s="115" customFormat="1" customHeight="1" spans="1:32">
      <c r="A22" s="137">
        <v>4709990</v>
      </c>
      <c r="B22" s="137" t="s">
        <v>61</v>
      </c>
      <c r="C22" s="137" t="str">
        <f>_xlfn.XLOOKUP(A22,'Customer Code'!B:B,'Customer Code'!A:A)</f>
        <v>Petco</v>
      </c>
      <c r="D22" s="137" t="str" cm="1">
        <f t="array" ref="D22">_xlfn.XLOOKUP(B22&amp;C22,'Customer Code'!C:C&amp;'Customer Code'!A:A,'Customer Code'!I:I)</f>
        <v>Phase out</v>
      </c>
      <c r="E22" s="137" t="str">
        <f t="array" ref="E22">_xlfn.XLOOKUP(B22,'Product List'!B:B,'Product List'!I:I)</f>
        <v>MMO-WAVE BRIDGE</v>
      </c>
      <c r="F22" s="140"/>
      <c r="G22" s="140"/>
      <c r="H22" s="140"/>
      <c r="I22" s="140"/>
      <c r="J22" s="140"/>
      <c r="K22" s="140"/>
      <c r="L22" s="137">
        <f t="shared" si="0"/>
        <v>0</v>
      </c>
      <c r="M22" s="137">
        <f>_xlfn.XLOOKUP(A22,'Customer Code'!B:B,'Customer Code'!F:F,0)</f>
        <v>1200</v>
      </c>
      <c r="N22" s="137">
        <f t="shared" si="1"/>
        <v>0</v>
      </c>
      <c r="O22" s="137">
        <f t="shared" si="2"/>
        <v>0</v>
      </c>
      <c r="P22" s="137"/>
      <c r="Q22" s="137">
        <f t="shared" si="3"/>
        <v>0</v>
      </c>
      <c r="R22" s="137">
        <f t="shared" si="4"/>
        <v>0</v>
      </c>
      <c r="S22" s="137">
        <f ca="1" t="shared" si="5"/>
        <v>6.5</v>
      </c>
      <c r="T22" s="137">
        <f ca="1">S22*R22*IF(_xlfn.XLOOKUP(B22,'Product List'!B:B,'Product List'!F:F)="A",1,IF(_xlfn.XLOOKUP(B22,'Product List'!B:B,'Product List'!F:F)="B",0.5,0))</f>
        <v>0</v>
      </c>
      <c r="U22" s="137" t="s">
        <v>93</v>
      </c>
      <c r="V22" s="149"/>
      <c r="W22" s="150"/>
      <c r="X22"/>
      <c r="Y22" s="156"/>
      <c r="Z22" s="162"/>
      <c r="AA22" s="163"/>
      <c r="AB22" s="163"/>
      <c r="AC22" s="162"/>
      <c r="AD22" s="162"/>
      <c r="AE22" s="162"/>
      <c r="AF22" s="162"/>
    </row>
    <row r="23" s="115" customFormat="1" customHeight="1" spans="1:32">
      <c r="A23" s="137">
        <v>4710000</v>
      </c>
      <c r="B23" s="137" t="s">
        <v>81</v>
      </c>
      <c r="C23" s="137" t="str">
        <f>_xlfn.XLOOKUP(A23,'Customer Code'!B:B,'Customer Code'!A:A)</f>
        <v>Petco</v>
      </c>
      <c r="D23" s="137" t="str" cm="1">
        <f t="array" ref="D23">_xlfn.XLOOKUP(B23&amp;C23,'Customer Code'!C:C&amp;'Customer Code'!A:A,'Customer Code'!I:I)</f>
        <v>Normal</v>
      </c>
      <c r="E23" s="137" t="str">
        <f t="array" ref="E23">_xlfn.XLOOKUP(B23,'Product List'!B:B,'Product List'!I:I)</f>
        <v>MMO-PAPER PEBBLES</v>
      </c>
      <c r="F23" s="140"/>
      <c r="G23" s="140"/>
      <c r="H23" s="140"/>
      <c r="I23" s="140"/>
      <c r="J23" s="140"/>
      <c r="K23" s="140"/>
      <c r="L23" s="137">
        <f t="shared" si="0"/>
        <v>0</v>
      </c>
      <c r="M23" s="137">
        <f>_xlfn.XLOOKUP(A23,'Customer Code'!B:B,'Customer Code'!F:F,0)</f>
        <v>1200</v>
      </c>
      <c r="N23" s="137">
        <f t="shared" si="1"/>
        <v>0</v>
      </c>
      <c r="O23" s="137">
        <f t="shared" si="2"/>
        <v>0</v>
      </c>
      <c r="P23" s="137"/>
      <c r="Q23" s="137">
        <f t="shared" si="3"/>
        <v>0</v>
      </c>
      <c r="R23" s="137">
        <f t="shared" si="4"/>
        <v>0</v>
      </c>
      <c r="S23" s="137">
        <f ca="1" t="shared" si="5"/>
        <v>6.5</v>
      </c>
      <c r="T23" s="137">
        <f ca="1">S23*R23*IF(_xlfn.XLOOKUP(B23,'Product List'!B:B,'Product List'!F:F)="A",1,IF(_xlfn.XLOOKUP(B23,'Product List'!B:B,'Product List'!F:F)="B",0.5,0))</f>
        <v>0</v>
      </c>
      <c r="U23" s="137" t="s">
        <v>93</v>
      </c>
      <c r="V23" s="149"/>
      <c r="W23" s="150"/>
      <c r="X23"/>
      <c r="Y23" s="156"/>
      <c r="Z23" s="162"/>
      <c r="AA23" s="163"/>
      <c r="AB23" s="163"/>
      <c r="AC23" s="162"/>
      <c r="AD23" s="162"/>
      <c r="AE23" s="162"/>
      <c r="AF23" s="162"/>
    </row>
    <row r="24" s="115" customFormat="1" customHeight="1" spans="1:32">
      <c r="A24" s="137">
        <v>4710018</v>
      </c>
      <c r="B24" s="137" t="s">
        <v>68</v>
      </c>
      <c r="C24" s="137" t="str">
        <f>_xlfn.XLOOKUP(A24,'Customer Code'!B:B,'Customer Code'!A:A)</f>
        <v>Petco</v>
      </c>
      <c r="D24" s="137" t="str" cm="1">
        <f t="array" ref="D24">_xlfn.XLOOKUP(B24&amp;C24,'Customer Code'!C:C&amp;'Customer Code'!A:A,'Customer Code'!I:I)</f>
        <v>Normal</v>
      </c>
      <c r="E24" s="137" t="str">
        <f t="array" ref="E24">_xlfn.XLOOKUP(B24,'Product List'!B:B,'Product List'!I:I)</f>
        <v>MMO-PAPER TWIST BLU/WHT</v>
      </c>
      <c r="F24" s="140"/>
      <c r="G24" s="140"/>
      <c r="H24" s="140"/>
      <c r="I24" s="140"/>
      <c r="J24" s="140"/>
      <c r="K24" s="140"/>
      <c r="L24" s="137">
        <f t="shared" si="0"/>
        <v>0</v>
      </c>
      <c r="M24" s="137">
        <f>_xlfn.XLOOKUP(A24,'Customer Code'!B:B,'Customer Code'!F:F,0)</f>
        <v>1200</v>
      </c>
      <c r="N24" s="137">
        <f t="shared" si="1"/>
        <v>0</v>
      </c>
      <c r="O24" s="137">
        <f t="shared" si="2"/>
        <v>0</v>
      </c>
      <c r="P24" s="137"/>
      <c r="Q24" s="137">
        <f t="shared" si="3"/>
        <v>0</v>
      </c>
      <c r="R24" s="137">
        <f t="shared" si="4"/>
        <v>0</v>
      </c>
      <c r="S24" s="137">
        <f ca="1" t="shared" si="5"/>
        <v>6.5</v>
      </c>
      <c r="T24" s="137">
        <f ca="1">S24*R24*IF(_xlfn.XLOOKUP(B24,'Product List'!B:B,'Product List'!F:F)="A",1,IF(_xlfn.XLOOKUP(B24,'Product List'!B:B,'Product List'!F:F)="B",0.5,0))</f>
        <v>0</v>
      </c>
      <c r="U24" s="137" t="s">
        <v>93</v>
      </c>
      <c r="V24" s="149"/>
      <c r="W24" s="150"/>
      <c r="X24"/>
      <c r="Y24" s="156"/>
      <c r="Z24" s="162"/>
      <c r="AA24" s="163"/>
      <c r="AB24" s="163"/>
      <c r="AC24" s="162"/>
      <c r="AD24" s="162"/>
      <c r="AE24" s="162"/>
      <c r="AF24" s="162"/>
    </row>
    <row r="25" customFormat="1" customHeight="1" spans="1:32">
      <c r="A25" s="137">
        <v>4710026</v>
      </c>
      <c r="B25" s="137" t="s">
        <v>84</v>
      </c>
      <c r="C25" s="137" t="str">
        <f>_xlfn.XLOOKUP(A25,'Customer Code'!B:B,'Customer Code'!A:A)</f>
        <v>Petco</v>
      </c>
      <c r="D25" s="137" t="str" cm="1">
        <f t="array" ref="D25">_xlfn.XLOOKUP(B25&amp;C25,'Customer Code'!C:C&amp;'Customer Code'!A:A,'Customer Code'!I:I)</f>
        <v>Normal</v>
      </c>
      <c r="E25" s="137" t="str">
        <f t="array" ref="E25">_xlfn.XLOOKUP(B25,'Product List'!B:B,'Product List'!I:I)</f>
        <v>MMO-COTTON NESTING BALLS</v>
      </c>
      <c r="F25" s="140"/>
      <c r="G25" s="140"/>
      <c r="H25" s="140"/>
      <c r="I25" s="140"/>
      <c r="J25" s="140"/>
      <c r="K25" s="140"/>
      <c r="L25" s="137">
        <f t="shared" si="0"/>
        <v>0</v>
      </c>
      <c r="M25" s="137">
        <f>_xlfn.XLOOKUP(A25,'Customer Code'!B:B,'Customer Code'!F:F,0)</f>
        <v>1200</v>
      </c>
      <c r="N25" s="137">
        <f t="shared" si="1"/>
        <v>0</v>
      </c>
      <c r="O25" s="137">
        <f t="shared" si="2"/>
        <v>0</v>
      </c>
      <c r="P25" s="137"/>
      <c r="Q25" s="137">
        <f t="shared" si="3"/>
        <v>0</v>
      </c>
      <c r="R25" s="137">
        <f t="shared" si="4"/>
        <v>0</v>
      </c>
      <c r="S25" s="137">
        <f ca="1" t="shared" si="5"/>
        <v>6.5</v>
      </c>
      <c r="T25" s="137">
        <f ca="1">S25*R25*IF(_xlfn.XLOOKUP(B25,'Product List'!B:B,'Product List'!F:F)="A",1,IF(_xlfn.XLOOKUP(B25,'Product List'!B:B,'Product List'!F:F)="B",0.5,0))</f>
        <v>0</v>
      </c>
      <c r="U25" s="137" t="s">
        <v>93</v>
      </c>
      <c r="V25" s="149"/>
      <c r="W25" s="150"/>
      <c r="Y25" s="153"/>
      <c r="Z25" s="80"/>
      <c r="AA25" s="80"/>
      <c r="AB25" s="80"/>
      <c r="AC25" s="80"/>
      <c r="AD25" s="80"/>
      <c r="AE25" s="80"/>
      <c r="AF25" s="80"/>
    </row>
    <row r="26" customFormat="1" customHeight="1" spans="1:32">
      <c r="A26" s="137">
        <v>4710034</v>
      </c>
      <c r="B26" s="137" t="s">
        <v>64</v>
      </c>
      <c r="C26" s="137" t="str">
        <f>_xlfn.XLOOKUP(A26,'Customer Code'!B:B,'Customer Code'!A:A)</f>
        <v>Petco</v>
      </c>
      <c r="D26" s="137" t="str" cm="1">
        <f t="array" ref="D26">_xlfn.XLOOKUP(B26&amp;C26,'Customer Code'!C:C&amp;'Customer Code'!A:A,'Customer Code'!I:I)</f>
        <v>Phase out</v>
      </c>
      <c r="E26" s="137" t="str">
        <f t="array" ref="E26">_xlfn.XLOOKUP(B26,'Product List'!B:B,'Product List'!I:I)</f>
        <v>D. MMO-COTTAGE VIEW CAGE</v>
      </c>
      <c r="F26" s="140"/>
      <c r="G26" s="140"/>
      <c r="H26" s="140"/>
      <c r="I26" s="140"/>
      <c r="J26" s="140"/>
      <c r="K26" s="140"/>
      <c r="L26" s="137">
        <f t="shared" si="0"/>
        <v>0</v>
      </c>
      <c r="M26" s="137">
        <f>_xlfn.XLOOKUP(A26,'Customer Code'!B:B,'Customer Code'!F:F,0)</f>
        <v>1200</v>
      </c>
      <c r="N26" s="137">
        <f t="shared" si="1"/>
        <v>0</v>
      </c>
      <c r="O26" s="137">
        <f t="shared" si="2"/>
        <v>0</v>
      </c>
      <c r="P26" s="137"/>
      <c r="Q26" s="137">
        <f t="shared" si="3"/>
        <v>0</v>
      </c>
      <c r="R26" s="137">
        <f t="shared" si="4"/>
        <v>0</v>
      </c>
      <c r="S26" s="137">
        <f ca="1" t="shared" si="5"/>
        <v>6.5</v>
      </c>
      <c r="T26" s="137">
        <f ca="1">S26*R26*IF(_xlfn.XLOOKUP(B26,'Product List'!B:B,'Product List'!F:F)="A",1,IF(_xlfn.XLOOKUP(B26,'Product List'!B:B,'Product List'!F:F)="B",0.5,0))</f>
        <v>0</v>
      </c>
      <c r="U26" s="137" t="s">
        <v>93</v>
      </c>
      <c r="V26" s="149"/>
      <c r="W26" s="150"/>
      <c r="Y26" s="153"/>
      <c r="Z26" s="80"/>
      <c r="AA26" s="80"/>
      <c r="AB26" s="80"/>
      <c r="AC26" s="80"/>
      <c r="AD26" s="80"/>
      <c r="AE26" s="80"/>
      <c r="AF26" s="80"/>
    </row>
    <row r="27" customFormat="1" customHeight="1" spans="1:32">
      <c r="A27" s="137">
        <v>4710042</v>
      </c>
      <c r="B27" s="137" t="s">
        <v>50</v>
      </c>
      <c r="C27" s="137" t="str">
        <f>_xlfn.XLOOKUP(A27,'Customer Code'!B:B,'Customer Code'!A:A)</f>
        <v>Petco</v>
      </c>
      <c r="D27" s="137" t="str" cm="1">
        <f t="array" ref="D27">_xlfn.XLOOKUP(B27&amp;C27,'Customer Code'!C:C&amp;'Customer Code'!A:A,'Customer Code'!I:I)</f>
        <v>Normal</v>
      </c>
      <c r="E27" s="137" t="str">
        <f t="array" ref="E27">_xlfn.XLOOKUP(B27,'Product List'!B:B,'Product List'!I:I)</f>
        <v>MINI/MOE TV VIEWING CAGE</v>
      </c>
      <c r="F27" s="140"/>
      <c r="G27" s="140"/>
      <c r="H27" s="140"/>
      <c r="I27" s="140"/>
      <c r="J27" s="140"/>
      <c r="K27" s="140"/>
      <c r="L27" s="137">
        <f t="shared" si="0"/>
        <v>0</v>
      </c>
      <c r="M27" s="137">
        <f>_xlfn.XLOOKUP(A27,'Customer Code'!B:B,'Customer Code'!F:F,0)</f>
        <v>1200</v>
      </c>
      <c r="N27" s="137">
        <f t="shared" si="1"/>
        <v>0</v>
      </c>
      <c r="O27" s="137">
        <f t="shared" si="2"/>
        <v>0</v>
      </c>
      <c r="P27" s="137"/>
      <c r="Q27" s="137">
        <f t="shared" si="3"/>
        <v>0</v>
      </c>
      <c r="R27" s="137">
        <f t="shared" si="4"/>
        <v>0</v>
      </c>
      <c r="S27" s="137">
        <f ca="1" t="shared" si="5"/>
        <v>6.5</v>
      </c>
      <c r="T27" s="137">
        <f ca="1">S27*R27*IF(_xlfn.XLOOKUP(B27,'Product List'!B:B,'Product List'!F:F)="A",1,IF(_xlfn.XLOOKUP(B27,'Product List'!B:B,'Product List'!F:F)="B",0.5,0))</f>
        <v>0</v>
      </c>
      <c r="U27" s="137" t="s">
        <v>93</v>
      </c>
      <c r="V27" s="149"/>
      <c r="W27" s="150"/>
      <c r="Y27" s="153"/>
      <c r="Z27" s="158"/>
      <c r="AA27" s="159"/>
      <c r="AB27" s="80"/>
      <c r="AC27" s="80"/>
      <c r="AD27" s="80"/>
      <c r="AE27" s="80"/>
      <c r="AF27" s="80"/>
    </row>
    <row r="28" customFormat="1" customHeight="1" spans="1:32">
      <c r="A28" s="137">
        <v>4710051</v>
      </c>
      <c r="B28" s="137" t="s">
        <v>67</v>
      </c>
      <c r="C28" s="137" t="str">
        <f>_xlfn.XLOOKUP(A28,'Customer Code'!B:B,'Customer Code'!A:A)</f>
        <v>Petco</v>
      </c>
      <c r="D28" s="137" t="str" cm="1">
        <f t="array" ref="D28">_xlfn.XLOOKUP(B28&amp;C28,'Customer Code'!C:C&amp;'Customer Code'!A:A,'Customer Code'!I:I)</f>
        <v>Normal</v>
      </c>
      <c r="E28" s="137" t="str">
        <f t="array" ref="E28">_xlfn.XLOOKUP(B28,'Product List'!B:B,'Product List'!I:I)</f>
        <v>MMO-BUBBLE WATER BOTTLE</v>
      </c>
      <c r="F28" s="140"/>
      <c r="G28" s="140"/>
      <c r="H28" s="140"/>
      <c r="I28" s="140"/>
      <c r="J28" s="140"/>
      <c r="K28" s="140"/>
      <c r="L28" s="137">
        <f t="shared" si="0"/>
        <v>0</v>
      </c>
      <c r="M28" s="137">
        <f>_xlfn.XLOOKUP(A28,'Customer Code'!B:B,'Customer Code'!F:F,0)</f>
        <v>1200</v>
      </c>
      <c r="N28" s="137">
        <f t="shared" si="1"/>
        <v>0</v>
      </c>
      <c r="O28" s="137">
        <f t="shared" si="2"/>
        <v>0</v>
      </c>
      <c r="P28" s="137"/>
      <c r="Q28" s="137">
        <f t="shared" si="3"/>
        <v>0</v>
      </c>
      <c r="R28" s="137">
        <f t="shared" si="4"/>
        <v>0</v>
      </c>
      <c r="S28" s="137">
        <f ca="1" t="shared" si="5"/>
        <v>6.5</v>
      </c>
      <c r="T28" s="137">
        <f ca="1">S28*R28*IF(_xlfn.XLOOKUP(B28,'Product List'!B:B,'Product List'!F:F)="A",1,IF(_xlfn.XLOOKUP(B28,'Product List'!B:B,'Product List'!F:F)="B",0.5,0))</f>
        <v>0</v>
      </c>
      <c r="U28" s="137" t="s">
        <v>93</v>
      </c>
      <c r="V28" s="149"/>
      <c r="W28" s="150"/>
      <c r="Y28" s="153"/>
      <c r="Z28" s="157"/>
      <c r="AA28" s="47"/>
    </row>
    <row r="29" customFormat="1" customHeight="1" spans="1:32">
      <c r="A29" s="137">
        <v>4782281</v>
      </c>
      <c r="B29" s="137" t="s">
        <v>35</v>
      </c>
      <c r="C29" s="137" t="str">
        <f>_xlfn.XLOOKUP(A29,'Customer Code'!B:B,'Customer Code'!A:A)</f>
        <v>Petco</v>
      </c>
      <c r="D29" s="137" t="str" cm="1">
        <f t="array" ref="D29">_xlfn.XLOOKUP(B29&amp;C29,'Customer Code'!C:C&amp;'Customer Code'!A:A,'Customer Code'!I:I)</f>
        <v>Normal</v>
      </c>
      <c r="E29" s="137" t="str">
        <f t="array" ref="E29">_xlfn.XLOOKUP(B29,'Product List'!B:B,'Product List'!I:I)</f>
        <v>MMO-SHELL PEARL HAMSTER CHEW</v>
      </c>
      <c r="F29" s="140"/>
      <c r="G29" s="140"/>
      <c r="H29" s="140"/>
      <c r="I29" s="140"/>
      <c r="J29" s="140"/>
      <c r="K29" s="140"/>
      <c r="L29" s="137">
        <f t="shared" si="0"/>
        <v>0</v>
      </c>
      <c r="M29" s="137">
        <f>_xlfn.XLOOKUP(A29,'Customer Code'!B:B,'Customer Code'!F:F,0)</f>
        <v>1200</v>
      </c>
      <c r="N29" s="137">
        <f t="shared" si="1"/>
        <v>0</v>
      </c>
      <c r="O29" s="137">
        <f t="shared" si="2"/>
        <v>0</v>
      </c>
      <c r="P29" s="137"/>
      <c r="Q29" s="137">
        <f t="shared" si="3"/>
        <v>0</v>
      </c>
      <c r="R29" s="137">
        <f t="shared" si="4"/>
        <v>0</v>
      </c>
      <c r="S29" s="137">
        <f ca="1" t="shared" si="5"/>
        <v>6.5</v>
      </c>
      <c r="T29" s="137">
        <f ca="1">S29*R29*IF(_xlfn.XLOOKUP(B29,'Product List'!B:B,'Product List'!F:F)="A",1,IF(_xlfn.XLOOKUP(B29,'Product List'!B:B,'Product List'!F:F)="B",0.5,0))</f>
        <v>0</v>
      </c>
      <c r="U29" s="137" t="s">
        <v>93</v>
      </c>
      <c r="V29" s="149"/>
      <c r="W29" s="150"/>
      <c r="Y29" s="153"/>
      <c r="Z29" s="157"/>
      <c r="AA29" s="47"/>
    </row>
    <row r="30" customFormat="1" customHeight="1" spans="1:32">
      <c r="A30" s="137">
        <v>4782290</v>
      </c>
      <c r="B30" s="137" t="s">
        <v>33</v>
      </c>
      <c r="C30" s="137" t="str">
        <f>_xlfn.XLOOKUP(A30,'Customer Code'!B:B,'Customer Code'!A:A)</f>
        <v>Petco</v>
      </c>
      <c r="D30" s="137" t="str" cm="1">
        <f t="array" ref="D30">_xlfn.XLOOKUP(B30&amp;C30,'Customer Code'!C:C&amp;'Customer Code'!A:A,'Customer Code'!I:I)</f>
        <v>Normal</v>
      </c>
      <c r="E30" s="137" t="str">
        <f t="array" ref="E30">_xlfn.XLOOKUP(B30,'Product List'!B:B,'Product List'!I:I)</f>
        <v>MMO-GREEN APPLE CHEW</v>
      </c>
      <c r="F30" s="140"/>
      <c r="G30" s="140"/>
      <c r="H30" s="140"/>
      <c r="I30" s="140"/>
      <c r="J30" s="140"/>
      <c r="K30" s="140"/>
      <c r="L30" s="137">
        <f t="shared" si="0"/>
        <v>0</v>
      </c>
      <c r="M30" s="137">
        <f>_xlfn.XLOOKUP(A30,'Customer Code'!B:B,'Customer Code'!F:F,0)</f>
        <v>1200</v>
      </c>
      <c r="N30" s="137">
        <f t="shared" si="1"/>
        <v>0</v>
      </c>
      <c r="O30" s="137">
        <f t="shared" si="2"/>
        <v>0</v>
      </c>
      <c r="P30" s="137"/>
      <c r="Q30" s="137">
        <f t="shared" si="3"/>
        <v>0</v>
      </c>
      <c r="R30" s="137">
        <f t="shared" si="4"/>
        <v>0</v>
      </c>
      <c r="S30" s="137">
        <f ca="1" t="shared" si="5"/>
        <v>6.5</v>
      </c>
      <c r="T30" s="137">
        <f ca="1">S30*R30*IF(_xlfn.XLOOKUP(B30,'Product List'!B:B,'Product List'!F:F)="A",1,IF(_xlfn.XLOOKUP(B30,'Product List'!B:B,'Product List'!F:F)="B",0.5,0))</f>
        <v>0</v>
      </c>
      <c r="U30" s="137" t="s">
        <v>93</v>
      </c>
      <c r="V30" s="149"/>
      <c r="W30" s="150"/>
      <c r="Y30" s="153"/>
      <c r="Z30" s="157"/>
      <c r="AA30" s="47"/>
    </row>
    <row r="31" customFormat="1" customHeight="1" spans="1:32">
      <c r="A31" s="137">
        <v>4782302</v>
      </c>
      <c r="B31" s="137" t="s">
        <v>34</v>
      </c>
      <c r="C31" s="137" t="str">
        <f>_xlfn.XLOOKUP(A31,'Customer Code'!B:B,'Customer Code'!A:A)</f>
        <v>Petco</v>
      </c>
      <c r="D31" s="137" t="str" cm="1">
        <f t="array" ref="D31">_xlfn.XLOOKUP(B31&amp;C31,'Customer Code'!C:C&amp;'Customer Code'!A:A,'Customer Code'!I:I)</f>
        <v>Normal</v>
      </c>
      <c r="E31" s="137" t="str">
        <f t="array" ref="E31">_xlfn.XLOOKUP(B31,'Product List'!B:B,'Product List'!I:I)</f>
        <v>MMO-CAMP LUNCH BOX CHEW</v>
      </c>
      <c r="F31" s="140"/>
      <c r="G31" s="140"/>
      <c r="H31" s="140"/>
      <c r="I31" s="140"/>
      <c r="J31" s="140"/>
      <c r="K31" s="140"/>
      <c r="L31" s="137">
        <f t="shared" si="0"/>
        <v>0</v>
      </c>
      <c r="M31" s="137">
        <f>_xlfn.XLOOKUP(A31,'Customer Code'!B:B,'Customer Code'!F:F,0)</f>
        <v>1200</v>
      </c>
      <c r="N31" s="137">
        <f t="shared" si="1"/>
        <v>0</v>
      </c>
      <c r="O31" s="137">
        <f t="shared" si="2"/>
        <v>0</v>
      </c>
      <c r="P31" s="137"/>
      <c r="Q31" s="137">
        <f t="shared" si="3"/>
        <v>0</v>
      </c>
      <c r="R31" s="137">
        <f t="shared" si="4"/>
        <v>0</v>
      </c>
      <c r="S31" s="137">
        <f ca="1" t="shared" si="5"/>
        <v>6.5</v>
      </c>
      <c r="T31" s="137">
        <f ca="1">S31*R31*IF(_xlfn.XLOOKUP(B31,'Product List'!B:B,'Product List'!F:F)="A",1,IF(_xlfn.XLOOKUP(B31,'Product List'!B:B,'Product List'!F:F)="B",0.5,0))</f>
        <v>0</v>
      </c>
      <c r="U31" s="137" t="s">
        <v>93</v>
      </c>
      <c r="V31" s="149"/>
      <c r="W31" s="150"/>
      <c r="Y31" s="114"/>
      <c r="Z31" s="157"/>
      <c r="AA31" s="47"/>
    </row>
    <row r="32" customHeight="1" spans="1:32">
      <c r="A32" s="137">
        <v>5383937</v>
      </c>
      <c r="B32" s="137" t="str">
        <f>_xlfn.XLOOKUP(A32,'Customer Code'!B:B,'Customer Code'!C:C)</f>
        <v>HL-4</v>
      </c>
      <c r="C32" s="137" t="str">
        <f>_xlfn.XLOOKUP(A32,'Customer Code'!B:B,'Customer Code'!A:A)</f>
        <v>PetSmart</v>
      </c>
      <c r="D32" s="137" t="str" cm="1">
        <f t="array" ref="D32">_xlfn.XLOOKUP(B32&amp;C32,'Customer Code'!C:C&amp;'Customer Code'!A:A,'Customer Code'!I:I)</f>
        <v>Normal</v>
      </c>
      <c r="E32" s="137" t="str">
        <f t="array" ref="E32">_xlfn.XLOOKUP(B32,'Product List'!B:B,'Product List'!I:I)</f>
        <v>MINI/MOE TV VIEWING CAGE</v>
      </c>
      <c r="F32" s="140">
        <v>115</v>
      </c>
      <c r="G32" s="140">
        <v>128</v>
      </c>
      <c r="H32" s="140">
        <v>138</v>
      </c>
      <c r="I32" s="140"/>
      <c r="J32" s="140">
        <v>134</v>
      </c>
      <c r="K32" s="140"/>
      <c r="L32" s="137">
        <f t="shared" si="0"/>
        <v>515</v>
      </c>
      <c r="M32" s="137">
        <f>_xlfn.XLOOKUP(A32,'Customer Code'!B:B,'Customer Code'!F:F,0)</f>
        <v>1506</v>
      </c>
      <c r="N32" s="137">
        <f t="shared" si="1"/>
        <v>0.341965471447543</v>
      </c>
      <c r="O32" s="137">
        <f t="shared" si="2"/>
        <v>0.0854913678618858</v>
      </c>
      <c r="P32" s="137"/>
      <c r="Q32" s="137">
        <f t="shared" si="3"/>
        <v>128.75</v>
      </c>
      <c r="R32" s="137">
        <f t="shared" si="4"/>
        <v>128.75</v>
      </c>
      <c r="S32" s="137">
        <f ca="1" t="shared" si="5"/>
        <v>6.5</v>
      </c>
      <c r="T32" s="137">
        <f ca="1">S32*R32*IF(_xlfn.XLOOKUP(B32,'Product List'!B:B,'Product List'!F:F)="A",1,IF(_xlfn.XLOOKUP(B32,'Product List'!B:B,'Product List'!F:F)="B",0.5,0))</f>
        <v>836.875</v>
      </c>
      <c r="U32" s="137" t="s">
        <v>92</v>
      </c>
      <c r="V32" s="164">
        <f>VLOOKUP(B32,'Product List'!B:C,2,0)</f>
        <v>850030338761</v>
      </c>
      <c r="W32" s="150"/>
      <c r="Y32" s="114"/>
      <c r="Z32" s="157"/>
      <c r="AA32" s="47"/>
    </row>
    <row r="33" customHeight="1" spans="1:27">
      <c r="A33" s="137">
        <v>5383938</v>
      </c>
      <c r="B33" s="137" t="str">
        <f>_xlfn.XLOOKUP(A33,'Customer Code'!B:B,'Customer Code'!C:C)</f>
        <v>R-12</v>
      </c>
      <c r="C33" s="137" t="str">
        <f>_xlfn.XLOOKUP(A33,'Customer Code'!B:B,'Customer Code'!A:A)</f>
        <v>PetSmart</v>
      </c>
      <c r="D33" s="137" t="str" cm="1">
        <f t="array" ref="D33">_xlfn.XLOOKUP(B33&amp;C33,'Customer Code'!C:C&amp;'Customer Code'!A:A,'Customer Code'!I:I)</f>
        <v>Normal</v>
      </c>
      <c r="E33" s="137" t="str">
        <f t="array" ref="E33">_xlfn.XLOOKUP(B33,'Product List'!B:B,'Product List'!I:I)</f>
        <v>MINI &amp; MOE COTTAGE HIDE</v>
      </c>
      <c r="F33" s="140">
        <v>86</v>
      </c>
      <c r="G33" s="140">
        <v>90</v>
      </c>
      <c r="H33" s="140">
        <v>96</v>
      </c>
      <c r="I33" s="140"/>
      <c r="J33" s="140">
        <v>72</v>
      </c>
      <c r="K33" s="140"/>
      <c r="L33" s="137">
        <f t="shared" si="0"/>
        <v>344</v>
      </c>
      <c r="M33" s="137">
        <f>_xlfn.XLOOKUP(A33,'Customer Code'!B:B,'Customer Code'!F:F,0)</f>
        <v>1506</v>
      </c>
      <c r="N33" s="137">
        <f t="shared" si="1"/>
        <v>0.228419654714475</v>
      </c>
      <c r="O33" s="137">
        <f t="shared" si="2"/>
        <v>0.0571049136786189</v>
      </c>
      <c r="P33" s="137"/>
      <c r="Q33" s="137">
        <f t="shared" si="3"/>
        <v>86</v>
      </c>
      <c r="R33" s="137">
        <f t="shared" si="4"/>
        <v>86</v>
      </c>
      <c r="S33" s="137">
        <f ca="1" t="shared" si="5"/>
        <v>6.5</v>
      </c>
      <c r="T33" s="137">
        <f ca="1">S33*R33*IF(_xlfn.XLOOKUP(B33,'Product List'!B:B,'Product List'!F:F)="A",1,IF(_xlfn.XLOOKUP(B33,'Product List'!B:B,'Product List'!F:F)="B",0.5,0))</f>
        <v>559</v>
      </c>
      <c r="U33" s="137" t="s">
        <v>92</v>
      </c>
      <c r="V33" s="164">
        <f>VLOOKUP(B33,'Product List'!B:C,2,0)</f>
        <v>850030338211</v>
      </c>
      <c r="W33" s="150"/>
      <c r="Y33" s="114"/>
      <c r="Z33" s="157"/>
      <c r="AA33" s="47"/>
    </row>
    <row r="34" customHeight="1" spans="1:27">
      <c r="A34" s="137">
        <v>5383939</v>
      </c>
      <c r="B34" s="137" t="str">
        <f>_xlfn.XLOOKUP(A34,'Customer Code'!B:B,'Customer Code'!C:C)</f>
        <v>CPWJ18400WHSET-A</v>
      </c>
      <c r="C34" s="137" t="str">
        <f>_xlfn.XLOOKUP(A34,'Customer Code'!B:B,'Customer Code'!A:A)</f>
        <v>PetSmart</v>
      </c>
      <c r="D34" s="137" t="str" cm="1">
        <f t="array" ref="D34">_xlfn.XLOOKUP(B34&amp;C34,'Customer Code'!C:C&amp;'Customer Code'!A:A,'Customer Code'!I:I)</f>
        <v>Normal</v>
      </c>
      <c r="E34" s="137" t="str">
        <f t="array" ref="E34">_xlfn.XLOOKUP(B34,'Product List'!B:B,'Product List'!I:I)</f>
        <v>MINI &amp; MOE TREE DECOR CHEW</v>
      </c>
      <c r="F34" s="140">
        <v>233</v>
      </c>
      <c r="G34" s="140">
        <v>225</v>
      </c>
      <c r="H34" s="140">
        <v>183</v>
      </c>
      <c r="I34" s="140"/>
      <c r="J34" s="140">
        <v>163</v>
      </c>
      <c r="K34" s="140"/>
      <c r="L34" s="137">
        <f t="shared" si="0"/>
        <v>804</v>
      </c>
      <c r="M34" s="137">
        <f>_xlfn.XLOOKUP(A34,'Customer Code'!B:B,'Customer Code'!F:F,0)</f>
        <v>1506</v>
      </c>
      <c r="N34" s="137">
        <f t="shared" si="1"/>
        <v>0.533864541832669</v>
      </c>
      <c r="O34" s="137">
        <f t="shared" si="2"/>
        <v>0.133466135458167</v>
      </c>
      <c r="P34" s="137"/>
      <c r="Q34" s="137">
        <f t="shared" si="3"/>
        <v>201</v>
      </c>
      <c r="R34" s="137">
        <f t="shared" si="4"/>
        <v>201</v>
      </c>
      <c r="S34" s="137">
        <f ca="1" t="shared" si="5"/>
        <v>6.5</v>
      </c>
      <c r="T34" s="137">
        <f ca="1">S34*R34*IF(_xlfn.XLOOKUP(B34,'Product List'!B:B,'Product List'!F:F)="A",1,IF(_xlfn.XLOOKUP(B34,'Product List'!B:B,'Product List'!F:F)="B",0.5,0))</f>
        <v>1306.5</v>
      </c>
      <c r="U34" s="137" t="s">
        <v>92</v>
      </c>
      <c r="V34" s="164">
        <f>VLOOKUP(B34,'Product List'!B:C,2,0)</f>
        <v>698746777333</v>
      </c>
      <c r="W34" s="150"/>
      <c r="Y34" s="114"/>
      <c r="Z34" s="157"/>
      <c r="AA34" s="47"/>
    </row>
    <row r="35" customHeight="1" spans="1:27">
      <c r="A35" s="137">
        <v>5383940</v>
      </c>
      <c r="B35" s="137" t="str">
        <f>_xlfn.XLOOKUP(A35,'Customer Code'!B:B,'Customer Code'!C:C)</f>
        <v>CPWJ162000PK</v>
      </c>
      <c r="C35" s="137" t="str">
        <f>_xlfn.XLOOKUP(A35,'Customer Code'!B:B,'Customer Code'!A:A)</f>
        <v>PetSmart</v>
      </c>
      <c r="D35" s="137" t="str" cm="1">
        <f t="array" ref="D35">_xlfn.XLOOKUP(B35&amp;C35,'Customer Code'!C:C&amp;'Customer Code'!A:A,'Customer Code'!I:I)</f>
        <v>Normal</v>
      </c>
      <c r="E35" s="137" t="str">
        <f t="array" ref="E35">_xlfn.XLOOKUP(B35,'Product List'!B:B,'Product List'!I:I)</f>
        <v>MINI &amp; MOE GARDEN DECOR CHEW</v>
      </c>
      <c r="F35" s="140">
        <v>317</v>
      </c>
      <c r="G35" s="140">
        <v>282</v>
      </c>
      <c r="H35" s="140">
        <v>243</v>
      </c>
      <c r="I35" s="140"/>
      <c r="J35" s="140">
        <v>213</v>
      </c>
      <c r="K35" s="140"/>
      <c r="L35" s="137">
        <f t="shared" si="0"/>
        <v>1055</v>
      </c>
      <c r="M35" s="137">
        <f>_xlfn.XLOOKUP(A35,'Customer Code'!B:B,'Customer Code'!F:F,0)</f>
        <v>1506</v>
      </c>
      <c r="N35" s="137">
        <f t="shared" si="1"/>
        <v>0.700531208499336</v>
      </c>
      <c r="O35" s="137">
        <f t="shared" si="2"/>
        <v>0.175132802124834</v>
      </c>
      <c r="P35" s="137"/>
      <c r="Q35" s="137">
        <f t="shared" si="3"/>
        <v>263.75</v>
      </c>
      <c r="R35" s="137">
        <f t="shared" si="4"/>
        <v>263.75</v>
      </c>
      <c r="S35" s="137">
        <f ca="1" t="shared" si="5"/>
        <v>6.5</v>
      </c>
      <c r="T35" s="137">
        <f ca="1">S35*R35*IF(_xlfn.XLOOKUP(B35,'Product List'!B:B,'Product List'!F:F)="A",1,IF(_xlfn.XLOOKUP(B35,'Product List'!B:B,'Product List'!F:F)="B",0.5,0))</f>
        <v>1714.375</v>
      </c>
      <c r="U35" s="137" t="s">
        <v>92</v>
      </c>
      <c r="V35" s="164">
        <f>VLOOKUP(B35,'Product List'!B:C,2,0)</f>
        <v>698746777326</v>
      </c>
      <c r="W35" s="150"/>
      <c r="Y35" s="114"/>
      <c r="Z35" s="157"/>
      <c r="AA35" s="47"/>
    </row>
    <row r="36" customHeight="1" spans="1:27">
      <c r="A36" s="137">
        <v>5383941</v>
      </c>
      <c r="B36" s="137" t="str">
        <f>_xlfn.XLOOKUP(A36,'Customer Code'!B:B,'Customer Code'!C:C)</f>
        <v>WJ-13</v>
      </c>
      <c r="C36" s="137" t="str">
        <f>_xlfn.XLOOKUP(A36,'Customer Code'!B:B,'Customer Code'!A:A)</f>
        <v>PetSmart</v>
      </c>
      <c r="D36" s="137" t="str" cm="1">
        <f t="array" ref="D36">_xlfn.XLOOKUP(B36&amp;C36,'Customer Code'!C:C&amp;'Customer Code'!A:A,'Customer Code'!I:I)</f>
        <v>Normal</v>
      </c>
      <c r="E36" s="137" t="str">
        <f t="array" ref="E36">_xlfn.XLOOKUP(B36,'Product List'!B:B,'Product List'!I:I)</f>
        <v>MINI/MOE CAMPING TENT HIDE</v>
      </c>
      <c r="F36" s="140">
        <v>204</v>
      </c>
      <c r="G36" s="140">
        <v>203</v>
      </c>
      <c r="H36" s="140">
        <v>192</v>
      </c>
      <c r="I36" s="140"/>
      <c r="J36" s="140">
        <v>157</v>
      </c>
      <c r="K36" s="140"/>
      <c r="L36" s="137">
        <f t="shared" si="0"/>
        <v>756</v>
      </c>
      <c r="M36" s="137">
        <f>_xlfn.XLOOKUP(A36,'Customer Code'!B:B,'Customer Code'!F:F,0)</f>
        <v>1506</v>
      </c>
      <c r="N36" s="137">
        <f t="shared" si="1"/>
        <v>0.50199203187251</v>
      </c>
      <c r="O36" s="137">
        <f t="shared" si="2"/>
        <v>0.125498007968127</v>
      </c>
      <c r="P36" s="137"/>
      <c r="Q36" s="137">
        <f t="shared" si="3"/>
        <v>189</v>
      </c>
      <c r="R36" s="137">
        <f t="shared" si="4"/>
        <v>189</v>
      </c>
      <c r="S36" s="137">
        <f ca="1" t="shared" si="5"/>
        <v>6.5</v>
      </c>
      <c r="T36" s="137">
        <f ca="1">S36*R36*IF(_xlfn.XLOOKUP(B36,'Product List'!B:B,'Product List'!F:F)="A",1,IF(_xlfn.XLOOKUP(B36,'Product List'!B:B,'Product List'!F:F)="B",0.5,0))</f>
        <v>1228.5</v>
      </c>
      <c r="U36" s="137" t="s">
        <v>92</v>
      </c>
      <c r="V36" s="164">
        <f>VLOOKUP(B36,'Product List'!B:C,2,0)</f>
        <v>850030338082</v>
      </c>
      <c r="W36" s="150"/>
      <c r="Y36" s="114"/>
      <c r="Z36" s="157"/>
      <c r="AA36" s="47"/>
    </row>
    <row r="37" customHeight="1" spans="1:27">
      <c r="A37" s="137">
        <v>5383942</v>
      </c>
      <c r="B37" s="137" t="str">
        <f>_xlfn.XLOOKUP(A37,'Customer Code'!B:B,'Customer Code'!C:C)</f>
        <v>CPWJ0018</v>
      </c>
      <c r="C37" s="137" t="str">
        <f>_xlfn.XLOOKUP(A37,'Customer Code'!B:B,'Customer Code'!A:A)</f>
        <v>PetSmart</v>
      </c>
      <c r="D37" s="137" t="str" cm="1">
        <f t="array" ref="D37">_xlfn.XLOOKUP(B37&amp;C37,'Customer Code'!C:C&amp;'Customer Code'!A:A,'Customer Code'!I:I)</f>
        <v>Normal</v>
      </c>
      <c r="E37" s="137" t="str">
        <f t="array" ref="E37">_xlfn.XLOOKUP(B37,'Product List'!B:B,'Product List'!I:I)</f>
        <v>MINI &amp; MOE WOODEN BRIDGE</v>
      </c>
      <c r="F37" s="140">
        <v>213</v>
      </c>
      <c r="G37" s="140">
        <v>178</v>
      </c>
      <c r="H37" s="140">
        <v>197</v>
      </c>
      <c r="I37" s="140"/>
      <c r="J37" s="140">
        <v>184</v>
      </c>
      <c r="K37" s="140"/>
      <c r="L37" s="137">
        <f t="shared" si="0"/>
        <v>772</v>
      </c>
      <c r="M37" s="137">
        <f>_xlfn.XLOOKUP(A37,'Customer Code'!B:B,'Customer Code'!F:F,0)</f>
        <v>1506</v>
      </c>
      <c r="N37" s="137">
        <f t="shared" si="1"/>
        <v>0.51261620185923</v>
      </c>
      <c r="O37" s="137">
        <f t="shared" si="2"/>
        <v>0.128154050464807</v>
      </c>
      <c r="P37" s="137"/>
      <c r="Q37" s="137">
        <f t="shared" si="3"/>
        <v>193</v>
      </c>
      <c r="R37" s="137">
        <f t="shared" si="4"/>
        <v>193</v>
      </c>
      <c r="S37" s="137">
        <f ca="1" t="shared" si="5"/>
        <v>6.5</v>
      </c>
      <c r="T37" s="137">
        <f ca="1">S37*R37*IF(_xlfn.XLOOKUP(B37,'Product List'!B:B,'Product List'!F:F)="A",1,IF(_xlfn.XLOOKUP(B37,'Product List'!B:B,'Product List'!F:F)="B",0.5,0))</f>
        <v>1254.5</v>
      </c>
      <c r="U37" s="137" t="s">
        <v>92</v>
      </c>
      <c r="V37" s="164">
        <f>VLOOKUP(B37,'Product List'!B:C,2,0)</f>
        <v>698746776756</v>
      </c>
      <c r="W37" s="150"/>
      <c r="Y37" s="114"/>
      <c r="Z37" s="157"/>
      <c r="AA37" s="47"/>
    </row>
    <row r="38" customHeight="1" spans="1:27">
      <c r="A38" s="137">
        <v>5383943</v>
      </c>
      <c r="B38" s="137" t="str">
        <f>_xlfn.XLOOKUP(A38,'Customer Code'!B:B,'Customer Code'!C:C)</f>
        <v>CPSH60007BK</v>
      </c>
      <c r="C38" s="137" t="str">
        <f>_xlfn.XLOOKUP(A38,'Customer Code'!B:B,'Customer Code'!A:A)</f>
        <v>PetSmart</v>
      </c>
      <c r="D38" s="137" t="str" cm="1">
        <f t="array" ref="D38">_xlfn.XLOOKUP(B38&amp;C38,'Customer Code'!C:C&amp;'Customer Code'!A:A,'Customer Code'!I:I)</f>
        <v>Normal</v>
      </c>
      <c r="E38" s="137" t="str">
        <f t="array" ref="E38">_xlfn.XLOOKUP(B38,'Product List'!B:B,'Product List'!I:I)</f>
        <v>MINI &amp; MOE MAG CONECT WTR BTL 4 OZ</v>
      </c>
      <c r="F38" s="140">
        <v>301</v>
      </c>
      <c r="G38" s="140">
        <v>326</v>
      </c>
      <c r="H38" s="140">
        <v>314</v>
      </c>
      <c r="I38" s="140"/>
      <c r="J38" s="140">
        <v>319</v>
      </c>
      <c r="K38" s="140"/>
      <c r="L38" s="137">
        <f t="shared" si="0"/>
        <v>1260</v>
      </c>
      <c r="M38" s="137">
        <f>_xlfn.XLOOKUP(A38,'Customer Code'!B:B,'Customer Code'!F:F,0)</f>
        <v>1506</v>
      </c>
      <c r="N38" s="137">
        <f t="shared" si="1"/>
        <v>0.836653386454183</v>
      </c>
      <c r="O38" s="137">
        <f t="shared" si="2"/>
        <v>0.209163346613546</v>
      </c>
      <c r="P38" s="137"/>
      <c r="Q38" s="137">
        <f t="shared" si="3"/>
        <v>315</v>
      </c>
      <c r="R38" s="137">
        <f t="shared" si="4"/>
        <v>315</v>
      </c>
      <c r="S38" s="137">
        <f ca="1" t="shared" si="5"/>
        <v>6.5</v>
      </c>
      <c r="T38" s="137">
        <f ca="1">S38*R38*IF(_xlfn.XLOOKUP(B38,'Product List'!B:B,'Product List'!F:F)="A",1,IF(_xlfn.XLOOKUP(B38,'Product List'!B:B,'Product List'!F:F)="B",0.5,0))</f>
        <v>2047.5</v>
      </c>
      <c r="U38" s="137" t="s">
        <v>92</v>
      </c>
      <c r="V38" s="164">
        <f>VLOOKUP(B38,'Product List'!B:C,2,0)</f>
        <v>698746777319</v>
      </c>
      <c r="W38" s="150"/>
      <c r="Y38" s="114"/>
      <c r="Z38" s="157"/>
      <c r="AA38" s="47"/>
    </row>
    <row r="39" customHeight="1" spans="1:27">
      <c r="A39" s="137">
        <v>50126561</v>
      </c>
      <c r="B39" s="137" t="str">
        <f>_xlfn.XLOOKUP(A39,'Customer Code'!B:B,'Customer Code'!C:C)</f>
        <v>HL-4</v>
      </c>
      <c r="C39" s="137" t="str">
        <f>_xlfn.XLOOKUP(A39,'Customer Code'!B:B,'Customer Code'!A:A)</f>
        <v>Pet Supplies Plus</v>
      </c>
      <c r="D39" s="137" t="str" cm="1">
        <f t="array" ref="D39">_xlfn.XLOOKUP(B39&amp;C39,'Customer Code'!C:C&amp;'Customer Code'!A:A,'Customer Code'!I:I)</f>
        <v>Normal</v>
      </c>
      <c r="E39" s="137" t="str">
        <f t="array" ref="E39">_xlfn.XLOOKUP(B39,'Product List'!B:B,'Product List'!I:I)</f>
        <v>MINI/MOE TV VIEWING CAGE</v>
      </c>
      <c r="F39" s="140">
        <v>15</v>
      </c>
      <c r="G39" s="165">
        <v>17</v>
      </c>
      <c r="H39" s="165">
        <v>20</v>
      </c>
      <c r="I39" s="165">
        <v>11</v>
      </c>
      <c r="J39" s="165">
        <v>13</v>
      </c>
      <c r="K39" s="165">
        <v>10</v>
      </c>
      <c r="L39" s="137">
        <f t="shared" si="0"/>
        <v>86</v>
      </c>
      <c r="M39" s="137">
        <v>621</v>
      </c>
      <c r="N39" s="137">
        <f t="shared" si="1"/>
        <v>0.138486312399356</v>
      </c>
      <c r="O39" s="137">
        <f t="shared" si="2"/>
        <v>0.0230810520665593</v>
      </c>
      <c r="P39" s="137"/>
      <c r="Q39" s="137">
        <f t="shared" si="3"/>
        <v>14.3333333333333</v>
      </c>
      <c r="R39" s="137">
        <f t="shared" si="4"/>
        <v>14.3333333333333</v>
      </c>
      <c r="S39" s="137">
        <f ca="1" t="shared" si="5"/>
        <v>10.5</v>
      </c>
      <c r="T39" s="137">
        <f ca="1">S39*R39*IF(_xlfn.XLOOKUP(B39,'Product List'!B:B,'Product List'!F:F)="A",1,IF(_xlfn.XLOOKUP(B39,'Product List'!B:B,'Product List'!F:F)="B",0.5,0))</f>
        <v>150.5</v>
      </c>
      <c r="U39" s="137" t="s">
        <v>93</v>
      </c>
      <c r="V39" s="164">
        <f>VLOOKUP(B39,'Product List'!B:C,2,0)</f>
        <v>850030338761</v>
      </c>
      <c r="W39" s="150"/>
      <c r="Y39" s="114"/>
      <c r="Z39" s="166"/>
      <c r="AA39" s="166"/>
    </row>
    <row r="40" customHeight="1" spans="1:27">
      <c r="A40" s="137">
        <v>50126562</v>
      </c>
      <c r="B40" s="137" t="str">
        <f>_xlfn.XLOOKUP(A40,'Customer Code'!B:B,'Customer Code'!C:C)</f>
        <v>LT-7-PK</v>
      </c>
      <c r="C40" s="137" t="str">
        <f>_xlfn.XLOOKUP(A40,'Customer Code'!B:B,'Customer Code'!A:A)</f>
        <v>Pet Supplies Plus</v>
      </c>
      <c r="D40" s="137" t="str" cm="1">
        <f t="array" ref="D40">_xlfn.XLOOKUP(B40&amp;C40,'Customer Code'!C:C&amp;'Customer Code'!A:A,'Customer Code'!I:I)</f>
        <v>Normal</v>
      </c>
      <c r="E40" s="137" t="str">
        <f t="array" ref="E40">_xlfn.XLOOKUP(B40,'Product List'!B:B,'Product List'!I:I)</f>
        <v>MINI/MOE TULIP WATER BOTTLE</v>
      </c>
      <c r="F40" s="140">
        <v>36</v>
      </c>
      <c r="G40" s="165">
        <v>59</v>
      </c>
      <c r="H40" s="165">
        <v>72</v>
      </c>
      <c r="I40" s="165">
        <v>57</v>
      </c>
      <c r="J40" s="165">
        <v>59</v>
      </c>
      <c r="K40" s="165">
        <v>39</v>
      </c>
      <c r="L40" s="137">
        <f t="shared" si="0"/>
        <v>322</v>
      </c>
      <c r="M40" s="137">
        <v>586</v>
      </c>
      <c r="N40" s="137">
        <f t="shared" si="1"/>
        <v>0.549488054607508</v>
      </c>
      <c r="O40" s="137">
        <f t="shared" si="2"/>
        <v>0.0915813424345848</v>
      </c>
      <c r="P40" s="137"/>
      <c r="Q40" s="137">
        <f t="shared" si="3"/>
        <v>53.6666666666667</v>
      </c>
      <c r="R40" s="137">
        <f t="shared" si="4"/>
        <v>53.6666666666667</v>
      </c>
      <c r="S40" s="137">
        <f ca="1" t="shared" si="5"/>
        <v>10.5</v>
      </c>
      <c r="T40" s="137">
        <f ca="1">S40*R40*IF(_xlfn.XLOOKUP(B40,'Product List'!B:B,'Product List'!F:F)="A",1,IF(_xlfn.XLOOKUP(B40,'Product List'!B:B,'Product List'!F:F)="B",0.5,0))</f>
        <v>0</v>
      </c>
      <c r="U40" s="137" t="s">
        <v>93</v>
      </c>
      <c r="V40" s="164">
        <f>VLOOKUP(B40,'Product List'!B:C,2,0)</f>
        <v>850062627567</v>
      </c>
      <c r="W40" s="150"/>
      <c r="Y40" s="114"/>
      <c r="Z40" s="157"/>
      <c r="AA40" s="47"/>
    </row>
    <row r="41" customHeight="1" spans="1:27">
      <c r="A41" s="137">
        <v>50126563</v>
      </c>
      <c r="B41" s="137" t="str">
        <f>_xlfn.XLOOKUP(A41,'Customer Code'!B:B,'Customer Code'!C:C)</f>
        <v>R-8</v>
      </c>
      <c r="C41" s="137" t="str">
        <f>_xlfn.XLOOKUP(A41,'Customer Code'!B:B,'Customer Code'!A:A)</f>
        <v>Pet Supplies Plus</v>
      </c>
      <c r="D41" s="137" t="str" cm="1">
        <f t="array" ref="D41">_xlfn.XLOOKUP(B41&amp;C41,'Customer Code'!C:C&amp;'Customer Code'!A:A,'Customer Code'!I:I)</f>
        <v>Normal</v>
      </c>
      <c r="E41" s="137" t="str">
        <f t="array" ref="E41">_xlfn.XLOOKUP(B41,'Product List'!B:B,'Product List'!I:I)</f>
        <v>MINI/MOE BENDABLE BIRCHWOOD FENCE</v>
      </c>
      <c r="F41" s="140">
        <v>16</v>
      </c>
      <c r="G41" s="165">
        <v>25</v>
      </c>
      <c r="H41" s="165">
        <v>14</v>
      </c>
      <c r="I41" s="165">
        <v>18</v>
      </c>
      <c r="J41" s="165">
        <v>12</v>
      </c>
      <c r="K41" s="165">
        <v>11</v>
      </c>
      <c r="L41" s="137">
        <f t="shared" si="0"/>
        <v>96</v>
      </c>
      <c r="M41" s="137">
        <v>591</v>
      </c>
      <c r="N41" s="137">
        <f t="shared" si="1"/>
        <v>0.16243654822335</v>
      </c>
      <c r="O41" s="137">
        <f t="shared" si="2"/>
        <v>0.027072758037225</v>
      </c>
      <c r="P41" s="137"/>
      <c r="Q41" s="137">
        <f t="shared" si="3"/>
        <v>16</v>
      </c>
      <c r="R41" s="137">
        <f t="shared" si="4"/>
        <v>16</v>
      </c>
      <c r="S41" s="137">
        <f ca="1" t="shared" si="5"/>
        <v>10.5</v>
      </c>
      <c r="T41" s="137">
        <f ca="1">S41*R41*IF(_xlfn.XLOOKUP(B41,'Product List'!B:B,'Product List'!F:F)="A",1,IF(_xlfn.XLOOKUP(B41,'Product List'!B:B,'Product List'!F:F)="B",0.5,0))</f>
        <v>84</v>
      </c>
      <c r="U41" s="137" t="s">
        <v>93</v>
      </c>
      <c r="V41" s="164">
        <f>VLOOKUP(B41,'Product List'!B:C,2,0)</f>
        <v>850030338150</v>
      </c>
      <c r="W41" s="150"/>
      <c r="Y41" s="114"/>
      <c r="Z41" s="157"/>
      <c r="AA41" s="47"/>
    </row>
    <row r="42" customHeight="1" spans="1:27">
      <c r="A42" s="137">
        <v>50126564</v>
      </c>
      <c r="B42" s="137" t="str">
        <f>_xlfn.XLOOKUP(A42,'Customer Code'!B:B,'Customer Code'!C:C)</f>
        <v>CPWJ0012</v>
      </c>
      <c r="C42" s="137" t="str">
        <f>_xlfn.XLOOKUP(A42,'Customer Code'!B:B,'Customer Code'!A:A)</f>
        <v>Pet Supplies Plus</v>
      </c>
      <c r="D42" s="137" t="str" cm="1">
        <f t="array" ref="D42">_xlfn.XLOOKUP(B42&amp;C42,'Customer Code'!C:C&amp;'Customer Code'!A:A,'Customer Code'!I:I)</f>
        <v>Normal</v>
      </c>
      <c r="E42" s="137" t="str">
        <f t="array" ref="E42">_xlfn.XLOOKUP(B42,'Product List'!B:B,'Product List'!I:I)</f>
        <v>MINI/MOE MUSHROOM LADDER 1EA</v>
      </c>
      <c r="F42" s="140">
        <v>0</v>
      </c>
      <c r="G42" s="165">
        <v>0</v>
      </c>
      <c r="H42" s="165">
        <v>1</v>
      </c>
      <c r="I42" s="165">
        <v>4</v>
      </c>
      <c r="J42" s="165">
        <v>6</v>
      </c>
      <c r="K42" s="165">
        <v>7</v>
      </c>
      <c r="L42" s="137">
        <f t="shared" si="0"/>
        <v>18</v>
      </c>
      <c r="M42" s="137">
        <v>97</v>
      </c>
      <c r="N42" s="137">
        <f t="shared" si="1"/>
        <v>0.185567010309278</v>
      </c>
      <c r="O42" s="137">
        <f t="shared" si="2"/>
        <v>0.0309278350515464</v>
      </c>
      <c r="P42" s="137"/>
      <c r="Q42" s="137">
        <f t="shared" si="3"/>
        <v>3</v>
      </c>
      <c r="R42" s="137">
        <f t="shared" si="4"/>
        <v>3</v>
      </c>
      <c r="S42" s="137">
        <f ca="1" t="shared" si="5"/>
        <v>10.5</v>
      </c>
      <c r="T42" s="137">
        <f ca="1">S42*R42*IF(_xlfn.XLOOKUP(B42,'Product List'!B:B,'Product List'!F:F)="A",1,IF(_xlfn.XLOOKUP(B42,'Product List'!B:B,'Product List'!F:F)="B",0.5,0))</f>
        <v>0</v>
      </c>
      <c r="U42" s="137" t="s">
        <v>93</v>
      </c>
      <c r="V42" s="164">
        <f>VLOOKUP(B42,'Product List'!B:C,2,0)</f>
        <v>760762456995</v>
      </c>
      <c r="W42" s="150"/>
      <c r="Y42" s="114"/>
      <c r="Z42" s="157"/>
      <c r="AA42" s="47"/>
    </row>
    <row r="43" customHeight="1" spans="1:27">
      <c r="A43" s="137">
        <v>50126565</v>
      </c>
      <c r="B43" s="137" t="str">
        <f>_xlfn.XLOOKUP(A43,'Customer Code'!B:B,'Customer Code'!C:C)</f>
        <v>WJ-9-GN</v>
      </c>
      <c r="C43" s="137" t="str">
        <f>_xlfn.XLOOKUP(A43,'Customer Code'!B:B,'Customer Code'!A:A)</f>
        <v>Pet Supplies Plus</v>
      </c>
      <c r="D43" s="137" t="str" cm="1">
        <f t="array" ref="D43">_xlfn.XLOOKUP(B43&amp;C43,'Customer Code'!C:C&amp;'Customer Code'!A:A,'Customer Code'!I:I)</f>
        <v>Normal</v>
      </c>
      <c r="E43" s="137" t="str">
        <f t="array" ref="E43">_xlfn.XLOOKUP(B43,'Product List'!B:B,'Product List'!I:I)</f>
        <v>MINI/MOE WOODLAND POTTY</v>
      </c>
      <c r="F43" s="140">
        <v>23</v>
      </c>
      <c r="G43" s="165">
        <v>20</v>
      </c>
      <c r="H43" s="165">
        <v>18</v>
      </c>
      <c r="I43" s="165">
        <v>17</v>
      </c>
      <c r="J43" s="165">
        <v>13</v>
      </c>
      <c r="K43" s="165">
        <v>11</v>
      </c>
      <c r="L43" s="137">
        <f t="shared" si="0"/>
        <v>102</v>
      </c>
      <c r="M43" s="137">
        <v>313</v>
      </c>
      <c r="N43" s="137">
        <f t="shared" si="1"/>
        <v>0.325878594249201</v>
      </c>
      <c r="O43" s="137">
        <f t="shared" si="2"/>
        <v>0.0543130990415336</v>
      </c>
      <c r="P43" s="137"/>
      <c r="Q43" s="137">
        <f t="shared" si="3"/>
        <v>17</v>
      </c>
      <c r="R43" s="137">
        <f t="shared" si="4"/>
        <v>17</v>
      </c>
      <c r="S43" s="137">
        <f ca="1" t="shared" si="5"/>
        <v>10.5</v>
      </c>
      <c r="T43" s="137">
        <f ca="1">S43*R43*IF(_xlfn.XLOOKUP(B43,'Product List'!B:B,'Product List'!F:F)="A",1,IF(_xlfn.XLOOKUP(B43,'Product List'!B:B,'Product List'!F:F)="B",0.5,0))</f>
        <v>0</v>
      </c>
      <c r="U43" s="137" t="s">
        <v>93</v>
      </c>
      <c r="V43" s="164">
        <f>VLOOKUP(B43,'Product List'!B:C,2,0)</f>
        <v>760762457077</v>
      </c>
      <c r="W43" s="150"/>
      <c r="Y43" s="114"/>
      <c r="Z43" s="157"/>
      <c r="AA43" s="47"/>
    </row>
    <row r="44" customHeight="1" spans="1:27">
      <c r="A44" s="137">
        <v>50126566</v>
      </c>
      <c r="B44" s="137" t="str">
        <f>_xlfn.XLOOKUP(A44,'Customer Code'!B:B,'Customer Code'!C:C)</f>
        <v>CPWJ0011</v>
      </c>
      <c r="C44" s="137" t="str">
        <f>_xlfn.XLOOKUP(A44,'Customer Code'!B:B,'Customer Code'!A:A)</f>
        <v>Pet Supplies Plus</v>
      </c>
      <c r="D44" s="137" t="str" cm="1">
        <f t="array" ref="D44">_xlfn.XLOOKUP(B44&amp;C44,'Customer Code'!C:C&amp;'Customer Code'!A:A,'Customer Code'!I:I)</f>
        <v>Normal</v>
      </c>
      <c r="E44" s="137" t="str">
        <f t="array" ref="E44">_xlfn.XLOOKUP(B44,'Product List'!B:B,'Product List'!I:I)</f>
        <v>MINI/MOE MUSHROOM CABIN</v>
      </c>
      <c r="F44" s="140">
        <v>31</v>
      </c>
      <c r="G44" s="165">
        <v>29</v>
      </c>
      <c r="H44" s="165">
        <v>24</v>
      </c>
      <c r="I44" s="165">
        <v>26</v>
      </c>
      <c r="J44" s="165">
        <v>35</v>
      </c>
      <c r="K44" s="165">
        <v>25</v>
      </c>
      <c r="L44" s="137">
        <f t="shared" si="0"/>
        <v>170</v>
      </c>
      <c r="M44" s="137">
        <v>593</v>
      </c>
      <c r="N44" s="137">
        <f t="shared" si="1"/>
        <v>0.286677908937605</v>
      </c>
      <c r="O44" s="137">
        <f t="shared" si="2"/>
        <v>0.0477796514896009</v>
      </c>
      <c r="P44" s="137"/>
      <c r="Q44" s="137">
        <f t="shared" si="3"/>
        <v>28.3333333333333</v>
      </c>
      <c r="R44" s="137">
        <f t="shared" si="4"/>
        <v>28.3333333333333</v>
      </c>
      <c r="S44" s="137">
        <f ca="1" t="shared" si="5"/>
        <v>10.5</v>
      </c>
      <c r="T44" s="137">
        <f ca="1">S44*R44*IF(_xlfn.XLOOKUP(B44,'Product List'!B:B,'Product List'!F:F)="A",1,IF(_xlfn.XLOOKUP(B44,'Product List'!B:B,'Product List'!F:F)="B",0.5,0))</f>
        <v>148.75</v>
      </c>
      <c r="U44" s="137" t="s">
        <v>93</v>
      </c>
      <c r="V44" s="164">
        <f>VLOOKUP(B44,'Product List'!B:C,2,0)</f>
        <v>760762457008</v>
      </c>
      <c r="W44" s="150"/>
      <c r="Y44" s="114"/>
      <c r="Z44" s="157"/>
      <c r="AA44" s="47"/>
    </row>
    <row r="45" customHeight="1" spans="1:27">
      <c r="A45" s="137">
        <v>50126567</v>
      </c>
      <c r="B45" s="137" t="str">
        <f>_xlfn.XLOOKUP(A45,'Customer Code'!B:B,'Customer Code'!C:C)</f>
        <v>CPWJ0015</v>
      </c>
      <c r="C45" s="137" t="str">
        <f>_xlfn.XLOOKUP(A45,'Customer Code'!B:B,'Customer Code'!A:A)</f>
        <v>Pet Supplies Plus</v>
      </c>
      <c r="D45" s="137" t="str" cm="1">
        <f t="array" ref="D45">_xlfn.XLOOKUP(B45&amp;C45,'Customer Code'!C:C&amp;'Customer Code'!A:A,'Customer Code'!I:I)</f>
        <v>Normal</v>
      </c>
      <c r="E45" s="137" t="str">
        <f t="array" ref="E45">_xlfn.XLOOKUP(B45,'Product List'!B:B,'Product List'!I:I)</f>
        <v>MINI/MOE GARDEN TEAPOT</v>
      </c>
      <c r="F45" s="140">
        <v>11</v>
      </c>
      <c r="G45" s="165">
        <v>3</v>
      </c>
      <c r="H45" s="165">
        <v>5</v>
      </c>
      <c r="I45" s="165">
        <v>5</v>
      </c>
      <c r="J45" s="165">
        <v>3</v>
      </c>
      <c r="K45" s="165">
        <v>4</v>
      </c>
      <c r="L45" s="137">
        <f t="shared" si="0"/>
        <v>31</v>
      </c>
      <c r="M45" s="137">
        <v>722</v>
      </c>
      <c r="N45" s="137">
        <f t="shared" si="1"/>
        <v>0.0429362880886427</v>
      </c>
      <c r="O45" s="137">
        <f t="shared" si="2"/>
        <v>0.00715604801477378</v>
      </c>
      <c r="P45" s="137"/>
      <c r="Q45" s="137">
        <f t="shared" si="3"/>
        <v>5.16666666666667</v>
      </c>
      <c r="R45" s="137">
        <f t="shared" si="4"/>
        <v>5.16666666666667</v>
      </c>
      <c r="S45" s="137">
        <f ca="1" t="shared" si="5"/>
        <v>10.5</v>
      </c>
      <c r="T45" s="137">
        <f ca="1">S45*R45*IF(_xlfn.XLOOKUP(B45,'Product List'!B:B,'Product List'!F:F)="A",1,IF(_xlfn.XLOOKUP(B45,'Product List'!B:B,'Product List'!F:F)="B",0.5,0))</f>
        <v>0</v>
      </c>
      <c r="U45" s="137" t="s">
        <v>93</v>
      </c>
      <c r="V45" s="164">
        <f>VLOOKUP(B45,'Product List'!B:C,2,0)</f>
        <v>760762457015</v>
      </c>
      <c r="W45" s="150"/>
      <c r="Y45" s="114"/>
      <c r="Z45" s="157"/>
      <c r="AA45" s="47"/>
    </row>
    <row r="46" customHeight="1" spans="1:27">
      <c r="A46" s="137">
        <v>50126568</v>
      </c>
      <c r="B46" s="137" t="str">
        <f>_xlfn.XLOOKUP(A46,'Customer Code'!B:B,'Customer Code'!C:C)</f>
        <v>WJ-13</v>
      </c>
      <c r="C46" s="137" t="str">
        <f>_xlfn.XLOOKUP(A46,'Customer Code'!B:B,'Customer Code'!A:A)</f>
        <v>Pet Supplies Plus</v>
      </c>
      <c r="D46" s="137" t="str" cm="1">
        <f t="array" ref="D46">_xlfn.XLOOKUP(B46&amp;C46,'Customer Code'!C:C&amp;'Customer Code'!A:A,'Customer Code'!I:I)</f>
        <v>Normal</v>
      </c>
      <c r="E46" s="137" t="str">
        <f t="array" ref="E46">_xlfn.XLOOKUP(B46,'Product List'!B:B,'Product List'!I:I)</f>
        <v>MINI/MOE CAMPING TENT HIDE</v>
      </c>
      <c r="F46" s="140">
        <v>37</v>
      </c>
      <c r="G46" s="165">
        <v>44</v>
      </c>
      <c r="H46" s="165">
        <v>53</v>
      </c>
      <c r="I46" s="165">
        <v>36</v>
      </c>
      <c r="J46" s="165">
        <v>31</v>
      </c>
      <c r="K46" s="165">
        <v>51</v>
      </c>
      <c r="L46" s="137">
        <f t="shared" si="0"/>
        <v>252</v>
      </c>
      <c r="M46" s="137">
        <v>616</v>
      </c>
      <c r="N46" s="137">
        <f t="shared" si="1"/>
        <v>0.409090909090909</v>
      </c>
      <c r="O46" s="137">
        <f t="shared" si="2"/>
        <v>0.0681818181818182</v>
      </c>
      <c r="P46" s="137"/>
      <c r="Q46" s="137">
        <f t="shared" si="3"/>
        <v>42</v>
      </c>
      <c r="R46" s="137">
        <f t="shared" si="4"/>
        <v>42</v>
      </c>
      <c r="S46" s="137">
        <f ca="1" t="shared" si="5"/>
        <v>10.5</v>
      </c>
      <c r="T46" s="137">
        <f ca="1">S46*R46*IF(_xlfn.XLOOKUP(B46,'Product List'!B:B,'Product List'!F:F)="A",1,IF(_xlfn.XLOOKUP(B46,'Product List'!B:B,'Product List'!F:F)="B",0.5,0))</f>
        <v>441</v>
      </c>
      <c r="U46" s="137" t="s">
        <v>93</v>
      </c>
      <c r="V46" s="164">
        <f>VLOOKUP(B46,'Product List'!B:C,2,0)</f>
        <v>850030338082</v>
      </c>
      <c r="W46" s="150"/>
      <c r="Y46" s="114"/>
      <c r="Z46" s="157"/>
      <c r="AA46" s="47"/>
    </row>
    <row r="47" customHeight="1" spans="1:27">
      <c r="A47" s="137">
        <v>50126569</v>
      </c>
      <c r="B47" s="137" t="str">
        <f>_xlfn.XLOOKUP(A47,'Customer Code'!B:B,'Customer Code'!C:C)</f>
        <v>CPWJ0013</v>
      </c>
      <c r="C47" s="137" t="str">
        <f>_xlfn.XLOOKUP(A47,'Customer Code'!B:B,'Customer Code'!A:A)</f>
        <v>Pet Supplies Plus</v>
      </c>
      <c r="D47" s="137" t="str" cm="1">
        <f t="array" ref="D47">_xlfn.XLOOKUP(B47&amp;C47,'Customer Code'!C:C&amp;'Customer Code'!A:A,'Customer Code'!I:I)</f>
        <v>Normal</v>
      </c>
      <c r="E47" s="137" t="str">
        <f t="array" ref="E47">_xlfn.XLOOKUP(B47,'Product List'!B:B,'Product List'!I:I)</f>
        <v>MINI/MOE TREEHOUSE CABIN</v>
      </c>
      <c r="F47" s="140">
        <v>31</v>
      </c>
      <c r="G47" s="165">
        <v>14</v>
      </c>
      <c r="H47" s="165">
        <v>25</v>
      </c>
      <c r="I47" s="165">
        <v>24</v>
      </c>
      <c r="J47" s="165">
        <v>24</v>
      </c>
      <c r="K47" s="165">
        <v>19</v>
      </c>
      <c r="L47" s="137">
        <f t="shared" si="0"/>
        <v>137</v>
      </c>
      <c r="M47" s="137">
        <v>617</v>
      </c>
      <c r="N47" s="137">
        <f t="shared" si="1"/>
        <v>0.222042139384117</v>
      </c>
      <c r="O47" s="137">
        <f t="shared" si="2"/>
        <v>0.0370070232306861</v>
      </c>
      <c r="P47" s="137"/>
      <c r="Q47" s="137">
        <f t="shared" si="3"/>
        <v>22.8333333333333</v>
      </c>
      <c r="R47" s="137">
        <f t="shared" si="4"/>
        <v>22.8333333333333</v>
      </c>
      <c r="S47" s="137">
        <f ca="1" t="shared" si="5"/>
        <v>10.5</v>
      </c>
      <c r="T47" s="137">
        <f ca="1">S47*R47*IF(_xlfn.XLOOKUP(B47,'Product List'!B:B,'Product List'!F:F)="A",1,IF(_xlfn.XLOOKUP(B47,'Product List'!B:B,'Product List'!F:F)="B",0.5,0))</f>
        <v>0</v>
      </c>
      <c r="U47" s="137" t="s">
        <v>93</v>
      </c>
      <c r="V47" s="164">
        <f>VLOOKUP(B47,'Product List'!B:C,2,0)</f>
        <v>760762457022</v>
      </c>
      <c r="W47" s="150"/>
      <c r="Y47" s="114"/>
      <c r="Z47" s="157"/>
      <c r="AA47" s="47"/>
    </row>
    <row r="48" customHeight="1" spans="1:27">
      <c r="A48" s="137">
        <v>50126570</v>
      </c>
      <c r="B48" s="137" t="str">
        <f>_xlfn.XLOOKUP(A48,'Customer Code'!B:B,'Customer Code'!C:C)</f>
        <v>CPSL22004GN</v>
      </c>
      <c r="C48" s="137" t="str">
        <f>_xlfn.XLOOKUP(A48,'Customer Code'!B:B,'Customer Code'!A:A)</f>
        <v>Pet Supplies Plus</v>
      </c>
      <c r="D48" s="137" t="str" cm="1">
        <f t="array" ref="D48">_xlfn.XLOOKUP(B48&amp;C48,'Customer Code'!C:C&amp;'Customer Code'!A:A,'Customer Code'!I:I)</f>
        <v>Normal</v>
      </c>
      <c r="E48" s="137" t="str">
        <f t="array" ref="E48">_xlfn.XLOOKUP(B48,'Product List'!B:B,'Product List'!I:I)</f>
        <v>Ceramic Candy Bowl</v>
      </c>
      <c r="F48" s="140">
        <v>0</v>
      </c>
      <c r="G48" s="165">
        <v>0</v>
      </c>
      <c r="H48" s="165">
        <v>3</v>
      </c>
      <c r="I48" s="165">
        <v>2</v>
      </c>
      <c r="J48" s="165">
        <v>6</v>
      </c>
      <c r="K48" s="165">
        <v>2</v>
      </c>
      <c r="L48" s="137">
        <f t="shared" si="0"/>
        <v>13</v>
      </c>
      <c r="M48" s="137">
        <v>96</v>
      </c>
      <c r="N48" s="137">
        <f t="shared" si="1"/>
        <v>0.135416666666667</v>
      </c>
      <c r="O48" s="137">
        <f t="shared" si="2"/>
        <v>0.0225694444444444</v>
      </c>
      <c r="P48" s="137"/>
      <c r="Q48" s="137">
        <f t="shared" si="3"/>
        <v>2.16666666666667</v>
      </c>
      <c r="R48" s="137">
        <f t="shared" si="4"/>
        <v>2.16666666666667</v>
      </c>
      <c r="S48" s="137">
        <f ca="1" t="shared" si="5"/>
        <v>10.5</v>
      </c>
      <c r="T48" s="137">
        <f ca="1">S48*R48*IF(_xlfn.XLOOKUP(B48,'Product List'!B:B,'Product List'!F:F)="A",1,IF(_xlfn.XLOOKUP(B48,'Product List'!B:B,'Product List'!F:F)="B",0.5,0))</f>
        <v>0</v>
      </c>
      <c r="U48" s="137" t="s">
        <v>93</v>
      </c>
      <c r="V48" s="164">
        <f>VLOOKUP(B48,'Product List'!B:C,2,0)</f>
        <v>850030338174</v>
      </c>
      <c r="W48" s="150"/>
      <c r="Y48" s="114"/>
      <c r="Z48" s="157"/>
      <c r="AA48" s="47"/>
    </row>
    <row r="49" customHeight="1" spans="1:27">
      <c r="A49" s="137">
        <v>50126571</v>
      </c>
      <c r="B49" s="137" t="str">
        <f>_xlfn.XLOOKUP(A49,'Customer Code'!B:B,'Customer Code'!C:C)</f>
        <v>WJ-46</v>
      </c>
      <c r="C49" s="137" t="str">
        <f>_xlfn.XLOOKUP(A49,'Customer Code'!B:B,'Customer Code'!A:A)</f>
        <v>Pet Supplies Plus</v>
      </c>
      <c r="D49" s="137" t="str" cm="1">
        <f t="array" ref="D49">_xlfn.XLOOKUP(B49&amp;C49,'Customer Code'!C:C&amp;'Customer Code'!A:A,'Customer Code'!I:I)</f>
        <v>Normal</v>
      </c>
      <c r="E49" s="137" t="str">
        <f t="array" ref="E49">_xlfn.XLOOKUP(B49,'Product List'!B:B,'Product List'!I:I)</f>
        <v>MINI/MOE RUFFLE BOWL</v>
      </c>
      <c r="F49" s="140">
        <v>13</v>
      </c>
      <c r="G49" s="165">
        <v>7</v>
      </c>
      <c r="H49" s="165">
        <v>4</v>
      </c>
      <c r="I49" s="165">
        <v>4</v>
      </c>
      <c r="J49" s="165">
        <v>3</v>
      </c>
      <c r="K49" s="165">
        <v>6</v>
      </c>
      <c r="L49" s="137">
        <f t="shared" si="0"/>
        <v>37</v>
      </c>
      <c r="M49" s="137">
        <v>90</v>
      </c>
      <c r="N49" s="137">
        <f t="shared" si="1"/>
        <v>0.411111111111111</v>
      </c>
      <c r="O49" s="137">
        <f t="shared" si="2"/>
        <v>0.0685185185185185</v>
      </c>
      <c r="P49" s="137"/>
      <c r="Q49" s="137">
        <f t="shared" si="3"/>
        <v>6.16666666666667</v>
      </c>
      <c r="R49" s="137">
        <f t="shared" si="4"/>
        <v>6.16666666666667</v>
      </c>
      <c r="S49" s="137">
        <f ca="1" t="shared" si="5"/>
        <v>10.5</v>
      </c>
      <c r="T49" s="137">
        <f ca="1">S49*R49*IF(_xlfn.XLOOKUP(B49,'Product List'!B:B,'Product List'!F:F)="A",1,IF(_xlfn.XLOOKUP(B49,'Product List'!B:B,'Product List'!F:F)="B",0.5,0))</f>
        <v>32.375</v>
      </c>
      <c r="U49" s="137" t="s">
        <v>93</v>
      </c>
      <c r="V49" s="164">
        <f>VLOOKUP(B49,'Product List'!B:C,2,0)</f>
        <v>850030338969</v>
      </c>
      <c r="W49" s="150"/>
      <c r="Y49" s="114"/>
      <c r="Z49" s="157"/>
      <c r="AA49" s="47"/>
    </row>
    <row r="50" customHeight="1" spans="1:27">
      <c r="A50" s="137">
        <v>50126572</v>
      </c>
      <c r="B50" s="137" t="str">
        <f>_xlfn.XLOOKUP(A50,'Customer Code'!B:B,'Customer Code'!C:C)</f>
        <v>SZP542-WH</v>
      </c>
      <c r="C50" s="137" t="str">
        <f>_xlfn.XLOOKUP(A50,'Customer Code'!B:B,'Customer Code'!A:A)</f>
        <v>Pet Supplies Plus</v>
      </c>
      <c r="D50" s="137" t="str" cm="1">
        <f t="array" ref="D50">_xlfn.XLOOKUP(B50&amp;C50,'Customer Code'!C:C&amp;'Customer Code'!A:A,'Customer Code'!I:I)</f>
        <v>Normal</v>
      </c>
      <c r="E50" s="137" t="str">
        <f t="array" ref="E50">_xlfn.XLOOKUP(B50,'Product List'!B:B,'Product List'!I:I)</f>
        <v>MMO-BUBBLE WATER BOTTLE</v>
      </c>
      <c r="F50" s="140">
        <v>0</v>
      </c>
      <c r="G50" s="165">
        <v>0</v>
      </c>
      <c r="H50" s="165">
        <v>0</v>
      </c>
      <c r="I50" s="165">
        <v>0</v>
      </c>
      <c r="J50" s="165">
        <v>8</v>
      </c>
      <c r="K50" s="165">
        <v>13</v>
      </c>
      <c r="L50" s="137">
        <f t="shared" si="0"/>
        <v>21</v>
      </c>
      <c r="M50" s="137">
        <v>96</v>
      </c>
      <c r="N50" s="137">
        <f t="shared" si="1"/>
        <v>0.21875</v>
      </c>
      <c r="O50" s="137">
        <f t="shared" si="2"/>
        <v>0.0364583333333333</v>
      </c>
      <c r="P50" s="137"/>
      <c r="Q50" s="137">
        <f t="shared" si="3"/>
        <v>3.5</v>
      </c>
      <c r="R50" s="137">
        <f t="shared" si="4"/>
        <v>3.5</v>
      </c>
      <c r="S50" s="137">
        <f ca="1" t="shared" si="5"/>
        <v>10.5</v>
      </c>
      <c r="T50" s="137">
        <f ca="1">S50*R50*IF(_xlfn.XLOOKUP(B50,'Product List'!B:B,'Product List'!F:F)="A",1,IF(_xlfn.XLOOKUP(B50,'Product List'!B:B,'Product List'!F:F)="B",0.5,0))</f>
        <v>36.75</v>
      </c>
      <c r="U50" s="137" t="s">
        <v>93</v>
      </c>
      <c r="V50" s="164">
        <f>VLOOKUP(B50,'Product List'!B:C,2,0)</f>
        <v>760762456971</v>
      </c>
      <c r="W50" s="150"/>
      <c r="Y50" s="114"/>
      <c r="Z50" s="157"/>
      <c r="AA50" s="47"/>
    </row>
    <row r="51" customHeight="1" spans="1:27">
      <c r="A51" s="137">
        <v>50126573</v>
      </c>
      <c r="B51" s="137" t="str">
        <f>_xlfn.XLOOKUP(A51,'Customer Code'!B:B,'Customer Code'!C:C)</f>
        <v>WJ-39-PK</v>
      </c>
      <c r="C51" s="137" t="str">
        <f>_xlfn.XLOOKUP(A51,'Customer Code'!B:B,'Customer Code'!A:A)</f>
        <v>Pet Supplies Plus</v>
      </c>
      <c r="D51" s="137" t="str" cm="1">
        <f t="array" ref="D51">_xlfn.XLOOKUP(B51&amp;C51,'Customer Code'!C:C&amp;'Customer Code'!A:A,'Customer Code'!I:I)</f>
        <v>Normal</v>
      </c>
      <c r="E51" s="137" t="str">
        <f t="array" ref="E51">_xlfn.XLOOKUP(B51,'Product List'!B:B,'Product List'!I:I)</f>
        <v>MINI/MOE SILENT CRSTL RUN WHEEL XL 11.5 1EA</v>
      </c>
      <c r="F51" s="140">
        <v>18</v>
      </c>
      <c r="G51" s="165">
        <v>20</v>
      </c>
      <c r="H51" s="165">
        <v>15</v>
      </c>
      <c r="I51" s="165">
        <v>16</v>
      </c>
      <c r="J51" s="165">
        <v>19</v>
      </c>
      <c r="K51" s="165">
        <v>17</v>
      </c>
      <c r="L51" s="137">
        <f t="shared" si="0"/>
        <v>105</v>
      </c>
      <c r="M51" s="137">
        <v>595</v>
      </c>
      <c r="N51" s="137">
        <f t="shared" si="1"/>
        <v>0.176470588235294</v>
      </c>
      <c r="O51" s="137">
        <f t="shared" si="2"/>
        <v>0.0294117647058824</v>
      </c>
      <c r="P51" s="137"/>
      <c r="Q51" s="137">
        <f t="shared" si="3"/>
        <v>17.5</v>
      </c>
      <c r="R51" s="137">
        <f t="shared" si="4"/>
        <v>17.5</v>
      </c>
      <c r="S51" s="137">
        <f ca="1" t="shared" si="5"/>
        <v>10.5</v>
      </c>
      <c r="T51" s="137">
        <f ca="1">S51*R51*IF(_xlfn.XLOOKUP(B51,'Product List'!B:B,'Product List'!F:F)="A",1,IF(_xlfn.XLOOKUP(B51,'Product List'!B:B,'Product List'!F:F)="B",0.5,0))</f>
        <v>91.875</v>
      </c>
      <c r="U51" s="137" t="s">
        <v>93</v>
      </c>
      <c r="V51" s="164">
        <f>VLOOKUP(B51,'Product List'!B:C,2,0)</f>
        <v>850030338518</v>
      </c>
      <c r="W51" s="150"/>
      <c r="Y51" s="114"/>
      <c r="Z51" s="157"/>
      <c r="AA51" s="47"/>
    </row>
    <row r="52" customHeight="1" spans="1:27">
      <c r="A52" s="137">
        <v>50126577</v>
      </c>
      <c r="B52" s="137" t="str">
        <f>_xlfn.XLOOKUP(A52,'Customer Code'!B:B,'Customer Code'!C:C)</f>
        <v>RJ510-BL</v>
      </c>
      <c r="C52" s="137" t="str">
        <f>_xlfn.XLOOKUP(A52,'Customer Code'!B:B,'Customer Code'!A:A)</f>
        <v>Pet Supplies Plus</v>
      </c>
      <c r="D52" s="137" t="str" cm="1">
        <f t="array" ref="D52">_xlfn.XLOOKUP(B52&amp;C52,'Customer Code'!C:C&amp;'Customer Code'!A:A,'Customer Code'!I:I)</f>
        <v>Normal</v>
      </c>
      <c r="E52" s="137" t="str">
        <f t="array" ref="E52">_xlfn.XLOOKUP(B52,'Product List'!B:B,'Product List'!I:I)</f>
        <v>Crystal Outdoor Cage</v>
      </c>
      <c r="F52" s="140">
        <v>0</v>
      </c>
      <c r="G52" s="165">
        <v>0</v>
      </c>
      <c r="H52" s="165">
        <v>1</v>
      </c>
      <c r="I52" s="165">
        <v>1</v>
      </c>
      <c r="J52" s="165">
        <v>1</v>
      </c>
      <c r="K52" s="165">
        <v>1</v>
      </c>
      <c r="L52" s="137">
        <f t="shared" si="0"/>
        <v>4</v>
      </c>
      <c r="M52" s="137">
        <v>96</v>
      </c>
      <c r="N52" s="137">
        <f t="shared" si="1"/>
        <v>0.0416666666666667</v>
      </c>
      <c r="O52" s="137">
        <f t="shared" si="2"/>
        <v>0.00694444444444444</v>
      </c>
      <c r="P52" s="137"/>
      <c r="Q52" s="137">
        <f t="shared" si="3"/>
        <v>0.666666666666667</v>
      </c>
      <c r="R52" s="137">
        <f t="shared" si="4"/>
        <v>0.666666666666667</v>
      </c>
      <c r="S52" s="137">
        <f ca="1" t="shared" si="5"/>
        <v>10.5</v>
      </c>
      <c r="T52" s="137">
        <f ca="1">S52*R52*IF(_xlfn.XLOOKUP(B52,'Product List'!B:B,'Product List'!F:F)="A",1,IF(_xlfn.XLOOKUP(B52,'Product List'!B:B,'Product List'!F:F)="B",0.5,0))</f>
        <v>0</v>
      </c>
      <c r="U52" s="137" t="s">
        <v>93</v>
      </c>
      <c r="V52" s="164">
        <f>VLOOKUP(B52,'Product List'!B:C,2,0)</f>
        <v>698746777579</v>
      </c>
      <c r="W52" s="150"/>
      <c r="Y52" s="114"/>
      <c r="Z52" s="157"/>
      <c r="AA52" s="47"/>
    </row>
    <row r="53" customHeight="1" spans="1:27">
      <c r="A53" s="137">
        <v>50126578</v>
      </c>
      <c r="B53" s="137" t="str">
        <f>_xlfn.XLOOKUP(A53,'Customer Code'!B:B,'Customer Code'!C:C)</f>
        <v>CPWJ87000</v>
      </c>
      <c r="C53" s="137" t="str">
        <f>_xlfn.XLOOKUP(A53,'Customer Code'!B:B,'Customer Code'!A:A)</f>
        <v>Pet Supplies Plus</v>
      </c>
      <c r="D53" s="137" t="str" cm="1">
        <f t="array" ref="D53">_xlfn.XLOOKUP(B53&amp;C53,'Customer Code'!C:C&amp;'Customer Code'!A:A,'Customer Code'!I:I)</f>
        <v>Normal</v>
      </c>
      <c r="E53" s="137" t="str">
        <f t="array" ref="E53">_xlfn.XLOOKUP(B53,'Product List'!B:B,'Product List'!I:I)</f>
        <v>MINI/MOE IVY BURROWING BOX</v>
      </c>
      <c r="F53" s="140">
        <v>2</v>
      </c>
      <c r="G53" s="165">
        <v>2</v>
      </c>
      <c r="H53" s="165">
        <v>1</v>
      </c>
      <c r="I53" s="165">
        <v>3</v>
      </c>
      <c r="J53" s="165">
        <v>6</v>
      </c>
      <c r="K53" s="165">
        <v>5</v>
      </c>
      <c r="L53" s="137">
        <f t="shared" si="0"/>
        <v>19</v>
      </c>
      <c r="M53" s="137">
        <v>602</v>
      </c>
      <c r="N53" s="137">
        <f t="shared" si="1"/>
        <v>0.0315614617940199</v>
      </c>
      <c r="O53" s="137">
        <f t="shared" si="2"/>
        <v>0.00526024363233666</v>
      </c>
      <c r="P53" s="137"/>
      <c r="Q53" s="137">
        <f t="shared" si="3"/>
        <v>3.16666666666667</v>
      </c>
      <c r="R53" s="137">
        <f t="shared" si="4"/>
        <v>3.16666666666667</v>
      </c>
      <c r="S53" s="137">
        <f ca="1" t="shared" si="5"/>
        <v>10.5</v>
      </c>
      <c r="T53" s="137">
        <f ca="1">S53*R53*IF(_xlfn.XLOOKUP(B53,'Product List'!B:B,'Product List'!F:F)="A",1,IF(_xlfn.XLOOKUP(B53,'Product List'!B:B,'Product List'!F:F)="B",0.5,0))</f>
        <v>16.625</v>
      </c>
      <c r="U53" s="137" t="s">
        <v>93</v>
      </c>
      <c r="V53" s="164">
        <f>VLOOKUP(B53,'Product List'!B:C,2,0)</f>
        <v>850030338051</v>
      </c>
      <c r="W53" s="150"/>
      <c r="Y53" s="114"/>
      <c r="Z53" s="157"/>
      <c r="AA53" s="47"/>
    </row>
    <row r="54" customHeight="1" spans="1:27">
      <c r="A54" s="137">
        <v>50126579</v>
      </c>
      <c r="B54" s="137" t="str">
        <f>_xlfn.XLOOKUP(A54,'Customer Code'!B:B,'Customer Code'!C:C)</f>
        <v>CPWJ0014</v>
      </c>
      <c r="C54" s="137" t="str">
        <f>_xlfn.XLOOKUP(A54,'Customer Code'!B:B,'Customer Code'!A:A)</f>
        <v>Pet Supplies Plus</v>
      </c>
      <c r="D54" s="137" t="str" cm="1">
        <f t="array" ref="D54">_xlfn.XLOOKUP(B54&amp;C54,'Customer Code'!C:C&amp;'Customer Code'!A:A,'Customer Code'!I:I)</f>
        <v>Normal</v>
      </c>
      <c r="E54" s="137" t="str">
        <f t="array" ref="E54">_xlfn.XLOOKUP(B54,'Product List'!B:B,'Product List'!I:I)</f>
        <v>MINI/MOE FISHBONE BRIDGE 1EA</v>
      </c>
      <c r="F54" s="140">
        <v>0</v>
      </c>
      <c r="G54" s="165">
        <v>0</v>
      </c>
      <c r="H54" s="165">
        <v>0</v>
      </c>
      <c r="I54" s="165">
        <v>0</v>
      </c>
      <c r="J54" s="165">
        <v>1</v>
      </c>
      <c r="K54" s="165">
        <v>4</v>
      </c>
      <c r="L54" s="137">
        <f t="shared" si="0"/>
        <v>5</v>
      </c>
      <c r="M54" s="137">
        <v>96</v>
      </c>
      <c r="N54" s="137">
        <f t="shared" si="1"/>
        <v>0.0520833333333333</v>
      </c>
      <c r="O54" s="137">
        <f t="shared" si="2"/>
        <v>0.00868055555555556</v>
      </c>
      <c r="P54" s="137"/>
      <c r="Q54" s="137">
        <f t="shared" si="3"/>
        <v>0.833333333333333</v>
      </c>
      <c r="R54" s="137">
        <f t="shared" si="4"/>
        <v>0.833333333333333</v>
      </c>
      <c r="S54" s="137">
        <f ca="1" t="shared" si="5"/>
        <v>10.5</v>
      </c>
      <c r="T54" s="137">
        <f ca="1">S54*R54*IF(_xlfn.XLOOKUP(B54,'Product List'!B:B,'Product List'!F:F)="A",1,IF(_xlfn.XLOOKUP(B54,'Product List'!B:B,'Product List'!F:F)="B",0.5,0))</f>
        <v>0</v>
      </c>
      <c r="U54" s="137" t="s">
        <v>93</v>
      </c>
      <c r="V54" s="164">
        <f>VLOOKUP(B54,'Product List'!B:C,2,0)</f>
        <v>760762457039</v>
      </c>
      <c r="W54" s="150"/>
      <c r="Y54" s="114"/>
      <c r="Z54" s="157"/>
      <c r="AA54" s="47"/>
    </row>
    <row r="55" customHeight="1" spans="1:27">
      <c r="A55" s="140">
        <v>50126580</v>
      </c>
      <c r="B55" s="137" t="str">
        <f>_xlfn.XLOOKUP(A55,'Customer Code'!B:B,'Customer Code'!C:C)</f>
        <v>SP-7</v>
      </c>
      <c r="C55" s="137" t="str">
        <f>_xlfn.XLOOKUP(A55,'Customer Code'!B:B,'Customer Code'!A:A)</f>
        <v>Pet Supplies Plus</v>
      </c>
      <c r="D55" s="137" t="str" cm="1">
        <f t="array" ref="D55">_xlfn.XLOOKUP(B55&amp;C55,'Customer Code'!C:C&amp;'Customer Code'!A:A,'Customer Code'!I:I)</f>
        <v>Normal</v>
      </c>
      <c r="E55" s="137" t="str">
        <f t="array" ref="E55">_xlfn.XLOOKUP(B55,'Product List'!B:B,'Product List'!I:I)</f>
        <v>MINI/MOE ROCKING BIRDHOUSE HIDE 1EA</v>
      </c>
      <c r="F55" s="140">
        <v>0</v>
      </c>
      <c r="G55" s="165">
        <v>0</v>
      </c>
      <c r="H55" s="165">
        <v>0</v>
      </c>
      <c r="I55" s="165">
        <v>0</v>
      </c>
      <c r="J55" s="165">
        <v>0</v>
      </c>
      <c r="K55" s="165">
        <v>0</v>
      </c>
      <c r="L55" s="137">
        <f t="shared" si="0"/>
        <v>0</v>
      </c>
      <c r="M55" s="137">
        <f>_xlfn.XLOOKUP(A55,'Customer Code'!B:B,'Customer Code'!F:F,0)</f>
        <v>0</v>
      </c>
      <c r="N55" s="137">
        <f t="shared" si="1"/>
        <v>0</v>
      </c>
      <c r="O55" s="137">
        <f t="shared" si="2"/>
        <v>0</v>
      </c>
      <c r="P55" s="137"/>
      <c r="Q55" s="137">
        <f t="shared" si="3"/>
        <v>0</v>
      </c>
      <c r="R55" s="137">
        <f t="shared" si="4"/>
        <v>0</v>
      </c>
      <c r="S55" s="137">
        <f ca="1" t="shared" si="5"/>
        <v>10.5</v>
      </c>
      <c r="T55" s="137">
        <f ca="1">S55*R55*IF(_xlfn.XLOOKUP(B55,'Product List'!B:B,'Product List'!F:F)="A",1,IF(_xlfn.XLOOKUP(B55,'Product List'!B:B,'Product List'!F:F)="B",0.5,0))</f>
        <v>0</v>
      </c>
      <c r="U55" s="137" t="s">
        <v>93</v>
      </c>
      <c r="V55" s="164">
        <f>VLOOKUP(B55,'Product List'!B:C,2,0)</f>
        <v>760762457046</v>
      </c>
      <c r="W55" s="150"/>
      <c r="Y55" s="114"/>
      <c r="Z55" s="157"/>
      <c r="AA55" s="47"/>
    </row>
    <row r="56" customHeight="1" spans="1:27">
      <c r="A56" s="137">
        <v>50126581</v>
      </c>
      <c r="B56" s="137" t="str">
        <f>_xlfn.XLOOKUP(A56,'Customer Code'!B:B,'Customer Code'!C:C)</f>
        <v>LT-27</v>
      </c>
      <c r="C56" s="137" t="str">
        <f>_xlfn.XLOOKUP(A56,'Customer Code'!B:B,'Customer Code'!A:A)</f>
        <v>Pet Supplies Plus</v>
      </c>
      <c r="D56" s="137" t="str" cm="1">
        <f t="array" ref="D56">_xlfn.XLOOKUP(B56&amp;C56,'Customer Code'!C:C&amp;'Customer Code'!A:A,'Customer Code'!I:I)</f>
        <v>Normal</v>
      </c>
      <c r="E56" s="137" t="str">
        <f t="array" ref="E56">_xlfn.XLOOKUP(B56,'Product List'!B:B,'Product List'!I:I)</f>
        <v>MINI/MOE MINI TV TUNNEL CAGE 1EA</v>
      </c>
      <c r="F56" s="140">
        <v>0</v>
      </c>
      <c r="G56" s="165">
        <v>0</v>
      </c>
      <c r="H56" s="165">
        <v>1</v>
      </c>
      <c r="I56" s="165">
        <v>1</v>
      </c>
      <c r="J56" s="165">
        <v>0</v>
      </c>
      <c r="K56" s="165">
        <v>2</v>
      </c>
      <c r="L56" s="137">
        <f t="shared" si="0"/>
        <v>4</v>
      </c>
      <c r="M56" s="137">
        <v>96</v>
      </c>
      <c r="N56" s="137">
        <f t="shared" si="1"/>
        <v>0.0416666666666667</v>
      </c>
      <c r="O56" s="137">
        <f t="shared" si="2"/>
        <v>0.00694444444444444</v>
      </c>
      <c r="P56" s="137"/>
      <c r="Q56" s="137">
        <f t="shared" si="3"/>
        <v>0.666666666666667</v>
      </c>
      <c r="R56" s="137">
        <f t="shared" si="4"/>
        <v>0.666666666666667</v>
      </c>
      <c r="S56" s="137">
        <f ca="1" t="shared" si="5"/>
        <v>10.5</v>
      </c>
      <c r="T56" s="137">
        <f ca="1">S56*R56*IF(_xlfn.XLOOKUP(B56,'Product List'!B:B,'Product List'!F:F)="A",1,IF(_xlfn.XLOOKUP(B56,'Product List'!B:B,'Product List'!F:F)="B",0.5,0))</f>
        <v>7</v>
      </c>
      <c r="U56" s="137" t="s">
        <v>93</v>
      </c>
      <c r="V56" s="164">
        <f>VLOOKUP(B56,'Product List'!B:C,2,0)</f>
        <v>760762457053</v>
      </c>
      <c r="W56" s="150"/>
      <c r="Y56" s="114"/>
      <c r="Z56" s="157"/>
      <c r="AA56" s="47"/>
    </row>
    <row r="57" customHeight="1" spans="1:27">
      <c r="A57" s="137">
        <v>50126583</v>
      </c>
      <c r="B57" s="137" t="str">
        <f>_xlfn.XLOOKUP(A57,'Customer Code'!B:B,'Customer Code'!C:C)</f>
        <v>BOBO22-GN</v>
      </c>
      <c r="C57" s="137" t="str">
        <f>_xlfn.XLOOKUP(A57,'Customer Code'!B:B,'Customer Code'!A:A)</f>
        <v>Pet Supplies Plus</v>
      </c>
      <c r="D57" s="137" t="str" cm="1">
        <f t="array" ref="D57">_xlfn.XLOOKUP(B57&amp;C57,'Customer Code'!C:C&amp;'Customer Code'!A:A,'Customer Code'!I:I)</f>
        <v>Normal</v>
      </c>
      <c r="E57" s="137" t="str">
        <f t="array" ref="E57">_xlfn.XLOOKUP(B57,'Product List'!B:B,'Product List'!I:I)</f>
        <v>MINI/MOE SILENT CRSTL RUN WHEEL LG 8.5-Green</v>
      </c>
      <c r="F57" s="140">
        <v>17</v>
      </c>
      <c r="G57" s="165">
        <v>14</v>
      </c>
      <c r="H57" s="165">
        <v>12</v>
      </c>
      <c r="I57" s="165">
        <v>11</v>
      </c>
      <c r="J57" s="165">
        <v>10</v>
      </c>
      <c r="K57" s="165">
        <v>12</v>
      </c>
      <c r="L57" s="137">
        <f t="shared" si="0"/>
        <v>76</v>
      </c>
      <c r="M57" s="137">
        <f>_xlfn.XLOOKUP(A57,'Customer Code'!B:B,'Customer Code'!F:F,0)</f>
        <v>346</v>
      </c>
      <c r="N57" s="137">
        <f t="shared" si="1"/>
        <v>0.219653179190751</v>
      </c>
      <c r="O57" s="137">
        <f t="shared" si="2"/>
        <v>0.0366088631984586</v>
      </c>
      <c r="P57" s="137"/>
      <c r="Q57" s="137">
        <f t="shared" si="3"/>
        <v>12.6666666666667</v>
      </c>
      <c r="R57" s="137">
        <f t="shared" si="4"/>
        <v>12.6666666666667</v>
      </c>
      <c r="S57" s="137">
        <f ca="1" t="shared" si="5"/>
        <v>10.5</v>
      </c>
      <c r="T57" s="137">
        <f ca="1">S57*R57*IF(_xlfn.XLOOKUP(B57,'Product List'!B:B,'Product List'!F:F)="A",1,IF(_xlfn.XLOOKUP(B57,'Product List'!B:B,'Product List'!F:F)="B",0.5,0))</f>
        <v>0</v>
      </c>
      <c r="U57" s="137" t="s">
        <v>93</v>
      </c>
      <c r="V57" s="164">
        <f>VLOOKUP(B57,'Product List'!B:C,2,0)</f>
        <v>698746777135</v>
      </c>
      <c r="W57" s="150"/>
      <c r="Y57" s="114"/>
      <c r="Z57" s="157"/>
      <c r="AA57" s="47"/>
    </row>
    <row r="58" customHeight="1" spans="1:27">
      <c r="A58" s="137">
        <v>50126584</v>
      </c>
      <c r="B58" s="137" t="str">
        <f>_xlfn.XLOOKUP(A58,'Customer Code'!B:B,'Customer Code'!C:C)</f>
        <v>SP-4</v>
      </c>
      <c r="C58" s="137" t="str">
        <f>_xlfn.XLOOKUP(A58,'Customer Code'!B:B,'Customer Code'!A:A)</f>
        <v>Pet Supplies Plus</v>
      </c>
      <c r="D58" s="137" t="str" cm="1">
        <f t="array" ref="D58">_xlfn.XLOOKUP(B58&amp;C58,'Customer Code'!C:C&amp;'Customer Code'!A:A,'Customer Code'!I:I)</f>
        <v>Phase out</v>
      </c>
      <c r="E58" s="137" t="str">
        <f t="array" ref="E58">_xlfn.XLOOKUP(B58,'Product List'!B:B,'Product List'!I:I)</f>
        <v>D. MMO-COTTAGE VIEW CAGE</v>
      </c>
      <c r="F58" s="140">
        <v>4</v>
      </c>
      <c r="G58" s="165">
        <v>8</v>
      </c>
      <c r="H58" s="165">
        <v>9</v>
      </c>
      <c r="I58" s="165">
        <v>7</v>
      </c>
      <c r="J58" s="165">
        <v>3</v>
      </c>
      <c r="K58" s="165">
        <v>4</v>
      </c>
      <c r="L58" s="137">
        <f t="shared" si="0"/>
        <v>0</v>
      </c>
      <c r="M58" s="137">
        <v>381</v>
      </c>
      <c r="N58" s="137">
        <f t="shared" si="1"/>
        <v>0</v>
      </c>
      <c r="O58" s="137">
        <f t="shared" si="2"/>
        <v>0</v>
      </c>
      <c r="P58" s="137"/>
      <c r="Q58" s="137">
        <f t="shared" si="3"/>
        <v>0</v>
      </c>
      <c r="R58" s="137">
        <f t="shared" si="4"/>
        <v>0</v>
      </c>
      <c r="S58" s="137">
        <f ca="1" t="shared" si="5"/>
        <v>10.5</v>
      </c>
      <c r="T58" s="137">
        <f ca="1">S58*R58*IF(_xlfn.XLOOKUP(B58,'Product List'!B:B,'Product List'!F:F)="A",1,IF(_xlfn.XLOOKUP(B58,'Product List'!B:B,'Product List'!F:F)="B",0.5,0))</f>
        <v>0</v>
      </c>
      <c r="U58" s="137" t="s">
        <v>93</v>
      </c>
      <c r="V58" s="164">
        <f>VLOOKUP(B58,'Product List'!B:C,2,0)</f>
        <v>850030338730</v>
      </c>
      <c r="W58" s="150"/>
      <c r="Y58" s="114"/>
      <c r="Z58" s="157"/>
      <c r="AA58" s="47"/>
    </row>
    <row r="59" customHeight="1" spans="1:27">
      <c r="A59" s="137">
        <v>50130111</v>
      </c>
      <c r="B59" s="137" t="str">
        <f>_xlfn.XLOOKUP(A59,'Customer Code'!B:B,'Customer Code'!C:C)</f>
        <v>ZM005-PL</v>
      </c>
      <c r="C59" s="137" t="str">
        <f>_xlfn.XLOOKUP(A59,'Customer Code'!B:B,'Customer Code'!A:A)</f>
        <v>Pet Supplies Plus</v>
      </c>
      <c r="D59" s="137" t="str" cm="1">
        <f t="array" ref="D59">_xlfn.XLOOKUP(B59&amp;C59,'Customer Code'!C:C&amp;'Customer Code'!A:A,'Customer Code'!I:I)</f>
        <v>Normal</v>
      </c>
      <c r="E59" s="137" t="str">
        <f t="array" ref="E59">_xlfn.XLOOKUP(B59,'Product List'!B:B,'Product List'!I:I)</f>
        <v>MINI/MOE SMALL ANIMAL BEDDING NESTING COTTON BALLS LAV 23LT</v>
      </c>
      <c r="F59" s="140">
        <v>28</v>
      </c>
      <c r="G59" s="165">
        <v>37</v>
      </c>
      <c r="H59" s="165">
        <v>26</v>
      </c>
      <c r="I59" s="165">
        <v>30</v>
      </c>
      <c r="J59" s="165">
        <v>25</v>
      </c>
      <c r="K59" s="165">
        <v>24</v>
      </c>
      <c r="L59" s="137">
        <f t="shared" si="0"/>
        <v>170</v>
      </c>
      <c r="M59" s="137">
        <v>723</v>
      </c>
      <c r="N59" s="137">
        <f t="shared" si="1"/>
        <v>0.235131396957123</v>
      </c>
      <c r="O59" s="137">
        <f t="shared" si="2"/>
        <v>0.0391885661595205</v>
      </c>
      <c r="P59" s="137"/>
      <c r="Q59" s="137">
        <f t="shared" si="3"/>
        <v>28.3333333333333</v>
      </c>
      <c r="R59" s="137">
        <f t="shared" si="4"/>
        <v>28.3333333333333</v>
      </c>
      <c r="S59" s="137">
        <f ca="1" t="shared" si="5"/>
        <v>10.5</v>
      </c>
      <c r="T59" s="137">
        <f ca="1">S59*R59*IF(_xlfn.XLOOKUP(B59,'Product List'!B:B,'Product List'!F:F)="A",1,IF(_xlfn.XLOOKUP(B59,'Product List'!B:B,'Product List'!F:F)="B",0.5,0))</f>
        <v>0</v>
      </c>
      <c r="U59" s="137" t="s">
        <v>93</v>
      </c>
      <c r="V59" s="164">
        <f>VLOOKUP(B59,'Product List'!B:C,2,0)</f>
        <v>698746777531</v>
      </c>
      <c r="W59" s="150"/>
      <c r="Y59" s="114"/>
      <c r="Z59" s="157"/>
      <c r="AA59" s="47"/>
    </row>
    <row r="60" customHeight="1" spans="1:27">
      <c r="A60" s="137">
        <v>50130112</v>
      </c>
      <c r="B60" s="137" t="str">
        <f>_xlfn.XLOOKUP(A60,'Customer Code'!B:B,'Customer Code'!C:C)</f>
        <v>ZM003-BL</v>
      </c>
      <c r="C60" s="137" t="str">
        <f>_xlfn.XLOOKUP(A60,'Customer Code'!B:B,'Customer Code'!A:A)</f>
        <v>Pet Supplies Plus</v>
      </c>
      <c r="D60" s="137" t="str" cm="1">
        <f t="array" ref="D60">_xlfn.XLOOKUP(B60&amp;C60,'Customer Code'!C:C&amp;'Customer Code'!A:A,'Customer Code'!I:I)</f>
        <v>Normal</v>
      </c>
      <c r="E60" s="137" t="str">
        <f t="array" ref="E60">_xlfn.XLOOKUP(B60,'Product List'!B:B,'Product List'!I:I)</f>
        <v>MINI/MOE SMALL ANIMAL BEDDING PAPER PEBBLES OCEAN BLUE 23LT</v>
      </c>
      <c r="F60" s="140">
        <v>16</v>
      </c>
      <c r="G60" s="165">
        <v>11</v>
      </c>
      <c r="H60" s="165">
        <v>22</v>
      </c>
      <c r="I60" s="165">
        <v>14</v>
      </c>
      <c r="J60" s="165">
        <v>16</v>
      </c>
      <c r="K60" s="165">
        <v>13</v>
      </c>
      <c r="L60" s="137">
        <f t="shared" si="0"/>
        <v>92</v>
      </c>
      <c r="M60" s="137">
        <v>722</v>
      </c>
      <c r="N60" s="137">
        <f t="shared" si="1"/>
        <v>0.127423822714681</v>
      </c>
      <c r="O60" s="137">
        <f t="shared" si="2"/>
        <v>0.0212373037857802</v>
      </c>
      <c r="P60" s="137"/>
      <c r="Q60" s="137">
        <f t="shared" si="3"/>
        <v>15.3333333333333</v>
      </c>
      <c r="R60" s="137">
        <f t="shared" si="4"/>
        <v>15.3333333333333</v>
      </c>
      <c r="S60" s="137">
        <f ca="1" t="shared" si="5"/>
        <v>10.5</v>
      </c>
      <c r="T60" s="137">
        <f ca="1">S60*R60*IF(_xlfn.XLOOKUP(B60,'Product List'!B:B,'Product List'!F:F)="A",1,IF(_xlfn.XLOOKUP(B60,'Product List'!B:B,'Product List'!F:F)="B",0.5,0))</f>
        <v>80.4999999999998</v>
      </c>
      <c r="U60" s="137" t="s">
        <v>93</v>
      </c>
      <c r="V60" s="164">
        <f>VLOOKUP(B60,'Product List'!B:C,2,0)</f>
        <v>698746777562</v>
      </c>
      <c r="W60" s="150"/>
      <c r="Y60" s="114"/>
      <c r="Z60" s="157"/>
      <c r="AA60" s="47"/>
    </row>
    <row r="61" customHeight="1" spans="1:27">
      <c r="A61" s="137">
        <v>50130113</v>
      </c>
      <c r="B61" s="137" t="str">
        <f>_xlfn.XLOOKUP(A61,'Customer Code'!B:B,'Customer Code'!C:C)</f>
        <v>ZM1.2-PL-BL</v>
      </c>
      <c r="C61" s="137" t="str">
        <f>_xlfn.XLOOKUP(A61,'Customer Code'!B:B,'Customer Code'!A:A)</f>
        <v>Pet Supplies Plus</v>
      </c>
      <c r="D61" s="137" t="str" cm="1">
        <f t="array" ref="D61">_xlfn.XLOOKUP(B61&amp;C61,'Customer Code'!C:C&amp;'Customer Code'!A:A,'Customer Code'!I:I)</f>
        <v>Normal</v>
      </c>
      <c r="E61" s="137" t="str">
        <f t="array" ref="E61">_xlfn.XLOOKUP(B61,'Product List'!B:B,'Product List'!I:I)</f>
        <v>MINI/MOE SMALL ANIMAL BEDDING PAPER FLAKE LAV FIELD 50LT</v>
      </c>
      <c r="F61" s="140">
        <v>25</v>
      </c>
      <c r="G61" s="165">
        <v>16</v>
      </c>
      <c r="H61" s="165">
        <v>13</v>
      </c>
      <c r="I61" s="165">
        <v>13</v>
      </c>
      <c r="J61" s="165">
        <v>14</v>
      </c>
      <c r="K61" s="165">
        <v>30</v>
      </c>
      <c r="L61" s="137">
        <f t="shared" si="0"/>
        <v>111</v>
      </c>
      <c r="M61" s="137">
        <v>722</v>
      </c>
      <c r="N61" s="137">
        <f t="shared" si="1"/>
        <v>0.153739612188366</v>
      </c>
      <c r="O61" s="137">
        <f t="shared" si="2"/>
        <v>0.0256232686980609</v>
      </c>
      <c r="P61" s="137"/>
      <c r="Q61" s="137">
        <f t="shared" si="3"/>
        <v>18.5</v>
      </c>
      <c r="R61" s="137">
        <f t="shared" si="4"/>
        <v>18.5</v>
      </c>
      <c r="S61" s="137">
        <f ca="1" t="shared" si="5"/>
        <v>10.5</v>
      </c>
      <c r="T61" s="137">
        <f ca="1">S61*R61*IF(_xlfn.XLOOKUP(B61,'Product List'!B:B,'Product List'!F:F)="A",1,IF(_xlfn.XLOOKUP(B61,'Product List'!B:B,'Product List'!F:F)="B",0.5,0))</f>
        <v>97.125</v>
      </c>
      <c r="U61" s="137" t="s">
        <v>93</v>
      </c>
      <c r="V61" s="164">
        <f>VLOOKUP(B61,'Product List'!B:C,2,0)</f>
        <v>698746777463</v>
      </c>
      <c r="W61" s="150"/>
      <c r="Y61" s="114"/>
      <c r="Z61" s="157"/>
      <c r="AA61" s="47"/>
    </row>
    <row r="62" customHeight="1" spans="1:27">
      <c r="A62" s="137">
        <v>50130114</v>
      </c>
      <c r="B62" s="137" t="str">
        <f>_xlfn.XLOOKUP(A62,'Customer Code'!B:B,'Customer Code'!C:C)</f>
        <v>CFDL9000-GN-YL</v>
      </c>
      <c r="C62" s="137" t="str">
        <f>_xlfn.XLOOKUP(A62,'Customer Code'!B:B,'Customer Code'!A:A)</f>
        <v>Pet Supplies Plus</v>
      </c>
      <c r="D62" s="137" t="str" cm="1">
        <f t="array" ref="D62">_xlfn.XLOOKUP(B62&amp;C62,'Customer Code'!C:C&amp;'Customer Code'!A:A,'Customer Code'!I:I)</f>
        <v>Normal</v>
      </c>
      <c r="E62" s="137" t="str">
        <f t="array" ref="E62">_xlfn.XLOOKUP(B62,'Product List'!B:B,'Product List'!I:I)</f>
        <v>MINI/MOE SMALL ANIMAL BEDDING ROLLED PAPER FOREST MIX 1EA</v>
      </c>
      <c r="F62" s="140">
        <v>1</v>
      </c>
      <c r="G62" s="165">
        <v>3</v>
      </c>
      <c r="H62" s="165">
        <v>5</v>
      </c>
      <c r="I62" s="165">
        <v>7</v>
      </c>
      <c r="J62" s="165">
        <v>1</v>
      </c>
      <c r="K62" s="165">
        <v>7</v>
      </c>
      <c r="L62" s="137">
        <f t="shared" si="0"/>
        <v>24</v>
      </c>
      <c r="M62" s="137">
        <v>703</v>
      </c>
      <c r="N62" s="137">
        <f t="shared" si="1"/>
        <v>0.0341394025604552</v>
      </c>
      <c r="O62" s="137">
        <f t="shared" si="2"/>
        <v>0.00568990042674253</v>
      </c>
      <c r="P62" s="137"/>
      <c r="Q62" s="137">
        <f t="shared" si="3"/>
        <v>4</v>
      </c>
      <c r="R62" s="137">
        <f t="shared" si="4"/>
        <v>4</v>
      </c>
      <c r="S62" s="137">
        <f ca="1" t="shared" si="5"/>
        <v>10.5</v>
      </c>
      <c r="T62" s="137">
        <f ca="1">S62*R62*IF(_xlfn.XLOOKUP(B62,'Product List'!B:B,'Product List'!F:F)="A",1,IF(_xlfn.XLOOKUP(B62,'Product List'!B:B,'Product List'!F:F)="B",0.5,0))</f>
        <v>21</v>
      </c>
      <c r="U62" s="137" t="s">
        <v>93</v>
      </c>
      <c r="V62" s="164">
        <f>VLOOKUP(B62,'Product List'!B:C,2,0)</f>
        <v>698746777418</v>
      </c>
      <c r="W62" s="150"/>
      <c r="Y62" s="114"/>
      <c r="Z62" s="157"/>
      <c r="AA62" s="47"/>
    </row>
    <row r="63" customHeight="1" spans="1:27">
      <c r="A63" s="137">
        <v>50130115</v>
      </c>
      <c r="B63" s="137" t="str">
        <f>_xlfn.XLOOKUP(A63,'Customer Code'!B:B,'Customer Code'!C:C)</f>
        <v>CFDL1090-BR</v>
      </c>
      <c r="C63" s="137" t="str">
        <f>_xlfn.XLOOKUP(A63,'Customer Code'!B:B,'Customer Code'!A:A)</f>
        <v>Pet Supplies Plus</v>
      </c>
      <c r="D63" s="137" t="str" cm="1">
        <f t="array" ref="D63">_xlfn.XLOOKUP(B63&amp;C63,'Customer Code'!C:C&amp;'Customer Code'!A:A,'Customer Code'!I:I)</f>
        <v>Normal</v>
      </c>
      <c r="E63" s="137" t="str">
        <f t="array" ref="E63">_xlfn.XLOOKUP(B63,'Product List'!B:B,'Product List'!I:I)</f>
        <v>MINI/MOE SMALL ANIMAL BEDDING CRINKLE PAPER BROWN 1EA</v>
      </c>
      <c r="F63" s="140">
        <v>8</v>
      </c>
      <c r="G63" s="165">
        <v>8</v>
      </c>
      <c r="H63" s="165">
        <v>8</v>
      </c>
      <c r="I63" s="165">
        <v>3</v>
      </c>
      <c r="J63" s="165">
        <v>6</v>
      </c>
      <c r="K63" s="165">
        <v>3</v>
      </c>
      <c r="L63" s="137">
        <f t="shared" si="0"/>
        <v>36</v>
      </c>
      <c r="M63" s="137">
        <v>247</v>
      </c>
      <c r="N63" s="137">
        <f t="shared" si="1"/>
        <v>0.145748987854251</v>
      </c>
      <c r="O63" s="137">
        <f t="shared" si="2"/>
        <v>0.0242914979757085</v>
      </c>
      <c r="P63" s="137"/>
      <c r="Q63" s="137">
        <f t="shared" si="3"/>
        <v>6</v>
      </c>
      <c r="R63" s="137">
        <f t="shared" si="4"/>
        <v>6</v>
      </c>
      <c r="S63" s="137">
        <f ca="1" t="shared" si="5"/>
        <v>10.5</v>
      </c>
      <c r="T63" s="137">
        <f ca="1">S63*R63*IF(_xlfn.XLOOKUP(B63,'Product List'!B:B,'Product List'!F:F)="A",1,IF(_xlfn.XLOOKUP(B63,'Product List'!B:B,'Product List'!F:F)="B",0.5,0))</f>
        <v>0</v>
      </c>
      <c r="U63" s="137" t="s">
        <v>93</v>
      </c>
      <c r="V63" s="164">
        <f>VLOOKUP(B63,'Product List'!B:C,2,0)</f>
        <v>698746777364</v>
      </c>
      <c r="W63" s="150"/>
      <c r="Y63" s="114"/>
      <c r="Z63" s="157"/>
      <c r="AA63" s="47"/>
    </row>
    <row r="64" customHeight="1" spans="1:27">
      <c r="A64" s="137">
        <v>50130116</v>
      </c>
      <c r="B64" s="137" t="str">
        <f>_xlfn.XLOOKUP(A64,'Customer Code'!B:B,'Customer Code'!C:C)</f>
        <v>T-1-BL-WH</v>
      </c>
      <c r="C64" s="137" t="str">
        <f>_xlfn.XLOOKUP(A64,'Customer Code'!B:B,'Customer Code'!A:A)</f>
        <v>Pet Supplies Plus</v>
      </c>
      <c r="D64" s="137" t="str" cm="1">
        <f t="array" ref="D64">_xlfn.XLOOKUP(B64&amp;C64,'Customer Code'!C:C&amp;'Customer Code'!A:A,'Customer Code'!I:I)</f>
        <v>Normal</v>
      </c>
      <c r="E64" s="137" t="str">
        <f t="array" ref="E64">_xlfn.XLOOKUP(B64,'Product List'!B:B,'Product List'!I:I)</f>
        <v>MINI/MOE SMALL ANIMAL BEDDING PAPER TWISTS</v>
      </c>
      <c r="F64" s="140">
        <v>5</v>
      </c>
      <c r="G64" s="165">
        <v>5</v>
      </c>
      <c r="H64" s="165">
        <v>7</v>
      </c>
      <c r="I64" s="165">
        <v>7</v>
      </c>
      <c r="J64" s="165">
        <v>11</v>
      </c>
      <c r="K64" s="165">
        <v>20</v>
      </c>
      <c r="L64" s="137">
        <f t="shared" si="0"/>
        <v>55</v>
      </c>
      <c r="M64" s="137">
        <v>722</v>
      </c>
      <c r="N64" s="137">
        <f t="shared" si="1"/>
        <v>0.0761772853185596</v>
      </c>
      <c r="O64" s="137">
        <f t="shared" si="2"/>
        <v>0.0126962142197599</v>
      </c>
      <c r="P64" s="137"/>
      <c r="Q64" s="137">
        <f t="shared" si="3"/>
        <v>9.16666666666667</v>
      </c>
      <c r="R64" s="137">
        <f t="shared" si="4"/>
        <v>9.16666666666667</v>
      </c>
      <c r="S64" s="137">
        <f ca="1" t="shared" si="5"/>
        <v>10.5</v>
      </c>
      <c r="T64" s="137">
        <f ca="1">S64*R64*IF(_xlfn.XLOOKUP(B64,'Product List'!B:B,'Product List'!F:F)="A",1,IF(_xlfn.XLOOKUP(B64,'Product List'!B:B,'Product List'!F:F)="B",0.5,0))</f>
        <v>0</v>
      </c>
      <c r="U64" s="137" t="s">
        <v>93</v>
      </c>
      <c r="V64" s="164">
        <f>VLOOKUP(B64,'Product List'!B:C,2,0)</f>
        <v>698746777210</v>
      </c>
      <c r="W64" s="150"/>
      <c r="Y64" s="114"/>
      <c r="Z64" s="157"/>
      <c r="AA64" s="47"/>
    </row>
    <row r="65" customHeight="1" spans="1:27">
      <c r="A65" s="137">
        <v>50130872</v>
      </c>
      <c r="B65" s="137" t="str">
        <f>_xlfn.XLOOKUP(A65,'Customer Code'!B:B,'Customer Code'!C:C)</f>
        <v>CFDL1090-PK</v>
      </c>
      <c r="C65" s="137" t="str">
        <f>_xlfn.XLOOKUP(A65,'Customer Code'!B:B,'Customer Code'!A:A)</f>
        <v>Pet Supplies Plus</v>
      </c>
      <c r="D65" s="137" t="str" cm="1">
        <f t="array" ref="D65">_xlfn.XLOOKUP(B65&amp;C65,'Customer Code'!C:C&amp;'Customer Code'!A:A,'Customer Code'!I:I)</f>
        <v>Normal</v>
      </c>
      <c r="E65" s="137" t="str">
        <f t="array" ref="E65">_xlfn.XLOOKUP(B65,'Product List'!B:B,'Product List'!I:I)</f>
        <v>MINI/MOE SMALL ANIMAL BEDDING PAPER PEBBLES PSTCH/CREAM 1EA</v>
      </c>
      <c r="F65" s="140">
        <v>0</v>
      </c>
      <c r="G65" s="165">
        <v>0</v>
      </c>
      <c r="H65" s="165">
        <v>2</v>
      </c>
      <c r="I65" s="165">
        <v>1</v>
      </c>
      <c r="J65" s="165">
        <v>2</v>
      </c>
      <c r="K65" s="165">
        <v>3</v>
      </c>
      <c r="L65" s="137">
        <f t="shared" si="0"/>
        <v>8</v>
      </c>
      <c r="M65" s="137">
        <v>96</v>
      </c>
      <c r="N65" s="137">
        <f t="shared" si="1"/>
        <v>0.0833333333333333</v>
      </c>
      <c r="O65" s="137">
        <f t="shared" si="2"/>
        <v>0.0138888888888889</v>
      </c>
      <c r="P65" s="137"/>
      <c r="Q65" s="137">
        <f t="shared" si="3"/>
        <v>1.33333333333333</v>
      </c>
      <c r="R65" s="137">
        <f t="shared" si="4"/>
        <v>1.33333333333333</v>
      </c>
      <c r="S65" s="137">
        <f ca="1" t="shared" si="5"/>
        <v>10.5</v>
      </c>
      <c r="T65" s="137">
        <f ca="1">S65*R65*IF(_xlfn.XLOOKUP(B65,'Product List'!B:B,'Product List'!F:F)="A",1,IF(_xlfn.XLOOKUP(B65,'Product List'!B:B,'Product List'!F:F)="B",0.5,0))</f>
        <v>0</v>
      </c>
      <c r="U65" s="137" t="s">
        <v>93</v>
      </c>
      <c r="V65" s="164">
        <f>VLOOKUP(B65,'Product List'!B:C,2,0)</f>
        <v>698746777180</v>
      </c>
      <c r="W65" s="150"/>
      <c r="Y65" s="114"/>
      <c r="Z65" s="157"/>
      <c r="AA65" s="47"/>
    </row>
    <row r="66" customHeight="1" spans="1:27">
      <c r="A66" s="137">
        <v>50130873</v>
      </c>
      <c r="B66" s="137" t="str">
        <f>_xlfn.XLOOKUP(A66,'Customer Code'!B:B,'Customer Code'!C:C)</f>
        <v>ZM003-GN-WH</v>
      </c>
      <c r="C66" s="137" t="str">
        <f>_xlfn.XLOOKUP(A66,'Customer Code'!B:B,'Customer Code'!A:A)</f>
        <v>Pet Supplies Plus</v>
      </c>
      <c r="D66" s="137" t="str" cm="1">
        <f t="array" ref="D66">_xlfn.XLOOKUP(B66&amp;C66,'Customer Code'!C:C&amp;'Customer Code'!A:A,'Customer Code'!I:I)</f>
        <v>Normal</v>
      </c>
      <c r="E66" s="137" t="str">
        <f t="array" ref="E66">_xlfn.XLOOKUP(B66,'Product List'!B:B,'Product List'!I:I)</f>
        <v>MINI/MOE SMALL ANIMAL BEDDING PAPER PEBBLES PSTCH/CREAM 1EA</v>
      </c>
      <c r="F66" s="140">
        <v>0</v>
      </c>
      <c r="G66" s="165">
        <v>0</v>
      </c>
      <c r="H66" s="165">
        <v>2</v>
      </c>
      <c r="I66" s="165">
        <v>0</v>
      </c>
      <c r="J66" s="165">
        <v>0</v>
      </c>
      <c r="K66" s="165">
        <v>1</v>
      </c>
      <c r="L66" s="137">
        <f t="shared" ref="L66:L82" si="8">IF(D66="Normal",SUM(F66:K66),0)</f>
        <v>3</v>
      </c>
      <c r="M66" s="137">
        <v>96</v>
      </c>
      <c r="N66" s="137">
        <f t="shared" ref="N66:N82" si="9">IF(OR(L66=0,M66&lt;=0),0,L66/M66)</f>
        <v>0.03125</v>
      </c>
      <c r="O66" s="137">
        <f t="shared" ref="O66:O82" si="10">IF(COUNT(F66:K66)=0,0,N66/COUNT(F66:K66))</f>
        <v>0.00520833333333333</v>
      </c>
      <c r="P66" s="137"/>
      <c r="Q66" s="137">
        <f t="shared" ref="Q66:Q82" si="11">IF(OR(D66&lt;&gt;"Normal",COUNT(F66:K66)=0),0,AVERAGE(F66:K66))</f>
        <v>0.5</v>
      </c>
      <c r="R66" s="137">
        <f t="shared" ref="R66:R82" si="12">IF(D66&lt;&gt;"Normal",0,IF(M66&gt;0,Q66*(M66+P66)/M66,Q66))</f>
        <v>0.5</v>
      </c>
      <c r="S66" s="137">
        <f ca="1" t="shared" ref="S66:S82" si="13">SUMIF(Z:Z,C:C,AF:AF)</f>
        <v>10.5</v>
      </c>
      <c r="T66" s="137">
        <f ca="1">S66*R66*IF(_xlfn.XLOOKUP(B66,'Product List'!B:B,'Product List'!F:F)="A",1,IF(_xlfn.XLOOKUP(B66,'Product List'!B:B,'Product List'!F:F)="B",0.5,0))</f>
        <v>0</v>
      </c>
      <c r="U66" s="137" t="s">
        <v>93</v>
      </c>
      <c r="V66" s="164">
        <f>VLOOKUP(B66,'Product List'!B:C,2,0)</f>
        <v>698746777500</v>
      </c>
      <c r="W66" s="150"/>
      <c r="Y66" s="114"/>
      <c r="Z66" s="157"/>
      <c r="AA66" s="47"/>
    </row>
    <row r="67" customHeight="1" spans="1:27">
      <c r="A67" s="137">
        <v>50130874</v>
      </c>
      <c r="B67" s="137" t="str">
        <f>_xlfn.XLOOKUP(A67,'Customer Code'!B:B,'Customer Code'!C:C)</f>
        <v>ZM1.2-RD-GN</v>
      </c>
      <c r="C67" s="137" t="str">
        <f>_xlfn.XLOOKUP(A67,'Customer Code'!B:B,'Customer Code'!A:A)</f>
        <v>Pet Supplies Plus</v>
      </c>
      <c r="D67" s="137" t="str" cm="1">
        <f t="array" ref="D67">_xlfn.XLOOKUP(B67&amp;C67,'Customer Code'!C:C&amp;'Customer Code'!A:A,'Customer Code'!I:I)</f>
        <v>Normal</v>
      </c>
      <c r="E67" s="137" t="str">
        <f t="array" ref="E67">_xlfn.XLOOKUP(B67,'Product List'!B:B,'Product List'!I:I)</f>
        <v>MINI/MOE SMALL ANIMAL BEDDING PAPER FLK XMAS CRAN/MATCHA 1EA</v>
      </c>
      <c r="F67" s="140">
        <v>0</v>
      </c>
      <c r="G67" s="165">
        <v>0</v>
      </c>
      <c r="H67" s="165">
        <v>0</v>
      </c>
      <c r="I67" s="165">
        <v>0</v>
      </c>
      <c r="J67" s="165">
        <v>2</v>
      </c>
      <c r="K67" s="165">
        <v>0</v>
      </c>
      <c r="L67" s="137">
        <f t="shared" si="8"/>
        <v>2</v>
      </c>
      <c r="M67" s="137">
        <v>96</v>
      </c>
      <c r="N67" s="137">
        <f t="shared" si="9"/>
        <v>0.0208333333333333</v>
      </c>
      <c r="O67" s="137">
        <f t="shared" si="10"/>
        <v>0.00347222222222222</v>
      </c>
      <c r="P67" s="137"/>
      <c r="Q67" s="137">
        <f t="shared" si="11"/>
        <v>0.333333333333333</v>
      </c>
      <c r="R67" s="137">
        <f t="shared" si="12"/>
        <v>0.333333333333333</v>
      </c>
      <c r="S67" s="137">
        <f ca="1" t="shared" si="13"/>
        <v>10.5</v>
      </c>
      <c r="T67" s="137">
        <f ca="1">S67*R67*IF(_xlfn.XLOOKUP(B67,'Product List'!B:B,'Product List'!F:F)="A",1,IF(_xlfn.XLOOKUP(B67,'Product List'!B:B,'Product List'!F:F)="B",0.5,0))</f>
        <v>0</v>
      </c>
      <c r="U67" s="137" t="s">
        <v>93</v>
      </c>
      <c r="V67" s="164">
        <f>VLOOKUP(B67,'Product List'!B:C,2,0)</f>
        <v>698746777203</v>
      </c>
      <c r="W67" s="150"/>
      <c r="Y67" s="114"/>
      <c r="Z67" s="157"/>
      <c r="AA67" s="47"/>
    </row>
    <row r="68" customHeight="1" spans="1:27">
      <c r="A68" s="137">
        <v>50130875</v>
      </c>
      <c r="B68" s="137" t="str">
        <f>_xlfn.XLOOKUP(A68,'Customer Code'!B:B,'Customer Code'!C:C)</f>
        <v>T-1-BR-WH</v>
      </c>
      <c r="C68" s="137" t="str">
        <f>_xlfn.XLOOKUP(A68,'Customer Code'!B:B,'Customer Code'!A:A)</f>
        <v>Pet Supplies Plus</v>
      </c>
      <c r="D68" s="137" t="str" cm="1">
        <f t="array" ref="D68">_xlfn.XLOOKUP(B68&amp;C68,'Customer Code'!C:C&amp;'Customer Code'!A:A,'Customer Code'!I:I)</f>
        <v>Normal</v>
      </c>
      <c r="E68" s="137" t="str">
        <f t="array" ref="E68">_xlfn.XLOOKUP(B68,'Product List'!B:B,'Product List'!I:I)</f>
        <v>Paper twist brown / white bedding</v>
      </c>
      <c r="F68" s="140">
        <v>0</v>
      </c>
      <c r="G68" s="165">
        <v>0</v>
      </c>
      <c r="H68" s="165">
        <v>0</v>
      </c>
      <c r="I68" s="165">
        <v>0</v>
      </c>
      <c r="J68" s="165">
        <v>0</v>
      </c>
      <c r="K68" s="165">
        <v>3</v>
      </c>
      <c r="L68" s="137">
        <f t="shared" si="8"/>
        <v>3</v>
      </c>
      <c r="M68" s="137">
        <v>96</v>
      </c>
      <c r="N68" s="137">
        <f t="shared" si="9"/>
        <v>0.03125</v>
      </c>
      <c r="O68" s="137">
        <f t="shared" si="10"/>
        <v>0.00520833333333333</v>
      </c>
      <c r="P68" s="137"/>
      <c r="Q68" s="137">
        <f t="shared" si="11"/>
        <v>0.5</v>
      </c>
      <c r="R68" s="137">
        <f t="shared" si="12"/>
        <v>0.5</v>
      </c>
      <c r="S68" s="137">
        <f ca="1" t="shared" si="13"/>
        <v>10.5</v>
      </c>
      <c r="T68" s="137">
        <f ca="1">S68*R68*IF(_xlfn.XLOOKUP(B68,'Product List'!B:B,'Product List'!F:F)="A",1,IF(_xlfn.XLOOKUP(B68,'Product List'!B:B,'Product List'!F:F)="B",0.5,0))</f>
        <v>0</v>
      </c>
      <c r="U68" s="137" t="s">
        <v>93</v>
      </c>
      <c r="V68" s="164">
        <f>VLOOKUP(B68,'Product List'!B:C,2,0)</f>
        <v>698746777050</v>
      </c>
      <c r="W68" s="150"/>
      <c r="Y68" s="114"/>
      <c r="Z68" s="157"/>
      <c r="AA68" s="47"/>
    </row>
    <row r="69" customHeight="1" spans="1:27">
      <c r="A69" s="137">
        <v>50130876</v>
      </c>
      <c r="B69" s="137" t="str">
        <f>_xlfn.XLOOKUP(A69,'Customer Code'!B:B,'Customer Code'!C:C)</f>
        <v>CPSH54000WH</v>
      </c>
      <c r="C69" s="137" t="str">
        <f>_xlfn.XLOOKUP(A69,'Customer Code'!B:B,'Customer Code'!A:A)</f>
        <v>Pet Supplies Plus</v>
      </c>
      <c r="D69" s="137" t="str" cm="1">
        <f t="array" ref="D69">_xlfn.XLOOKUP(B69&amp;C69,'Customer Code'!C:C&amp;'Customer Code'!A:A,'Customer Code'!I:I)</f>
        <v>Normal</v>
      </c>
      <c r="E69" s="137" t="str">
        <f t="array" ref="E69">_xlfn.XLOOKUP(B69,'Product List'!B:B,'Product List'!I:I)</f>
        <v>NONO Magnetic Water Bottle (220 ML)</v>
      </c>
      <c r="F69" s="140">
        <v>0</v>
      </c>
      <c r="G69" s="165">
        <v>0</v>
      </c>
      <c r="H69" s="165">
        <v>7</v>
      </c>
      <c r="I69" s="165">
        <v>10</v>
      </c>
      <c r="J69" s="165">
        <v>14</v>
      </c>
      <c r="K69" s="165">
        <v>15</v>
      </c>
      <c r="L69" s="137">
        <f t="shared" si="8"/>
        <v>46</v>
      </c>
      <c r="M69" s="137">
        <v>97</v>
      </c>
      <c r="N69" s="137">
        <f t="shared" si="9"/>
        <v>0.474226804123711</v>
      </c>
      <c r="O69" s="137">
        <f t="shared" si="10"/>
        <v>0.0790378006872852</v>
      </c>
      <c r="P69" s="137"/>
      <c r="Q69" s="137">
        <f t="shared" si="11"/>
        <v>7.66666666666667</v>
      </c>
      <c r="R69" s="137">
        <f t="shared" si="12"/>
        <v>7.66666666666667</v>
      </c>
      <c r="S69" s="137">
        <f ca="1" t="shared" si="13"/>
        <v>10.5</v>
      </c>
      <c r="T69" s="137">
        <f ca="1">S69*R69*IF(_xlfn.XLOOKUP(B69,'Product List'!B:B,'Product List'!F:F)="A",1,IF(_xlfn.XLOOKUP(B69,'Product List'!B:B,'Product List'!F:F)="B",0.5,0))</f>
        <v>0</v>
      </c>
      <c r="U69" s="137" t="s">
        <v>93</v>
      </c>
      <c r="V69" s="164">
        <f>VLOOKUP(B69,'Product List'!B:C,2,0)</f>
        <v>698746776688</v>
      </c>
      <c r="W69" s="150"/>
      <c r="Y69" s="114"/>
      <c r="Z69" s="157"/>
      <c r="AA69" s="47"/>
    </row>
    <row r="70" customHeight="1" spans="1:27">
      <c r="A70" s="137">
        <v>50130877</v>
      </c>
      <c r="B70" s="137" t="str">
        <f>_xlfn.XLOOKUP(A70,'Customer Code'!B:B,'Customer Code'!C:C)</f>
        <v>T-41</v>
      </c>
      <c r="C70" s="137" t="str">
        <f>_xlfn.XLOOKUP(A70,'Customer Code'!B:B,'Customer Code'!A:A)</f>
        <v>Pet Supplies Plus</v>
      </c>
      <c r="D70" s="137" t="str" cm="1">
        <f t="array" ref="D70">_xlfn.XLOOKUP(B70&amp;C70,'Customer Code'!C:C&amp;'Customer Code'!A:A,'Customer Code'!I:I)</f>
        <v>Normal</v>
      </c>
      <c r="E70" s="137" t="str">
        <f t="array" ref="E70">_xlfn.XLOOKUP(B70,'Product List'!B:B,'Product List'!I:I)</f>
        <v>Forest Series Hamster Chew Toy &amp; Treat</v>
      </c>
      <c r="F70" s="140">
        <v>0</v>
      </c>
      <c r="G70" s="165">
        <v>0</v>
      </c>
      <c r="H70" s="165">
        <v>4</v>
      </c>
      <c r="I70" s="165">
        <v>3</v>
      </c>
      <c r="J70" s="165">
        <v>5</v>
      </c>
      <c r="K70" s="165">
        <v>6</v>
      </c>
      <c r="L70" s="137">
        <f t="shared" si="8"/>
        <v>18</v>
      </c>
      <c r="M70" s="137">
        <v>96</v>
      </c>
      <c r="N70" s="137">
        <f t="shared" si="9"/>
        <v>0.1875</v>
      </c>
      <c r="O70" s="137">
        <f t="shared" si="10"/>
        <v>0.03125</v>
      </c>
      <c r="P70" s="137"/>
      <c r="Q70" s="137">
        <f t="shared" si="11"/>
        <v>3</v>
      </c>
      <c r="R70" s="137">
        <f t="shared" si="12"/>
        <v>3</v>
      </c>
      <c r="S70" s="137">
        <f ca="1" t="shared" si="13"/>
        <v>10.5</v>
      </c>
      <c r="T70" s="137">
        <f ca="1">S70*R70*IF(_xlfn.XLOOKUP(B70,'Product List'!B:B,'Product List'!F:F)="A",1,IF(_xlfn.XLOOKUP(B70,'Product List'!B:B,'Product List'!F:F)="B",0.5,0))</f>
        <v>0</v>
      </c>
      <c r="U70" s="137" t="s">
        <v>93</v>
      </c>
      <c r="V70" s="164">
        <f>VLOOKUP(B70,'Product List'!B:C,2,0)</f>
        <v>698746777005</v>
      </c>
      <c r="W70" s="150"/>
      <c r="Y70" s="114"/>
      <c r="Z70" s="157"/>
      <c r="AA70" s="47"/>
    </row>
    <row r="71" customHeight="1" spans="1:27">
      <c r="A71" s="137">
        <v>50130878</v>
      </c>
      <c r="B71" s="137" t="str">
        <f>_xlfn.XLOOKUP(A71,'Customer Code'!B:B,'Customer Code'!C:C)</f>
        <v>CFLS64000YE</v>
      </c>
      <c r="C71" s="137" t="str">
        <f>_xlfn.XLOOKUP(A71,'Customer Code'!B:B,'Customer Code'!A:A)</f>
        <v>Pet Supplies Plus</v>
      </c>
      <c r="D71" s="137" t="str" cm="1">
        <f t="array" ref="D71">_xlfn.XLOOKUP(B71&amp;C71,'Customer Code'!C:C&amp;'Customer Code'!A:A,'Customer Code'!I:I)</f>
        <v>Normal</v>
      </c>
      <c r="E71" s="137" t="str">
        <f t="array" ref="E71">_xlfn.XLOOKUP(B71,'Product List'!B:B,'Product List'!I:I)</f>
        <v>MMO-CAMP LUNCH BOX CHEW</v>
      </c>
      <c r="F71" s="140">
        <v>0</v>
      </c>
      <c r="G71" s="165">
        <v>0</v>
      </c>
      <c r="H71" s="165">
        <v>5</v>
      </c>
      <c r="I71" s="165">
        <v>14</v>
      </c>
      <c r="J71" s="165">
        <v>9</v>
      </c>
      <c r="K71" s="165">
        <v>17</v>
      </c>
      <c r="L71" s="137">
        <f t="shared" si="8"/>
        <v>45</v>
      </c>
      <c r="M71" s="137">
        <v>96</v>
      </c>
      <c r="N71" s="137">
        <f t="shared" si="9"/>
        <v>0.46875</v>
      </c>
      <c r="O71" s="137">
        <f t="shared" si="10"/>
        <v>0.078125</v>
      </c>
      <c r="P71" s="137"/>
      <c r="Q71" s="137">
        <f t="shared" si="11"/>
        <v>7.5</v>
      </c>
      <c r="R71" s="137">
        <f t="shared" si="12"/>
        <v>7.5</v>
      </c>
      <c r="S71" s="137">
        <f ca="1" t="shared" si="13"/>
        <v>10.5</v>
      </c>
      <c r="T71" s="137">
        <f ca="1">S71*R71*IF(_xlfn.XLOOKUP(B71,'Product List'!B:B,'Product List'!F:F)="A",1,IF(_xlfn.XLOOKUP(B71,'Product List'!B:B,'Product List'!F:F)="B",0.5,0))</f>
        <v>39.375</v>
      </c>
      <c r="U71" s="137" t="s">
        <v>93</v>
      </c>
      <c r="V71" s="164">
        <f>VLOOKUP(B71,'Product List'!B:C,2,0)</f>
        <v>698746777012</v>
      </c>
      <c r="W71" s="150"/>
      <c r="Y71" s="114"/>
      <c r="Z71" s="157"/>
      <c r="AA71" s="47"/>
    </row>
    <row r="72" customHeight="1" spans="1:27">
      <c r="A72" s="137">
        <v>50130879</v>
      </c>
      <c r="B72" s="137" t="str">
        <f>_xlfn.XLOOKUP(A72,'Customer Code'!B:B,'Customer Code'!C:C)</f>
        <v>CFLS18000</v>
      </c>
      <c r="C72" s="137" t="str">
        <f>_xlfn.XLOOKUP(A72,'Customer Code'!B:B,'Customer Code'!A:A)</f>
        <v>Pet Supplies Plus</v>
      </c>
      <c r="D72" s="137" t="str" cm="1">
        <f t="array" ref="D72">_xlfn.XLOOKUP(B72&amp;C72,'Customer Code'!C:C&amp;'Customer Code'!A:A,'Customer Code'!I:I)</f>
        <v>Normal</v>
      </c>
      <c r="E72" s="137" t="str">
        <f t="array" ref="E72">_xlfn.XLOOKUP(B72,'Product List'!B:B,'Product List'!I:I)</f>
        <v>MMO-GREEN APPLE CHEW</v>
      </c>
      <c r="F72" s="140">
        <v>0</v>
      </c>
      <c r="G72" s="165">
        <v>0</v>
      </c>
      <c r="H72" s="165">
        <v>6</v>
      </c>
      <c r="I72" s="165">
        <v>9</v>
      </c>
      <c r="J72" s="165">
        <v>10</v>
      </c>
      <c r="K72" s="165">
        <v>7</v>
      </c>
      <c r="L72" s="137">
        <f t="shared" si="8"/>
        <v>32</v>
      </c>
      <c r="M72" s="137">
        <v>96</v>
      </c>
      <c r="N72" s="137">
        <f t="shared" si="9"/>
        <v>0.333333333333333</v>
      </c>
      <c r="O72" s="137">
        <f t="shared" si="10"/>
        <v>0.0555555555555556</v>
      </c>
      <c r="P72" s="137"/>
      <c r="Q72" s="137">
        <f t="shared" si="11"/>
        <v>5.33333333333333</v>
      </c>
      <c r="R72" s="137">
        <f t="shared" si="12"/>
        <v>5.33333333333333</v>
      </c>
      <c r="S72" s="137">
        <f ca="1" t="shared" si="13"/>
        <v>10.5</v>
      </c>
      <c r="T72" s="137">
        <f ca="1">S72*R72*IF(_xlfn.XLOOKUP(B72,'Product List'!B:B,'Product List'!F:F)="A",1,IF(_xlfn.XLOOKUP(B72,'Product List'!B:B,'Product List'!F:F)="B",0.5,0))</f>
        <v>28</v>
      </c>
      <c r="U72" s="137" t="s">
        <v>93</v>
      </c>
      <c r="V72" s="164">
        <f>VLOOKUP(B72,'Product List'!B:C,2,0)</f>
        <v>698746777081</v>
      </c>
      <c r="W72" s="150"/>
      <c r="Y72" s="114"/>
      <c r="Z72" s="157"/>
      <c r="AA72" s="47"/>
    </row>
    <row r="73" customHeight="1" spans="1:27">
      <c r="A73" s="137">
        <v>50130880</v>
      </c>
      <c r="B73" s="137" t="str">
        <f>_xlfn.XLOOKUP(A73,'Customer Code'!B:B,'Customer Code'!C:C)</f>
        <v>CPWJ181002RD</v>
      </c>
      <c r="C73" s="137" t="str">
        <f>_xlfn.XLOOKUP(A73,'Customer Code'!B:B,'Customer Code'!A:A)</f>
        <v>Pet Supplies Plus</v>
      </c>
      <c r="D73" s="137" t="str" cm="1">
        <f t="array" ref="D73">_xlfn.XLOOKUP(B73&amp;C73,'Customer Code'!C:C&amp;'Customer Code'!A:A,'Customer Code'!I:I)</f>
        <v>Normal</v>
      </c>
      <c r="E73" s="137" t="str">
        <f t="array" ref="E73">_xlfn.XLOOKUP(B73,'Product List'!B:B,'Product List'!I:I)</f>
        <v>Mushroom Spiral Staircase</v>
      </c>
      <c r="F73" s="140">
        <v>0</v>
      </c>
      <c r="G73" s="165">
        <v>1</v>
      </c>
      <c r="H73" s="165">
        <v>3</v>
      </c>
      <c r="I73" s="165">
        <v>5</v>
      </c>
      <c r="J73" s="165">
        <v>6</v>
      </c>
      <c r="K73" s="165">
        <v>7</v>
      </c>
      <c r="L73" s="137">
        <f t="shared" si="8"/>
        <v>22</v>
      </c>
      <c r="M73" s="137">
        <v>96</v>
      </c>
      <c r="N73" s="137">
        <f t="shared" si="9"/>
        <v>0.229166666666667</v>
      </c>
      <c r="O73" s="137">
        <f t="shared" si="10"/>
        <v>0.0381944444444444</v>
      </c>
      <c r="P73" s="137"/>
      <c r="Q73" s="137">
        <f t="shared" si="11"/>
        <v>3.66666666666667</v>
      </c>
      <c r="R73" s="137">
        <f t="shared" si="12"/>
        <v>3.66666666666667</v>
      </c>
      <c r="S73" s="137">
        <f ca="1" t="shared" si="13"/>
        <v>10.5</v>
      </c>
      <c r="T73" s="137">
        <f ca="1">S73*R73*IF(_xlfn.XLOOKUP(B73,'Product List'!B:B,'Product List'!F:F)="A",1,IF(_xlfn.XLOOKUP(B73,'Product List'!B:B,'Product List'!F:F)="B",0.5,0))</f>
        <v>0</v>
      </c>
      <c r="U73" s="137" t="s">
        <v>93</v>
      </c>
      <c r="V73" s="164">
        <f>VLOOKUP(B73,'Product List'!B:C,2,0)</f>
        <v>698746777029</v>
      </c>
      <c r="W73" s="150"/>
      <c r="Y73" s="114"/>
      <c r="Z73" s="157"/>
      <c r="AA73" s="47"/>
    </row>
    <row r="74" customHeight="1" spans="1:27">
      <c r="A74" s="137">
        <v>50130881</v>
      </c>
      <c r="B74" s="137" t="str">
        <f>_xlfn.XLOOKUP(A74,'Customer Code'!B:B,'Customer Code'!C:C)</f>
        <v>WJ-39-GN</v>
      </c>
      <c r="C74" s="137" t="str">
        <f>_xlfn.XLOOKUP(A74,'Customer Code'!B:B,'Customer Code'!A:A)</f>
        <v>Pet Supplies Plus</v>
      </c>
      <c r="D74" s="137" t="str" cm="1">
        <f t="array" ref="D74">_xlfn.XLOOKUP(B74&amp;C74,'Customer Code'!C:C&amp;'Customer Code'!A:A,'Customer Code'!I:I)</f>
        <v>Normal</v>
      </c>
      <c r="E74" s="137" t="str">
        <f t="array" ref="E74">_xlfn.XLOOKUP(B74,'Product List'!B:B,'Product List'!I:I)</f>
        <v>Silent Crystal Running Wheel XL</v>
      </c>
      <c r="F74" s="140">
        <v>0</v>
      </c>
      <c r="G74" s="165">
        <v>0</v>
      </c>
      <c r="H74" s="165">
        <v>0</v>
      </c>
      <c r="I74" s="165">
        <v>1</v>
      </c>
      <c r="J74" s="165">
        <v>1</v>
      </c>
      <c r="K74" s="165">
        <v>1</v>
      </c>
      <c r="L74" s="137">
        <f t="shared" si="8"/>
        <v>3</v>
      </c>
      <c r="M74" s="137">
        <v>96</v>
      </c>
      <c r="N74" s="137">
        <f t="shared" si="9"/>
        <v>0.03125</v>
      </c>
      <c r="O74" s="137">
        <f t="shared" si="10"/>
        <v>0.00520833333333333</v>
      </c>
      <c r="P74" s="137"/>
      <c r="Q74" s="137">
        <f t="shared" si="11"/>
        <v>0.5</v>
      </c>
      <c r="R74" s="137">
        <f t="shared" si="12"/>
        <v>0.5</v>
      </c>
      <c r="S74" s="137">
        <f ca="1" t="shared" si="13"/>
        <v>10.5</v>
      </c>
      <c r="T74" s="137">
        <f ca="1">S74*R74*IF(_xlfn.XLOOKUP(B74,'Product List'!B:B,'Product List'!F:F)="A",1,IF(_xlfn.XLOOKUP(B74,'Product List'!B:B,'Product List'!F:F)="B",0.5,0))</f>
        <v>2.625</v>
      </c>
      <c r="U74" s="137" t="s">
        <v>93</v>
      </c>
      <c r="V74" s="164">
        <f>VLOOKUP(B74,'Product List'!B:C,2,0)</f>
        <v>850030338464</v>
      </c>
      <c r="W74" s="150"/>
      <c r="Y74" s="114"/>
      <c r="Z74" s="157"/>
      <c r="AA74" s="47"/>
    </row>
    <row r="75" customHeight="1" spans="1:27">
      <c r="A75" s="137">
        <v>50130882</v>
      </c>
      <c r="B75" s="137" t="str">
        <f>_xlfn.XLOOKUP(A75,'Customer Code'!B:B,'Customer Code'!C:C)</f>
        <v>WJ-14-B</v>
      </c>
      <c r="C75" s="137" t="str">
        <f>_xlfn.XLOOKUP(A75,'Customer Code'!B:B,'Customer Code'!A:A)</f>
        <v>Pet Supplies Plus</v>
      </c>
      <c r="D75" s="137" t="str" cm="1">
        <f t="array" ref="D75">_xlfn.XLOOKUP(B75&amp;C75,'Customer Code'!C:C&amp;'Customer Code'!A:A,'Customer Code'!I:I)</f>
        <v>Normal</v>
      </c>
      <c r="E75" s="137" t="str">
        <f t="array" ref="E75">_xlfn.XLOOKUP(B75,'Product List'!B:B,'Product List'!I:I)</f>
        <v>Little Devil Travel Cage</v>
      </c>
      <c r="F75" s="140">
        <v>0</v>
      </c>
      <c r="G75" s="165">
        <v>0</v>
      </c>
      <c r="H75" s="165">
        <v>5</v>
      </c>
      <c r="I75" s="165">
        <v>2</v>
      </c>
      <c r="J75" s="165">
        <v>8</v>
      </c>
      <c r="K75" s="165">
        <v>9</v>
      </c>
      <c r="L75" s="137">
        <f t="shared" si="8"/>
        <v>24</v>
      </c>
      <c r="M75" s="137">
        <v>96</v>
      </c>
      <c r="N75" s="137">
        <f t="shared" si="9"/>
        <v>0.25</v>
      </c>
      <c r="O75" s="137">
        <f t="shared" si="10"/>
        <v>0.0416666666666667</v>
      </c>
      <c r="P75" s="137"/>
      <c r="Q75" s="137">
        <f t="shared" si="11"/>
        <v>4</v>
      </c>
      <c r="R75" s="137">
        <f t="shared" si="12"/>
        <v>4</v>
      </c>
      <c r="S75" s="137">
        <f ca="1" t="shared" si="13"/>
        <v>10.5</v>
      </c>
      <c r="T75" s="137">
        <f ca="1">S75*R75*IF(_xlfn.XLOOKUP(B75,'Product List'!B:B,'Product List'!F:F)="A",1,IF(_xlfn.XLOOKUP(B75,'Product List'!B:B,'Product List'!F:F)="B",0.5,0))</f>
        <v>0</v>
      </c>
      <c r="U75" s="137" t="s">
        <v>93</v>
      </c>
      <c r="V75" s="164">
        <f>VLOOKUP(B75,'Product List'!B:C,2,0)</f>
        <v>850030338921</v>
      </c>
      <c r="W75" s="150"/>
      <c r="Y75" s="114"/>
      <c r="Z75" s="157"/>
      <c r="AA75" s="47"/>
    </row>
    <row r="76" customHeight="1" spans="1:27">
      <c r="A76" s="137">
        <v>50130883</v>
      </c>
      <c r="B76" s="137" t="str">
        <f>_xlfn.XLOOKUP(A76,'Customer Code'!B:B,'Customer Code'!C:C)</f>
        <v>R-63</v>
      </c>
      <c r="C76" s="137" t="str">
        <f>_xlfn.XLOOKUP(A76,'Customer Code'!B:B,'Customer Code'!A:A)</f>
        <v>Pet Supplies Plus</v>
      </c>
      <c r="D76" s="137" t="str" cm="1">
        <f t="array" ref="D76">_xlfn.XLOOKUP(B76&amp;C76,'Customer Code'!C:C&amp;'Customer Code'!A:A,'Customer Code'!I:I)</f>
        <v>Normal</v>
      </c>
      <c r="E76" s="137" t="str">
        <f t="array" ref="E76">_xlfn.XLOOKUP(B76,'Product List'!B:B,'Product List'!I:I)</f>
        <v>Candy House</v>
      </c>
      <c r="F76" s="140">
        <v>0</v>
      </c>
      <c r="G76" s="165">
        <v>0</v>
      </c>
      <c r="H76" s="165">
        <v>1</v>
      </c>
      <c r="I76" s="165">
        <v>6</v>
      </c>
      <c r="J76" s="165">
        <v>4</v>
      </c>
      <c r="K76" s="165">
        <v>8</v>
      </c>
      <c r="L76" s="137">
        <f t="shared" si="8"/>
        <v>19</v>
      </c>
      <c r="M76" s="137">
        <v>96</v>
      </c>
      <c r="N76" s="137">
        <f t="shared" si="9"/>
        <v>0.197916666666667</v>
      </c>
      <c r="O76" s="137">
        <f t="shared" si="10"/>
        <v>0.0329861111111111</v>
      </c>
      <c r="P76" s="137"/>
      <c r="Q76" s="137">
        <f t="shared" si="11"/>
        <v>3.16666666666667</v>
      </c>
      <c r="R76" s="137">
        <f t="shared" si="12"/>
        <v>3.16666666666667</v>
      </c>
      <c r="S76" s="137">
        <f ca="1" t="shared" si="13"/>
        <v>10.5</v>
      </c>
      <c r="T76" s="137">
        <f ca="1">S76*R76*IF(_xlfn.XLOOKUP(B76,'Product List'!B:B,'Product List'!F:F)="A",1,IF(_xlfn.XLOOKUP(B76,'Product List'!B:B,'Product List'!F:F)="B",0.5,0))</f>
        <v>0</v>
      </c>
      <c r="U76" s="137" t="s">
        <v>93</v>
      </c>
      <c r="V76" s="164">
        <f>VLOOKUP(B76,'Product List'!B:C,2,0)</f>
        <v>850030338280</v>
      </c>
      <c r="W76" s="150"/>
      <c r="Y76" s="114"/>
      <c r="Z76" s="157"/>
      <c r="AA76" s="47"/>
    </row>
    <row r="77" customHeight="1" spans="1:27">
      <c r="A77" s="137">
        <v>50130885</v>
      </c>
      <c r="B77" s="137" t="str">
        <f>_xlfn.XLOOKUP(A77,'Customer Code'!B:B,'Customer Code'!C:C)</f>
        <v>R-66</v>
      </c>
      <c r="C77" s="137" t="str">
        <f>_xlfn.XLOOKUP(A77,'Customer Code'!B:B,'Customer Code'!A:A)</f>
        <v>Pet Supplies Plus</v>
      </c>
      <c r="D77" s="137" t="str" cm="1">
        <f t="array" ref="D77">_xlfn.XLOOKUP(B77&amp;C77,'Customer Code'!C:C&amp;'Customer Code'!A:A,'Customer Code'!I:I)</f>
        <v>Normal</v>
      </c>
      <c r="E77" s="137" t="str">
        <f t="array" ref="E77">_xlfn.XLOOKUP(B77,'Product List'!B:B,'Product List'!I:I)</f>
        <v>Sugar Jar</v>
      </c>
      <c r="F77" s="140">
        <v>0</v>
      </c>
      <c r="G77" s="165">
        <v>0</v>
      </c>
      <c r="H77" s="165">
        <v>2</v>
      </c>
      <c r="I77" s="165">
        <v>1</v>
      </c>
      <c r="J77" s="165">
        <v>1</v>
      </c>
      <c r="K77" s="165">
        <v>1</v>
      </c>
      <c r="L77" s="137">
        <f t="shared" si="8"/>
        <v>5</v>
      </c>
      <c r="M77" s="137">
        <v>96</v>
      </c>
      <c r="N77" s="137">
        <f t="shared" si="9"/>
        <v>0.0520833333333333</v>
      </c>
      <c r="O77" s="137">
        <f t="shared" si="10"/>
        <v>0.00868055555555556</v>
      </c>
      <c r="P77" s="137"/>
      <c r="Q77" s="137">
        <f t="shared" si="11"/>
        <v>0.833333333333333</v>
      </c>
      <c r="R77" s="137">
        <f t="shared" si="12"/>
        <v>0.833333333333333</v>
      </c>
      <c r="S77" s="137">
        <f ca="1" t="shared" si="13"/>
        <v>10.5</v>
      </c>
      <c r="T77" s="137">
        <f ca="1">S77*R77*IF(_xlfn.XLOOKUP(B77,'Product List'!B:B,'Product List'!F:F)="A",1,IF(_xlfn.XLOOKUP(B77,'Product List'!B:B,'Product List'!F:F)="B",0.5,0))</f>
        <v>0</v>
      </c>
      <c r="U77" s="137" t="s">
        <v>93</v>
      </c>
      <c r="V77" s="164">
        <f>VLOOKUP(B77,'Product List'!B:C,2,0)</f>
        <v>850030338273</v>
      </c>
      <c r="W77" s="150"/>
      <c r="Y77" s="114"/>
      <c r="Z77" s="157"/>
      <c r="AA77" s="47"/>
    </row>
    <row r="78" customHeight="1" spans="1:27">
      <c r="A78" s="137">
        <v>50130886</v>
      </c>
      <c r="B78" s="137" t="str">
        <f>_xlfn.XLOOKUP(A78,'Customer Code'!B:B,'Customer Code'!C:C)</f>
        <v>R-61</v>
      </c>
      <c r="C78" s="137" t="str">
        <f>_xlfn.XLOOKUP(A78,'Customer Code'!B:B,'Customer Code'!A:A)</f>
        <v>Pet Supplies Plus</v>
      </c>
      <c r="D78" s="137" t="str" cm="1">
        <f t="array" ref="D78">_xlfn.XLOOKUP(B78&amp;C78,'Customer Code'!C:C&amp;'Customer Code'!A:A,'Customer Code'!I:I)</f>
        <v>Normal</v>
      </c>
      <c r="E78" s="137" t="str">
        <f t="array" ref="E78">_xlfn.XLOOKUP(B78,'Product List'!B:B,'Product List'!I:I)</f>
        <v>MINI/MOE SMALL ANIMAL FEEDING WATER BOTTLE HLDR GUMBALL 1EA</v>
      </c>
      <c r="F78" s="140">
        <v>0</v>
      </c>
      <c r="G78" s="165">
        <v>0</v>
      </c>
      <c r="H78" s="165">
        <v>0</v>
      </c>
      <c r="I78" s="165">
        <v>1</v>
      </c>
      <c r="J78" s="165">
        <v>0</v>
      </c>
      <c r="K78" s="165">
        <v>1</v>
      </c>
      <c r="L78" s="137">
        <f t="shared" si="8"/>
        <v>2</v>
      </c>
      <c r="M78" s="137">
        <v>96</v>
      </c>
      <c r="N78" s="137">
        <f t="shared" si="9"/>
        <v>0.0208333333333333</v>
      </c>
      <c r="O78" s="137">
        <f t="shared" si="10"/>
        <v>0.00347222222222222</v>
      </c>
      <c r="P78" s="137"/>
      <c r="Q78" s="137">
        <f t="shared" si="11"/>
        <v>0.333333333333333</v>
      </c>
      <c r="R78" s="137">
        <f t="shared" si="12"/>
        <v>0.333333333333333</v>
      </c>
      <c r="S78" s="137">
        <f ca="1" t="shared" si="13"/>
        <v>10.5</v>
      </c>
      <c r="T78" s="137">
        <f ca="1">S78*R78*IF(_xlfn.XLOOKUP(B78,'Product List'!B:B,'Product List'!F:F)="A",1,IF(_xlfn.XLOOKUP(B78,'Product List'!B:B,'Product List'!F:F)="B",0.5,0))</f>
        <v>0</v>
      </c>
      <c r="U78" s="137" t="s">
        <v>93</v>
      </c>
      <c r="V78" s="164">
        <f>VLOOKUP(B78,'Product List'!B:C,2,0)</f>
        <v>850030338341</v>
      </c>
      <c r="W78" s="150"/>
      <c r="Y78" s="114"/>
      <c r="Z78" s="157"/>
      <c r="AA78" s="47"/>
    </row>
    <row r="79" customHeight="1" spans="1:27">
      <c r="A79" s="137">
        <v>50130887</v>
      </c>
      <c r="B79" s="137" t="str">
        <f>_xlfn.XLOOKUP(A79,'Customer Code'!B:B,'Customer Code'!C:C)</f>
        <v>R-62</v>
      </c>
      <c r="C79" s="137" t="str">
        <f>_xlfn.XLOOKUP(A79,'Customer Code'!B:B,'Customer Code'!A:A)</f>
        <v>Pet Supplies Plus</v>
      </c>
      <c r="D79" s="137" t="str" cm="1">
        <f t="array" ref="D79">_xlfn.XLOOKUP(B79&amp;C79,'Customer Code'!C:C&amp;'Customer Code'!A:A,'Customer Code'!I:I)</f>
        <v>Normal</v>
      </c>
      <c r="E79" s="137" t="str">
        <f t="array" ref="E79">_xlfn.XLOOKUP(B79,'Product List'!B:B,'Product List'!I:I)</f>
        <v>MINI/MOE SMALL ANIMAL HOUSING SWEET BRIDGE 1EA</v>
      </c>
      <c r="F79" s="140">
        <v>0</v>
      </c>
      <c r="G79" s="165">
        <v>0</v>
      </c>
      <c r="H79" s="165">
        <v>1</v>
      </c>
      <c r="I79" s="165">
        <v>3</v>
      </c>
      <c r="J79" s="165">
        <v>3</v>
      </c>
      <c r="K79" s="165">
        <v>4</v>
      </c>
      <c r="L79" s="137">
        <f t="shared" si="8"/>
        <v>11</v>
      </c>
      <c r="M79" s="137">
        <v>96</v>
      </c>
      <c r="N79" s="137">
        <f t="shared" si="9"/>
        <v>0.114583333333333</v>
      </c>
      <c r="O79" s="137">
        <f t="shared" si="10"/>
        <v>0.0190972222222222</v>
      </c>
      <c r="P79" s="137"/>
      <c r="Q79" s="137">
        <f t="shared" si="11"/>
        <v>1.83333333333333</v>
      </c>
      <c r="R79" s="137">
        <f t="shared" si="12"/>
        <v>1.83333333333333</v>
      </c>
      <c r="S79" s="137">
        <f ca="1" t="shared" si="13"/>
        <v>10.5</v>
      </c>
      <c r="T79" s="137">
        <f ca="1">S79*R79*IF(_xlfn.XLOOKUP(B79,'Product List'!B:B,'Product List'!F:F)="A",1,IF(_xlfn.XLOOKUP(B79,'Product List'!B:B,'Product List'!F:F)="B",0.5,0))</f>
        <v>0</v>
      </c>
      <c r="U79" s="137" t="s">
        <v>93</v>
      </c>
      <c r="V79" s="164">
        <f>VLOOKUP(B79,'Product List'!B:C,2,0)</f>
        <v>850030338303</v>
      </c>
      <c r="W79" s="150"/>
      <c r="Y79" s="114"/>
      <c r="Z79" s="157"/>
      <c r="AA79" s="47"/>
    </row>
    <row r="80" customHeight="1" spans="1:27">
      <c r="A80" s="137">
        <v>50130888</v>
      </c>
      <c r="B80" s="137" t="str">
        <f>_xlfn.XLOOKUP(A80,'Customer Code'!B:B,'Customer Code'!C:C)</f>
        <v>ZM005-MIX</v>
      </c>
      <c r="C80" s="137" t="str">
        <f>_xlfn.XLOOKUP(A80,'Customer Code'!B:B,'Customer Code'!A:A)</f>
        <v>Pet Supplies Plus</v>
      </c>
      <c r="D80" s="137" t="str" cm="1">
        <f t="array" ref="D80">_xlfn.XLOOKUP(B80&amp;C80,'Customer Code'!C:C&amp;'Customer Code'!A:A,'Customer Code'!I:I)</f>
        <v>Normal</v>
      </c>
      <c r="E80" s="137" t="str">
        <f t="array" ref="E80">_xlfn.XLOOKUP(B80,'Product List'!B:B,'Product List'!I:I)</f>
        <v>Cotton multi color bedding</v>
      </c>
      <c r="F80" s="140">
        <v>0</v>
      </c>
      <c r="G80" s="165">
        <v>0</v>
      </c>
      <c r="H80" s="165">
        <v>4</v>
      </c>
      <c r="I80" s="165">
        <v>3</v>
      </c>
      <c r="J80" s="165">
        <v>4</v>
      </c>
      <c r="K80" s="165">
        <v>4</v>
      </c>
      <c r="L80" s="137">
        <f t="shared" si="8"/>
        <v>15</v>
      </c>
      <c r="M80" s="137">
        <v>96</v>
      </c>
      <c r="N80" s="137">
        <f t="shared" si="9"/>
        <v>0.15625</v>
      </c>
      <c r="O80" s="137">
        <f t="shared" si="10"/>
        <v>0.0260416666666667</v>
      </c>
      <c r="P80" s="137"/>
      <c r="Q80" s="137">
        <f t="shared" si="11"/>
        <v>2.5</v>
      </c>
      <c r="R80" s="137">
        <f t="shared" si="12"/>
        <v>2.5</v>
      </c>
      <c r="S80" s="137">
        <f ca="1" t="shared" si="13"/>
        <v>10.5</v>
      </c>
      <c r="T80" s="137">
        <f ca="1">S80*R80*IF(_xlfn.XLOOKUP(B80,'Product List'!B:B,'Product List'!F:F)="A",1,IF(_xlfn.XLOOKUP(B80,'Product List'!B:B,'Product List'!F:F)="B",0.5,0))</f>
        <v>0</v>
      </c>
      <c r="U80" s="137" t="s">
        <v>93</v>
      </c>
      <c r="V80" s="164">
        <f>VLOOKUP(B80,'Product List'!B:C,2,0)</f>
        <v>698746777067</v>
      </c>
      <c r="W80" s="150"/>
      <c r="Y80" s="114"/>
      <c r="Z80" s="157"/>
      <c r="AA80" s="47"/>
    </row>
    <row r="81" customHeight="1" spans="1:27">
      <c r="A81" s="137">
        <v>50130891</v>
      </c>
      <c r="B81" s="137" t="str">
        <f>_xlfn.XLOOKUP(A81,'Customer Code'!B:B,'Customer Code'!C:C)</f>
        <v>T-1-PK</v>
      </c>
      <c r="C81" s="137" t="str">
        <f>_xlfn.XLOOKUP(A81,'Customer Code'!B:B,'Customer Code'!A:A)</f>
        <v>Pet Supplies Plus</v>
      </c>
      <c r="D81" s="137" t="str" cm="1">
        <f t="array" ref="D81">_xlfn.XLOOKUP(B81&amp;C81,'Customer Code'!C:C&amp;'Customer Code'!A:A,'Customer Code'!I:I)</f>
        <v>Normal</v>
      </c>
      <c r="E81" s="137" t="str">
        <f t="array" ref="E81">_xlfn.XLOOKUP(B81,'Product List'!B:B,'Product List'!I:I)</f>
        <v>MINI/MOE SMALL ANIMAL BEDDING PAPER TWISTS BUBBLEGUM 1EA</v>
      </c>
      <c r="F81" s="140">
        <v>0</v>
      </c>
      <c r="G81" s="165">
        <v>0</v>
      </c>
      <c r="H81" s="165">
        <v>1</v>
      </c>
      <c r="I81" s="165">
        <v>3</v>
      </c>
      <c r="J81" s="165">
        <v>5</v>
      </c>
      <c r="K81" s="165">
        <v>1</v>
      </c>
      <c r="L81" s="137">
        <f t="shared" si="8"/>
        <v>10</v>
      </c>
      <c r="M81" s="137">
        <v>96</v>
      </c>
      <c r="N81" s="137">
        <f t="shared" si="9"/>
        <v>0.104166666666667</v>
      </c>
      <c r="O81" s="137">
        <f t="shared" si="10"/>
        <v>0.0173611111111111</v>
      </c>
      <c r="P81" s="137"/>
      <c r="Q81" s="137">
        <f t="shared" si="11"/>
        <v>1.66666666666667</v>
      </c>
      <c r="R81" s="137">
        <f t="shared" si="12"/>
        <v>1.66666666666667</v>
      </c>
      <c r="S81" s="137">
        <f ca="1" t="shared" si="13"/>
        <v>10.5</v>
      </c>
      <c r="T81" s="137">
        <f ca="1">S81*R81*IF(_xlfn.XLOOKUP(B81,'Product List'!B:B,'Product List'!F:F)="A",1,IF(_xlfn.XLOOKUP(B81,'Product List'!B:B,'Product List'!F:F)="B",0.5,0))</f>
        <v>0</v>
      </c>
      <c r="U81" s="137" t="s">
        <v>93</v>
      </c>
      <c r="V81" s="164">
        <f>VLOOKUP(B81,'Product List'!B:C,2,0)</f>
        <v>850081655015</v>
      </c>
      <c r="W81" s="150"/>
      <c r="Y81" s="114"/>
      <c r="Z81" s="157"/>
      <c r="AA81" s="47"/>
    </row>
    <row r="82" customHeight="1" spans="1:27">
      <c r="A82" s="137">
        <v>50130893</v>
      </c>
      <c r="B82" s="137" t="str">
        <f>_xlfn.XLOOKUP(A82,'Customer Code'!B:B,'Customer Code'!C:C)</f>
        <v>R-64</v>
      </c>
      <c r="C82" s="137" t="str">
        <f>_xlfn.XLOOKUP(A82,'Customer Code'!B:B,'Customer Code'!A:A)</f>
        <v>Pet Supplies Plus</v>
      </c>
      <c r="D82" s="137" t="str" cm="1">
        <f t="array" ref="D82">_xlfn.XLOOKUP(B82&amp;C82,'Customer Code'!C:C&amp;'Customer Code'!A:A,'Customer Code'!I:I)</f>
        <v>Normal</v>
      </c>
      <c r="E82" s="137" t="str">
        <f t="array" ref="E82">_xlfn.XLOOKUP(B82,'Product List'!B:B,'Product List'!I:I)</f>
        <v>MINI/MOE SMALL ANIMAL HOUSING CAKE HOUSE 1EA</v>
      </c>
      <c r="F82" s="140">
        <v>0</v>
      </c>
      <c r="G82" s="165">
        <v>0</v>
      </c>
      <c r="H82" s="165">
        <v>4</v>
      </c>
      <c r="I82" s="165">
        <v>8</v>
      </c>
      <c r="J82" s="165">
        <v>6</v>
      </c>
      <c r="K82" s="165">
        <v>7</v>
      </c>
      <c r="L82" s="137">
        <f t="shared" si="8"/>
        <v>25</v>
      </c>
      <c r="M82" s="137">
        <v>96</v>
      </c>
      <c r="N82" s="137">
        <f t="shared" si="9"/>
        <v>0.260416666666667</v>
      </c>
      <c r="O82" s="137">
        <f t="shared" si="10"/>
        <v>0.0434027777777778</v>
      </c>
      <c r="P82" s="137"/>
      <c r="Q82" s="137">
        <f t="shared" si="11"/>
        <v>4.16666666666667</v>
      </c>
      <c r="R82" s="137">
        <f t="shared" si="12"/>
        <v>4.16666666666667</v>
      </c>
      <c r="S82" s="137">
        <f ca="1" t="shared" si="13"/>
        <v>10.5</v>
      </c>
      <c r="T82" s="137">
        <f ca="1">S82*R82*IF(_xlfn.XLOOKUP(B82,'Product List'!B:B,'Product List'!F:F)="A",1,IF(_xlfn.XLOOKUP(B82,'Product List'!B:B,'Product List'!F:F)="B",0.5,0))</f>
        <v>0</v>
      </c>
      <c r="U82" s="137" t="s">
        <v>93</v>
      </c>
      <c r="V82" s="164">
        <f>VLOOKUP(B82,'Product List'!B:C,2,0)</f>
        <v>850030338297</v>
      </c>
      <c r="W82" s="150"/>
      <c r="Z82" s="167"/>
      <c r="AA82" s="167"/>
    </row>
    <row r="83" customHeight="1" spans="1:27">
      <c r="Z83" s="168"/>
      <c r="AA83" s="168"/>
    </row>
  </sheetData>
  <sheetProtection formatCells="0" formatColumns="0" formatRows="0" insertRows="0" insertColumns="0" insertHyperlinks="0" deleteColumns="0" deleteRows="0" sort="0" autoFilter="0" pivotTables="0"/>
  <autoFilter xmlns:etc="http://www.wps.cn/officeDocument/2017/etCustomData" ref="A1:V83" etc:filterBottomFollowUsedRange="1">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CC"/>
    <outlinePr summaryBelow="0" summaryRight="0"/>
  </sheetPr>
  <dimension ref="A1:I906"/>
  <sheetViews>
    <sheetView zoomScale="64" zoomScaleNormal="64" workbookViewId="0">
      <selection activeCell="E16" sqref="E16"/>
    </sheetView>
  </sheetViews>
  <sheetFormatPr defaultColWidth="12.6285714285714" defaultRowHeight="15.75" customHeight="1"/>
  <cols>
    <col min="1" max="1" width="13.7142857142857" style="115" customWidth="1"/>
    <col min="2" max="2" width="14.7142857142857" style="115" customWidth="1"/>
    <col min="3" max="3" width="17.5714285714286" style="115" customWidth="1"/>
    <col min="4" max="4" width="17.4285714285714" style="100" customWidth="1"/>
    <col min="5" max="5" width="59" style="115" customWidth="1"/>
    <col min="6" max="6" width="10.1428571428571" style="115" customWidth="1"/>
    <col min="7" max="7" width="5.85714285714286" style="115" customWidth="1"/>
    <col min="8" max="9" width="9" style="115" customWidth="1"/>
  </cols>
  <sheetData>
    <row r="1" customFormat="1" customHeight="1" spans="1:9">
      <c r="A1" s="136" t="s">
        <v>292</v>
      </c>
      <c r="B1" s="136" t="s">
        <v>541</v>
      </c>
      <c r="C1" s="136" t="s">
        <v>0</v>
      </c>
      <c r="D1" s="101" t="s">
        <v>112</v>
      </c>
      <c r="E1" s="136" t="s">
        <v>1</v>
      </c>
      <c r="F1" s="136" t="s">
        <v>570</v>
      </c>
      <c r="G1" s="136" t="s">
        <v>571</v>
      </c>
      <c r="H1" s="136" t="s">
        <v>290</v>
      </c>
      <c r="I1" s="136" t="s">
        <v>543</v>
      </c>
    </row>
    <row r="2" customHeight="1" spans="1:9">
      <c r="A2" s="137" t="s">
        <v>298</v>
      </c>
      <c r="B2" s="137">
        <v>4709973</v>
      </c>
      <c r="C2" s="137" t="s">
        <v>77</v>
      </c>
      <c r="D2" s="103">
        <f>_xlfn.XLOOKUP(C2,'Product List'!B:B,'Product List'!C:C)</f>
        <v>850030338112</v>
      </c>
      <c r="E2" s="137" t="str">
        <f t="array" ref="E2">_xlfn.XLOOKUP(C2,'Product List'!B:B,'Product List'!I:I)</f>
        <v>MMO-CLOUD WATER BOTTLE</v>
      </c>
      <c r="F2" s="137">
        <v>1200</v>
      </c>
      <c r="G2" s="137" t="s">
        <v>572</v>
      </c>
      <c r="H2" s="137"/>
      <c r="I2" s="137" t="s">
        <v>573</v>
      </c>
    </row>
    <row r="3" customHeight="1" spans="1:9">
      <c r="A3" s="137" t="s">
        <v>298</v>
      </c>
      <c r="B3" s="137">
        <v>4710051</v>
      </c>
      <c r="C3" s="137" t="s">
        <v>67</v>
      </c>
      <c r="D3" s="105">
        <f>_xlfn.XLOOKUP(C3,'Product List'!B:B,'Product List'!C:C)</f>
        <v>760762456971</v>
      </c>
      <c r="E3" s="137" t="str">
        <f t="array" ref="E3">_xlfn.XLOOKUP(C3,'Product List'!B:B,'Product List'!I:I)</f>
        <v>MMO-BUBBLE WATER BOTTLE</v>
      </c>
      <c r="F3" s="137">
        <v>1200</v>
      </c>
      <c r="G3" s="137" t="s">
        <v>572</v>
      </c>
      <c r="H3" s="137"/>
      <c r="I3" s="137" t="s">
        <v>573</v>
      </c>
    </row>
    <row r="4" customHeight="1" spans="1:9">
      <c r="A4" s="137" t="s">
        <v>298</v>
      </c>
      <c r="B4" s="137">
        <v>4709965</v>
      </c>
      <c r="C4" s="137" t="s">
        <v>78</v>
      </c>
      <c r="D4" s="103">
        <f>_xlfn.XLOOKUP(C4,'Product List'!B:B,'Product List'!C:C)</f>
        <v>850030338969</v>
      </c>
      <c r="E4" s="137" t="str">
        <f t="array" ref="E4">_xlfn.XLOOKUP(C4,'Product List'!B:B,'Product List'!I:I)</f>
        <v>MINI/MOE RUFFLE BOWL</v>
      </c>
      <c r="F4" s="137">
        <v>1200</v>
      </c>
      <c r="G4" s="137" t="s">
        <v>572</v>
      </c>
      <c r="H4" s="137"/>
      <c r="I4" s="137" t="s">
        <v>573</v>
      </c>
    </row>
    <row r="5" customHeight="1" spans="1:9">
      <c r="A5" s="137" t="s">
        <v>298</v>
      </c>
      <c r="B5" s="137">
        <v>4709957</v>
      </c>
      <c r="C5" s="137" t="s">
        <v>29</v>
      </c>
      <c r="D5" s="105">
        <f>_xlfn.XLOOKUP(C5,'Product List'!B:B,'Product List'!C:C)</f>
        <v>850062627680</v>
      </c>
      <c r="E5" s="137" t="str">
        <f t="array" ref="E5">_xlfn.XLOOKUP(C5,'Product List'!B:B,'Product List'!I:I)</f>
        <v>MINI/MOE SILENT CRSTL RUN WHEEL LG 8.5-White</v>
      </c>
      <c r="F5" s="137">
        <v>1200</v>
      </c>
      <c r="G5" s="137" t="s">
        <v>572</v>
      </c>
      <c r="H5" s="137"/>
      <c r="I5" s="137" t="s">
        <v>573</v>
      </c>
    </row>
    <row r="6" customHeight="1" spans="1:9">
      <c r="A6" s="137" t="s">
        <v>298</v>
      </c>
      <c r="B6" s="137">
        <v>4709990</v>
      </c>
      <c r="C6" s="137" t="s">
        <v>61</v>
      </c>
      <c r="D6" s="103">
        <f>_xlfn.XLOOKUP(C6,'Product List'!B:B,'Product List'!C:C)</f>
        <v>850030338440</v>
      </c>
      <c r="E6" s="137" t="str">
        <f t="array" ref="E6">_xlfn.XLOOKUP(C6,'Product List'!B:B,'Product List'!I:I)</f>
        <v>MMO-WAVE BRIDGE</v>
      </c>
      <c r="F6" s="137">
        <v>1200</v>
      </c>
      <c r="G6" s="137" t="s">
        <v>572</v>
      </c>
      <c r="H6" s="137"/>
      <c r="I6" s="138" t="s">
        <v>574</v>
      </c>
    </row>
    <row r="7" customHeight="1" spans="1:9">
      <c r="A7" s="137" t="s">
        <v>298</v>
      </c>
      <c r="B7" s="137">
        <v>4709949</v>
      </c>
      <c r="C7" s="137" t="s">
        <v>62</v>
      </c>
      <c r="D7" s="105">
        <f>_xlfn.XLOOKUP(C7,'Product List'!B:B,'Product List'!C:C)</f>
        <v>850030338150</v>
      </c>
      <c r="E7" s="137" t="str">
        <f t="array" ref="E7">_xlfn.XLOOKUP(C7,'Product List'!B:B,'Product List'!I:I)</f>
        <v>MINI/MOE BENDABLE BIRCHWOOD FENCE</v>
      </c>
      <c r="F7" s="137">
        <v>1200</v>
      </c>
      <c r="G7" s="137" t="s">
        <v>572</v>
      </c>
      <c r="H7" s="137"/>
      <c r="I7" s="138" t="s">
        <v>574</v>
      </c>
    </row>
    <row r="8" customHeight="1" spans="1:9">
      <c r="A8" s="138" t="s">
        <v>298</v>
      </c>
      <c r="B8" s="138">
        <v>4709981</v>
      </c>
      <c r="C8" s="138" t="s">
        <v>60</v>
      </c>
      <c r="D8" s="105">
        <f>_xlfn.XLOOKUP(C8,'Product List'!B:B,'Product List'!C:C)</f>
        <v>850030338433</v>
      </c>
      <c r="E8" s="138" t="str">
        <f t="array" ref="E8">_xlfn.XLOOKUP(C8,'Product List'!B:B,'Product List'!I:I)</f>
        <v>MMO-STARFISH CASTLE</v>
      </c>
      <c r="F8" s="137">
        <v>1200</v>
      </c>
      <c r="G8" s="137" t="s">
        <v>572</v>
      </c>
      <c r="H8" s="138"/>
      <c r="I8" s="138" t="s">
        <v>574</v>
      </c>
    </row>
    <row r="9" customHeight="1" spans="1:9">
      <c r="A9" s="137" t="s">
        <v>298</v>
      </c>
      <c r="B9" s="137">
        <v>4782265</v>
      </c>
      <c r="C9" s="137" t="s">
        <v>46</v>
      </c>
      <c r="D9" s="105">
        <f>_xlfn.XLOOKUP(C9,'Product List'!B:B,'Product List'!C:C)</f>
        <v>698746777029</v>
      </c>
      <c r="E9" s="137" t="str">
        <f t="array" ref="E9">_xlfn.XLOOKUP(C9,'Product List'!B:B,'Product List'!I:I)</f>
        <v>Mushroom Spiral Staircase</v>
      </c>
      <c r="F9" s="137">
        <v>1200</v>
      </c>
      <c r="G9" s="137" t="s">
        <v>572</v>
      </c>
      <c r="H9" s="137"/>
      <c r="I9" s="137" t="s">
        <v>573</v>
      </c>
    </row>
    <row r="10" customHeight="1" spans="1:9">
      <c r="A10" s="106" t="s">
        <v>298</v>
      </c>
      <c r="B10" s="106">
        <v>4710000</v>
      </c>
      <c r="C10" s="106" t="s">
        <v>81</v>
      </c>
      <c r="D10" s="105">
        <f>_xlfn.XLOOKUP(C10,'Product List'!B:B,'Product List'!C:C)</f>
        <v>850067049258</v>
      </c>
      <c r="E10" s="106" t="str">
        <f t="array" ref="E10">_xlfn.XLOOKUP(C10,'Product List'!B:B,'Product List'!I:I)</f>
        <v>MMO-PAPER PEBBLES</v>
      </c>
      <c r="F10" s="137">
        <v>1200</v>
      </c>
      <c r="G10" s="137" t="s">
        <v>572</v>
      </c>
      <c r="H10" s="106"/>
      <c r="I10" s="137" t="s">
        <v>573</v>
      </c>
    </row>
    <row r="11" customHeight="1" spans="1:9">
      <c r="A11" s="137" t="s">
        <v>298</v>
      </c>
      <c r="B11" s="137">
        <v>4710018</v>
      </c>
      <c r="C11" s="137" t="s">
        <v>68</v>
      </c>
      <c r="D11" s="105">
        <f>_xlfn.XLOOKUP(C11,'Product List'!B:B,'Product List'!C:C)</f>
        <v>850030338075</v>
      </c>
      <c r="E11" s="137" t="str">
        <f t="array" ref="E11">_xlfn.XLOOKUP(C11,'Product List'!B:B,'Product List'!I:I)</f>
        <v>MMO-PAPER TWIST BLU/WHT</v>
      </c>
      <c r="F11" s="137">
        <v>1200</v>
      </c>
      <c r="G11" s="137" t="s">
        <v>572</v>
      </c>
      <c r="H11" s="137"/>
      <c r="I11" s="137" t="s">
        <v>573</v>
      </c>
    </row>
    <row r="12" customHeight="1" spans="1:9">
      <c r="A12" s="139" t="s">
        <v>298</v>
      </c>
      <c r="B12" s="139">
        <v>4710026</v>
      </c>
      <c r="C12" s="139" t="s">
        <v>84</v>
      </c>
      <c r="D12" s="105">
        <f>_xlfn.XLOOKUP(C12,'Product List'!B:B,'Product List'!C:C)</f>
        <v>850030338198</v>
      </c>
      <c r="E12" s="139" t="str">
        <f t="array" ref="E12">_xlfn.XLOOKUP(C12,'Product List'!B:B,'Product List'!I:I)</f>
        <v>MMO-COTTON NESTING BALLS</v>
      </c>
      <c r="F12" s="137">
        <v>1200</v>
      </c>
      <c r="G12" s="137" t="s">
        <v>572</v>
      </c>
      <c r="H12" s="139"/>
      <c r="I12" s="137" t="s">
        <v>573</v>
      </c>
    </row>
    <row r="13" customHeight="1" spans="1:9">
      <c r="A13" s="137" t="s">
        <v>298</v>
      </c>
      <c r="B13" s="137">
        <v>4782281</v>
      </c>
      <c r="C13" s="137" t="s">
        <v>35</v>
      </c>
      <c r="D13" s="105">
        <f>_xlfn.XLOOKUP(C13,'Product List'!B:B,'Product List'!C:C)</f>
        <v>698746777074</v>
      </c>
      <c r="E13" s="137" t="str">
        <f t="array" ref="E13">_xlfn.XLOOKUP(C13,'Product List'!B:B,'Product List'!I:I)</f>
        <v>MMO-SHELL PEARL HAMSTER CHEW</v>
      </c>
      <c r="F13" s="137">
        <v>1200</v>
      </c>
      <c r="G13" s="137" t="s">
        <v>572</v>
      </c>
      <c r="H13" s="137"/>
      <c r="I13" s="137" t="s">
        <v>573</v>
      </c>
    </row>
    <row r="14" customHeight="1" spans="1:9">
      <c r="A14" s="137" t="s">
        <v>298</v>
      </c>
      <c r="B14" s="137">
        <v>4782302</v>
      </c>
      <c r="C14" s="137" t="s">
        <v>34</v>
      </c>
      <c r="D14" s="105">
        <f>_xlfn.XLOOKUP(C14,'Product List'!B:B,'Product List'!C:C)</f>
        <v>698746777012</v>
      </c>
      <c r="E14" s="137" t="str">
        <f t="array" ref="E14">_xlfn.XLOOKUP(C14,'Product List'!B:B,'Product List'!I:I)</f>
        <v>MMO-CAMP LUNCH BOX CHEW</v>
      </c>
      <c r="F14" s="137">
        <v>1200</v>
      </c>
      <c r="G14" s="137" t="s">
        <v>572</v>
      </c>
      <c r="H14" s="137"/>
      <c r="I14" s="137" t="s">
        <v>573</v>
      </c>
    </row>
    <row r="15" customHeight="1" spans="1:9">
      <c r="A15" s="137" t="s">
        <v>298</v>
      </c>
      <c r="B15" s="137">
        <v>4782290</v>
      </c>
      <c r="C15" s="137" t="s">
        <v>33</v>
      </c>
      <c r="D15" s="105">
        <f>_xlfn.XLOOKUP(C15,'Product List'!B:B,'Product List'!C:C)</f>
        <v>698746777081</v>
      </c>
      <c r="E15" s="137" t="str">
        <f t="array" ref="E15">_xlfn.XLOOKUP(C15,'Product List'!B:B,'Product List'!I:I)</f>
        <v>MMO-GREEN APPLE CHEW</v>
      </c>
      <c r="F15" s="137">
        <v>1200</v>
      </c>
      <c r="G15" s="137" t="s">
        <v>572</v>
      </c>
      <c r="H15" s="137"/>
      <c r="I15" s="137" t="s">
        <v>573</v>
      </c>
    </row>
    <row r="16" customHeight="1" spans="1:9">
      <c r="A16" s="137" t="s">
        <v>298</v>
      </c>
      <c r="B16" s="137">
        <v>4782273</v>
      </c>
      <c r="C16" s="137" t="s">
        <v>72</v>
      </c>
      <c r="D16" s="105">
        <f>_xlfn.XLOOKUP(C16,'Product List'!B:B,'Product List'!C:C)</f>
        <v>698746777005</v>
      </c>
      <c r="E16" s="137" t="str">
        <f t="array" ref="E16">_xlfn.XLOOKUP(C16,'Product List'!B:B,'Product List'!I:I)</f>
        <v>Forest Series Hamster Chew Toy &amp; Treat</v>
      </c>
      <c r="F16" s="137">
        <v>1200</v>
      </c>
      <c r="G16" s="137" t="s">
        <v>572</v>
      </c>
      <c r="H16" s="137"/>
      <c r="I16" s="137" t="s">
        <v>573</v>
      </c>
    </row>
    <row r="17" customHeight="1" spans="1:9">
      <c r="A17" s="137" t="s">
        <v>298</v>
      </c>
      <c r="B17" s="137">
        <v>4710042</v>
      </c>
      <c r="C17" s="137" t="s">
        <v>50</v>
      </c>
      <c r="D17" s="105">
        <f>_xlfn.XLOOKUP(C17,'Product List'!B:B,'Product List'!C:C)</f>
        <v>850030338761</v>
      </c>
      <c r="E17" s="137" t="str">
        <f t="array" ref="E17">_xlfn.XLOOKUP(C17,'Product List'!B:B,'Product List'!I:I)</f>
        <v>MINI/MOE TV VIEWING CAGE</v>
      </c>
      <c r="F17" s="137">
        <v>1200</v>
      </c>
      <c r="G17" s="137" t="s">
        <v>572</v>
      </c>
      <c r="H17" s="137"/>
      <c r="I17" s="137" t="s">
        <v>573</v>
      </c>
    </row>
    <row r="18" customHeight="1" spans="1:9">
      <c r="A18" s="137" t="s">
        <v>298</v>
      </c>
      <c r="B18" s="137">
        <v>4710034</v>
      </c>
      <c r="C18" s="137" t="s">
        <v>64</v>
      </c>
      <c r="D18" s="105">
        <f>_xlfn.XLOOKUP(C18,'Product List'!B:B,'Product List'!C:C)</f>
        <v>850030338730</v>
      </c>
      <c r="E18" s="137" t="str">
        <f t="array" ref="E18">_xlfn.XLOOKUP(C18,'Product List'!B:B,'Product List'!I:I)</f>
        <v>D. MMO-COTTAGE VIEW CAGE</v>
      </c>
      <c r="F18" s="137">
        <v>1200</v>
      </c>
      <c r="G18" s="137" t="s">
        <v>572</v>
      </c>
      <c r="H18" s="137"/>
      <c r="I18" s="137" t="s">
        <v>574</v>
      </c>
    </row>
    <row r="19" customHeight="1" spans="1:9">
      <c r="A19" s="137" t="s">
        <v>567</v>
      </c>
      <c r="B19" s="137">
        <v>5383937</v>
      </c>
      <c r="C19" s="137" t="s">
        <v>50</v>
      </c>
      <c r="D19" s="103">
        <f>_xlfn.XLOOKUP(C19,'Product List'!B:B,'Product List'!C:C)</f>
        <v>850030338761</v>
      </c>
      <c r="E19" s="137" t="str">
        <f t="array" ref="E19">_xlfn.XLOOKUP(C19,'Product List'!B:B,'Product List'!I:I)</f>
        <v>MINI/MOE TV VIEWING CAGE</v>
      </c>
      <c r="F19" s="137">
        <v>1506</v>
      </c>
      <c r="G19" s="137" t="s">
        <v>575</v>
      </c>
      <c r="H19" s="137"/>
      <c r="I19" s="137" t="s">
        <v>573</v>
      </c>
    </row>
    <row r="20" customHeight="1" spans="1:9">
      <c r="A20" s="137" t="s">
        <v>567</v>
      </c>
      <c r="B20" s="137">
        <v>5383938</v>
      </c>
      <c r="C20" s="137" t="s">
        <v>53</v>
      </c>
      <c r="D20" s="103">
        <f>_xlfn.XLOOKUP(C20,'Product List'!B:B,'Product List'!C:C)</f>
        <v>850030338211</v>
      </c>
      <c r="E20" s="137" t="str">
        <f t="array" ref="E20">_xlfn.XLOOKUP(C20,'Product List'!B:B,'Product List'!I:I)</f>
        <v>MINI &amp; MOE COTTAGE HIDE</v>
      </c>
      <c r="F20" s="137">
        <v>1506</v>
      </c>
      <c r="G20" s="137" t="s">
        <v>575</v>
      </c>
      <c r="H20" s="137"/>
      <c r="I20" s="137" t="s">
        <v>573</v>
      </c>
    </row>
    <row r="21" customHeight="1" spans="1:9">
      <c r="A21" s="137" t="s">
        <v>567</v>
      </c>
      <c r="B21" s="137">
        <v>5383939</v>
      </c>
      <c r="C21" s="137" t="s">
        <v>47</v>
      </c>
      <c r="D21" s="103">
        <f>_xlfn.XLOOKUP(C21,'Product List'!B:B,'Product List'!C:C)</f>
        <v>698746777333</v>
      </c>
      <c r="E21" s="137" t="str">
        <f t="array" ref="E21">_xlfn.XLOOKUP(C21,'Product List'!B:B,'Product List'!I:I)</f>
        <v>MINI &amp; MOE TREE DECOR CHEW</v>
      </c>
      <c r="F21" s="137">
        <v>1506</v>
      </c>
      <c r="G21" s="137" t="s">
        <v>575</v>
      </c>
      <c r="H21" s="137"/>
      <c r="I21" s="137" t="s">
        <v>573</v>
      </c>
    </row>
    <row r="22" customHeight="1" spans="1:9">
      <c r="A22" s="137" t="s">
        <v>567</v>
      </c>
      <c r="B22" s="137">
        <v>5383940</v>
      </c>
      <c r="C22" s="137" t="s">
        <v>45</v>
      </c>
      <c r="D22" s="103">
        <f>_xlfn.XLOOKUP(C22,'Product List'!B:B,'Product List'!C:C)</f>
        <v>698746777326</v>
      </c>
      <c r="E22" s="137" t="str">
        <f t="array" ref="E22">_xlfn.XLOOKUP(C22,'Product List'!B:B,'Product List'!I:I)</f>
        <v>MINI &amp; MOE GARDEN DECOR CHEW</v>
      </c>
      <c r="F22" s="137">
        <v>1506</v>
      </c>
      <c r="G22" s="137" t="s">
        <v>575</v>
      </c>
      <c r="H22" s="137"/>
      <c r="I22" s="137" t="s">
        <v>573</v>
      </c>
    </row>
    <row r="23" customHeight="1" spans="1:9">
      <c r="A23" s="137" t="s">
        <v>567</v>
      </c>
      <c r="B23" s="137">
        <v>5383941</v>
      </c>
      <c r="C23" s="137" t="s">
        <v>73</v>
      </c>
      <c r="D23" s="103">
        <f>_xlfn.XLOOKUP(C23,'Product List'!B:B,'Product List'!C:C)</f>
        <v>850030338082</v>
      </c>
      <c r="E23" s="137" t="str">
        <f t="array" ref="E23">_xlfn.XLOOKUP(C23,'Product List'!B:B,'Product List'!I:I)</f>
        <v>MINI/MOE CAMPING TENT HIDE</v>
      </c>
      <c r="F23" s="137">
        <v>1506</v>
      </c>
      <c r="G23" s="137" t="s">
        <v>575</v>
      </c>
      <c r="H23" s="137"/>
      <c r="I23" s="137" t="s">
        <v>573</v>
      </c>
    </row>
    <row r="24" customHeight="1" spans="1:9">
      <c r="A24" s="137" t="s">
        <v>567</v>
      </c>
      <c r="B24" s="137">
        <v>5383942</v>
      </c>
      <c r="C24" s="137" t="s">
        <v>44</v>
      </c>
      <c r="D24" s="105">
        <f>_xlfn.XLOOKUP(C24,'Product List'!B:B,'Product List'!C:C)</f>
        <v>698746776756</v>
      </c>
      <c r="E24" s="137" t="str">
        <f t="array" ref="E24">_xlfn.XLOOKUP(C24,'Product List'!B:B,'Product List'!I:I)</f>
        <v>MINI &amp; MOE WOODEN BRIDGE</v>
      </c>
      <c r="F24" s="137">
        <v>1506</v>
      </c>
      <c r="G24" s="137" t="s">
        <v>575</v>
      </c>
      <c r="H24" s="137"/>
      <c r="I24" s="137" t="s">
        <v>573</v>
      </c>
    </row>
    <row r="25" customHeight="1" spans="1:9">
      <c r="A25" s="137" t="s">
        <v>567</v>
      </c>
      <c r="B25" s="137">
        <v>5383943</v>
      </c>
      <c r="C25" s="137" t="s">
        <v>37</v>
      </c>
      <c r="D25" s="105">
        <f>_xlfn.XLOOKUP(C25,'Product List'!B:B,'Product List'!C:C)</f>
        <v>698746777319</v>
      </c>
      <c r="E25" s="137" t="str">
        <f t="array" ref="E25">_xlfn.XLOOKUP(C25,'Product List'!B:B,'Product List'!I:I)</f>
        <v>MINI &amp; MOE MAG CONECT WTR BTL 4 OZ</v>
      </c>
      <c r="F25" s="137">
        <v>1506</v>
      </c>
      <c r="G25" s="137" t="s">
        <v>575</v>
      </c>
      <c r="H25" s="137"/>
      <c r="I25" s="137" t="s">
        <v>573</v>
      </c>
    </row>
    <row r="26" customHeight="1" spans="1:9">
      <c r="A26" s="137" t="s">
        <v>568</v>
      </c>
      <c r="B26" s="137">
        <v>50126561</v>
      </c>
      <c r="C26" s="137" t="s">
        <v>50</v>
      </c>
      <c r="D26" s="105">
        <f>_xlfn.XLOOKUP(C26,'Product List'!B:B,'Product List'!C:C)</f>
        <v>850030338761</v>
      </c>
      <c r="E26" s="137" t="str">
        <f t="array" ref="E26">_xlfn.XLOOKUP(C26,'Product List'!B:B,'Product List'!I:I)</f>
        <v>MINI/MOE TV VIEWING CAGE</v>
      </c>
      <c r="F26" s="137">
        <v>626</v>
      </c>
      <c r="G26" s="137" t="s">
        <v>572</v>
      </c>
      <c r="H26" s="137"/>
      <c r="I26" s="137" t="s">
        <v>573</v>
      </c>
    </row>
    <row r="27" customHeight="1" spans="1:9">
      <c r="A27" s="137" t="s">
        <v>568</v>
      </c>
      <c r="B27" s="137">
        <v>50126562</v>
      </c>
      <c r="C27" s="137" t="s">
        <v>52</v>
      </c>
      <c r="D27" s="105">
        <f>_xlfn.XLOOKUP(C27,'Product List'!B:B,'Product List'!C:C)</f>
        <v>850062627567</v>
      </c>
      <c r="E27" s="137" t="str">
        <f t="array" ref="E27">_xlfn.XLOOKUP(C27,'Product List'!B:B,'Product List'!I:I)</f>
        <v>MINI/MOE TULIP WATER BOTTLE</v>
      </c>
      <c r="F27" s="137">
        <v>591</v>
      </c>
      <c r="G27" s="137" t="s">
        <v>572</v>
      </c>
      <c r="H27" s="137"/>
      <c r="I27" s="137" t="s">
        <v>573</v>
      </c>
    </row>
    <row r="28" customHeight="1" spans="1:9">
      <c r="A28" s="137" t="s">
        <v>568</v>
      </c>
      <c r="B28" s="137">
        <v>50126563</v>
      </c>
      <c r="C28" s="137" t="s">
        <v>62</v>
      </c>
      <c r="D28" s="105">
        <f>_xlfn.XLOOKUP(C28,'Product List'!B:B,'Product List'!C:C)</f>
        <v>850030338150</v>
      </c>
      <c r="E28" s="137" t="str">
        <f t="array" ref="E28">_xlfn.XLOOKUP(C28,'Product List'!B:B,'Product List'!I:I)</f>
        <v>MINI/MOE BENDABLE BIRCHWOOD FENCE</v>
      </c>
      <c r="F28" s="137">
        <v>598</v>
      </c>
      <c r="G28" s="137" t="s">
        <v>572</v>
      </c>
      <c r="H28" s="137"/>
      <c r="I28" s="137" t="s">
        <v>573</v>
      </c>
    </row>
    <row r="29" customHeight="1" spans="1:9">
      <c r="A29" s="137" t="s">
        <v>568</v>
      </c>
      <c r="B29" s="137">
        <v>50126564</v>
      </c>
      <c r="C29" s="137" t="s">
        <v>40</v>
      </c>
      <c r="D29" s="103">
        <f>_xlfn.XLOOKUP(C29,'Product List'!B:B,'Product List'!C:C)</f>
        <v>760762456995</v>
      </c>
      <c r="E29" s="137" t="str">
        <f t="array" ref="E29">_xlfn.XLOOKUP(C29,'Product List'!B:B,'Product List'!I:I)</f>
        <v>MINI/MOE MUSHROOM LADDER 1EA</v>
      </c>
      <c r="F29" s="137">
        <v>1</v>
      </c>
      <c r="G29" s="137" t="s">
        <v>572</v>
      </c>
      <c r="H29" s="137"/>
      <c r="I29" s="137" t="s">
        <v>573</v>
      </c>
    </row>
    <row r="30" customHeight="1" spans="1:9">
      <c r="A30" s="137" t="s">
        <v>568</v>
      </c>
      <c r="B30" s="137">
        <v>50126565</v>
      </c>
      <c r="C30" s="137" t="s">
        <v>79</v>
      </c>
      <c r="D30" s="105">
        <f>_xlfn.XLOOKUP(C30,'Product List'!B:B,'Product List'!C:C)</f>
        <v>760762457077</v>
      </c>
      <c r="E30" s="137" t="str">
        <f t="array" ref="E30">_xlfn.XLOOKUP(C30,'Product List'!B:B,'Product List'!I:I)</f>
        <v>MINI/MOE WOODLAND POTTY</v>
      </c>
      <c r="F30" s="137">
        <v>322</v>
      </c>
      <c r="G30" s="137" t="s">
        <v>572</v>
      </c>
      <c r="H30" s="137"/>
      <c r="I30" s="137" t="s">
        <v>573</v>
      </c>
    </row>
    <row r="31" customHeight="1" spans="1:9">
      <c r="A31" s="137" t="s">
        <v>568</v>
      </c>
      <c r="B31" s="137">
        <v>50126566</v>
      </c>
      <c r="C31" s="137" t="s">
        <v>39</v>
      </c>
      <c r="D31" s="105">
        <f>_xlfn.XLOOKUP(C31,'Product List'!B:B,'Product List'!C:C)</f>
        <v>760762457008</v>
      </c>
      <c r="E31" s="137" t="str">
        <f t="array" ref="E31">_xlfn.XLOOKUP(C31,'Product List'!B:B,'Product List'!I:I)</f>
        <v>MINI/MOE MUSHROOM CABIN</v>
      </c>
      <c r="F31" s="137">
        <v>597</v>
      </c>
      <c r="G31" s="137" t="s">
        <v>572</v>
      </c>
      <c r="H31" s="137"/>
      <c r="I31" s="137" t="s">
        <v>573</v>
      </c>
    </row>
    <row r="32" customHeight="1" spans="1:9">
      <c r="A32" s="137" t="s">
        <v>568</v>
      </c>
      <c r="B32" s="137">
        <v>50126567</v>
      </c>
      <c r="C32" s="137" t="s">
        <v>43</v>
      </c>
      <c r="D32" s="105">
        <f>_xlfn.XLOOKUP(C32,'Product List'!B:B,'Product List'!C:C)</f>
        <v>760762457015</v>
      </c>
      <c r="E32" s="137" t="str">
        <f t="array" ref="E32">_xlfn.XLOOKUP(C32,'Product List'!B:B,'Product List'!I:I)</f>
        <v>MINI/MOE GARDEN TEAPOT</v>
      </c>
      <c r="F32" s="137">
        <v>726</v>
      </c>
      <c r="G32" s="137" t="s">
        <v>572</v>
      </c>
      <c r="H32" s="137"/>
      <c r="I32" s="137" t="s">
        <v>573</v>
      </c>
    </row>
    <row r="33" customHeight="1" spans="1:9">
      <c r="A33" s="137" t="s">
        <v>568</v>
      </c>
      <c r="B33" s="137">
        <v>50126568</v>
      </c>
      <c r="C33" s="137" t="s">
        <v>73</v>
      </c>
      <c r="D33" s="103">
        <f>_xlfn.XLOOKUP(C33,'Product List'!B:B,'Product List'!C:C)</f>
        <v>850030338082</v>
      </c>
      <c r="E33" s="137" t="str">
        <f t="array" ref="E33">_xlfn.XLOOKUP(C33,'Product List'!B:B,'Product List'!I:I)</f>
        <v>MINI/MOE CAMPING TENT HIDE</v>
      </c>
      <c r="F33" s="137">
        <v>622</v>
      </c>
      <c r="G33" s="137" t="s">
        <v>572</v>
      </c>
      <c r="H33" s="137"/>
      <c r="I33" s="137" t="s">
        <v>573</v>
      </c>
    </row>
    <row r="34" customHeight="1" spans="1:9">
      <c r="A34" s="137" t="s">
        <v>568</v>
      </c>
      <c r="B34" s="137">
        <v>50126569</v>
      </c>
      <c r="C34" s="137" t="s">
        <v>41</v>
      </c>
      <c r="D34" s="105">
        <f>_xlfn.XLOOKUP(C34,'Product List'!B:B,'Product List'!C:C)</f>
        <v>760762457022</v>
      </c>
      <c r="E34" s="137" t="str">
        <f t="array" ref="E34">_xlfn.XLOOKUP(C34,'Product List'!B:B,'Product List'!I:I)</f>
        <v>MINI/MOE TREEHOUSE CABIN</v>
      </c>
      <c r="F34" s="137">
        <v>622</v>
      </c>
      <c r="G34" s="137" t="s">
        <v>572</v>
      </c>
      <c r="H34" s="137"/>
      <c r="I34" s="137" t="s">
        <v>573</v>
      </c>
    </row>
    <row r="35" customHeight="1" spans="1:9">
      <c r="A35" s="137" t="s">
        <v>568</v>
      </c>
      <c r="B35" s="137">
        <v>50126570</v>
      </c>
      <c r="C35" s="137" t="s">
        <v>38</v>
      </c>
      <c r="D35" s="105">
        <f>_xlfn.XLOOKUP(C35,'Product List'!B:B,'Product List'!C:C)</f>
        <v>850030338174</v>
      </c>
      <c r="E35" s="137" t="str">
        <f t="array" ref="E35">_xlfn.XLOOKUP(C35,'Product List'!B:B,'Product List'!I:I)</f>
        <v>Ceramic Candy Bowl</v>
      </c>
      <c r="F35" s="137">
        <v>0</v>
      </c>
      <c r="G35" s="137" t="s">
        <v>572</v>
      </c>
      <c r="H35" s="137"/>
      <c r="I35" s="137" t="s">
        <v>573</v>
      </c>
    </row>
    <row r="36" customHeight="1" spans="1:9">
      <c r="A36" s="137" t="s">
        <v>568</v>
      </c>
      <c r="B36" s="137">
        <v>50126571</v>
      </c>
      <c r="C36" s="137" t="s">
        <v>78</v>
      </c>
      <c r="D36" s="105">
        <f>_xlfn.XLOOKUP(C36,'Product List'!B:B,'Product List'!C:C)</f>
        <v>850030338969</v>
      </c>
      <c r="E36" s="137" t="str">
        <f t="array" ref="E36">_xlfn.XLOOKUP(C36,'Product List'!B:B,'Product List'!I:I)</f>
        <v>MINI/MOE RUFFLE BOWL</v>
      </c>
      <c r="F36" s="137">
        <v>95</v>
      </c>
      <c r="G36" s="137" t="s">
        <v>572</v>
      </c>
      <c r="H36" s="137"/>
      <c r="I36" s="137" t="s">
        <v>573</v>
      </c>
    </row>
    <row r="37" customHeight="1" spans="1:9">
      <c r="A37" s="137" t="s">
        <v>568</v>
      </c>
      <c r="B37" s="137">
        <v>50126572</v>
      </c>
      <c r="C37" s="137" t="s">
        <v>67</v>
      </c>
      <c r="D37" s="105">
        <f>_xlfn.XLOOKUP(C37,'Product List'!B:B,'Product List'!C:C)</f>
        <v>760762456971</v>
      </c>
      <c r="E37" s="137" t="str">
        <f t="array" ref="E37">_xlfn.XLOOKUP(C37,'Product List'!B:B,'Product List'!I:I)</f>
        <v>MMO-BUBBLE WATER BOTTLE</v>
      </c>
      <c r="F37" s="137">
        <v>0</v>
      </c>
      <c r="G37" s="137" t="s">
        <v>572</v>
      </c>
      <c r="H37" s="137"/>
      <c r="I37" s="137" t="s">
        <v>573</v>
      </c>
    </row>
    <row r="38" customHeight="1" spans="1:9">
      <c r="A38" s="137" t="s">
        <v>568</v>
      </c>
      <c r="B38" s="137">
        <v>50126573</v>
      </c>
      <c r="C38" s="137" t="s">
        <v>76</v>
      </c>
      <c r="D38" s="105">
        <f>_xlfn.XLOOKUP(C38,'Product List'!B:B,'Product List'!C:C)</f>
        <v>850030338518</v>
      </c>
      <c r="E38" s="137" t="str">
        <f t="array" ref="E38">_xlfn.XLOOKUP(C38,'Product List'!B:B,'Product List'!I:I)</f>
        <v>MINI/MOE SILENT CRSTL RUN WHEEL XL 11.5 1EA</v>
      </c>
      <c r="F38" s="137">
        <v>601</v>
      </c>
      <c r="G38" s="137" t="s">
        <v>572</v>
      </c>
      <c r="H38" s="137"/>
      <c r="I38" s="137" t="s">
        <v>573</v>
      </c>
    </row>
    <row r="39" customHeight="1" spans="1:9">
      <c r="A39" s="137" t="s">
        <v>568</v>
      </c>
      <c r="B39" s="137">
        <v>50126577</v>
      </c>
      <c r="C39" s="137" t="s">
        <v>63</v>
      </c>
      <c r="D39" s="105">
        <f>_xlfn.XLOOKUP(C39,'Product List'!B:B,'Product List'!C:C)</f>
        <v>698746777579</v>
      </c>
      <c r="E39" s="137" t="str">
        <f t="array" ref="E39">_xlfn.XLOOKUP(C39,'Product List'!B:B,'Product List'!I:I)</f>
        <v>Crystal Outdoor Cage</v>
      </c>
      <c r="F39" s="137">
        <v>1</v>
      </c>
      <c r="G39" s="137" t="s">
        <v>572</v>
      </c>
      <c r="H39" s="137"/>
      <c r="I39" s="137" t="s">
        <v>573</v>
      </c>
    </row>
    <row r="40" customHeight="1" spans="1:9">
      <c r="A40" s="137" t="s">
        <v>568</v>
      </c>
      <c r="B40" s="137">
        <v>50126578</v>
      </c>
      <c r="C40" s="137" t="s">
        <v>49</v>
      </c>
      <c r="D40" s="105">
        <f>_xlfn.XLOOKUP(C40,'Product List'!B:B,'Product List'!C:C)</f>
        <v>850030338051</v>
      </c>
      <c r="E40" s="137" t="str">
        <f t="array" ref="E40">_xlfn.XLOOKUP(C40,'Product List'!B:B,'Product List'!I:I)</f>
        <v>MINI/MOE IVY BURROWING BOX</v>
      </c>
      <c r="F40" s="137">
        <v>607</v>
      </c>
      <c r="G40" s="137" t="s">
        <v>572</v>
      </c>
      <c r="H40" s="137"/>
      <c r="I40" s="137" t="s">
        <v>573</v>
      </c>
    </row>
    <row r="41" customHeight="1" spans="1:9">
      <c r="A41" s="137" t="s">
        <v>568</v>
      </c>
      <c r="B41" s="137">
        <v>50126579</v>
      </c>
      <c r="C41" s="137" t="s">
        <v>42</v>
      </c>
      <c r="D41" s="105">
        <f>_xlfn.XLOOKUP(C41,'Product List'!B:B,'Product List'!C:C)</f>
        <v>760762457039</v>
      </c>
      <c r="E41" s="137" t="str">
        <f t="array" ref="E41">_xlfn.XLOOKUP(C41,'Product List'!B:B,'Product List'!I:I)</f>
        <v>MINI/MOE FISHBONE BRIDGE 1EA</v>
      </c>
      <c r="F41" s="137">
        <v>0</v>
      </c>
      <c r="G41" s="137" t="s">
        <v>572</v>
      </c>
      <c r="H41" s="137"/>
      <c r="I41" s="137" t="s">
        <v>573</v>
      </c>
    </row>
    <row r="42" customHeight="1" spans="1:9">
      <c r="A42" s="137" t="s">
        <v>568</v>
      </c>
      <c r="B42" s="140">
        <v>50126580</v>
      </c>
      <c r="C42" s="140" t="s">
        <v>65</v>
      </c>
      <c r="D42" s="141">
        <f>_xlfn.XLOOKUP(C42,'Product List'!B:B,'Product List'!C:C)</f>
        <v>760762457046</v>
      </c>
      <c r="E42" s="137" t="str">
        <f t="array" ref="E42">_xlfn.XLOOKUP(C42,'Product List'!B:B,'Product List'!I:I)</f>
        <v>MINI/MOE ROCKING BIRDHOUSE HIDE 1EA</v>
      </c>
      <c r="F42" s="137">
        <v>0</v>
      </c>
      <c r="G42" s="137" t="s">
        <v>572</v>
      </c>
      <c r="H42" s="137"/>
      <c r="I42" s="137" t="s">
        <v>573</v>
      </c>
    </row>
    <row r="43" customHeight="1" spans="1:9">
      <c r="A43" s="137" t="s">
        <v>568</v>
      </c>
      <c r="B43" s="137">
        <v>50126581</v>
      </c>
      <c r="C43" s="137" t="s">
        <v>51</v>
      </c>
      <c r="D43" s="103">
        <f>_xlfn.XLOOKUP(C43,'Product List'!B:B,'Product List'!C:C)</f>
        <v>760762457053</v>
      </c>
      <c r="E43" s="137" t="str">
        <f t="array" ref="E43">_xlfn.XLOOKUP(C43,'Product List'!B:B,'Product List'!I:I)</f>
        <v>MINI/MOE MINI TV TUNNEL CAGE 1EA</v>
      </c>
      <c r="F43" s="137">
        <v>0</v>
      </c>
      <c r="G43" s="137" t="s">
        <v>572</v>
      </c>
      <c r="H43" s="137"/>
      <c r="I43" s="137" t="s">
        <v>573</v>
      </c>
    </row>
    <row r="44" customHeight="1" spans="1:9">
      <c r="A44" s="137" t="s">
        <v>568</v>
      </c>
      <c r="B44" s="137">
        <v>50126583</v>
      </c>
      <c r="C44" s="137" t="s">
        <v>28</v>
      </c>
      <c r="D44" s="105">
        <f>_xlfn.XLOOKUP(C44,'Product List'!B:B,'Product List'!C:C)</f>
        <v>698746777135</v>
      </c>
      <c r="E44" s="137" t="str">
        <f t="array" ref="E44">_xlfn.XLOOKUP(C44,'Product List'!B:B,'Product List'!I:I)</f>
        <v>MINI/MOE SILENT CRSTL RUN WHEEL LG 8.5-Green</v>
      </c>
      <c r="F44" s="137">
        <v>346</v>
      </c>
      <c r="G44" s="137" t="s">
        <v>572</v>
      </c>
      <c r="H44" s="137"/>
      <c r="I44" s="137" t="s">
        <v>573</v>
      </c>
    </row>
    <row r="45" customHeight="1" spans="1:9">
      <c r="A45" s="137" t="s">
        <v>568</v>
      </c>
      <c r="B45" s="137">
        <v>50126584</v>
      </c>
      <c r="C45" s="137" t="s">
        <v>64</v>
      </c>
      <c r="D45" s="105">
        <f>_xlfn.XLOOKUP(C45,'Product List'!B:B,'Product List'!C:C)</f>
        <v>850030338730</v>
      </c>
      <c r="E45" s="137" t="str">
        <f t="array" ref="E45">_xlfn.XLOOKUP(C45,'Product List'!B:B,'Product List'!I:I)</f>
        <v>D. MMO-COTTAGE VIEW CAGE</v>
      </c>
      <c r="F45" s="137">
        <v>383</v>
      </c>
      <c r="G45" s="137" t="s">
        <v>572</v>
      </c>
      <c r="H45" s="137"/>
      <c r="I45" s="137" t="s">
        <v>574</v>
      </c>
    </row>
    <row r="46" customHeight="1" spans="1:9">
      <c r="A46" s="137" t="s">
        <v>568</v>
      </c>
      <c r="B46" s="137">
        <v>50130111</v>
      </c>
      <c r="C46" s="137" t="s">
        <v>86</v>
      </c>
      <c r="D46" s="105">
        <f>_xlfn.XLOOKUP(C46,'Product List'!B:B,'Product List'!C:C)</f>
        <v>698746777531</v>
      </c>
      <c r="E46" s="137" t="str">
        <f t="array" ref="E46">_xlfn.XLOOKUP(C46,'Product List'!B:B,'Product List'!I:I)</f>
        <v>MINI/MOE SMALL ANIMAL BEDDING NESTING COTTON BALLS LAV 23LT</v>
      </c>
      <c r="F46" s="137">
        <v>727</v>
      </c>
      <c r="G46" s="137" t="s">
        <v>572</v>
      </c>
      <c r="H46" s="137"/>
      <c r="I46" s="137" t="s">
        <v>573</v>
      </c>
    </row>
    <row r="47" customHeight="1" spans="1:9">
      <c r="A47" s="137" t="s">
        <v>568</v>
      </c>
      <c r="B47" s="137">
        <v>50130112</v>
      </c>
      <c r="C47" s="137" t="s">
        <v>80</v>
      </c>
      <c r="D47" s="105">
        <f>_xlfn.XLOOKUP(C47,'Product List'!B:B,'Product List'!C:C)</f>
        <v>698746777562</v>
      </c>
      <c r="E47" s="137" t="str">
        <f t="array" ref="E47">_xlfn.XLOOKUP(C47,'Product List'!B:B,'Product List'!I:I)</f>
        <v>MINI/MOE SMALL ANIMAL BEDDING PAPER PEBBLES OCEAN BLUE 23LT</v>
      </c>
      <c r="F47" s="137">
        <v>727</v>
      </c>
      <c r="G47" s="137" t="s">
        <v>572</v>
      </c>
      <c r="H47" s="137"/>
      <c r="I47" s="137" t="s">
        <v>573</v>
      </c>
    </row>
    <row r="48" customHeight="1" spans="1:9">
      <c r="A48" s="137" t="s">
        <v>568</v>
      </c>
      <c r="B48" s="137">
        <v>50130113</v>
      </c>
      <c r="C48" s="137" t="s">
        <v>87</v>
      </c>
      <c r="D48" s="105">
        <f>_xlfn.XLOOKUP(C48,'Product List'!B:B,'Product List'!C:C)</f>
        <v>698746777463</v>
      </c>
      <c r="E48" s="137" t="str">
        <f t="array" ref="E48">_xlfn.XLOOKUP(C48,'Product List'!B:B,'Product List'!I:I)</f>
        <v>MINI/MOE SMALL ANIMAL BEDDING PAPER FLAKE LAV FIELD 50LT</v>
      </c>
      <c r="F48" s="137">
        <v>727</v>
      </c>
      <c r="G48" s="137" t="s">
        <v>572</v>
      </c>
      <c r="H48" s="137"/>
      <c r="I48" s="137" t="s">
        <v>573</v>
      </c>
    </row>
    <row r="49" customHeight="1" spans="1:9">
      <c r="A49" s="137" t="s">
        <v>568</v>
      </c>
      <c r="B49" s="137">
        <v>50130114</v>
      </c>
      <c r="C49" s="137" t="s">
        <v>32</v>
      </c>
      <c r="D49" s="105">
        <f>_xlfn.XLOOKUP(C49,'Product List'!B:B,'Product List'!C:C)</f>
        <v>698746777418</v>
      </c>
      <c r="E49" s="137" t="str">
        <f t="array" ref="E49">_xlfn.XLOOKUP(C49,'Product List'!B:B,'Product List'!I:I)</f>
        <v>MINI/MOE SMALL ANIMAL BEDDING ROLLED PAPER FOREST MIX 1EA</v>
      </c>
      <c r="F49" s="137">
        <v>707</v>
      </c>
      <c r="G49" s="137" t="s">
        <v>572</v>
      </c>
      <c r="H49" s="137"/>
      <c r="I49" s="137" t="s">
        <v>573</v>
      </c>
    </row>
    <row r="50" customHeight="1" spans="1:9">
      <c r="A50" s="137" t="s">
        <v>568</v>
      </c>
      <c r="B50" s="137">
        <v>50130115</v>
      </c>
      <c r="C50" s="137" t="s">
        <v>30</v>
      </c>
      <c r="D50" s="105">
        <f>_xlfn.XLOOKUP(C50,'Product List'!B:B,'Product List'!C:C)</f>
        <v>698746777364</v>
      </c>
      <c r="E50" s="137" t="str">
        <f t="array" ref="E50">_xlfn.XLOOKUP(C50,'Product List'!B:B,'Product List'!I:I)</f>
        <v>MINI/MOE SMALL ANIMAL BEDDING CRINKLE PAPER BROWN 1EA</v>
      </c>
      <c r="F50" s="137">
        <v>250</v>
      </c>
      <c r="G50" s="137" t="s">
        <v>572</v>
      </c>
      <c r="H50" s="137"/>
      <c r="I50" s="137" t="s">
        <v>573</v>
      </c>
    </row>
    <row r="51" customHeight="1" spans="1:9">
      <c r="A51" s="137" t="s">
        <v>568</v>
      </c>
      <c r="B51" s="137">
        <v>50130116</v>
      </c>
      <c r="C51" s="137" t="s">
        <v>69</v>
      </c>
      <c r="D51" s="105">
        <f>_xlfn.XLOOKUP(C51,'Product List'!B:B,'Product List'!C:C)</f>
        <v>698746777210</v>
      </c>
      <c r="E51" s="137" t="str">
        <f t="array" ref="E51">_xlfn.XLOOKUP(C51,'Product List'!B:B,'Product List'!I:I)</f>
        <v>MINI/MOE SMALL ANIMAL BEDDING PAPER TWISTS</v>
      </c>
      <c r="F51" s="137">
        <v>727</v>
      </c>
      <c r="G51" s="137" t="s">
        <v>572</v>
      </c>
      <c r="H51" s="137"/>
      <c r="I51" s="137" t="s">
        <v>573</v>
      </c>
    </row>
    <row r="52" customHeight="1" spans="1:9">
      <c r="A52" s="137" t="s">
        <v>568</v>
      </c>
      <c r="B52" s="137">
        <v>50130872</v>
      </c>
      <c r="C52" s="137" t="s">
        <v>31</v>
      </c>
      <c r="D52" s="105">
        <f>_xlfn.XLOOKUP(C52,'Product List'!B:B,'Product List'!C:C)</f>
        <v>698746777180</v>
      </c>
      <c r="E52" s="137" t="str">
        <f t="array" ref="E52">_xlfn.XLOOKUP(C52,'Product List'!B:B,'Product List'!I:I)</f>
        <v>MINI/MOE SMALL ANIMAL BEDDING PAPER PEBBLES PSTCH/CREAM 1EA</v>
      </c>
      <c r="F52" s="137">
        <v>0</v>
      </c>
      <c r="G52" s="137" t="s">
        <v>572</v>
      </c>
      <c r="H52" s="137"/>
      <c r="I52" s="137" t="s">
        <v>573</v>
      </c>
    </row>
    <row r="53" customHeight="1" spans="1:9">
      <c r="A53" s="137" t="s">
        <v>568</v>
      </c>
      <c r="B53" s="137">
        <v>50130873</v>
      </c>
      <c r="C53" s="137" t="s">
        <v>82</v>
      </c>
      <c r="D53" s="105">
        <f>_xlfn.XLOOKUP(C53,'Product List'!B:B,'Product List'!C:C)</f>
        <v>698746777500</v>
      </c>
      <c r="E53" s="137" t="str">
        <f t="array" ref="E53">_xlfn.XLOOKUP(C53,'Product List'!B:B,'Product List'!I:I)</f>
        <v>MINI/MOE SMALL ANIMAL BEDDING PAPER PEBBLES PSTCH/CREAM 1EA</v>
      </c>
      <c r="F53" s="137">
        <v>0</v>
      </c>
      <c r="G53" s="137" t="s">
        <v>572</v>
      </c>
      <c r="H53" s="137"/>
      <c r="I53" s="137" t="s">
        <v>573</v>
      </c>
    </row>
    <row r="54" customHeight="1" spans="1:9">
      <c r="A54" s="137" t="s">
        <v>568</v>
      </c>
      <c r="B54" s="137">
        <v>50130874</v>
      </c>
      <c r="C54" s="137" t="s">
        <v>88</v>
      </c>
      <c r="D54" s="105">
        <f>_xlfn.XLOOKUP(C54,'Product List'!B:B,'Product List'!C:C)</f>
        <v>698746777203</v>
      </c>
      <c r="E54" s="137" t="str">
        <f t="array" ref="E54">_xlfn.XLOOKUP(C54,'Product List'!B:B,'Product List'!I:I)</f>
        <v>MINI/MOE SMALL ANIMAL BEDDING PAPER FLK XMAS CRAN/MATCHA 1EA</v>
      </c>
      <c r="F54" s="137">
        <v>0</v>
      </c>
      <c r="G54" s="137" t="s">
        <v>572</v>
      </c>
      <c r="H54" s="137"/>
      <c r="I54" s="137" t="s">
        <v>573</v>
      </c>
    </row>
    <row r="55" customHeight="1" spans="1:9">
      <c r="A55" s="137" t="s">
        <v>568</v>
      </c>
      <c r="B55" s="137">
        <v>50130875</v>
      </c>
      <c r="C55" s="137" t="s">
        <v>70</v>
      </c>
      <c r="D55" s="105">
        <f>_xlfn.XLOOKUP(C55,'Product List'!B:B,'Product List'!C:C)</f>
        <v>698746777050</v>
      </c>
      <c r="E55" s="137" t="str">
        <f t="array" ref="E55">_xlfn.XLOOKUP(C55,'Product List'!B:B,'Product List'!I:I)</f>
        <v>Paper twist brown / white bedding</v>
      </c>
      <c r="F55" s="137">
        <v>0</v>
      </c>
      <c r="G55" s="137" t="s">
        <v>572</v>
      </c>
      <c r="H55" s="137"/>
      <c r="I55" s="137" t="s">
        <v>573</v>
      </c>
    </row>
    <row r="56" customHeight="1" spans="1:9">
      <c r="A56" s="137" t="s">
        <v>568</v>
      </c>
      <c r="B56" s="137">
        <v>50130876</v>
      </c>
      <c r="C56" s="137" t="s">
        <v>36</v>
      </c>
      <c r="D56" s="105">
        <f>_xlfn.XLOOKUP(C56,'Product List'!B:B,'Product List'!C:C)</f>
        <v>698746776688</v>
      </c>
      <c r="E56" s="137" t="str">
        <f t="array" ref="E56">_xlfn.XLOOKUP(C56,'Product List'!B:B,'Product List'!I:I)</f>
        <v>NONO Magnetic Water Bottle (220 ML)</v>
      </c>
      <c r="F56" s="137">
        <v>0</v>
      </c>
      <c r="G56" s="137" t="s">
        <v>572</v>
      </c>
      <c r="H56" s="137"/>
      <c r="I56" s="137" t="s">
        <v>573</v>
      </c>
    </row>
    <row r="57" customHeight="1" spans="1:9">
      <c r="A57" s="137" t="s">
        <v>568</v>
      </c>
      <c r="B57" s="137">
        <v>50130877</v>
      </c>
      <c r="C57" s="137" t="s">
        <v>72</v>
      </c>
      <c r="D57" s="105">
        <f>_xlfn.XLOOKUP(C57,'Product List'!B:B,'Product List'!C:C)</f>
        <v>698746777005</v>
      </c>
      <c r="E57" s="137" t="str">
        <f t="array" ref="E57">_xlfn.XLOOKUP(C57,'Product List'!B:B,'Product List'!I:I)</f>
        <v>Forest Series Hamster Chew Toy &amp; Treat</v>
      </c>
      <c r="F57" s="137">
        <v>0</v>
      </c>
      <c r="G57" s="137" t="s">
        <v>572</v>
      </c>
      <c r="H57" s="137"/>
      <c r="I57" s="137" t="s">
        <v>573</v>
      </c>
    </row>
    <row r="58" customHeight="1" spans="1:9">
      <c r="A58" s="137" t="s">
        <v>568</v>
      </c>
      <c r="B58" s="137">
        <v>50130878</v>
      </c>
      <c r="C58" s="137" t="s">
        <v>34</v>
      </c>
      <c r="D58" s="105">
        <f>_xlfn.XLOOKUP(C58,'Product List'!B:B,'Product List'!C:C)</f>
        <v>698746777012</v>
      </c>
      <c r="E58" s="137" t="str">
        <f t="array" ref="E58">_xlfn.XLOOKUP(C58,'Product List'!B:B,'Product List'!I:I)</f>
        <v>MMO-CAMP LUNCH BOX CHEW</v>
      </c>
      <c r="F58" s="137">
        <v>0</v>
      </c>
      <c r="G58" s="137" t="s">
        <v>572</v>
      </c>
      <c r="H58" s="137"/>
      <c r="I58" s="137" t="s">
        <v>573</v>
      </c>
    </row>
    <row r="59" customHeight="1" spans="1:9">
      <c r="A59" s="137" t="s">
        <v>568</v>
      </c>
      <c r="B59" s="137">
        <v>50130879</v>
      </c>
      <c r="C59" s="137" t="s">
        <v>33</v>
      </c>
      <c r="D59" s="103">
        <f>_xlfn.XLOOKUP(C59,'Product List'!B:B,'Product List'!C:C)</f>
        <v>698746777081</v>
      </c>
      <c r="E59" s="137" t="str">
        <f t="array" ref="E59">_xlfn.XLOOKUP(C59,'Product List'!B:B,'Product List'!I:I)</f>
        <v>MMO-GREEN APPLE CHEW</v>
      </c>
      <c r="F59" s="137">
        <v>0</v>
      </c>
      <c r="G59" s="137" t="s">
        <v>572</v>
      </c>
      <c r="H59" s="137"/>
      <c r="I59" s="137" t="s">
        <v>573</v>
      </c>
    </row>
    <row r="60" customHeight="1" spans="1:9">
      <c r="A60" s="137" t="s">
        <v>568</v>
      </c>
      <c r="B60" s="137">
        <v>50130880</v>
      </c>
      <c r="C60" s="137" t="s">
        <v>46</v>
      </c>
      <c r="D60" s="105">
        <f>_xlfn.XLOOKUP(C60,'Product List'!B:B,'Product List'!C:C)</f>
        <v>698746777029</v>
      </c>
      <c r="E60" s="137" t="str">
        <f t="array" ref="E60">_xlfn.XLOOKUP(C60,'Product List'!B:B,'Product List'!I:I)</f>
        <v>Mushroom Spiral Staircase</v>
      </c>
      <c r="F60" s="137">
        <v>1</v>
      </c>
      <c r="G60" s="137" t="s">
        <v>572</v>
      </c>
      <c r="H60" s="137"/>
      <c r="I60" s="137" t="s">
        <v>573</v>
      </c>
    </row>
    <row r="61" customHeight="1" spans="1:9">
      <c r="A61" s="137" t="s">
        <v>568</v>
      </c>
      <c r="B61" s="137">
        <v>50130881</v>
      </c>
      <c r="C61" s="137" t="s">
        <v>75</v>
      </c>
      <c r="D61" s="105">
        <f>_xlfn.XLOOKUP(C61,'Product List'!B:B,'Product List'!C:C)</f>
        <v>850030338464</v>
      </c>
      <c r="E61" s="137" t="str">
        <f t="array" ref="E61">_xlfn.XLOOKUP(C61,'Product List'!B:B,'Product List'!I:I)</f>
        <v>Silent Crystal Running Wheel XL</v>
      </c>
      <c r="F61" s="137">
        <v>0</v>
      </c>
      <c r="G61" s="137" t="s">
        <v>572</v>
      </c>
      <c r="H61" s="137"/>
      <c r="I61" s="137" t="s">
        <v>573</v>
      </c>
    </row>
    <row r="62" customHeight="1" spans="1:9">
      <c r="A62" s="137" t="s">
        <v>568</v>
      </c>
      <c r="B62" s="137">
        <v>50130882</v>
      </c>
      <c r="C62" s="137" t="s">
        <v>74</v>
      </c>
      <c r="D62" s="105">
        <f>_xlfn.XLOOKUP(C62,'Product List'!B:B,'Product List'!C:C)</f>
        <v>850030338921</v>
      </c>
      <c r="E62" s="137" t="str">
        <f t="array" ref="E62">_xlfn.XLOOKUP(C62,'Product List'!B:B,'Product List'!I:I)</f>
        <v>Little Devil Travel Cage</v>
      </c>
      <c r="F62" s="137">
        <v>0</v>
      </c>
      <c r="G62" s="137" t="s">
        <v>572</v>
      </c>
      <c r="H62" s="137"/>
      <c r="I62" s="137" t="s">
        <v>573</v>
      </c>
    </row>
    <row r="63" customHeight="1" spans="1:9">
      <c r="A63" s="137" t="s">
        <v>568</v>
      </c>
      <c r="B63" s="137">
        <v>50130883</v>
      </c>
      <c r="C63" s="137" t="s">
        <v>57</v>
      </c>
      <c r="D63" s="105">
        <f>_xlfn.XLOOKUP(C63,'Product List'!B:B,'Product List'!C:C)</f>
        <v>850030338280</v>
      </c>
      <c r="E63" s="137" t="str">
        <f t="array" ref="E63">_xlfn.XLOOKUP(C63,'Product List'!B:B,'Product List'!I:I)</f>
        <v>Candy House</v>
      </c>
      <c r="F63" s="137">
        <v>1</v>
      </c>
      <c r="G63" s="137" t="s">
        <v>572</v>
      </c>
      <c r="H63" s="137"/>
      <c r="I63" s="137" t="s">
        <v>573</v>
      </c>
    </row>
    <row r="64" customHeight="1" spans="1:9">
      <c r="A64" s="137" t="s">
        <v>568</v>
      </c>
      <c r="B64" s="137">
        <v>50130885</v>
      </c>
      <c r="C64" s="137" t="s">
        <v>59</v>
      </c>
      <c r="D64" s="103">
        <f>_xlfn.XLOOKUP(C64,'Product List'!B:B,'Product List'!C:C)</f>
        <v>850030338273</v>
      </c>
      <c r="E64" s="137" t="str">
        <f t="array" ref="E64">_xlfn.XLOOKUP(C64,'Product List'!B:B,'Product List'!I:I)</f>
        <v>Sugar Jar</v>
      </c>
      <c r="F64" s="137">
        <v>1</v>
      </c>
      <c r="G64" s="137" t="s">
        <v>572</v>
      </c>
      <c r="H64" s="137"/>
      <c r="I64" s="137" t="s">
        <v>573</v>
      </c>
    </row>
    <row r="65" customHeight="1" spans="1:9">
      <c r="A65" s="137" t="s">
        <v>568</v>
      </c>
      <c r="B65" s="137">
        <v>50130886</v>
      </c>
      <c r="C65" s="137" t="s">
        <v>55</v>
      </c>
      <c r="D65" s="105">
        <f>_xlfn.XLOOKUP(C65,'Product List'!B:B,'Product List'!C:C)</f>
        <v>850030338341</v>
      </c>
      <c r="E65" s="137" t="str">
        <f t="array" ref="E65">_xlfn.XLOOKUP(C65,'Product List'!B:B,'Product List'!I:I)</f>
        <v>MINI/MOE SMALL ANIMAL FEEDING WATER BOTTLE HLDR GUMBALL 1EA</v>
      </c>
      <c r="F65" s="137">
        <v>0</v>
      </c>
      <c r="G65" s="137" t="s">
        <v>572</v>
      </c>
      <c r="H65" s="137"/>
      <c r="I65" s="137" t="s">
        <v>573</v>
      </c>
    </row>
    <row r="66" customHeight="1" spans="1:9">
      <c r="A66" s="137" t="s">
        <v>568</v>
      </c>
      <c r="B66" s="137">
        <v>50130887</v>
      </c>
      <c r="C66" s="137" t="s">
        <v>56</v>
      </c>
      <c r="D66" s="105">
        <f>_xlfn.XLOOKUP(C66,'Product List'!B:B,'Product List'!C:C)</f>
        <v>850030338303</v>
      </c>
      <c r="E66" s="137" t="str">
        <f t="array" ref="E66">_xlfn.XLOOKUP(C66,'Product List'!B:B,'Product List'!I:I)</f>
        <v>MINI/MOE SMALL ANIMAL HOUSING SWEET BRIDGE 1EA</v>
      </c>
      <c r="F66" s="137">
        <v>0</v>
      </c>
      <c r="G66" s="137" t="s">
        <v>572</v>
      </c>
      <c r="H66" s="137"/>
      <c r="I66" s="137" t="s">
        <v>573</v>
      </c>
    </row>
    <row r="67" customHeight="1" spans="1:9">
      <c r="A67" s="137" t="s">
        <v>568</v>
      </c>
      <c r="B67" s="137">
        <v>50130888</v>
      </c>
      <c r="C67" s="137" t="s">
        <v>85</v>
      </c>
      <c r="D67" s="105">
        <f>_xlfn.XLOOKUP(C67,'Product List'!B:B,'Product List'!C:C)</f>
        <v>698746777067</v>
      </c>
      <c r="E67" s="137" t="str">
        <f t="array" ref="E67">_xlfn.XLOOKUP(C67,'Product List'!B:B,'Product List'!I:I)</f>
        <v>Cotton multi color bedding</v>
      </c>
      <c r="F67" s="137">
        <v>0</v>
      </c>
      <c r="G67" s="137" t="s">
        <v>572</v>
      </c>
      <c r="H67" s="137"/>
      <c r="I67" s="137" t="s">
        <v>573</v>
      </c>
    </row>
    <row r="68" customHeight="1" spans="1:9">
      <c r="A68" s="137" t="s">
        <v>568</v>
      </c>
      <c r="B68" s="137">
        <v>50130891</v>
      </c>
      <c r="C68" s="137" t="s">
        <v>71</v>
      </c>
      <c r="D68" s="103">
        <f>_xlfn.XLOOKUP(C68,'Product List'!B:B,'Product List'!C:C)</f>
        <v>850081655015</v>
      </c>
      <c r="E68" s="137" t="str">
        <f t="array" ref="E68">_xlfn.XLOOKUP(C68,'Product List'!B:B,'Product List'!I:I)</f>
        <v>MINI/MOE SMALL ANIMAL BEDDING PAPER TWISTS BUBBLEGUM 1EA</v>
      </c>
      <c r="F68" s="137">
        <v>1</v>
      </c>
      <c r="G68" s="137" t="s">
        <v>572</v>
      </c>
      <c r="H68" s="137"/>
      <c r="I68" s="137" t="s">
        <v>573</v>
      </c>
    </row>
    <row r="69" customHeight="1" spans="1:9">
      <c r="A69" s="137" t="s">
        <v>568</v>
      </c>
      <c r="B69" s="137">
        <v>50130893</v>
      </c>
      <c r="C69" s="137" t="s">
        <v>58</v>
      </c>
      <c r="D69" s="105">
        <f>_xlfn.XLOOKUP(C69,'Product List'!B:B,'Product List'!C:C)</f>
        <v>850030338297</v>
      </c>
      <c r="E69" s="137" t="str">
        <f t="array" ref="E69">_xlfn.XLOOKUP(C69,'Product List'!B:B,'Product List'!I:I)</f>
        <v>MINI/MOE SMALL ANIMAL HOUSING CAKE HOUSE 1EA</v>
      </c>
      <c r="F69" s="137">
        <v>0</v>
      </c>
      <c r="G69" s="137" t="s">
        <v>572</v>
      </c>
      <c r="H69" s="137"/>
      <c r="I69" s="137" t="s">
        <v>573</v>
      </c>
    </row>
    <row r="70" customHeight="1" spans="1:9">
      <c r="A70" s="137" t="s">
        <v>325</v>
      </c>
      <c r="B70" s="137">
        <v>9874677700</v>
      </c>
      <c r="C70" s="137" t="s">
        <v>72</v>
      </c>
      <c r="D70" s="105">
        <f>_xlfn.XLOOKUP(C70,'Product List'!B:B,'Product List'!C:C)</f>
        <v>698746777005</v>
      </c>
      <c r="E70" s="137" t="str">
        <f t="array" ref="E70">_xlfn.XLOOKUP(C70,'Product List'!B:B,'Product List'!I:I)</f>
        <v>Forest Series Hamster Chew Toy &amp; Treat</v>
      </c>
      <c r="F70" s="137"/>
      <c r="G70" s="137" t="s">
        <v>572</v>
      </c>
      <c r="H70" s="137"/>
      <c r="I70" s="137" t="s">
        <v>573</v>
      </c>
    </row>
    <row r="71" customHeight="1" spans="1:9">
      <c r="A71" s="137" t="s">
        <v>325</v>
      </c>
      <c r="B71" s="137">
        <v>9874677701</v>
      </c>
      <c r="C71" s="137" t="s">
        <v>34</v>
      </c>
      <c r="D71" s="105">
        <f>_xlfn.XLOOKUP(C71,'Product List'!B:B,'Product List'!C:C)</f>
        <v>698746777012</v>
      </c>
      <c r="E71" s="137" t="str">
        <f t="array" ref="E71">_xlfn.XLOOKUP(C71,'Product List'!B:B,'Product List'!I:I)</f>
        <v>MMO-CAMP LUNCH BOX CHEW</v>
      </c>
      <c r="F71" s="137"/>
      <c r="G71" s="137" t="s">
        <v>572</v>
      </c>
      <c r="H71" s="137"/>
      <c r="I71" s="137" t="s">
        <v>573</v>
      </c>
    </row>
    <row r="72" customHeight="1" spans="1:9">
      <c r="A72" s="137" t="s">
        <v>325</v>
      </c>
      <c r="B72" s="137">
        <v>9874677702</v>
      </c>
      <c r="C72" s="137" t="s">
        <v>46</v>
      </c>
      <c r="D72" s="105">
        <f>_xlfn.XLOOKUP(C72,'Product List'!B:B,'Product List'!C:C)</f>
        <v>698746777029</v>
      </c>
      <c r="E72" s="137" t="str">
        <f t="array" ref="E72">_xlfn.XLOOKUP(C72,'Product List'!B:B,'Product List'!I:I)</f>
        <v>Mushroom Spiral Staircase</v>
      </c>
      <c r="F72" s="137"/>
      <c r="G72" s="137" t="s">
        <v>572</v>
      </c>
      <c r="H72" s="137"/>
      <c r="I72" s="137" t="s">
        <v>573</v>
      </c>
    </row>
    <row r="73" customHeight="1" spans="1:9">
      <c r="A73" s="137" t="s">
        <v>325</v>
      </c>
      <c r="B73" s="137">
        <v>9874677703</v>
      </c>
      <c r="C73" s="137" t="s">
        <v>48</v>
      </c>
      <c r="D73" s="103">
        <f>_xlfn.XLOOKUP(C73,'Product List'!B:B,'Product List'!C:C)</f>
        <v>698746777036</v>
      </c>
      <c r="E73" s="137" t="str">
        <f t="array" ref="E73">_xlfn.XLOOKUP(C73,'Product List'!B:B,'Product List'!I:I)</f>
        <v>Swinging Swing Hamster Toy</v>
      </c>
      <c r="F73" s="137"/>
      <c r="G73" s="137" t="s">
        <v>572</v>
      </c>
      <c r="H73" s="137"/>
      <c r="I73" s="137" t="s">
        <v>573</v>
      </c>
    </row>
    <row r="74" customHeight="1" spans="1:9">
      <c r="A74" s="137" t="s">
        <v>325</v>
      </c>
      <c r="B74" s="137">
        <v>5003033823</v>
      </c>
      <c r="C74" s="137" t="s">
        <v>54</v>
      </c>
      <c r="D74" s="105">
        <f>_xlfn.XLOOKUP(C74,'Product List'!B:B,'Product List'!C:C)</f>
        <v>850030338235</v>
      </c>
      <c r="E74" s="137" t="str">
        <f t="array" ref="E74">_xlfn.XLOOKUP(C74,'Product List'!B:B,'Product List'!I:I)</f>
        <v>Tree Stump Hide</v>
      </c>
      <c r="F74" s="137"/>
      <c r="G74" s="137" t="s">
        <v>572</v>
      </c>
      <c r="H74" s="137"/>
      <c r="I74" s="137" t="s">
        <v>573</v>
      </c>
    </row>
    <row r="75" customHeight="1" spans="1:9">
      <c r="A75" s="137" t="s">
        <v>325</v>
      </c>
      <c r="B75" s="137">
        <v>5003033808</v>
      </c>
      <c r="C75" s="137" t="s">
        <v>73</v>
      </c>
      <c r="D75" s="105">
        <f>_xlfn.XLOOKUP(C75,'Product List'!B:B,'Product List'!C:C)</f>
        <v>850030338082</v>
      </c>
      <c r="E75" s="137" t="str">
        <f t="array" ref="E75">_xlfn.XLOOKUP(C75,'Product List'!B:B,'Product List'!I:I)</f>
        <v>MINI/MOE CAMPING TENT HIDE</v>
      </c>
      <c r="F75" s="137"/>
      <c r="G75" s="137" t="s">
        <v>572</v>
      </c>
      <c r="H75" s="137"/>
      <c r="I75" s="137" t="s">
        <v>573</v>
      </c>
    </row>
    <row r="76" customHeight="1" spans="1:9">
      <c r="A76" s="137" t="s">
        <v>325</v>
      </c>
      <c r="B76" s="137">
        <v>3441399442</v>
      </c>
      <c r="C76" s="137" t="s">
        <v>66</v>
      </c>
      <c r="D76" s="105">
        <f>_xlfn.XLOOKUP(C76,'Product List'!B:B,'Product List'!C:C)</f>
        <v>634413994429</v>
      </c>
      <c r="E76" s="137" t="str">
        <f t="array" ref="E76">_xlfn.XLOOKUP(C76,'Product List'!B:B,'Product List'!I:I)</f>
        <v>Bubble water bottle (color:green)</v>
      </c>
      <c r="F76" s="137"/>
      <c r="G76" s="137" t="s">
        <v>572</v>
      </c>
      <c r="H76" s="137"/>
      <c r="I76" s="137" t="s">
        <v>573</v>
      </c>
    </row>
    <row r="77" customHeight="1" spans="1:9">
      <c r="A77" s="137" t="s">
        <v>325</v>
      </c>
      <c r="B77" s="137">
        <v>5003033819</v>
      </c>
      <c r="C77" s="137" t="s">
        <v>85</v>
      </c>
      <c r="D77" s="103">
        <f>_xlfn.XLOOKUP(C77,'Product List'!B:B,'Product List'!C:C)</f>
        <v>698746777067</v>
      </c>
      <c r="E77" s="137" t="str">
        <f t="array" ref="E77">_xlfn.XLOOKUP(C77,'Product List'!B:B,'Product List'!I:I)</f>
        <v>Cotton multi color bedding</v>
      </c>
      <c r="F77" s="137"/>
      <c r="G77" s="137" t="s">
        <v>572</v>
      </c>
      <c r="H77" s="137"/>
      <c r="I77" s="137" t="s">
        <v>573</v>
      </c>
    </row>
    <row r="78" customHeight="1" spans="1:9">
      <c r="A78" s="137" t="s">
        <v>325</v>
      </c>
      <c r="B78" s="137">
        <v>5006704925</v>
      </c>
      <c r="C78" s="137" t="s">
        <v>81</v>
      </c>
      <c r="D78" s="103">
        <f>_xlfn.XLOOKUP(C78,'Product List'!B:B,'Product List'!C:C)</f>
        <v>850067049258</v>
      </c>
      <c r="E78" s="137" t="str">
        <f t="array" ref="E78">_xlfn.XLOOKUP(C78,'Product List'!B:B,'Product List'!I:I)</f>
        <v>MMO-PAPER PEBBLES</v>
      </c>
      <c r="F78" s="137"/>
      <c r="G78" s="137" t="s">
        <v>572</v>
      </c>
      <c r="H78" s="137"/>
      <c r="I78" s="137" t="s">
        <v>573</v>
      </c>
    </row>
    <row r="79" customHeight="1" spans="1:9">
      <c r="A79" s="137" t="s">
        <v>325</v>
      </c>
      <c r="B79" s="137">
        <v>6000639284</v>
      </c>
      <c r="C79" s="137" t="s">
        <v>83</v>
      </c>
      <c r="D79" s="105">
        <f>_xlfn.XLOOKUP(C79,'Product List'!B:B,'Product List'!C:C)</f>
        <v>860006392840</v>
      </c>
      <c r="E79" s="137" t="str">
        <f t="array" ref="E79">_xlfn.XLOOKUP(C79,'Product List'!B:B,'Product List'!I:I)</f>
        <v>Paper straw green bedding</v>
      </c>
      <c r="F79" s="137"/>
      <c r="G79" s="137" t="s">
        <v>572</v>
      </c>
      <c r="H79" s="137"/>
      <c r="I79" s="137" t="s">
        <v>573</v>
      </c>
    </row>
    <row r="80" customHeight="1" spans="1:9">
      <c r="A80" s="137" t="s">
        <v>325</v>
      </c>
      <c r="B80" s="137">
        <v>5003033807</v>
      </c>
      <c r="C80" s="137" t="s">
        <v>70</v>
      </c>
      <c r="D80" s="103">
        <f>_xlfn.XLOOKUP(C80,'Product List'!B:B,'Product List'!C:C)</f>
        <v>698746777050</v>
      </c>
      <c r="E80" s="137" t="str">
        <f t="array" ref="E80">_xlfn.XLOOKUP(C80,'Product List'!B:B,'Product List'!I:I)</f>
        <v>Paper twist brown / white bedding</v>
      </c>
      <c r="F80" s="137"/>
      <c r="G80" s="137" t="s">
        <v>572</v>
      </c>
      <c r="H80" s="137"/>
      <c r="I80" s="137" t="s">
        <v>573</v>
      </c>
    </row>
    <row r="81" customHeight="1" spans="1:9">
      <c r="A81" s="137" t="s">
        <v>325</v>
      </c>
      <c r="B81" s="137">
        <v>5003033876</v>
      </c>
      <c r="C81" s="137" t="s">
        <v>50</v>
      </c>
      <c r="D81" s="105">
        <f>_xlfn.XLOOKUP(C81,'Product List'!B:B,'Product List'!C:C)</f>
        <v>850030338761</v>
      </c>
      <c r="E81" s="137" t="str">
        <f t="array" ref="E81">_xlfn.XLOOKUP(C81,'Product List'!B:B,'Product List'!I:I)</f>
        <v>MINI/MOE TV VIEWING CAGE</v>
      </c>
      <c r="F81" s="137"/>
      <c r="G81" s="137" t="s">
        <v>572</v>
      </c>
      <c r="H81" s="137"/>
      <c r="I81" s="137" t="s">
        <v>573</v>
      </c>
    </row>
    <row r="82" customHeight="1" spans="1:9">
      <c r="A82" s="137" t="s">
        <v>325</v>
      </c>
      <c r="B82" s="137">
        <v>5003033846</v>
      </c>
      <c r="C82" s="137" t="s">
        <v>75</v>
      </c>
      <c r="D82" s="105">
        <f>_xlfn.XLOOKUP(C82,'Product List'!B:B,'Product List'!C:C)</f>
        <v>850030338464</v>
      </c>
      <c r="E82" s="137" t="str">
        <f t="array" ref="E82">_xlfn.XLOOKUP(C82,'Product List'!B:B,'Product List'!I:I)</f>
        <v>Silent Crystal Running Wheel XL</v>
      </c>
      <c r="F82" s="137"/>
      <c r="G82" s="137" t="s">
        <v>572</v>
      </c>
      <c r="H82" s="137"/>
      <c r="I82" s="137" t="s">
        <v>573</v>
      </c>
    </row>
    <row r="83" customHeight="1" spans="1:9">
      <c r="A83" s="137" t="s">
        <v>325</v>
      </c>
      <c r="B83" s="137">
        <v>5003033855</v>
      </c>
      <c r="C83" s="137" t="s">
        <v>28</v>
      </c>
      <c r="D83" s="105">
        <f>_xlfn.XLOOKUP(C83,'Product List'!B:B,'Product List'!C:C)</f>
        <v>698746777135</v>
      </c>
      <c r="E83" s="137" t="str">
        <f t="array" ref="E83">_xlfn.XLOOKUP(C83,'Product List'!B:B,'Product List'!I:I)</f>
        <v>MINI/MOE SILENT CRSTL RUN WHEEL LG 8.5-Green</v>
      </c>
      <c r="F83" s="137"/>
      <c r="G83" s="137" t="s">
        <v>572</v>
      </c>
      <c r="H83" s="137"/>
      <c r="I83" s="137" t="s">
        <v>573</v>
      </c>
    </row>
    <row r="84" customHeight="1" spans="1:9">
      <c r="A84" s="142"/>
      <c r="B84" s="142"/>
      <c r="C84" s="142"/>
      <c r="D84" s="103"/>
      <c r="E84" s="142"/>
      <c r="F84" s="142"/>
      <c r="G84" s="142"/>
      <c r="H84" s="142"/>
      <c r="I84" s="142"/>
    </row>
    <row r="85" customHeight="1" spans="1:9">
      <c r="A85" s="142"/>
      <c r="B85" s="142"/>
      <c r="C85" s="142"/>
      <c r="D85" s="103"/>
      <c r="E85" s="142"/>
      <c r="F85" s="142"/>
      <c r="G85" s="142"/>
      <c r="H85" s="142"/>
      <c r="I85" s="142"/>
    </row>
    <row r="86" customHeight="1" spans="1:9">
      <c r="A86" s="142"/>
      <c r="B86" s="142"/>
      <c r="C86" s="142"/>
      <c r="D86" s="103"/>
      <c r="E86" s="142"/>
      <c r="F86" s="142"/>
      <c r="G86" s="142"/>
      <c r="H86" s="142"/>
      <c r="I86" s="142"/>
    </row>
    <row r="87" customHeight="1" spans="1:9">
      <c r="A87" s="142"/>
      <c r="B87" s="142"/>
      <c r="C87" s="142"/>
      <c r="D87" s="103"/>
      <c r="E87" s="142"/>
      <c r="F87" s="142"/>
      <c r="G87" s="142"/>
      <c r="H87" s="142"/>
      <c r="I87" s="142"/>
    </row>
    <row r="88" customHeight="1" spans="1:9">
      <c r="A88" s="142"/>
      <c r="B88" s="142"/>
      <c r="C88" s="142"/>
      <c r="D88" s="103"/>
      <c r="E88" s="142"/>
      <c r="F88" s="142"/>
      <c r="G88" s="142"/>
      <c r="H88" s="142"/>
      <c r="I88" s="142"/>
    </row>
    <row r="89" customHeight="1" spans="1:9">
      <c r="A89" s="142"/>
      <c r="B89" s="142"/>
      <c r="C89" s="142"/>
      <c r="D89" s="103"/>
      <c r="E89" s="142"/>
      <c r="F89" s="142"/>
      <c r="G89" s="142"/>
      <c r="H89" s="142"/>
      <c r="I89" s="142"/>
    </row>
    <row r="90" customHeight="1" spans="1:9">
      <c r="A90" s="142"/>
      <c r="B90" s="142"/>
      <c r="C90" s="142"/>
      <c r="D90" s="103"/>
      <c r="E90" s="142"/>
      <c r="F90" s="142"/>
      <c r="G90" s="142"/>
      <c r="H90" s="142"/>
      <c r="I90" s="142"/>
    </row>
    <row r="91" customHeight="1" spans="1:9">
      <c r="A91" s="142"/>
      <c r="B91" s="142"/>
      <c r="C91" s="142"/>
      <c r="D91" s="103"/>
      <c r="E91" s="142"/>
      <c r="F91" s="142"/>
      <c r="G91" s="142"/>
      <c r="H91" s="142"/>
      <c r="I91" s="142"/>
    </row>
    <row r="92" customHeight="1" spans="1:9">
      <c r="A92" s="142"/>
      <c r="B92" s="142"/>
      <c r="C92" s="142"/>
      <c r="D92" s="103"/>
      <c r="E92" s="142"/>
      <c r="F92" s="142"/>
      <c r="G92" s="142"/>
      <c r="H92" s="142"/>
      <c r="I92" s="142"/>
    </row>
    <row r="93" customHeight="1" spans="1:9">
      <c r="A93" s="142"/>
      <c r="B93" s="142"/>
      <c r="C93" s="142"/>
      <c r="D93" s="103"/>
      <c r="E93" s="142"/>
      <c r="F93" s="142"/>
      <c r="G93" s="142"/>
      <c r="H93" s="142"/>
      <c r="I93" s="142"/>
    </row>
    <row r="94" customHeight="1" spans="1:9">
      <c r="A94" s="142"/>
      <c r="B94" s="142"/>
      <c r="C94" s="142"/>
      <c r="D94" s="103"/>
      <c r="E94" s="142"/>
      <c r="F94" s="142"/>
      <c r="G94" s="142"/>
      <c r="H94" s="142"/>
      <c r="I94" s="142"/>
    </row>
    <row r="95" customHeight="1" spans="1:9">
      <c r="A95" s="142"/>
      <c r="B95" s="142"/>
      <c r="C95" s="142"/>
      <c r="D95" s="103"/>
      <c r="E95" s="142"/>
      <c r="F95" s="142"/>
      <c r="G95" s="142"/>
      <c r="H95" s="142"/>
      <c r="I95" s="142"/>
    </row>
    <row r="96" customHeight="1" spans="1:9">
      <c r="A96" s="142"/>
      <c r="B96" s="142"/>
      <c r="C96" s="142"/>
      <c r="D96" s="103"/>
      <c r="E96" s="142"/>
      <c r="F96" s="142"/>
      <c r="G96" s="142"/>
      <c r="H96" s="142"/>
      <c r="I96" s="142"/>
    </row>
    <row r="97" customHeight="1" spans="1:9">
      <c r="A97" s="142"/>
      <c r="B97" s="142"/>
      <c r="C97" s="142"/>
      <c r="D97" s="103"/>
      <c r="E97" s="142"/>
      <c r="F97" s="142"/>
      <c r="G97" s="142"/>
      <c r="H97" s="142"/>
      <c r="I97" s="142"/>
    </row>
    <row r="98" customHeight="1" spans="1:9">
      <c r="A98" s="142"/>
      <c r="B98" s="142"/>
      <c r="C98" s="142"/>
      <c r="D98" s="103"/>
      <c r="E98" s="142"/>
      <c r="F98" s="142"/>
      <c r="G98" s="142"/>
      <c r="H98" s="142"/>
      <c r="I98" s="142"/>
    </row>
    <row r="99" customHeight="1" spans="1:9">
      <c r="A99" s="142"/>
      <c r="B99" s="142"/>
      <c r="C99" s="142"/>
      <c r="D99" s="103"/>
      <c r="E99" s="142"/>
      <c r="F99" s="142"/>
      <c r="G99" s="142"/>
      <c r="H99" s="142"/>
      <c r="I99" s="142"/>
    </row>
    <row r="100" customHeight="1" spans="1:9">
      <c r="A100" s="142"/>
      <c r="B100" s="142"/>
      <c r="C100" s="142"/>
      <c r="E100" s="142"/>
      <c r="F100" s="142"/>
      <c r="G100" s="142"/>
      <c r="H100" s="142"/>
      <c r="I100" s="142"/>
    </row>
    <row r="101" customHeight="1" spans="1:9">
      <c r="A101" s="142"/>
      <c r="B101" s="142"/>
      <c r="C101" s="142"/>
      <c r="E101" s="142"/>
      <c r="F101" s="142"/>
      <c r="G101" s="142"/>
      <c r="H101" s="142"/>
      <c r="I101" s="142"/>
    </row>
    <row r="102" customHeight="1" spans="1:9">
      <c r="A102" s="142"/>
      <c r="B102" s="142"/>
      <c r="C102" s="142"/>
      <c r="E102" s="142"/>
      <c r="F102" s="142"/>
      <c r="G102" s="142"/>
      <c r="H102" s="142"/>
      <c r="I102" s="142"/>
    </row>
    <row r="103" customHeight="1" spans="1:9">
      <c r="A103" s="142"/>
      <c r="B103" s="142"/>
      <c r="C103" s="142"/>
      <c r="E103" s="142"/>
      <c r="F103" s="142"/>
      <c r="G103" s="142"/>
      <c r="H103" s="142"/>
      <c r="I103" s="142"/>
    </row>
    <row r="104" customHeight="1" spans="1:9">
      <c r="A104" s="142"/>
      <c r="B104" s="142"/>
      <c r="C104" s="142"/>
      <c r="E104" s="142"/>
      <c r="F104" s="142"/>
      <c r="G104" s="142"/>
      <c r="H104" s="142"/>
      <c r="I104" s="142"/>
    </row>
    <row r="105" customHeight="1" spans="1:9">
      <c r="A105" s="142"/>
      <c r="B105" s="142"/>
      <c r="C105" s="142"/>
      <c r="E105" s="142"/>
      <c r="F105" s="142"/>
      <c r="G105" s="142"/>
      <c r="H105" s="142"/>
      <c r="I105" s="142"/>
    </row>
    <row r="106" customHeight="1" spans="1:9">
      <c r="A106" s="142"/>
      <c r="B106" s="142"/>
      <c r="C106" s="142"/>
      <c r="E106" s="142"/>
      <c r="F106" s="142"/>
      <c r="G106" s="142"/>
      <c r="H106" s="142"/>
      <c r="I106" s="142"/>
    </row>
    <row r="107" customHeight="1" spans="1:9">
      <c r="A107" s="142"/>
      <c r="B107" s="142"/>
      <c r="C107" s="142"/>
      <c r="E107" s="142"/>
      <c r="F107" s="142"/>
      <c r="G107" s="142"/>
      <c r="H107" s="142"/>
      <c r="I107" s="142"/>
    </row>
    <row r="108" customHeight="1" spans="1:9">
      <c r="A108" s="142"/>
      <c r="B108" s="142"/>
      <c r="C108" s="142"/>
      <c r="E108" s="142"/>
      <c r="F108" s="142"/>
      <c r="G108" s="142"/>
      <c r="H108" s="142"/>
      <c r="I108" s="142"/>
    </row>
    <row r="109" customHeight="1" spans="1:9">
      <c r="A109" s="142"/>
      <c r="B109" s="142"/>
      <c r="C109" s="142"/>
      <c r="E109" s="142"/>
      <c r="F109" s="142"/>
      <c r="G109" s="142"/>
      <c r="H109" s="142"/>
      <c r="I109" s="142"/>
    </row>
    <row r="110" customHeight="1" spans="1:9">
      <c r="A110" s="142"/>
      <c r="B110" s="142"/>
      <c r="C110" s="142"/>
      <c r="E110" s="142"/>
      <c r="F110" s="142"/>
      <c r="G110" s="142"/>
      <c r="H110" s="142"/>
      <c r="I110" s="142"/>
    </row>
    <row r="111" customHeight="1" spans="1:9">
      <c r="A111" s="142"/>
      <c r="B111" s="142"/>
      <c r="C111" s="142"/>
      <c r="E111" s="142"/>
      <c r="F111" s="142"/>
      <c r="G111" s="142"/>
      <c r="H111" s="142"/>
      <c r="I111" s="142"/>
    </row>
    <row r="112" customHeight="1" spans="1:9">
      <c r="A112" s="142"/>
      <c r="B112" s="142"/>
      <c r="C112" s="142"/>
      <c r="E112" s="142"/>
      <c r="F112" s="142"/>
      <c r="G112" s="142"/>
      <c r="H112" s="142"/>
      <c r="I112" s="142"/>
    </row>
    <row r="113" customHeight="1" spans="1:9">
      <c r="A113" s="142"/>
      <c r="B113" s="142"/>
      <c r="C113" s="142"/>
      <c r="E113" s="142"/>
      <c r="F113" s="142"/>
      <c r="G113" s="142"/>
      <c r="H113" s="142"/>
      <c r="I113" s="142"/>
    </row>
    <row r="114" customHeight="1" spans="1:9">
      <c r="A114" s="142"/>
      <c r="B114" s="142"/>
      <c r="C114" s="142"/>
      <c r="E114" s="142"/>
      <c r="F114" s="142"/>
      <c r="G114" s="142"/>
      <c r="H114" s="142"/>
      <c r="I114" s="142"/>
    </row>
    <row r="115" customHeight="1" spans="1:9">
      <c r="A115" s="142"/>
      <c r="B115" s="142"/>
      <c r="C115" s="142"/>
      <c r="E115" s="142"/>
      <c r="F115" s="142"/>
      <c r="G115" s="142"/>
      <c r="H115" s="142"/>
      <c r="I115" s="142"/>
    </row>
    <row r="116" customHeight="1" spans="1:9">
      <c r="A116" s="142"/>
      <c r="B116" s="142"/>
      <c r="C116" s="142"/>
      <c r="E116" s="142"/>
      <c r="F116" s="142"/>
      <c r="G116" s="142"/>
      <c r="H116" s="142"/>
      <c r="I116" s="142"/>
    </row>
    <row r="117" customHeight="1" spans="1:9">
      <c r="A117" s="142"/>
      <c r="B117" s="142"/>
      <c r="C117" s="142"/>
      <c r="E117" s="142"/>
      <c r="F117" s="142"/>
      <c r="G117" s="142"/>
      <c r="H117" s="142"/>
      <c r="I117" s="142"/>
    </row>
    <row r="118" customHeight="1" spans="1:9">
      <c r="A118" s="142"/>
      <c r="B118" s="142"/>
      <c r="C118" s="142"/>
      <c r="E118" s="142"/>
      <c r="F118" s="142"/>
      <c r="G118" s="142"/>
      <c r="H118" s="142"/>
      <c r="I118" s="142"/>
    </row>
    <row r="119" customHeight="1" spans="1:9">
      <c r="A119" s="142"/>
      <c r="B119" s="142"/>
      <c r="C119" s="142"/>
      <c r="E119" s="142"/>
      <c r="F119" s="142"/>
      <c r="G119" s="142"/>
      <c r="H119" s="142"/>
      <c r="I119" s="142"/>
    </row>
    <row r="120" customHeight="1" spans="1:9">
      <c r="A120" s="142"/>
      <c r="B120" s="142"/>
      <c r="C120" s="142"/>
      <c r="E120" s="142"/>
      <c r="F120" s="142"/>
      <c r="G120" s="142"/>
      <c r="H120" s="142"/>
      <c r="I120" s="142"/>
    </row>
    <row r="121" customHeight="1" spans="1:9">
      <c r="A121" s="142"/>
      <c r="B121" s="142"/>
      <c r="C121" s="142"/>
      <c r="E121" s="142"/>
      <c r="F121" s="142"/>
      <c r="G121" s="142"/>
      <c r="H121" s="142"/>
      <c r="I121" s="142"/>
    </row>
    <row r="122" customHeight="1" spans="1:9">
      <c r="A122" s="142"/>
      <c r="B122" s="142"/>
      <c r="C122" s="142"/>
      <c r="E122" s="142"/>
      <c r="F122" s="142"/>
      <c r="G122" s="142"/>
      <c r="H122" s="142"/>
      <c r="I122" s="142"/>
    </row>
    <row r="123" customHeight="1" spans="1:9">
      <c r="A123" s="142"/>
      <c r="B123" s="142"/>
      <c r="C123" s="142"/>
      <c r="E123" s="142"/>
      <c r="F123" s="142"/>
      <c r="G123" s="142"/>
      <c r="H123" s="142"/>
      <c r="I123" s="142"/>
    </row>
    <row r="124" customHeight="1" spans="1:9">
      <c r="A124" s="142"/>
      <c r="B124" s="142"/>
      <c r="C124" s="142"/>
      <c r="E124" s="142"/>
      <c r="F124" s="142"/>
      <c r="G124" s="142"/>
      <c r="H124" s="142"/>
      <c r="I124" s="142"/>
    </row>
    <row r="125" customHeight="1" spans="1:9">
      <c r="A125" s="142"/>
      <c r="B125" s="142"/>
      <c r="C125" s="142"/>
      <c r="E125" s="142"/>
      <c r="F125" s="142"/>
      <c r="G125" s="142"/>
      <c r="H125" s="142"/>
      <c r="I125" s="142"/>
    </row>
    <row r="126" customHeight="1" spans="1:9">
      <c r="A126" s="142"/>
      <c r="B126" s="142"/>
      <c r="C126" s="142"/>
      <c r="E126" s="142"/>
      <c r="F126" s="142"/>
      <c r="G126" s="142"/>
      <c r="H126" s="142"/>
      <c r="I126" s="142"/>
    </row>
    <row r="127" customHeight="1" spans="1:9">
      <c r="A127" s="142"/>
      <c r="B127" s="142"/>
      <c r="C127" s="142"/>
      <c r="E127" s="142"/>
      <c r="F127" s="142"/>
      <c r="G127" s="142"/>
      <c r="H127" s="142"/>
      <c r="I127" s="142"/>
    </row>
    <row r="128" customHeight="1" spans="1:9">
      <c r="A128" s="142"/>
      <c r="B128" s="142"/>
      <c r="C128" s="142"/>
      <c r="E128" s="142"/>
      <c r="F128" s="142"/>
      <c r="G128" s="142"/>
      <c r="H128" s="142"/>
      <c r="I128" s="142"/>
    </row>
    <row r="129" customHeight="1" spans="1:9">
      <c r="A129" s="142"/>
      <c r="B129" s="142"/>
      <c r="C129" s="142"/>
      <c r="E129" s="142"/>
      <c r="F129" s="142"/>
      <c r="G129" s="142"/>
      <c r="H129" s="142"/>
      <c r="I129" s="142"/>
    </row>
    <row r="130" customHeight="1" spans="1:9">
      <c r="A130" s="142"/>
      <c r="B130" s="142"/>
      <c r="C130" s="142"/>
      <c r="E130" s="142"/>
      <c r="F130" s="142"/>
      <c r="G130" s="142"/>
      <c r="H130" s="142"/>
      <c r="I130" s="142"/>
    </row>
    <row r="131" customHeight="1" spans="1:9">
      <c r="A131" s="142"/>
      <c r="B131" s="142"/>
      <c r="C131" s="142"/>
      <c r="E131" s="142"/>
      <c r="F131" s="142"/>
      <c r="G131" s="142"/>
      <c r="H131" s="142"/>
      <c r="I131" s="142"/>
    </row>
    <row r="132" customHeight="1" spans="1:9">
      <c r="A132" s="142"/>
      <c r="B132" s="142"/>
      <c r="C132" s="142"/>
      <c r="E132" s="142"/>
      <c r="F132" s="142"/>
      <c r="G132" s="142"/>
      <c r="H132" s="142"/>
      <c r="I132" s="142"/>
    </row>
    <row r="133" customHeight="1" spans="1:9">
      <c r="A133" s="142"/>
      <c r="B133" s="142"/>
      <c r="C133" s="142"/>
      <c r="E133" s="142"/>
      <c r="F133" s="142"/>
      <c r="G133" s="142"/>
      <c r="H133" s="142"/>
      <c r="I133" s="142"/>
    </row>
    <row r="134" customHeight="1" spans="1:9">
      <c r="A134" s="142"/>
      <c r="B134" s="142"/>
      <c r="C134" s="142"/>
      <c r="E134" s="142"/>
      <c r="F134" s="142"/>
      <c r="G134" s="142"/>
      <c r="H134" s="142"/>
      <c r="I134" s="142"/>
    </row>
    <row r="135" customHeight="1" spans="1:9">
      <c r="A135" s="142"/>
      <c r="B135" s="142"/>
      <c r="C135" s="142"/>
      <c r="E135" s="142"/>
      <c r="F135" s="142"/>
      <c r="G135" s="142"/>
      <c r="H135" s="142"/>
      <c r="I135" s="142"/>
    </row>
    <row r="136" customHeight="1" spans="1:9">
      <c r="A136" s="142"/>
      <c r="B136" s="142"/>
      <c r="C136" s="142"/>
      <c r="E136" s="142"/>
      <c r="F136" s="142"/>
      <c r="G136" s="142"/>
      <c r="H136" s="142"/>
      <c r="I136" s="142"/>
    </row>
    <row r="137" customHeight="1" spans="1:9">
      <c r="A137" s="142"/>
      <c r="B137" s="142"/>
      <c r="C137" s="142"/>
      <c r="E137" s="142"/>
      <c r="F137" s="142"/>
      <c r="G137" s="142"/>
      <c r="H137" s="142"/>
      <c r="I137" s="142"/>
    </row>
    <row r="138" customHeight="1" spans="1:9">
      <c r="A138" s="142"/>
      <c r="B138" s="142"/>
      <c r="C138" s="142"/>
      <c r="E138" s="142"/>
      <c r="F138" s="142"/>
      <c r="G138" s="142"/>
      <c r="H138" s="142"/>
      <c r="I138" s="142"/>
    </row>
    <row r="139" customHeight="1" spans="1:9">
      <c r="A139" s="142"/>
      <c r="B139" s="142"/>
      <c r="C139" s="142"/>
      <c r="E139" s="142"/>
      <c r="F139" s="142"/>
      <c r="G139" s="142"/>
      <c r="H139" s="142"/>
      <c r="I139" s="142"/>
    </row>
    <row r="140" customHeight="1" spans="1:9">
      <c r="A140" s="142"/>
      <c r="B140" s="142"/>
      <c r="C140" s="142"/>
      <c r="E140" s="142"/>
      <c r="F140" s="142"/>
      <c r="G140" s="142"/>
      <c r="H140" s="142"/>
      <c r="I140" s="142"/>
    </row>
    <row r="141" customHeight="1" spans="1:9">
      <c r="A141" s="142"/>
      <c r="B141" s="142"/>
      <c r="C141" s="142"/>
      <c r="E141" s="142"/>
      <c r="F141" s="142"/>
      <c r="G141" s="142"/>
      <c r="H141" s="142"/>
      <c r="I141" s="142"/>
    </row>
    <row r="142" customHeight="1" spans="1:9">
      <c r="A142" s="142"/>
      <c r="B142" s="142"/>
      <c r="C142" s="142"/>
      <c r="E142" s="142"/>
      <c r="F142" s="142"/>
      <c r="G142" s="142"/>
      <c r="H142" s="142"/>
      <c r="I142" s="142"/>
    </row>
    <row r="143" customHeight="1" spans="1:9">
      <c r="A143" s="142"/>
      <c r="B143" s="142"/>
      <c r="C143" s="142"/>
      <c r="E143" s="142"/>
      <c r="F143" s="142"/>
      <c r="G143" s="142"/>
      <c r="H143" s="142"/>
      <c r="I143" s="142"/>
    </row>
    <row r="144" customHeight="1" spans="1:9">
      <c r="A144" s="142"/>
      <c r="B144" s="142"/>
      <c r="C144" s="142"/>
      <c r="E144" s="142"/>
      <c r="F144" s="142"/>
      <c r="G144" s="142"/>
      <c r="H144" s="142"/>
      <c r="I144" s="142"/>
    </row>
    <row r="145" customHeight="1" spans="1:9">
      <c r="A145" s="142"/>
      <c r="B145" s="142"/>
      <c r="C145" s="142"/>
      <c r="E145" s="142"/>
      <c r="F145" s="142"/>
      <c r="G145" s="142"/>
      <c r="H145" s="142"/>
      <c r="I145" s="142"/>
    </row>
    <row r="146" customHeight="1" spans="1:9">
      <c r="A146" s="142"/>
      <c r="B146" s="142"/>
      <c r="C146" s="142"/>
      <c r="E146" s="142"/>
      <c r="F146" s="142"/>
      <c r="G146" s="142"/>
      <c r="H146" s="142"/>
      <c r="I146" s="142"/>
    </row>
    <row r="147" customHeight="1" spans="1:9">
      <c r="A147" s="142"/>
      <c r="B147" s="142"/>
      <c r="C147" s="142"/>
      <c r="E147" s="142"/>
      <c r="F147" s="142"/>
      <c r="G147" s="142"/>
      <c r="H147" s="142"/>
      <c r="I147" s="142"/>
    </row>
    <row r="148" customHeight="1" spans="1:9">
      <c r="A148" s="142"/>
      <c r="B148" s="142"/>
      <c r="C148" s="142"/>
      <c r="E148" s="142"/>
      <c r="F148" s="142"/>
      <c r="G148" s="142"/>
      <c r="H148" s="142"/>
      <c r="I148" s="142"/>
    </row>
    <row r="149" customHeight="1" spans="1:9">
      <c r="A149" s="142"/>
      <c r="B149" s="142"/>
      <c r="C149" s="142"/>
      <c r="E149" s="142"/>
      <c r="F149" s="142"/>
      <c r="G149" s="142"/>
      <c r="H149" s="142"/>
      <c r="I149" s="142"/>
    </row>
    <row r="150" customHeight="1" spans="1:9">
      <c r="A150" s="142"/>
      <c r="B150" s="142"/>
      <c r="C150" s="142"/>
      <c r="E150" s="142"/>
      <c r="F150" s="142"/>
      <c r="G150" s="142"/>
      <c r="H150" s="142"/>
      <c r="I150" s="142"/>
    </row>
    <row r="151" customHeight="1" spans="1:9">
      <c r="A151" s="142"/>
      <c r="B151" s="142"/>
      <c r="C151" s="142"/>
      <c r="E151" s="142"/>
      <c r="F151" s="142"/>
      <c r="G151" s="142"/>
      <c r="H151" s="142"/>
      <c r="I151" s="142"/>
    </row>
    <row r="152" customHeight="1" spans="1:9">
      <c r="A152" s="142"/>
      <c r="B152" s="142"/>
      <c r="C152" s="142"/>
      <c r="E152" s="142"/>
      <c r="F152" s="142"/>
      <c r="G152" s="142"/>
      <c r="H152" s="142"/>
      <c r="I152" s="142"/>
    </row>
    <row r="153" customHeight="1" spans="1:9">
      <c r="A153" s="142"/>
      <c r="B153" s="142"/>
      <c r="C153" s="142"/>
      <c r="E153" s="142"/>
      <c r="F153" s="142"/>
      <c r="G153" s="142"/>
      <c r="H153" s="142"/>
      <c r="I153" s="142"/>
    </row>
    <row r="154" customHeight="1" spans="1:9">
      <c r="A154" s="142"/>
      <c r="B154" s="142"/>
      <c r="C154" s="142"/>
      <c r="E154" s="142"/>
      <c r="F154" s="142"/>
      <c r="G154" s="142"/>
      <c r="H154" s="142"/>
      <c r="I154" s="142"/>
    </row>
    <row r="155" customHeight="1" spans="1:9">
      <c r="A155" s="142"/>
      <c r="B155" s="142"/>
      <c r="C155" s="142"/>
      <c r="E155" s="142"/>
      <c r="F155" s="142"/>
      <c r="G155" s="142"/>
      <c r="H155" s="142"/>
      <c r="I155" s="142"/>
    </row>
    <row r="156" customHeight="1" spans="1:9">
      <c r="A156" s="142"/>
      <c r="B156" s="142"/>
      <c r="C156" s="142"/>
      <c r="E156" s="142"/>
      <c r="F156" s="142"/>
      <c r="G156" s="142"/>
      <c r="H156" s="142"/>
      <c r="I156" s="142"/>
    </row>
    <row r="157" customHeight="1" spans="1:9">
      <c r="A157" s="142"/>
      <c r="B157" s="142"/>
      <c r="C157" s="142"/>
      <c r="E157" s="142"/>
      <c r="F157" s="142"/>
      <c r="G157" s="142"/>
      <c r="H157" s="142"/>
      <c r="I157" s="142"/>
    </row>
    <row r="158" customHeight="1" spans="1:9">
      <c r="A158" s="142"/>
      <c r="B158" s="142"/>
      <c r="C158" s="142"/>
      <c r="E158" s="142"/>
      <c r="F158" s="142"/>
      <c r="G158" s="142"/>
      <c r="H158" s="142"/>
      <c r="I158" s="142"/>
    </row>
    <row r="159" customHeight="1" spans="1:9">
      <c r="A159" s="142"/>
      <c r="B159" s="142"/>
      <c r="C159" s="142"/>
      <c r="E159" s="142"/>
      <c r="F159" s="142"/>
      <c r="G159" s="142"/>
      <c r="H159" s="142"/>
      <c r="I159" s="142"/>
    </row>
    <row r="160" customHeight="1" spans="1:9">
      <c r="A160" s="142"/>
      <c r="B160" s="142"/>
      <c r="C160" s="142"/>
      <c r="E160" s="142"/>
      <c r="F160" s="142"/>
      <c r="G160" s="142"/>
      <c r="H160" s="142"/>
      <c r="I160" s="142"/>
    </row>
    <row r="161" customHeight="1" spans="1:9">
      <c r="A161" s="142"/>
      <c r="B161" s="142"/>
      <c r="C161" s="142"/>
      <c r="E161" s="142"/>
      <c r="F161" s="142"/>
      <c r="G161" s="142"/>
      <c r="H161" s="142"/>
      <c r="I161" s="142"/>
    </row>
    <row r="162" customHeight="1" spans="1:9">
      <c r="A162" s="142"/>
      <c r="B162" s="142"/>
      <c r="C162" s="142"/>
      <c r="E162" s="142"/>
      <c r="F162" s="142"/>
      <c r="G162" s="142"/>
      <c r="H162" s="142"/>
      <c r="I162" s="142"/>
    </row>
    <row r="163" customHeight="1" spans="1:9">
      <c r="A163" s="142"/>
      <c r="B163" s="142"/>
      <c r="C163" s="142"/>
      <c r="E163" s="142"/>
      <c r="F163" s="142"/>
      <c r="G163" s="142"/>
      <c r="H163" s="142"/>
      <c r="I163" s="142"/>
    </row>
    <row r="164" customHeight="1" spans="1:9">
      <c r="A164" s="142"/>
      <c r="B164" s="142"/>
      <c r="C164" s="142"/>
      <c r="E164" s="142"/>
      <c r="F164" s="142"/>
      <c r="G164" s="142"/>
      <c r="H164" s="142"/>
      <c r="I164" s="142"/>
    </row>
    <row r="165" customHeight="1" spans="1:9">
      <c r="A165" s="142"/>
      <c r="B165" s="142"/>
      <c r="C165" s="142"/>
      <c r="E165" s="142"/>
      <c r="F165" s="142"/>
      <c r="G165" s="142"/>
      <c r="H165" s="142"/>
      <c r="I165" s="142"/>
    </row>
    <row r="166" customHeight="1" spans="1:9">
      <c r="A166" s="142"/>
      <c r="B166" s="142"/>
      <c r="C166" s="142"/>
      <c r="E166" s="142"/>
      <c r="F166" s="142"/>
      <c r="G166" s="142"/>
      <c r="H166" s="142"/>
      <c r="I166" s="142"/>
    </row>
    <row r="167" customHeight="1" spans="1:9">
      <c r="A167" s="142"/>
      <c r="B167" s="142"/>
      <c r="C167" s="142"/>
      <c r="E167" s="142"/>
      <c r="F167" s="142"/>
      <c r="G167" s="142"/>
      <c r="H167" s="142"/>
      <c r="I167" s="142"/>
    </row>
    <row r="168" customHeight="1" spans="1:9">
      <c r="A168" s="142"/>
      <c r="B168" s="142"/>
      <c r="C168" s="142"/>
      <c r="E168" s="142"/>
      <c r="F168" s="142"/>
      <c r="G168" s="142"/>
      <c r="H168" s="142"/>
      <c r="I168" s="142"/>
    </row>
    <row r="169" customHeight="1" spans="1:9">
      <c r="A169" s="142"/>
      <c r="B169" s="142"/>
      <c r="C169" s="142"/>
      <c r="E169" s="142"/>
      <c r="F169" s="142"/>
      <c r="G169" s="142"/>
      <c r="H169" s="142"/>
      <c r="I169" s="142"/>
    </row>
    <row r="170" customHeight="1" spans="1:9">
      <c r="A170" s="142"/>
      <c r="B170" s="142"/>
      <c r="C170" s="142"/>
      <c r="E170" s="142"/>
      <c r="F170" s="142"/>
      <c r="G170" s="142"/>
      <c r="H170" s="142"/>
      <c r="I170" s="142"/>
    </row>
    <row r="171" customHeight="1" spans="1:9">
      <c r="A171" s="142"/>
      <c r="B171" s="142"/>
      <c r="C171" s="142"/>
      <c r="E171" s="142"/>
      <c r="F171" s="142"/>
      <c r="G171" s="142"/>
      <c r="H171" s="142"/>
      <c r="I171" s="142"/>
    </row>
    <row r="172" customHeight="1" spans="1:9">
      <c r="A172" s="142"/>
      <c r="B172" s="142"/>
      <c r="C172" s="142"/>
      <c r="E172" s="142"/>
      <c r="F172" s="142"/>
      <c r="G172" s="142"/>
      <c r="H172" s="142"/>
      <c r="I172" s="142"/>
    </row>
    <row r="173" customHeight="1" spans="1:9">
      <c r="A173" s="142"/>
      <c r="B173" s="142"/>
      <c r="C173" s="142"/>
      <c r="E173" s="142"/>
      <c r="F173" s="142"/>
      <c r="G173" s="142"/>
      <c r="H173" s="142"/>
      <c r="I173" s="142"/>
    </row>
    <row r="174" customHeight="1" spans="1:9">
      <c r="A174" s="142"/>
      <c r="B174" s="142"/>
      <c r="C174" s="142"/>
      <c r="E174" s="142"/>
      <c r="F174" s="142"/>
      <c r="G174" s="142"/>
      <c r="H174" s="142"/>
      <c r="I174" s="142"/>
    </row>
    <row r="175" customHeight="1" spans="1:9">
      <c r="A175" s="142"/>
      <c r="B175" s="142"/>
      <c r="C175" s="142"/>
      <c r="E175" s="142"/>
      <c r="F175" s="142"/>
      <c r="G175" s="142"/>
      <c r="H175" s="142"/>
      <c r="I175" s="142"/>
    </row>
    <row r="176" customHeight="1" spans="1:9">
      <c r="A176" s="142"/>
      <c r="B176" s="142"/>
      <c r="C176" s="142"/>
      <c r="E176" s="142"/>
      <c r="F176" s="142"/>
      <c r="G176" s="142"/>
      <c r="H176" s="142"/>
      <c r="I176" s="142"/>
    </row>
    <row r="177" customHeight="1" spans="1:9">
      <c r="A177" s="142"/>
      <c r="B177" s="142"/>
      <c r="C177" s="142"/>
      <c r="E177" s="142"/>
      <c r="F177" s="142"/>
      <c r="G177" s="142"/>
      <c r="H177" s="142"/>
      <c r="I177" s="142"/>
    </row>
    <row r="178" customHeight="1" spans="1:9">
      <c r="A178" s="142"/>
      <c r="B178" s="142"/>
      <c r="C178" s="142"/>
      <c r="E178" s="142"/>
      <c r="F178" s="142"/>
      <c r="G178" s="142"/>
      <c r="H178" s="142"/>
      <c r="I178" s="142"/>
    </row>
    <row r="179" customHeight="1" spans="1:9">
      <c r="A179" s="142"/>
      <c r="B179" s="142"/>
      <c r="C179" s="142"/>
      <c r="E179" s="142"/>
      <c r="F179" s="142"/>
      <c r="G179" s="142"/>
      <c r="H179" s="142"/>
      <c r="I179" s="142"/>
    </row>
    <row r="180" customHeight="1" spans="1:9">
      <c r="A180" s="142"/>
      <c r="B180" s="142"/>
      <c r="C180" s="142"/>
      <c r="E180" s="142"/>
      <c r="F180" s="142"/>
      <c r="G180" s="142"/>
      <c r="H180" s="142"/>
      <c r="I180" s="142"/>
    </row>
    <row r="181" customHeight="1" spans="1:9">
      <c r="A181" s="142"/>
      <c r="B181" s="142"/>
      <c r="C181" s="142"/>
      <c r="E181" s="142"/>
      <c r="F181" s="142"/>
      <c r="G181" s="142"/>
      <c r="H181" s="142"/>
      <c r="I181" s="142"/>
    </row>
    <row r="182" customHeight="1" spans="1:9">
      <c r="A182" s="142"/>
      <c r="B182" s="142"/>
      <c r="C182" s="142"/>
      <c r="E182" s="142"/>
      <c r="F182" s="142"/>
      <c r="G182" s="142"/>
      <c r="H182" s="142"/>
      <c r="I182" s="142"/>
    </row>
    <row r="183" customHeight="1" spans="1:9">
      <c r="A183" s="142"/>
      <c r="B183" s="142"/>
      <c r="C183" s="142"/>
      <c r="E183" s="142"/>
      <c r="F183" s="142"/>
      <c r="G183" s="142"/>
      <c r="H183" s="142"/>
      <c r="I183" s="142"/>
    </row>
    <row r="184" customHeight="1" spans="1:9">
      <c r="A184" s="142"/>
      <c r="B184" s="142"/>
      <c r="C184" s="142"/>
      <c r="E184" s="142"/>
      <c r="F184" s="142"/>
      <c r="G184" s="142"/>
      <c r="H184" s="142"/>
      <c r="I184" s="142"/>
    </row>
    <row r="185" customHeight="1" spans="1:9">
      <c r="A185" s="142"/>
      <c r="B185" s="142"/>
      <c r="C185" s="142"/>
      <c r="E185" s="142"/>
      <c r="F185" s="142"/>
      <c r="G185" s="142"/>
      <c r="H185" s="142"/>
      <c r="I185" s="142"/>
    </row>
    <row r="186" customHeight="1" spans="1:9">
      <c r="A186" s="142"/>
      <c r="B186" s="142"/>
      <c r="C186" s="142"/>
      <c r="E186" s="142"/>
      <c r="F186" s="142"/>
      <c r="G186" s="142"/>
      <c r="H186" s="142"/>
      <c r="I186" s="142"/>
    </row>
    <row r="187" customHeight="1" spans="1:9">
      <c r="A187" s="142"/>
      <c r="B187" s="142"/>
      <c r="C187" s="142"/>
      <c r="E187" s="142"/>
      <c r="F187" s="142"/>
      <c r="G187" s="142"/>
      <c r="H187" s="142"/>
      <c r="I187" s="142"/>
    </row>
    <row r="188" customHeight="1" spans="1:9">
      <c r="A188" s="142"/>
      <c r="B188" s="142"/>
      <c r="C188" s="142"/>
      <c r="E188" s="142"/>
      <c r="F188" s="142"/>
      <c r="G188" s="142"/>
      <c r="H188" s="142"/>
      <c r="I188" s="142"/>
    </row>
    <row r="189" customHeight="1" spans="1:9">
      <c r="A189" s="142"/>
      <c r="B189" s="142"/>
      <c r="C189" s="142"/>
      <c r="E189" s="142"/>
      <c r="F189" s="142"/>
      <c r="G189" s="142"/>
      <c r="H189" s="142"/>
      <c r="I189" s="142"/>
    </row>
    <row r="190" customHeight="1" spans="1:9">
      <c r="A190" s="142"/>
      <c r="B190" s="142"/>
      <c r="C190" s="142"/>
      <c r="E190" s="142"/>
      <c r="F190" s="142"/>
      <c r="G190" s="142"/>
      <c r="H190" s="142"/>
      <c r="I190" s="142"/>
    </row>
    <row r="191" customHeight="1" spans="1:9">
      <c r="A191" s="142"/>
      <c r="B191" s="142"/>
      <c r="C191" s="142"/>
      <c r="E191" s="142"/>
      <c r="F191" s="142"/>
      <c r="G191" s="142"/>
      <c r="H191" s="142"/>
      <c r="I191" s="142"/>
    </row>
    <row r="192" customHeight="1" spans="1:9">
      <c r="A192" s="142"/>
      <c r="B192" s="142"/>
      <c r="C192" s="142"/>
      <c r="E192" s="142"/>
      <c r="F192" s="142"/>
      <c r="G192" s="142"/>
      <c r="H192" s="142"/>
      <c r="I192" s="142"/>
    </row>
    <row r="193" customHeight="1" spans="1:9">
      <c r="A193" s="142"/>
      <c r="B193" s="142"/>
      <c r="C193" s="142"/>
      <c r="E193" s="142"/>
      <c r="F193" s="142"/>
      <c r="G193" s="142"/>
      <c r="H193" s="142"/>
      <c r="I193" s="142"/>
    </row>
    <row r="194" customHeight="1" spans="1:9">
      <c r="A194" s="142"/>
      <c r="B194" s="142"/>
      <c r="C194" s="142"/>
      <c r="E194" s="142"/>
      <c r="F194" s="142"/>
      <c r="G194" s="142"/>
      <c r="H194" s="142"/>
      <c r="I194" s="142"/>
    </row>
    <row r="195" customHeight="1" spans="1:9">
      <c r="A195" s="142"/>
      <c r="B195" s="142"/>
      <c r="C195" s="142"/>
      <c r="E195" s="142"/>
      <c r="F195" s="142"/>
      <c r="G195" s="142"/>
      <c r="H195" s="142"/>
      <c r="I195" s="142"/>
    </row>
    <row r="196" customHeight="1" spans="1:9">
      <c r="A196" s="142"/>
      <c r="B196" s="142"/>
      <c r="C196" s="142"/>
      <c r="E196" s="142"/>
      <c r="F196" s="142"/>
      <c r="G196" s="142"/>
      <c r="H196" s="142"/>
      <c r="I196" s="142"/>
    </row>
    <row r="197" customHeight="1" spans="1:9">
      <c r="A197" s="142"/>
      <c r="B197" s="142"/>
      <c r="C197" s="142"/>
      <c r="E197" s="142"/>
      <c r="F197" s="142"/>
      <c r="G197" s="142"/>
      <c r="H197" s="142"/>
      <c r="I197" s="142"/>
    </row>
    <row r="198" customHeight="1" spans="1:9">
      <c r="A198" s="142"/>
      <c r="B198" s="142"/>
      <c r="C198" s="142"/>
      <c r="E198" s="142"/>
      <c r="F198" s="142"/>
      <c r="G198" s="142"/>
      <c r="H198" s="142"/>
      <c r="I198" s="142"/>
    </row>
    <row r="199" customHeight="1" spans="1:9">
      <c r="A199" s="142"/>
      <c r="B199" s="142"/>
      <c r="C199" s="142"/>
      <c r="E199" s="142"/>
      <c r="F199" s="142"/>
      <c r="G199" s="142"/>
      <c r="H199" s="142"/>
      <c r="I199" s="142"/>
    </row>
    <row r="200" customHeight="1" spans="1:9">
      <c r="A200" s="142"/>
      <c r="B200" s="142"/>
      <c r="C200" s="142"/>
      <c r="E200" s="142"/>
      <c r="F200" s="142"/>
      <c r="G200" s="142"/>
      <c r="H200" s="142"/>
      <c r="I200" s="142"/>
    </row>
    <row r="201" customHeight="1" spans="1:9">
      <c r="A201" s="142"/>
      <c r="B201" s="142"/>
      <c r="C201" s="142"/>
      <c r="E201" s="142"/>
      <c r="F201" s="142"/>
      <c r="G201" s="142"/>
      <c r="H201" s="142"/>
      <c r="I201" s="142"/>
    </row>
    <row r="202" customHeight="1" spans="1:9">
      <c r="A202" s="142"/>
      <c r="B202" s="142"/>
      <c r="C202" s="142"/>
      <c r="E202" s="142"/>
      <c r="F202" s="142"/>
      <c r="G202" s="142"/>
      <c r="H202" s="142"/>
      <c r="I202" s="142"/>
    </row>
    <row r="203" customHeight="1" spans="1:9">
      <c r="A203" s="142"/>
      <c r="B203" s="142"/>
      <c r="C203" s="142"/>
      <c r="E203" s="142"/>
      <c r="F203" s="142"/>
      <c r="G203" s="142"/>
      <c r="H203" s="142"/>
      <c r="I203" s="142"/>
    </row>
    <row r="204" customHeight="1" spans="1:9">
      <c r="A204" s="142"/>
      <c r="B204" s="142"/>
      <c r="C204" s="142"/>
      <c r="E204" s="142"/>
      <c r="F204" s="142"/>
      <c r="G204" s="142"/>
      <c r="H204" s="142"/>
      <c r="I204" s="142"/>
    </row>
    <row r="205" customHeight="1" spans="1:9">
      <c r="A205" s="142"/>
      <c r="B205" s="142"/>
      <c r="C205" s="142"/>
      <c r="E205" s="142"/>
      <c r="F205" s="142"/>
      <c r="G205" s="142"/>
      <c r="H205" s="142"/>
      <c r="I205" s="142"/>
    </row>
    <row r="206" customHeight="1" spans="1:9">
      <c r="A206" s="142"/>
      <c r="B206" s="142"/>
      <c r="C206" s="142"/>
      <c r="E206" s="142"/>
      <c r="F206" s="142"/>
      <c r="G206" s="142"/>
      <c r="H206" s="142"/>
      <c r="I206" s="142"/>
    </row>
    <row r="207" customHeight="1" spans="1:9">
      <c r="A207" s="142"/>
      <c r="B207" s="142"/>
      <c r="C207" s="142"/>
      <c r="E207" s="142"/>
      <c r="F207" s="142"/>
      <c r="G207" s="142"/>
      <c r="H207" s="142"/>
      <c r="I207" s="142"/>
    </row>
    <row r="208" customHeight="1" spans="1:9">
      <c r="A208" s="142"/>
      <c r="B208" s="142"/>
      <c r="C208" s="142"/>
      <c r="E208" s="142"/>
      <c r="F208" s="142"/>
      <c r="G208" s="142"/>
      <c r="H208" s="142"/>
      <c r="I208" s="142"/>
    </row>
    <row r="209" customHeight="1" spans="1:9">
      <c r="A209" s="142"/>
      <c r="B209" s="142"/>
      <c r="C209" s="142"/>
      <c r="E209" s="142"/>
      <c r="F209" s="142"/>
      <c r="G209" s="142"/>
      <c r="H209" s="142"/>
      <c r="I209" s="142"/>
    </row>
    <row r="210" customHeight="1" spans="1:9">
      <c r="A210" s="142"/>
      <c r="B210" s="142"/>
      <c r="C210" s="142"/>
      <c r="E210" s="142"/>
      <c r="F210" s="142"/>
      <c r="G210" s="142"/>
      <c r="H210" s="142"/>
      <c r="I210" s="142"/>
    </row>
    <row r="211" customHeight="1" spans="1:9">
      <c r="A211" s="142"/>
      <c r="B211" s="142"/>
      <c r="C211" s="142"/>
      <c r="E211" s="142"/>
      <c r="F211" s="142"/>
      <c r="G211" s="142"/>
      <c r="H211" s="142"/>
      <c r="I211" s="142"/>
    </row>
    <row r="212" customHeight="1" spans="1:9">
      <c r="A212" s="142"/>
      <c r="B212" s="142"/>
      <c r="C212" s="142"/>
      <c r="E212" s="142"/>
      <c r="F212" s="142"/>
      <c r="G212" s="142"/>
      <c r="H212" s="142"/>
      <c r="I212" s="142"/>
    </row>
    <row r="213" customHeight="1" spans="1:9">
      <c r="A213" s="142"/>
      <c r="B213" s="142"/>
      <c r="C213" s="142"/>
      <c r="E213" s="142"/>
      <c r="F213" s="142"/>
      <c r="G213" s="142"/>
      <c r="H213" s="142"/>
      <c r="I213" s="142"/>
    </row>
    <row r="214" customHeight="1" spans="1:9">
      <c r="A214" s="142"/>
      <c r="B214" s="142"/>
      <c r="C214" s="142"/>
      <c r="E214" s="142"/>
      <c r="F214" s="142"/>
      <c r="G214" s="142"/>
      <c r="H214" s="142"/>
      <c r="I214" s="142"/>
    </row>
    <row r="215" customHeight="1" spans="1:9">
      <c r="A215" s="142"/>
      <c r="B215" s="142"/>
      <c r="C215" s="142"/>
      <c r="E215" s="142"/>
      <c r="F215" s="142"/>
      <c r="G215" s="142"/>
      <c r="H215" s="142"/>
      <c r="I215" s="142"/>
    </row>
    <row r="216" customHeight="1" spans="1:9">
      <c r="A216" s="142"/>
      <c r="B216" s="142"/>
      <c r="C216" s="142"/>
      <c r="E216" s="142"/>
      <c r="F216" s="142"/>
      <c r="G216" s="142"/>
      <c r="H216" s="142"/>
      <c r="I216" s="142"/>
    </row>
    <row r="217" customHeight="1" spans="1:9">
      <c r="A217" s="142"/>
      <c r="B217" s="142"/>
      <c r="C217" s="142"/>
      <c r="E217" s="142"/>
      <c r="F217" s="142"/>
      <c r="G217" s="142"/>
      <c r="H217" s="142"/>
      <c r="I217" s="142"/>
    </row>
    <row r="218" customHeight="1" spans="1:9">
      <c r="A218" s="142"/>
      <c r="B218" s="142"/>
      <c r="C218" s="142"/>
      <c r="E218" s="142"/>
      <c r="F218" s="142"/>
      <c r="G218" s="142"/>
      <c r="H218" s="142"/>
      <c r="I218" s="142"/>
    </row>
    <row r="219" customHeight="1" spans="1:9">
      <c r="A219" s="142"/>
      <c r="B219" s="142"/>
      <c r="C219" s="142"/>
      <c r="E219" s="142"/>
      <c r="F219" s="142"/>
      <c r="G219" s="142"/>
      <c r="H219" s="142"/>
      <c r="I219" s="142"/>
    </row>
    <row r="220" customHeight="1" spans="1:9">
      <c r="A220" s="142"/>
      <c r="B220" s="142"/>
      <c r="C220" s="142"/>
      <c r="E220" s="142"/>
      <c r="F220" s="142"/>
      <c r="G220" s="142"/>
      <c r="H220" s="142"/>
      <c r="I220" s="142"/>
    </row>
    <row r="221" customHeight="1" spans="1:9">
      <c r="A221" s="142"/>
      <c r="B221" s="142"/>
      <c r="C221" s="142"/>
      <c r="E221" s="142"/>
      <c r="F221" s="142"/>
      <c r="G221" s="142"/>
      <c r="H221" s="142"/>
      <c r="I221" s="142"/>
    </row>
    <row r="222" customHeight="1" spans="1:9">
      <c r="A222" s="142"/>
      <c r="B222" s="142"/>
      <c r="C222" s="142"/>
      <c r="E222" s="142"/>
      <c r="F222" s="142"/>
      <c r="G222" s="142"/>
      <c r="H222" s="142"/>
      <c r="I222" s="142"/>
    </row>
    <row r="223" customHeight="1" spans="1:9">
      <c r="A223" s="142"/>
      <c r="B223" s="142"/>
      <c r="C223" s="142"/>
      <c r="E223" s="142"/>
      <c r="F223" s="142"/>
      <c r="G223" s="142"/>
      <c r="H223" s="142"/>
      <c r="I223" s="142"/>
    </row>
    <row r="224" customHeight="1" spans="1:9">
      <c r="A224" s="142"/>
      <c r="B224" s="142"/>
      <c r="C224" s="142"/>
      <c r="E224" s="142"/>
      <c r="F224" s="142"/>
      <c r="G224" s="142"/>
      <c r="H224" s="142"/>
      <c r="I224" s="142"/>
    </row>
    <row r="225" customHeight="1" spans="1:9">
      <c r="A225" s="142"/>
      <c r="B225" s="142"/>
      <c r="C225" s="142"/>
      <c r="E225" s="142"/>
      <c r="F225" s="142"/>
      <c r="G225" s="142"/>
      <c r="H225" s="142"/>
      <c r="I225" s="142"/>
    </row>
    <row r="226" customHeight="1" spans="1:9">
      <c r="A226" s="142"/>
      <c r="B226" s="142"/>
      <c r="C226" s="142"/>
      <c r="E226" s="142"/>
      <c r="F226" s="142"/>
      <c r="G226" s="142"/>
      <c r="H226" s="142"/>
      <c r="I226" s="142"/>
    </row>
    <row r="227" customHeight="1" spans="1:9">
      <c r="A227" s="142"/>
      <c r="B227" s="142"/>
      <c r="C227" s="142"/>
      <c r="E227" s="142"/>
      <c r="F227" s="142"/>
      <c r="G227" s="142"/>
      <c r="H227" s="142"/>
      <c r="I227" s="142"/>
    </row>
    <row r="228" customHeight="1" spans="1:9">
      <c r="A228" s="142"/>
      <c r="B228" s="142"/>
      <c r="C228" s="142"/>
      <c r="E228" s="142"/>
      <c r="F228" s="142"/>
      <c r="G228" s="142"/>
      <c r="H228" s="142"/>
      <c r="I228" s="142"/>
    </row>
    <row r="229" customHeight="1" spans="1:9">
      <c r="A229" s="142"/>
      <c r="B229" s="142"/>
      <c r="C229" s="142"/>
      <c r="E229" s="142"/>
      <c r="F229" s="142"/>
      <c r="G229" s="142"/>
      <c r="H229" s="142"/>
      <c r="I229" s="142"/>
    </row>
    <row r="230" customHeight="1" spans="1:9">
      <c r="A230" s="142"/>
      <c r="B230" s="142"/>
      <c r="C230" s="142"/>
      <c r="E230" s="142"/>
      <c r="F230" s="142"/>
      <c r="G230" s="142"/>
      <c r="H230" s="142"/>
      <c r="I230" s="142"/>
    </row>
    <row r="231" customHeight="1" spans="1:9">
      <c r="A231" s="142"/>
      <c r="B231" s="142"/>
      <c r="C231" s="142"/>
      <c r="E231" s="142"/>
      <c r="F231" s="142"/>
      <c r="G231" s="142"/>
      <c r="H231" s="142"/>
      <c r="I231" s="142"/>
    </row>
    <row r="232" customHeight="1" spans="1:9">
      <c r="A232" s="142"/>
      <c r="B232" s="142"/>
      <c r="C232" s="142"/>
      <c r="E232" s="142"/>
      <c r="F232" s="142"/>
      <c r="G232" s="142"/>
      <c r="H232" s="142"/>
      <c r="I232" s="142"/>
    </row>
    <row r="233" customHeight="1" spans="1:9">
      <c r="A233" s="142"/>
      <c r="B233" s="142"/>
      <c r="C233" s="142"/>
      <c r="E233" s="142"/>
      <c r="F233" s="142"/>
      <c r="G233" s="142"/>
      <c r="H233" s="142"/>
      <c r="I233" s="142"/>
    </row>
    <row r="234" customHeight="1" spans="1:9">
      <c r="A234" s="142"/>
      <c r="B234" s="142"/>
      <c r="C234" s="142"/>
      <c r="E234" s="142"/>
      <c r="F234" s="142"/>
      <c r="G234" s="142"/>
      <c r="H234" s="142"/>
      <c r="I234" s="142"/>
    </row>
    <row r="235" customHeight="1" spans="1:9">
      <c r="A235" s="142"/>
      <c r="B235" s="142"/>
      <c r="C235" s="142"/>
      <c r="E235" s="142"/>
      <c r="F235" s="142"/>
      <c r="G235" s="142"/>
      <c r="H235" s="142"/>
      <c r="I235" s="142"/>
    </row>
    <row r="236" customHeight="1" spans="1:9">
      <c r="A236" s="142"/>
      <c r="B236" s="142"/>
      <c r="C236" s="142"/>
      <c r="E236" s="142"/>
      <c r="F236" s="142"/>
      <c r="G236" s="142"/>
      <c r="H236" s="142"/>
      <c r="I236" s="142"/>
    </row>
    <row r="237" customHeight="1" spans="1:9">
      <c r="A237" s="142"/>
      <c r="B237" s="142"/>
      <c r="C237" s="142"/>
      <c r="E237" s="142"/>
      <c r="F237" s="142"/>
      <c r="G237" s="142"/>
      <c r="H237" s="142"/>
      <c r="I237" s="142"/>
    </row>
    <row r="238" customHeight="1" spans="1:9">
      <c r="A238" s="142"/>
      <c r="B238" s="142"/>
      <c r="C238" s="142"/>
      <c r="E238" s="142"/>
      <c r="F238" s="142"/>
      <c r="G238" s="142"/>
      <c r="H238" s="142"/>
      <c r="I238" s="142"/>
    </row>
    <row r="239" customHeight="1" spans="1:9">
      <c r="A239" s="142"/>
      <c r="B239" s="142"/>
      <c r="C239" s="142"/>
      <c r="E239" s="142"/>
      <c r="F239" s="142"/>
      <c r="G239" s="142"/>
      <c r="H239" s="142"/>
      <c r="I239" s="142"/>
    </row>
    <row r="240" customHeight="1" spans="1:9">
      <c r="A240" s="142"/>
      <c r="B240" s="142"/>
      <c r="C240" s="142"/>
      <c r="E240" s="142"/>
      <c r="F240" s="142"/>
      <c r="G240" s="142"/>
      <c r="H240" s="142"/>
      <c r="I240" s="142"/>
    </row>
    <row r="241" customHeight="1" spans="1:9">
      <c r="A241" s="142"/>
      <c r="B241" s="142"/>
      <c r="C241" s="142"/>
      <c r="E241" s="142"/>
      <c r="F241" s="142"/>
      <c r="G241" s="142"/>
      <c r="H241" s="142"/>
      <c r="I241" s="142"/>
    </row>
    <row r="242" customHeight="1" spans="1:9">
      <c r="A242" s="142"/>
      <c r="B242" s="142"/>
      <c r="C242" s="142"/>
      <c r="E242" s="142"/>
      <c r="F242" s="142"/>
      <c r="G242" s="142"/>
      <c r="H242" s="142"/>
      <c r="I242" s="142"/>
    </row>
    <row r="243" customHeight="1" spans="1:9">
      <c r="A243" s="142"/>
      <c r="B243" s="142"/>
      <c r="C243" s="142"/>
      <c r="E243" s="142"/>
      <c r="F243" s="142"/>
      <c r="G243" s="142"/>
      <c r="H243" s="142"/>
      <c r="I243" s="142"/>
    </row>
    <row r="244" customHeight="1" spans="1:9">
      <c r="A244" s="142"/>
      <c r="B244" s="142"/>
      <c r="C244" s="142"/>
      <c r="E244" s="142"/>
      <c r="F244" s="142"/>
      <c r="G244" s="142"/>
      <c r="H244" s="142"/>
      <c r="I244" s="142"/>
    </row>
    <row r="245" customHeight="1" spans="1:9">
      <c r="A245" s="142"/>
      <c r="B245" s="142"/>
      <c r="C245" s="142"/>
      <c r="E245" s="142"/>
      <c r="F245" s="142"/>
      <c r="G245" s="142"/>
      <c r="H245" s="142"/>
      <c r="I245" s="142"/>
    </row>
    <row r="246" customHeight="1" spans="1:9">
      <c r="A246" s="142"/>
      <c r="B246" s="142"/>
      <c r="C246" s="142"/>
      <c r="E246" s="142"/>
      <c r="F246" s="142"/>
      <c r="G246" s="142"/>
      <c r="H246" s="142"/>
      <c r="I246" s="142"/>
    </row>
    <row r="247" customHeight="1" spans="1:9">
      <c r="A247" s="142"/>
      <c r="B247" s="142"/>
      <c r="C247" s="142"/>
      <c r="E247" s="142"/>
      <c r="F247" s="142"/>
      <c r="G247" s="142"/>
      <c r="H247" s="142"/>
      <c r="I247" s="142"/>
    </row>
    <row r="248" customHeight="1" spans="1:9">
      <c r="A248" s="142"/>
      <c r="B248" s="142"/>
      <c r="C248" s="142"/>
      <c r="E248" s="142"/>
      <c r="F248" s="142"/>
      <c r="G248" s="142"/>
      <c r="H248" s="142"/>
      <c r="I248" s="142"/>
    </row>
    <row r="249" customHeight="1" spans="1:9">
      <c r="A249" s="142"/>
      <c r="B249" s="142"/>
      <c r="C249" s="142"/>
      <c r="E249" s="142"/>
      <c r="F249" s="142"/>
      <c r="G249" s="142"/>
      <c r="H249" s="142"/>
      <c r="I249" s="142"/>
    </row>
    <row r="250" customHeight="1" spans="1:9">
      <c r="A250" s="142"/>
      <c r="B250" s="142"/>
      <c r="C250" s="142"/>
      <c r="E250" s="142"/>
      <c r="F250" s="142"/>
      <c r="G250" s="142"/>
      <c r="H250" s="142"/>
      <c r="I250" s="142"/>
    </row>
    <row r="251" customHeight="1" spans="1:9">
      <c r="A251" s="142"/>
      <c r="B251" s="142"/>
      <c r="C251" s="142"/>
      <c r="E251" s="142"/>
      <c r="F251" s="142"/>
      <c r="G251" s="142"/>
      <c r="H251" s="142"/>
      <c r="I251" s="142"/>
    </row>
    <row r="252" customHeight="1" spans="1:9">
      <c r="A252" s="142"/>
      <c r="B252" s="142"/>
      <c r="C252" s="142"/>
      <c r="E252" s="142"/>
      <c r="F252" s="142"/>
      <c r="G252" s="142"/>
      <c r="H252" s="142"/>
      <c r="I252" s="142"/>
    </row>
    <row r="253" customHeight="1" spans="1:9">
      <c r="A253" s="142"/>
      <c r="B253" s="142"/>
      <c r="C253" s="142"/>
      <c r="E253" s="142"/>
      <c r="F253" s="142"/>
      <c r="G253" s="142"/>
      <c r="H253" s="142"/>
      <c r="I253" s="142"/>
    </row>
    <row r="254" customHeight="1" spans="1:9">
      <c r="A254" s="142"/>
      <c r="B254" s="142"/>
      <c r="C254" s="142"/>
      <c r="E254" s="142"/>
      <c r="F254" s="142"/>
      <c r="G254" s="142"/>
      <c r="H254" s="142"/>
      <c r="I254" s="142"/>
    </row>
    <row r="255" customHeight="1" spans="1:9">
      <c r="A255" s="142"/>
      <c r="B255" s="142"/>
      <c r="C255" s="142"/>
      <c r="E255" s="142"/>
      <c r="F255" s="142"/>
      <c r="G255" s="142"/>
      <c r="H255" s="142"/>
      <c r="I255" s="142"/>
    </row>
    <row r="256" customHeight="1" spans="1:9">
      <c r="A256" s="142"/>
      <c r="B256" s="142"/>
      <c r="C256" s="142"/>
      <c r="E256" s="142"/>
      <c r="F256" s="142"/>
      <c r="G256" s="142"/>
      <c r="H256" s="142"/>
      <c r="I256" s="142"/>
    </row>
    <row r="257" customHeight="1" spans="1:9">
      <c r="A257" s="142"/>
      <c r="B257" s="142"/>
      <c r="C257" s="142"/>
      <c r="E257" s="142"/>
      <c r="F257" s="142"/>
      <c r="G257" s="142"/>
      <c r="H257" s="142"/>
      <c r="I257" s="142"/>
    </row>
    <row r="258" customHeight="1" spans="1:9">
      <c r="A258" s="142"/>
      <c r="B258" s="142"/>
      <c r="C258" s="142"/>
      <c r="E258" s="142"/>
      <c r="F258" s="142"/>
      <c r="G258" s="142"/>
      <c r="H258" s="142"/>
      <c r="I258" s="142"/>
    </row>
    <row r="259" customHeight="1" spans="1:9">
      <c r="A259" s="142"/>
      <c r="B259" s="142"/>
      <c r="C259" s="142"/>
      <c r="E259" s="142"/>
      <c r="F259" s="142"/>
      <c r="G259" s="142"/>
      <c r="H259" s="142"/>
      <c r="I259" s="142"/>
    </row>
    <row r="260" customHeight="1" spans="1:9">
      <c r="A260" s="142"/>
      <c r="B260" s="142"/>
      <c r="C260" s="142"/>
      <c r="E260" s="142"/>
      <c r="F260" s="142"/>
      <c r="G260" s="142"/>
      <c r="H260" s="142"/>
      <c r="I260" s="142"/>
    </row>
    <row r="261" customHeight="1" spans="1:9">
      <c r="A261" s="142"/>
      <c r="B261" s="142"/>
      <c r="C261" s="142"/>
      <c r="E261" s="142"/>
      <c r="F261" s="142"/>
      <c r="G261" s="142"/>
      <c r="H261" s="142"/>
      <c r="I261" s="142"/>
    </row>
    <row r="262" customHeight="1" spans="1:9">
      <c r="A262" s="142"/>
      <c r="B262" s="142"/>
      <c r="C262" s="142"/>
      <c r="E262" s="142"/>
      <c r="F262" s="142"/>
      <c r="G262" s="142"/>
      <c r="H262" s="142"/>
      <c r="I262" s="142"/>
    </row>
    <row r="263" customHeight="1" spans="1:9">
      <c r="A263" s="142"/>
      <c r="B263" s="142"/>
      <c r="C263" s="142"/>
      <c r="E263" s="142"/>
      <c r="F263" s="142"/>
      <c r="G263" s="142"/>
      <c r="H263" s="142"/>
      <c r="I263" s="142"/>
    </row>
    <row r="264" customHeight="1" spans="1:9">
      <c r="A264" s="142"/>
      <c r="B264" s="142"/>
      <c r="C264" s="142"/>
      <c r="E264" s="142"/>
      <c r="F264" s="142"/>
      <c r="G264" s="142"/>
      <c r="H264" s="142"/>
      <c r="I264" s="142"/>
    </row>
    <row r="265" customHeight="1" spans="1:9">
      <c r="A265" s="142"/>
      <c r="B265" s="142"/>
      <c r="C265" s="142"/>
      <c r="E265" s="142"/>
      <c r="F265" s="142"/>
      <c r="G265" s="142"/>
      <c r="H265" s="142"/>
      <c r="I265" s="142"/>
    </row>
    <row r="266" customHeight="1" spans="1:9">
      <c r="A266" s="142"/>
      <c r="B266" s="142"/>
      <c r="C266" s="142"/>
      <c r="E266" s="142"/>
      <c r="F266" s="142"/>
      <c r="G266" s="142"/>
      <c r="H266" s="142"/>
      <c r="I266" s="142"/>
    </row>
    <row r="267" customHeight="1" spans="1:9">
      <c r="A267" s="142"/>
      <c r="B267" s="142"/>
      <c r="C267" s="142"/>
      <c r="E267" s="142"/>
      <c r="F267" s="142"/>
      <c r="G267" s="142"/>
      <c r="H267" s="142"/>
      <c r="I267" s="142"/>
    </row>
    <row r="268" customHeight="1" spans="1:9">
      <c r="A268" s="142"/>
      <c r="B268" s="142"/>
      <c r="C268" s="142"/>
      <c r="E268" s="142"/>
      <c r="F268" s="142"/>
      <c r="G268" s="142"/>
      <c r="H268" s="142"/>
      <c r="I268" s="142"/>
    </row>
    <row r="269" customHeight="1" spans="1:9">
      <c r="A269" s="142"/>
      <c r="B269" s="142"/>
      <c r="C269" s="142"/>
      <c r="E269" s="142"/>
      <c r="F269" s="142"/>
      <c r="G269" s="142"/>
      <c r="H269" s="142"/>
      <c r="I269" s="142"/>
    </row>
    <row r="270" customHeight="1" spans="1:9">
      <c r="A270" s="142"/>
      <c r="B270" s="142"/>
      <c r="C270" s="142"/>
      <c r="E270" s="142"/>
      <c r="F270" s="142"/>
      <c r="G270" s="142"/>
      <c r="H270" s="142"/>
      <c r="I270" s="142"/>
    </row>
    <row r="271" customHeight="1" spans="1:9">
      <c r="A271" s="142"/>
      <c r="B271" s="142"/>
      <c r="C271" s="142"/>
      <c r="E271" s="142"/>
      <c r="F271" s="142"/>
      <c r="G271" s="142"/>
      <c r="H271" s="142"/>
      <c r="I271" s="142"/>
    </row>
    <row r="272" customHeight="1" spans="1:9">
      <c r="A272" s="142"/>
      <c r="B272" s="142"/>
      <c r="C272" s="142"/>
      <c r="E272" s="142"/>
      <c r="F272" s="142"/>
      <c r="G272" s="142"/>
      <c r="H272" s="142"/>
      <c r="I272" s="142"/>
    </row>
    <row r="273" customHeight="1" spans="1:9">
      <c r="A273" s="142"/>
      <c r="B273" s="142"/>
      <c r="C273" s="142"/>
      <c r="E273" s="142"/>
      <c r="F273" s="142"/>
      <c r="G273" s="142"/>
      <c r="H273" s="142"/>
      <c r="I273" s="142"/>
    </row>
    <row r="274" customHeight="1" spans="1:9">
      <c r="A274" s="142"/>
      <c r="B274" s="142"/>
      <c r="C274" s="142"/>
      <c r="E274" s="142"/>
      <c r="F274" s="142"/>
      <c r="G274" s="142"/>
      <c r="H274" s="142"/>
      <c r="I274" s="142"/>
    </row>
    <row r="275" customHeight="1" spans="1:9">
      <c r="A275" s="142"/>
      <c r="B275" s="142"/>
      <c r="C275" s="142"/>
      <c r="E275" s="142"/>
      <c r="F275" s="142"/>
      <c r="G275" s="142"/>
      <c r="H275" s="142"/>
      <c r="I275" s="142"/>
    </row>
    <row r="276" customHeight="1" spans="1:9">
      <c r="A276" s="142"/>
      <c r="B276" s="142"/>
      <c r="C276" s="142"/>
      <c r="E276" s="142"/>
      <c r="F276" s="142"/>
      <c r="G276" s="142"/>
      <c r="H276" s="142"/>
      <c r="I276" s="142"/>
    </row>
    <row r="277" customHeight="1" spans="1:9">
      <c r="A277" s="142"/>
      <c r="B277" s="142"/>
      <c r="C277" s="142"/>
      <c r="E277" s="142"/>
      <c r="F277" s="142"/>
      <c r="G277" s="142"/>
      <c r="H277" s="142"/>
      <c r="I277" s="142"/>
    </row>
    <row r="278" customHeight="1" spans="1:9">
      <c r="A278" s="142"/>
      <c r="B278" s="142"/>
      <c r="C278" s="142"/>
      <c r="E278" s="142"/>
      <c r="F278" s="142"/>
      <c r="G278" s="142"/>
      <c r="H278" s="142"/>
      <c r="I278" s="142"/>
    </row>
    <row r="279" customHeight="1" spans="1:9">
      <c r="A279" s="142"/>
      <c r="B279" s="142"/>
      <c r="C279" s="142"/>
      <c r="E279" s="142"/>
      <c r="F279" s="142"/>
      <c r="G279" s="142"/>
      <c r="H279" s="142"/>
      <c r="I279" s="142"/>
    </row>
    <row r="280" customHeight="1" spans="1:9">
      <c r="A280" s="142"/>
      <c r="B280" s="142"/>
      <c r="C280" s="142"/>
      <c r="E280" s="142"/>
      <c r="F280" s="142"/>
      <c r="G280" s="142"/>
      <c r="H280" s="142"/>
      <c r="I280" s="142"/>
    </row>
    <row r="281" customHeight="1" spans="1:9">
      <c r="A281" s="142"/>
      <c r="B281" s="142"/>
      <c r="C281" s="142"/>
      <c r="E281" s="142"/>
      <c r="F281" s="142"/>
      <c r="G281" s="142"/>
      <c r="H281" s="142"/>
      <c r="I281" s="142"/>
    </row>
    <row r="282" customHeight="1" spans="1:9">
      <c r="A282" s="142"/>
      <c r="B282" s="142"/>
      <c r="C282" s="142"/>
      <c r="E282" s="142"/>
      <c r="F282" s="142"/>
      <c r="G282" s="142"/>
      <c r="H282" s="142"/>
      <c r="I282" s="142"/>
    </row>
    <row r="283" customHeight="1" spans="1:9">
      <c r="A283" s="142"/>
      <c r="B283" s="142"/>
      <c r="C283" s="142"/>
      <c r="E283" s="142"/>
      <c r="F283" s="142"/>
      <c r="G283" s="142"/>
      <c r="H283" s="142"/>
      <c r="I283" s="142"/>
    </row>
    <row r="284" customHeight="1" spans="1:9">
      <c r="A284" s="142"/>
      <c r="B284" s="142"/>
      <c r="C284" s="142"/>
      <c r="E284" s="142"/>
      <c r="F284" s="142"/>
      <c r="G284" s="142"/>
      <c r="H284" s="142"/>
      <c r="I284" s="142"/>
    </row>
    <row r="285" customHeight="1" spans="1:9">
      <c r="A285" s="142"/>
      <c r="B285" s="142"/>
      <c r="C285" s="142"/>
      <c r="E285" s="142"/>
      <c r="F285" s="142"/>
      <c r="G285" s="142"/>
      <c r="H285" s="142"/>
      <c r="I285" s="142"/>
    </row>
    <row r="286" customHeight="1" spans="1:9">
      <c r="A286" s="142"/>
      <c r="B286" s="142"/>
      <c r="C286" s="142"/>
      <c r="E286" s="142"/>
      <c r="F286" s="142"/>
      <c r="G286" s="142"/>
      <c r="H286" s="142"/>
      <c r="I286" s="142"/>
    </row>
    <row r="287" customHeight="1" spans="1:9">
      <c r="A287" s="142"/>
      <c r="B287" s="142"/>
      <c r="C287" s="142"/>
      <c r="E287" s="142"/>
      <c r="F287" s="142"/>
      <c r="G287" s="142"/>
      <c r="H287" s="142"/>
      <c r="I287" s="142"/>
    </row>
    <row r="288" customHeight="1" spans="1:9">
      <c r="A288" s="142"/>
      <c r="B288" s="142"/>
      <c r="C288" s="142"/>
      <c r="E288" s="142"/>
      <c r="F288" s="142"/>
      <c r="G288" s="142"/>
      <c r="H288" s="142"/>
      <c r="I288" s="142"/>
    </row>
    <row r="289" customHeight="1" spans="1:9">
      <c r="A289" s="142"/>
      <c r="B289" s="142"/>
      <c r="C289" s="142"/>
      <c r="E289" s="142"/>
      <c r="F289" s="142"/>
      <c r="G289" s="142"/>
      <c r="H289" s="142"/>
      <c r="I289" s="142"/>
    </row>
    <row r="290" customHeight="1" spans="1:9">
      <c r="A290" s="142"/>
      <c r="B290" s="142"/>
      <c r="C290" s="142"/>
      <c r="E290" s="142"/>
      <c r="F290" s="142"/>
      <c r="G290" s="142"/>
      <c r="H290" s="142"/>
      <c r="I290" s="142"/>
    </row>
    <row r="291" customHeight="1" spans="1:9">
      <c r="A291" s="142"/>
      <c r="B291" s="142"/>
      <c r="C291" s="142"/>
      <c r="E291" s="142"/>
      <c r="F291" s="142"/>
      <c r="G291" s="142"/>
      <c r="H291" s="142"/>
      <c r="I291" s="142"/>
    </row>
    <row r="292" customHeight="1" spans="1:9">
      <c r="A292" s="142"/>
      <c r="B292" s="142"/>
      <c r="C292" s="142"/>
      <c r="E292" s="142"/>
      <c r="F292" s="142"/>
      <c r="G292" s="142"/>
      <c r="H292" s="142"/>
      <c r="I292" s="142"/>
    </row>
    <row r="293" customHeight="1" spans="1:9">
      <c r="A293" s="142"/>
      <c r="B293" s="142"/>
      <c r="C293" s="142"/>
      <c r="E293" s="142"/>
      <c r="F293" s="142"/>
      <c r="G293" s="142"/>
      <c r="H293" s="142"/>
      <c r="I293" s="142"/>
    </row>
    <row r="294" customHeight="1" spans="1:9">
      <c r="A294" s="142"/>
      <c r="B294" s="142"/>
      <c r="C294" s="142"/>
      <c r="E294" s="142"/>
      <c r="F294" s="142"/>
      <c r="G294" s="142"/>
      <c r="H294" s="142"/>
      <c r="I294" s="142"/>
    </row>
    <row r="295" customHeight="1" spans="1:9">
      <c r="A295" s="142"/>
      <c r="B295" s="142"/>
      <c r="C295" s="142"/>
      <c r="E295" s="142"/>
      <c r="F295" s="142"/>
      <c r="G295" s="142"/>
      <c r="H295" s="142"/>
      <c r="I295" s="142"/>
    </row>
    <row r="296" customHeight="1" spans="1:9">
      <c r="A296" s="142"/>
      <c r="B296" s="142"/>
      <c r="C296" s="142"/>
      <c r="E296" s="142"/>
      <c r="F296" s="142"/>
      <c r="G296" s="142"/>
      <c r="H296" s="142"/>
      <c r="I296" s="142"/>
    </row>
    <row r="297" customHeight="1" spans="1:9">
      <c r="A297" s="142"/>
      <c r="B297" s="142"/>
      <c r="C297" s="142"/>
      <c r="E297" s="142"/>
      <c r="F297" s="142"/>
      <c r="G297" s="142"/>
      <c r="H297" s="142"/>
      <c r="I297" s="142"/>
    </row>
    <row r="298" customHeight="1" spans="1:9">
      <c r="A298" s="142"/>
      <c r="B298" s="142"/>
      <c r="C298" s="142"/>
      <c r="E298" s="142"/>
      <c r="F298" s="142"/>
      <c r="G298" s="142"/>
      <c r="H298" s="142"/>
      <c r="I298" s="142"/>
    </row>
    <row r="299" customHeight="1" spans="1:9">
      <c r="A299" s="142"/>
      <c r="B299" s="142"/>
      <c r="C299" s="142"/>
      <c r="E299" s="142"/>
      <c r="F299" s="142"/>
      <c r="G299" s="142"/>
      <c r="H299" s="142"/>
      <c r="I299" s="142"/>
    </row>
    <row r="300" customHeight="1" spans="1:9">
      <c r="A300" s="142"/>
      <c r="B300" s="142"/>
      <c r="C300" s="142"/>
      <c r="E300" s="142"/>
      <c r="F300" s="142"/>
      <c r="G300" s="142"/>
      <c r="H300" s="142"/>
      <c r="I300" s="142"/>
    </row>
    <row r="301" customHeight="1" spans="1:9">
      <c r="A301" s="142"/>
      <c r="B301" s="142"/>
      <c r="C301" s="142"/>
      <c r="E301" s="142"/>
      <c r="F301" s="142"/>
      <c r="G301" s="142"/>
      <c r="H301" s="142"/>
      <c r="I301" s="142"/>
    </row>
    <row r="302" customHeight="1" spans="1:9">
      <c r="A302" s="142"/>
      <c r="B302" s="142"/>
      <c r="C302" s="142"/>
      <c r="E302" s="142"/>
      <c r="F302" s="142"/>
      <c r="G302" s="142"/>
      <c r="H302" s="142"/>
      <c r="I302" s="142"/>
    </row>
    <row r="303" customHeight="1" spans="1:9">
      <c r="A303" s="142"/>
      <c r="B303" s="142"/>
      <c r="C303" s="142"/>
      <c r="E303" s="142"/>
      <c r="F303" s="142"/>
      <c r="G303" s="142"/>
      <c r="H303" s="142"/>
      <c r="I303" s="142"/>
    </row>
    <row r="304" customHeight="1" spans="1:9">
      <c r="A304" s="142"/>
      <c r="B304" s="142"/>
      <c r="C304" s="142"/>
      <c r="E304" s="142"/>
      <c r="F304" s="142"/>
      <c r="G304" s="142"/>
      <c r="H304" s="142"/>
      <c r="I304" s="142"/>
    </row>
    <row r="305" customHeight="1" spans="1:9">
      <c r="A305" s="142"/>
      <c r="B305" s="142"/>
      <c r="C305" s="142"/>
      <c r="E305" s="142"/>
      <c r="F305" s="142"/>
      <c r="G305" s="142"/>
      <c r="H305" s="142"/>
      <c r="I305" s="142"/>
    </row>
    <row r="306" customHeight="1" spans="1:9">
      <c r="A306" s="142"/>
      <c r="B306" s="142"/>
      <c r="C306" s="142"/>
      <c r="E306" s="142"/>
      <c r="F306" s="142"/>
      <c r="G306" s="142"/>
      <c r="H306" s="142"/>
      <c r="I306" s="142"/>
    </row>
    <row r="307" customHeight="1" spans="1:9">
      <c r="A307" s="142"/>
      <c r="B307" s="142"/>
      <c r="C307" s="142"/>
      <c r="E307" s="142"/>
      <c r="F307" s="142"/>
      <c r="G307" s="142"/>
      <c r="H307" s="142"/>
      <c r="I307" s="142"/>
    </row>
    <row r="308" customHeight="1" spans="1:9">
      <c r="A308" s="142"/>
      <c r="B308" s="142"/>
      <c r="C308" s="142"/>
      <c r="E308" s="142"/>
      <c r="F308" s="142"/>
      <c r="G308" s="142"/>
      <c r="H308" s="142"/>
      <c r="I308" s="142"/>
    </row>
    <row r="309" customHeight="1" spans="1:9">
      <c r="A309" s="142"/>
      <c r="B309" s="142"/>
      <c r="C309" s="142"/>
      <c r="E309" s="142"/>
      <c r="F309" s="142"/>
      <c r="G309" s="142"/>
      <c r="H309" s="142"/>
      <c r="I309" s="142"/>
    </row>
    <row r="310" customHeight="1" spans="1:9">
      <c r="A310" s="142"/>
      <c r="B310" s="142"/>
      <c r="C310" s="142"/>
      <c r="E310" s="142"/>
      <c r="F310" s="142"/>
      <c r="G310" s="142"/>
      <c r="H310" s="142"/>
      <c r="I310" s="142"/>
    </row>
    <row r="311" customHeight="1" spans="1:9">
      <c r="A311" s="142"/>
      <c r="B311" s="142"/>
      <c r="C311" s="142"/>
      <c r="E311" s="142"/>
      <c r="F311" s="142"/>
      <c r="G311" s="142"/>
      <c r="H311" s="142"/>
      <c r="I311" s="142"/>
    </row>
    <row r="312" customHeight="1" spans="1:9">
      <c r="A312" s="142"/>
      <c r="B312" s="142"/>
      <c r="C312" s="142"/>
      <c r="E312" s="142"/>
      <c r="F312" s="142"/>
      <c r="G312" s="142"/>
      <c r="H312" s="142"/>
      <c r="I312" s="142"/>
    </row>
    <row r="313" customHeight="1" spans="1:9">
      <c r="A313" s="142"/>
      <c r="B313" s="142"/>
      <c r="C313" s="142"/>
      <c r="E313" s="142"/>
      <c r="F313" s="142"/>
      <c r="G313" s="142"/>
      <c r="H313" s="142"/>
      <c r="I313" s="142"/>
    </row>
    <row r="314" customHeight="1" spans="1:9">
      <c r="A314" s="142"/>
      <c r="B314" s="142"/>
      <c r="C314" s="142"/>
      <c r="E314" s="142"/>
      <c r="F314" s="142"/>
      <c r="G314" s="142"/>
      <c r="H314" s="142"/>
      <c r="I314" s="142"/>
    </row>
    <row r="315" customHeight="1" spans="1:9">
      <c r="A315" s="142"/>
      <c r="B315" s="142"/>
      <c r="C315" s="142"/>
      <c r="E315" s="142"/>
      <c r="F315" s="142"/>
      <c r="G315" s="142"/>
      <c r="H315" s="142"/>
      <c r="I315" s="142"/>
    </row>
    <row r="316" customHeight="1" spans="1:9">
      <c r="A316" s="142"/>
      <c r="B316" s="142"/>
      <c r="C316" s="142"/>
      <c r="E316" s="142"/>
      <c r="F316" s="142"/>
      <c r="G316" s="142"/>
      <c r="H316" s="142"/>
      <c r="I316" s="142"/>
    </row>
    <row r="317" customHeight="1" spans="1:9">
      <c r="A317" s="142"/>
      <c r="B317" s="142"/>
      <c r="C317" s="142"/>
      <c r="E317" s="142"/>
      <c r="F317" s="142"/>
      <c r="G317" s="142"/>
      <c r="H317" s="142"/>
      <c r="I317" s="142"/>
    </row>
    <row r="318" customHeight="1" spans="1:9">
      <c r="A318" s="142"/>
      <c r="B318" s="142"/>
      <c r="C318" s="142"/>
      <c r="E318" s="142"/>
      <c r="F318" s="142"/>
      <c r="G318" s="142"/>
      <c r="H318" s="142"/>
      <c r="I318" s="142"/>
    </row>
    <row r="319" customHeight="1" spans="1:9">
      <c r="A319" s="142"/>
      <c r="B319" s="142"/>
      <c r="C319" s="142"/>
      <c r="E319" s="142"/>
      <c r="F319" s="142"/>
      <c r="G319" s="142"/>
      <c r="H319" s="142"/>
      <c r="I319" s="142"/>
    </row>
    <row r="320" customHeight="1" spans="1:9">
      <c r="A320" s="142"/>
      <c r="B320" s="142"/>
      <c r="C320" s="142"/>
      <c r="E320" s="142"/>
      <c r="F320" s="142"/>
      <c r="G320" s="142"/>
      <c r="H320" s="142"/>
      <c r="I320" s="142"/>
    </row>
    <row r="321" customHeight="1" spans="1:9">
      <c r="A321" s="142"/>
      <c r="B321" s="142"/>
      <c r="C321" s="142"/>
      <c r="E321" s="142"/>
      <c r="F321" s="142"/>
      <c r="G321" s="142"/>
      <c r="H321" s="142"/>
      <c r="I321" s="142"/>
    </row>
    <row r="322" customHeight="1" spans="1:9">
      <c r="A322" s="142"/>
      <c r="B322" s="142"/>
      <c r="C322" s="142"/>
      <c r="E322" s="142"/>
      <c r="F322" s="142"/>
      <c r="G322" s="142"/>
      <c r="H322" s="142"/>
      <c r="I322" s="142"/>
    </row>
    <row r="323" customHeight="1" spans="1:9">
      <c r="A323" s="142"/>
      <c r="B323" s="142"/>
      <c r="C323" s="142"/>
      <c r="E323" s="142"/>
      <c r="F323" s="142"/>
      <c r="G323" s="142"/>
      <c r="H323" s="142"/>
      <c r="I323" s="142"/>
    </row>
    <row r="324" customHeight="1" spans="1:9">
      <c r="A324" s="142"/>
      <c r="B324" s="142"/>
      <c r="C324" s="142"/>
      <c r="E324" s="142"/>
      <c r="F324" s="142"/>
      <c r="G324" s="142"/>
      <c r="H324" s="142"/>
      <c r="I324" s="142"/>
    </row>
    <row r="325" customHeight="1" spans="1:9">
      <c r="A325" s="142"/>
      <c r="B325" s="142"/>
      <c r="C325" s="142"/>
      <c r="E325" s="142"/>
      <c r="F325" s="142"/>
      <c r="G325" s="142"/>
      <c r="H325" s="142"/>
      <c r="I325" s="142"/>
    </row>
    <row r="326" customHeight="1" spans="1:9">
      <c r="A326" s="142"/>
      <c r="B326" s="142"/>
      <c r="C326" s="142"/>
      <c r="E326" s="142"/>
      <c r="F326" s="142"/>
      <c r="G326" s="142"/>
      <c r="H326" s="142"/>
      <c r="I326" s="142"/>
    </row>
    <row r="327" customHeight="1" spans="1:9">
      <c r="A327" s="142"/>
      <c r="B327" s="142"/>
      <c r="C327" s="142"/>
      <c r="E327" s="142"/>
      <c r="F327" s="142"/>
      <c r="G327" s="142"/>
      <c r="H327" s="142"/>
      <c r="I327" s="142"/>
    </row>
    <row r="328" customHeight="1" spans="1:9">
      <c r="A328" s="142"/>
      <c r="B328" s="142"/>
      <c r="C328" s="142"/>
      <c r="E328" s="142"/>
      <c r="F328" s="142"/>
      <c r="G328" s="142"/>
      <c r="H328" s="142"/>
      <c r="I328" s="142"/>
    </row>
    <row r="329" customHeight="1" spans="1:9">
      <c r="A329" s="142"/>
      <c r="B329" s="142"/>
      <c r="C329" s="142"/>
      <c r="E329" s="142"/>
      <c r="F329" s="142"/>
      <c r="G329" s="142"/>
      <c r="H329" s="142"/>
      <c r="I329" s="142"/>
    </row>
    <row r="330" customHeight="1" spans="1:9">
      <c r="A330" s="142"/>
      <c r="B330" s="142"/>
      <c r="C330" s="142"/>
      <c r="E330" s="142"/>
      <c r="F330" s="142"/>
      <c r="G330" s="142"/>
      <c r="H330" s="142"/>
      <c r="I330" s="142"/>
    </row>
    <row r="331" customHeight="1" spans="1:9">
      <c r="A331" s="142"/>
      <c r="B331" s="142"/>
      <c r="C331" s="142"/>
      <c r="E331" s="142"/>
      <c r="F331" s="142"/>
      <c r="G331" s="142"/>
      <c r="H331" s="142"/>
      <c r="I331" s="142"/>
    </row>
    <row r="332" customHeight="1" spans="1:9">
      <c r="A332" s="142"/>
      <c r="B332" s="142"/>
      <c r="C332" s="142"/>
      <c r="E332" s="142"/>
      <c r="F332" s="142"/>
      <c r="G332" s="142"/>
      <c r="H332" s="142"/>
      <c r="I332" s="142"/>
    </row>
    <row r="333" customHeight="1" spans="1:9">
      <c r="A333" s="142"/>
      <c r="B333" s="142"/>
      <c r="C333" s="142"/>
      <c r="E333" s="142"/>
      <c r="F333" s="142"/>
      <c r="G333" s="142"/>
      <c r="H333" s="142"/>
      <c r="I333" s="142"/>
    </row>
    <row r="334" customHeight="1" spans="1:9">
      <c r="A334" s="142"/>
      <c r="B334" s="142"/>
      <c r="C334" s="142"/>
      <c r="E334" s="142"/>
      <c r="F334" s="142"/>
      <c r="G334" s="142"/>
      <c r="H334" s="142"/>
      <c r="I334" s="142"/>
    </row>
    <row r="335" customHeight="1" spans="1:9">
      <c r="A335" s="142"/>
      <c r="B335" s="142"/>
      <c r="C335" s="142"/>
      <c r="E335" s="142"/>
      <c r="F335" s="142"/>
      <c r="G335" s="142"/>
      <c r="H335" s="142"/>
      <c r="I335" s="142"/>
    </row>
    <row r="336" customHeight="1" spans="1:9">
      <c r="A336" s="142"/>
      <c r="B336" s="142"/>
      <c r="C336" s="142"/>
      <c r="E336" s="142"/>
      <c r="F336" s="142"/>
      <c r="G336" s="142"/>
      <c r="H336" s="142"/>
      <c r="I336" s="142"/>
    </row>
    <row r="337" customHeight="1" spans="1:9">
      <c r="A337" s="142"/>
      <c r="B337" s="142"/>
      <c r="C337" s="142"/>
      <c r="E337" s="142"/>
      <c r="F337" s="142"/>
      <c r="G337" s="142"/>
      <c r="H337" s="142"/>
      <c r="I337" s="142"/>
    </row>
    <row r="338" customHeight="1" spans="1:9">
      <c r="A338" s="142"/>
      <c r="B338" s="142"/>
      <c r="C338" s="142"/>
      <c r="E338" s="142"/>
      <c r="F338" s="142"/>
      <c r="G338" s="142"/>
      <c r="H338" s="142"/>
      <c r="I338" s="142"/>
    </row>
    <row r="339" customHeight="1" spans="1:9">
      <c r="A339" s="142"/>
      <c r="B339" s="142"/>
      <c r="C339" s="142"/>
      <c r="E339" s="142"/>
      <c r="F339" s="142"/>
      <c r="G339" s="142"/>
      <c r="H339" s="142"/>
      <c r="I339" s="142"/>
    </row>
    <row r="340" customHeight="1" spans="1:9">
      <c r="A340" s="142"/>
      <c r="B340" s="142"/>
      <c r="C340" s="142"/>
      <c r="E340" s="142"/>
      <c r="F340" s="142"/>
      <c r="G340" s="142"/>
      <c r="H340" s="142"/>
      <c r="I340" s="142"/>
    </row>
    <row r="341" customHeight="1" spans="1:9">
      <c r="A341" s="142"/>
      <c r="B341" s="142"/>
      <c r="C341" s="142"/>
      <c r="E341" s="142"/>
      <c r="F341" s="142"/>
      <c r="G341" s="142"/>
      <c r="H341" s="142"/>
      <c r="I341" s="142"/>
    </row>
    <row r="342" customHeight="1" spans="1:9">
      <c r="A342" s="142"/>
      <c r="B342" s="142"/>
      <c r="C342" s="142"/>
      <c r="E342" s="142"/>
      <c r="F342" s="142"/>
      <c r="G342" s="142"/>
      <c r="H342" s="142"/>
      <c r="I342" s="142"/>
    </row>
    <row r="343" customHeight="1" spans="1:9">
      <c r="A343" s="142"/>
      <c r="B343" s="142"/>
      <c r="C343" s="142"/>
      <c r="E343" s="142"/>
      <c r="F343" s="142"/>
      <c r="G343" s="142"/>
      <c r="H343" s="142"/>
      <c r="I343" s="142"/>
    </row>
    <row r="344" customHeight="1" spans="1:9">
      <c r="A344" s="142"/>
      <c r="B344" s="142"/>
      <c r="C344" s="142"/>
      <c r="E344" s="142"/>
      <c r="F344" s="142"/>
      <c r="G344" s="142"/>
      <c r="H344" s="142"/>
      <c r="I344" s="142"/>
    </row>
    <row r="345" customHeight="1" spans="1:9">
      <c r="A345" s="142"/>
      <c r="B345" s="142"/>
      <c r="C345" s="142"/>
      <c r="E345" s="142"/>
      <c r="F345" s="142"/>
      <c r="G345" s="142"/>
      <c r="H345" s="142"/>
      <c r="I345" s="142"/>
    </row>
    <row r="346" customHeight="1" spans="1:9">
      <c r="A346" s="142"/>
      <c r="B346" s="142"/>
      <c r="C346" s="142"/>
      <c r="E346" s="142"/>
      <c r="F346" s="142"/>
      <c r="G346" s="142"/>
      <c r="H346" s="142"/>
      <c r="I346" s="142"/>
    </row>
    <row r="347" customHeight="1" spans="1:9">
      <c r="A347" s="142"/>
      <c r="B347" s="142"/>
      <c r="C347" s="142"/>
      <c r="E347" s="142"/>
      <c r="F347" s="142"/>
      <c r="G347" s="142"/>
      <c r="H347" s="142"/>
      <c r="I347" s="142"/>
    </row>
    <row r="348" customHeight="1" spans="1:9">
      <c r="A348" s="142"/>
      <c r="B348" s="142"/>
      <c r="C348" s="142"/>
      <c r="E348" s="142"/>
      <c r="F348" s="142"/>
      <c r="G348" s="142"/>
      <c r="H348" s="142"/>
      <c r="I348" s="142"/>
    </row>
    <row r="349" customHeight="1" spans="1:9">
      <c r="A349" s="142"/>
      <c r="B349" s="142"/>
      <c r="C349" s="142"/>
      <c r="E349" s="142"/>
      <c r="F349" s="142"/>
      <c r="G349" s="142"/>
      <c r="H349" s="142"/>
      <c r="I349" s="142"/>
    </row>
    <row r="350" customHeight="1" spans="1:9">
      <c r="A350" s="142"/>
      <c r="B350" s="142"/>
      <c r="C350" s="142"/>
      <c r="E350" s="142"/>
      <c r="F350" s="142"/>
      <c r="G350" s="142"/>
      <c r="H350" s="142"/>
      <c r="I350" s="142"/>
    </row>
    <row r="351" customHeight="1" spans="1:9">
      <c r="A351" s="142"/>
      <c r="B351" s="142"/>
      <c r="C351" s="142"/>
      <c r="E351" s="142"/>
      <c r="F351" s="142"/>
      <c r="G351" s="142"/>
      <c r="H351" s="142"/>
      <c r="I351" s="142"/>
    </row>
    <row r="352" customHeight="1" spans="1:9">
      <c r="A352" s="142"/>
      <c r="B352" s="142"/>
      <c r="C352" s="142"/>
      <c r="E352" s="142"/>
      <c r="F352" s="142"/>
      <c r="G352" s="142"/>
      <c r="H352" s="142"/>
      <c r="I352" s="142"/>
    </row>
    <row r="353" customHeight="1" spans="1:9">
      <c r="A353" s="142"/>
      <c r="B353" s="142"/>
      <c r="C353" s="142"/>
      <c r="E353" s="142"/>
      <c r="F353" s="142"/>
      <c r="G353" s="142"/>
      <c r="H353" s="142"/>
      <c r="I353" s="142"/>
    </row>
    <row r="354" customHeight="1" spans="1:9">
      <c r="A354" s="142"/>
      <c r="B354" s="142"/>
      <c r="C354" s="142"/>
      <c r="E354" s="142"/>
      <c r="F354" s="142"/>
      <c r="G354" s="142"/>
      <c r="H354" s="142"/>
      <c r="I354" s="142"/>
    </row>
    <row r="355" customHeight="1" spans="1:9">
      <c r="A355" s="142"/>
      <c r="B355" s="142"/>
      <c r="C355" s="142"/>
      <c r="E355" s="142"/>
      <c r="F355" s="142"/>
      <c r="G355" s="142"/>
      <c r="H355" s="142"/>
      <c r="I355" s="142"/>
    </row>
    <row r="356" customHeight="1" spans="1:9">
      <c r="A356" s="142"/>
      <c r="B356" s="142"/>
      <c r="C356" s="142"/>
      <c r="E356" s="142"/>
      <c r="F356" s="142"/>
      <c r="G356" s="142"/>
      <c r="H356" s="142"/>
      <c r="I356" s="142"/>
    </row>
    <row r="357" customHeight="1" spans="1:9">
      <c r="A357" s="142"/>
      <c r="B357" s="142"/>
      <c r="C357" s="142"/>
      <c r="E357" s="142"/>
      <c r="F357" s="142"/>
      <c r="G357" s="142"/>
      <c r="H357" s="142"/>
      <c r="I357" s="142"/>
    </row>
    <row r="358" customHeight="1" spans="1:9">
      <c r="A358" s="142"/>
      <c r="B358" s="142"/>
      <c r="C358" s="142"/>
      <c r="E358" s="142"/>
      <c r="F358" s="142"/>
      <c r="G358" s="142"/>
      <c r="H358" s="142"/>
      <c r="I358" s="142"/>
    </row>
    <row r="359" customHeight="1" spans="1:9">
      <c r="A359" s="142"/>
      <c r="B359" s="142"/>
      <c r="C359" s="142"/>
      <c r="E359" s="142"/>
      <c r="F359" s="142"/>
      <c r="G359" s="142"/>
      <c r="H359" s="142"/>
      <c r="I359" s="142"/>
    </row>
    <row r="360" customHeight="1" spans="1:9">
      <c r="A360" s="142"/>
      <c r="B360" s="142"/>
      <c r="C360" s="142"/>
      <c r="E360" s="142"/>
      <c r="F360" s="142"/>
      <c r="G360" s="142"/>
      <c r="H360" s="142"/>
      <c r="I360" s="142"/>
    </row>
    <row r="361" customHeight="1" spans="1:9">
      <c r="A361" s="142"/>
      <c r="B361" s="142"/>
      <c r="C361" s="142"/>
      <c r="E361" s="142"/>
      <c r="F361" s="142"/>
      <c r="G361" s="142"/>
      <c r="H361" s="142"/>
      <c r="I361" s="142"/>
    </row>
    <row r="362" customHeight="1" spans="1:9">
      <c r="A362" s="142"/>
      <c r="B362" s="142"/>
      <c r="C362" s="142"/>
      <c r="E362" s="142"/>
      <c r="F362" s="142"/>
      <c r="G362" s="142"/>
      <c r="H362" s="142"/>
      <c r="I362" s="142"/>
    </row>
    <row r="363" customHeight="1" spans="1:9">
      <c r="A363" s="142"/>
      <c r="B363" s="142"/>
      <c r="C363" s="142"/>
      <c r="E363" s="142"/>
      <c r="F363" s="142"/>
      <c r="G363" s="142"/>
      <c r="H363" s="142"/>
      <c r="I363" s="142"/>
    </row>
    <row r="364" customHeight="1" spans="1:9">
      <c r="A364" s="142"/>
      <c r="B364" s="142"/>
      <c r="C364" s="142"/>
      <c r="E364" s="142"/>
      <c r="F364" s="142"/>
      <c r="G364" s="142"/>
      <c r="H364" s="142"/>
      <c r="I364" s="142"/>
    </row>
    <row r="365" customHeight="1" spans="1:9">
      <c r="A365" s="142"/>
      <c r="B365" s="142"/>
      <c r="C365" s="142"/>
      <c r="E365" s="142"/>
      <c r="F365" s="142"/>
      <c r="G365" s="142"/>
      <c r="H365" s="142"/>
      <c r="I365" s="142"/>
    </row>
    <row r="366" customHeight="1" spans="1:9">
      <c r="A366" s="142"/>
      <c r="B366" s="142"/>
      <c r="C366" s="142"/>
      <c r="E366" s="142"/>
      <c r="F366" s="142"/>
      <c r="G366" s="142"/>
      <c r="H366" s="142"/>
      <c r="I366" s="142"/>
    </row>
    <row r="367" customHeight="1" spans="1:9">
      <c r="A367" s="142"/>
      <c r="B367" s="142"/>
      <c r="C367" s="142"/>
      <c r="E367" s="142"/>
      <c r="F367" s="142"/>
      <c r="G367" s="142"/>
      <c r="H367" s="142"/>
      <c r="I367" s="142"/>
    </row>
    <row r="368" customHeight="1" spans="1:9">
      <c r="A368" s="142"/>
      <c r="B368" s="142"/>
      <c r="C368" s="142"/>
      <c r="E368" s="142"/>
      <c r="F368" s="142"/>
      <c r="G368" s="142"/>
      <c r="H368" s="142"/>
      <c r="I368" s="142"/>
    </row>
    <row r="369" customHeight="1" spans="1:9">
      <c r="A369" s="142"/>
      <c r="B369" s="142"/>
      <c r="C369" s="142"/>
      <c r="E369" s="142"/>
      <c r="F369" s="142"/>
      <c r="G369" s="142"/>
      <c r="H369" s="142"/>
      <c r="I369" s="142"/>
    </row>
    <row r="370" customHeight="1" spans="1:9">
      <c r="A370" s="142"/>
      <c r="B370" s="142"/>
      <c r="C370" s="142"/>
      <c r="E370" s="142"/>
      <c r="F370" s="142"/>
      <c r="G370" s="142"/>
      <c r="H370" s="142"/>
      <c r="I370" s="142"/>
    </row>
    <row r="371" customHeight="1" spans="1:9">
      <c r="A371" s="142"/>
      <c r="B371" s="142"/>
      <c r="C371" s="142"/>
      <c r="E371" s="142"/>
      <c r="F371" s="142"/>
      <c r="G371" s="142"/>
      <c r="H371" s="142"/>
      <c r="I371" s="142"/>
    </row>
    <row r="372" customHeight="1" spans="1:9">
      <c r="A372" s="142"/>
      <c r="B372" s="142"/>
      <c r="C372" s="142"/>
      <c r="E372" s="142"/>
      <c r="F372" s="142"/>
      <c r="G372" s="142"/>
      <c r="H372" s="142"/>
      <c r="I372" s="142"/>
    </row>
    <row r="373" customHeight="1" spans="1:9">
      <c r="A373" s="142"/>
      <c r="B373" s="142"/>
      <c r="C373" s="142"/>
      <c r="E373" s="142"/>
      <c r="F373" s="142"/>
      <c r="G373" s="142"/>
      <c r="H373" s="142"/>
      <c r="I373" s="142"/>
    </row>
    <row r="374" customHeight="1" spans="1:9">
      <c r="A374" s="142"/>
      <c r="B374" s="142"/>
      <c r="C374" s="142"/>
      <c r="E374" s="142"/>
      <c r="F374" s="142"/>
      <c r="G374" s="142"/>
      <c r="H374" s="142"/>
      <c r="I374" s="142"/>
    </row>
    <row r="375" customHeight="1" spans="1:9">
      <c r="A375" s="142"/>
      <c r="B375" s="142"/>
      <c r="C375" s="142"/>
      <c r="E375" s="142"/>
      <c r="F375" s="142"/>
      <c r="G375" s="142"/>
      <c r="H375" s="142"/>
      <c r="I375" s="142"/>
    </row>
    <row r="376" customHeight="1" spans="1:9">
      <c r="A376" s="142"/>
      <c r="B376" s="142"/>
      <c r="C376" s="142"/>
      <c r="E376" s="142"/>
      <c r="F376" s="142"/>
      <c r="G376" s="142"/>
      <c r="H376" s="142"/>
      <c r="I376" s="142"/>
    </row>
    <row r="377" customHeight="1" spans="1:9">
      <c r="A377" s="142"/>
      <c r="B377" s="142"/>
      <c r="C377" s="142"/>
      <c r="E377" s="142"/>
      <c r="F377" s="142"/>
      <c r="G377" s="142"/>
      <c r="H377" s="142"/>
      <c r="I377" s="142"/>
    </row>
    <row r="378" customHeight="1" spans="1:9">
      <c r="A378" s="142"/>
      <c r="B378" s="142"/>
      <c r="C378" s="142"/>
      <c r="E378" s="142"/>
      <c r="F378" s="142"/>
      <c r="G378" s="142"/>
      <c r="H378" s="142"/>
      <c r="I378" s="142"/>
    </row>
    <row r="379" customHeight="1" spans="1:9">
      <c r="A379" s="142"/>
      <c r="B379" s="142"/>
      <c r="C379" s="142"/>
      <c r="E379" s="142"/>
      <c r="F379" s="142"/>
      <c r="G379" s="142"/>
      <c r="H379" s="142"/>
      <c r="I379" s="142"/>
    </row>
    <row r="380" customHeight="1" spans="1:9">
      <c r="A380" s="142"/>
      <c r="B380" s="142"/>
      <c r="C380" s="142"/>
      <c r="E380" s="142"/>
      <c r="F380" s="142"/>
      <c r="G380" s="142"/>
      <c r="H380" s="142"/>
      <c r="I380" s="142"/>
    </row>
    <row r="381" customHeight="1" spans="1:9">
      <c r="A381" s="142"/>
      <c r="B381" s="142"/>
      <c r="C381" s="142"/>
      <c r="E381" s="142"/>
      <c r="F381" s="142"/>
      <c r="G381" s="142"/>
      <c r="H381" s="142"/>
      <c r="I381" s="142"/>
    </row>
    <row r="382" customHeight="1" spans="1:9">
      <c r="A382" s="142"/>
      <c r="B382" s="142"/>
      <c r="C382" s="142"/>
      <c r="E382" s="142"/>
      <c r="F382" s="142"/>
      <c r="G382" s="142"/>
      <c r="H382" s="142"/>
      <c r="I382" s="142"/>
    </row>
    <row r="383" customHeight="1" spans="1:9">
      <c r="A383" s="142"/>
      <c r="B383" s="142"/>
      <c r="C383" s="142"/>
      <c r="E383" s="142"/>
      <c r="F383" s="142"/>
      <c r="G383" s="142"/>
      <c r="H383" s="142"/>
      <c r="I383" s="142"/>
    </row>
    <row r="384" customHeight="1" spans="1:9">
      <c r="A384" s="142"/>
      <c r="B384" s="142"/>
      <c r="C384" s="142"/>
      <c r="E384" s="142"/>
      <c r="F384" s="142"/>
      <c r="G384" s="142"/>
      <c r="H384" s="142"/>
      <c r="I384" s="142"/>
    </row>
    <row r="385" customHeight="1" spans="1:9">
      <c r="A385" s="142"/>
      <c r="B385" s="142"/>
      <c r="C385" s="142"/>
      <c r="E385" s="142"/>
      <c r="F385" s="142"/>
      <c r="G385" s="142"/>
      <c r="H385" s="142"/>
      <c r="I385" s="142"/>
    </row>
    <row r="386" customHeight="1" spans="1:9">
      <c r="A386" s="142"/>
      <c r="B386" s="142"/>
      <c r="C386" s="142"/>
      <c r="E386" s="142"/>
      <c r="F386" s="142"/>
      <c r="G386" s="142"/>
      <c r="H386" s="142"/>
      <c r="I386" s="142"/>
    </row>
    <row r="387" customHeight="1" spans="1:9">
      <c r="A387" s="142"/>
      <c r="B387" s="142"/>
      <c r="C387" s="142"/>
      <c r="E387" s="142"/>
      <c r="F387" s="142"/>
      <c r="G387" s="142"/>
      <c r="H387" s="142"/>
      <c r="I387" s="142"/>
    </row>
    <row r="388" customHeight="1" spans="1:9">
      <c r="A388" s="142"/>
      <c r="B388" s="142"/>
      <c r="C388" s="142"/>
      <c r="E388" s="142"/>
      <c r="F388" s="142"/>
      <c r="G388" s="142"/>
      <c r="H388" s="142"/>
      <c r="I388" s="142"/>
    </row>
    <row r="389" customHeight="1" spans="1:9">
      <c r="A389" s="142"/>
      <c r="B389" s="142"/>
      <c r="C389" s="142"/>
      <c r="E389" s="142"/>
      <c r="F389" s="142"/>
      <c r="G389" s="142"/>
      <c r="H389" s="142"/>
      <c r="I389" s="142"/>
    </row>
    <row r="390" customHeight="1" spans="1:9">
      <c r="A390" s="142"/>
      <c r="B390" s="142"/>
      <c r="C390" s="142"/>
      <c r="E390" s="142"/>
      <c r="F390" s="142"/>
      <c r="G390" s="142"/>
      <c r="H390" s="142"/>
      <c r="I390" s="142"/>
    </row>
    <row r="391" customHeight="1" spans="1:9">
      <c r="A391" s="142"/>
      <c r="B391" s="142"/>
      <c r="C391" s="142"/>
      <c r="E391" s="142"/>
      <c r="F391" s="142"/>
      <c r="G391" s="142"/>
      <c r="H391" s="142"/>
      <c r="I391" s="142"/>
    </row>
    <row r="392" customHeight="1" spans="1:9">
      <c r="A392" s="142"/>
      <c r="B392" s="142"/>
      <c r="C392" s="142"/>
      <c r="E392" s="142"/>
      <c r="F392" s="142"/>
      <c r="G392" s="142"/>
      <c r="H392" s="142"/>
      <c r="I392" s="142"/>
    </row>
    <row r="393" customHeight="1" spans="1:9">
      <c r="A393" s="142"/>
      <c r="B393" s="142"/>
      <c r="C393" s="142"/>
      <c r="E393" s="142"/>
      <c r="F393" s="142"/>
      <c r="G393" s="142"/>
      <c r="H393" s="142"/>
      <c r="I393" s="142"/>
    </row>
    <row r="394" customHeight="1" spans="1:9">
      <c r="A394" s="142"/>
      <c r="B394" s="142"/>
      <c r="C394" s="142"/>
      <c r="E394" s="142"/>
      <c r="F394" s="142"/>
      <c r="G394" s="142"/>
      <c r="H394" s="142"/>
      <c r="I394" s="142"/>
    </row>
    <row r="395" customHeight="1" spans="1:9">
      <c r="A395" s="142"/>
      <c r="B395" s="142"/>
      <c r="C395" s="142"/>
      <c r="E395" s="142"/>
      <c r="F395" s="142"/>
      <c r="G395" s="142"/>
      <c r="H395" s="142"/>
      <c r="I395" s="142"/>
    </row>
    <row r="396" customHeight="1" spans="1:9">
      <c r="A396" s="142"/>
      <c r="B396" s="142"/>
      <c r="C396" s="142"/>
      <c r="E396" s="142"/>
      <c r="F396" s="142"/>
      <c r="G396" s="142"/>
      <c r="H396" s="142"/>
      <c r="I396" s="142"/>
    </row>
    <row r="397" customHeight="1" spans="1:9">
      <c r="A397" s="142"/>
      <c r="B397" s="142"/>
      <c r="C397" s="142"/>
      <c r="E397" s="142"/>
      <c r="F397" s="142"/>
      <c r="G397" s="142"/>
      <c r="H397" s="142"/>
      <c r="I397" s="142"/>
    </row>
    <row r="398" customHeight="1" spans="1:9">
      <c r="A398" s="142"/>
      <c r="B398" s="142"/>
      <c r="C398" s="142"/>
      <c r="E398" s="142"/>
      <c r="F398" s="142"/>
      <c r="G398" s="142"/>
      <c r="H398" s="142"/>
      <c r="I398" s="142"/>
    </row>
    <row r="399" customHeight="1" spans="1:9">
      <c r="A399" s="142"/>
      <c r="B399" s="142"/>
      <c r="C399" s="142"/>
      <c r="E399" s="142"/>
      <c r="F399" s="142"/>
      <c r="G399" s="142"/>
      <c r="H399" s="142"/>
      <c r="I399" s="142"/>
    </row>
    <row r="400" customHeight="1" spans="1:9">
      <c r="A400" s="142"/>
      <c r="B400" s="142"/>
      <c r="C400" s="142"/>
      <c r="E400" s="142"/>
      <c r="F400" s="142"/>
      <c r="G400" s="142"/>
      <c r="H400" s="142"/>
      <c r="I400" s="142"/>
    </row>
    <row r="401" customHeight="1" spans="1:9">
      <c r="A401" s="142"/>
      <c r="B401" s="142"/>
      <c r="C401" s="142"/>
      <c r="E401" s="142"/>
      <c r="F401" s="142"/>
      <c r="G401" s="142"/>
      <c r="H401" s="142"/>
      <c r="I401" s="142"/>
    </row>
    <row r="402" customHeight="1" spans="1:9">
      <c r="A402" s="142"/>
      <c r="B402" s="142"/>
      <c r="C402" s="142"/>
      <c r="E402" s="142"/>
      <c r="F402" s="142"/>
      <c r="G402" s="142"/>
      <c r="H402" s="142"/>
      <c r="I402" s="142"/>
    </row>
    <row r="403" customHeight="1" spans="1:9">
      <c r="A403" s="142"/>
      <c r="B403" s="142"/>
      <c r="C403" s="142"/>
      <c r="E403" s="142"/>
      <c r="F403" s="142"/>
      <c r="G403" s="142"/>
      <c r="H403" s="142"/>
      <c r="I403" s="142"/>
    </row>
    <row r="404" customHeight="1" spans="1:9">
      <c r="A404" s="142"/>
      <c r="B404" s="142"/>
      <c r="C404" s="142"/>
      <c r="E404" s="142"/>
      <c r="F404" s="142"/>
      <c r="G404" s="142"/>
      <c r="H404" s="142"/>
      <c r="I404" s="142"/>
    </row>
    <row r="405" customHeight="1" spans="1:9">
      <c r="A405" s="142"/>
      <c r="B405" s="142"/>
      <c r="C405" s="142"/>
      <c r="E405" s="142"/>
      <c r="F405" s="142"/>
      <c r="G405" s="142"/>
      <c r="H405" s="142"/>
      <c r="I405" s="142"/>
    </row>
    <row r="406" customHeight="1" spans="1:9">
      <c r="A406" s="142"/>
      <c r="B406" s="142"/>
      <c r="C406" s="142"/>
      <c r="E406" s="142"/>
      <c r="F406" s="142"/>
      <c r="G406" s="142"/>
      <c r="H406" s="142"/>
      <c r="I406" s="142"/>
    </row>
    <row r="407" customHeight="1" spans="1:9">
      <c r="A407" s="142"/>
      <c r="B407" s="142"/>
      <c r="C407" s="142"/>
      <c r="E407" s="142"/>
      <c r="F407" s="142"/>
      <c r="G407" s="142"/>
      <c r="H407" s="142"/>
      <c r="I407" s="142"/>
    </row>
    <row r="408" customHeight="1" spans="1:9">
      <c r="A408" s="142"/>
      <c r="B408" s="142"/>
      <c r="C408" s="142"/>
      <c r="E408" s="142"/>
      <c r="F408" s="142"/>
      <c r="G408" s="142"/>
      <c r="H408" s="142"/>
      <c r="I408" s="142"/>
    </row>
    <row r="409" customHeight="1" spans="1:9">
      <c r="A409" s="142"/>
      <c r="B409" s="142"/>
      <c r="C409" s="142"/>
      <c r="E409" s="142"/>
      <c r="F409" s="142"/>
      <c r="G409" s="142"/>
      <c r="H409" s="142"/>
      <c r="I409" s="142"/>
    </row>
    <row r="410" customHeight="1" spans="1:9">
      <c r="A410" s="142"/>
      <c r="B410" s="142"/>
      <c r="C410" s="142"/>
      <c r="E410" s="142"/>
      <c r="F410" s="142"/>
      <c r="G410" s="142"/>
      <c r="H410" s="142"/>
      <c r="I410" s="142"/>
    </row>
    <row r="411" customHeight="1" spans="1:9">
      <c r="A411" s="142"/>
      <c r="B411" s="142"/>
      <c r="C411" s="142"/>
      <c r="E411" s="142"/>
      <c r="F411" s="142"/>
      <c r="G411" s="142"/>
      <c r="H411" s="142"/>
      <c r="I411" s="142"/>
    </row>
    <row r="412" customHeight="1" spans="1:9">
      <c r="A412" s="142"/>
      <c r="B412" s="142"/>
      <c r="C412" s="142"/>
      <c r="E412" s="142"/>
      <c r="F412" s="142"/>
      <c r="G412" s="142"/>
      <c r="H412" s="142"/>
      <c r="I412" s="142"/>
    </row>
    <row r="413" customHeight="1" spans="1:9">
      <c r="A413" s="142"/>
      <c r="B413" s="142"/>
      <c r="C413" s="142"/>
      <c r="E413" s="142"/>
      <c r="F413" s="142"/>
      <c r="G413" s="142"/>
      <c r="H413" s="142"/>
      <c r="I413" s="142"/>
    </row>
    <row r="414" customHeight="1" spans="1:9">
      <c r="A414" s="142"/>
      <c r="B414" s="142"/>
      <c r="C414" s="142"/>
      <c r="E414" s="142"/>
      <c r="F414" s="142"/>
      <c r="G414" s="142"/>
      <c r="H414" s="142"/>
      <c r="I414" s="142"/>
    </row>
    <row r="415" customHeight="1" spans="1:9">
      <c r="A415" s="142"/>
      <c r="B415" s="142"/>
      <c r="C415" s="142"/>
      <c r="E415" s="142"/>
      <c r="F415" s="142"/>
      <c r="G415" s="142"/>
      <c r="H415" s="142"/>
      <c r="I415" s="142"/>
    </row>
    <row r="416" customHeight="1" spans="1:9">
      <c r="A416" s="142"/>
      <c r="B416" s="142"/>
      <c r="C416" s="142"/>
      <c r="E416" s="142"/>
      <c r="F416" s="142"/>
      <c r="G416" s="142"/>
      <c r="H416" s="142"/>
      <c r="I416" s="142"/>
    </row>
    <row r="417" customHeight="1" spans="1:9">
      <c r="A417" s="142"/>
      <c r="B417" s="142"/>
      <c r="C417" s="142"/>
      <c r="E417" s="142"/>
      <c r="F417" s="142"/>
      <c r="G417" s="142"/>
      <c r="H417" s="142"/>
      <c r="I417" s="142"/>
    </row>
    <row r="418" customHeight="1" spans="1:9">
      <c r="A418" s="142"/>
      <c r="B418" s="142"/>
      <c r="C418" s="142"/>
      <c r="E418" s="142"/>
      <c r="F418" s="142"/>
      <c r="G418" s="142"/>
      <c r="H418" s="142"/>
      <c r="I418" s="142"/>
    </row>
    <row r="419" customHeight="1" spans="1:9">
      <c r="A419" s="142"/>
      <c r="B419" s="142"/>
      <c r="C419" s="142"/>
      <c r="E419" s="142"/>
      <c r="F419" s="142"/>
      <c r="G419" s="142"/>
      <c r="H419" s="142"/>
      <c r="I419" s="142"/>
    </row>
    <row r="420" customHeight="1" spans="1:9">
      <c r="A420" s="142"/>
      <c r="B420" s="142"/>
      <c r="C420" s="142"/>
      <c r="E420" s="142"/>
      <c r="F420" s="142"/>
      <c r="G420" s="142"/>
      <c r="H420" s="142"/>
      <c r="I420" s="142"/>
    </row>
    <row r="421" customHeight="1" spans="1:9">
      <c r="A421" s="142"/>
      <c r="B421" s="142"/>
      <c r="C421" s="142"/>
      <c r="E421" s="142"/>
      <c r="F421" s="142"/>
      <c r="G421" s="142"/>
      <c r="H421" s="142"/>
      <c r="I421" s="142"/>
    </row>
    <row r="422" customHeight="1" spans="1:9">
      <c r="A422" s="142"/>
      <c r="B422" s="142"/>
      <c r="C422" s="142"/>
      <c r="E422" s="142"/>
      <c r="F422" s="142"/>
      <c r="G422" s="142"/>
      <c r="H422" s="142"/>
      <c r="I422" s="142"/>
    </row>
    <row r="423" customHeight="1" spans="1:9">
      <c r="A423" s="142"/>
      <c r="B423" s="142"/>
      <c r="C423" s="142"/>
      <c r="E423" s="142"/>
      <c r="F423" s="142"/>
      <c r="G423" s="142"/>
      <c r="H423" s="142"/>
      <c r="I423" s="142"/>
    </row>
    <row r="424" customHeight="1" spans="1:9">
      <c r="A424" s="142"/>
      <c r="B424" s="142"/>
      <c r="C424" s="142"/>
      <c r="E424" s="142"/>
      <c r="F424" s="142"/>
      <c r="G424" s="142"/>
      <c r="H424" s="142"/>
      <c r="I424" s="142"/>
    </row>
    <row r="425" customHeight="1" spans="1:9">
      <c r="A425" s="142"/>
      <c r="B425" s="142"/>
      <c r="C425" s="142"/>
      <c r="E425" s="142"/>
      <c r="F425" s="142"/>
      <c r="G425" s="142"/>
      <c r="H425" s="142"/>
      <c r="I425" s="142"/>
    </row>
    <row r="426" customHeight="1" spans="1:9">
      <c r="A426" s="142"/>
      <c r="B426" s="142"/>
      <c r="C426" s="142"/>
      <c r="E426" s="142"/>
      <c r="F426" s="142"/>
      <c r="G426" s="142"/>
      <c r="H426" s="142"/>
      <c r="I426" s="142"/>
    </row>
    <row r="427" customHeight="1" spans="1:9">
      <c r="A427" s="142"/>
      <c r="B427" s="142"/>
      <c r="C427" s="142"/>
      <c r="E427" s="142"/>
      <c r="F427" s="142"/>
      <c r="G427" s="142"/>
      <c r="H427" s="142"/>
      <c r="I427" s="142"/>
    </row>
    <row r="428" customHeight="1" spans="1:9">
      <c r="A428" s="142"/>
      <c r="B428" s="142"/>
      <c r="C428" s="142"/>
      <c r="E428" s="142"/>
      <c r="F428" s="142"/>
      <c r="G428" s="142"/>
      <c r="H428" s="142"/>
      <c r="I428" s="142"/>
    </row>
    <row r="429" customHeight="1" spans="1:9">
      <c r="A429" s="142"/>
      <c r="B429" s="142"/>
      <c r="C429" s="142"/>
      <c r="E429" s="142"/>
      <c r="F429" s="142"/>
      <c r="G429" s="142"/>
      <c r="H429" s="142"/>
      <c r="I429" s="142"/>
    </row>
    <row r="430" customHeight="1" spans="1:9">
      <c r="A430" s="142"/>
      <c r="B430" s="142"/>
      <c r="C430" s="142"/>
      <c r="E430" s="142"/>
      <c r="F430" s="142"/>
      <c r="G430" s="142"/>
      <c r="H430" s="142"/>
      <c r="I430" s="142"/>
    </row>
    <row r="431" customHeight="1" spans="1:9">
      <c r="A431" s="142"/>
      <c r="B431" s="142"/>
      <c r="C431" s="142"/>
      <c r="E431" s="142"/>
      <c r="F431" s="142"/>
      <c r="G431" s="142"/>
      <c r="H431" s="142"/>
      <c r="I431" s="142"/>
    </row>
    <row r="432" customHeight="1" spans="1:9">
      <c r="A432" s="142"/>
      <c r="B432" s="142"/>
      <c r="C432" s="142"/>
      <c r="E432" s="142"/>
      <c r="F432" s="142"/>
      <c r="G432" s="142"/>
      <c r="H432" s="142"/>
      <c r="I432" s="142"/>
    </row>
    <row r="433" customHeight="1" spans="1:9">
      <c r="A433" s="142"/>
      <c r="B433" s="142"/>
      <c r="C433" s="142"/>
      <c r="E433" s="142"/>
      <c r="F433" s="142"/>
      <c r="G433" s="142"/>
      <c r="H433" s="142"/>
      <c r="I433" s="142"/>
    </row>
    <row r="434" customHeight="1" spans="1:9">
      <c r="A434" s="142"/>
      <c r="B434" s="142"/>
      <c r="C434" s="142"/>
      <c r="E434" s="142"/>
      <c r="F434" s="142"/>
      <c r="G434" s="142"/>
      <c r="H434" s="142"/>
      <c r="I434" s="142"/>
    </row>
    <row r="435" customHeight="1" spans="1:9">
      <c r="A435" s="142"/>
      <c r="B435" s="142"/>
      <c r="C435" s="142"/>
      <c r="E435" s="142"/>
      <c r="F435" s="142"/>
      <c r="G435" s="142"/>
      <c r="H435" s="142"/>
      <c r="I435" s="142"/>
    </row>
    <row r="436" customHeight="1" spans="1:9">
      <c r="A436" s="142"/>
      <c r="B436" s="142"/>
      <c r="C436" s="142"/>
      <c r="E436" s="142"/>
      <c r="F436" s="142"/>
      <c r="G436" s="142"/>
      <c r="H436" s="142"/>
      <c r="I436" s="142"/>
    </row>
    <row r="437" customHeight="1" spans="1:9">
      <c r="A437" s="142"/>
      <c r="B437" s="142"/>
      <c r="C437" s="142"/>
      <c r="E437" s="142"/>
      <c r="F437" s="142"/>
      <c r="G437" s="142"/>
      <c r="H437" s="142"/>
      <c r="I437" s="142"/>
    </row>
    <row r="438" customHeight="1" spans="1:9">
      <c r="A438" s="142"/>
      <c r="B438" s="142"/>
      <c r="C438" s="142"/>
      <c r="E438" s="142"/>
      <c r="F438" s="142"/>
      <c r="G438" s="142"/>
      <c r="H438" s="142"/>
      <c r="I438" s="142"/>
    </row>
    <row r="439" customHeight="1" spans="1:9">
      <c r="A439" s="142"/>
      <c r="B439" s="142"/>
      <c r="C439" s="142"/>
      <c r="E439" s="142"/>
      <c r="F439" s="142"/>
      <c r="G439" s="142"/>
      <c r="H439" s="142"/>
      <c r="I439" s="142"/>
    </row>
    <row r="440" customHeight="1" spans="1:9">
      <c r="A440" s="142"/>
      <c r="B440" s="142"/>
      <c r="C440" s="142"/>
      <c r="E440" s="142"/>
      <c r="F440" s="142"/>
      <c r="G440" s="142"/>
      <c r="H440" s="142"/>
      <c r="I440" s="142"/>
    </row>
    <row r="441" customHeight="1" spans="1:9">
      <c r="A441" s="142"/>
      <c r="B441" s="142"/>
      <c r="C441" s="142"/>
      <c r="E441" s="142"/>
      <c r="F441" s="142"/>
      <c r="G441" s="142"/>
      <c r="H441" s="142"/>
      <c r="I441" s="142"/>
    </row>
    <row r="442" customHeight="1" spans="1:9">
      <c r="A442" s="142"/>
      <c r="B442" s="142"/>
      <c r="C442" s="142"/>
      <c r="E442" s="142"/>
      <c r="F442" s="142"/>
      <c r="G442" s="142"/>
      <c r="H442" s="142"/>
      <c r="I442" s="142"/>
    </row>
    <row r="443" customHeight="1" spans="1:9">
      <c r="A443" s="142"/>
      <c r="B443" s="142"/>
      <c r="C443" s="142"/>
      <c r="E443" s="142"/>
      <c r="F443" s="142"/>
      <c r="G443" s="142"/>
      <c r="H443" s="142"/>
      <c r="I443" s="142"/>
    </row>
    <row r="444" customHeight="1" spans="1:9">
      <c r="A444" s="142"/>
      <c r="B444" s="142"/>
      <c r="C444" s="142"/>
      <c r="E444" s="142"/>
      <c r="F444" s="142"/>
      <c r="G444" s="142"/>
      <c r="H444" s="142"/>
      <c r="I444" s="142"/>
    </row>
    <row r="445" customHeight="1" spans="1:9">
      <c r="A445" s="142"/>
      <c r="B445" s="142"/>
      <c r="C445" s="142"/>
      <c r="E445" s="142"/>
      <c r="F445" s="142"/>
      <c r="G445" s="142"/>
      <c r="H445" s="142"/>
      <c r="I445" s="142"/>
    </row>
    <row r="446" customHeight="1" spans="1:9">
      <c r="A446" s="142"/>
      <c r="B446" s="142"/>
      <c r="C446" s="142"/>
      <c r="E446" s="142"/>
      <c r="F446" s="142"/>
      <c r="G446" s="142"/>
      <c r="H446" s="142"/>
      <c r="I446" s="142"/>
    </row>
    <row r="447" customHeight="1" spans="1:9">
      <c r="A447" s="142"/>
      <c r="B447" s="142"/>
      <c r="C447" s="142"/>
      <c r="E447" s="142"/>
      <c r="F447" s="142"/>
      <c r="G447" s="142"/>
      <c r="H447" s="142"/>
      <c r="I447" s="142"/>
    </row>
    <row r="448" customHeight="1" spans="1:9">
      <c r="A448" s="142"/>
      <c r="B448" s="142"/>
      <c r="C448" s="142"/>
      <c r="E448" s="142"/>
      <c r="F448" s="142"/>
      <c r="G448" s="142"/>
      <c r="H448" s="142"/>
      <c r="I448" s="142"/>
    </row>
    <row r="449" customHeight="1" spans="1:9">
      <c r="A449" s="142"/>
      <c r="B449" s="142"/>
      <c r="C449" s="142"/>
      <c r="E449" s="142"/>
      <c r="F449" s="142"/>
      <c r="G449" s="142"/>
      <c r="H449" s="142"/>
      <c r="I449" s="142"/>
    </row>
    <row r="450" customHeight="1" spans="1:9">
      <c r="A450" s="142"/>
      <c r="B450" s="142"/>
      <c r="C450" s="142"/>
      <c r="E450" s="142"/>
      <c r="F450" s="142"/>
      <c r="G450" s="142"/>
      <c r="H450" s="142"/>
      <c r="I450" s="142"/>
    </row>
    <row r="451" customHeight="1" spans="1:9">
      <c r="A451" s="142"/>
      <c r="B451" s="142"/>
      <c r="C451" s="142"/>
      <c r="E451" s="142"/>
      <c r="F451" s="142"/>
      <c r="G451" s="142"/>
      <c r="H451" s="142"/>
      <c r="I451" s="142"/>
    </row>
    <row r="452" customHeight="1" spans="1:9">
      <c r="A452" s="142"/>
      <c r="B452" s="142"/>
      <c r="C452" s="142"/>
      <c r="E452" s="142"/>
      <c r="F452" s="142"/>
      <c r="G452" s="142"/>
      <c r="H452" s="142"/>
      <c r="I452" s="142"/>
    </row>
    <row r="453" customHeight="1" spans="1:9">
      <c r="A453" s="142"/>
      <c r="B453" s="142"/>
      <c r="C453" s="142"/>
      <c r="E453" s="142"/>
      <c r="F453" s="142"/>
      <c r="G453" s="142"/>
      <c r="H453" s="142"/>
      <c r="I453" s="142"/>
    </row>
    <row r="454" customHeight="1" spans="1:9">
      <c r="A454" s="142"/>
      <c r="B454" s="142"/>
      <c r="C454" s="142"/>
      <c r="E454" s="142"/>
      <c r="F454" s="142"/>
      <c r="G454" s="142"/>
      <c r="H454" s="142"/>
      <c r="I454" s="142"/>
    </row>
    <row r="455" customHeight="1" spans="1:9">
      <c r="A455" s="142"/>
      <c r="B455" s="142"/>
      <c r="C455" s="142"/>
      <c r="E455" s="142"/>
      <c r="F455" s="142"/>
      <c r="G455" s="142"/>
      <c r="H455" s="142"/>
      <c r="I455" s="142"/>
    </row>
    <row r="456" customHeight="1" spans="1:9">
      <c r="A456" s="142"/>
      <c r="B456" s="142"/>
      <c r="C456" s="142"/>
      <c r="E456" s="142"/>
      <c r="F456" s="142"/>
      <c r="G456" s="142"/>
      <c r="H456" s="142"/>
      <c r="I456" s="142"/>
    </row>
    <row r="457" customHeight="1" spans="1:9">
      <c r="A457" s="142"/>
      <c r="B457" s="142"/>
      <c r="C457" s="142"/>
      <c r="E457" s="142"/>
      <c r="F457" s="142"/>
      <c r="G457" s="142"/>
      <c r="H457" s="142"/>
      <c r="I457" s="142"/>
    </row>
    <row r="458" customHeight="1" spans="1:9">
      <c r="A458" s="142"/>
      <c r="B458" s="142"/>
      <c r="C458" s="142"/>
      <c r="E458" s="142"/>
      <c r="F458" s="142"/>
      <c r="G458" s="142"/>
      <c r="H458" s="142"/>
      <c r="I458" s="142"/>
    </row>
    <row r="459" customHeight="1" spans="1:9">
      <c r="A459" s="142"/>
      <c r="B459" s="142"/>
      <c r="C459" s="142"/>
      <c r="E459" s="142"/>
      <c r="F459" s="142"/>
      <c r="G459" s="142"/>
      <c r="H459" s="142"/>
      <c r="I459" s="142"/>
    </row>
    <row r="460" customHeight="1" spans="1:9">
      <c r="A460" s="142"/>
      <c r="B460" s="142"/>
      <c r="C460" s="142"/>
      <c r="E460" s="142"/>
      <c r="F460" s="142"/>
      <c r="G460" s="142"/>
      <c r="H460" s="142"/>
      <c r="I460" s="142"/>
    </row>
    <row r="461" customHeight="1" spans="1:9">
      <c r="A461" s="142"/>
      <c r="B461" s="142"/>
      <c r="C461" s="142"/>
      <c r="E461" s="142"/>
      <c r="F461" s="142"/>
      <c r="G461" s="142"/>
      <c r="H461" s="142"/>
      <c r="I461" s="142"/>
    </row>
    <row r="462" customHeight="1" spans="1:9">
      <c r="A462" s="142"/>
      <c r="B462" s="142"/>
      <c r="C462" s="142"/>
      <c r="E462" s="142"/>
      <c r="F462" s="142"/>
      <c r="G462" s="142"/>
      <c r="H462" s="142"/>
      <c r="I462" s="142"/>
    </row>
    <row r="463" customHeight="1" spans="1:9">
      <c r="A463" s="142"/>
      <c r="B463" s="142"/>
      <c r="C463" s="142"/>
      <c r="E463" s="142"/>
      <c r="F463" s="142"/>
      <c r="G463" s="142"/>
      <c r="H463" s="142"/>
      <c r="I463" s="142"/>
    </row>
    <row r="464" customHeight="1" spans="1:9">
      <c r="A464" s="142"/>
      <c r="B464" s="142"/>
      <c r="C464" s="142"/>
      <c r="E464" s="142"/>
      <c r="F464" s="142"/>
      <c r="G464" s="142"/>
      <c r="H464" s="142"/>
      <c r="I464" s="142"/>
    </row>
    <row r="465" customHeight="1" spans="1:9">
      <c r="A465" s="142"/>
      <c r="B465" s="142"/>
      <c r="C465" s="142"/>
      <c r="E465" s="142"/>
      <c r="F465" s="142"/>
      <c r="G465" s="142"/>
      <c r="H465" s="142"/>
      <c r="I465" s="142"/>
    </row>
    <row r="466" customHeight="1" spans="1:9">
      <c r="A466" s="142"/>
      <c r="B466" s="142"/>
      <c r="C466" s="142"/>
      <c r="E466" s="142"/>
      <c r="F466" s="142"/>
      <c r="G466" s="142"/>
      <c r="H466" s="142"/>
      <c r="I466" s="142"/>
    </row>
    <row r="467" customHeight="1" spans="1:9">
      <c r="A467" s="142"/>
      <c r="B467" s="142"/>
      <c r="C467" s="142"/>
      <c r="E467" s="142"/>
      <c r="F467" s="142"/>
      <c r="G467" s="142"/>
      <c r="H467" s="142"/>
      <c r="I467" s="142"/>
    </row>
    <row r="468" customHeight="1" spans="1:9">
      <c r="A468" s="142"/>
      <c r="B468" s="142"/>
      <c r="C468" s="142"/>
      <c r="E468" s="142"/>
      <c r="F468" s="142"/>
      <c r="G468" s="142"/>
      <c r="H468" s="142"/>
      <c r="I468" s="142"/>
    </row>
    <row r="469" customHeight="1" spans="1:9">
      <c r="A469" s="142"/>
      <c r="B469" s="142"/>
      <c r="C469" s="142"/>
      <c r="E469" s="142"/>
      <c r="F469" s="142"/>
      <c r="G469" s="142"/>
      <c r="H469" s="142"/>
      <c r="I469" s="142"/>
    </row>
    <row r="470" customHeight="1" spans="1:9">
      <c r="A470" s="142"/>
      <c r="B470" s="142"/>
      <c r="C470" s="142"/>
      <c r="E470" s="142"/>
      <c r="F470" s="142"/>
      <c r="G470" s="142"/>
      <c r="H470" s="142"/>
      <c r="I470" s="142"/>
    </row>
    <row r="471" customHeight="1" spans="1:9">
      <c r="A471" s="142"/>
      <c r="B471" s="142"/>
      <c r="C471" s="142"/>
      <c r="E471" s="142"/>
      <c r="F471" s="142"/>
      <c r="G471" s="142"/>
      <c r="H471" s="142"/>
      <c r="I471" s="142"/>
    </row>
    <row r="472" customHeight="1" spans="1:9">
      <c r="A472" s="142"/>
      <c r="B472" s="142"/>
      <c r="C472" s="142"/>
      <c r="E472" s="142"/>
      <c r="F472" s="142"/>
      <c r="G472" s="142"/>
      <c r="H472" s="142"/>
      <c r="I472" s="142"/>
    </row>
    <row r="473" customHeight="1" spans="1:9">
      <c r="A473" s="142"/>
      <c r="B473" s="142"/>
      <c r="C473" s="142"/>
      <c r="E473" s="142"/>
      <c r="F473" s="142"/>
      <c r="G473" s="142"/>
      <c r="H473" s="142"/>
      <c r="I473" s="142"/>
    </row>
    <row r="474" customHeight="1" spans="1:9">
      <c r="A474" s="142"/>
      <c r="B474" s="142"/>
      <c r="C474" s="142"/>
      <c r="E474" s="142"/>
      <c r="F474" s="142"/>
      <c r="G474" s="142"/>
      <c r="H474" s="142"/>
      <c r="I474" s="142"/>
    </row>
    <row r="475" customHeight="1" spans="1:9">
      <c r="A475" s="142"/>
      <c r="B475" s="142"/>
      <c r="C475" s="142"/>
      <c r="E475" s="142"/>
      <c r="F475" s="142"/>
      <c r="G475" s="142"/>
      <c r="H475" s="142"/>
      <c r="I475" s="142"/>
    </row>
    <row r="476" customHeight="1" spans="1:9">
      <c r="A476" s="142"/>
      <c r="B476" s="142"/>
      <c r="C476" s="142"/>
      <c r="E476" s="142"/>
      <c r="F476" s="142"/>
      <c r="G476" s="142"/>
      <c r="H476" s="142"/>
      <c r="I476" s="142"/>
    </row>
    <row r="477" customHeight="1" spans="1:9">
      <c r="A477" s="142"/>
      <c r="B477" s="142"/>
      <c r="C477" s="142"/>
      <c r="E477" s="142"/>
      <c r="F477" s="142"/>
      <c r="G477" s="142"/>
      <c r="H477" s="142"/>
      <c r="I477" s="142"/>
    </row>
    <row r="478" customHeight="1" spans="1:9">
      <c r="A478" s="142"/>
      <c r="B478" s="142"/>
      <c r="C478" s="142"/>
      <c r="E478" s="142"/>
      <c r="F478" s="142"/>
      <c r="G478" s="142"/>
      <c r="H478" s="142"/>
      <c r="I478" s="142"/>
    </row>
    <row r="479" customHeight="1" spans="1:9">
      <c r="A479" s="142"/>
      <c r="B479" s="142"/>
      <c r="C479" s="142"/>
      <c r="E479" s="142"/>
      <c r="F479" s="142"/>
      <c r="G479" s="142"/>
      <c r="H479" s="142"/>
      <c r="I479" s="142"/>
    </row>
    <row r="480" customHeight="1" spans="1:9">
      <c r="A480" s="142"/>
      <c r="B480" s="142"/>
      <c r="C480" s="142"/>
      <c r="E480" s="142"/>
      <c r="F480" s="142"/>
      <c r="G480" s="142"/>
      <c r="H480" s="142"/>
      <c r="I480" s="142"/>
    </row>
    <row r="481" customHeight="1" spans="1:9">
      <c r="A481" s="142"/>
      <c r="B481" s="142"/>
      <c r="C481" s="142"/>
      <c r="E481" s="142"/>
      <c r="F481" s="142"/>
      <c r="G481" s="142"/>
      <c r="H481" s="142"/>
      <c r="I481" s="142"/>
    </row>
    <row r="482" customHeight="1" spans="1:9">
      <c r="A482" s="142"/>
      <c r="B482" s="142"/>
      <c r="C482" s="142"/>
      <c r="E482" s="142"/>
      <c r="F482" s="142"/>
      <c r="G482" s="142"/>
      <c r="H482" s="142"/>
      <c r="I482" s="142"/>
    </row>
    <row r="483" customHeight="1" spans="1:9">
      <c r="A483" s="142"/>
      <c r="B483" s="142"/>
      <c r="C483" s="142"/>
      <c r="E483" s="142"/>
      <c r="F483" s="142"/>
      <c r="G483" s="142"/>
      <c r="H483" s="142"/>
      <c r="I483" s="142"/>
    </row>
    <row r="484" customHeight="1" spans="1:9">
      <c r="A484" s="142"/>
      <c r="B484" s="142"/>
      <c r="C484" s="142"/>
      <c r="E484" s="142"/>
      <c r="F484" s="142"/>
      <c r="G484" s="142"/>
      <c r="H484" s="142"/>
      <c r="I484" s="142"/>
    </row>
    <row r="485" customHeight="1" spans="1:9">
      <c r="A485" s="142"/>
      <c r="B485" s="142"/>
      <c r="C485" s="142"/>
      <c r="E485" s="142"/>
      <c r="F485" s="142"/>
      <c r="G485" s="142"/>
      <c r="H485" s="142"/>
      <c r="I485" s="142"/>
    </row>
    <row r="486" customHeight="1" spans="1:9">
      <c r="A486" s="142"/>
      <c r="B486" s="142"/>
      <c r="C486" s="142"/>
      <c r="E486" s="142"/>
      <c r="F486" s="142"/>
      <c r="G486" s="142"/>
      <c r="H486" s="142"/>
      <c r="I486" s="142"/>
    </row>
    <row r="487" customHeight="1" spans="1:9">
      <c r="A487" s="142"/>
      <c r="B487" s="142"/>
      <c r="C487" s="142"/>
      <c r="E487" s="142"/>
      <c r="F487" s="142"/>
      <c r="G487" s="142"/>
      <c r="H487" s="142"/>
      <c r="I487" s="142"/>
    </row>
    <row r="488" customHeight="1" spans="1:9">
      <c r="A488" s="142"/>
      <c r="B488" s="142"/>
      <c r="C488" s="142"/>
      <c r="E488" s="142"/>
      <c r="F488" s="142"/>
      <c r="G488" s="142"/>
      <c r="H488" s="142"/>
      <c r="I488" s="142"/>
    </row>
    <row r="489" customHeight="1" spans="1:9">
      <c r="A489" s="142"/>
      <c r="B489" s="142"/>
      <c r="C489" s="142"/>
      <c r="E489" s="142"/>
      <c r="F489" s="142"/>
      <c r="G489" s="142"/>
      <c r="H489" s="142"/>
      <c r="I489" s="142"/>
    </row>
    <row r="490" customHeight="1" spans="1:9">
      <c r="A490" s="142"/>
      <c r="B490" s="142"/>
      <c r="C490" s="142"/>
      <c r="E490" s="142"/>
      <c r="F490" s="142"/>
      <c r="G490" s="142"/>
      <c r="H490" s="142"/>
      <c r="I490" s="142"/>
    </row>
    <row r="491" customHeight="1" spans="1:9">
      <c r="A491" s="142"/>
      <c r="B491" s="142"/>
      <c r="C491" s="142"/>
      <c r="E491" s="142"/>
      <c r="F491" s="142"/>
      <c r="G491" s="142"/>
      <c r="H491" s="142"/>
      <c r="I491" s="142"/>
    </row>
    <row r="492" customHeight="1" spans="1:9">
      <c r="A492" s="142"/>
      <c r="B492" s="142"/>
      <c r="C492" s="142"/>
      <c r="E492" s="142"/>
      <c r="F492" s="142"/>
      <c r="G492" s="142"/>
      <c r="H492" s="142"/>
      <c r="I492" s="142"/>
    </row>
    <row r="493" customHeight="1" spans="1:9">
      <c r="A493" s="142"/>
      <c r="B493" s="142"/>
      <c r="C493" s="142"/>
      <c r="E493" s="142"/>
      <c r="F493" s="142"/>
      <c r="G493" s="142"/>
      <c r="H493" s="142"/>
      <c r="I493" s="142"/>
    </row>
    <row r="494" customHeight="1" spans="1:9">
      <c r="A494" s="142"/>
      <c r="B494" s="142"/>
      <c r="C494" s="142"/>
      <c r="E494" s="142"/>
      <c r="F494" s="142"/>
      <c r="G494" s="142"/>
      <c r="H494" s="142"/>
      <c r="I494" s="142"/>
    </row>
    <row r="495" customHeight="1" spans="1:9">
      <c r="A495" s="142"/>
      <c r="B495" s="142"/>
      <c r="C495" s="142"/>
      <c r="E495" s="142"/>
      <c r="F495" s="142"/>
      <c r="G495" s="142"/>
      <c r="H495" s="142"/>
      <c r="I495" s="142"/>
    </row>
    <row r="496" customHeight="1" spans="1:9">
      <c r="A496" s="142"/>
      <c r="B496" s="142"/>
      <c r="C496" s="142"/>
      <c r="E496" s="142"/>
      <c r="F496" s="142"/>
      <c r="G496" s="142"/>
      <c r="H496" s="142"/>
      <c r="I496" s="142"/>
    </row>
    <row r="497" customHeight="1" spans="1:9">
      <c r="A497" s="142"/>
      <c r="B497" s="142"/>
      <c r="C497" s="142"/>
      <c r="E497" s="142"/>
      <c r="F497" s="142"/>
      <c r="G497" s="142"/>
      <c r="H497" s="142"/>
      <c r="I497" s="142"/>
    </row>
    <row r="498" customHeight="1" spans="1:9">
      <c r="A498" s="142"/>
      <c r="B498" s="142"/>
      <c r="C498" s="142"/>
      <c r="E498" s="142"/>
      <c r="F498" s="142"/>
      <c r="G498" s="142"/>
      <c r="H498" s="142"/>
      <c r="I498" s="142"/>
    </row>
    <row r="499" customHeight="1" spans="1:9">
      <c r="A499" s="142"/>
      <c r="B499" s="142"/>
      <c r="C499" s="142"/>
      <c r="E499" s="142"/>
      <c r="F499" s="142"/>
      <c r="G499" s="142"/>
      <c r="H499" s="142"/>
      <c r="I499" s="142"/>
    </row>
    <row r="500" customHeight="1" spans="1:9">
      <c r="A500" s="142"/>
      <c r="B500" s="142"/>
      <c r="C500" s="142"/>
      <c r="E500" s="142"/>
      <c r="F500" s="142"/>
      <c r="G500" s="142"/>
      <c r="H500" s="142"/>
      <c r="I500" s="142"/>
    </row>
    <row r="501" customHeight="1" spans="1:9">
      <c r="A501" s="142"/>
      <c r="B501" s="142"/>
      <c r="C501" s="142"/>
      <c r="E501" s="142"/>
      <c r="F501" s="142"/>
      <c r="G501" s="142"/>
      <c r="H501" s="142"/>
      <c r="I501" s="142"/>
    </row>
    <row r="502" customHeight="1" spans="1:9">
      <c r="A502" s="142"/>
      <c r="B502" s="142"/>
      <c r="C502" s="142"/>
      <c r="E502" s="142"/>
      <c r="F502" s="142"/>
      <c r="G502" s="142"/>
      <c r="H502" s="142"/>
      <c r="I502" s="142"/>
    </row>
    <row r="503" customHeight="1" spans="1:9">
      <c r="A503" s="142"/>
      <c r="B503" s="142"/>
      <c r="C503" s="142"/>
      <c r="E503" s="142"/>
      <c r="F503" s="142"/>
      <c r="G503" s="142"/>
      <c r="H503" s="142"/>
      <c r="I503" s="142"/>
    </row>
    <row r="504" customHeight="1" spans="1:9">
      <c r="A504" s="142"/>
      <c r="B504" s="142"/>
      <c r="C504" s="142"/>
      <c r="E504" s="142"/>
      <c r="F504" s="142"/>
      <c r="G504" s="142"/>
      <c r="H504" s="142"/>
      <c r="I504" s="142"/>
    </row>
    <row r="505" customHeight="1" spans="1:9">
      <c r="A505" s="142"/>
      <c r="B505" s="142"/>
      <c r="C505" s="142"/>
      <c r="E505" s="142"/>
      <c r="F505" s="142"/>
      <c r="G505" s="142"/>
      <c r="H505" s="142"/>
      <c r="I505" s="142"/>
    </row>
    <row r="506" customHeight="1" spans="1:9">
      <c r="A506" s="142"/>
      <c r="B506" s="142"/>
      <c r="C506" s="142"/>
      <c r="E506" s="142"/>
      <c r="F506" s="142"/>
      <c r="G506" s="142"/>
      <c r="H506" s="142"/>
      <c r="I506" s="142"/>
    </row>
    <row r="507" customHeight="1" spans="1:9">
      <c r="A507" s="142"/>
      <c r="B507" s="142"/>
      <c r="C507" s="142"/>
      <c r="E507" s="142"/>
      <c r="F507" s="142"/>
      <c r="G507" s="142"/>
      <c r="H507" s="142"/>
      <c r="I507" s="142"/>
    </row>
    <row r="508" customHeight="1" spans="1:9">
      <c r="A508" s="142"/>
      <c r="B508" s="142"/>
      <c r="C508" s="142"/>
      <c r="E508" s="142"/>
      <c r="F508" s="142"/>
      <c r="G508" s="142"/>
      <c r="H508" s="142"/>
      <c r="I508" s="142"/>
    </row>
    <row r="509" customHeight="1" spans="1:9">
      <c r="A509" s="142"/>
      <c r="B509" s="142"/>
      <c r="C509" s="142"/>
      <c r="E509" s="142"/>
      <c r="F509" s="142"/>
      <c r="G509" s="142"/>
      <c r="H509" s="142"/>
      <c r="I509" s="142"/>
    </row>
    <row r="510" customHeight="1" spans="1:9">
      <c r="A510" s="142"/>
      <c r="B510" s="142"/>
      <c r="C510" s="142"/>
      <c r="E510" s="142"/>
      <c r="F510" s="142"/>
      <c r="G510" s="142"/>
      <c r="H510" s="142"/>
      <c r="I510" s="142"/>
    </row>
    <row r="511" customHeight="1" spans="1:9">
      <c r="A511" s="142"/>
      <c r="B511" s="142"/>
      <c r="C511" s="142"/>
      <c r="E511" s="142"/>
      <c r="F511" s="142"/>
      <c r="G511" s="142"/>
      <c r="H511" s="142"/>
      <c r="I511" s="142"/>
    </row>
    <row r="512" customHeight="1" spans="1:9">
      <c r="A512" s="142"/>
      <c r="B512" s="142"/>
      <c r="C512" s="142"/>
      <c r="E512" s="142"/>
      <c r="F512" s="142"/>
      <c r="G512" s="142"/>
      <c r="H512" s="142"/>
      <c r="I512" s="142"/>
    </row>
    <row r="513" customHeight="1" spans="1:9">
      <c r="A513" s="142"/>
      <c r="B513" s="142"/>
      <c r="C513" s="142"/>
      <c r="E513" s="142"/>
      <c r="F513" s="142"/>
      <c r="G513" s="142"/>
      <c r="H513" s="142"/>
      <c r="I513" s="142"/>
    </row>
    <row r="514" customHeight="1" spans="1:9">
      <c r="A514" s="142"/>
      <c r="B514" s="142"/>
      <c r="C514" s="142"/>
      <c r="E514" s="142"/>
      <c r="F514" s="142"/>
      <c r="G514" s="142"/>
      <c r="H514" s="142"/>
      <c r="I514" s="142"/>
    </row>
    <row r="515" customHeight="1" spans="1:9">
      <c r="A515" s="142"/>
      <c r="B515" s="142"/>
      <c r="C515" s="142"/>
      <c r="E515" s="142"/>
      <c r="F515" s="142"/>
      <c r="G515" s="142"/>
      <c r="H515" s="142"/>
      <c r="I515" s="142"/>
    </row>
    <row r="516" customHeight="1" spans="1:9">
      <c r="A516" s="142"/>
      <c r="B516" s="142"/>
      <c r="C516" s="142"/>
      <c r="E516" s="142"/>
      <c r="F516" s="142"/>
      <c r="G516" s="142"/>
      <c r="H516" s="142"/>
      <c r="I516" s="142"/>
    </row>
    <row r="517" customHeight="1" spans="1:9">
      <c r="A517" s="142"/>
      <c r="B517" s="142"/>
      <c r="C517" s="142"/>
      <c r="E517" s="142"/>
      <c r="F517" s="142"/>
      <c r="G517" s="142"/>
      <c r="H517" s="142"/>
      <c r="I517" s="142"/>
    </row>
    <row r="518" customHeight="1" spans="1:9">
      <c r="A518" s="142"/>
      <c r="B518" s="142"/>
      <c r="C518" s="142"/>
      <c r="E518" s="142"/>
      <c r="F518" s="142"/>
      <c r="G518" s="142"/>
      <c r="H518" s="142"/>
      <c r="I518" s="142"/>
    </row>
    <row r="519" customHeight="1" spans="1:9">
      <c r="A519" s="142"/>
      <c r="B519" s="142"/>
      <c r="C519" s="142"/>
      <c r="E519" s="142"/>
      <c r="F519" s="142"/>
      <c r="G519" s="142"/>
      <c r="H519" s="142"/>
      <c r="I519" s="142"/>
    </row>
    <row r="520" customHeight="1" spans="1:9">
      <c r="A520" s="142"/>
      <c r="B520" s="142"/>
      <c r="C520" s="142"/>
      <c r="E520" s="142"/>
      <c r="F520" s="142"/>
      <c r="G520" s="142"/>
      <c r="H520" s="142"/>
      <c r="I520" s="142"/>
    </row>
    <row r="521" customHeight="1" spans="1:9">
      <c r="A521" s="142"/>
      <c r="B521" s="142"/>
      <c r="C521" s="142"/>
      <c r="E521" s="142"/>
      <c r="F521" s="142"/>
      <c r="G521" s="142"/>
      <c r="H521" s="142"/>
      <c r="I521" s="142"/>
    </row>
    <row r="522" customHeight="1" spans="1:9">
      <c r="A522" s="142"/>
      <c r="B522" s="142"/>
      <c r="C522" s="142"/>
      <c r="E522" s="142"/>
      <c r="F522" s="142"/>
      <c r="G522" s="142"/>
      <c r="H522" s="142"/>
      <c r="I522" s="142"/>
    </row>
    <row r="523" customHeight="1" spans="1:9">
      <c r="A523" s="142"/>
      <c r="B523" s="142"/>
      <c r="C523" s="142"/>
      <c r="E523" s="142"/>
      <c r="F523" s="142"/>
      <c r="G523" s="142"/>
      <c r="H523" s="142"/>
      <c r="I523" s="142"/>
    </row>
    <row r="524" customHeight="1" spans="1:9">
      <c r="A524" s="142"/>
      <c r="B524" s="142"/>
      <c r="C524" s="142"/>
      <c r="E524" s="142"/>
      <c r="F524" s="142"/>
      <c r="G524" s="142"/>
      <c r="H524" s="142"/>
      <c r="I524" s="142"/>
    </row>
    <row r="525" customHeight="1" spans="1:9">
      <c r="A525" s="142"/>
      <c r="B525" s="142"/>
      <c r="C525" s="142"/>
      <c r="E525" s="142"/>
      <c r="F525" s="142"/>
      <c r="G525" s="142"/>
      <c r="H525" s="142"/>
      <c r="I525" s="142"/>
    </row>
    <row r="526" customHeight="1" spans="1:9">
      <c r="A526" s="142"/>
      <c r="B526" s="142"/>
      <c r="C526" s="142"/>
      <c r="E526" s="142"/>
      <c r="F526" s="142"/>
      <c r="G526" s="142"/>
      <c r="H526" s="142"/>
      <c r="I526" s="142"/>
    </row>
    <row r="527" customHeight="1" spans="1:9">
      <c r="A527" s="142"/>
      <c r="B527" s="142"/>
      <c r="C527" s="142"/>
      <c r="E527" s="142"/>
      <c r="F527" s="142"/>
      <c r="G527" s="142"/>
      <c r="H527" s="142"/>
      <c r="I527" s="142"/>
    </row>
    <row r="528" customHeight="1" spans="1:9">
      <c r="A528" s="142"/>
      <c r="B528" s="142"/>
      <c r="C528" s="142"/>
      <c r="E528" s="142"/>
      <c r="F528" s="142"/>
      <c r="G528" s="142"/>
      <c r="H528" s="142"/>
      <c r="I528" s="142"/>
    </row>
    <row r="529" customHeight="1" spans="1:9">
      <c r="A529" s="142"/>
      <c r="B529" s="142"/>
      <c r="C529" s="142"/>
      <c r="E529" s="142"/>
      <c r="F529" s="142"/>
      <c r="G529" s="142"/>
      <c r="H529" s="142"/>
      <c r="I529" s="142"/>
    </row>
    <row r="530" customHeight="1" spans="1:9">
      <c r="A530" s="142"/>
      <c r="B530" s="142"/>
      <c r="C530" s="142"/>
      <c r="E530" s="142"/>
      <c r="F530" s="142"/>
      <c r="G530" s="142"/>
      <c r="H530" s="142"/>
      <c r="I530" s="142"/>
    </row>
    <row r="531" customHeight="1" spans="1:9">
      <c r="A531" s="142"/>
      <c r="B531" s="142"/>
      <c r="C531" s="142"/>
      <c r="E531" s="142"/>
      <c r="F531" s="142"/>
      <c r="G531" s="142"/>
      <c r="H531" s="142"/>
      <c r="I531" s="142"/>
    </row>
    <row r="532" customHeight="1" spans="1:9">
      <c r="A532" s="142"/>
      <c r="B532" s="142"/>
      <c r="C532" s="142"/>
      <c r="E532" s="142"/>
      <c r="F532" s="142"/>
      <c r="G532" s="142"/>
      <c r="H532" s="142"/>
      <c r="I532" s="142"/>
    </row>
    <row r="533" customHeight="1" spans="1:9">
      <c r="A533" s="142"/>
      <c r="B533" s="142"/>
      <c r="C533" s="142"/>
      <c r="E533" s="142"/>
      <c r="F533" s="142"/>
      <c r="G533" s="142"/>
      <c r="H533" s="142"/>
      <c r="I533" s="142"/>
    </row>
    <row r="534" customHeight="1" spans="1:9">
      <c r="A534" s="142"/>
      <c r="B534" s="142"/>
      <c r="C534" s="142"/>
      <c r="E534" s="142"/>
      <c r="F534" s="142"/>
      <c r="G534" s="142"/>
      <c r="H534" s="142"/>
      <c r="I534" s="142"/>
    </row>
    <row r="535" customHeight="1" spans="1:9">
      <c r="A535" s="142"/>
      <c r="B535" s="142"/>
      <c r="C535" s="142"/>
      <c r="E535" s="142"/>
      <c r="F535" s="142"/>
      <c r="G535" s="142"/>
      <c r="H535" s="142"/>
      <c r="I535" s="142"/>
    </row>
    <row r="536" customHeight="1" spans="1:9">
      <c r="A536" s="142"/>
      <c r="B536" s="142"/>
      <c r="C536" s="142"/>
      <c r="E536" s="142"/>
      <c r="F536" s="142"/>
      <c r="G536" s="142"/>
      <c r="H536" s="142"/>
      <c r="I536" s="142"/>
    </row>
    <row r="537" customHeight="1" spans="1:9">
      <c r="A537" s="142"/>
      <c r="B537" s="142"/>
      <c r="C537" s="142"/>
      <c r="E537" s="142"/>
      <c r="F537" s="142"/>
      <c r="G537" s="142"/>
      <c r="H537" s="142"/>
      <c r="I537" s="142"/>
    </row>
    <row r="538" customHeight="1" spans="1:9">
      <c r="A538" s="142"/>
      <c r="B538" s="142"/>
      <c r="C538" s="142"/>
      <c r="E538" s="142"/>
      <c r="F538" s="142"/>
      <c r="G538" s="142"/>
      <c r="H538" s="142"/>
      <c r="I538" s="142"/>
    </row>
    <row r="539" customHeight="1" spans="1:9">
      <c r="A539" s="142"/>
      <c r="B539" s="142"/>
      <c r="C539" s="142"/>
      <c r="E539" s="142"/>
      <c r="F539" s="142"/>
      <c r="G539" s="142"/>
      <c r="H539" s="142"/>
      <c r="I539" s="142"/>
    </row>
    <row r="540" customHeight="1" spans="1:9">
      <c r="A540" s="142"/>
      <c r="B540" s="142"/>
      <c r="C540" s="142"/>
      <c r="E540" s="142"/>
      <c r="F540" s="142"/>
      <c r="G540" s="142"/>
      <c r="H540" s="142"/>
      <c r="I540" s="142"/>
    </row>
    <row r="541" customHeight="1" spans="1:9">
      <c r="A541" s="142"/>
      <c r="B541" s="142"/>
      <c r="C541" s="142"/>
      <c r="E541" s="142"/>
      <c r="F541" s="142"/>
      <c r="G541" s="142"/>
      <c r="H541" s="142"/>
      <c r="I541" s="142"/>
    </row>
    <row r="542" customHeight="1" spans="1:9">
      <c r="A542" s="142"/>
      <c r="B542" s="142"/>
      <c r="C542" s="142"/>
      <c r="E542" s="142"/>
      <c r="F542" s="142"/>
      <c r="G542" s="142"/>
      <c r="H542" s="142"/>
      <c r="I542" s="142"/>
    </row>
    <row r="543" customHeight="1" spans="1:9">
      <c r="A543" s="142"/>
      <c r="B543" s="142"/>
      <c r="C543" s="142"/>
      <c r="E543" s="142"/>
      <c r="F543" s="142"/>
      <c r="G543" s="142"/>
      <c r="H543" s="142"/>
      <c r="I543" s="142"/>
    </row>
    <row r="544" customHeight="1" spans="1:9">
      <c r="A544" s="142"/>
      <c r="B544" s="142"/>
      <c r="C544" s="142"/>
      <c r="E544" s="142"/>
      <c r="F544" s="142"/>
      <c r="G544" s="142"/>
      <c r="H544" s="142"/>
      <c r="I544" s="142"/>
    </row>
    <row r="545" customHeight="1" spans="1:9">
      <c r="A545" s="142"/>
      <c r="B545" s="142"/>
      <c r="C545" s="142"/>
      <c r="E545" s="142"/>
      <c r="F545" s="142"/>
      <c r="G545" s="142"/>
      <c r="H545" s="142"/>
      <c r="I545" s="142"/>
    </row>
    <row r="546" customHeight="1" spans="1:9">
      <c r="A546" s="142"/>
      <c r="B546" s="142"/>
      <c r="C546" s="142"/>
      <c r="E546" s="142"/>
      <c r="F546" s="142"/>
      <c r="G546" s="142"/>
      <c r="H546" s="142"/>
      <c r="I546" s="142"/>
    </row>
    <row r="547" customHeight="1" spans="1:9">
      <c r="A547" s="142"/>
      <c r="B547" s="142"/>
      <c r="C547" s="142"/>
      <c r="E547" s="142"/>
      <c r="F547" s="142"/>
      <c r="G547" s="142"/>
      <c r="H547" s="142"/>
      <c r="I547" s="142"/>
    </row>
    <row r="548" customHeight="1" spans="1:9">
      <c r="A548" s="142"/>
      <c r="B548" s="142"/>
      <c r="C548" s="142"/>
      <c r="E548" s="142"/>
      <c r="F548" s="142"/>
      <c r="G548" s="142"/>
      <c r="H548" s="142"/>
      <c r="I548" s="142"/>
    </row>
    <row r="549" customHeight="1" spans="1:9">
      <c r="A549" s="142"/>
      <c r="B549" s="142"/>
      <c r="C549" s="142"/>
      <c r="E549" s="142"/>
      <c r="F549" s="142"/>
      <c r="G549" s="142"/>
      <c r="H549" s="142"/>
      <c r="I549" s="142"/>
    </row>
    <row r="550" customHeight="1" spans="1:9">
      <c r="A550" s="142"/>
      <c r="B550" s="142"/>
      <c r="C550" s="142"/>
      <c r="E550" s="142"/>
      <c r="F550" s="142"/>
      <c r="G550" s="142"/>
      <c r="H550" s="142"/>
      <c r="I550" s="142"/>
    </row>
    <row r="551" customHeight="1" spans="1:9">
      <c r="A551" s="142"/>
      <c r="B551" s="142"/>
      <c r="C551" s="142"/>
      <c r="E551" s="142"/>
      <c r="F551" s="142"/>
      <c r="G551" s="142"/>
      <c r="H551" s="142"/>
      <c r="I551" s="142"/>
    </row>
    <row r="552" customHeight="1" spans="1:9">
      <c r="A552" s="142"/>
      <c r="B552" s="142"/>
      <c r="C552" s="142"/>
      <c r="E552" s="142"/>
      <c r="F552" s="142"/>
      <c r="G552" s="142"/>
      <c r="H552" s="142"/>
      <c r="I552" s="142"/>
    </row>
    <row r="553" customHeight="1" spans="1:9">
      <c r="A553" s="142"/>
      <c r="B553" s="142"/>
      <c r="C553" s="142"/>
      <c r="E553" s="142"/>
      <c r="F553" s="142"/>
      <c r="G553" s="142"/>
      <c r="H553" s="142"/>
      <c r="I553" s="142"/>
    </row>
    <row r="554" customHeight="1" spans="1:9">
      <c r="A554" s="142"/>
      <c r="B554" s="142"/>
      <c r="C554" s="142"/>
      <c r="E554" s="142"/>
      <c r="F554" s="142"/>
      <c r="G554" s="142"/>
      <c r="H554" s="142"/>
      <c r="I554" s="142"/>
    </row>
    <row r="555" customHeight="1" spans="1:9">
      <c r="A555" s="142"/>
      <c r="B555" s="142"/>
      <c r="C555" s="142"/>
      <c r="E555" s="142"/>
      <c r="F555" s="142"/>
      <c r="G555" s="142"/>
      <c r="H555" s="142"/>
      <c r="I555" s="142"/>
    </row>
    <row r="556" customHeight="1" spans="1:9">
      <c r="A556" s="142"/>
      <c r="B556" s="142"/>
      <c r="C556" s="142"/>
      <c r="E556" s="142"/>
      <c r="F556" s="142"/>
      <c r="G556" s="142"/>
      <c r="H556" s="142"/>
      <c r="I556" s="142"/>
    </row>
    <row r="557" customHeight="1" spans="1:9">
      <c r="A557" s="142"/>
      <c r="B557" s="142"/>
      <c r="C557" s="142"/>
      <c r="E557" s="142"/>
      <c r="F557" s="142"/>
      <c r="G557" s="142"/>
      <c r="H557" s="142"/>
      <c r="I557" s="142"/>
    </row>
    <row r="558" customHeight="1" spans="1:9">
      <c r="A558" s="142"/>
      <c r="B558" s="142"/>
      <c r="C558" s="142"/>
      <c r="E558" s="142"/>
      <c r="F558" s="142"/>
      <c r="G558" s="142"/>
      <c r="H558" s="142"/>
      <c r="I558" s="142"/>
    </row>
    <row r="559" customHeight="1" spans="1:9">
      <c r="A559" s="142"/>
      <c r="B559" s="142"/>
      <c r="C559" s="142"/>
      <c r="E559" s="142"/>
      <c r="F559" s="142"/>
      <c r="G559" s="142"/>
      <c r="H559" s="142"/>
      <c r="I559" s="142"/>
    </row>
    <row r="560" customHeight="1" spans="1:9">
      <c r="A560" s="142"/>
      <c r="B560" s="142"/>
      <c r="C560" s="142"/>
      <c r="E560" s="142"/>
      <c r="F560" s="142"/>
      <c r="G560" s="142"/>
      <c r="H560" s="142"/>
      <c r="I560" s="142"/>
    </row>
    <row r="561" customHeight="1" spans="1:9">
      <c r="A561" s="142"/>
      <c r="B561" s="142"/>
      <c r="C561" s="142"/>
      <c r="E561" s="142"/>
      <c r="F561" s="142"/>
      <c r="G561" s="142"/>
      <c r="H561" s="142"/>
      <c r="I561" s="142"/>
    </row>
    <row r="562" customHeight="1" spans="1:9">
      <c r="A562" s="142"/>
      <c r="B562" s="142"/>
      <c r="C562" s="142"/>
      <c r="E562" s="142"/>
      <c r="F562" s="142"/>
      <c r="G562" s="142"/>
      <c r="H562" s="142"/>
      <c r="I562" s="142"/>
    </row>
    <row r="563" customHeight="1" spans="1:9">
      <c r="A563" s="142"/>
      <c r="B563" s="142"/>
      <c r="C563" s="142"/>
      <c r="E563" s="142"/>
      <c r="F563" s="142"/>
      <c r="G563" s="142"/>
      <c r="H563" s="142"/>
      <c r="I563" s="142"/>
    </row>
    <row r="564" customHeight="1" spans="1:9">
      <c r="A564" s="142"/>
      <c r="B564" s="142"/>
      <c r="C564" s="142"/>
      <c r="E564" s="142"/>
      <c r="F564" s="142"/>
      <c r="G564" s="142"/>
      <c r="H564" s="142"/>
      <c r="I564" s="142"/>
    </row>
    <row r="565" customHeight="1" spans="1:9">
      <c r="A565" s="142"/>
      <c r="B565" s="142"/>
      <c r="C565" s="142"/>
      <c r="E565" s="142"/>
      <c r="F565" s="142"/>
      <c r="G565" s="142"/>
      <c r="H565" s="142"/>
      <c r="I565" s="142"/>
    </row>
    <row r="566" customHeight="1" spans="1:9">
      <c r="A566" s="142"/>
      <c r="B566" s="142"/>
      <c r="C566" s="142"/>
      <c r="E566" s="142"/>
      <c r="F566" s="142"/>
      <c r="G566" s="142"/>
      <c r="H566" s="142"/>
      <c r="I566" s="142"/>
    </row>
    <row r="567" customHeight="1" spans="1:9">
      <c r="A567" s="142"/>
      <c r="B567" s="142"/>
      <c r="C567" s="142"/>
      <c r="E567" s="142"/>
      <c r="F567" s="142"/>
      <c r="G567" s="142"/>
      <c r="H567" s="142"/>
      <c r="I567" s="142"/>
    </row>
    <row r="568" customHeight="1" spans="1:9">
      <c r="A568" s="142"/>
      <c r="B568" s="142"/>
      <c r="C568" s="142"/>
      <c r="E568" s="142"/>
      <c r="F568" s="142"/>
      <c r="G568" s="142"/>
      <c r="H568" s="142"/>
      <c r="I568" s="142"/>
    </row>
    <row r="569" customHeight="1" spans="1:9">
      <c r="A569" s="142"/>
      <c r="B569" s="142"/>
      <c r="C569" s="142"/>
      <c r="E569" s="142"/>
      <c r="F569" s="142"/>
      <c r="G569" s="142"/>
      <c r="H569" s="142"/>
      <c r="I569" s="142"/>
    </row>
    <row r="570" customHeight="1" spans="1:9">
      <c r="A570" s="142"/>
      <c r="B570" s="142"/>
      <c r="C570" s="142"/>
      <c r="E570" s="142"/>
      <c r="F570" s="142"/>
      <c r="G570" s="142"/>
      <c r="H570" s="142"/>
      <c r="I570" s="142"/>
    </row>
    <row r="571" customHeight="1" spans="1:9">
      <c r="A571" s="142"/>
      <c r="B571" s="142"/>
      <c r="C571" s="142"/>
      <c r="E571" s="142"/>
      <c r="F571" s="142"/>
      <c r="G571" s="142"/>
      <c r="H571" s="142"/>
      <c r="I571" s="142"/>
    </row>
    <row r="572" customHeight="1" spans="1:9">
      <c r="A572" s="142"/>
      <c r="B572" s="142"/>
      <c r="C572" s="142"/>
      <c r="E572" s="142"/>
      <c r="F572" s="142"/>
      <c r="G572" s="142"/>
      <c r="H572" s="142"/>
      <c r="I572" s="142"/>
    </row>
    <row r="573" customHeight="1" spans="1:9">
      <c r="A573" s="142"/>
      <c r="B573" s="142"/>
      <c r="C573" s="142"/>
      <c r="E573" s="142"/>
      <c r="F573" s="142"/>
      <c r="G573" s="142"/>
      <c r="H573" s="142"/>
      <c r="I573" s="142"/>
    </row>
    <row r="574" customHeight="1" spans="1:9">
      <c r="A574" s="142"/>
      <c r="B574" s="142"/>
      <c r="C574" s="142"/>
      <c r="E574" s="142"/>
      <c r="F574" s="142"/>
      <c r="G574" s="142"/>
      <c r="H574" s="142"/>
      <c r="I574" s="142"/>
    </row>
    <row r="575" customHeight="1" spans="1:9">
      <c r="A575" s="142"/>
      <c r="B575" s="142"/>
      <c r="C575" s="142"/>
      <c r="E575" s="142"/>
      <c r="F575" s="142"/>
      <c r="G575" s="142"/>
      <c r="H575" s="142"/>
      <c r="I575" s="142"/>
    </row>
    <row r="576" customHeight="1" spans="1:9">
      <c r="A576" s="142"/>
      <c r="B576" s="142"/>
      <c r="C576" s="142"/>
      <c r="E576" s="142"/>
      <c r="F576" s="142"/>
      <c r="G576" s="142"/>
      <c r="H576" s="142"/>
      <c r="I576" s="142"/>
    </row>
    <row r="577" customHeight="1" spans="1:9">
      <c r="A577" s="142"/>
      <c r="B577" s="142"/>
      <c r="C577" s="142"/>
      <c r="E577" s="142"/>
      <c r="F577" s="142"/>
      <c r="G577" s="142"/>
      <c r="H577" s="142"/>
      <c r="I577" s="142"/>
    </row>
    <row r="578" customHeight="1" spans="1:9">
      <c r="A578" s="142"/>
      <c r="B578" s="142"/>
      <c r="C578" s="142"/>
      <c r="E578" s="142"/>
      <c r="F578" s="142"/>
      <c r="G578" s="142"/>
      <c r="H578" s="142"/>
      <c r="I578" s="142"/>
    </row>
    <row r="579" customHeight="1" spans="1:9">
      <c r="A579" s="142"/>
      <c r="B579" s="142"/>
      <c r="C579" s="142"/>
      <c r="E579" s="142"/>
      <c r="F579" s="142"/>
      <c r="G579" s="142"/>
      <c r="H579" s="142"/>
      <c r="I579" s="142"/>
    </row>
    <row r="580" customHeight="1" spans="1:9">
      <c r="A580" s="142"/>
      <c r="B580" s="142"/>
      <c r="C580" s="142"/>
      <c r="E580" s="142"/>
      <c r="F580" s="142"/>
      <c r="G580" s="142"/>
      <c r="H580" s="142"/>
      <c r="I580" s="142"/>
    </row>
    <row r="581" customHeight="1" spans="1:9">
      <c r="A581" s="142"/>
      <c r="B581" s="142"/>
      <c r="C581" s="142"/>
      <c r="E581" s="142"/>
      <c r="F581" s="142"/>
      <c r="G581" s="142"/>
      <c r="H581" s="142"/>
      <c r="I581" s="142"/>
    </row>
    <row r="582" customHeight="1" spans="1:9">
      <c r="A582" s="142"/>
      <c r="B582" s="142"/>
      <c r="C582" s="142"/>
      <c r="E582" s="142"/>
      <c r="F582" s="142"/>
      <c r="G582" s="142"/>
      <c r="H582" s="142"/>
      <c r="I582" s="142"/>
    </row>
    <row r="583" customHeight="1" spans="1:9">
      <c r="A583" s="142"/>
      <c r="B583" s="142"/>
      <c r="C583" s="142"/>
      <c r="E583" s="142"/>
      <c r="F583" s="142"/>
      <c r="G583" s="142"/>
      <c r="H583" s="142"/>
      <c r="I583" s="142"/>
    </row>
    <row r="584" customHeight="1" spans="1:9">
      <c r="A584" s="142"/>
      <c r="B584" s="142"/>
      <c r="C584" s="142"/>
      <c r="E584" s="142"/>
      <c r="F584" s="142"/>
      <c r="G584" s="142"/>
      <c r="H584" s="142"/>
      <c r="I584" s="142"/>
    </row>
    <row r="585" customHeight="1" spans="1:9">
      <c r="A585" s="142"/>
      <c r="B585" s="142"/>
      <c r="C585" s="142"/>
      <c r="E585" s="142"/>
      <c r="F585" s="142"/>
      <c r="G585" s="142"/>
      <c r="H585" s="142"/>
      <c r="I585" s="142"/>
    </row>
    <row r="586" customHeight="1" spans="1:9">
      <c r="A586" s="142"/>
      <c r="B586" s="142"/>
      <c r="C586" s="142"/>
      <c r="E586" s="142"/>
      <c r="F586" s="142"/>
      <c r="G586" s="142"/>
      <c r="H586" s="142"/>
      <c r="I586" s="142"/>
    </row>
    <row r="587" customHeight="1" spans="1:9">
      <c r="A587" s="142"/>
      <c r="B587" s="142"/>
      <c r="C587" s="142"/>
      <c r="E587" s="142"/>
      <c r="F587" s="142"/>
      <c r="G587" s="142"/>
      <c r="H587" s="142"/>
      <c r="I587" s="142"/>
    </row>
    <row r="588" customHeight="1" spans="1:9">
      <c r="A588" s="142"/>
      <c r="B588" s="142"/>
      <c r="C588" s="142"/>
      <c r="E588" s="142"/>
      <c r="F588" s="142"/>
      <c r="G588" s="142"/>
      <c r="H588" s="142"/>
      <c r="I588" s="142"/>
    </row>
    <row r="589" customHeight="1" spans="1:9">
      <c r="A589" s="142"/>
      <c r="B589" s="142"/>
      <c r="C589" s="142"/>
      <c r="E589" s="142"/>
      <c r="F589" s="142"/>
      <c r="G589" s="142"/>
      <c r="H589" s="142"/>
      <c r="I589" s="142"/>
    </row>
    <row r="590" customHeight="1" spans="1:9">
      <c r="A590" s="142"/>
      <c r="B590" s="142"/>
      <c r="C590" s="142"/>
      <c r="E590" s="142"/>
      <c r="F590" s="142"/>
      <c r="G590" s="142"/>
      <c r="H590" s="142"/>
      <c r="I590" s="142"/>
    </row>
    <row r="591" customHeight="1" spans="1:9">
      <c r="A591" s="142"/>
      <c r="B591" s="142"/>
      <c r="C591" s="142"/>
      <c r="E591" s="142"/>
      <c r="F591" s="142"/>
      <c r="G591" s="142"/>
      <c r="H591" s="142"/>
      <c r="I591" s="142"/>
    </row>
    <row r="592" customHeight="1" spans="1:9">
      <c r="A592" s="142"/>
      <c r="B592" s="142"/>
      <c r="C592" s="142"/>
      <c r="E592" s="142"/>
      <c r="F592" s="142"/>
      <c r="G592" s="142"/>
      <c r="H592" s="142"/>
      <c r="I592" s="142"/>
    </row>
    <row r="593" customHeight="1" spans="1:9">
      <c r="A593" s="142"/>
      <c r="B593" s="142"/>
      <c r="C593" s="142"/>
      <c r="E593" s="142"/>
      <c r="F593" s="142"/>
      <c r="G593" s="142"/>
      <c r="H593" s="142"/>
      <c r="I593" s="142"/>
    </row>
    <row r="594" customHeight="1" spans="1:9">
      <c r="A594" s="142"/>
      <c r="B594" s="142"/>
      <c r="C594" s="142"/>
      <c r="E594" s="142"/>
      <c r="F594" s="142"/>
      <c r="G594" s="142"/>
      <c r="H594" s="142"/>
      <c r="I594" s="142"/>
    </row>
    <row r="595" customHeight="1" spans="1:9">
      <c r="A595" s="142"/>
      <c r="B595" s="142"/>
      <c r="C595" s="142"/>
      <c r="E595" s="142"/>
      <c r="F595" s="142"/>
      <c r="G595" s="142"/>
      <c r="H595" s="142"/>
      <c r="I595" s="142"/>
    </row>
    <row r="596" customHeight="1" spans="1:9">
      <c r="A596" s="142"/>
      <c r="B596" s="142"/>
      <c r="C596" s="142"/>
      <c r="E596" s="142"/>
      <c r="F596" s="142"/>
      <c r="G596" s="142"/>
      <c r="H596" s="142"/>
      <c r="I596" s="142"/>
    </row>
    <row r="597" customHeight="1" spans="1:9">
      <c r="A597" s="142"/>
      <c r="B597" s="142"/>
      <c r="C597" s="142"/>
      <c r="E597" s="142"/>
      <c r="F597" s="142"/>
      <c r="G597" s="142"/>
      <c r="H597" s="142"/>
      <c r="I597" s="142"/>
    </row>
    <row r="598" customHeight="1" spans="1:9">
      <c r="A598" s="142"/>
      <c r="B598" s="142"/>
      <c r="C598" s="142"/>
      <c r="E598" s="142"/>
      <c r="F598" s="142"/>
      <c r="G598" s="142"/>
      <c r="H598" s="142"/>
      <c r="I598" s="142"/>
    </row>
    <row r="599" customHeight="1" spans="1:9">
      <c r="A599" s="142"/>
      <c r="B599" s="142"/>
      <c r="C599" s="142"/>
      <c r="E599" s="142"/>
      <c r="F599" s="142"/>
      <c r="G599" s="142"/>
      <c r="H599" s="142"/>
      <c r="I599" s="142"/>
    </row>
    <row r="600" customHeight="1" spans="1:9">
      <c r="A600" s="142"/>
      <c r="B600" s="142"/>
      <c r="C600" s="142"/>
      <c r="E600" s="142"/>
      <c r="F600" s="142"/>
      <c r="G600" s="142"/>
      <c r="H600" s="142"/>
      <c r="I600" s="142"/>
    </row>
    <row r="601" customHeight="1" spans="1:9">
      <c r="A601" s="142"/>
      <c r="B601" s="142"/>
      <c r="C601" s="142"/>
      <c r="E601" s="142"/>
      <c r="F601" s="142"/>
      <c r="G601" s="142"/>
      <c r="H601" s="142"/>
      <c r="I601" s="142"/>
    </row>
    <row r="602" customHeight="1" spans="1:9">
      <c r="A602" s="142"/>
      <c r="B602" s="142"/>
      <c r="C602" s="142"/>
      <c r="E602" s="142"/>
      <c r="F602" s="142"/>
      <c r="G602" s="142"/>
      <c r="H602" s="142"/>
      <c r="I602" s="142"/>
    </row>
    <row r="603" customHeight="1" spans="1:9">
      <c r="A603" s="142"/>
      <c r="B603" s="142"/>
      <c r="C603" s="142"/>
      <c r="E603" s="142"/>
      <c r="F603" s="142"/>
      <c r="G603" s="142"/>
      <c r="H603" s="142"/>
      <c r="I603" s="142"/>
    </row>
    <row r="604" customHeight="1" spans="1:9">
      <c r="A604" s="142"/>
      <c r="B604" s="142"/>
      <c r="C604" s="142"/>
      <c r="E604" s="142"/>
      <c r="F604" s="142"/>
      <c r="G604" s="142"/>
      <c r="H604" s="142"/>
      <c r="I604" s="142"/>
    </row>
    <row r="605" customHeight="1" spans="1:9">
      <c r="A605" s="142"/>
      <c r="B605" s="142"/>
      <c r="C605" s="142"/>
      <c r="E605" s="142"/>
      <c r="F605" s="142"/>
      <c r="G605" s="142"/>
      <c r="H605" s="142"/>
      <c r="I605" s="142"/>
    </row>
    <row r="606" customHeight="1" spans="1:9">
      <c r="A606" s="142"/>
      <c r="B606" s="142"/>
      <c r="C606" s="142"/>
      <c r="E606" s="142"/>
      <c r="F606" s="142"/>
      <c r="G606" s="142"/>
      <c r="H606" s="142"/>
      <c r="I606" s="142"/>
    </row>
    <row r="607" customHeight="1" spans="1:9">
      <c r="A607" s="142"/>
      <c r="B607" s="142"/>
      <c r="C607" s="142"/>
      <c r="E607" s="142"/>
      <c r="F607" s="142"/>
      <c r="G607" s="142"/>
      <c r="H607" s="142"/>
      <c r="I607" s="142"/>
    </row>
    <row r="608" customHeight="1" spans="1:9">
      <c r="A608" s="142"/>
      <c r="B608" s="142"/>
      <c r="C608" s="142"/>
      <c r="E608" s="142"/>
      <c r="F608" s="142"/>
      <c r="G608" s="142"/>
      <c r="H608" s="142"/>
      <c r="I608" s="142"/>
    </row>
    <row r="609" customHeight="1" spans="1:9">
      <c r="A609" s="142"/>
      <c r="B609" s="142"/>
      <c r="C609" s="142"/>
      <c r="E609" s="142"/>
      <c r="F609" s="142"/>
      <c r="G609" s="142"/>
      <c r="H609" s="142"/>
      <c r="I609" s="142"/>
    </row>
    <row r="610" customHeight="1" spans="1:9">
      <c r="A610" s="142"/>
      <c r="B610" s="142"/>
      <c r="C610" s="142"/>
      <c r="E610" s="142"/>
      <c r="F610" s="142"/>
      <c r="G610" s="142"/>
      <c r="H610" s="142"/>
      <c r="I610" s="142"/>
    </row>
    <row r="611" customHeight="1" spans="1:9">
      <c r="A611" s="142"/>
      <c r="B611" s="142"/>
      <c r="C611" s="142"/>
      <c r="E611" s="142"/>
      <c r="F611" s="142"/>
      <c r="G611" s="142"/>
      <c r="H611" s="142"/>
      <c r="I611" s="142"/>
    </row>
    <row r="612" customHeight="1" spans="1:9">
      <c r="A612" s="142"/>
      <c r="B612" s="142"/>
      <c r="C612" s="142"/>
      <c r="E612" s="142"/>
      <c r="F612" s="142"/>
      <c r="G612" s="142"/>
      <c r="H612" s="142"/>
      <c r="I612" s="142"/>
    </row>
    <row r="613" customHeight="1" spans="1:9">
      <c r="A613" s="142"/>
      <c r="B613" s="142"/>
      <c r="C613" s="142"/>
      <c r="E613" s="142"/>
      <c r="F613" s="142"/>
      <c r="G613" s="142"/>
      <c r="H613" s="142"/>
      <c r="I613" s="142"/>
    </row>
    <row r="614" customHeight="1" spans="1:9">
      <c r="A614" s="142"/>
      <c r="B614" s="142"/>
      <c r="C614" s="142"/>
      <c r="E614" s="142"/>
      <c r="F614" s="142"/>
      <c r="G614" s="142"/>
      <c r="H614" s="142"/>
      <c r="I614" s="142"/>
    </row>
    <row r="615" customHeight="1" spans="1:9">
      <c r="A615" s="142"/>
      <c r="B615" s="142"/>
      <c r="C615" s="142"/>
      <c r="E615" s="142"/>
      <c r="F615" s="142"/>
      <c r="G615" s="142"/>
      <c r="H615" s="142"/>
      <c r="I615" s="142"/>
    </row>
    <row r="616" customHeight="1" spans="1:9">
      <c r="A616" s="142"/>
      <c r="B616" s="142"/>
      <c r="C616" s="142"/>
      <c r="E616" s="142"/>
      <c r="F616" s="142"/>
      <c r="G616" s="142"/>
      <c r="H616" s="142"/>
      <c r="I616" s="142"/>
    </row>
    <row r="617" customHeight="1" spans="1:9">
      <c r="A617" s="142"/>
      <c r="B617" s="142"/>
      <c r="C617" s="142"/>
      <c r="E617" s="142"/>
      <c r="F617" s="142"/>
      <c r="G617" s="142"/>
      <c r="H617" s="142"/>
      <c r="I617" s="142"/>
    </row>
    <row r="618" customHeight="1" spans="1:9">
      <c r="A618" s="142"/>
      <c r="B618" s="142"/>
      <c r="C618" s="142"/>
      <c r="E618" s="142"/>
      <c r="F618" s="142"/>
      <c r="G618" s="142"/>
      <c r="H618" s="142"/>
      <c r="I618" s="142"/>
    </row>
    <row r="619" customHeight="1" spans="1:9">
      <c r="A619" s="142"/>
      <c r="B619" s="142"/>
      <c r="C619" s="142"/>
      <c r="E619" s="142"/>
      <c r="F619" s="142"/>
      <c r="G619" s="142"/>
      <c r="H619" s="142"/>
      <c r="I619" s="142"/>
    </row>
    <row r="620" customHeight="1" spans="1:9">
      <c r="A620" s="142"/>
      <c r="B620" s="142"/>
      <c r="C620" s="142"/>
      <c r="E620" s="142"/>
      <c r="F620" s="142"/>
      <c r="G620" s="142"/>
      <c r="H620" s="142"/>
      <c r="I620" s="142"/>
    </row>
    <row r="621" customHeight="1" spans="1:9">
      <c r="A621" s="142"/>
      <c r="B621" s="142"/>
      <c r="C621" s="142"/>
      <c r="E621" s="142"/>
      <c r="F621" s="142"/>
      <c r="G621" s="142"/>
      <c r="H621" s="142"/>
      <c r="I621" s="142"/>
    </row>
    <row r="622" customHeight="1" spans="1:9">
      <c r="A622" s="142"/>
      <c r="B622" s="142"/>
      <c r="C622" s="142"/>
      <c r="E622" s="142"/>
      <c r="F622" s="142"/>
      <c r="G622" s="142"/>
      <c r="H622" s="142"/>
      <c r="I622" s="142"/>
    </row>
    <row r="623" customHeight="1" spans="1:9">
      <c r="A623" s="142"/>
      <c r="B623" s="142"/>
      <c r="C623" s="142"/>
      <c r="E623" s="142"/>
      <c r="F623" s="142"/>
      <c r="G623" s="142"/>
      <c r="H623" s="142"/>
      <c r="I623" s="142"/>
    </row>
    <row r="624" customHeight="1" spans="1:9">
      <c r="A624" s="142"/>
      <c r="B624" s="142"/>
      <c r="C624" s="142"/>
      <c r="E624" s="142"/>
      <c r="F624" s="142"/>
      <c r="G624" s="142"/>
      <c r="H624" s="142"/>
      <c r="I624" s="142"/>
    </row>
    <row r="625" customHeight="1" spans="1:9">
      <c r="A625" s="142"/>
      <c r="B625" s="142"/>
      <c r="C625" s="142"/>
      <c r="E625" s="142"/>
      <c r="F625" s="142"/>
      <c r="G625" s="142"/>
      <c r="H625" s="142"/>
      <c r="I625" s="142"/>
    </row>
    <row r="626" customHeight="1" spans="1:9">
      <c r="A626" s="142"/>
      <c r="B626" s="142"/>
      <c r="C626" s="142"/>
      <c r="E626" s="142"/>
      <c r="F626" s="142"/>
      <c r="G626" s="142"/>
      <c r="H626" s="142"/>
      <c r="I626" s="142"/>
    </row>
    <row r="627" customHeight="1" spans="1:9">
      <c r="A627" s="142"/>
      <c r="B627" s="142"/>
      <c r="C627" s="142"/>
      <c r="E627" s="142"/>
      <c r="F627" s="142"/>
      <c r="G627" s="142"/>
      <c r="H627" s="142"/>
      <c r="I627" s="142"/>
    </row>
    <row r="628" customHeight="1" spans="1:9">
      <c r="A628" s="142"/>
      <c r="B628" s="142"/>
      <c r="C628" s="142"/>
      <c r="E628" s="142"/>
      <c r="F628" s="142"/>
      <c r="G628" s="142"/>
      <c r="H628" s="142"/>
      <c r="I628" s="142"/>
    </row>
    <row r="629" customHeight="1" spans="1:9">
      <c r="A629" s="142"/>
      <c r="B629" s="142"/>
      <c r="C629" s="142"/>
      <c r="E629" s="142"/>
      <c r="F629" s="142"/>
      <c r="G629" s="142"/>
      <c r="H629" s="142"/>
      <c r="I629" s="142"/>
    </row>
    <row r="630" customHeight="1" spans="1:9">
      <c r="A630" s="142"/>
      <c r="B630" s="142"/>
      <c r="C630" s="142"/>
      <c r="E630" s="142"/>
      <c r="F630" s="142"/>
      <c r="G630" s="142"/>
      <c r="H630" s="142"/>
      <c r="I630" s="142"/>
    </row>
    <row r="631" customHeight="1" spans="1:9">
      <c r="A631" s="142"/>
      <c r="B631" s="142"/>
      <c r="C631" s="142"/>
      <c r="E631" s="142"/>
      <c r="F631" s="142"/>
      <c r="G631" s="142"/>
      <c r="H631" s="142"/>
      <c r="I631" s="142"/>
    </row>
    <row r="632" customHeight="1" spans="1:9">
      <c r="A632" s="142"/>
      <c r="B632" s="142"/>
      <c r="C632" s="142"/>
      <c r="E632" s="142"/>
      <c r="F632" s="142"/>
      <c r="G632" s="142"/>
      <c r="H632" s="142"/>
      <c r="I632" s="142"/>
    </row>
    <row r="633" customHeight="1" spans="1:9">
      <c r="A633" s="142"/>
      <c r="B633" s="142"/>
      <c r="C633" s="142"/>
      <c r="E633" s="142"/>
      <c r="F633" s="142"/>
      <c r="G633" s="142"/>
      <c r="H633" s="142"/>
      <c r="I633" s="142"/>
    </row>
    <row r="634" customHeight="1" spans="1:9">
      <c r="A634" s="142"/>
      <c r="B634" s="142"/>
      <c r="C634" s="142"/>
      <c r="E634" s="142"/>
      <c r="F634" s="142"/>
      <c r="G634" s="142"/>
      <c r="H634" s="142"/>
      <c r="I634" s="142"/>
    </row>
    <row r="635" customHeight="1" spans="1:9">
      <c r="A635" s="142"/>
      <c r="B635" s="142"/>
      <c r="C635" s="142"/>
      <c r="E635" s="142"/>
      <c r="F635" s="142"/>
      <c r="G635" s="142"/>
      <c r="H635" s="142"/>
      <c r="I635" s="142"/>
    </row>
    <row r="636" customHeight="1" spans="1:9">
      <c r="A636" s="142"/>
      <c r="B636" s="142"/>
      <c r="C636" s="142"/>
      <c r="E636" s="142"/>
      <c r="F636" s="142"/>
      <c r="G636" s="142"/>
      <c r="H636" s="142"/>
      <c r="I636" s="142"/>
    </row>
    <row r="637" customHeight="1" spans="1:9">
      <c r="A637" s="142"/>
      <c r="B637" s="142"/>
      <c r="C637" s="142"/>
      <c r="E637" s="142"/>
      <c r="F637" s="142"/>
      <c r="G637" s="142"/>
      <c r="H637" s="142"/>
      <c r="I637" s="142"/>
    </row>
    <row r="638" customHeight="1" spans="1:9">
      <c r="A638" s="142"/>
      <c r="B638" s="142"/>
      <c r="C638" s="142"/>
      <c r="E638" s="142"/>
      <c r="F638" s="142"/>
      <c r="G638" s="142"/>
      <c r="H638" s="142"/>
      <c r="I638" s="142"/>
    </row>
    <row r="639" customHeight="1" spans="1:9">
      <c r="A639" s="142"/>
      <c r="B639" s="142"/>
      <c r="C639" s="142"/>
      <c r="E639" s="142"/>
      <c r="F639" s="142"/>
      <c r="G639" s="142"/>
      <c r="H639" s="142"/>
      <c r="I639" s="142"/>
    </row>
    <row r="640" customHeight="1" spans="1:9">
      <c r="A640" s="142"/>
      <c r="B640" s="142"/>
      <c r="C640" s="142"/>
      <c r="E640" s="142"/>
      <c r="F640" s="142"/>
      <c r="G640" s="142"/>
      <c r="H640" s="142"/>
      <c r="I640" s="142"/>
    </row>
    <row r="641" customHeight="1" spans="1:9">
      <c r="A641" s="142"/>
      <c r="B641" s="142"/>
      <c r="C641" s="142"/>
      <c r="E641" s="142"/>
      <c r="F641" s="142"/>
      <c r="G641" s="142"/>
      <c r="H641" s="142"/>
      <c r="I641" s="142"/>
    </row>
    <row r="642" customHeight="1" spans="1:9">
      <c r="A642" s="142"/>
      <c r="B642" s="142"/>
      <c r="C642" s="142"/>
      <c r="E642" s="142"/>
      <c r="F642" s="142"/>
      <c r="G642" s="142"/>
      <c r="H642" s="142"/>
      <c r="I642" s="142"/>
    </row>
    <row r="643" customHeight="1" spans="1:9">
      <c r="A643" s="142"/>
      <c r="B643" s="142"/>
      <c r="C643" s="142"/>
      <c r="E643" s="142"/>
      <c r="F643" s="142"/>
      <c r="G643" s="142"/>
      <c r="H643" s="142"/>
      <c r="I643" s="142"/>
    </row>
    <row r="644" customHeight="1" spans="1:9">
      <c r="A644" s="142"/>
      <c r="B644" s="142"/>
      <c r="C644" s="142"/>
      <c r="E644" s="142"/>
      <c r="F644" s="142"/>
      <c r="G644" s="142"/>
      <c r="H644" s="142"/>
      <c r="I644" s="142"/>
    </row>
    <row r="645" customHeight="1" spans="1:9">
      <c r="A645" s="142"/>
      <c r="B645" s="142"/>
      <c r="C645" s="142"/>
      <c r="E645" s="142"/>
      <c r="F645" s="142"/>
      <c r="G645" s="142"/>
      <c r="H645" s="142"/>
      <c r="I645" s="142"/>
    </row>
    <row r="646" customHeight="1" spans="1:9">
      <c r="A646" s="142"/>
      <c r="B646" s="142"/>
      <c r="C646" s="142"/>
      <c r="E646" s="142"/>
      <c r="F646" s="142"/>
      <c r="G646" s="142"/>
      <c r="H646" s="142"/>
      <c r="I646" s="142"/>
    </row>
    <row r="647" customHeight="1" spans="1:9">
      <c r="A647" s="142"/>
      <c r="B647" s="142"/>
      <c r="C647" s="142"/>
      <c r="E647" s="142"/>
      <c r="F647" s="142"/>
      <c r="G647" s="142"/>
      <c r="H647" s="142"/>
      <c r="I647" s="142"/>
    </row>
    <row r="648" customHeight="1" spans="1:9">
      <c r="A648" s="142"/>
      <c r="B648" s="142"/>
      <c r="C648" s="142"/>
      <c r="E648" s="142"/>
      <c r="F648" s="142"/>
      <c r="G648" s="142"/>
      <c r="H648" s="142"/>
      <c r="I648" s="142"/>
    </row>
    <row r="649" customHeight="1" spans="1:9">
      <c r="A649" s="142"/>
      <c r="B649" s="142"/>
      <c r="C649" s="142"/>
      <c r="E649" s="142"/>
      <c r="F649" s="142"/>
      <c r="G649" s="142"/>
      <c r="H649" s="142"/>
      <c r="I649" s="142"/>
    </row>
    <row r="650" customHeight="1" spans="1:9">
      <c r="A650" s="142"/>
      <c r="B650" s="142"/>
      <c r="C650" s="142"/>
      <c r="E650" s="142"/>
      <c r="F650" s="142"/>
      <c r="G650" s="142"/>
      <c r="H650" s="142"/>
      <c r="I650" s="142"/>
    </row>
    <row r="651" customHeight="1" spans="1:9">
      <c r="A651" s="142"/>
      <c r="B651" s="142"/>
      <c r="C651" s="142"/>
      <c r="E651" s="142"/>
      <c r="F651" s="142"/>
      <c r="G651" s="142"/>
      <c r="H651" s="142"/>
      <c r="I651" s="142"/>
    </row>
    <row r="652" customHeight="1" spans="1:9">
      <c r="A652" s="142"/>
      <c r="B652" s="142"/>
      <c r="C652" s="142"/>
      <c r="E652" s="142"/>
      <c r="F652" s="142"/>
      <c r="G652" s="142"/>
      <c r="H652" s="142"/>
      <c r="I652" s="142"/>
    </row>
    <row r="653" customHeight="1" spans="1:9">
      <c r="A653" s="142"/>
      <c r="B653" s="142"/>
      <c r="C653" s="142"/>
      <c r="E653" s="142"/>
      <c r="F653" s="142"/>
      <c r="G653" s="142"/>
      <c r="H653" s="142"/>
      <c r="I653" s="142"/>
    </row>
    <row r="654" customHeight="1" spans="1:9">
      <c r="A654" s="142"/>
      <c r="B654" s="142"/>
      <c r="C654" s="142"/>
      <c r="E654" s="142"/>
      <c r="F654" s="142"/>
      <c r="G654" s="142"/>
      <c r="H654" s="142"/>
      <c r="I654" s="142"/>
    </row>
    <row r="655" customHeight="1" spans="1:9">
      <c r="A655" s="142"/>
      <c r="B655" s="142"/>
      <c r="C655" s="142"/>
      <c r="E655" s="142"/>
      <c r="F655" s="142"/>
      <c r="G655" s="142"/>
      <c r="H655" s="142"/>
      <c r="I655" s="142"/>
    </row>
    <row r="656" customHeight="1" spans="1:9">
      <c r="A656" s="142"/>
      <c r="B656" s="142"/>
      <c r="C656" s="142"/>
      <c r="E656" s="142"/>
      <c r="F656" s="142"/>
      <c r="G656" s="142"/>
      <c r="H656" s="142"/>
      <c r="I656" s="142"/>
    </row>
    <row r="657" customHeight="1" spans="1:9">
      <c r="A657" s="142"/>
      <c r="B657" s="142"/>
      <c r="C657" s="142"/>
      <c r="E657" s="142"/>
      <c r="F657" s="142"/>
      <c r="G657" s="142"/>
      <c r="H657" s="142"/>
      <c r="I657" s="142"/>
    </row>
    <row r="658" customHeight="1" spans="1:9">
      <c r="A658" s="142"/>
      <c r="B658" s="142"/>
      <c r="C658" s="142"/>
      <c r="E658" s="142"/>
      <c r="F658" s="142"/>
      <c r="G658" s="142"/>
      <c r="H658" s="142"/>
      <c r="I658" s="142"/>
    </row>
    <row r="659" customHeight="1" spans="1:9">
      <c r="A659" s="142"/>
      <c r="B659" s="142"/>
      <c r="C659" s="142"/>
      <c r="E659" s="142"/>
      <c r="F659" s="142"/>
      <c r="G659" s="142"/>
      <c r="H659" s="142"/>
      <c r="I659" s="142"/>
    </row>
    <row r="660" customHeight="1" spans="1:9">
      <c r="A660" s="142"/>
      <c r="B660" s="142"/>
      <c r="C660" s="142"/>
      <c r="E660" s="142"/>
      <c r="F660" s="142"/>
      <c r="G660" s="142"/>
      <c r="H660" s="142"/>
      <c r="I660" s="142"/>
    </row>
    <row r="661" customHeight="1" spans="1:9">
      <c r="A661" s="142"/>
      <c r="B661" s="142"/>
      <c r="C661" s="142"/>
      <c r="E661" s="142"/>
      <c r="F661" s="142"/>
      <c r="G661" s="142"/>
      <c r="H661" s="142"/>
      <c r="I661" s="142"/>
    </row>
    <row r="662" customHeight="1" spans="1:9">
      <c r="A662" s="142"/>
      <c r="B662" s="142"/>
      <c r="C662" s="142"/>
      <c r="E662" s="142"/>
      <c r="F662" s="142"/>
      <c r="G662" s="142"/>
      <c r="H662" s="142"/>
      <c r="I662" s="142"/>
    </row>
    <row r="663" customHeight="1" spans="1:9">
      <c r="A663" s="142"/>
      <c r="B663" s="142"/>
      <c r="C663" s="142"/>
      <c r="E663" s="142"/>
      <c r="F663" s="142"/>
      <c r="G663" s="142"/>
      <c r="H663" s="142"/>
      <c r="I663" s="142"/>
    </row>
    <row r="664" customHeight="1" spans="1:9">
      <c r="A664" s="142"/>
      <c r="B664" s="142"/>
      <c r="C664" s="142"/>
      <c r="E664" s="142"/>
      <c r="F664" s="142"/>
      <c r="G664" s="142"/>
      <c r="H664" s="142"/>
      <c r="I664" s="142"/>
    </row>
    <row r="665" customHeight="1" spans="1:9">
      <c r="A665" s="142"/>
      <c r="B665" s="142"/>
      <c r="C665" s="142"/>
      <c r="E665" s="142"/>
      <c r="F665" s="142"/>
      <c r="G665" s="142"/>
      <c r="H665" s="142"/>
      <c r="I665" s="142"/>
    </row>
    <row r="666" customHeight="1" spans="1:9">
      <c r="A666" s="142"/>
      <c r="B666" s="142"/>
      <c r="C666" s="142"/>
      <c r="E666" s="142"/>
      <c r="F666" s="142"/>
      <c r="G666" s="142"/>
      <c r="H666" s="142"/>
      <c r="I666" s="142"/>
    </row>
    <row r="667" customHeight="1" spans="1:9">
      <c r="A667" s="142"/>
      <c r="B667" s="142"/>
      <c r="C667" s="142"/>
      <c r="E667" s="142"/>
      <c r="F667" s="142"/>
      <c r="G667" s="142"/>
      <c r="H667" s="142"/>
      <c r="I667" s="142"/>
    </row>
    <row r="668" customHeight="1" spans="1:9">
      <c r="A668" s="142"/>
      <c r="B668" s="142"/>
      <c r="C668" s="142"/>
      <c r="E668" s="142"/>
      <c r="F668" s="142"/>
      <c r="G668" s="142"/>
      <c r="H668" s="142"/>
      <c r="I668" s="142"/>
    </row>
    <row r="669" customHeight="1" spans="1:9">
      <c r="A669" s="142"/>
      <c r="B669" s="142"/>
      <c r="C669" s="142"/>
      <c r="E669" s="142"/>
      <c r="F669" s="142"/>
      <c r="G669" s="142"/>
      <c r="H669" s="142"/>
      <c r="I669" s="142"/>
    </row>
    <row r="670" customHeight="1" spans="1:9">
      <c r="A670" s="142"/>
      <c r="B670" s="142"/>
      <c r="C670" s="142"/>
      <c r="E670" s="142"/>
      <c r="F670" s="142"/>
      <c r="G670" s="142"/>
      <c r="H670" s="142"/>
      <c r="I670" s="142"/>
    </row>
    <row r="671" customHeight="1" spans="1:9">
      <c r="A671" s="142"/>
      <c r="B671" s="142"/>
      <c r="C671" s="142"/>
      <c r="E671" s="142"/>
      <c r="F671" s="142"/>
      <c r="G671" s="142"/>
      <c r="H671" s="142"/>
      <c r="I671" s="142"/>
    </row>
    <row r="672" customHeight="1" spans="1:9">
      <c r="A672" s="142"/>
      <c r="B672" s="142"/>
      <c r="C672" s="142"/>
      <c r="E672" s="142"/>
      <c r="F672" s="142"/>
      <c r="G672" s="142"/>
      <c r="H672" s="142"/>
      <c r="I672" s="142"/>
    </row>
    <row r="673" customHeight="1" spans="1:9">
      <c r="A673" s="142"/>
      <c r="B673" s="142"/>
      <c r="C673" s="142"/>
      <c r="E673" s="142"/>
      <c r="F673" s="142"/>
      <c r="G673" s="142"/>
      <c r="H673" s="142"/>
      <c r="I673" s="142"/>
    </row>
    <row r="674" customHeight="1" spans="1:9">
      <c r="A674" s="142"/>
      <c r="B674" s="142"/>
      <c r="C674" s="142"/>
      <c r="E674" s="142"/>
      <c r="F674" s="142"/>
      <c r="G674" s="142"/>
      <c r="H674" s="142"/>
      <c r="I674" s="142"/>
    </row>
    <row r="675" customHeight="1" spans="1:9">
      <c r="A675" s="142"/>
      <c r="B675" s="142"/>
      <c r="C675" s="142"/>
      <c r="E675" s="142"/>
      <c r="F675" s="142"/>
      <c r="G675" s="142"/>
      <c r="H675" s="142"/>
      <c r="I675" s="142"/>
    </row>
    <row r="676" customHeight="1" spans="1:9">
      <c r="A676" s="142"/>
      <c r="B676" s="142"/>
      <c r="C676" s="142"/>
      <c r="E676" s="142"/>
      <c r="F676" s="142"/>
      <c r="G676" s="142"/>
      <c r="H676" s="142"/>
      <c r="I676" s="142"/>
    </row>
    <row r="677" customHeight="1" spans="1:9">
      <c r="A677" s="142"/>
      <c r="B677" s="142"/>
      <c r="C677" s="142"/>
      <c r="E677" s="142"/>
      <c r="F677" s="142"/>
      <c r="G677" s="142"/>
      <c r="H677" s="142"/>
      <c r="I677" s="142"/>
    </row>
    <row r="678" customHeight="1" spans="1:9">
      <c r="A678" s="142"/>
      <c r="B678" s="142"/>
      <c r="C678" s="142"/>
      <c r="E678" s="142"/>
      <c r="F678" s="142"/>
      <c r="G678" s="142"/>
      <c r="H678" s="142"/>
      <c r="I678" s="142"/>
    </row>
    <row r="679" customHeight="1" spans="1:9">
      <c r="A679" s="142"/>
      <c r="B679" s="142"/>
      <c r="C679" s="142"/>
      <c r="E679" s="142"/>
      <c r="F679" s="142"/>
      <c r="G679" s="142"/>
      <c r="H679" s="142"/>
      <c r="I679" s="142"/>
    </row>
    <row r="680" customHeight="1" spans="1:9">
      <c r="A680" s="142"/>
      <c r="B680" s="142"/>
      <c r="C680" s="142"/>
      <c r="E680" s="142"/>
      <c r="F680" s="142"/>
      <c r="G680" s="142"/>
      <c r="H680" s="142"/>
      <c r="I680" s="142"/>
    </row>
    <row r="681" customHeight="1" spans="1:9">
      <c r="A681" s="142"/>
      <c r="B681" s="142"/>
      <c r="C681" s="142"/>
      <c r="E681" s="142"/>
      <c r="F681" s="142"/>
      <c r="G681" s="142"/>
      <c r="H681" s="142"/>
      <c r="I681" s="142"/>
    </row>
    <row r="682" customHeight="1" spans="1:9">
      <c r="A682" s="142"/>
      <c r="B682" s="142"/>
      <c r="C682" s="142"/>
      <c r="E682" s="142"/>
      <c r="F682" s="142"/>
      <c r="G682" s="142"/>
      <c r="H682" s="142"/>
      <c r="I682" s="142"/>
    </row>
    <row r="683" customHeight="1" spans="1:9">
      <c r="A683" s="142"/>
      <c r="B683" s="142"/>
      <c r="C683" s="142"/>
      <c r="E683" s="142"/>
      <c r="F683" s="142"/>
      <c r="G683" s="142"/>
      <c r="H683" s="142"/>
      <c r="I683" s="142"/>
    </row>
    <row r="684" customHeight="1" spans="1:9">
      <c r="A684" s="142"/>
      <c r="B684" s="142"/>
      <c r="C684" s="142"/>
      <c r="E684" s="142"/>
      <c r="F684" s="142"/>
      <c r="G684" s="142"/>
      <c r="H684" s="142"/>
      <c r="I684" s="142"/>
    </row>
    <row r="685" customHeight="1" spans="1:9">
      <c r="A685" s="142"/>
      <c r="B685" s="142"/>
      <c r="C685" s="142"/>
      <c r="E685" s="142"/>
      <c r="F685" s="142"/>
      <c r="G685" s="142"/>
      <c r="H685" s="142"/>
      <c r="I685" s="142"/>
    </row>
    <row r="686" customHeight="1" spans="1:9">
      <c r="A686" s="142"/>
      <c r="B686" s="142"/>
      <c r="C686" s="142"/>
      <c r="E686" s="142"/>
      <c r="F686" s="142"/>
      <c r="G686" s="142"/>
      <c r="H686" s="142"/>
      <c r="I686" s="142"/>
    </row>
    <row r="687" customHeight="1" spans="1:9">
      <c r="A687" s="142"/>
      <c r="B687" s="142"/>
      <c r="C687" s="142"/>
      <c r="E687" s="142"/>
      <c r="F687" s="142"/>
      <c r="G687" s="142"/>
      <c r="H687" s="142"/>
      <c r="I687" s="142"/>
    </row>
    <row r="688" customHeight="1" spans="1:9">
      <c r="A688" s="142"/>
      <c r="B688" s="142"/>
      <c r="C688" s="142"/>
      <c r="E688" s="142"/>
      <c r="F688" s="142"/>
      <c r="G688" s="142"/>
      <c r="H688" s="142"/>
      <c r="I688" s="142"/>
    </row>
    <row r="689" customHeight="1" spans="1:9">
      <c r="A689" s="142"/>
      <c r="B689" s="142"/>
      <c r="C689" s="142"/>
      <c r="E689" s="142"/>
      <c r="F689" s="142"/>
      <c r="G689" s="142"/>
      <c r="H689" s="142"/>
      <c r="I689" s="142"/>
    </row>
    <row r="690" customHeight="1" spans="1:9">
      <c r="A690" s="142"/>
      <c r="B690" s="142"/>
      <c r="C690" s="142"/>
      <c r="E690" s="142"/>
      <c r="F690" s="142"/>
      <c r="G690" s="142"/>
      <c r="H690" s="142"/>
      <c r="I690" s="142"/>
    </row>
    <row r="691" customHeight="1" spans="1:9">
      <c r="A691" s="142"/>
      <c r="B691" s="142"/>
      <c r="C691" s="142"/>
      <c r="E691" s="142"/>
      <c r="F691" s="142"/>
      <c r="G691" s="142"/>
      <c r="H691" s="142"/>
      <c r="I691" s="142"/>
    </row>
    <row r="692" customHeight="1" spans="1:9">
      <c r="A692" s="142"/>
      <c r="B692" s="142"/>
      <c r="C692" s="142"/>
      <c r="E692" s="142"/>
      <c r="F692" s="142"/>
      <c r="G692" s="142"/>
      <c r="H692" s="142"/>
      <c r="I692" s="142"/>
    </row>
    <row r="693" customHeight="1" spans="1:9">
      <c r="A693" s="142"/>
      <c r="B693" s="142"/>
      <c r="C693" s="142"/>
      <c r="E693" s="142"/>
      <c r="F693" s="142"/>
      <c r="G693" s="142"/>
      <c r="H693" s="142"/>
      <c r="I693" s="142"/>
    </row>
    <row r="694" customHeight="1" spans="1:9">
      <c r="A694" s="142"/>
      <c r="B694" s="142"/>
      <c r="C694" s="142"/>
      <c r="E694" s="142"/>
      <c r="F694" s="142"/>
      <c r="G694" s="142"/>
      <c r="H694" s="142"/>
      <c r="I694" s="142"/>
    </row>
    <row r="695" customHeight="1" spans="1:9">
      <c r="A695" s="142"/>
      <c r="B695" s="142"/>
      <c r="C695" s="142"/>
      <c r="E695" s="142"/>
      <c r="F695" s="142"/>
      <c r="G695" s="142"/>
      <c r="H695" s="142"/>
      <c r="I695" s="142"/>
    </row>
    <row r="696" customHeight="1" spans="1:9">
      <c r="A696" s="142"/>
      <c r="B696" s="142"/>
      <c r="C696" s="142"/>
      <c r="E696" s="142"/>
      <c r="F696" s="142"/>
      <c r="G696" s="142"/>
      <c r="H696" s="142"/>
      <c r="I696" s="142"/>
    </row>
    <row r="697" customHeight="1" spans="1:9">
      <c r="A697" s="142"/>
      <c r="B697" s="142"/>
      <c r="C697" s="142"/>
      <c r="E697" s="142"/>
      <c r="F697" s="142"/>
      <c r="G697" s="142"/>
      <c r="H697" s="142"/>
      <c r="I697" s="142"/>
    </row>
    <row r="698" customHeight="1" spans="1:9">
      <c r="A698" s="142"/>
      <c r="B698" s="142"/>
      <c r="C698" s="142"/>
      <c r="E698" s="142"/>
      <c r="F698" s="142"/>
      <c r="G698" s="142"/>
      <c r="H698" s="142"/>
      <c r="I698" s="142"/>
    </row>
    <row r="699" customHeight="1" spans="1:9">
      <c r="A699" s="142"/>
      <c r="B699" s="142"/>
      <c r="C699" s="142"/>
      <c r="E699" s="142"/>
      <c r="F699" s="142"/>
      <c r="G699" s="142"/>
      <c r="H699" s="142"/>
      <c r="I699" s="142"/>
    </row>
    <row r="700" customHeight="1" spans="1:9">
      <c r="A700" s="142"/>
      <c r="B700" s="142"/>
      <c r="C700" s="142"/>
      <c r="E700" s="142"/>
      <c r="F700" s="142"/>
      <c r="G700" s="142"/>
      <c r="H700" s="142"/>
      <c r="I700" s="142"/>
    </row>
    <row r="701" customHeight="1" spans="1:9">
      <c r="A701" s="142"/>
      <c r="B701" s="142"/>
      <c r="C701" s="142"/>
      <c r="E701" s="142"/>
      <c r="F701" s="142"/>
      <c r="G701" s="142"/>
      <c r="H701" s="142"/>
      <c r="I701" s="142"/>
    </row>
    <row r="702" customHeight="1" spans="1:9">
      <c r="A702" s="142"/>
      <c r="B702" s="142"/>
      <c r="C702" s="142"/>
      <c r="E702" s="142"/>
      <c r="F702" s="142"/>
      <c r="G702" s="142"/>
      <c r="H702" s="142"/>
      <c r="I702" s="142"/>
    </row>
    <row r="703" customHeight="1" spans="1:9">
      <c r="A703" s="142"/>
      <c r="B703" s="142"/>
      <c r="C703" s="142"/>
      <c r="E703" s="142"/>
      <c r="F703" s="142"/>
      <c r="G703" s="142"/>
      <c r="H703" s="142"/>
      <c r="I703" s="142"/>
    </row>
    <row r="704" customHeight="1" spans="1:9">
      <c r="A704" s="142"/>
      <c r="B704" s="142"/>
      <c r="C704" s="142"/>
      <c r="E704" s="142"/>
      <c r="F704" s="142"/>
      <c r="G704" s="142"/>
      <c r="H704" s="142"/>
      <c r="I704" s="142"/>
    </row>
    <row r="705" customHeight="1" spans="1:9">
      <c r="A705" s="142"/>
      <c r="B705" s="142"/>
      <c r="C705" s="142"/>
      <c r="E705" s="142"/>
      <c r="F705" s="142"/>
      <c r="G705" s="142"/>
      <c r="H705" s="142"/>
      <c r="I705" s="142"/>
    </row>
    <row r="706" customHeight="1" spans="1:9">
      <c r="A706" s="142"/>
      <c r="B706" s="142"/>
      <c r="C706" s="142"/>
      <c r="E706" s="142"/>
      <c r="F706" s="142"/>
      <c r="G706" s="142"/>
      <c r="H706" s="142"/>
      <c r="I706" s="142"/>
    </row>
    <row r="707" customHeight="1" spans="1:9">
      <c r="A707" s="142"/>
      <c r="B707" s="142"/>
      <c r="C707" s="142"/>
      <c r="E707" s="142"/>
      <c r="F707" s="142"/>
      <c r="G707" s="142"/>
      <c r="H707" s="142"/>
      <c r="I707" s="142"/>
    </row>
    <row r="708" customHeight="1" spans="1:9">
      <c r="A708" s="142"/>
      <c r="B708" s="142"/>
      <c r="C708" s="142"/>
      <c r="E708" s="142"/>
      <c r="F708" s="142"/>
      <c r="G708" s="142"/>
      <c r="H708" s="142"/>
      <c r="I708" s="142"/>
    </row>
    <row r="709" customHeight="1" spans="1:9">
      <c r="A709" s="142"/>
      <c r="B709" s="142"/>
      <c r="C709" s="142"/>
      <c r="E709" s="142"/>
      <c r="F709" s="142"/>
      <c r="G709" s="142"/>
      <c r="H709" s="142"/>
      <c r="I709" s="142"/>
    </row>
    <row r="710" customHeight="1" spans="1:9">
      <c r="A710" s="142"/>
      <c r="B710" s="142"/>
      <c r="C710" s="142"/>
      <c r="E710" s="142"/>
      <c r="F710" s="142"/>
      <c r="G710" s="142"/>
      <c r="H710" s="142"/>
      <c r="I710" s="142"/>
    </row>
    <row r="711" customHeight="1" spans="1:9">
      <c r="A711" s="142"/>
      <c r="B711" s="142"/>
      <c r="C711" s="142"/>
      <c r="E711" s="142"/>
      <c r="F711" s="142"/>
      <c r="G711" s="142"/>
      <c r="H711" s="142"/>
      <c r="I711" s="142"/>
    </row>
    <row r="712" customHeight="1" spans="1:9">
      <c r="A712" s="142"/>
      <c r="B712" s="142"/>
      <c r="C712" s="142"/>
      <c r="E712" s="142"/>
      <c r="F712" s="142"/>
      <c r="G712" s="142"/>
      <c r="H712" s="142"/>
      <c r="I712" s="142"/>
    </row>
    <row r="713" customHeight="1" spans="1:9">
      <c r="A713" s="142"/>
      <c r="B713" s="142"/>
      <c r="C713" s="142"/>
      <c r="E713" s="142"/>
      <c r="F713" s="142"/>
      <c r="G713" s="142"/>
      <c r="H713" s="142"/>
      <c r="I713" s="142"/>
    </row>
    <row r="714" customHeight="1" spans="1:9">
      <c r="A714" s="142"/>
      <c r="B714" s="142"/>
      <c r="C714" s="142"/>
      <c r="E714" s="142"/>
      <c r="F714" s="142"/>
      <c r="G714" s="142"/>
      <c r="H714" s="142"/>
      <c r="I714" s="142"/>
    </row>
    <row r="715" customHeight="1" spans="1:9">
      <c r="A715" s="142"/>
      <c r="B715" s="142"/>
      <c r="C715" s="142"/>
      <c r="E715" s="142"/>
      <c r="F715" s="142"/>
      <c r="G715" s="142"/>
      <c r="H715" s="142"/>
      <c r="I715" s="142"/>
    </row>
    <row r="716" customHeight="1" spans="1:9">
      <c r="A716" s="142"/>
      <c r="B716" s="142"/>
      <c r="C716" s="142"/>
      <c r="E716" s="142"/>
      <c r="F716" s="142"/>
      <c r="G716" s="142"/>
      <c r="H716" s="142"/>
      <c r="I716" s="142"/>
    </row>
    <row r="717" customHeight="1" spans="1:9">
      <c r="A717" s="142"/>
      <c r="B717" s="142"/>
      <c r="C717" s="142"/>
      <c r="E717" s="142"/>
      <c r="F717" s="142"/>
      <c r="G717" s="142"/>
      <c r="H717" s="142"/>
      <c r="I717" s="142"/>
    </row>
    <row r="718" customHeight="1" spans="1:9">
      <c r="A718" s="142"/>
      <c r="B718" s="142"/>
      <c r="C718" s="142"/>
      <c r="E718" s="142"/>
      <c r="F718" s="142"/>
      <c r="G718" s="142"/>
      <c r="H718" s="142"/>
      <c r="I718" s="142"/>
    </row>
    <row r="719" customHeight="1" spans="1:9">
      <c r="A719" s="142"/>
      <c r="B719" s="142"/>
      <c r="C719" s="142"/>
      <c r="E719" s="142"/>
      <c r="F719" s="142"/>
      <c r="G719" s="142"/>
      <c r="H719" s="142"/>
      <c r="I719" s="142"/>
    </row>
    <row r="720" customHeight="1" spans="1:9">
      <c r="A720" s="142"/>
      <c r="B720" s="142"/>
      <c r="C720" s="142"/>
      <c r="E720" s="142"/>
      <c r="F720" s="142"/>
      <c r="G720" s="142"/>
      <c r="H720" s="142"/>
      <c r="I720" s="142"/>
    </row>
    <row r="721" customHeight="1" spans="1:9">
      <c r="A721" s="142"/>
      <c r="B721" s="142"/>
      <c r="C721" s="142"/>
      <c r="E721" s="142"/>
      <c r="F721" s="142"/>
      <c r="G721" s="142"/>
      <c r="H721" s="142"/>
      <c r="I721" s="142"/>
    </row>
    <row r="722" customHeight="1" spans="1:9">
      <c r="A722" s="142"/>
      <c r="B722" s="142"/>
      <c r="C722" s="142"/>
      <c r="E722" s="142"/>
      <c r="F722" s="142"/>
      <c r="G722" s="142"/>
      <c r="H722" s="142"/>
      <c r="I722" s="142"/>
    </row>
    <row r="723" customHeight="1" spans="1:9">
      <c r="A723" s="142"/>
      <c r="B723" s="142"/>
      <c r="C723" s="142"/>
      <c r="E723" s="142"/>
      <c r="F723" s="142"/>
      <c r="G723" s="142"/>
      <c r="H723" s="142"/>
      <c r="I723" s="142"/>
    </row>
    <row r="724" customHeight="1" spans="1:9">
      <c r="A724" s="142"/>
      <c r="B724" s="142"/>
      <c r="C724" s="142"/>
      <c r="E724" s="142"/>
      <c r="F724" s="142"/>
      <c r="G724" s="142"/>
      <c r="H724" s="142"/>
      <c r="I724" s="142"/>
    </row>
    <row r="725" customHeight="1" spans="1:9">
      <c r="A725" s="142"/>
      <c r="B725" s="142"/>
      <c r="C725" s="142"/>
      <c r="E725" s="142"/>
      <c r="F725" s="142"/>
      <c r="G725" s="142"/>
      <c r="H725" s="142"/>
      <c r="I725" s="142"/>
    </row>
    <row r="726" customHeight="1" spans="1:9">
      <c r="A726" s="142"/>
      <c r="B726" s="142"/>
      <c r="C726" s="142"/>
      <c r="E726" s="142"/>
      <c r="F726" s="142"/>
      <c r="G726" s="142"/>
      <c r="H726" s="142"/>
      <c r="I726" s="142"/>
    </row>
    <row r="727" customHeight="1" spans="1:9">
      <c r="A727" s="142"/>
      <c r="B727" s="142"/>
      <c r="C727" s="142"/>
      <c r="E727" s="142"/>
      <c r="F727" s="142"/>
      <c r="G727" s="142"/>
      <c r="H727" s="142"/>
      <c r="I727" s="142"/>
    </row>
    <row r="728" customHeight="1" spans="1:9">
      <c r="A728" s="142"/>
      <c r="B728" s="142"/>
      <c r="C728" s="142"/>
      <c r="E728" s="142"/>
      <c r="F728" s="142"/>
      <c r="G728" s="142"/>
      <c r="H728" s="142"/>
      <c r="I728" s="142"/>
    </row>
    <row r="729" customHeight="1" spans="1:9">
      <c r="A729" s="142"/>
      <c r="B729" s="142"/>
      <c r="C729" s="142"/>
      <c r="E729" s="142"/>
      <c r="F729" s="142"/>
      <c r="G729" s="142"/>
      <c r="H729" s="142"/>
      <c r="I729" s="142"/>
    </row>
    <row r="730" customHeight="1" spans="1:9">
      <c r="A730" s="142"/>
      <c r="B730" s="142"/>
      <c r="C730" s="142"/>
      <c r="E730" s="142"/>
      <c r="F730" s="142"/>
      <c r="G730" s="142"/>
      <c r="H730" s="142"/>
      <c r="I730" s="142"/>
    </row>
    <row r="731" customHeight="1" spans="1:9">
      <c r="A731" s="142"/>
      <c r="B731" s="142"/>
      <c r="C731" s="142"/>
      <c r="E731" s="142"/>
      <c r="F731" s="142"/>
      <c r="G731" s="142"/>
      <c r="H731" s="142"/>
      <c r="I731" s="142"/>
    </row>
    <row r="732" customHeight="1" spans="1:9">
      <c r="A732" s="142"/>
      <c r="B732" s="142"/>
      <c r="C732" s="142"/>
      <c r="E732" s="142"/>
      <c r="F732" s="142"/>
      <c r="G732" s="142"/>
      <c r="H732" s="142"/>
      <c r="I732" s="142"/>
    </row>
    <row r="733" customHeight="1" spans="1:9">
      <c r="A733" s="142"/>
      <c r="B733" s="142"/>
      <c r="C733" s="142"/>
      <c r="E733" s="142"/>
      <c r="F733" s="142"/>
      <c r="G733" s="142"/>
      <c r="H733" s="142"/>
      <c r="I733" s="142"/>
    </row>
    <row r="734" customHeight="1" spans="1:9">
      <c r="A734" s="142"/>
      <c r="B734" s="142"/>
      <c r="C734" s="142"/>
      <c r="E734" s="142"/>
      <c r="F734" s="142"/>
      <c r="G734" s="142"/>
      <c r="H734" s="142"/>
      <c r="I734" s="142"/>
    </row>
    <row r="735" customHeight="1" spans="1:9">
      <c r="A735" s="142"/>
      <c r="B735" s="142"/>
      <c r="C735" s="142"/>
      <c r="E735" s="142"/>
      <c r="F735" s="142"/>
      <c r="G735" s="142"/>
      <c r="H735" s="142"/>
      <c r="I735" s="142"/>
    </row>
    <row r="736" customHeight="1" spans="1:9">
      <c r="A736" s="142"/>
      <c r="B736" s="142"/>
      <c r="C736" s="142"/>
      <c r="E736" s="142"/>
      <c r="F736" s="142"/>
      <c r="G736" s="142"/>
      <c r="H736" s="142"/>
      <c r="I736" s="142"/>
    </row>
    <row r="737" customHeight="1" spans="1:9">
      <c r="A737" s="142"/>
      <c r="B737" s="142"/>
      <c r="C737" s="142"/>
      <c r="E737" s="142"/>
      <c r="F737" s="142"/>
      <c r="G737" s="142"/>
      <c r="H737" s="142"/>
      <c r="I737" s="142"/>
    </row>
    <row r="738" customHeight="1" spans="1:9">
      <c r="A738" s="142"/>
      <c r="B738" s="142"/>
      <c r="C738" s="142"/>
      <c r="E738" s="142"/>
      <c r="F738" s="142"/>
      <c r="G738" s="142"/>
      <c r="H738" s="142"/>
      <c r="I738" s="142"/>
    </row>
    <row r="739" customHeight="1" spans="1:9">
      <c r="A739" s="142"/>
      <c r="B739" s="142"/>
      <c r="C739" s="142"/>
      <c r="E739" s="142"/>
      <c r="F739" s="142"/>
      <c r="G739" s="142"/>
      <c r="H739" s="142"/>
      <c r="I739" s="142"/>
    </row>
    <row r="740" customHeight="1" spans="1:9">
      <c r="A740" s="142"/>
      <c r="B740" s="142"/>
      <c r="C740" s="142"/>
      <c r="E740" s="142"/>
      <c r="F740" s="142"/>
      <c r="G740" s="142"/>
      <c r="H740" s="142"/>
      <c r="I740" s="142"/>
    </row>
    <row r="741" customHeight="1" spans="1:9">
      <c r="A741" s="142"/>
      <c r="B741" s="142"/>
      <c r="C741" s="142"/>
      <c r="E741" s="142"/>
      <c r="F741" s="142"/>
      <c r="G741" s="142"/>
      <c r="H741" s="142"/>
      <c r="I741" s="142"/>
    </row>
    <row r="742" customHeight="1" spans="1:9">
      <c r="A742" s="142"/>
      <c r="B742" s="142"/>
      <c r="C742" s="142"/>
      <c r="E742" s="142"/>
      <c r="F742" s="142"/>
      <c r="G742" s="142"/>
      <c r="H742" s="142"/>
      <c r="I742" s="142"/>
    </row>
    <row r="743" customHeight="1" spans="1:9">
      <c r="A743" s="142"/>
      <c r="B743" s="142"/>
      <c r="C743" s="142"/>
      <c r="E743" s="142"/>
      <c r="F743" s="142"/>
      <c r="G743" s="142"/>
      <c r="H743" s="142"/>
      <c r="I743" s="142"/>
    </row>
    <row r="744" customHeight="1" spans="1:9">
      <c r="A744" s="142"/>
      <c r="B744" s="142"/>
      <c r="C744" s="142"/>
      <c r="E744" s="142"/>
      <c r="F744" s="142"/>
      <c r="G744" s="142"/>
      <c r="H744" s="142"/>
      <c r="I744" s="142"/>
    </row>
    <row r="745" customHeight="1" spans="1:9">
      <c r="A745" s="142"/>
      <c r="B745" s="142"/>
      <c r="C745" s="142"/>
      <c r="E745" s="142"/>
      <c r="F745" s="142"/>
      <c r="G745" s="142"/>
      <c r="H745" s="142"/>
      <c r="I745" s="142"/>
    </row>
    <row r="746" customHeight="1" spans="1:9">
      <c r="A746" s="142"/>
      <c r="B746" s="142"/>
      <c r="C746" s="142"/>
      <c r="E746" s="142"/>
      <c r="F746" s="142"/>
      <c r="G746" s="142"/>
      <c r="H746" s="142"/>
      <c r="I746" s="142"/>
    </row>
    <row r="747" customHeight="1" spans="1:9">
      <c r="A747" s="142"/>
      <c r="B747" s="142"/>
      <c r="C747" s="142"/>
      <c r="E747" s="142"/>
      <c r="F747" s="142"/>
      <c r="G747" s="142"/>
      <c r="H747" s="142"/>
      <c r="I747" s="142"/>
    </row>
    <row r="748" customHeight="1" spans="1:9">
      <c r="A748" s="142"/>
      <c r="B748" s="142"/>
      <c r="C748" s="142"/>
      <c r="E748" s="142"/>
      <c r="F748" s="142"/>
      <c r="G748" s="142"/>
      <c r="H748" s="142"/>
      <c r="I748" s="142"/>
    </row>
    <row r="749" customHeight="1" spans="1:9">
      <c r="A749" s="142"/>
      <c r="B749" s="142"/>
      <c r="C749" s="142"/>
      <c r="E749" s="142"/>
      <c r="F749" s="142"/>
      <c r="G749" s="142"/>
      <c r="H749" s="142"/>
      <c r="I749" s="142"/>
    </row>
    <row r="750" customHeight="1" spans="1:9">
      <c r="A750" s="142"/>
      <c r="B750" s="142"/>
      <c r="C750" s="142"/>
      <c r="E750" s="142"/>
      <c r="F750" s="142"/>
      <c r="G750" s="142"/>
      <c r="H750" s="142"/>
      <c r="I750" s="142"/>
    </row>
    <row r="751" customHeight="1" spans="1:9">
      <c r="A751" s="142"/>
      <c r="B751" s="142"/>
      <c r="C751" s="142"/>
      <c r="E751" s="142"/>
      <c r="F751" s="142"/>
      <c r="G751" s="142"/>
      <c r="H751" s="142"/>
      <c r="I751" s="142"/>
    </row>
    <row r="752" customHeight="1" spans="1:9">
      <c r="A752" s="142"/>
      <c r="B752" s="142"/>
      <c r="C752" s="142"/>
      <c r="E752" s="142"/>
      <c r="F752" s="142"/>
      <c r="G752" s="142"/>
      <c r="H752" s="142"/>
      <c r="I752" s="142"/>
    </row>
    <row r="753" customHeight="1" spans="1:9">
      <c r="A753" s="142"/>
      <c r="B753" s="142"/>
      <c r="C753" s="142"/>
      <c r="E753" s="142"/>
      <c r="F753" s="142"/>
      <c r="G753" s="142"/>
      <c r="H753" s="142"/>
      <c r="I753" s="142"/>
    </row>
    <row r="754" customHeight="1" spans="1:9">
      <c r="A754" s="142"/>
      <c r="B754" s="142"/>
      <c r="C754" s="142"/>
      <c r="E754" s="142"/>
      <c r="F754" s="142"/>
      <c r="G754" s="142"/>
      <c r="H754" s="142"/>
      <c r="I754" s="142"/>
    </row>
    <row r="755" customHeight="1" spans="1:9">
      <c r="A755" s="142"/>
      <c r="B755" s="142"/>
      <c r="C755" s="142"/>
      <c r="E755" s="142"/>
      <c r="F755" s="142"/>
      <c r="G755" s="142"/>
      <c r="H755" s="142"/>
      <c r="I755" s="142"/>
    </row>
    <row r="756" customHeight="1" spans="1:9">
      <c r="A756" s="142"/>
      <c r="B756" s="142"/>
      <c r="C756" s="142"/>
      <c r="E756" s="142"/>
      <c r="F756" s="142"/>
      <c r="G756" s="142"/>
      <c r="H756" s="142"/>
      <c r="I756" s="142"/>
    </row>
    <row r="757" customHeight="1" spans="1:9">
      <c r="A757" s="142"/>
      <c r="B757" s="142"/>
      <c r="C757" s="142"/>
      <c r="E757" s="142"/>
      <c r="F757" s="142"/>
      <c r="G757" s="142"/>
      <c r="H757" s="142"/>
      <c r="I757" s="142"/>
    </row>
    <row r="758" customHeight="1" spans="1:9">
      <c r="A758" s="142"/>
      <c r="B758" s="142"/>
      <c r="C758" s="142"/>
      <c r="E758" s="142"/>
      <c r="F758" s="142"/>
      <c r="G758" s="142"/>
      <c r="H758" s="142"/>
      <c r="I758" s="142"/>
    </row>
    <row r="759" customHeight="1" spans="1:9">
      <c r="A759" s="142"/>
      <c r="B759" s="142"/>
      <c r="C759" s="142"/>
      <c r="E759" s="142"/>
      <c r="F759" s="142"/>
      <c r="G759" s="142"/>
      <c r="H759" s="142"/>
      <c r="I759" s="142"/>
    </row>
    <row r="760" customHeight="1" spans="1:9">
      <c r="A760" s="142"/>
      <c r="B760" s="142"/>
      <c r="C760" s="142"/>
      <c r="E760" s="142"/>
      <c r="F760" s="142"/>
      <c r="G760" s="142"/>
      <c r="H760" s="142"/>
      <c r="I760" s="142"/>
    </row>
    <row r="761" customHeight="1" spans="1:9">
      <c r="A761" s="142"/>
      <c r="B761" s="142"/>
      <c r="C761" s="142"/>
      <c r="E761" s="142"/>
      <c r="F761" s="142"/>
      <c r="G761" s="142"/>
      <c r="H761" s="142"/>
      <c r="I761" s="142"/>
    </row>
    <row r="762" customHeight="1" spans="1:9">
      <c r="A762" s="142"/>
      <c r="B762" s="142"/>
      <c r="C762" s="142"/>
      <c r="E762" s="142"/>
      <c r="F762" s="142"/>
      <c r="G762" s="142"/>
      <c r="H762" s="142"/>
      <c r="I762" s="142"/>
    </row>
    <row r="763" customHeight="1" spans="1:9">
      <c r="A763" s="142"/>
      <c r="B763" s="142"/>
      <c r="C763" s="142"/>
      <c r="E763" s="142"/>
      <c r="F763" s="142"/>
      <c r="G763" s="142"/>
      <c r="H763" s="142"/>
      <c r="I763" s="142"/>
    </row>
    <row r="764" customHeight="1" spans="1:9">
      <c r="A764" s="142"/>
      <c r="B764" s="142"/>
      <c r="C764" s="142"/>
      <c r="E764" s="142"/>
      <c r="F764" s="142"/>
      <c r="G764" s="142"/>
      <c r="H764" s="142"/>
      <c r="I764" s="142"/>
    </row>
    <row r="765" customHeight="1" spans="1:9">
      <c r="A765" s="142"/>
      <c r="B765" s="142"/>
      <c r="C765" s="142"/>
      <c r="E765" s="142"/>
      <c r="F765" s="142"/>
      <c r="G765" s="142"/>
      <c r="H765" s="142"/>
      <c r="I765" s="142"/>
    </row>
    <row r="766" customHeight="1" spans="1:9">
      <c r="A766" s="142"/>
      <c r="B766" s="142"/>
      <c r="C766" s="142"/>
      <c r="E766" s="142"/>
      <c r="F766" s="142"/>
      <c r="G766" s="142"/>
      <c r="H766" s="142"/>
      <c r="I766" s="142"/>
    </row>
    <row r="767" customHeight="1" spans="1:9">
      <c r="A767" s="142"/>
      <c r="B767" s="142"/>
      <c r="C767" s="142"/>
      <c r="E767" s="142"/>
      <c r="F767" s="142"/>
      <c r="G767" s="142"/>
      <c r="H767" s="142"/>
      <c r="I767" s="142"/>
    </row>
    <row r="768" customHeight="1" spans="1:9">
      <c r="A768" s="142"/>
      <c r="B768" s="142"/>
      <c r="C768" s="142"/>
      <c r="E768" s="142"/>
      <c r="F768" s="142"/>
      <c r="G768" s="142"/>
      <c r="H768" s="142"/>
      <c r="I768" s="142"/>
    </row>
    <row r="769" customHeight="1" spans="1:9">
      <c r="A769" s="142"/>
      <c r="B769" s="142"/>
      <c r="C769" s="142"/>
      <c r="E769" s="142"/>
      <c r="F769" s="142"/>
      <c r="G769" s="142"/>
      <c r="H769" s="142"/>
      <c r="I769" s="142"/>
    </row>
    <row r="770" customHeight="1" spans="1:9">
      <c r="A770" s="142"/>
      <c r="B770" s="142"/>
      <c r="C770" s="142"/>
      <c r="E770" s="142"/>
      <c r="F770" s="142"/>
      <c r="G770" s="142"/>
      <c r="H770" s="142"/>
      <c r="I770" s="142"/>
    </row>
    <row r="771" customHeight="1" spans="1:9">
      <c r="A771" s="142"/>
      <c r="B771" s="142"/>
      <c r="C771" s="142"/>
      <c r="E771" s="142"/>
      <c r="F771" s="142"/>
      <c r="G771" s="142"/>
      <c r="H771" s="142"/>
      <c r="I771" s="142"/>
    </row>
    <row r="772" customHeight="1" spans="1:9">
      <c r="A772" s="142"/>
      <c r="B772" s="142"/>
      <c r="C772" s="142"/>
      <c r="E772" s="142"/>
      <c r="F772" s="142"/>
      <c r="G772" s="142"/>
      <c r="H772" s="142"/>
      <c r="I772" s="142"/>
    </row>
    <row r="773" customHeight="1" spans="1:9">
      <c r="A773" s="142"/>
      <c r="B773" s="142"/>
      <c r="C773" s="142"/>
      <c r="E773" s="142"/>
      <c r="F773" s="142"/>
      <c r="G773" s="142"/>
      <c r="H773" s="142"/>
      <c r="I773" s="142"/>
    </row>
    <row r="774" customHeight="1" spans="1:9">
      <c r="A774" s="142"/>
      <c r="B774" s="142"/>
      <c r="C774" s="142"/>
      <c r="E774" s="142"/>
      <c r="F774" s="142"/>
      <c r="G774" s="142"/>
      <c r="H774" s="142"/>
      <c r="I774" s="142"/>
    </row>
    <row r="775" customHeight="1" spans="1:9">
      <c r="A775" s="142"/>
      <c r="B775" s="142"/>
      <c r="C775" s="142"/>
      <c r="E775" s="142"/>
      <c r="F775" s="142"/>
      <c r="G775" s="142"/>
      <c r="H775" s="142"/>
      <c r="I775" s="142"/>
    </row>
    <row r="776" customHeight="1" spans="1:9">
      <c r="A776" s="142"/>
      <c r="B776" s="142"/>
      <c r="C776" s="142"/>
      <c r="E776" s="142"/>
      <c r="F776" s="142"/>
      <c r="G776" s="142"/>
      <c r="H776" s="142"/>
      <c r="I776" s="142"/>
    </row>
    <row r="777" customHeight="1" spans="1:9">
      <c r="A777" s="142"/>
      <c r="B777" s="142"/>
      <c r="C777" s="142"/>
      <c r="E777" s="142"/>
      <c r="F777" s="142"/>
      <c r="G777" s="142"/>
      <c r="H777" s="142"/>
      <c r="I777" s="142"/>
    </row>
    <row r="778" customHeight="1" spans="1:9">
      <c r="A778" s="142"/>
      <c r="B778" s="142"/>
      <c r="C778" s="142"/>
      <c r="E778" s="142"/>
      <c r="F778" s="142"/>
      <c r="G778" s="142"/>
      <c r="H778" s="142"/>
      <c r="I778" s="142"/>
    </row>
    <row r="779" customHeight="1" spans="1:9">
      <c r="A779" s="142"/>
      <c r="B779" s="142"/>
      <c r="C779" s="142"/>
      <c r="E779" s="142"/>
      <c r="F779" s="142"/>
      <c r="G779" s="142"/>
      <c r="H779" s="142"/>
      <c r="I779" s="142"/>
    </row>
    <row r="780" customHeight="1" spans="1:9">
      <c r="A780" s="142"/>
      <c r="B780" s="142"/>
      <c r="C780" s="142"/>
      <c r="E780" s="142"/>
      <c r="F780" s="142"/>
      <c r="G780" s="142"/>
      <c r="H780" s="142"/>
      <c r="I780" s="142"/>
    </row>
    <row r="781" customHeight="1" spans="1:9">
      <c r="A781" s="142"/>
      <c r="B781" s="142"/>
      <c r="C781" s="142"/>
      <c r="E781" s="142"/>
      <c r="F781" s="142"/>
      <c r="G781" s="142"/>
      <c r="H781" s="142"/>
      <c r="I781" s="142"/>
    </row>
    <row r="782" customHeight="1" spans="1:9">
      <c r="A782" s="142"/>
      <c r="B782" s="142"/>
      <c r="C782" s="142"/>
      <c r="E782" s="142"/>
      <c r="F782" s="142"/>
      <c r="G782" s="142"/>
      <c r="H782" s="142"/>
      <c r="I782" s="142"/>
    </row>
    <row r="783" customHeight="1" spans="1:9">
      <c r="A783" s="142"/>
      <c r="B783" s="142"/>
      <c r="C783" s="142"/>
      <c r="E783" s="142"/>
      <c r="F783" s="142"/>
      <c r="G783" s="142"/>
      <c r="H783" s="142"/>
      <c r="I783" s="142"/>
    </row>
    <row r="784" customHeight="1" spans="1:9">
      <c r="A784" s="142"/>
      <c r="B784" s="142"/>
      <c r="C784" s="142"/>
      <c r="E784" s="142"/>
      <c r="F784" s="142"/>
      <c r="G784" s="142"/>
      <c r="H784" s="142"/>
      <c r="I784" s="142"/>
    </row>
    <row r="785" customHeight="1" spans="1:9">
      <c r="A785" s="142"/>
      <c r="B785" s="142"/>
      <c r="C785" s="142"/>
      <c r="E785" s="142"/>
      <c r="F785" s="142"/>
      <c r="G785" s="142"/>
      <c r="H785" s="142"/>
      <c r="I785" s="142"/>
    </row>
    <row r="786" customHeight="1" spans="1:9">
      <c r="A786" s="142"/>
      <c r="B786" s="142"/>
      <c r="C786" s="142"/>
      <c r="E786" s="142"/>
      <c r="F786" s="142"/>
      <c r="G786" s="142"/>
      <c r="H786" s="142"/>
      <c r="I786" s="142"/>
    </row>
    <row r="787" customHeight="1" spans="1:9">
      <c r="A787" s="142"/>
      <c r="B787" s="142"/>
      <c r="C787" s="142"/>
      <c r="E787" s="142"/>
      <c r="F787" s="142"/>
      <c r="G787" s="142"/>
      <c r="H787" s="142"/>
      <c r="I787" s="142"/>
    </row>
    <row r="788" customHeight="1" spans="1:9">
      <c r="A788" s="142"/>
      <c r="B788" s="142"/>
      <c r="C788" s="142"/>
      <c r="E788" s="142"/>
      <c r="F788" s="142"/>
      <c r="G788" s="142"/>
      <c r="H788" s="142"/>
      <c r="I788" s="142"/>
    </row>
    <row r="789" customHeight="1" spans="1:9">
      <c r="A789" s="142"/>
      <c r="B789" s="142"/>
      <c r="C789" s="142"/>
      <c r="E789" s="142"/>
      <c r="F789" s="142"/>
      <c r="G789" s="142"/>
      <c r="H789" s="142"/>
      <c r="I789" s="142"/>
    </row>
    <row r="790" customHeight="1" spans="1:9">
      <c r="A790" s="142"/>
      <c r="B790" s="142"/>
      <c r="C790" s="142"/>
      <c r="E790" s="142"/>
      <c r="F790" s="142"/>
      <c r="G790" s="142"/>
      <c r="H790" s="142"/>
      <c r="I790" s="142"/>
    </row>
    <row r="791" customHeight="1" spans="1:9">
      <c r="A791" s="142"/>
      <c r="B791" s="142"/>
      <c r="C791" s="142"/>
      <c r="E791" s="142"/>
      <c r="F791" s="142"/>
      <c r="G791" s="142"/>
      <c r="H791" s="142"/>
      <c r="I791" s="142"/>
    </row>
    <row r="792" customHeight="1" spans="1:9">
      <c r="A792" s="142"/>
      <c r="B792" s="142"/>
      <c r="C792" s="142"/>
      <c r="E792" s="142"/>
      <c r="F792" s="142"/>
      <c r="G792" s="142"/>
      <c r="H792" s="142"/>
      <c r="I792" s="142"/>
    </row>
    <row r="793" customHeight="1" spans="1:9">
      <c r="A793" s="142"/>
      <c r="B793" s="142"/>
      <c r="C793" s="142"/>
      <c r="E793" s="142"/>
      <c r="F793" s="142"/>
      <c r="G793" s="142"/>
      <c r="H793" s="142"/>
      <c r="I793" s="142"/>
    </row>
    <row r="794" customHeight="1" spans="1:9">
      <c r="A794" s="142"/>
      <c r="B794" s="142"/>
      <c r="C794" s="142"/>
      <c r="E794" s="142"/>
      <c r="F794" s="142"/>
      <c r="G794" s="142"/>
      <c r="H794" s="142"/>
      <c r="I794" s="142"/>
    </row>
    <row r="795" customHeight="1" spans="1:9">
      <c r="A795" s="142"/>
      <c r="B795" s="142"/>
      <c r="C795" s="142"/>
      <c r="E795" s="142"/>
      <c r="F795" s="142"/>
      <c r="G795" s="142"/>
      <c r="H795" s="142"/>
      <c r="I795" s="142"/>
    </row>
    <row r="796" customHeight="1" spans="1:9">
      <c r="A796" s="142"/>
      <c r="B796" s="142"/>
      <c r="C796" s="142"/>
      <c r="E796" s="142"/>
      <c r="F796" s="142"/>
      <c r="G796" s="142"/>
      <c r="H796" s="142"/>
      <c r="I796" s="142"/>
    </row>
    <row r="797" customHeight="1" spans="1:9">
      <c r="A797" s="142"/>
      <c r="B797" s="142"/>
      <c r="C797" s="142"/>
      <c r="E797" s="142"/>
      <c r="F797" s="142"/>
      <c r="G797" s="142"/>
      <c r="H797" s="142"/>
      <c r="I797" s="142"/>
    </row>
    <row r="798" customHeight="1" spans="1:9">
      <c r="A798" s="142"/>
      <c r="B798" s="142"/>
      <c r="C798" s="142"/>
      <c r="E798" s="142"/>
      <c r="F798" s="142"/>
      <c r="G798" s="142"/>
      <c r="H798" s="142"/>
      <c r="I798" s="142"/>
    </row>
    <row r="799" customHeight="1" spans="1:9">
      <c r="A799" s="142"/>
      <c r="B799" s="142"/>
      <c r="C799" s="142"/>
      <c r="E799" s="142"/>
      <c r="F799" s="142"/>
      <c r="G799" s="142"/>
      <c r="H799" s="142"/>
      <c r="I799" s="142"/>
    </row>
    <row r="800" customHeight="1" spans="1:9">
      <c r="A800" s="142"/>
      <c r="B800" s="142"/>
      <c r="C800" s="142"/>
      <c r="E800" s="142"/>
      <c r="F800" s="142"/>
      <c r="G800" s="142"/>
      <c r="H800" s="142"/>
      <c r="I800" s="142"/>
    </row>
    <row r="801" customHeight="1" spans="1:9">
      <c r="A801" s="142"/>
      <c r="B801" s="142"/>
      <c r="C801" s="142"/>
      <c r="E801" s="142"/>
      <c r="F801" s="142"/>
      <c r="G801" s="142"/>
      <c r="H801" s="142"/>
      <c r="I801" s="142"/>
    </row>
    <row r="802" customHeight="1" spans="1:9">
      <c r="A802" s="142"/>
      <c r="B802" s="142"/>
      <c r="C802" s="142"/>
      <c r="E802" s="142"/>
      <c r="F802" s="142"/>
      <c r="G802" s="142"/>
      <c r="H802" s="142"/>
      <c r="I802" s="142"/>
    </row>
    <row r="803" customHeight="1" spans="1:9">
      <c r="A803" s="142"/>
      <c r="B803" s="142"/>
      <c r="C803" s="142"/>
      <c r="E803" s="142"/>
      <c r="F803" s="142"/>
      <c r="G803" s="142"/>
      <c r="H803" s="142"/>
      <c r="I803" s="142"/>
    </row>
    <row r="804" customHeight="1" spans="1:9">
      <c r="A804" s="142"/>
      <c r="B804" s="142"/>
      <c r="C804" s="142"/>
      <c r="E804" s="142"/>
      <c r="F804" s="142"/>
      <c r="G804" s="142"/>
      <c r="H804" s="142"/>
      <c r="I804" s="142"/>
    </row>
    <row r="805" customHeight="1" spans="1:9">
      <c r="A805" s="142"/>
      <c r="B805" s="142"/>
      <c r="C805" s="142"/>
      <c r="E805" s="142"/>
      <c r="F805" s="142"/>
      <c r="G805" s="142"/>
      <c r="H805" s="142"/>
      <c r="I805" s="142"/>
    </row>
    <row r="806" customHeight="1" spans="1:9">
      <c r="A806" s="142"/>
      <c r="B806" s="142"/>
      <c r="C806" s="142"/>
      <c r="E806" s="142"/>
      <c r="F806" s="142"/>
      <c r="G806" s="142"/>
      <c r="H806" s="142"/>
      <c r="I806" s="142"/>
    </row>
    <row r="807" customHeight="1" spans="1:9">
      <c r="A807" s="142"/>
      <c r="B807" s="142"/>
      <c r="C807" s="142"/>
      <c r="E807" s="142"/>
      <c r="F807" s="142"/>
      <c r="G807" s="142"/>
      <c r="H807" s="142"/>
      <c r="I807" s="142"/>
    </row>
    <row r="808" customHeight="1" spans="1:9">
      <c r="A808" s="142"/>
      <c r="B808" s="142"/>
      <c r="C808" s="142"/>
      <c r="E808" s="142"/>
      <c r="F808" s="142"/>
      <c r="G808" s="142"/>
      <c r="H808" s="142"/>
      <c r="I808" s="142"/>
    </row>
    <row r="809" customHeight="1" spans="1:9">
      <c r="A809" s="142"/>
      <c r="B809" s="142"/>
      <c r="C809" s="142"/>
      <c r="E809" s="142"/>
      <c r="F809" s="142"/>
      <c r="G809" s="142"/>
      <c r="H809" s="142"/>
      <c r="I809" s="142"/>
    </row>
    <row r="810" customHeight="1" spans="1:9">
      <c r="A810" s="142"/>
      <c r="B810" s="142"/>
      <c r="C810" s="142"/>
      <c r="E810" s="142"/>
      <c r="F810" s="142"/>
      <c r="G810" s="142"/>
      <c r="H810" s="142"/>
      <c r="I810" s="142"/>
    </row>
    <row r="811" customHeight="1" spans="1:9">
      <c r="A811" s="142"/>
      <c r="B811" s="142"/>
      <c r="C811" s="142"/>
      <c r="E811" s="142"/>
      <c r="F811" s="142"/>
      <c r="G811" s="142"/>
      <c r="H811" s="142"/>
      <c r="I811" s="142"/>
    </row>
    <row r="812" customHeight="1" spans="1:9">
      <c r="A812" s="142"/>
      <c r="B812" s="142"/>
      <c r="C812" s="142"/>
      <c r="E812" s="142"/>
      <c r="F812" s="142"/>
      <c r="G812" s="142"/>
      <c r="H812" s="142"/>
      <c r="I812" s="142"/>
    </row>
    <row r="813" customHeight="1" spans="1:9">
      <c r="A813" s="142"/>
      <c r="B813" s="142"/>
      <c r="C813" s="142"/>
      <c r="E813" s="142"/>
      <c r="F813" s="142"/>
      <c r="G813" s="142"/>
      <c r="H813" s="142"/>
      <c r="I813" s="142"/>
    </row>
    <row r="814" customHeight="1" spans="1:9">
      <c r="A814" s="142"/>
      <c r="B814" s="142"/>
      <c r="C814" s="142"/>
      <c r="E814" s="142"/>
      <c r="F814" s="142"/>
      <c r="G814" s="142"/>
      <c r="H814" s="142"/>
      <c r="I814" s="142"/>
    </row>
    <row r="815" customHeight="1" spans="1:9">
      <c r="A815" s="142"/>
      <c r="B815" s="142"/>
      <c r="C815" s="142"/>
      <c r="E815" s="142"/>
      <c r="F815" s="142"/>
      <c r="G815" s="142"/>
      <c r="H815" s="142"/>
      <c r="I815" s="142"/>
    </row>
    <row r="816" customHeight="1" spans="1:9">
      <c r="A816" s="142"/>
      <c r="B816" s="142"/>
      <c r="C816" s="142"/>
      <c r="E816" s="142"/>
      <c r="F816" s="142"/>
      <c r="G816" s="142"/>
      <c r="H816" s="142"/>
      <c r="I816" s="142"/>
    </row>
    <row r="817" customHeight="1" spans="1:9">
      <c r="A817" s="142"/>
      <c r="B817" s="142"/>
      <c r="C817" s="142"/>
      <c r="E817" s="142"/>
      <c r="F817" s="142"/>
      <c r="G817" s="142"/>
      <c r="H817" s="142"/>
      <c r="I817" s="142"/>
    </row>
    <row r="818" customHeight="1" spans="1:9">
      <c r="A818" s="142"/>
      <c r="B818" s="142"/>
      <c r="C818" s="142"/>
      <c r="E818" s="142"/>
      <c r="F818" s="142"/>
      <c r="G818" s="142"/>
      <c r="H818" s="142"/>
      <c r="I818" s="142"/>
    </row>
    <row r="819" customHeight="1" spans="1:9">
      <c r="A819" s="142"/>
      <c r="B819" s="142"/>
      <c r="C819" s="142"/>
      <c r="E819" s="142"/>
      <c r="F819" s="142"/>
      <c r="G819" s="142"/>
      <c r="H819" s="142"/>
      <c r="I819" s="142"/>
    </row>
    <row r="820" customHeight="1" spans="1:9">
      <c r="A820" s="142"/>
      <c r="B820" s="142"/>
      <c r="C820" s="142"/>
      <c r="E820" s="142"/>
      <c r="F820" s="142"/>
      <c r="G820" s="142"/>
      <c r="H820" s="142"/>
      <c r="I820" s="142"/>
    </row>
    <row r="821" customHeight="1" spans="1:9">
      <c r="A821" s="142"/>
      <c r="B821" s="142"/>
      <c r="C821" s="142"/>
      <c r="E821" s="142"/>
      <c r="F821" s="142"/>
      <c r="G821" s="142"/>
      <c r="H821" s="142"/>
      <c r="I821" s="142"/>
    </row>
    <row r="822" customHeight="1" spans="1:9">
      <c r="A822" s="142"/>
      <c r="B822" s="142"/>
      <c r="C822" s="142"/>
      <c r="E822" s="142"/>
      <c r="F822" s="142"/>
      <c r="G822" s="142"/>
      <c r="H822" s="142"/>
      <c r="I822" s="142"/>
    </row>
    <row r="823" customHeight="1" spans="1:9">
      <c r="A823" s="142"/>
      <c r="B823" s="142"/>
      <c r="C823" s="142"/>
      <c r="E823" s="142"/>
      <c r="F823" s="142"/>
      <c r="G823" s="142"/>
      <c r="H823" s="142"/>
      <c r="I823" s="142"/>
    </row>
    <row r="824" customHeight="1" spans="1:9">
      <c r="A824" s="142"/>
      <c r="B824" s="142"/>
      <c r="C824" s="142"/>
      <c r="E824" s="142"/>
      <c r="F824" s="142"/>
      <c r="G824" s="142"/>
      <c r="H824" s="142"/>
      <c r="I824" s="142"/>
    </row>
    <row r="825" customHeight="1" spans="1:9">
      <c r="A825" s="142"/>
      <c r="B825" s="142"/>
      <c r="C825" s="142"/>
      <c r="E825" s="142"/>
      <c r="F825" s="142"/>
      <c r="G825" s="142"/>
      <c r="H825" s="142"/>
      <c r="I825" s="142"/>
    </row>
    <row r="826" customHeight="1" spans="1:9">
      <c r="A826" s="142"/>
      <c r="B826" s="142"/>
      <c r="C826" s="142"/>
      <c r="E826" s="142"/>
      <c r="F826" s="142"/>
      <c r="G826" s="142"/>
      <c r="H826" s="142"/>
      <c r="I826" s="142"/>
    </row>
    <row r="827" customHeight="1" spans="1:9">
      <c r="A827" s="142"/>
      <c r="B827" s="142"/>
      <c r="C827" s="142"/>
      <c r="E827" s="142"/>
      <c r="F827" s="142"/>
      <c r="G827" s="142"/>
      <c r="H827" s="142"/>
      <c r="I827" s="142"/>
    </row>
    <row r="828" customHeight="1" spans="1:9">
      <c r="A828" s="142"/>
      <c r="B828" s="142"/>
      <c r="C828" s="142"/>
      <c r="E828" s="142"/>
      <c r="F828" s="142"/>
      <c r="G828" s="142"/>
      <c r="H828" s="142"/>
      <c r="I828" s="142"/>
    </row>
    <row r="829" customHeight="1" spans="1:9">
      <c r="A829" s="142"/>
      <c r="B829" s="142"/>
      <c r="C829" s="142"/>
      <c r="E829" s="142"/>
      <c r="F829" s="142"/>
      <c r="G829" s="142"/>
      <c r="H829" s="142"/>
      <c r="I829" s="142"/>
    </row>
    <row r="830" customHeight="1" spans="1:9">
      <c r="A830" s="142"/>
      <c r="B830" s="142"/>
      <c r="C830" s="142"/>
      <c r="E830" s="142"/>
      <c r="F830" s="142"/>
      <c r="G830" s="142"/>
      <c r="H830" s="142"/>
      <c r="I830" s="142"/>
    </row>
    <row r="831" customHeight="1" spans="1:9">
      <c r="A831" s="142"/>
      <c r="B831" s="142"/>
      <c r="C831" s="142"/>
      <c r="E831" s="142"/>
      <c r="F831" s="142"/>
      <c r="G831" s="142"/>
      <c r="H831" s="142"/>
      <c r="I831" s="142"/>
    </row>
    <row r="832" customHeight="1" spans="1:9">
      <c r="A832" s="142"/>
      <c r="B832" s="142"/>
      <c r="C832" s="142"/>
      <c r="E832" s="142"/>
      <c r="F832" s="142"/>
      <c r="G832" s="142"/>
      <c r="H832" s="142"/>
      <c r="I832" s="142"/>
    </row>
    <row r="833" customHeight="1" spans="1:9">
      <c r="A833" s="142"/>
      <c r="B833" s="142"/>
      <c r="C833" s="142"/>
      <c r="E833" s="142"/>
      <c r="F833" s="142"/>
      <c r="G833" s="142"/>
      <c r="H833" s="142"/>
      <c r="I833" s="142"/>
    </row>
    <row r="834" customHeight="1" spans="1:9">
      <c r="A834" s="142"/>
      <c r="B834" s="142"/>
      <c r="C834" s="142"/>
      <c r="E834" s="142"/>
      <c r="F834" s="142"/>
      <c r="G834" s="142"/>
      <c r="H834" s="142"/>
      <c r="I834" s="142"/>
    </row>
    <row r="835" customHeight="1" spans="1:9">
      <c r="A835" s="142"/>
      <c r="B835" s="142"/>
      <c r="C835" s="142"/>
      <c r="E835" s="142"/>
      <c r="F835" s="142"/>
      <c r="G835" s="142"/>
      <c r="H835" s="142"/>
      <c r="I835" s="142"/>
    </row>
    <row r="836" customHeight="1" spans="1:9">
      <c r="A836" s="142"/>
      <c r="B836" s="142"/>
      <c r="C836" s="142"/>
      <c r="E836" s="142"/>
      <c r="F836" s="142"/>
      <c r="G836" s="142"/>
      <c r="H836" s="142"/>
      <c r="I836" s="142"/>
    </row>
    <row r="837" customHeight="1" spans="1:9">
      <c r="A837" s="142"/>
      <c r="B837" s="142"/>
      <c r="C837" s="142"/>
      <c r="E837" s="142"/>
      <c r="F837" s="142"/>
      <c r="G837" s="142"/>
      <c r="H837" s="142"/>
      <c r="I837" s="142"/>
    </row>
    <row r="838" customHeight="1" spans="1:9">
      <c r="A838" s="142"/>
      <c r="B838" s="142"/>
      <c r="C838" s="142"/>
      <c r="E838" s="142"/>
      <c r="F838" s="142"/>
      <c r="G838" s="142"/>
      <c r="H838" s="142"/>
      <c r="I838" s="142"/>
    </row>
    <row r="839" customHeight="1" spans="1:9">
      <c r="A839" s="142"/>
      <c r="B839" s="142"/>
      <c r="C839" s="142"/>
      <c r="E839" s="142"/>
      <c r="F839" s="142"/>
      <c r="G839" s="142"/>
      <c r="H839" s="142"/>
      <c r="I839" s="142"/>
    </row>
    <row r="840" customHeight="1" spans="1:9">
      <c r="A840" s="142"/>
      <c r="B840" s="142"/>
      <c r="C840" s="142"/>
      <c r="E840" s="142"/>
      <c r="F840" s="142"/>
      <c r="G840" s="142"/>
      <c r="H840" s="142"/>
      <c r="I840" s="142"/>
    </row>
    <row r="841" customHeight="1" spans="1:9">
      <c r="A841" s="142"/>
      <c r="B841" s="142"/>
      <c r="C841" s="142"/>
      <c r="E841" s="142"/>
      <c r="F841" s="142"/>
      <c r="G841" s="142"/>
      <c r="H841" s="142"/>
      <c r="I841" s="142"/>
    </row>
    <row r="842" customHeight="1" spans="1:9">
      <c r="A842" s="142"/>
      <c r="B842" s="142"/>
      <c r="C842" s="142"/>
      <c r="E842" s="142"/>
      <c r="F842" s="142"/>
      <c r="G842" s="142"/>
      <c r="H842" s="142"/>
      <c r="I842" s="142"/>
    </row>
    <row r="843" customHeight="1" spans="1:9">
      <c r="A843" s="142"/>
      <c r="B843" s="142"/>
      <c r="C843" s="142"/>
      <c r="E843" s="142"/>
      <c r="F843" s="142"/>
      <c r="G843" s="142"/>
      <c r="H843" s="142"/>
      <c r="I843" s="142"/>
    </row>
    <row r="844" customHeight="1" spans="1:9">
      <c r="A844" s="142"/>
      <c r="B844" s="142"/>
      <c r="C844" s="142"/>
      <c r="E844" s="142"/>
      <c r="F844" s="142"/>
      <c r="G844" s="142"/>
      <c r="H844" s="142"/>
      <c r="I844" s="142"/>
    </row>
    <row r="845" customHeight="1" spans="1:9">
      <c r="A845" s="142"/>
      <c r="B845" s="142"/>
      <c r="C845" s="142"/>
      <c r="E845" s="142"/>
      <c r="F845" s="142"/>
      <c r="G845" s="142"/>
      <c r="H845" s="142"/>
      <c r="I845" s="142"/>
    </row>
    <row r="846" customHeight="1" spans="1:9">
      <c r="A846" s="142"/>
      <c r="B846" s="142"/>
      <c r="C846" s="142"/>
      <c r="E846" s="142"/>
      <c r="F846" s="142"/>
      <c r="G846" s="142"/>
      <c r="H846" s="142"/>
      <c r="I846" s="142"/>
    </row>
    <row r="847" customHeight="1" spans="1:9">
      <c r="A847" s="142"/>
      <c r="B847" s="142"/>
      <c r="C847" s="142"/>
      <c r="E847" s="142"/>
      <c r="F847" s="142"/>
      <c r="G847" s="142"/>
      <c r="H847" s="142"/>
      <c r="I847" s="142"/>
    </row>
    <row r="848" customHeight="1" spans="1:9">
      <c r="A848" s="142"/>
      <c r="B848" s="142"/>
      <c r="C848" s="142"/>
      <c r="E848" s="142"/>
      <c r="F848" s="142"/>
      <c r="G848" s="142"/>
      <c r="H848" s="142"/>
      <c r="I848" s="142"/>
    </row>
    <row r="849" customHeight="1" spans="1:9">
      <c r="A849" s="142"/>
      <c r="B849" s="142"/>
      <c r="C849" s="142"/>
      <c r="E849" s="142"/>
      <c r="F849" s="142"/>
      <c r="G849" s="142"/>
      <c r="H849" s="142"/>
      <c r="I849" s="142"/>
    </row>
    <row r="850" customHeight="1" spans="1:9">
      <c r="A850" s="142"/>
      <c r="B850" s="142"/>
      <c r="C850" s="142"/>
      <c r="E850" s="142"/>
      <c r="F850" s="142"/>
      <c r="G850" s="142"/>
      <c r="H850" s="142"/>
      <c r="I850" s="142"/>
    </row>
    <row r="851" customHeight="1" spans="1:9">
      <c r="A851" s="142"/>
      <c r="B851" s="142"/>
      <c r="C851" s="142"/>
      <c r="E851" s="142"/>
      <c r="F851" s="142"/>
      <c r="G851" s="142"/>
      <c r="H851" s="142"/>
      <c r="I851" s="142"/>
    </row>
    <row r="852" customHeight="1" spans="1:9">
      <c r="A852" s="142"/>
      <c r="B852" s="142"/>
      <c r="C852" s="142"/>
      <c r="E852" s="142"/>
      <c r="F852" s="142"/>
      <c r="G852" s="142"/>
      <c r="H852" s="142"/>
      <c r="I852" s="142"/>
    </row>
    <row r="853" customHeight="1" spans="1:9">
      <c r="A853" s="142"/>
      <c r="B853" s="142"/>
      <c r="C853" s="142"/>
      <c r="E853" s="142"/>
      <c r="F853" s="142"/>
      <c r="G853" s="142"/>
      <c r="H853" s="142"/>
      <c r="I853" s="142"/>
    </row>
    <row r="854" customHeight="1" spans="1:9">
      <c r="A854" s="142"/>
      <c r="B854" s="142"/>
      <c r="C854" s="142"/>
      <c r="E854" s="142"/>
      <c r="F854" s="142"/>
      <c r="G854" s="142"/>
      <c r="H854" s="142"/>
      <c r="I854" s="142"/>
    </row>
    <row r="855" customHeight="1" spans="1:9">
      <c r="A855" s="142"/>
      <c r="B855" s="142"/>
      <c r="C855" s="142"/>
      <c r="E855" s="142"/>
      <c r="F855" s="142"/>
      <c r="G855" s="142"/>
      <c r="H855" s="142"/>
      <c r="I855" s="142"/>
    </row>
    <row r="856" customHeight="1" spans="1:9">
      <c r="A856" s="142"/>
      <c r="B856" s="142"/>
      <c r="C856" s="142"/>
      <c r="E856" s="142"/>
      <c r="F856" s="142"/>
      <c r="G856" s="142"/>
      <c r="H856" s="142"/>
      <c r="I856" s="142"/>
    </row>
    <row r="857" customHeight="1" spans="1:9">
      <c r="A857" s="142"/>
      <c r="B857" s="142"/>
      <c r="C857" s="142"/>
      <c r="E857" s="142"/>
      <c r="F857" s="142"/>
      <c r="G857" s="142"/>
      <c r="H857" s="142"/>
      <c r="I857" s="142"/>
    </row>
    <row r="858" customHeight="1" spans="1:9">
      <c r="A858" s="142"/>
      <c r="B858" s="142"/>
      <c r="C858" s="142"/>
      <c r="E858" s="142"/>
      <c r="F858" s="142"/>
      <c r="G858" s="142"/>
      <c r="H858" s="142"/>
      <c r="I858" s="142"/>
    </row>
    <row r="859" customHeight="1" spans="1:9">
      <c r="A859" s="142"/>
      <c r="B859" s="142"/>
      <c r="C859" s="142"/>
      <c r="E859" s="142"/>
      <c r="F859" s="142"/>
      <c r="G859" s="142"/>
      <c r="H859" s="142"/>
      <c r="I859" s="142"/>
    </row>
    <row r="860" customHeight="1" spans="1:9">
      <c r="A860" s="142"/>
      <c r="B860" s="142"/>
      <c r="C860" s="142"/>
      <c r="E860" s="142"/>
      <c r="F860" s="142"/>
      <c r="G860" s="142"/>
      <c r="H860" s="142"/>
      <c r="I860" s="142"/>
    </row>
    <row r="861" customHeight="1" spans="1:9">
      <c r="A861" s="142"/>
      <c r="B861" s="142"/>
      <c r="C861" s="142"/>
      <c r="E861" s="142"/>
      <c r="F861" s="142"/>
      <c r="G861" s="142"/>
      <c r="H861" s="142"/>
      <c r="I861" s="142"/>
    </row>
    <row r="862" customHeight="1" spans="1:9">
      <c r="A862" s="142"/>
      <c r="B862" s="142"/>
      <c r="C862" s="142"/>
      <c r="E862" s="142"/>
      <c r="F862" s="142"/>
      <c r="G862" s="142"/>
      <c r="H862" s="142"/>
      <c r="I862" s="142"/>
    </row>
    <row r="863" customHeight="1" spans="1:9">
      <c r="A863" s="142"/>
      <c r="B863" s="142"/>
      <c r="C863" s="142"/>
      <c r="E863" s="142"/>
      <c r="F863" s="142"/>
      <c r="G863" s="142"/>
      <c r="H863" s="142"/>
      <c r="I863" s="142"/>
    </row>
    <row r="864" customHeight="1" spans="1:9">
      <c r="A864" s="142"/>
      <c r="B864" s="142"/>
      <c r="C864" s="142"/>
      <c r="E864" s="142"/>
      <c r="F864" s="142"/>
      <c r="G864" s="142"/>
      <c r="H864" s="142"/>
      <c r="I864" s="142"/>
    </row>
    <row r="865" customHeight="1" spans="1:9">
      <c r="A865" s="142"/>
      <c r="B865" s="142"/>
      <c r="C865" s="142"/>
      <c r="E865" s="142"/>
      <c r="F865" s="142"/>
      <c r="G865" s="142"/>
      <c r="H865" s="142"/>
      <c r="I865" s="142"/>
    </row>
    <row r="866" customHeight="1" spans="1:9">
      <c r="A866" s="142"/>
      <c r="B866" s="142"/>
      <c r="C866" s="142"/>
      <c r="E866" s="142"/>
      <c r="F866" s="142"/>
      <c r="G866" s="142"/>
      <c r="H866" s="142"/>
      <c r="I866" s="142"/>
    </row>
    <row r="867" customHeight="1" spans="1:9">
      <c r="A867" s="142"/>
      <c r="B867" s="142"/>
      <c r="C867" s="142"/>
      <c r="E867" s="142"/>
      <c r="F867" s="142"/>
      <c r="G867" s="142"/>
      <c r="H867" s="142"/>
      <c r="I867" s="142"/>
    </row>
    <row r="868" customHeight="1" spans="1:9">
      <c r="A868" s="142"/>
      <c r="B868" s="142"/>
      <c r="C868" s="142"/>
      <c r="E868" s="142"/>
      <c r="F868" s="142"/>
      <c r="G868" s="142"/>
      <c r="H868" s="142"/>
      <c r="I868" s="142"/>
    </row>
    <row r="869" customHeight="1" spans="1:9">
      <c r="A869" s="142"/>
      <c r="B869" s="142"/>
      <c r="C869" s="142"/>
      <c r="E869" s="142"/>
      <c r="F869" s="142"/>
      <c r="G869" s="142"/>
      <c r="H869" s="142"/>
      <c r="I869" s="142"/>
    </row>
    <row r="870" customHeight="1" spans="1:9">
      <c r="A870" s="142"/>
      <c r="B870" s="142"/>
      <c r="C870" s="142"/>
      <c r="E870" s="142"/>
      <c r="F870" s="142"/>
      <c r="G870" s="142"/>
      <c r="H870" s="142"/>
      <c r="I870" s="142"/>
    </row>
    <row r="871" customHeight="1" spans="1:9">
      <c r="A871" s="142"/>
      <c r="B871" s="142"/>
      <c r="C871" s="142"/>
      <c r="E871" s="142"/>
      <c r="F871" s="142"/>
      <c r="G871" s="142"/>
      <c r="H871" s="142"/>
      <c r="I871" s="142"/>
    </row>
    <row r="872" customHeight="1" spans="1:9">
      <c r="A872" s="142"/>
      <c r="B872" s="142"/>
      <c r="C872" s="142"/>
      <c r="E872" s="142"/>
      <c r="F872" s="142"/>
      <c r="G872" s="142"/>
      <c r="H872" s="142"/>
      <c r="I872" s="142"/>
    </row>
    <row r="873" customHeight="1" spans="1:9">
      <c r="A873" s="142"/>
      <c r="B873" s="142"/>
      <c r="C873" s="142"/>
      <c r="E873" s="142"/>
      <c r="F873" s="142"/>
      <c r="G873" s="142"/>
      <c r="H873" s="142"/>
      <c r="I873" s="142"/>
    </row>
    <row r="874" customHeight="1" spans="1:9">
      <c r="A874" s="142"/>
      <c r="B874" s="142"/>
      <c r="C874" s="142"/>
      <c r="E874" s="142"/>
      <c r="F874" s="142"/>
      <c r="G874" s="142"/>
      <c r="H874" s="142"/>
      <c r="I874" s="142"/>
    </row>
    <row r="875" customHeight="1" spans="1:9">
      <c r="A875" s="142"/>
      <c r="B875" s="142"/>
      <c r="C875" s="142"/>
      <c r="E875" s="142"/>
      <c r="F875" s="142"/>
      <c r="G875" s="142"/>
      <c r="H875" s="142"/>
      <c r="I875" s="142"/>
    </row>
    <row r="876" customHeight="1" spans="1:9">
      <c r="A876" s="142"/>
      <c r="B876" s="142"/>
      <c r="C876" s="142"/>
      <c r="E876" s="142"/>
      <c r="F876" s="142"/>
      <c r="G876" s="142"/>
      <c r="H876" s="142"/>
      <c r="I876" s="142"/>
    </row>
    <row r="877" customHeight="1" spans="1:9">
      <c r="A877" s="142"/>
      <c r="B877" s="142"/>
      <c r="C877" s="142"/>
      <c r="E877" s="142"/>
      <c r="F877" s="142"/>
      <c r="G877" s="142"/>
      <c r="H877" s="142"/>
      <c r="I877" s="142"/>
    </row>
    <row r="878" customHeight="1" spans="1:9">
      <c r="A878" s="142"/>
      <c r="B878" s="142"/>
      <c r="C878" s="142"/>
      <c r="E878" s="142"/>
      <c r="F878" s="142"/>
      <c r="G878" s="142"/>
      <c r="H878" s="142"/>
      <c r="I878" s="142"/>
    </row>
    <row r="879" customHeight="1" spans="1:9">
      <c r="A879" s="142"/>
      <c r="B879" s="142"/>
      <c r="C879" s="142"/>
      <c r="E879" s="142"/>
      <c r="F879" s="142"/>
      <c r="G879" s="142"/>
      <c r="H879" s="142"/>
      <c r="I879" s="142"/>
    </row>
    <row r="880" customHeight="1" spans="1:9">
      <c r="A880" s="142"/>
      <c r="B880" s="142"/>
      <c r="C880" s="142"/>
      <c r="E880" s="142"/>
      <c r="F880" s="142"/>
      <c r="G880" s="142"/>
      <c r="H880" s="142"/>
      <c r="I880" s="142"/>
    </row>
    <row r="881" customHeight="1" spans="1:9">
      <c r="A881" s="142"/>
      <c r="B881" s="142"/>
      <c r="C881" s="142"/>
      <c r="E881" s="142"/>
      <c r="F881" s="142"/>
      <c r="G881" s="142"/>
      <c r="H881" s="142"/>
      <c r="I881" s="142"/>
    </row>
    <row r="882" customHeight="1" spans="1:9">
      <c r="A882" s="142"/>
      <c r="B882" s="142"/>
      <c r="C882" s="142"/>
      <c r="E882" s="142"/>
      <c r="F882" s="142"/>
      <c r="G882" s="142"/>
      <c r="H882" s="142"/>
      <c r="I882" s="142"/>
    </row>
    <row r="883" customHeight="1" spans="1:9">
      <c r="A883" s="142"/>
      <c r="B883" s="142"/>
      <c r="C883" s="142"/>
      <c r="E883" s="142"/>
      <c r="F883" s="142"/>
      <c r="G883" s="142"/>
      <c r="H883" s="142"/>
      <c r="I883" s="142"/>
    </row>
    <row r="884" customHeight="1" spans="1:9">
      <c r="A884" s="142"/>
      <c r="B884" s="142"/>
      <c r="C884" s="142"/>
      <c r="E884" s="142"/>
      <c r="F884" s="142"/>
      <c r="G884" s="142"/>
      <c r="H884" s="142"/>
      <c r="I884" s="142"/>
    </row>
    <row r="885" customHeight="1" spans="1:9">
      <c r="A885" s="142"/>
      <c r="B885" s="142"/>
      <c r="C885" s="142"/>
      <c r="E885" s="142"/>
      <c r="F885" s="142"/>
      <c r="G885" s="142"/>
      <c r="H885" s="142"/>
      <c r="I885" s="142"/>
    </row>
    <row r="886" customHeight="1" spans="1:9">
      <c r="A886" s="142"/>
      <c r="B886" s="142"/>
      <c r="C886" s="142"/>
      <c r="E886" s="142"/>
      <c r="F886" s="142"/>
      <c r="G886" s="142"/>
      <c r="H886" s="142"/>
      <c r="I886" s="142"/>
    </row>
    <row r="887" customHeight="1" spans="1:9">
      <c r="A887" s="142"/>
      <c r="B887" s="142"/>
      <c r="C887" s="142"/>
      <c r="E887" s="142"/>
      <c r="F887" s="142"/>
      <c r="G887" s="142"/>
      <c r="H887" s="142"/>
      <c r="I887" s="142"/>
    </row>
    <row r="888" customHeight="1" spans="1:9">
      <c r="A888" s="142"/>
      <c r="B888" s="142"/>
      <c r="C888" s="142"/>
      <c r="E888" s="142"/>
      <c r="F888" s="142"/>
      <c r="G888" s="142"/>
      <c r="H888" s="142"/>
      <c r="I888" s="142"/>
    </row>
    <row r="889" customHeight="1" spans="1:9">
      <c r="A889" s="142"/>
      <c r="B889" s="142"/>
      <c r="C889" s="142"/>
      <c r="E889" s="142"/>
      <c r="F889" s="142"/>
      <c r="G889" s="142"/>
      <c r="H889" s="142"/>
      <c r="I889" s="142"/>
    </row>
    <row r="890" customHeight="1" spans="1:9">
      <c r="A890" s="142"/>
      <c r="B890" s="142"/>
      <c r="C890" s="142"/>
      <c r="E890" s="142"/>
      <c r="F890" s="142"/>
      <c r="G890" s="142"/>
      <c r="H890" s="142"/>
      <c r="I890" s="142"/>
    </row>
    <row r="891" customHeight="1" spans="1:9">
      <c r="A891" s="142"/>
      <c r="B891" s="142"/>
      <c r="C891" s="142"/>
      <c r="E891" s="142"/>
      <c r="F891" s="142"/>
      <c r="G891" s="142"/>
      <c r="H891" s="142"/>
      <c r="I891" s="142"/>
    </row>
    <row r="892" customHeight="1" spans="1:9">
      <c r="A892" s="142"/>
      <c r="B892" s="142"/>
      <c r="C892" s="142"/>
      <c r="E892" s="142"/>
      <c r="F892" s="142"/>
      <c r="G892" s="142"/>
      <c r="H892" s="142"/>
      <c r="I892" s="142"/>
    </row>
    <row r="893" customHeight="1" spans="1:9">
      <c r="A893" s="142"/>
      <c r="B893" s="142"/>
      <c r="C893" s="142"/>
      <c r="E893" s="142"/>
      <c r="F893" s="142"/>
      <c r="G893" s="142"/>
      <c r="H893" s="142"/>
      <c r="I893" s="142"/>
    </row>
    <row r="894" customHeight="1" spans="1:9">
      <c r="A894" s="142"/>
      <c r="B894" s="142"/>
      <c r="C894" s="142"/>
      <c r="E894" s="142"/>
      <c r="F894" s="142"/>
      <c r="G894" s="142"/>
      <c r="H894" s="142"/>
      <c r="I894" s="142"/>
    </row>
    <row r="895" customHeight="1" spans="1:9">
      <c r="A895" s="142"/>
      <c r="B895" s="142"/>
      <c r="C895" s="142"/>
      <c r="E895" s="142"/>
      <c r="F895" s="142"/>
      <c r="G895" s="142"/>
      <c r="H895" s="142"/>
      <c r="I895" s="142"/>
    </row>
    <row r="896" customHeight="1" spans="1:9">
      <c r="A896" s="142"/>
      <c r="B896" s="142"/>
      <c r="C896" s="142"/>
      <c r="E896" s="142"/>
      <c r="F896" s="142"/>
      <c r="G896" s="142"/>
      <c r="H896" s="142"/>
      <c r="I896" s="142"/>
    </row>
    <row r="897" customHeight="1" spans="1:9">
      <c r="A897" s="142"/>
      <c r="B897" s="142"/>
      <c r="C897" s="142"/>
      <c r="E897" s="142"/>
      <c r="F897" s="142"/>
      <c r="G897" s="142"/>
      <c r="H897" s="142"/>
      <c r="I897" s="142"/>
    </row>
    <row r="898" customHeight="1" spans="1:9">
      <c r="A898" s="142"/>
      <c r="B898" s="142"/>
      <c r="C898" s="142"/>
      <c r="E898" s="142"/>
      <c r="F898" s="142"/>
      <c r="G898" s="142"/>
      <c r="H898" s="142"/>
      <c r="I898" s="142"/>
    </row>
    <row r="899" customHeight="1" spans="1:9">
      <c r="A899" s="142"/>
      <c r="B899" s="142"/>
      <c r="C899" s="142"/>
      <c r="E899" s="142"/>
      <c r="F899" s="142"/>
      <c r="G899" s="142"/>
      <c r="H899" s="142"/>
      <c r="I899" s="142"/>
    </row>
    <row r="900" customHeight="1" spans="1:9">
      <c r="A900" s="142"/>
      <c r="B900" s="142"/>
      <c r="C900" s="142"/>
      <c r="E900" s="142"/>
      <c r="F900" s="142"/>
      <c r="G900" s="142"/>
      <c r="H900" s="142"/>
      <c r="I900" s="142"/>
    </row>
    <row r="901" customHeight="1" spans="1:9">
      <c r="A901" s="142"/>
      <c r="B901" s="142"/>
      <c r="C901" s="142"/>
      <c r="E901" s="142"/>
      <c r="F901" s="142"/>
      <c r="G901" s="142"/>
      <c r="H901" s="142"/>
      <c r="I901" s="142"/>
    </row>
    <row r="902" customHeight="1" spans="1:9">
      <c r="A902" s="142"/>
      <c r="B902" s="142"/>
      <c r="C902" s="142"/>
      <c r="E902" s="142"/>
      <c r="F902" s="142"/>
      <c r="G902" s="142"/>
      <c r="H902" s="142"/>
      <c r="I902" s="142"/>
    </row>
    <row r="903" customHeight="1" spans="1:9">
      <c r="A903" s="142"/>
      <c r="B903" s="142"/>
      <c r="C903" s="142"/>
      <c r="E903" s="142"/>
      <c r="F903" s="142"/>
      <c r="G903" s="142"/>
      <c r="H903" s="142"/>
      <c r="I903" s="142"/>
    </row>
    <row r="904" customHeight="1" spans="1:9">
      <c r="A904" s="142"/>
      <c r="B904" s="142"/>
      <c r="C904" s="142"/>
      <c r="E904" s="142"/>
      <c r="F904" s="142"/>
      <c r="G904" s="142"/>
      <c r="H904" s="142"/>
      <c r="I904" s="142"/>
    </row>
    <row r="905" customHeight="1" spans="1:9">
      <c r="A905" s="142"/>
      <c r="B905" s="142"/>
      <c r="C905" s="142"/>
      <c r="E905" s="142"/>
      <c r="F905" s="142"/>
      <c r="G905" s="142"/>
      <c r="H905" s="142"/>
      <c r="I905" s="142"/>
    </row>
    <row r="906" customHeight="1" spans="1:9">
      <c r="A906" s="142"/>
      <c r="B906" s="142"/>
      <c r="C906" s="142"/>
      <c r="E906" s="142"/>
      <c r="F906" s="142"/>
      <c r="G906" s="142"/>
      <c r="H906" s="142"/>
      <c r="I906" s="142"/>
    </row>
  </sheetData>
  <sheetProtection formatCells="0" formatColumns="0" formatRows="0" insertRows="0" insertColumns="0" insertHyperlinks="0" deleteColumns="0" deleteRows="0" sort="0" autoFilter="0" pivotTables="0"/>
  <autoFilter xmlns:etc="http://www.wps.cn/officeDocument/2017/etCustomData" ref="A1:F906" etc:filterBottomFollowUsedRange="1">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6" tint="0.8"/>
  </sheetPr>
  <dimension ref="A1:N1048576"/>
  <sheetViews>
    <sheetView zoomScale="58" zoomScaleNormal="58" topLeftCell="N2" workbookViewId="0">
      <selection activeCell="K37" sqref="K37"/>
    </sheetView>
  </sheetViews>
  <sheetFormatPr defaultColWidth="9.14285714285714" defaultRowHeight="12.75"/>
  <cols>
    <col min="1" max="1" width="7.92380952380952" style="113" customWidth="1"/>
    <col min="2" max="2" width="27.647619047619" customWidth="1"/>
    <col min="3" max="3" width="12" customWidth="1"/>
    <col min="4" max="4" width="10.1428571428571" customWidth="1"/>
    <col min="5" max="6" width="8.39047619047619" style="114" customWidth="1"/>
    <col min="7" max="7" width="8.5047619047619" style="114" customWidth="1"/>
    <col min="8" max="8" width="8.57142857142857" customWidth="1"/>
    <col min="9" max="9" width="10.1428571428571" customWidth="1"/>
    <col min="10" max="10" width="9.07619047619048" style="115" customWidth="1"/>
    <col min="11" max="11" width="7.92380952380952" customWidth="1"/>
    <col min="12" max="12" width="6.96190476190476" customWidth="1"/>
    <col min="13" max="13" width="8.93333333333333" customWidth="1"/>
  </cols>
  <sheetData>
    <row r="1" s="112" customFormat="1" ht="24" spans="1:14">
      <c r="A1" s="116" t="s">
        <v>287</v>
      </c>
      <c r="B1" s="117" t="s">
        <v>288</v>
      </c>
      <c r="C1" s="118" t="s">
        <v>111</v>
      </c>
      <c r="D1" s="118" t="s">
        <v>289</v>
      </c>
      <c r="E1" s="119" t="s">
        <v>114</v>
      </c>
      <c r="F1" s="119" t="s">
        <v>290</v>
      </c>
      <c r="G1" s="119" t="s">
        <v>291</v>
      </c>
      <c r="H1" s="120" t="s">
        <v>292</v>
      </c>
      <c r="I1" s="120" t="s">
        <v>293</v>
      </c>
      <c r="J1" s="121" t="s">
        <v>116</v>
      </c>
      <c r="K1" s="122" t="s">
        <v>294</v>
      </c>
      <c r="L1" s="120" t="s">
        <v>295</v>
      </c>
      <c r="M1" s="120" t="s">
        <v>296</v>
      </c>
    </row>
    <row r="2" spans="1:14">
      <c r="A2" s="113">
        <v>46202</v>
      </c>
      <c r="B2" s="94" t="s">
        <v>576</v>
      </c>
      <c r="C2" s="123" t="s">
        <v>77</v>
      </c>
      <c r="D2" s="124">
        <v>4100026880</v>
      </c>
      <c r="E2" s="125">
        <v>2280</v>
      </c>
      <c r="F2" s="125"/>
      <c r="G2" s="125"/>
      <c r="H2" s="124" t="s">
        <v>577</v>
      </c>
      <c r="I2" s="124" t="s">
        <v>577</v>
      </c>
      <c r="J2" s="126">
        <v>46265</v>
      </c>
      <c r="K2" s="126">
        <v>46265</v>
      </c>
      <c r="L2" s="127">
        <v>0.62</v>
      </c>
      <c r="M2" s="124">
        <v>1413.6</v>
      </c>
      <c r="N2" t="str">
        <f>_xlfn.XLOOKUP(C2,'Product List'!B:B,'Product List'!N:N)</f>
        <v>PP</v>
      </c>
    </row>
    <row r="3" spans="1:14">
      <c r="A3" s="113">
        <v>46202</v>
      </c>
      <c r="B3" s="94" t="s">
        <v>578</v>
      </c>
      <c r="C3" s="128" t="s">
        <v>52</v>
      </c>
      <c r="D3" s="124">
        <v>4100026880</v>
      </c>
      <c r="E3" s="125">
        <v>1560</v>
      </c>
      <c r="F3" s="125"/>
      <c r="G3" s="125"/>
      <c r="H3" s="124" t="s">
        <v>577</v>
      </c>
      <c r="I3" s="124" t="s">
        <v>577</v>
      </c>
      <c r="J3" s="126">
        <v>46265</v>
      </c>
      <c r="K3" s="126">
        <v>46265</v>
      </c>
      <c r="L3" s="127">
        <v>0.73</v>
      </c>
      <c r="M3" s="124">
        <v>1138.8</v>
      </c>
      <c r="N3" t="str">
        <f>_xlfn.XLOOKUP(C3,'Product List'!B:B,'Product List'!N:N)</f>
        <v>PP, PET</v>
      </c>
    </row>
    <row r="4" spans="1:14">
      <c r="A4" s="113">
        <v>46202</v>
      </c>
      <c r="B4" s="94" t="s">
        <v>579</v>
      </c>
      <c r="C4" s="128" t="s">
        <v>580</v>
      </c>
      <c r="D4" s="124">
        <v>4100026880</v>
      </c>
      <c r="E4" s="125">
        <v>1116</v>
      </c>
      <c r="F4" s="125"/>
      <c r="G4" s="125"/>
      <c r="H4" s="124" t="s">
        <v>577</v>
      </c>
      <c r="I4" s="124" t="s">
        <v>577</v>
      </c>
      <c r="J4" s="126">
        <v>46265</v>
      </c>
      <c r="K4" s="126">
        <v>46265</v>
      </c>
      <c r="L4" s="127">
        <v>2.25</v>
      </c>
      <c r="M4" s="124">
        <v>2511</v>
      </c>
      <c r="N4" t="str">
        <f>_xlfn.XLOOKUP(C4,'Product List'!B:B,'Product List'!N:N)</f>
        <v>Eco-Friendly Plastic</v>
      </c>
    </row>
    <row r="5" spans="1:14">
      <c r="A5" s="113">
        <v>46202</v>
      </c>
      <c r="B5" s="94" t="s">
        <v>581</v>
      </c>
      <c r="C5" s="128" t="s">
        <v>582</v>
      </c>
      <c r="D5" s="124">
        <v>4100026880</v>
      </c>
      <c r="E5" s="125">
        <v>1560</v>
      </c>
      <c r="F5" s="125"/>
      <c r="G5" s="125"/>
      <c r="H5" s="124" t="s">
        <v>577</v>
      </c>
      <c r="I5" s="124" t="s">
        <v>577</v>
      </c>
      <c r="J5" s="126">
        <v>46265</v>
      </c>
      <c r="K5" s="126">
        <v>46265</v>
      </c>
      <c r="L5" s="127">
        <v>0.52</v>
      </c>
      <c r="M5" s="124">
        <v>811.2</v>
      </c>
      <c r="N5" t="str">
        <f>_xlfn.XLOOKUP(C5,'Product List'!B:B,'Product List'!N:N)</f>
        <v>PP+PET</v>
      </c>
    </row>
    <row r="6" spans="1:14">
      <c r="A6" s="113">
        <v>46202</v>
      </c>
      <c r="B6" s="94" t="s">
        <v>583</v>
      </c>
      <c r="C6" s="128" t="s">
        <v>584</v>
      </c>
      <c r="D6" s="124">
        <v>4100026880</v>
      </c>
      <c r="E6" s="125">
        <v>1440</v>
      </c>
      <c r="F6" s="125"/>
      <c r="G6" s="125"/>
      <c r="H6" s="124" t="s">
        <v>577</v>
      </c>
      <c r="I6" s="124" t="s">
        <v>577</v>
      </c>
      <c r="J6" s="126">
        <v>46265</v>
      </c>
      <c r="K6" s="126">
        <v>46265</v>
      </c>
      <c r="L6" s="127">
        <v>0.6</v>
      </c>
      <c r="M6" s="124">
        <v>864</v>
      </c>
      <c r="N6" t="str">
        <f>_xlfn.XLOOKUP(C6,'Product List'!B:B,'Product List'!N:N)</f>
        <v>PP+PET</v>
      </c>
    </row>
    <row r="7" spans="1:14">
      <c r="A7" s="113">
        <v>46202</v>
      </c>
      <c r="B7" s="94" t="s">
        <v>585</v>
      </c>
      <c r="C7" s="128" t="s">
        <v>586</v>
      </c>
      <c r="D7" s="124">
        <v>4100026880</v>
      </c>
      <c r="E7" s="125">
        <v>1200</v>
      </c>
      <c r="F7" s="125"/>
      <c r="G7" s="125"/>
      <c r="H7" s="124" t="s">
        <v>577</v>
      </c>
      <c r="I7" s="124" t="s">
        <v>577</v>
      </c>
      <c r="J7" s="126">
        <v>46265</v>
      </c>
      <c r="K7" s="126">
        <v>46265</v>
      </c>
      <c r="L7" s="127">
        <v>0.67</v>
      </c>
      <c r="M7" s="124">
        <v>804</v>
      </c>
      <c r="N7" t="str">
        <f>_xlfn.XLOOKUP(C7,'Product List'!B:B,'Product List'!N:N)</f>
        <v>PP+PET</v>
      </c>
    </row>
    <row r="8" spans="1:14">
      <c r="A8" s="113">
        <v>46202</v>
      </c>
      <c r="B8" s="94" t="s">
        <v>587</v>
      </c>
      <c r="C8" s="129" t="s">
        <v>588</v>
      </c>
      <c r="D8" s="124">
        <v>4100026880</v>
      </c>
      <c r="E8" s="125">
        <v>252</v>
      </c>
      <c r="F8" s="125"/>
      <c r="G8" s="125"/>
      <c r="H8" s="124" t="s">
        <v>577</v>
      </c>
      <c r="I8" s="124" t="s">
        <v>577</v>
      </c>
      <c r="J8" s="126">
        <v>46265</v>
      </c>
      <c r="K8" s="126">
        <v>46265</v>
      </c>
      <c r="L8" s="127">
        <v>2.23</v>
      </c>
      <c r="M8" s="124">
        <v>561.96</v>
      </c>
      <c r="N8" t="str">
        <f>_xlfn.XLOOKUP(C8,'Product List'!B:B,'Product List'!N:N)</f>
        <v>PS, HIPS, PET, Silicone</v>
      </c>
    </row>
    <row r="9" spans="1:14">
      <c r="A9" s="113">
        <v>46202</v>
      </c>
      <c r="B9" s="94" t="s">
        <v>589</v>
      </c>
      <c r="C9" s="123" t="s">
        <v>74</v>
      </c>
      <c r="D9" s="124">
        <v>4100026880</v>
      </c>
      <c r="E9" s="125">
        <v>252</v>
      </c>
      <c r="F9" s="125"/>
      <c r="G9" s="125"/>
      <c r="H9" s="124" t="s">
        <v>577</v>
      </c>
      <c r="I9" s="124" t="s">
        <v>577</v>
      </c>
      <c r="J9" s="126">
        <v>46265</v>
      </c>
      <c r="K9" s="126">
        <v>46265</v>
      </c>
      <c r="L9" s="127">
        <v>2.23</v>
      </c>
      <c r="M9" s="124">
        <v>561.96</v>
      </c>
      <c r="N9" t="str">
        <f>_xlfn.XLOOKUP(C9,'Product List'!B:B,'Product List'!N:N)</f>
        <v>PS, HIPS, PET, Silicone</v>
      </c>
    </row>
    <row r="10" spans="1:14">
      <c r="A10" s="113">
        <v>46202</v>
      </c>
      <c r="B10" s="94" t="s">
        <v>590</v>
      </c>
      <c r="C10" s="128" t="s">
        <v>591</v>
      </c>
      <c r="D10" s="124">
        <v>4100026880</v>
      </c>
      <c r="E10" s="125">
        <v>720</v>
      </c>
      <c r="F10" s="125"/>
      <c r="G10" s="125"/>
      <c r="H10" s="124" t="s">
        <v>577</v>
      </c>
      <c r="I10" s="124" t="s">
        <v>577</v>
      </c>
      <c r="J10" s="126">
        <v>46265</v>
      </c>
      <c r="K10" s="126">
        <v>46265</v>
      </c>
      <c r="L10" s="127">
        <v>1.08</v>
      </c>
      <c r="M10" s="124">
        <v>777.6</v>
      </c>
      <c r="N10" t="str">
        <f>_xlfn.XLOOKUP(C10,'Product List'!B:B,'Product List'!N:N)</f>
        <v>ABS, Stainless Steel</v>
      </c>
    </row>
    <row r="11" spans="1:14">
      <c r="A11" s="113">
        <v>46202</v>
      </c>
      <c r="B11" s="94" t="s">
        <v>592</v>
      </c>
      <c r="C11" s="128" t="s">
        <v>63</v>
      </c>
      <c r="D11" s="124">
        <v>4100026880</v>
      </c>
      <c r="E11" s="125">
        <v>504</v>
      </c>
      <c r="F11" s="125"/>
      <c r="G11" s="125"/>
      <c r="H11" s="124" t="s">
        <v>577</v>
      </c>
      <c r="I11" s="124" t="s">
        <v>577</v>
      </c>
      <c r="J11" s="126">
        <v>46265</v>
      </c>
      <c r="K11" s="126">
        <v>46265</v>
      </c>
      <c r="L11" s="127">
        <v>3.26</v>
      </c>
      <c r="M11" s="124">
        <v>1643.04</v>
      </c>
      <c r="N11" t="str">
        <f>_xlfn.XLOOKUP(C11,'Product List'!B:B,'Product List'!N:N)</f>
        <v>PP, PS</v>
      </c>
    </row>
    <row r="12" spans="1:14">
      <c r="A12" s="113">
        <v>46202</v>
      </c>
      <c r="B12" s="94" t="s">
        <v>593</v>
      </c>
      <c r="C12" s="123" t="s">
        <v>594</v>
      </c>
      <c r="D12" s="124">
        <v>4100026880</v>
      </c>
      <c r="E12" s="125">
        <v>660</v>
      </c>
      <c r="F12" s="125"/>
      <c r="G12" s="125"/>
      <c r="H12" s="124" t="s">
        <v>577</v>
      </c>
      <c r="I12" s="124" t="s">
        <v>577</v>
      </c>
      <c r="J12" s="126">
        <v>46265</v>
      </c>
      <c r="K12" s="126">
        <v>46265</v>
      </c>
      <c r="L12" s="127">
        <v>0.39</v>
      </c>
      <c r="M12" s="124">
        <v>257.4</v>
      </c>
      <c r="N12" t="str">
        <f>_xlfn.XLOOKUP(C12,'Product List'!B:B,'Product List'!N:N)</f>
        <v>PP</v>
      </c>
    </row>
    <row r="13" spans="1:14">
      <c r="A13" s="113">
        <v>46202</v>
      </c>
      <c r="B13" s="94" t="s">
        <v>595</v>
      </c>
      <c r="C13" s="128" t="s">
        <v>36</v>
      </c>
      <c r="D13" s="124">
        <v>4100026880</v>
      </c>
      <c r="E13" s="125">
        <v>1080</v>
      </c>
      <c r="F13" s="125"/>
      <c r="G13" s="125"/>
      <c r="H13" s="124" t="s">
        <v>577</v>
      </c>
      <c r="I13" s="124" t="s">
        <v>577</v>
      </c>
      <c r="J13" s="126">
        <v>46265</v>
      </c>
      <c r="K13" s="126">
        <v>46265</v>
      </c>
      <c r="L13" s="127">
        <v>1.62</v>
      </c>
      <c r="M13" s="124">
        <v>1749.6</v>
      </c>
      <c r="N13" t="str">
        <f>_xlfn.XLOOKUP(C13,'Product List'!B:B,'Product List'!N:N)</f>
        <v>ABS, PP, PC, Glass</v>
      </c>
    </row>
    <row r="14" spans="1:14">
      <c r="A14" s="113">
        <v>46202</v>
      </c>
      <c r="B14" s="94" t="s">
        <v>589</v>
      </c>
      <c r="C14" s="128" t="s">
        <v>596</v>
      </c>
      <c r="D14" s="124">
        <v>4100026880</v>
      </c>
      <c r="E14" s="125">
        <v>720</v>
      </c>
      <c r="F14" s="125"/>
      <c r="G14" s="125"/>
      <c r="H14" s="124" t="s">
        <v>577</v>
      </c>
      <c r="I14" s="124" t="s">
        <v>577</v>
      </c>
      <c r="J14" s="126">
        <v>46265</v>
      </c>
      <c r="K14" s="126">
        <v>46265</v>
      </c>
      <c r="L14" s="127">
        <v>2.23</v>
      </c>
      <c r="M14" s="124">
        <v>1605.6</v>
      </c>
      <c r="N14" t="str">
        <f>_xlfn.XLOOKUP(C14,'Product List'!B:B,'Product List'!N:N)</f>
        <v>Basswood</v>
      </c>
    </row>
    <row r="15" spans="1:14">
      <c r="A15" s="113">
        <v>46202</v>
      </c>
      <c r="B15" s="94" t="s">
        <v>597</v>
      </c>
      <c r="C15" s="128" t="s">
        <v>598</v>
      </c>
      <c r="D15" s="124">
        <v>4100026880</v>
      </c>
      <c r="E15" s="125">
        <v>470</v>
      </c>
      <c r="F15" s="124"/>
      <c r="G15" s="125"/>
      <c r="H15" s="124" t="s">
        <v>577</v>
      </c>
      <c r="I15" s="130" t="s">
        <v>577</v>
      </c>
      <c r="J15" s="126">
        <v>46265</v>
      </c>
      <c r="K15" s="126">
        <v>46265</v>
      </c>
      <c r="L15" s="127">
        <v>2.84</v>
      </c>
      <c r="M15" s="124">
        <v>1334.8</v>
      </c>
      <c r="N15" t="str">
        <f>_xlfn.XLOOKUP(C15,'Product List'!B:B,'Product List'!N:N)</f>
        <v>PP</v>
      </c>
    </row>
    <row r="16" spans="1:14">
      <c r="A16" s="113">
        <v>46202</v>
      </c>
      <c r="B16" s="94" t="s">
        <v>599</v>
      </c>
      <c r="C16" s="128" t="s">
        <v>600</v>
      </c>
      <c r="D16" s="124">
        <v>4100026880</v>
      </c>
      <c r="E16" s="125">
        <v>552</v>
      </c>
      <c r="F16" s="124"/>
      <c r="G16" s="125"/>
      <c r="H16" s="124" t="s">
        <v>577</v>
      </c>
      <c r="I16" s="130" t="s">
        <v>577</v>
      </c>
      <c r="J16" s="126">
        <v>46265</v>
      </c>
      <c r="K16" s="126">
        <v>46265</v>
      </c>
      <c r="L16" s="127">
        <v>2.6</v>
      </c>
      <c r="M16" s="124">
        <v>1435.2</v>
      </c>
      <c r="N16" t="str">
        <f>_xlfn.XLOOKUP(C16,'Product List'!B:B,'Product List'!N:N)</f>
        <v>PP</v>
      </c>
    </row>
    <row r="17" spans="1:14">
      <c r="A17" s="113">
        <v>46202</v>
      </c>
      <c r="B17" s="94" t="s">
        <v>601</v>
      </c>
      <c r="C17" s="128" t="s">
        <v>29</v>
      </c>
      <c r="D17" s="124">
        <v>4100026880</v>
      </c>
      <c r="E17" s="125">
        <v>456</v>
      </c>
      <c r="F17" s="124"/>
      <c r="G17" s="125"/>
      <c r="H17" s="124" t="s">
        <v>577</v>
      </c>
      <c r="I17" s="130" t="s">
        <v>577</v>
      </c>
      <c r="J17" s="126">
        <v>46265</v>
      </c>
      <c r="K17" s="126">
        <v>46265</v>
      </c>
      <c r="L17" s="127">
        <v>6.27</v>
      </c>
      <c r="M17" s="124">
        <v>2859.12</v>
      </c>
      <c r="N17" t="str">
        <f>_xlfn.XLOOKUP(C17,'Product List'!B:B,'Product List'!N:N)</f>
        <v>PS, PMMA</v>
      </c>
    </row>
    <row r="18" spans="1:14">
      <c r="A18" s="113">
        <v>46202</v>
      </c>
      <c r="B18" s="94" t="s">
        <v>602</v>
      </c>
      <c r="C18" s="128" t="s">
        <v>66</v>
      </c>
      <c r="D18" s="124">
        <v>4100026880</v>
      </c>
      <c r="E18" s="125">
        <v>684</v>
      </c>
      <c r="F18" s="124"/>
      <c r="G18" s="125"/>
      <c r="H18" s="124" t="s">
        <v>577</v>
      </c>
      <c r="I18" s="130" t="s">
        <v>577</v>
      </c>
      <c r="J18" s="126">
        <v>46265</v>
      </c>
      <c r="K18" s="126">
        <v>46265</v>
      </c>
      <c r="L18" s="127">
        <v>3.1</v>
      </c>
      <c r="M18" s="124">
        <v>2120.4</v>
      </c>
      <c r="N18" t="str">
        <f>_xlfn.XLOOKUP(C18,'Product List'!B:B,'Product List'!N:N)</f>
        <v>Glass, ABS, PP</v>
      </c>
    </row>
    <row r="19" spans="1:14">
      <c r="A19" s="113">
        <v>46202</v>
      </c>
      <c r="B19" s="94" t="s">
        <v>603</v>
      </c>
      <c r="C19" s="128" t="s">
        <v>50</v>
      </c>
      <c r="D19" s="124">
        <v>4100026880</v>
      </c>
      <c r="E19" s="125">
        <v>350</v>
      </c>
      <c r="F19" s="124"/>
      <c r="G19" s="125"/>
      <c r="H19" s="124" t="s">
        <v>577</v>
      </c>
      <c r="I19" s="130" t="s">
        <v>577</v>
      </c>
      <c r="J19" s="126">
        <v>46265</v>
      </c>
      <c r="K19" s="126">
        <v>46265</v>
      </c>
      <c r="L19" s="127">
        <v>24.09</v>
      </c>
      <c r="M19" s="124">
        <v>8431.5</v>
      </c>
      <c r="N19" t="str">
        <f>_xlfn.XLOOKUP(C19,'Product List'!B:B,'Product List'!N:N)</f>
        <v>PC, PP, HIPS</v>
      </c>
    </row>
    <row r="20" spans="1:14">
      <c r="A20" s="113">
        <v>46202</v>
      </c>
      <c r="B20" s="94" t="s">
        <v>604</v>
      </c>
      <c r="C20" s="128" t="s">
        <v>605</v>
      </c>
      <c r="D20" s="124">
        <v>4100026880</v>
      </c>
      <c r="E20" s="125">
        <v>200</v>
      </c>
      <c r="F20" s="124"/>
      <c r="G20" s="125"/>
      <c r="H20" s="124" t="s">
        <v>577</v>
      </c>
      <c r="I20" s="130" t="s">
        <v>577</v>
      </c>
      <c r="J20" s="126">
        <v>46265</v>
      </c>
      <c r="K20" s="126">
        <v>46265</v>
      </c>
      <c r="L20" s="127">
        <v>36.3</v>
      </c>
      <c r="M20" s="124">
        <v>7260</v>
      </c>
      <c r="N20" t="str">
        <f>_xlfn.XLOOKUP(C20,'Product List'!B:B,'Product List'!N:N)</f>
        <v>PMMA+PVC+ABS</v>
      </c>
    </row>
    <row r="21" spans="1:14">
      <c r="A21" s="113">
        <v>46202</v>
      </c>
      <c r="B21" s="94" t="s">
        <v>606</v>
      </c>
      <c r="C21" s="128" t="s">
        <v>607</v>
      </c>
      <c r="D21" s="124">
        <v>4100026880</v>
      </c>
      <c r="E21" s="125">
        <v>316</v>
      </c>
      <c r="F21" s="124"/>
      <c r="G21" s="125"/>
      <c r="H21" s="124" t="s">
        <v>577</v>
      </c>
      <c r="I21" s="130" t="s">
        <v>577</v>
      </c>
      <c r="J21" s="126">
        <v>46265</v>
      </c>
      <c r="K21" s="126">
        <v>46265</v>
      </c>
      <c r="L21" s="127">
        <v>10.42</v>
      </c>
      <c r="M21" s="124">
        <v>3292.72</v>
      </c>
      <c r="N21" t="str">
        <f>_xlfn.XLOOKUP(C21,'Product List'!B:B,'Product List'!N:N)</f>
        <v>ABS, PC</v>
      </c>
    </row>
    <row r="22" spans="1:14">
      <c r="A22" s="113">
        <v>46202</v>
      </c>
      <c r="B22" s="94" t="s">
        <v>608</v>
      </c>
      <c r="C22" s="123" t="s">
        <v>609</v>
      </c>
      <c r="D22" s="124">
        <v>4100026880</v>
      </c>
      <c r="E22" s="125">
        <v>460</v>
      </c>
      <c r="F22" s="124"/>
      <c r="G22" s="125"/>
      <c r="H22" s="124" t="s">
        <v>577</v>
      </c>
      <c r="I22" s="130" t="s">
        <v>577</v>
      </c>
      <c r="J22" s="126">
        <v>46265</v>
      </c>
      <c r="K22" s="126">
        <v>46265</v>
      </c>
      <c r="L22" s="127">
        <v>1.65</v>
      </c>
      <c r="M22" s="124">
        <v>759</v>
      </c>
      <c r="N22" t="str">
        <f>_xlfn.XLOOKUP(C22,'Product List'!B:B,'Product List'!N:N)</f>
        <v>ABS</v>
      </c>
    </row>
    <row r="23" spans="1:14">
      <c r="A23" s="113">
        <v>46202</v>
      </c>
      <c r="B23" s="94" t="s">
        <v>610</v>
      </c>
      <c r="C23" s="128" t="s">
        <v>64</v>
      </c>
      <c r="D23" s="124">
        <v>4100026880</v>
      </c>
      <c r="E23" s="125">
        <v>200</v>
      </c>
      <c r="F23" s="124"/>
      <c r="G23" s="125"/>
      <c r="H23" s="124" t="s">
        <v>577</v>
      </c>
      <c r="I23" s="130" t="s">
        <v>577</v>
      </c>
      <c r="J23" s="126">
        <v>46265</v>
      </c>
      <c r="K23" s="126">
        <v>46265</v>
      </c>
      <c r="L23" s="127">
        <v>28.56</v>
      </c>
      <c r="M23" s="124">
        <v>5712</v>
      </c>
      <c r="N23" t="str">
        <f>_xlfn.XLOOKUP(C23,'Product List'!B:B,'Product List'!N:N)</f>
        <v>PS, PET, PP</v>
      </c>
    </row>
    <row r="24" spans="1:14">
      <c r="A24" s="113">
        <v>46202</v>
      </c>
      <c r="B24" s="94" t="s">
        <v>611</v>
      </c>
      <c r="C24" s="128" t="s">
        <v>612</v>
      </c>
      <c r="D24" s="124">
        <v>4100026880</v>
      </c>
      <c r="E24" s="125">
        <v>372</v>
      </c>
      <c r="F24" s="124"/>
      <c r="G24" s="125"/>
      <c r="H24" s="124" t="s">
        <v>577</v>
      </c>
      <c r="I24" s="130" t="s">
        <v>577</v>
      </c>
      <c r="J24" s="126">
        <v>46265</v>
      </c>
      <c r="K24" s="126">
        <v>46265</v>
      </c>
      <c r="L24" s="127">
        <v>9.66</v>
      </c>
      <c r="M24" s="124">
        <v>3593.52</v>
      </c>
      <c r="N24" t="str">
        <f>_xlfn.XLOOKUP(C24,'Product List'!B:B,'Product List'!N:N)</f>
        <v>PP, ABS, PS</v>
      </c>
    </row>
    <row r="25" spans="1:14">
      <c r="A25" s="113">
        <v>46202</v>
      </c>
      <c r="B25" s="94" t="s">
        <v>611</v>
      </c>
      <c r="C25" s="128" t="s">
        <v>613</v>
      </c>
      <c r="D25" s="124">
        <v>4100026880</v>
      </c>
      <c r="E25" s="125">
        <v>408</v>
      </c>
      <c r="F25" s="124"/>
      <c r="G25" s="125"/>
      <c r="H25" s="124" t="s">
        <v>577</v>
      </c>
      <c r="I25" s="130" t="s">
        <v>577</v>
      </c>
      <c r="J25" s="126">
        <v>46265</v>
      </c>
      <c r="K25" s="126">
        <v>46265</v>
      </c>
      <c r="L25" s="127">
        <v>9.66</v>
      </c>
      <c r="M25" s="124">
        <v>3941.28</v>
      </c>
      <c r="N25" t="str">
        <f>_xlfn.XLOOKUP(C25,'Product List'!B:B,'Product List'!N:N)</f>
        <v>PP, ABS, PS</v>
      </c>
    </row>
    <row r="26" spans="1:14">
      <c r="A26" s="113">
        <v>46202</v>
      </c>
      <c r="B26" s="94" t="s">
        <v>611</v>
      </c>
      <c r="C26" s="128" t="s">
        <v>614</v>
      </c>
      <c r="D26" s="124">
        <v>4100026880</v>
      </c>
      <c r="E26" s="125">
        <v>220</v>
      </c>
      <c r="F26" s="124"/>
      <c r="G26" s="125"/>
      <c r="H26" s="124" t="s">
        <v>577</v>
      </c>
      <c r="I26" s="130" t="s">
        <v>577</v>
      </c>
      <c r="J26" s="126">
        <v>46265</v>
      </c>
      <c r="K26" s="126">
        <v>46265</v>
      </c>
      <c r="L26" s="127">
        <v>9.66</v>
      </c>
      <c r="M26" s="124">
        <v>2125.2</v>
      </c>
      <c r="N26" t="str">
        <f>_xlfn.XLOOKUP(C26,'Product List'!B:B,'Product List'!N:N)</f>
        <v>PP, ABS, PS</v>
      </c>
    </row>
    <row r="27" spans="1:14">
      <c r="A27" s="113">
        <v>46202</v>
      </c>
      <c r="B27" s="94" t="s">
        <v>592</v>
      </c>
      <c r="C27" s="128" t="s">
        <v>615</v>
      </c>
      <c r="D27" s="124">
        <v>4100026880</v>
      </c>
      <c r="E27" s="125">
        <v>504</v>
      </c>
      <c r="F27" s="124"/>
      <c r="G27" s="125"/>
      <c r="H27" s="124" t="s">
        <v>577</v>
      </c>
      <c r="I27" s="130" t="s">
        <v>577</v>
      </c>
      <c r="J27" s="126">
        <v>46265</v>
      </c>
      <c r="K27" s="126">
        <v>46265</v>
      </c>
      <c r="L27" s="127">
        <v>3.26</v>
      </c>
      <c r="M27" s="124">
        <v>1643.04</v>
      </c>
      <c r="N27" t="str">
        <f>_xlfn.XLOOKUP(C27,'Product List'!B:B,'Product List'!N:N)</f>
        <v>PP, PS</v>
      </c>
    </row>
    <row r="28" spans="1:14">
      <c r="A28" s="113">
        <v>46202</v>
      </c>
      <c r="B28" s="94" t="s">
        <v>592</v>
      </c>
      <c r="C28" s="128" t="s">
        <v>616</v>
      </c>
      <c r="D28" s="124">
        <v>4100026880</v>
      </c>
      <c r="E28" s="125">
        <v>504</v>
      </c>
      <c r="F28" s="124"/>
      <c r="G28" s="125"/>
      <c r="H28" s="124" t="s">
        <v>577</v>
      </c>
      <c r="I28" s="130" t="s">
        <v>577</v>
      </c>
      <c r="J28" s="126">
        <v>46265</v>
      </c>
      <c r="K28" s="126">
        <v>46265</v>
      </c>
      <c r="L28" s="127">
        <v>3.26</v>
      </c>
      <c r="M28" s="124">
        <v>1643.04</v>
      </c>
      <c r="N28" t="str">
        <f>_xlfn.XLOOKUP(C28,'Product List'!B:B,'Product List'!N:N)</f>
        <v>PP, PS</v>
      </c>
    </row>
    <row r="29" spans="1:14">
      <c r="A29" s="113">
        <v>46202</v>
      </c>
      <c r="B29" s="94" t="s">
        <v>603</v>
      </c>
      <c r="C29" s="131" t="s">
        <v>50</v>
      </c>
      <c r="D29" s="130" t="s">
        <v>617</v>
      </c>
      <c r="E29" s="132">
        <v>260</v>
      </c>
      <c r="F29" s="124"/>
      <c r="G29" s="125"/>
      <c r="H29" s="86" t="s">
        <v>618</v>
      </c>
      <c r="I29" s="130" t="s">
        <v>617</v>
      </c>
      <c r="J29" s="126">
        <v>46230</v>
      </c>
      <c r="K29" s="126">
        <v>46230</v>
      </c>
      <c r="L29" s="127">
        <v>24.09</v>
      </c>
      <c r="M29" s="124">
        <v>6263.4</v>
      </c>
      <c r="N29" t="str">
        <f>_xlfn.XLOOKUP(C29,'Product List'!B:B,'Product List'!N:N)</f>
        <v>PC, PP, HIPS</v>
      </c>
    </row>
    <row r="30" spans="1:14">
      <c r="A30" s="113">
        <v>46202</v>
      </c>
      <c r="B30" s="94" t="s">
        <v>619</v>
      </c>
      <c r="C30" s="133" t="s">
        <v>620</v>
      </c>
      <c r="D30" s="130" t="s">
        <v>617</v>
      </c>
      <c r="E30" s="132">
        <v>100</v>
      </c>
      <c r="F30" s="124"/>
      <c r="G30" s="125"/>
      <c r="H30" s="86" t="s">
        <v>618</v>
      </c>
      <c r="I30" s="130" t="s">
        <v>617</v>
      </c>
      <c r="J30" s="126">
        <v>46230</v>
      </c>
      <c r="K30" s="126">
        <v>46230</v>
      </c>
      <c r="L30" s="127">
        <v>0</v>
      </c>
      <c r="M30" s="124">
        <v>0</v>
      </c>
      <c r="N30" t="str">
        <f>_xlfn.XLOOKUP(C30,'Product List'!B:B,'Product List'!N:N)</f>
        <v>PMMA+PVC+ABS</v>
      </c>
    </row>
    <row r="31" spans="1:14">
      <c r="A31" s="113">
        <v>46202</v>
      </c>
      <c r="B31" s="94" t="s">
        <v>604</v>
      </c>
      <c r="C31" s="133" t="s">
        <v>605</v>
      </c>
      <c r="D31" s="130" t="s">
        <v>617</v>
      </c>
      <c r="E31" s="132">
        <v>60</v>
      </c>
      <c r="F31" s="124"/>
      <c r="G31" s="125"/>
      <c r="H31" s="86" t="s">
        <v>618</v>
      </c>
      <c r="I31" s="130" t="s">
        <v>617</v>
      </c>
      <c r="J31" s="126">
        <v>46230</v>
      </c>
      <c r="K31" s="126">
        <v>46230</v>
      </c>
      <c r="L31" s="127">
        <v>36.3</v>
      </c>
      <c r="M31" s="124">
        <v>2178</v>
      </c>
      <c r="N31" t="str">
        <f>_xlfn.XLOOKUP(C31,'Product List'!B:B,'Product List'!N:N)</f>
        <v>PMMA+PVC+ABS</v>
      </c>
    </row>
    <row r="32" spans="1:14">
      <c r="A32" s="113">
        <v>46202</v>
      </c>
      <c r="B32" s="94" t="s">
        <v>589</v>
      </c>
      <c r="C32" s="131" t="s">
        <v>74</v>
      </c>
      <c r="D32" s="130" t="s">
        <v>617</v>
      </c>
      <c r="E32" s="132">
        <v>18</v>
      </c>
      <c r="F32" s="124"/>
      <c r="G32" s="125"/>
      <c r="H32" s="86" t="s">
        <v>618</v>
      </c>
      <c r="I32" s="130" t="s">
        <v>617</v>
      </c>
      <c r="J32" s="126">
        <v>46230</v>
      </c>
      <c r="K32" s="126">
        <v>46230</v>
      </c>
      <c r="L32" s="127">
        <v>2.23</v>
      </c>
      <c r="M32" s="124">
        <v>40.14</v>
      </c>
      <c r="N32" t="str">
        <f>_xlfn.XLOOKUP(C32,'Product List'!B:B,'Product List'!N:N)</f>
        <v>PS, HIPS, PET, Silicone</v>
      </c>
    </row>
    <row r="33" spans="1:14">
      <c r="A33" s="113">
        <v>46202</v>
      </c>
      <c r="B33" s="94" t="s">
        <v>592</v>
      </c>
      <c r="C33" s="131" t="s">
        <v>63</v>
      </c>
      <c r="D33" s="130" t="s">
        <v>617</v>
      </c>
      <c r="E33" s="132">
        <v>24</v>
      </c>
      <c r="F33" s="124"/>
      <c r="G33" s="125"/>
      <c r="H33" s="86" t="s">
        <v>618</v>
      </c>
      <c r="I33" s="130" t="s">
        <v>617</v>
      </c>
      <c r="J33" s="126">
        <v>46230</v>
      </c>
      <c r="K33" s="126">
        <v>46230</v>
      </c>
      <c r="L33" s="127">
        <v>3.26</v>
      </c>
      <c r="M33" s="124">
        <v>78.24</v>
      </c>
      <c r="N33" t="str">
        <f>_xlfn.XLOOKUP(C33,'Product List'!B:B,'Product List'!N:N)</f>
        <v>PP, PS</v>
      </c>
    </row>
    <row r="34" spans="1:14">
      <c r="A34" s="113">
        <v>46202</v>
      </c>
      <c r="B34" s="94" t="s">
        <v>621</v>
      </c>
      <c r="C34" s="111" t="s">
        <v>85</v>
      </c>
      <c r="D34" s="130" t="s">
        <v>617</v>
      </c>
      <c r="E34" s="132">
        <v>600</v>
      </c>
      <c r="F34" s="124"/>
      <c r="G34" s="125"/>
      <c r="H34" s="86" t="s">
        <v>618</v>
      </c>
      <c r="I34" s="130" t="s">
        <v>617</v>
      </c>
      <c r="J34" s="126">
        <v>46230</v>
      </c>
      <c r="K34" s="126">
        <v>46230</v>
      </c>
      <c r="L34" s="127">
        <v>1.64</v>
      </c>
      <c r="M34" s="124">
        <v>984</v>
      </c>
      <c r="N34" t="str">
        <f>_xlfn.XLOOKUP(C34,'Product List'!B:B,'Product List'!N:N)</f>
        <v>Absorbent Cotton</v>
      </c>
    </row>
    <row r="35" spans="1:14">
      <c r="A35" s="113">
        <v>46202</v>
      </c>
      <c r="B35" s="94" t="s">
        <v>622</v>
      </c>
      <c r="C35" s="131" t="s">
        <v>623</v>
      </c>
      <c r="D35" s="130" t="s">
        <v>617</v>
      </c>
      <c r="E35" s="132">
        <v>8</v>
      </c>
      <c r="F35" s="124"/>
      <c r="G35" s="125"/>
      <c r="H35" s="86" t="s">
        <v>618</v>
      </c>
      <c r="I35" s="130" t="s">
        <v>617</v>
      </c>
      <c r="J35" s="126">
        <v>46230</v>
      </c>
      <c r="K35" s="126">
        <v>46230</v>
      </c>
      <c r="L35" s="127">
        <v>6.27</v>
      </c>
      <c r="M35" s="124">
        <v>50.16</v>
      </c>
      <c r="N35" t="str">
        <f>_xlfn.XLOOKUP(C35,'Product List'!B:B,'Product List'!N:N)</f>
        <v>PS, PMMA</v>
      </c>
    </row>
    <row r="36" spans="1:14">
      <c r="A36" s="113">
        <v>46202</v>
      </c>
      <c r="B36" s="94" t="s">
        <v>624</v>
      </c>
      <c r="C36" s="131" t="s">
        <v>625</v>
      </c>
      <c r="D36" s="130" t="s">
        <v>617</v>
      </c>
      <c r="E36" s="132">
        <v>208</v>
      </c>
      <c r="F36" s="124"/>
      <c r="G36" s="125"/>
      <c r="H36" s="86" t="s">
        <v>618</v>
      </c>
      <c r="I36" s="130" t="s">
        <v>617</v>
      </c>
      <c r="J36" s="126">
        <v>46230</v>
      </c>
      <c r="K36" s="126">
        <v>46230</v>
      </c>
      <c r="L36" s="127">
        <v>6.27</v>
      </c>
      <c r="M36" s="124">
        <v>1304.16</v>
      </c>
      <c r="N36" t="str">
        <f>_xlfn.XLOOKUP(C36,'Product List'!B:B,'Product List'!N:N)</f>
        <v>PS, PMMA</v>
      </c>
    </row>
    <row r="37" spans="1:14">
      <c r="A37" s="113">
        <v>46202</v>
      </c>
      <c r="B37" s="94" t="s">
        <v>606</v>
      </c>
      <c r="C37" s="131" t="s">
        <v>75</v>
      </c>
      <c r="D37" s="130" t="s">
        <v>617</v>
      </c>
      <c r="E37" s="132">
        <v>4</v>
      </c>
      <c r="F37" s="124"/>
      <c r="G37" s="125"/>
      <c r="H37" s="86" t="s">
        <v>618</v>
      </c>
      <c r="I37" s="130" t="s">
        <v>617</v>
      </c>
      <c r="J37" s="126">
        <v>46230</v>
      </c>
      <c r="K37" s="126">
        <v>46230</v>
      </c>
      <c r="L37" s="127">
        <v>10.42</v>
      </c>
      <c r="M37" s="124">
        <v>41.68</v>
      </c>
      <c r="N37" t="str">
        <f>_xlfn.XLOOKUP(C37,'Product List'!B:B,'Product List'!N:N)</f>
        <v>ABS, PC</v>
      </c>
    </row>
    <row r="38" spans="1:14">
      <c r="A38" s="113">
        <v>46202</v>
      </c>
      <c r="B38" s="94" t="s">
        <v>606</v>
      </c>
      <c r="C38" s="131" t="s">
        <v>607</v>
      </c>
      <c r="D38" s="130" t="s">
        <v>617</v>
      </c>
      <c r="E38" s="132">
        <v>20</v>
      </c>
      <c r="F38" s="124"/>
      <c r="G38" s="125"/>
      <c r="H38" s="86" t="s">
        <v>618</v>
      </c>
      <c r="I38" s="130" t="s">
        <v>617</v>
      </c>
      <c r="J38" s="126">
        <v>46230</v>
      </c>
      <c r="K38" s="126">
        <v>46230</v>
      </c>
      <c r="L38" s="127">
        <v>10.42</v>
      </c>
      <c r="M38" s="124">
        <v>208.4</v>
      </c>
      <c r="N38" t="str">
        <f>_xlfn.XLOOKUP(C38,'Product List'!B:B,'Product List'!N:N)</f>
        <v>ABS, PC</v>
      </c>
    </row>
    <row r="39" spans="1:14">
      <c r="A39" s="113">
        <v>46202</v>
      </c>
      <c r="B39" s="94" t="s">
        <v>626</v>
      </c>
      <c r="C39" s="131" t="s">
        <v>76</v>
      </c>
      <c r="D39" s="130" t="s">
        <v>617</v>
      </c>
      <c r="E39" s="132">
        <v>12</v>
      </c>
      <c r="F39" s="124"/>
      <c r="G39" s="125"/>
      <c r="H39" s="86" t="s">
        <v>618</v>
      </c>
      <c r="I39" s="130" t="s">
        <v>617</v>
      </c>
      <c r="J39" s="126">
        <v>46230</v>
      </c>
      <c r="K39" s="126">
        <v>46230</v>
      </c>
      <c r="L39" s="127">
        <v>10.42</v>
      </c>
      <c r="M39" s="124">
        <v>125.04</v>
      </c>
      <c r="N39" t="str">
        <f>_xlfn.XLOOKUP(C39,'Product List'!B:B,'Product List'!N:N)</f>
        <v>ABS, PC</v>
      </c>
    </row>
    <row r="40" spans="1:14">
      <c r="A40" s="113">
        <v>46202</v>
      </c>
      <c r="B40" s="94" t="s">
        <v>627</v>
      </c>
      <c r="C40" s="131" t="s">
        <v>628</v>
      </c>
      <c r="D40" s="130" t="s">
        <v>617</v>
      </c>
      <c r="E40" s="132">
        <v>24</v>
      </c>
      <c r="F40" s="124"/>
      <c r="G40" s="125"/>
      <c r="H40" s="86" t="s">
        <v>618</v>
      </c>
      <c r="I40" s="130" t="s">
        <v>617</v>
      </c>
      <c r="J40" s="126">
        <v>46230</v>
      </c>
      <c r="K40" s="126">
        <v>46230</v>
      </c>
      <c r="L40" s="127">
        <v>10.42</v>
      </c>
      <c r="M40" s="124">
        <v>250.08</v>
      </c>
      <c r="N40" t="str">
        <f>_xlfn.XLOOKUP(C40,'Product List'!B:B,'Product List'!N:N)</f>
        <v>ABS, PC</v>
      </c>
    </row>
    <row r="41" spans="1:14">
      <c r="A41" s="113">
        <v>46202</v>
      </c>
      <c r="B41" s="94" t="s">
        <v>576</v>
      </c>
      <c r="C41" s="111" t="s">
        <v>77</v>
      </c>
      <c r="D41" s="130" t="s">
        <v>617</v>
      </c>
      <c r="E41" s="132">
        <v>240</v>
      </c>
      <c r="F41" s="124"/>
      <c r="G41" s="125"/>
      <c r="H41" s="86" t="s">
        <v>618</v>
      </c>
      <c r="I41" s="130" t="s">
        <v>617</v>
      </c>
      <c r="J41" s="126">
        <v>46230</v>
      </c>
      <c r="K41" s="126">
        <v>46230</v>
      </c>
      <c r="L41" s="127">
        <v>0.62</v>
      </c>
      <c r="M41" s="124">
        <v>148.8</v>
      </c>
      <c r="N41" t="str">
        <f>_xlfn.XLOOKUP(C41,'Product List'!B:B,'Product List'!N:N)</f>
        <v>PP</v>
      </c>
    </row>
    <row r="42" spans="1:14">
      <c r="A42" s="113">
        <v>46202</v>
      </c>
      <c r="B42" s="94" t="s">
        <v>629</v>
      </c>
      <c r="C42" s="111" t="s">
        <v>73</v>
      </c>
      <c r="D42" s="130" t="s">
        <v>617</v>
      </c>
      <c r="E42" s="132">
        <v>96</v>
      </c>
      <c r="F42" s="124"/>
      <c r="G42" s="125"/>
      <c r="H42" s="86" t="s">
        <v>618</v>
      </c>
      <c r="I42" s="130" t="s">
        <v>617</v>
      </c>
      <c r="J42" s="126">
        <v>46230</v>
      </c>
      <c r="K42" s="126">
        <v>46230</v>
      </c>
      <c r="L42" s="127">
        <v>1.96</v>
      </c>
      <c r="M42" s="124">
        <v>188.16</v>
      </c>
      <c r="N42" t="str">
        <f>_xlfn.XLOOKUP(C42,'Product List'!B:B,'Product List'!N:N)</f>
        <v>Felt, Birchwood [Birch]</v>
      </c>
    </row>
    <row r="43" spans="1:14">
      <c r="A43" s="113">
        <v>46202</v>
      </c>
      <c r="B43" s="94" t="s">
        <v>590</v>
      </c>
      <c r="C43" s="131" t="s">
        <v>591</v>
      </c>
      <c r="D43" s="130" t="s">
        <v>617</v>
      </c>
      <c r="E43" s="132">
        <v>120</v>
      </c>
      <c r="F43" s="124"/>
      <c r="G43" s="125"/>
      <c r="H43" s="86" t="s">
        <v>618</v>
      </c>
      <c r="I43" s="130" t="s">
        <v>617</v>
      </c>
      <c r="J43" s="126">
        <v>46230</v>
      </c>
      <c r="K43" s="126">
        <v>46230</v>
      </c>
      <c r="L43" s="127">
        <v>1.08</v>
      </c>
      <c r="M43" s="124">
        <v>129.6</v>
      </c>
      <c r="N43" t="str">
        <f>_xlfn.XLOOKUP(C43,'Product List'!B:B,'Product List'!N:N)</f>
        <v>ABS, Stainless Steel</v>
      </c>
    </row>
    <row r="44" spans="1:14">
      <c r="A44" s="113">
        <v>46202</v>
      </c>
      <c r="B44" s="94" t="s">
        <v>579</v>
      </c>
      <c r="C44" s="131" t="s">
        <v>580</v>
      </c>
      <c r="D44" s="130" t="s">
        <v>617</v>
      </c>
      <c r="E44" s="132">
        <v>180</v>
      </c>
      <c r="F44" s="124"/>
      <c r="G44" s="125"/>
      <c r="H44" s="86" t="s">
        <v>618</v>
      </c>
      <c r="I44" s="130" t="s">
        <v>617</v>
      </c>
      <c r="J44" s="126">
        <v>46230</v>
      </c>
      <c r="K44" s="126">
        <v>46230</v>
      </c>
      <c r="L44" s="127">
        <v>2.25</v>
      </c>
      <c r="M44" s="124">
        <v>405</v>
      </c>
      <c r="N44" t="str">
        <f>_xlfn.XLOOKUP(C44,'Product List'!B:B,'Product List'!N:N)</f>
        <v>Eco-Friendly Plastic</v>
      </c>
    </row>
    <row r="45" spans="1:14">
      <c r="A45" s="113">
        <v>46202</v>
      </c>
      <c r="B45" s="94" t="s">
        <v>599</v>
      </c>
      <c r="C45" s="131" t="s">
        <v>600</v>
      </c>
      <c r="D45" s="130" t="s">
        <v>617</v>
      </c>
      <c r="E45" s="132">
        <v>248</v>
      </c>
      <c r="F45" s="124"/>
      <c r="G45" s="125"/>
      <c r="H45" s="86" t="s">
        <v>618</v>
      </c>
      <c r="I45" s="130" t="s">
        <v>617</v>
      </c>
      <c r="J45" s="126">
        <v>46230</v>
      </c>
      <c r="K45" s="126">
        <v>46230</v>
      </c>
      <c r="L45" s="127">
        <v>2.6</v>
      </c>
      <c r="M45" s="124">
        <v>644.8</v>
      </c>
      <c r="N45" t="str">
        <f>_xlfn.XLOOKUP(C45,'Product List'!B:B,'Product List'!N:N)</f>
        <v>PP</v>
      </c>
    </row>
    <row r="46" spans="1:14">
      <c r="A46" s="113">
        <v>46202</v>
      </c>
      <c r="B46" s="94" t="s">
        <v>597</v>
      </c>
      <c r="C46" s="131" t="s">
        <v>598</v>
      </c>
      <c r="D46" s="130" t="s">
        <v>617</v>
      </c>
      <c r="E46" s="132">
        <v>240</v>
      </c>
      <c r="F46" s="124"/>
      <c r="G46" s="125"/>
      <c r="H46" s="86" t="s">
        <v>618</v>
      </c>
      <c r="I46" s="130" t="s">
        <v>617</v>
      </c>
      <c r="J46" s="126">
        <v>46230</v>
      </c>
      <c r="K46" s="126">
        <v>46230</v>
      </c>
      <c r="L46" s="127">
        <v>2.84</v>
      </c>
      <c r="M46" s="124">
        <v>681.6</v>
      </c>
      <c r="N46" t="str">
        <f>_xlfn.XLOOKUP(C46,'Product List'!B:B,'Product List'!N:N)</f>
        <v>PP</v>
      </c>
    </row>
    <row r="47" spans="1:14">
      <c r="A47" s="113">
        <v>46202</v>
      </c>
      <c r="B47" s="94" t="s">
        <v>630</v>
      </c>
      <c r="C47" s="111" t="s">
        <v>631</v>
      </c>
      <c r="D47" s="130" t="s">
        <v>617</v>
      </c>
      <c r="E47" s="132">
        <v>48</v>
      </c>
      <c r="F47" s="124"/>
      <c r="G47" s="125"/>
      <c r="H47" s="86" t="s">
        <v>618</v>
      </c>
      <c r="I47" s="130" t="s">
        <v>617</v>
      </c>
      <c r="J47" s="126">
        <v>46230</v>
      </c>
      <c r="K47" s="126">
        <v>46230</v>
      </c>
      <c r="L47" s="127">
        <v>1.31</v>
      </c>
      <c r="M47" s="124">
        <v>62.88</v>
      </c>
      <c r="N47" t="str">
        <f>_xlfn.XLOOKUP(C47,'Product List'!B:B,'Product List'!N:N)</f>
        <v>Ceramic</v>
      </c>
    </row>
    <row r="48" spans="1:14">
      <c r="A48" s="113">
        <v>46202</v>
      </c>
      <c r="B48" s="94" t="s">
        <v>632</v>
      </c>
      <c r="C48" s="131" t="s">
        <v>633</v>
      </c>
      <c r="D48" s="130" t="s">
        <v>617</v>
      </c>
      <c r="E48" s="132">
        <v>16</v>
      </c>
      <c r="F48" s="124"/>
      <c r="G48" s="125"/>
      <c r="H48" s="86" t="s">
        <v>618</v>
      </c>
      <c r="I48" s="130" t="s">
        <v>617</v>
      </c>
      <c r="J48" s="126">
        <v>46230</v>
      </c>
      <c r="K48" s="126">
        <v>46230</v>
      </c>
      <c r="L48" s="127">
        <v>0</v>
      </c>
      <c r="M48" s="124">
        <v>0</v>
      </c>
      <c r="N48" t="str">
        <f>_xlfn.XLOOKUP(C48,'Product List'!B:B,'Product List'!N:N)</f>
        <v>Basswood</v>
      </c>
    </row>
    <row r="49" spans="1:14">
      <c r="A49" s="113">
        <v>46202</v>
      </c>
      <c r="B49" s="94" t="s">
        <v>634</v>
      </c>
      <c r="C49" s="131" t="s">
        <v>635</v>
      </c>
      <c r="D49" s="130" t="s">
        <v>617</v>
      </c>
      <c r="E49" s="132">
        <v>216</v>
      </c>
      <c r="F49" s="124"/>
      <c r="G49" s="125"/>
      <c r="H49" s="86" t="s">
        <v>618</v>
      </c>
      <c r="I49" s="130" t="s">
        <v>617</v>
      </c>
      <c r="J49" s="126">
        <v>46230</v>
      </c>
      <c r="K49" s="126">
        <v>46230</v>
      </c>
      <c r="L49" s="127">
        <v>1.66</v>
      </c>
      <c r="M49" s="124">
        <v>358.56</v>
      </c>
      <c r="N49" t="str">
        <f>_xlfn.XLOOKUP(C49,'Product List'!B:B,'Product List'!N:N)</f>
        <v>Basswood</v>
      </c>
    </row>
    <row r="50" spans="1:14">
      <c r="A50" s="113">
        <v>46202</v>
      </c>
      <c r="B50" s="94" t="s">
        <v>636</v>
      </c>
      <c r="C50" s="131" t="s">
        <v>637</v>
      </c>
      <c r="D50" s="130" t="s">
        <v>617</v>
      </c>
      <c r="E50" s="132">
        <v>180</v>
      </c>
      <c r="F50" s="124"/>
      <c r="G50" s="125"/>
      <c r="H50" s="86" t="s">
        <v>618</v>
      </c>
      <c r="I50" s="130" t="s">
        <v>617</v>
      </c>
      <c r="J50" s="126">
        <v>46230</v>
      </c>
      <c r="K50" s="126">
        <v>46230</v>
      </c>
      <c r="L50" s="127">
        <v>1.19</v>
      </c>
      <c r="M50" s="124">
        <v>214.2</v>
      </c>
      <c r="N50" t="str">
        <f>_xlfn.XLOOKUP(C50,'Product List'!B:B,'Product List'!N:N)</f>
        <v>PC, HIPS</v>
      </c>
    </row>
    <row r="51" spans="1:14">
      <c r="A51" s="113">
        <v>46202</v>
      </c>
      <c r="B51" s="94" t="s">
        <v>638</v>
      </c>
      <c r="C51" s="131" t="s">
        <v>54</v>
      </c>
      <c r="D51" s="130" t="s">
        <v>617</v>
      </c>
      <c r="E51" s="132">
        <v>36</v>
      </c>
      <c r="F51" s="124"/>
      <c r="G51" s="125"/>
      <c r="H51" s="86" t="s">
        <v>618</v>
      </c>
      <c r="I51" s="130" t="s">
        <v>617</v>
      </c>
      <c r="J51" s="126">
        <v>46230</v>
      </c>
      <c r="K51" s="126">
        <v>46230</v>
      </c>
      <c r="L51" s="127">
        <v>2.67</v>
      </c>
      <c r="M51" s="124">
        <v>96.12</v>
      </c>
      <c r="N51" t="str">
        <f>_xlfn.XLOOKUP(C51,'Product List'!B:B,'Product List'!N:N)</f>
        <v>Birchwood [Basswood]</v>
      </c>
    </row>
    <row r="52" spans="1:14">
      <c r="A52" s="113">
        <v>46202</v>
      </c>
      <c r="B52" s="94" t="s">
        <v>639</v>
      </c>
      <c r="C52" s="131" t="s">
        <v>640</v>
      </c>
      <c r="D52" s="130" t="s">
        <v>617</v>
      </c>
      <c r="E52" s="132">
        <v>36</v>
      </c>
      <c r="F52" s="124"/>
      <c r="G52" s="125"/>
      <c r="H52" s="86" t="s">
        <v>618</v>
      </c>
      <c r="I52" s="130" t="s">
        <v>617</v>
      </c>
      <c r="J52" s="126">
        <v>46230</v>
      </c>
      <c r="K52" s="126">
        <v>46230</v>
      </c>
      <c r="L52" s="127">
        <v>0</v>
      </c>
      <c r="M52" s="124">
        <v>0</v>
      </c>
      <c r="N52" t="str">
        <f>_xlfn.XLOOKUP(C52,'Product List'!B:B,'Product List'!N:N)</f>
        <v>PVC</v>
      </c>
    </row>
    <row r="53" spans="1:14">
      <c r="A53" s="113">
        <v>46202</v>
      </c>
      <c r="B53" s="94" t="s">
        <v>641</v>
      </c>
      <c r="C53" s="131" t="s">
        <v>55</v>
      </c>
      <c r="D53" s="130" t="s">
        <v>617</v>
      </c>
      <c r="E53" s="132">
        <v>24</v>
      </c>
      <c r="F53" s="124"/>
      <c r="G53" s="125"/>
      <c r="H53" s="86" t="s">
        <v>618</v>
      </c>
      <c r="I53" s="130" t="s">
        <v>617</v>
      </c>
      <c r="J53" s="126">
        <v>46230</v>
      </c>
      <c r="K53" s="126">
        <v>46230</v>
      </c>
      <c r="L53" s="127">
        <v>1.91</v>
      </c>
      <c r="M53" s="124">
        <v>45.84</v>
      </c>
      <c r="N53" t="str">
        <f>_xlfn.XLOOKUP(C53,'Product List'!B:B,'Product List'!N:N)</f>
        <v>Birchwood [Basswood]</v>
      </c>
    </row>
    <row r="54" spans="1:14">
      <c r="A54" s="113">
        <v>46202</v>
      </c>
      <c r="B54" s="94" t="s">
        <v>642</v>
      </c>
      <c r="C54" s="131" t="s">
        <v>56</v>
      </c>
      <c r="D54" s="130" t="s">
        <v>617</v>
      </c>
      <c r="E54" s="132">
        <v>72</v>
      </c>
      <c r="F54" s="124"/>
      <c r="G54" s="125"/>
      <c r="H54" s="86" t="s">
        <v>618</v>
      </c>
      <c r="I54" s="130" t="s">
        <v>617</v>
      </c>
      <c r="J54" s="126">
        <v>46230</v>
      </c>
      <c r="K54" s="126">
        <v>46230</v>
      </c>
      <c r="L54" s="127">
        <v>1.58</v>
      </c>
      <c r="M54" s="124">
        <v>113.76</v>
      </c>
      <c r="N54" t="str">
        <f>_xlfn.XLOOKUP(C54,'Product List'!B:B,'Product List'!N:N)</f>
        <v>Birchwood [Basswood]</v>
      </c>
    </row>
    <row r="55" spans="1:14">
      <c r="A55" s="113">
        <v>46202</v>
      </c>
      <c r="B55" s="94" t="s">
        <v>643</v>
      </c>
      <c r="C55" s="131" t="s">
        <v>57</v>
      </c>
      <c r="D55" s="130" t="s">
        <v>617</v>
      </c>
      <c r="E55" s="132">
        <v>64</v>
      </c>
      <c r="F55" s="124"/>
      <c r="G55" s="125"/>
      <c r="H55" s="86" t="s">
        <v>618</v>
      </c>
      <c r="I55" s="130" t="s">
        <v>617</v>
      </c>
      <c r="J55" s="126">
        <v>46230</v>
      </c>
      <c r="K55" s="126">
        <v>46230</v>
      </c>
      <c r="L55" s="127">
        <v>2.13</v>
      </c>
      <c r="M55" s="124">
        <v>136.32</v>
      </c>
      <c r="N55" t="str">
        <f>_xlfn.XLOOKUP(C55,'Product List'!B:B,'Product List'!N:N)</f>
        <v>Birchwood [Basswood]</v>
      </c>
    </row>
    <row r="56" spans="1:14">
      <c r="A56" s="113">
        <v>46202</v>
      </c>
      <c r="B56" s="94" t="s">
        <v>644</v>
      </c>
      <c r="C56" s="131" t="s">
        <v>58</v>
      </c>
      <c r="D56" s="130" t="s">
        <v>617</v>
      </c>
      <c r="E56" s="132">
        <v>36</v>
      </c>
      <c r="F56" s="124"/>
      <c r="G56" s="125"/>
      <c r="H56" s="86" t="s">
        <v>618</v>
      </c>
      <c r="I56" s="130" t="s">
        <v>617</v>
      </c>
      <c r="J56" s="126">
        <v>46230</v>
      </c>
      <c r="K56" s="126">
        <v>46230</v>
      </c>
      <c r="L56" s="127">
        <v>2.54</v>
      </c>
      <c r="M56" s="124">
        <v>91.44</v>
      </c>
      <c r="N56" t="str">
        <f>_xlfn.XLOOKUP(C56,'Product List'!B:B,'Product List'!N:N)</f>
        <v>Birchwood [Basswood]</v>
      </c>
    </row>
    <row r="57" spans="1:14">
      <c r="A57" s="113">
        <v>46202</v>
      </c>
      <c r="B57" s="94" t="s">
        <v>645</v>
      </c>
      <c r="C57" s="131" t="s">
        <v>646</v>
      </c>
      <c r="D57" s="130" t="s">
        <v>617</v>
      </c>
      <c r="E57" s="132">
        <v>54</v>
      </c>
      <c r="F57" s="124"/>
      <c r="G57" s="125"/>
      <c r="H57" s="86" t="s">
        <v>618</v>
      </c>
      <c r="I57" s="130" t="s">
        <v>617</v>
      </c>
      <c r="J57" s="126">
        <v>46230</v>
      </c>
      <c r="K57" s="126">
        <v>46230</v>
      </c>
      <c r="L57" s="127">
        <v>0</v>
      </c>
      <c r="M57" s="124">
        <v>0</v>
      </c>
      <c r="N57" t="str">
        <f>_xlfn.XLOOKUP(C57,'Product List'!B:B,'Product List'!N:N)</f>
        <v>Basswood</v>
      </c>
    </row>
    <row r="58" spans="1:14">
      <c r="A58" s="113">
        <v>46202</v>
      </c>
      <c r="B58" s="94" t="s">
        <v>647</v>
      </c>
      <c r="C58" s="131" t="s">
        <v>59</v>
      </c>
      <c r="D58" s="130" t="s">
        <v>617</v>
      </c>
      <c r="E58" s="132">
        <v>90</v>
      </c>
      <c r="F58" s="124"/>
      <c r="G58" s="125"/>
      <c r="H58" s="86" t="s">
        <v>618</v>
      </c>
      <c r="I58" s="130" t="s">
        <v>617</v>
      </c>
      <c r="J58" s="126">
        <v>46230</v>
      </c>
      <c r="K58" s="126">
        <v>46230</v>
      </c>
      <c r="L58" s="127">
        <v>1.92</v>
      </c>
      <c r="M58" s="124">
        <v>172.8</v>
      </c>
      <c r="N58" t="str">
        <f>_xlfn.XLOOKUP(C58,'Product List'!B:B,'Product List'!N:N)</f>
        <v>Birchwood [Basswood]</v>
      </c>
    </row>
    <row r="59" spans="1:14">
      <c r="A59" s="113">
        <v>46202</v>
      </c>
      <c r="B59" s="94" t="s">
        <v>648</v>
      </c>
      <c r="C59" s="131" t="s">
        <v>649</v>
      </c>
      <c r="D59" s="130" t="s">
        <v>617</v>
      </c>
      <c r="E59" s="132">
        <v>30</v>
      </c>
      <c r="F59" s="124"/>
      <c r="G59" s="125"/>
      <c r="H59" s="86" t="s">
        <v>618</v>
      </c>
      <c r="I59" s="130" t="s">
        <v>617</v>
      </c>
      <c r="J59" s="126">
        <v>46230</v>
      </c>
      <c r="K59" s="126">
        <v>46230</v>
      </c>
      <c r="L59" s="127">
        <v>1.15</v>
      </c>
      <c r="M59" s="124">
        <v>34.5</v>
      </c>
      <c r="N59" t="str">
        <f>_xlfn.XLOOKUP(C59,'Product List'!B:B,'Product List'!N:N)</f>
        <v>Ceramic</v>
      </c>
    </row>
    <row r="60" spans="1:14">
      <c r="A60" s="113">
        <v>46202</v>
      </c>
      <c r="B60" s="94" t="s">
        <v>650</v>
      </c>
      <c r="C60" s="131" t="s">
        <v>651</v>
      </c>
      <c r="D60" s="130" t="s">
        <v>617</v>
      </c>
      <c r="E60" s="132">
        <v>216</v>
      </c>
      <c r="F60" s="124"/>
      <c r="G60" s="125"/>
      <c r="H60" s="86" t="s">
        <v>618</v>
      </c>
      <c r="I60" s="130" t="s">
        <v>617</v>
      </c>
      <c r="J60" s="126">
        <v>46230</v>
      </c>
      <c r="K60" s="126">
        <v>46230</v>
      </c>
      <c r="L60" s="127">
        <v>0</v>
      </c>
      <c r="M60" s="124">
        <v>0</v>
      </c>
      <c r="N60" t="str">
        <f>_xlfn.XLOOKUP(C60,'Product List'!B:B,'Product List'!N:N)</f>
        <v>Basswood</v>
      </c>
    </row>
    <row r="61" spans="1:14">
      <c r="A61" s="113">
        <v>46202</v>
      </c>
      <c r="B61" s="94" t="s">
        <v>652</v>
      </c>
      <c r="C61" s="131" t="s">
        <v>653</v>
      </c>
      <c r="D61" s="130" t="s">
        <v>617</v>
      </c>
      <c r="E61" s="132">
        <v>84</v>
      </c>
      <c r="F61" s="124"/>
      <c r="G61" s="125"/>
      <c r="H61" s="86" t="s">
        <v>618</v>
      </c>
      <c r="I61" s="130" t="s">
        <v>617</v>
      </c>
      <c r="J61" s="126">
        <v>46230</v>
      </c>
      <c r="K61" s="126">
        <v>46230</v>
      </c>
      <c r="L61" s="127">
        <v>6.27</v>
      </c>
      <c r="M61" s="124">
        <v>526.68</v>
      </c>
      <c r="N61" t="str">
        <f>_xlfn.XLOOKUP(C61,'Product List'!B:B,'Product List'!N:N)</f>
        <v>PS+acrylic</v>
      </c>
    </row>
    <row r="62" spans="1:14">
      <c r="A62" s="113">
        <v>46202</v>
      </c>
      <c r="B62" s="94" t="s">
        <v>654</v>
      </c>
      <c r="C62" s="131" t="s">
        <v>655</v>
      </c>
      <c r="D62" s="130" t="s">
        <v>617</v>
      </c>
      <c r="E62" s="132">
        <v>60</v>
      </c>
      <c r="F62" s="134"/>
      <c r="G62" s="125"/>
      <c r="H62" s="86" t="s">
        <v>618</v>
      </c>
      <c r="I62" s="130" t="s">
        <v>617</v>
      </c>
      <c r="J62" s="126">
        <v>46230</v>
      </c>
      <c r="K62" s="126">
        <v>46230</v>
      </c>
      <c r="L62" s="127">
        <v>6.27</v>
      </c>
      <c r="M62" s="124">
        <v>376.2</v>
      </c>
      <c r="N62" t="str">
        <f>_xlfn.XLOOKUP(C62,'Product List'!B:B,'Product List'!N:N)</f>
        <v>PS+acrylic</v>
      </c>
    </row>
    <row r="63" spans="1:14">
      <c r="A63" s="113">
        <v>46202</v>
      </c>
      <c r="B63" s="94" t="s">
        <v>656</v>
      </c>
      <c r="C63" s="131" t="s">
        <v>53</v>
      </c>
      <c r="D63" s="130" t="s">
        <v>617</v>
      </c>
      <c r="E63" s="132">
        <v>162</v>
      </c>
      <c r="F63" s="134"/>
      <c r="G63" s="125"/>
      <c r="H63" s="86" t="s">
        <v>618</v>
      </c>
      <c r="I63" s="130" t="s">
        <v>617</v>
      </c>
      <c r="J63" s="126">
        <v>46230</v>
      </c>
      <c r="K63" s="126">
        <v>46230</v>
      </c>
      <c r="L63" s="127">
        <v>3.61</v>
      </c>
      <c r="M63" s="124">
        <v>584.82</v>
      </c>
      <c r="N63" t="str">
        <f>_xlfn.XLOOKUP(C63,'Product List'!B:B,'Product List'!N:N)</f>
        <v>Birchwood [Basswood]</v>
      </c>
    </row>
    <row r="64" spans="1:14">
      <c r="A64" s="113">
        <v>46202</v>
      </c>
      <c r="B64" s="94" t="s">
        <v>657</v>
      </c>
      <c r="C64" s="131" t="s">
        <v>61</v>
      </c>
      <c r="D64" s="130" t="s">
        <v>617</v>
      </c>
      <c r="E64" s="132">
        <v>162</v>
      </c>
      <c r="F64" s="134"/>
      <c r="G64" s="125"/>
      <c r="H64" s="86" t="s">
        <v>618</v>
      </c>
      <c r="I64" s="130" t="s">
        <v>617</v>
      </c>
      <c r="J64" s="126">
        <v>46230</v>
      </c>
      <c r="K64" s="126">
        <v>46230</v>
      </c>
      <c r="L64" s="127">
        <v>2.79</v>
      </c>
      <c r="M64" s="124">
        <v>451.98</v>
      </c>
      <c r="N64" t="str">
        <f>_xlfn.XLOOKUP(C64,'Product List'!B:B,'Product List'!N:N)</f>
        <v>Birchwood [Basswood]</v>
      </c>
    </row>
    <row r="65" spans="1:14">
      <c r="A65" s="113">
        <v>46202</v>
      </c>
      <c r="B65" s="94" t="s">
        <v>658</v>
      </c>
      <c r="C65" s="131" t="s">
        <v>659</v>
      </c>
      <c r="D65" s="130" t="s">
        <v>617</v>
      </c>
      <c r="E65" s="132">
        <v>160</v>
      </c>
      <c r="F65" s="134"/>
      <c r="G65" s="125"/>
      <c r="H65" s="86" t="s">
        <v>618</v>
      </c>
      <c r="I65" s="130" t="s">
        <v>617</v>
      </c>
      <c r="J65" s="126">
        <v>46230</v>
      </c>
      <c r="K65" s="126">
        <v>46230</v>
      </c>
      <c r="L65" s="127">
        <v>0</v>
      </c>
      <c r="M65" s="124">
        <v>0</v>
      </c>
      <c r="N65" t="str">
        <f>_xlfn.XLOOKUP(C65,'Product List'!B:B,'Product List'!N:N)</f>
        <v>Basswood</v>
      </c>
    </row>
    <row r="66" spans="1:14">
      <c r="A66" s="113">
        <v>46202</v>
      </c>
      <c r="B66" s="94" t="s">
        <v>660</v>
      </c>
      <c r="C66" s="131" t="s">
        <v>661</v>
      </c>
      <c r="D66" s="130" t="s">
        <v>617</v>
      </c>
      <c r="E66" s="132">
        <v>180</v>
      </c>
      <c r="F66" s="134"/>
      <c r="G66" s="125"/>
      <c r="H66" s="86" t="s">
        <v>618</v>
      </c>
      <c r="I66" s="130" t="s">
        <v>617</v>
      </c>
      <c r="J66" s="126">
        <v>46230</v>
      </c>
      <c r="K66" s="126">
        <v>46230</v>
      </c>
      <c r="L66" s="127">
        <v>0</v>
      </c>
      <c r="M66" s="124">
        <v>0</v>
      </c>
      <c r="N66" t="str">
        <f>_xlfn.XLOOKUP(C66,'Product List'!B:B,'Product List'!N:N)</f>
        <v>Basswood</v>
      </c>
    </row>
    <row r="67" spans="1:14">
      <c r="A67" s="113">
        <v>46255</v>
      </c>
      <c r="B67" s="94" t="s">
        <v>601</v>
      </c>
      <c r="C67" s="135" t="s">
        <v>29</v>
      </c>
      <c r="D67" s="130">
        <v>4100027352</v>
      </c>
      <c r="E67" s="125">
        <v>456</v>
      </c>
      <c r="F67" s="125">
        <v>9.55</v>
      </c>
      <c r="G67" s="125">
        <v>4354.8</v>
      </c>
      <c r="H67" s="135" t="s">
        <v>577</v>
      </c>
      <c r="I67" s="135" t="s">
        <v>577</v>
      </c>
      <c r="J67" s="126">
        <v>46325</v>
      </c>
      <c r="K67" s="110"/>
      <c r="L67" s="127">
        <v>9.55</v>
      </c>
      <c r="M67" s="124">
        <v>4354.8</v>
      </c>
      <c r="N67" t="str">
        <f>_xlfn.XLOOKUP(C67,'Product List'!B:B,'Product List'!N:N)</f>
        <v>PS, PMMA</v>
      </c>
    </row>
    <row r="68" spans="1:14">
      <c r="A68" s="113">
        <v>46255</v>
      </c>
      <c r="B68" s="94" t="s">
        <v>592</v>
      </c>
      <c r="C68" s="135" t="s">
        <v>63</v>
      </c>
      <c r="D68" s="130">
        <v>4100027352</v>
      </c>
      <c r="E68" s="125">
        <v>612</v>
      </c>
      <c r="F68" s="125">
        <v>4.66</v>
      </c>
      <c r="G68" s="125">
        <v>2851.92</v>
      </c>
      <c r="H68" s="135" t="s">
        <v>577</v>
      </c>
      <c r="I68" s="135" t="s">
        <v>577</v>
      </c>
      <c r="J68" s="126">
        <v>46325</v>
      </c>
      <c r="K68" s="110"/>
      <c r="L68" s="127">
        <v>4.66</v>
      </c>
      <c r="M68" s="124">
        <v>2851.92</v>
      </c>
      <c r="N68" t="str">
        <f>_xlfn.XLOOKUP(C68,'Product List'!B:B,'Product List'!N:N)</f>
        <v>PP, PS</v>
      </c>
    </row>
    <row r="69" spans="1:14">
      <c r="A69" s="113">
        <v>46255</v>
      </c>
      <c r="B69" s="94" t="s">
        <v>590</v>
      </c>
      <c r="C69" s="135" t="s">
        <v>591</v>
      </c>
      <c r="D69" s="130">
        <v>4100027352</v>
      </c>
      <c r="E69" s="125">
        <v>1020</v>
      </c>
      <c r="F69" s="125">
        <v>1.49</v>
      </c>
      <c r="G69" s="125">
        <v>1519.8</v>
      </c>
      <c r="H69" s="135" t="s">
        <v>577</v>
      </c>
      <c r="I69" s="135" t="s">
        <v>577</v>
      </c>
      <c r="J69" s="126">
        <v>46325</v>
      </c>
      <c r="K69" s="110"/>
      <c r="L69" s="127">
        <v>1.49</v>
      </c>
      <c r="M69" s="124">
        <v>1519.8</v>
      </c>
      <c r="N69" t="str">
        <f>_xlfn.XLOOKUP(C69,'Product List'!B:B,'Product List'!N:N)</f>
        <v>ABS, Stainless Steel</v>
      </c>
    </row>
    <row r="70" spans="1:14">
      <c r="A70" s="113">
        <v>46255</v>
      </c>
      <c r="B70" s="94" t="s">
        <v>578</v>
      </c>
      <c r="C70" s="135" t="s">
        <v>52</v>
      </c>
      <c r="D70" s="130">
        <v>4100027352</v>
      </c>
      <c r="E70" s="125">
        <v>2400</v>
      </c>
      <c r="F70" s="125">
        <v>1.14</v>
      </c>
      <c r="G70" s="125">
        <v>2736</v>
      </c>
      <c r="H70" s="135" t="s">
        <v>577</v>
      </c>
      <c r="I70" s="135" t="s">
        <v>577</v>
      </c>
      <c r="J70" s="126">
        <v>46325</v>
      </c>
      <c r="K70" s="110"/>
      <c r="L70" s="127">
        <v>1.14</v>
      </c>
      <c r="M70" s="124">
        <v>2736</v>
      </c>
      <c r="N70" t="str">
        <f>_xlfn.XLOOKUP(C70,'Product List'!B:B,'Product List'!N:N)</f>
        <v>PP, PET</v>
      </c>
    </row>
    <row r="71" spans="1:14">
      <c r="A71" s="113">
        <v>46255</v>
      </c>
      <c r="B71" s="94" t="s">
        <v>606</v>
      </c>
      <c r="C71" s="135" t="s">
        <v>607</v>
      </c>
      <c r="D71" s="130">
        <v>4100027352</v>
      </c>
      <c r="E71" s="125">
        <v>120</v>
      </c>
      <c r="F71" s="125">
        <v>14.78</v>
      </c>
      <c r="G71" s="125">
        <v>1773.6</v>
      </c>
      <c r="H71" s="135" t="s">
        <v>577</v>
      </c>
      <c r="I71" s="135" t="s">
        <v>577</v>
      </c>
      <c r="J71" s="126">
        <v>46325</v>
      </c>
      <c r="K71" s="110"/>
      <c r="L71" s="127">
        <v>14.78</v>
      </c>
      <c r="M71" s="124">
        <v>1773.6</v>
      </c>
      <c r="N71" t="str">
        <f>_xlfn.XLOOKUP(C71,'Product List'!B:B,'Product List'!N:N)</f>
        <v>ABS, PC</v>
      </c>
    </row>
    <row r="72" spans="1:14">
      <c r="A72" s="113">
        <v>46255</v>
      </c>
      <c r="B72" s="94" t="s">
        <v>589</v>
      </c>
      <c r="C72" s="135" t="s">
        <v>74</v>
      </c>
      <c r="D72" s="130">
        <v>4100027352</v>
      </c>
      <c r="E72" s="125">
        <v>576</v>
      </c>
      <c r="F72" s="125">
        <v>3.32</v>
      </c>
      <c r="G72" s="125">
        <v>1912.32</v>
      </c>
      <c r="H72" s="135" t="s">
        <v>577</v>
      </c>
      <c r="I72" s="135" t="s">
        <v>577</v>
      </c>
      <c r="J72" s="126">
        <v>46325</v>
      </c>
      <c r="K72" s="110"/>
      <c r="L72" s="127">
        <v>3.32</v>
      </c>
      <c r="M72" s="124">
        <v>1912.32</v>
      </c>
      <c r="N72" t="str">
        <f>_xlfn.XLOOKUP(C72,'Product List'!B:B,'Product List'!N:N)</f>
        <v>PS, HIPS, PET, Silicone</v>
      </c>
    </row>
    <row r="73" spans="1:14">
      <c r="A73" s="113">
        <v>46255</v>
      </c>
      <c r="B73" s="94" t="s">
        <v>630</v>
      </c>
      <c r="C73" s="135" t="s">
        <v>631</v>
      </c>
      <c r="D73" s="130">
        <v>4100027352</v>
      </c>
      <c r="E73" s="125">
        <v>528</v>
      </c>
      <c r="F73" s="125">
        <v>2.09</v>
      </c>
      <c r="G73" s="125">
        <v>1103.52</v>
      </c>
      <c r="H73" s="135" t="s">
        <v>577</v>
      </c>
      <c r="I73" s="135" t="s">
        <v>577</v>
      </c>
      <c r="J73" s="126">
        <v>46325</v>
      </c>
      <c r="K73" s="110"/>
      <c r="L73" s="127">
        <v>2.09</v>
      </c>
      <c r="M73" s="124">
        <v>1103.52</v>
      </c>
      <c r="N73" t="str">
        <f>_xlfn.XLOOKUP(C73,'Product List'!B:B,'Product List'!N:N)</f>
        <v>Ceramic</v>
      </c>
    </row>
    <row r="74" spans="1:14">
      <c r="A74" s="113">
        <v>46255</v>
      </c>
      <c r="B74" s="94" t="s">
        <v>604</v>
      </c>
      <c r="C74" s="135" t="s">
        <v>605</v>
      </c>
      <c r="D74" s="130">
        <v>4100027352</v>
      </c>
      <c r="E74" s="125">
        <v>196</v>
      </c>
      <c r="F74" s="125">
        <v>47.4903</v>
      </c>
      <c r="G74" s="125">
        <v>9308.0988</v>
      </c>
      <c r="H74" s="135" t="s">
        <v>577</v>
      </c>
      <c r="I74" s="135" t="s">
        <v>577</v>
      </c>
      <c r="J74" s="126">
        <v>46325</v>
      </c>
      <c r="K74" s="110"/>
      <c r="L74" s="127">
        <v>47.4903</v>
      </c>
      <c r="M74" s="124">
        <v>9308.0988</v>
      </c>
      <c r="N74" t="str">
        <f>_xlfn.XLOOKUP(C74,'Product List'!B:B,'Product List'!N:N)</f>
        <v>PMMA+PVC+ABS</v>
      </c>
    </row>
    <row r="75" spans="1:14">
      <c r="A75" s="113">
        <v>46255</v>
      </c>
      <c r="B75" s="94" t="s">
        <v>589</v>
      </c>
      <c r="C75" s="135" t="s">
        <v>596</v>
      </c>
      <c r="D75" s="130">
        <v>4100027352</v>
      </c>
      <c r="E75" s="125">
        <v>1152</v>
      </c>
      <c r="F75" s="125">
        <v>2.61</v>
      </c>
      <c r="G75" s="125">
        <v>3006.72</v>
      </c>
      <c r="H75" s="135" t="s">
        <v>577</v>
      </c>
      <c r="I75" s="135" t="s">
        <v>577</v>
      </c>
      <c r="J75" s="126">
        <v>46325</v>
      </c>
      <c r="K75" s="110"/>
      <c r="L75" s="127">
        <v>2.61</v>
      </c>
      <c r="M75" s="124">
        <v>3006.72</v>
      </c>
      <c r="N75" t="str">
        <f>_xlfn.XLOOKUP(C75,'Product List'!B:B,'Product List'!N:N)</f>
        <v>Basswood</v>
      </c>
    </row>
    <row r="76" spans="1:14">
      <c r="A76" s="113">
        <v>46255</v>
      </c>
      <c r="B76" s="94" t="s">
        <v>599</v>
      </c>
      <c r="C76" s="135" t="s">
        <v>600</v>
      </c>
      <c r="D76" s="130">
        <v>4100027352</v>
      </c>
      <c r="E76" s="125">
        <v>528</v>
      </c>
      <c r="F76" s="125">
        <v>3.18</v>
      </c>
      <c r="G76" s="125">
        <v>1679.04</v>
      </c>
      <c r="H76" s="135" t="s">
        <v>577</v>
      </c>
      <c r="I76" s="135" t="s">
        <v>577</v>
      </c>
      <c r="J76" s="126">
        <v>46325</v>
      </c>
      <c r="K76" s="110"/>
      <c r="L76" s="127">
        <v>3.18</v>
      </c>
      <c r="M76" s="124">
        <v>1679.04</v>
      </c>
      <c r="N76" t="str">
        <f>_xlfn.XLOOKUP(C76,'Product List'!B:B,'Product List'!N:N)</f>
        <v>PP</v>
      </c>
    </row>
    <row r="77" spans="1:14">
      <c r="A77" s="113">
        <v>46255</v>
      </c>
      <c r="B77" s="94" t="s">
        <v>662</v>
      </c>
      <c r="C77" s="135" t="s">
        <v>38</v>
      </c>
      <c r="D77" s="130">
        <v>4100027352</v>
      </c>
      <c r="E77" s="125">
        <v>288</v>
      </c>
      <c r="F77" s="125">
        <v>2.05</v>
      </c>
      <c r="G77" s="125">
        <v>590.4</v>
      </c>
      <c r="H77" s="135" t="s">
        <v>577</v>
      </c>
      <c r="I77" s="135" t="s">
        <v>577</v>
      </c>
      <c r="J77" s="126">
        <v>46325</v>
      </c>
      <c r="K77" s="110"/>
      <c r="L77" s="127">
        <v>2.05</v>
      </c>
      <c r="M77" s="124">
        <v>590.4</v>
      </c>
      <c r="N77" t="str">
        <f>_xlfn.XLOOKUP(C77,'Product List'!B:B,'Product List'!N:N)</f>
        <v>Ceramic</v>
      </c>
    </row>
    <row r="78" spans="1:14">
      <c r="A78" s="113">
        <v>46255</v>
      </c>
      <c r="B78" s="94" t="s">
        <v>597</v>
      </c>
      <c r="C78" s="135" t="s">
        <v>598</v>
      </c>
      <c r="D78" s="130">
        <v>4100027352</v>
      </c>
      <c r="E78" s="125">
        <v>700</v>
      </c>
      <c r="F78" s="125">
        <v>4.32</v>
      </c>
      <c r="G78" s="125">
        <v>3024</v>
      </c>
      <c r="H78" s="135" t="s">
        <v>577</v>
      </c>
      <c r="I78" s="135" t="s">
        <v>577</v>
      </c>
      <c r="J78" s="126">
        <v>46325</v>
      </c>
      <c r="K78" s="110"/>
      <c r="L78" s="127">
        <v>4.32</v>
      </c>
      <c r="M78" s="124">
        <v>3024</v>
      </c>
      <c r="N78" t="str">
        <f>_xlfn.XLOOKUP(C78,'Product List'!B:B,'Product List'!N:N)</f>
        <v>PP</v>
      </c>
    </row>
    <row r="79" spans="1:14">
      <c r="A79" s="113">
        <v>46255</v>
      </c>
      <c r="B79" s="94" t="s">
        <v>576</v>
      </c>
      <c r="C79" s="129" t="s">
        <v>77</v>
      </c>
      <c r="D79" s="130">
        <v>4100027352</v>
      </c>
      <c r="E79" s="125">
        <v>3360</v>
      </c>
      <c r="F79" s="125">
        <v>0.91</v>
      </c>
      <c r="G79" s="125">
        <v>3057.6</v>
      </c>
      <c r="H79" s="135" t="s">
        <v>577</v>
      </c>
      <c r="I79" s="135" t="s">
        <v>577</v>
      </c>
      <c r="J79" s="126">
        <v>46325</v>
      </c>
      <c r="K79" s="110"/>
      <c r="L79" s="127">
        <v>0.91</v>
      </c>
      <c r="M79" s="124">
        <v>3057.6</v>
      </c>
      <c r="N79" t="str">
        <f>_xlfn.XLOOKUP(C79,'Product List'!B:B,'Product List'!N:N)</f>
        <v>PP</v>
      </c>
    </row>
    <row r="80" spans="1:14">
      <c r="A80" s="113">
        <v>46255</v>
      </c>
      <c r="B80" s="94" t="s">
        <v>603</v>
      </c>
      <c r="C80" s="135" t="s">
        <v>50</v>
      </c>
      <c r="D80" s="130">
        <v>4100027352</v>
      </c>
      <c r="E80" s="125">
        <v>389</v>
      </c>
      <c r="F80" s="125">
        <v>32.97</v>
      </c>
      <c r="G80" s="125">
        <v>12825.33</v>
      </c>
      <c r="H80" s="135" t="s">
        <v>577</v>
      </c>
      <c r="I80" s="135" t="s">
        <v>577</v>
      </c>
      <c r="J80" s="126">
        <v>46325</v>
      </c>
      <c r="K80" s="110"/>
      <c r="L80" s="127">
        <v>32.97</v>
      </c>
      <c r="M80" s="124">
        <v>12825.33</v>
      </c>
      <c r="N80" t="str">
        <f>_xlfn.XLOOKUP(C80,'Product List'!B:B,'Product List'!N:N)</f>
        <v>PC, PP, HIPS</v>
      </c>
    </row>
    <row r="81" spans="1:14">
      <c r="A81" s="113">
        <v>46255</v>
      </c>
      <c r="B81" s="94" t="s">
        <v>611</v>
      </c>
      <c r="C81" s="135" t="s">
        <v>614</v>
      </c>
      <c r="D81" s="130">
        <v>4100027352</v>
      </c>
      <c r="E81" s="125">
        <v>508</v>
      </c>
      <c r="F81" s="125">
        <v>15.21</v>
      </c>
      <c r="G81" s="125">
        <v>7726.68</v>
      </c>
      <c r="H81" s="135" t="s">
        <v>577</v>
      </c>
      <c r="I81" s="135" t="s">
        <v>577</v>
      </c>
      <c r="J81" s="126">
        <v>46325</v>
      </c>
      <c r="K81" s="110"/>
      <c r="L81" s="127">
        <v>15.21</v>
      </c>
      <c r="M81" s="124">
        <v>7726.68</v>
      </c>
      <c r="N81" t="str">
        <f>_xlfn.XLOOKUP(C81,'Product List'!B:B,'Product List'!N:N)</f>
        <v>PP, ABS, PS</v>
      </c>
    </row>
    <row r="82" spans="1:14">
      <c r="A82" s="113">
        <v>46255</v>
      </c>
      <c r="B82" s="94" t="s">
        <v>595</v>
      </c>
      <c r="C82" s="135" t="s">
        <v>36</v>
      </c>
      <c r="D82" s="130">
        <v>4100027352</v>
      </c>
      <c r="E82" s="125">
        <v>900</v>
      </c>
      <c r="F82" s="125">
        <v>2.57</v>
      </c>
      <c r="G82" s="125">
        <v>2313</v>
      </c>
      <c r="H82" s="135" t="s">
        <v>577</v>
      </c>
      <c r="I82" s="135" t="s">
        <v>577</v>
      </c>
      <c r="J82" s="126">
        <v>46325</v>
      </c>
      <c r="K82" s="110"/>
      <c r="L82" s="127">
        <v>2.57</v>
      </c>
      <c r="M82" s="124">
        <v>2313</v>
      </c>
      <c r="N82" t="str">
        <f>_xlfn.XLOOKUP(C82,'Product List'!B:B,'Product List'!N:N)</f>
        <v>ABS, PP, PC, Glass</v>
      </c>
    </row>
    <row r="83" spans="1:14">
      <c r="A83" s="113">
        <v>46255</v>
      </c>
      <c r="B83" s="94" t="s">
        <v>611</v>
      </c>
      <c r="C83" s="135" t="s">
        <v>612</v>
      </c>
      <c r="D83" s="130">
        <v>4100027352</v>
      </c>
      <c r="E83" s="125">
        <v>332</v>
      </c>
      <c r="F83" s="125">
        <v>15.21</v>
      </c>
      <c r="G83" s="125">
        <v>5049.72</v>
      </c>
      <c r="H83" s="135" t="s">
        <v>577</v>
      </c>
      <c r="I83" s="135" t="s">
        <v>577</v>
      </c>
      <c r="J83" s="126">
        <v>46325</v>
      </c>
      <c r="K83" s="110"/>
      <c r="L83" s="127">
        <v>15.21</v>
      </c>
      <c r="M83" s="124">
        <v>5049.72</v>
      </c>
      <c r="N83" t="str">
        <f>_xlfn.XLOOKUP(C83,'Product List'!B:B,'Product List'!N:N)</f>
        <v>PP, ABS, PS</v>
      </c>
    </row>
    <row r="84" spans="1:14">
      <c r="A84" s="113">
        <v>46255</v>
      </c>
      <c r="B84" s="94" t="s">
        <v>593</v>
      </c>
      <c r="C84" s="129" t="s">
        <v>594</v>
      </c>
      <c r="D84" s="130">
        <v>4100027352</v>
      </c>
      <c r="E84" s="125">
        <v>480</v>
      </c>
      <c r="F84" s="125">
        <v>0.62</v>
      </c>
      <c r="G84" s="125">
        <v>297.6</v>
      </c>
      <c r="H84" s="135" t="s">
        <v>577</v>
      </c>
      <c r="I84" s="135" t="s">
        <v>577</v>
      </c>
      <c r="J84" s="126">
        <v>46325</v>
      </c>
      <c r="K84" s="110"/>
      <c r="L84" s="127">
        <v>0.62</v>
      </c>
      <c r="M84" s="124">
        <v>297.6</v>
      </c>
      <c r="N84" t="str">
        <f>_xlfn.XLOOKUP(C84,'Product List'!B:B,'Product List'!N:N)</f>
        <v>PP</v>
      </c>
    </row>
    <row r="85" spans="1:14">
      <c r="A85" s="113">
        <v>46255</v>
      </c>
      <c r="B85" s="94" t="s">
        <v>585</v>
      </c>
      <c r="C85" s="135" t="s">
        <v>586</v>
      </c>
      <c r="D85" s="130">
        <v>4100027352</v>
      </c>
      <c r="E85" s="125">
        <v>1740</v>
      </c>
      <c r="F85" s="125">
        <v>0.87</v>
      </c>
      <c r="G85" s="125">
        <v>1513.8</v>
      </c>
      <c r="H85" s="135" t="s">
        <v>577</v>
      </c>
      <c r="I85" s="135" t="s">
        <v>577</v>
      </c>
      <c r="J85" s="126">
        <v>46325</v>
      </c>
      <c r="K85" s="110"/>
      <c r="L85" s="127">
        <v>0.87</v>
      </c>
      <c r="M85" s="124">
        <v>1513.8</v>
      </c>
      <c r="N85" t="str">
        <f>_xlfn.XLOOKUP(C85,'Product List'!B:B,'Product List'!N:N)</f>
        <v>PP+PET</v>
      </c>
    </row>
    <row r="86" spans="1:14">
      <c r="A86" s="113">
        <v>46255</v>
      </c>
      <c r="B86" s="94" t="s">
        <v>602</v>
      </c>
      <c r="C86" s="135" t="s">
        <v>66</v>
      </c>
      <c r="D86" s="130">
        <v>4100027352</v>
      </c>
      <c r="E86" s="125">
        <v>540</v>
      </c>
      <c r="F86" s="125">
        <v>3.5</v>
      </c>
      <c r="G86" s="125">
        <v>1890</v>
      </c>
      <c r="H86" s="135" t="s">
        <v>577</v>
      </c>
      <c r="I86" s="135" t="s">
        <v>577</v>
      </c>
      <c r="J86" s="126">
        <v>46325</v>
      </c>
      <c r="K86" s="110"/>
      <c r="L86" s="127">
        <v>3.5</v>
      </c>
      <c r="M86" s="124">
        <v>1890</v>
      </c>
      <c r="N86" t="str">
        <f>_xlfn.XLOOKUP(C86,'Product List'!B:B,'Product List'!N:N)</f>
        <v>Glass, ABS, PP</v>
      </c>
    </row>
    <row r="87" spans="1:14">
      <c r="A87" s="113">
        <v>46255</v>
      </c>
      <c r="B87" s="94" t="s">
        <v>610</v>
      </c>
      <c r="C87" s="135" t="s">
        <v>64</v>
      </c>
      <c r="D87" s="130">
        <v>4100027352</v>
      </c>
      <c r="E87" s="125">
        <v>119</v>
      </c>
      <c r="F87" s="125">
        <v>35.5</v>
      </c>
      <c r="G87" s="125">
        <v>4224.5</v>
      </c>
      <c r="H87" s="135" t="s">
        <v>577</v>
      </c>
      <c r="I87" s="135" t="s">
        <v>577</v>
      </c>
      <c r="J87" s="126">
        <v>46325</v>
      </c>
      <c r="K87" s="110"/>
      <c r="L87" s="127">
        <v>35.5</v>
      </c>
      <c r="M87" s="124">
        <v>4224.5</v>
      </c>
      <c r="N87" t="str">
        <f>_xlfn.XLOOKUP(C87,'Product List'!B:B,'Product List'!N:N)</f>
        <v>PS, PET, PP</v>
      </c>
    </row>
    <row r="88" spans="1:14">
      <c r="A88" s="113">
        <v>46255</v>
      </c>
      <c r="B88" s="94" t="s">
        <v>611</v>
      </c>
      <c r="C88" s="135" t="s">
        <v>613</v>
      </c>
      <c r="D88" s="130">
        <v>4100027352</v>
      </c>
      <c r="E88" s="125">
        <v>468</v>
      </c>
      <c r="F88" s="125">
        <v>15.21</v>
      </c>
      <c r="G88" s="125">
        <v>7118.28</v>
      </c>
      <c r="H88" s="135" t="s">
        <v>577</v>
      </c>
      <c r="I88" s="135" t="s">
        <v>577</v>
      </c>
      <c r="J88" s="126">
        <v>46325</v>
      </c>
      <c r="K88" s="110"/>
      <c r="L88" s="127">
        <v>15.21</v>
      </c>
      <c r="M88" s="124">
        <v>7118.28</v>
      </c>
      <c r="N88" t="str">
        <f>_xlfn.XLOOKUP(C88,'Product List'!B:B,'Product List'!N:N)</f>
        <v>PP, ABS, PS</v>
      </c>
    </row>
    <row r="89" spans="1:14">
      <c r="A89" s="113">
        <v>46255</v>
      </c>
      <c r="B89" s="94" t="s">
        <v>581</v>
      </c>
      <c r="C89" s="135" t="s">
        <v>582</v>
      </c>
      <c r="D89" s="130">
        <v>4100027352</v>
      </c>
      <c r="E89" s="125">
        <v>2160</v>
      </c>
      <c r="F89" s="125">
        <v>0.63</v>
      </c>
      <c r="G89" s="125">
        <v>1360.8</v>
      </c>
      <c r="H89" s="135" t="s">
        <v>577</v>
      </c>
      <c r="I89" s="135" t="s">
        <v>577</v>
      </c>
      <c r="J89" s="126">
        <v>46325</v>
      </c>
      <c r="K89" s="110"/>
      <c r="L89" s="127">
        <v>0.63</v>
      </c>
      <c r="M89" s="124">
        <v>1360.8</v>
      </c>
      <c r="N89" t="str">
        <f>_xlfn.XLOOKUP(C89,'Product List'!B:B,'Product List'!N:N)</f>
        <v>PP+PET</v>
      </c>
    </row>
    <row r="90" spans="1:14">
      <c r="A90" s="113">
        <v>46255</v>
      </c>
      <c r="B90" s="94" t="s">
        <v>583</v>
      </c>
      <c r="C90" s="135" t="s">
        <v>584</v>
      </c>
      <c r="D90" s="130">
        <v>4100027352</v>
      </c>
      <c r="E90" s="125">
        <v>2160</v>
      </c>
      <c r="F90" s="125">
        <v>0.76</v>
      </c>
      <c r="G90" s="125">
        <v>1641.6</v>
      </c>
      <c r="H90" s="135" t="s">
        <v>577</v>
      </c>
      <c r="I90" s="135" t="s">
        <v>577</v>
      </c>
      <c r="J90" s="126">
        <v>46325</v>
      </c>
      <c r="K90" s="110"/>
      <c r="L90" s="127">
        <v>0.76</v>
      </c>
      <c r="M90" s="124">
        <v>1641.6</v>
      </c>
      <c r="N90" t="str">
        <f>_xlfn.XLOOKUP(C90,'Product List'!B:B,'Product List'!N:N)</f>
        <v>PP+PET</v>
      </c>
    </row>
    <row r="91" spans="1:14">
      <c r="A91" s="113">
        <v>46255</v>
      </c>
      <c r="B91" s="94" t="s">
        <v>592</v>
      </c>
      <c r="C91" s="135" t="s">
        <v>615</v>
      </c>
      <c r="D91" s="130">
        <v>4100027352</v>
      </c>
      <c r="E91" s="125">
        <v>396</v>
      </c>
      <c r="F91" s="125">
        <v>4.66</v>
      </c>
      <c r="G91" s="125">
        <v>1845.36</v>
      </c>
      <c r="H91" s="135" t="s">
        <v>577</v>
      </c>
      <c r="I91" s="135" t="s">
        <v>577</v>
      </c>
      <c r="J91" s="126">
        <v>46325</v>
      </c>
      <c r="K91" s="110"/>
      <c r="L91" s="127">
        <v>4.66</v>
      </c>
      <c r="M91" s="124">
        <v>1845.36</v>
      </c>
      <c r="N91" t="str">
        <f>_xlfn.XLOOKUP(C91,'Product List'!B:B,'Product List'!N:N)</f>
        <v>PP, PS</v>
      </c>
    </row>
    <row r="92" spans="1:14">
      <c r="A92" s="113">
        <v>46255</v>
      </c>
      <c r="B92" s="94" t="s">
        <v>592</v>
      </c>
      <c r="C92" s="135" t="s">
        <v>616</v>
      </c>
      <c r="D92" s="130">
        <v>4100027352</v>
      </c>
      <c r="E92" s="125">
        <v>396</v>
      </c>
      <c r="F92" s="125">
        <v>4.66</v>
      </c>
      <c r="G92" s="125">
        <v>1845.36</v>
      </c>
      <c r="H92" s="135" t="s">
        <v>577</v>
      </c>
      <c r="I92" s="135" t="s">
        <v>577</v>
      </c>
      <c r="J92" s="126">
        <v>46325</v>
      </c>
      <c r="K92" s="110"/>
      <c r="L92" s="127">
        <v>4.66</v>
      </c>
      <c r="M92" s="124">
        <v>1845.36</v>
      </c>
      <c r="N92" t="str">
        <f>_xlfn.XLOOKUP(C92,'Product List'!B:B,'Product List'!N:N)</f>
        <v>PP, PS</v>
      </c>
    </row>
    <row r="93" customFormat="1" spans="1:14">
      <c r="A93" s="113">
        <v>46255</v>
      </c>
      <c r="B93" s="94" t="s">
        <v>587</v>
      </c>
      <c r="C93" s="135" t="s">
        <v>588</v>
      </c>
      <c r="D93" s="130">
        <v>4100027352</v>
      </c>
      <c r="E93" s="125">
        <v>432</v>
      </c>
      <c r="F93" s="125">
        <v>3.32</v>
      </c>
      <c r="G93" s="125">
        <v>1434.24</v>
      </c>
      <c r="H93" s="135" t="s">
        <v>577</v>
      </c>
      <c r="I93" s="135" t="s">
        <v>577</v>
      </c>
      <c r="J93" s="126">
        <v>46325</v>
      </c>
      <c r="K93" s="110"/>
      <c r="L93" s="127">
        <v>3.32</v>
      </c>
      <c r="M93" s="124">
        <v>1434.24</v>
      </c>
      <c r="N93" t="str">
        <f>_xlfn.XLOOKUP(C93,'Product List'!B:B,'Product List'!N:N)</f>
        <v>PS, HIPS, PET, Silicone</v>
      </c>
    </row>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sheetProtection formatCells="0" formatColumns="0" formatRows="0" insertRows="0" insertColumns="0" insertHyperlinks="0" deleteColumns="0" deleteRows="0" sort="0" autoFilter="0" pivotTables="0"/>
  <autoFilter xmlns:etc="http://www.wps.cn/officeDocument/2017/etCustomData" ref="A1:N93" etc:filterBottomFollowUsedRange="1">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BE5D6"/>
    <outlinePr summaryBelow="0" summaryRight="0"/>
  </sheetPr>
  <dimension ref="A1:AD142"/>
  <sheetViews>
    <sheetView zoomScale="75" zoomScaleNormal="75" workbookViewId="0">
      <selection activeCell="L12" sqref="L12"/>
    </sheetView>
  </sheetViews>
  <sheetFormatPr defaultColWidth="12.6285714285714" defaultRowHeight="15.75" customHeight="1"/>
  <cols>
    <col min="1" max="1" width="16.5047619047619" customWidth="1"/>
    <col min="2" max="2" width="13.6857142857143" customWidth="1"/>
    <col min="3" max="3" width="10.9333333333333" style="100" customWidth="1" collapsed="1"/>
    <col min="4" max="5" width="8.21904761904762" hidden="1" customWidth="1" outlineLevel="1"/>
    <col min="6" max="6" width="8.21904761904762" customWidth="1"/>
    <col min="7" max="7" width="11.2190476190476" customWidth="1"/>
    <col min="8" max="8" width="10.8571428571429" customWidth="1"/>
    <col min="9" max="9" width="18.5714285714286" customWidth="1" outlineLevel="1"/>
    <col min="10" max="10" width="9.76190476190476" customWidth="1" outlineLevel="1"/>
    <col min="11" max="11" width="20.9238095238095" customWidth="1"/>
    <col min="12" max="12" width="18.7714285714286" customWidth="1"/>
    <col min="13" max="13" width="18.5714285714286" customWidth="1"/>
    <col min="14" max="14" width="13.4952380952381" customWidth="1"/>
    <col min="15" max="19" width="8.85714285714286" customWidth="1"/>
    <col min="20" max="20" width="16.5047619047619" customWidth="1"/>
    <col min="21" max="21" width="128.638095238095" customWidth="1" outlineLevel="2"/>
    <col min="22" max="22" width="48.2857142857143" customWidth="1" outlineLevel="2"/>
    <col min="23" max="23" width="11.5714285714286" customWidth="1" outlineLevel="2"/>
    <col min="24" max="30" width="8.57142857142857" customWidth="1" outlineLevel="2"/>
  </cols>
  <sheetData>
    <row r="1" customHeight="1" spans="1:30">
      <c r="A1" s="85" t="s">
        <v>663</v>
      </c>
      <c r="B1" s="85" t="s">
        <v>288</v>
      </c>
      <c r="C1" s="101" t="s">
        <v>112</v>
      </c>
      <c r="D1" s="85" t="s">
        <v>664</v>
      </c>
      <c r="E1" s="85" t="s">
        <v>665</v>
      </c>
      <c r="F1" s="85" t="s">
        <v>666</v>
      </c>
      <c r="G1" s="85" t="s">
        <v>667</v>
      </c>
      <c r="H1" s="85" t="s">
        <v>668</v>
      </c>
      <c r="I1" s="85" t="s">
        <v>1</v>
      </c>
      <c r="J1" s="90" t="s">
        <v>669</v>
      </c>
      <c r="K1" s="90" t="s">
        <v>670</v>
      </c>
      <c r="L1" s="90" t="s">
        <v>671</v>
      </c>
      <c r="M1" s="85" t="s">
        <v>292</v>
      </c>
      <c r="N1" s="90" t="s">
        <v>672</v>
      </c>
      <c r="O1" s="90" t="s">
        <v>19</v>
      </c>
      <c r="P1" s="85" t="s">
        <v>16</v>
      </c>
      <c r="Q1" s="85" t="s">
        <v>23</v>
      </c>
      <c r="R1" s="85" t="s">
        <v>125</v>
      </c>
      <c r="S1" s="90" t="s">
        <v>673</v>
      </c>
      <c r="T1" s="85" t="s">
        <v>674</v>
      </c>
      <c r="U1" s="85" t="s">
        <v>675</v>
      </c>
      <c r="V1" s="85" t="s">
        <v>676</v>
      </c>
      <c r="W1" s="85" t="s">
        <v>677</v>
      </c>
      <c r="X1" s="85" t="s">
        <v>678</v>
      </c>
      <c r="Y1" s="85" t="s">
        <v>679</v>
      </c>
      <c r="Z1" s="85" t="s">
        <v>680</v>
      </c>
      <c r="AA1" s="85" t="s">
        <v>681</v>
      </c>
      <c r="AB1" s="85" t="s">
        <v>682</v>
      </c>
      <c r="AC1" s="85" t="s">
        <v>683</v>
      </c>
      <c r="AD1" s="85" t="s">
        <v>684</v>
      </c>
    </row>
    <row r="2" customHeight="1" spans="1:30">
      <c r="A2" s="102" t="s">
        <v>685</v>
      </c>
      <c r="B2" s="86" t="s">
        <v>28</v>
      </c>
      <c r="C2" s="103">
        <v>698746777135</v>
      </c>
      <c r="D2" s="102">
        <f ca="1">SUMIFS(Sales!$G:$G,Sales!$C:$C,$B2,Sales!$A:$A,"&gt;="&amp;EDATE(TODAY(),-6))</f>
        <v>4647.84</v>
      </c>
      <c r="E2" s="86">
        <f ca="1" t="shared" ref="E2:E65" si="0">IF($D2&lt;=0,1,(SUMIF($D:$D,"&gt;"&amp;$D2,$D:$D)+$D2)/SUM($D:$D))</f>
        <v>0.939091715861277</v>
      </c>
      <c r="F2" s="102" t="str">
        <f ca="1" t="shared" ref="F2:F65" si="1">IF($D2&lt;=0,"C",IF($E2&lt;=0.7,"A",IF($E2&lt;=0.9,"B","C")))</f>
        <v>C</v>
      </c>
      <c r="G2" s="102" t="s">
        <v>686</v>
      </c>
      <c r="H2" s="102" t="s">
        <v>687</v>
      </c>
      <c r="I2" s="86" t="s">
        <v>688</v>
      </c>
      <c r="J2" s="86" t="s">
        <v>689</v>
      </c>
      <c r="K2" s="86" t="s">
        <v>690</v>
      </c>
      <c r="L2" s="86" t="s">
        <v>691</v>
      </c>
      <c r="M2" s="86" t="s">
        <v>306</v>
      </c>
      <c r="N2" s="104" t="s">
        <v>692</v>
      </c>
      <c r="O2" s="104">
        <v>1000</v>
      </c>
      <c r="P2" s="104">
        <v>10</v>
      </c>
      <c r="Q2" s="86">
        <v>8</v>
      </c>
      <c r="R2" s="86">
        <v>6.27</v>
      </c>
      <c r="S2" s="104">
        <v>34.99</v>
      </c>
      <c r="T2" s="86" t="str">
        <f>IFERROR(VLOOKUP(B2,Sum!A:A,1,0),"")</f>
        <v>BOBO22-GN</v>
      </c>
      <c r="U2" s="86" t="s">
        <v>693</v>
      </c>
      <c r="V2" s="86" t="s">
        <v>694</v>
      </c>
      <c r="W2" s="86" t="s">
        <v>695</v>
      </c>
      <c r="X2" s="86" t="s">
        <v>696</v>
      </c>
      <c r="Y2" s="86" t="s">
        <v>697</v>
      </c>
      <c r="Z2" s="86" t="s">
        <v>698</v>
      </c>
      <c r="AA2" s="86" t="s">
        <v>699</v>
      </c>
      <c r="AB2" s="86" t="s">
        <v>700</v>
      </c>
      <c r="AC2" s="86" t="s">
        <v>701</v>
      </c>
      <c r="AD2" s="86" t="s">
        <v>702</v>
      </c>
    </row>
    <row r="3" customHeight="1" spans="1:30">
      <c r="A3" s="102" t="s">
        <v>685</v>
      </c>
      <c r="B3" s="94" t="s">
        <v>29</v>
      </c>
      <c r="C3" s="105">
        <v>850062627680</v>
      </c>
      <c r="D3" s="102">
        <f ca="1">SUMIFS(Sales!$G:$G,Sales!$C:$C,$B3,Sales!$A:$A,"&gt;="&amp;EDATE(TODAY(),-6))</f>
        <v>49732.72</v>
      </c>
      <c r="E3" s="86">
        <f ca="1" t="shared" si="0"/>
        <v>0.474854212127327</v>
      </c>
      <c r="F3" s="102" t="str">
        <f ca="1" t="shared" si="1"/>
        <v>A</v>
      </c>
      <c r="G3" s="102" t="s">
        <v>686</v>
      </c>
      <c r="H3" s="102" t="s">
        <v>703</v>
      </c>
      <c r="I3" s="86" t="s">
        <v>601</v>
      </c>
      <c r="J3" s="86" t="s">
        <v>689</v>
      </c>
      <c r="K3" s="86" t="s">
        <v>704</v>
      </c>
      <c r="L3" s="86" t="s">
        <v>705</v>
      </c>
      <c r="M3" s="86" t="s">
        <v>706</v>
      </c>
      <c r="N3" s="104" t="s">
        <v>692</v>
      </c>
      <c r="O3" s="104">
        <v>1000</v>
      </c>
      <c r="P3" s="104">
        <v>10</v>
      </c>
      <c r="Q3" s="86">
        <v>8</v>
      </c>
      <c r="R3" s="86">
        <v>6.27</v>
      </c>
      <c r="S3" s="104">
        <v>34.99</v>
      </c>
      <c r="T3" s="86" t="str">
        <f>IFERROR(VLOOKUP(B3,Sum!A:A,1,0),"")</f>
        <v>BOBO22-WH</v>
      </c>
      <c r="U3" s="86" t="s">
        <v>693</v>
      </c>
      <c r="V3" s="86" t="s">
        <v>694</v>
      </c>
      <c r="W3" s="86" t="s">
        <v>695</v>
      </c>
      <c r="X3" s="86" t="s">
        <v>696</v>
      </c>
      <c r="Y3" s="86" t="s">
        <v>697</v>
      </c>
      <c r="Z3" s="86" t="s">
        <v>698</v>
      </c>
      <c r="AA3" s="86" t="s">
        <v>699</v>
      </c>
      <c r="AB3" s="86" t="s">
        <v>700</v>
      </c>
      <c r="AC3" s="86" t="s">
        <v>701</v>
      </c>
      <c r="AD3" s="86" t="s">
        <v>702</v>
      </c>
    </row>
    <row r="4" customHeight="1" spans="1:30">
      <c r="A4" s="102" t="s">
        <v>707</v>
      </c>
      <c r="B4" s="86" t="s">
        <v>30</v>
      </c>
      <c r="C4" s="103">
        <v>698746777364</v>
      </c>
      <c r="D4" s="102">
        <f ca="1">SUMIFS(Sales!$G:$G,Sales!$C:$C,$B4,Sales!$A:$A,"&gt;="&amp;EDATE(TODAY(),-6))</f>
        <v>2450.7</v>
      </c>
      <c r="E4" s="86">
        <f ca="1" t="shared" si="0"/>
        <v>0.971120087748808</v>
      </c>
      <c r="F4" s="102" t="str">
        <f ca="1" t="shared" si="1"/>
        <v>C</v>
      </c>
      <c r="G4" s="102" t="s">
        <v>708</v>
      </c>
      <c r="H4" s="102" t="s">
        <v>709</v>
      </c>
      <c r="I4" s="86" t="s">
        <v>710</v>
      </c>
      <c r="J4" s="86" t="s">
        <v>711</v>
      </c>
      <c r="K4" s="86" t="s">
        <v>712</v>
      </c>
      <c r="L4" s="86" t="s">
        <v>713</v>
      </c>
      <c r="M4" s="86" t="s">
        <v>306</v>
      </c>
      <c r="N4" s="104" t="s">
        <v>714</v>
      </c>
      <c r="O4" s="104">
        <v>1000</v>
      </c>
      <c r="P4" s="104">
        <v>10</v>
      </c>
      <c r="Q4" s="86">
        <v>30</v>
      </c>
      <c r="R4" s="86">
        <v>1.99</v>
      </c>
      <c r="S4" s="104">
        <v>11.99</v>
      </c>
      <c r="T4" s="86" t="str">
        <f>IFERROR(VLOOKUP(B4,Sum!A:A,1,0),"")</f>
        <v>CFDL1090-BR</v>
      </c>
      <c r="U4" s="86"/>
      <c r="V4" s="86"/>
      <c r="W4" s="86"/>
      <c r="X4" s="86"/>
      <c r="Y4" s="86"/>
      <c r="Z4" s="86"/>
      <c r="AA4" s="86" t="s">
        <v>715</v>
      </c>
      <c r="AB4" s="86" t="s">
        <v>716</v>
      </c>
      <c r="AC4" s="86" t="s">
        <v>717</v>
      </c>
      <c r="AD4" s="86" t="s">
        <v>718</v>
      </c>
    </row>
    <row r="5" customHeight="1" spans="1:30">
      <c r="A5" s="102" t="s">
        <v>707</v>
      </c>
      <c r="B5" s="86" t="s">
        <v>31</v>
      </c>
      <c r="C5" s="105">
        <v>698746777180</v>
      </c>
      <c r="D5" s="102">
        <f ca="1">SUMIFS(Sales!$G:$G,Sales!$C:$C,$B5,Sales!$A:$A,"&gt;="&amp;EDATE(TODAY(),-6))</f>
        <v>2450.7</v>
      </c>
      <c r="E5" s="86">
        <f ca="1" t="shared" si="0"/>
        <v>0.971120087748808</v>
      </c>
      <c r="F5" s="102" t="str">
        <f ca="1" t="shared" si="1"/>
        <v>C</v>
      </c>
      <c r="G5" s="102" t="s">
        <v>708</v>
      </c>
      <c r="H5" s="102" t="s">
        <v>719</v>
      </c>
      <c r="I5" s="86" t="s">
        <v>720</v>
      </c>
      <c r="J5" s="86" t="s">
        <v>711</v>
      </c>
      <c r="K5" s="86" t="s">
        <v>721</v>
      </c>
      <c r="L5" s="86" t="s">
        <v>722</v>
      </c>
      <c r="M5" s="86" t="s">
        <v>306</v>
      </c>
      <c r="N5" s="104" t="s">
        <v>714</v>
      </c>
      <c r="O5" s="104">
        <v>1000</v>
      </c>
      <c r="P5" s="104">
        <v>10</v>
      </c>
      <c r="Q5" s="86">
        <v>30</v>
      </c>
      <c r="R5" s="86">
        <v>1.99</v>
      </c>
      <c r="S5" s="104">
        <v>11.99</v>
      </c>
      <c r="T5" s="86" t="str">
        <f>IFERROR(VLOOKUP(B5,Sum!A:A,1,0),"")</f>
        <v>CFDL1090-PK</v>
      </c>
      <c r="U5" s="86"/>
      <c r="V5" s="86"/>
      <c r="W5" s="86"/>
      <c r="X5" s="86"/>
      <c r="Y5" s="86"/>
      <c r="Z5" s="86"/>
      <c r="AA5" s="86" t="s">
        <v>715</v>
      </c>
      <c r="AB5" s="86" t="s">
        <v>716</v>
      </c>
      <c r="AC5" s="86" t="s">
        <v>717</v>
      </c>
      <c r="AD5" s="86" t="s">
        <v>718</v>
      </c>
    </row>
    <row r="6" customHeight="1" spans="1:30">
      <c r="A6" s="102" t="s">
        <v>723</v>
      </c>
      <c r="B6" s="86" t="s">
        <v>32</v>
      </c>
      <c r="C6" s="103">
        <v>698746777418</v>
      </c>
      <c r="D6" s="102">
        <f ca="1">SUMIFS(Sales!$G:$G,Sales!$C:$C,$B6,Sales!$A:$A,"&gt;="&amp;EDATE(TODAY(),-6))</f>
        <v>9690</v>
      </c>
      <c r="E6" s="86">
        <f ca="1" t="shared" si="0"/>
        <v>0.847338625943863</v>
      </c>
      <c r="F6" s="102" t="str">
        <f ca="1" t="shared" si="1"/>
        <v>B</v>
      </c>
      <c r="G6" s="102" t="s">
        <v>708</v>
      </c>
      <c r="H6" s="102" t="s">
        <v>724</v>
      </c>
      <c r="I6" s="86" t="s">
        <v>725</v>
      </c>
      <c r="J6" s="86" t="s">
        <v>726</v>
      </c>
      <c r="K6" s="86" t="s">
        <v>727</v>
      </c>
      <c r="L6" s="86" t="s">
        <v>728</v>
      </c>
      <c r="M6" s="86" t="s">
        <v>306</v>
      </c>
      <c r="N6" s="104" t="s">
        <v>714</v>
      </c>
      <c r="O6" s="104">
        <v>1000</v>
      </c>
      <c r="P6" s="104">
        <v>10</v>
      </c>
      <c r="Q6" s="86">
        <v>30</v>
      </c>
      <c r="R6" s="86">
        <v>2.47</v>
      </c>
      <c r="S6" s="104">
        <v>13.99</v>
      </c>
      <c r="T6" s="86" t="str">
        <f>IFERROR(VLOOKUP(B6,Sum!A:A,1,0),"")</f>
        <v>CFDL9000-GN-YL</v>
      </c>
      <c r="U6" s="86"/>
      <c r="V6" s="86"/>
      <c r="W6" s="86"/>
      <c r="X6" s="86"/>
      <c r="Y6" s="86"/>
      <c r="Z6" s="86"/>
      <c r="AA6" s="86" t="s">
        <v>729</v>
      </c>
      <c r="AB6" s="86" t="s">
        <v>716</v>
      </c>
      <c r="AC6" s="86" t="s">
        <v>717</v>
      </c>
      <c r="AD6" s="86" t="s">
        <v>718</v>
      </c>
    </row>
    <row r="7" customHeight="1" spans="1:30">
      <c r="A7" s="102" t="s">
        <v>33</v>
      </c>
      <c r="B7" s="94" t="s">
        <v>33</v>
      </c>
      <c r="C7" s="105">
        <v>698746777081</v>
      </c>
      <c r="D7" s="102">
        <f ca="1">SUMIFS(Sales!$G:$G,Sales!$C:$C,$B7,Sales!$A:$A,"&gt;="&amp;EDATE(TODAY(),-6))</f>
        <v>8225.28</v>
      </c>
      <c r="E7" s="86">
        <f ca="1" t="shared" si="0"/>
        <v>0.895189596767239</v>
      </c>
      <c r="F7" s="102" t="str">
        <f ca="1" t="shared" si="1"/>
        <v>B</v>
      </c>
      <c r="G7" s="102" t="s">
        <v>730</v>
      </c>
      <c r="H7" s="102" t="s">
        <v>731</v>
      </c>
      <c r="I7" s="86" t="s">
        <v>732</v>
      </c>
      <c r="J7" s="86" t="s">
        <v>733</v>
      </c>
      <c r="K7" s="86" t="s">
        <v>734</v>
      </c>
      <c r="L7" s="86" t="s">
        <v>735</v>
      </c>
      <c r="M7" s="86" t="s">
        <v>736</v>
      </c>
      <c r="N7" s="104" t="s">
        <v>737</v>
      </c>
      <c r="O7" s="104">
        <v>1000</v>
      </c>
      <c r="P7" s="104">
        <v>10</v>
      </c>
      <c r="Q7" s="86">
        <v>48</v>
      </c>
      <c r="R7" s="86">
        <v>1.04</v>
      </c>
      <c r="S7" s="104">
        <v>9.99</v>
      </c>
      <c r="T7" s="86" t="str">
        <f>IFERROR(VLOOKUP(B7,Sum!A:A,1,0),"")</f>
        <v>CFLS18000</v>
      </c>
      <c r="U7" s="86" t="s">
        <v>738</v>
      </c>
      <c r="V7" s="86" t="s">
        <v>739</v>
      </c>
      <c r="W7" s="86" t="s">
        <v>740</v>
      </c>
      <c r="X7" s="86" t="s">
        <v>741</v>
      </c>
      <c r="Y7" s="86" t="s">
        <v>742</v>
      </c>
      <c r="Z7" s="86" t="s">
        <v>743</v>
      </c>
      <c r="AA7" s="86" t="s">
        <v>744</v>
      </c>
      <c r="AB7" s="86" t="s">
        <v>745</v>
      </c>
      <c r="AC7" s="86" t="s">
        <v>746</v>
      </c>
      <c r="AD7" s="86" t="s">
        <v>747</v>
      </c>
    </row>
    <row r="8" customHeight="1" spans="1:30">
      <c r="A8" s="102" t="s">
        <v>34</v>
      </c>
      <c r="B8" s="94" t="s">
        <v>34</v>
      </c>
      <c r="C8" s="105">
        <v>698746777012</v>
      </c>
      <c r="D8" s="102">
        <f ca="1">SUMIFS(Sales!$G:$G,Sales!$C:$C,$B8,Sales!$A:$A,"&gt;="&amp;EDATE(TODAY(),-6))</f>
        <v>14999.04</v>
      </c>
      <c r="E8" s="86">
        <f ca="1" t="shared" si="0"/>
        <v>0.732953206178122</v>
      </c>
      <c r="F8" s="102" t="str">
        <f ca="1" t="shared" si="1"/>
        <v>B</v>
      </c>
      <c r="G8" s="102" t="s">
        <v>730</v>
      </c>
      <c r="H8" s="102" t="s">
        <v>731</v>
      </c>
      <c r="I8" s="86" t="s">
        <v>748</v>
      </c>
      <c r="J8" s="86" t="s">
        <v>749</v>
      </c>
      <c r="K8" s="86" t="s">
        <v>750</v>
      </c>
      <c r="L8" s="86" t="s">
        <v>751</v>
      </c>
      <c r="M8" s="86" t="s">
        <v>752</v>
      </c>
      <c r="N8" s="104" t="s">
        <v>753</v>
      </c>
      <c r="O8" s="104">
        <v>1000</v>
      </c>
      <c r="P8" s="104">
        <v>10</v>
      </c>
      <c r="Q8" s="86">
        <v>72</v>
      </c>
      <c r="R8" s="86">
        <v>1.59</v>
      </c>
      <c r="S8" s="104">
        <v>9.99</v>
      </c>
      <c r="T8" s="86" t="str">
        <f>IFERROR(VLOOKUP(B8,Sum!A:A,1,0),"")</f>
        <v>CFLS64000YE</v>
      </c>
      <c r="U8" s="86" t="s">
        <v>754</v>
      </c>
      <c r="V8" s="86" t="s">
        <v>755</v>
      </c>
      <c r="W8" s="86" t="s">
        <v>740</v>
      </c>
      <c r="X8" s="86" t="s">
        <v>741</v>
      </c>
      <c r="Y8" s="86" t="s">
        <v>742</v>
      </c>
      <c r="Z8" s="86" t="s">
        <v>743</v>
      </c>
      <c r="AA8" s="86" t="s">
        <v>744</v>
      </c>
      <c r="AB8" s="86" t="s">
        <v>745</v>
      </c>
      <c r="AC8" s="86" t="s">
        <v>746</v>
      </c>
      <c r="AD8" s="86" t="s">
        <v>747</v>
      </c>
    </row>
    <row r="9" customHeight="1" spans="1:30">
      <c r="A9" s="102" t="s">
        <v>35</v>
      </c>
      <c r="B9" s="94" t="s">
        <v>35</v>
      </c>
      <c r="C9" s="105">
        <v>698746777074</v>
      </c>
      <c r="D9" s="102">
        <f ca="1">SUMIFS(Sales!$G:$G,Sales!$C:$C,$B9,Sales!$A:$A,"&gt;="&amp;EDATE(TODAY(),-6))</f>
        <v>2988.16</v>
      </c>
      <c r="E9" s="86">
        <f ca="1" t="shared" si="0"/>
        <v>0.954243030753801</v>
      </c>
      <c r="F9" s="102" t="str">
        <f ca="1" t="shared" si="1"/>
        <v>C</v>
      </c>
      <c r="G9" s="102" t="s">
        <v>730</v>
      </c>
      <c r="H9" s="102" t="s">
        <v>731</v>
      </c>
      <c r="I9" s="86" t="s">
        <v>756</v>
      </c>
      <c r="J9" s="86" t="s">
        <v>757</v>
      </c>
      <c r="K9" s="86" t="s">
        <v>758</v>
      </c>
      <c r="L9" s="86" t="s">
        <v>759</v>
      </c>
      <c r="M9" s="86" t="s">
        <v>760</v>
      </c>
      <c r="N9" s="104" t="s">
        <v>761</v>
      </c>
      <c r="O9" s="104">
        <v>1000</v>
      </c>
      <c r="P9" s="104">
        <v>10</v>
      </c>
      <c r="Q9" s="86">
        <v>64</v>
      </c>
      <c r="R9" s="86">
        <v>0.96</v>
      </c>
      <c r="S9" s="104">
        <v>5.99</v>
      </c>
      <c r="T9" s="86" t="str">
        <f>IFERROR(VLOOKUP(B9,Sum!A:A,1,0),"")</f>
        <v>CFLS71000WH</v>
      </c>
      <c r="U9" s="86"/>
      <c r="V9" s="86"/>
      <c r="W9" s="86"/>
      <c r="X9" s="86"/>
      <c r="Y9" s="86"/>
      <c r="Z9" s="86"/>
      <c r="AA9" s="86" t="s">
        <v>744</v>
      </c>
      <c r="AB9" s="86" t="s">
        <v>745</v>
      </c>
      <c r="AC9" s="86"/>
      <c r="AD9" s="86"/>
    </row>
    <row r="10" customHeight="1" spans="1:30">
      <c r="A10" s="102" t="s">
        <v>649</v>
      </c>
      <c r="B10" s="106" t="s">
        <v>649</v>
      </c>
      <c r="C10" s="105">
        <v>850062627802</v>
      </c>
      <c r="D10" s="102">
        <f ca="1">SUMIFS(Sales!$G:$G,Sales!$C:$C,$B10,Sales!$A:$A,"&gt;="&amp;EDATE(TODAY(),-6))</f>
        <v>0</v>
      </c>
      <c r="E10" s="86">
        <f ca="1" t="shared" si="0"/>
        <v>1</v>
      </c>
      <c r="F10" s="102" t="str">
        <f ca="1" t="shared" si="1"/>
        <v>C</v>
      </c>
      <c r="G10" s="102" t="s">
        <v>762</v>
      </c>
      <c r="H10" s="102" t="s">
        <v>731</v>
      </c>
      <c r="I10" s="86" t="s">
        <v>648</v>
      </c>
      <c r="J10" s="86" t="s">
        <v>763</v>
      </c>
      <c r="K10" s="86" t="s">
        <v>764</v>
      </c>
      <c r="L10" s="107" t="s">
        <v>765</v>
      </c>
      <c r="M10" s="86" t="s">
        <v>766</v>
      </c>
      <c r="N10" s="104" t="s">
        <v>767</v>
      </c>
      <c r="O10" s="104">
        <v>2000</v>
      </c>
      <c r="P10" s="104">
        <v>15</v>
      </c>
      <c r="Q10" s="97">
        <v>30</v>
      </c>
      <c r="R10" s="86">
        <v>1.15</v>
      </c>
      <c r="S10" s="104">
        <v>12.99</v>
      </c>
      <c r="T10" s="86" t="str">
        <f>IFERROR(VLOOKUP(B10,Sum!A:A,1,0),"")</f>
        <v/>
      </c>
      <c r="U10" s="86" t="s">
        <v>768</v>
      </c>
      <c r="V10" s="86" t="s">
        <v>769</v>
      </c>
      <c r="W10" s="86" t="s">
        <v>770</v>
      </c>
      <c r="X10" s="86" t="s">
        <v>771</v>
      </c>
      <c r="Y10" s="86" t="s">
        <v>772</v>
      </c>
      <c r="Z10" s="86" t="s">
        <v>743</v>
      </c>
      <c r="AA10" s="86" t="s">
        <v>773</v>
      </c>
      <c r="AB10" s="86" t="s">
        <v>774</v>
      </c>
      <c r="AC10" s="86" t="s">
        <v>775</v>
      </c>
      <c r="AD10" s="86" t="s">
        <v>776</v>
      </c>
    </row>
    <row r="11" customHeight="1" spans="1:30">
      <c r="A11" s="102" t="s">
        <v>777</v>
      </c>
      <c r="B11" s="106" t="s">
        <v>600</v>
      </c>
      <c r="C11" s="105">
        <v>850062627406</v>
      </c>
      <c r="D11" s="102">
        <f ca="1">SUMIFS(Sales!$G:$G,Sales!$C:$C,$B11,Sales!$A:$A,"&gt;="&amp;EDATE(TODAY(),-6))</f>
        <v>0</v>
      </c>
      <c r="E11" s="86">
        <f ca="1" t="shared" si="0"/>
        <v>1</v>
      </c>
      <c r="F11" s="102" t="str">
        <f ca="1" t="shared" si="1"/>
        <v>C</v>
      </c>
      <c r="G11" s="102" t="s">
        <v>778</v>
      </c>
      <c r="H11" s="102" t="s">
        <v>779</v>
      </c>
      <c r="I11" s="86" t="s">
        <v>599</v>
      </c>
      <c r="J11" s="86" t="s">
        <v>780</v>
      </c>
      <c r="K11" s="86" t="s">
        <v>781</v>
      </c>
      <c r="L11" s="86" t="s">
        <v>782</v>
      </c>
      <c r="M11" s="86" t="s">
        <v>766</v>
      </c>
      <c r="N11" s="104" t="s">
        <v>783</v>
      </c>
      <c r="O11" s="104">
        <v>1000</v>
      </c>
      <c r="P11" s="104">
        <v>10</v>
      </c>
      <c r="Q11" s="97">
        <v>8</v>
      </c>
      <c r="R11" s="104">
        <v>2.6</v>
      </c>
      <c r="S11" s="104">
        <v>13.99</v>
      </c>
      <c r="T11" s="86" t="str">
        <f>IFERROR(VLOOKUP(B11,Sum!A:A,1,0),"")</f>
        <v/>
      </c>
      <c r="U11" s="86" t="s">
        <v>784</v>
      </c>
      <c r="V11" s="86" t="s">
        <v>785</v>
      </c>
      <c r="W11" s="86" t="s">
        <v>786</v>
      </c>
      <c r="X11" s="86" t="s">
        <v>787</v>
      </c>
      <c r="Y11" s="86" t="s">
        <v>788</v>
      </c>
      <c r="Z11" s="86" t="s">
        <v>789</v>
      </c>
      <c r="AA11" s="86" t="s">
        <v>790</v>
      </c>
      <c r="AB11" s="86" t="s">
        <v>791</v>
      </c>
      <c r="AC11" s="86" t="s">
        <v>792</v>
      </c>
      <c r="AD11" s="86" t="s">
        <v>793</v>
      </c>
    </row>
    <row r="12" customHeight="1" spans="1:30">
      <c r="A12" s="102" t="s">
        <v>598</v>
      </c>
      <c r="B12" s="106" t="s">
        <v>598</v>
      </c>
      <c r="C12" s="105">
        <v>850062627413</v>
      </c>
      <c r="D12" s="102">
        <f ca="1">SUMIFS(Sales!$G:$G,Sales!$C:$C,$B12,Sales!$A:$A,"&gt;="&amp;EDATE(TODAY(),-6))</f>
        <v>0</v>
      </c>
      <c r="E12" s="86">
        <f ca="1" t="shared" si="0"/>
        <v>1</v>
      </c>
      <c r="F12" s="102" t="str">
        <f ca="1" t="shared" si="1"/>
        <v>C</v>
      </c>
      <c r="G12" s="102" t="s">
        <v>794</v>
      </c>
      <c r="H12" s="102" t="s">
        <v>779</v>
      </c>
      <c r="I12" s="86" t="s">
        <v>597</v>
      </c>
      <c r="J12" s="86" t="s">
        <v>795</v>
      </c>
      <c r="K12" s="86" t="s">
        <v>796</v>
      </c>
      <c r="L12" s="86" t="s">
        <v>797</v>
      </c>
      <c r="M12" s="86" t="s">
        <v>766</v>
      </c>
      <c r="N12" s="104" t="s">
        <v>783</v>
      </c>
      <c r="O12" s="104">
        <v>1000</v>
      </c>
      <c r="P12" s="104">
        <v>10</v>
      </c>
      <c r="Q12" s="97">
        <v>10</v>
      </c>
      <c r="R12" s="104">
        <v>2.84</v>
      </c>
      <c r="S12" s="104">
        <v>13.99</v>
      </c>
      <c r="T12" s="86" t="str">
        <f>IFERROR(VLOOKUP(B12,Sum!A:A,1,0),"")</f>
        <v/>
      </c>
      <c r="U12" s="86" t="s">
        <v>798</v>
      </c>
      <c r="V12" s="86" t="s">
        <v>799</v>
      </c>
      <c r="W12" s="86" t="s">
        <v>800</v>
      </c>
      <c r="X12" s="86" t="s">
        <v>801</v>
      </c>
      <c r="Y12" s="86" t="s">
        <v>802</v>
      </c>
      <c r="Z12" s="86" t="s">
        <v>803</v>
      </c>
      <c r="AA12" s="86" t="s">
        <v>804</v>
      </c>
      <c r="AB12" s="86" t="s">
        <v>805</v>
      </c>
      <c r="AC12" s="86" t="s">
        <v>806</v>
      </c>
      <c r="AD12" s="86" t="s">
        <v>807</v>
      </c>
    </row>
    <row r="13" customHeight="1" spans="1:30">
      <c r="A13" s="102" t="s">
        <v>36</v>
      </c>
      <c r="B13" s="94" t="s">
        <v>36</v>
      </c>
      <c r="C13" s="105">
        <v>698746776688</v>
      </c>
      <c r="D13" s="102">
        <f ca="1">SUMIFS(Sales!$G:$G,Sales!$C:$C,$B13,Sales!$A:$A,"&gt;="&amp;EDATE(TODAY(),-6))</f>
        <v>1933.8</v>
      </c>
      <c r="E13" s="86">
        <f ca="1" t="shared" si="0"/>
        <v>0.992219797187241</v>
      </c>
      <c r="F13" s="102" t="str">
        <f ca="1" t="shared" si="1"/>
        <v>C</v>
      </c>
      <c r="G13" s="102" t="s">
        <v>808</v>
      </c>
      <c r="H13" s="102" t="s">
        <v>731</v>
      </c>
      <c r="I13" s="86" t="s">
        <v>595</v>
      </c>
      <c r="J13" s="86" t="s">
        <v>809</v>
      </c>
      <c r="K13" s="86" t="s">
        <v>810</v>
      </c>
      <c r="L13" s="86" t="s">
        <v>811</v>
      </c>
      <c r="M13" s="86" t="s">
        <v>812</v>
      </c>
      <c r="N13" s="104" t="s">
        <v>813</v>
      </c>
      <c r="O13" s="104">
        <v>500</v>
      </c>
      <c r="P13" s="104">
        <v>10</v>
      </c>
      <c r="Q13" s="86">
        <v>60</v>
      </c>
      <c r="R13" s="86">
        <v>1.62</v>
      </c>
      <c r="S13" s="104">
        <v>9.99</v>
      </c>
      <c r="T13" s="86" t="str">
        <f>IFERROR(VLOOKUP(B13,Sum!A:A,1,0),"")</f>
        <v>CPSH54000WH</v>
      </c>
      <c r="U13" s="86" t="s">
        <v>814</v>
      </c>
      <c r="V13" s="86" t="s">
        <v>815</v>
      </c>
      <c r="W13" s="86" t="s">
        <v>787</v>
      </c>
      <c r="X13" s="86" t="s">
        <v>816</v>
      </c>
      <c r="Y13" s="86" t="s">
        <v>817</v>
      </c>
      <c r="Z13" s="86" t="s">
        <v>818</v>
      </c>
      <c r="AA13" s="86" t="s">
        <v>819</v>
      </c>
      <c r="AB13" s="86" t="s">
        <v>820</v>
      </c>
      <c r="AC13" s="86" t="s">
        <v>821</v>
      </c>
      <c r="AD13" s="86"/>
    </row>
    <row r="14" customHeight="1" spans="1:30">
      <c r="A14" s="102" t="s">
        <v>37</v>
      </c>
      <c r="B14" s="94" t="s">
        <v>37</v>
      </c>
      <c r="C14" s="105">
        <v>698746777319</v>
      </c>
      <c r="D14" s="102">
        <f ca="1">SUMIFS(Sales!$G:$G,Sales!$C:$C,$B14,Sales!$A:$A,"&gt;="&amp;EDATE(TODAY(),-6))</f>
        <v>18389.2032</v>
      </c>
      <c r="E14" s="86">
        <f ca="1" t="shared" si="0"/>
        <v>0.697753548921713</v>
      </c>
      <c r="F14" s="102" t="str">
        <f ca="1" t="shared" si="1"/>
        <v>A</v>
      </c>
      <c r="G14" s="102" t="s">
        <v>808</v>
      </c>
      <c r="H14" s="102" t="s">
        <v>822</v>
      </c>
      <c r="I14" s="86" t="s">
        <v>823</v>
      </c>
      <c r="J14" s="86" t="s">
        <v>824</v>
      </c>
      <c r="K14" s="86" t="s">
        <v>825</v>
      </c>
      <c r="L14" s="86" t="s">
        <v>826</v>
      </c>
      <c r="M14" s="86" t="s">
        <v>328</v>
      </c>
      <c r="N14" s="104" t="s">
        <v>827</v>
      </c>
      <c r="O14" s="104">
        <v>500</v>
      </c>
      <c r="P14" s="104">
        <v>10</v>
      </c>
      <c r="Q14" s="86">
        <v>54</v>
      </c>
      <c r="R14" s="86">
        <v>1.89</v>
      </c>
      <c r="S14" s="104">
        <v>9.99</v>
      </c>
      <c r="T14" s="86" t="str">
        <f>IFERROR(VLOOKUP(B14,Sum!A:A,1,0),"")</f>
        <v>CPSH60007BK</v>
      </c>
      <c r="U14" s="86" t="s">
        <v>828</v>
      </c>
      <c r="V14" s="86" t="s">
        <v>829</v>
      </c>
      <c r="W14" s="86" t="s">
        <v>787</v>
      </c>
      <c r="X14" s="86" t="s">
        <v>830</v>
      </c>
      <c r="Y14" s="86" t="s">
        <v>831</v>
      </c>
      <c r="Z14" s="86" t="s">
        <v>818</v>
      </c>
      <c r="AA14" s="86" t="s">
        <v>832</v>
      </c>
      <c r="AB14" s="86" t="s">
        <v>833</v>
      </c>
      <c r="AC14" s="86" t="s">
        <v>834</v>
      </c>
      <c r="AD14" s="86" t="s">
        <v>819</v>
      </c>
    </row>
    <row r="15" customHeight="1" spans="1:30">
      <c r="A15" s="102" t="s">
        <v>38</v>
      </c>
      <c r="B15" s="94" t="s">
        <v>38</v>
      </c>
      <c r="C15" s="105">
        <v>850030338174</v>
      </c>
      <c r="D15" s="102">
        <f ca="1">SUMIFS(Sales!$G:$G,Sales!$C:$C,$B15,Sales!$A:$A,"&gt;="&amp;EDATE(TODAY(),-6))</f>
        <v>1915.2</v>
      </c>
      <c r="E15" s="86">
        <f ca="1" t="shared" si="0"/>
        <v>0.994289676115256</v>
      </c>
      <c r="F15" s="102" t="str">
        <f ca="1" t="shared" si="1"/>
        <v>C</v>
      </c>
      <c r="G15" s="102" t="s">
        <v>778</v>
      </c>
      <c r="H15" s="102" t="s">
        <v>731</v>
      </c>
      <c r="I15" s="86" t="s">
        <v>662</v>
      </c>
      <c r="J15" s="86" t="s">
        <v>835</v>
      </c>
      <c r="K15" s="86" t="s">
        <v>836</v>
      </c>
      <c r="L15" s="86" t="s">
        <v>837</v>
      </c>
      <c r="M15" s="86" t="s">
        <v>812</v>
      </c>
      <c r="N15" s="104" t="s">
        <v>767</v>
      </c>
      <c r="O15" s="104">
        <v>2000</v>
      </c>
      <c r="P15" s="104">
        <v>15</v>
      </c>
      <c r="Q15" s="86">
        <v>48</v>
      </c>
      <c r="R15" s="86">
        <v>1.31</v>
      </c>
      <c r="S15" s="104">
        <v>9.99</v>
      </c>
      <c r="T15" s="86" t="str">
        <f>IFERROR(VLOOKUP(B15,Sum!A:A,1,0),"")</f>
        <v>CPSL22004GN</v>
      </c>
      <c r="U15" s="86" t="s">
        <v>838</v>
      </c>
      <c r="V15" s="86" t="s">
        <v>839</v>
      </c>
      <c r="W15" s="86" t="s">
        <v>787</v>
      </c>
      <c r="X15" s="86" t="s">
        <v>831</v>
      </c>
      <c r="Y15" s="86" t="s">
        <v>840</v>
      </c>
      <c r="Z15" s="86" t="s">
        <v>841</v>
      </c>
      <c r="AA15" s="86" t="s">
        <v>842</v>
      </c>
      <c r="AB15" s="86" t="s">
        <v>843</v>
      </c>
      <c r="AC15" s="86" t="s">
        <v>773</v>
      </c>
      <c r="AD15" s="86" t="s">
        <v>844</v>
      </c>
    </row>
    <row r="16" customHeight="1" spans="1:30">
      <c r="A16" s="102" t="s">
        <v>845</v>
      </c>
      <c r="B16" s="106" t="s">
        <v>631</v>
      </c>
      <c r="C16" s="105">
        <v>850030338181</v>
      </c>
      <c r="D16" s="102">
        <f ca="1">SUMIFS(Sales!$G:$G,Sales!$C:$C,$B16,Sales!$A:$A,"&gt;="&amp;EDATE(TODAY(),-6))</f>
        <v>0</v>
      </c>
      <c r="E16" s="86">
        <f ca="1" t="shared" si="0"/>
        <v>1</v>
      </c>
      <c r="F16" s="102" t="str">
        <f ca="1" t="shared" si="1"/>
        <v>C</v>
      </c>
      <c r="G16" s="102" t="s">
        <v>778</v>
      </c>
      <c r="H16" s="102" t="s">
        <v>779</v>
      </c>
      <c r="I16" s="86" t="s">
        <v>630</v>
      </c>
      <c r="J16" s="86" t="s">
        <v>846</v>
      </c>
      <c r="K16" s="86" t="s">
        <v>847</v>
      </c>
      <c r="L16" s="86" t="s">
        <v>848</v>
      </c>
      <c r="M16" s="86" t="s">
        <v>766</v>
      </c>
      <c r="N16" s="104" t="s">
        <v>767</v>
      </c>
      <c r="O16" s="104">
        <v>2000</v>
      </c>
      <c r="P16" s="104">
        <v>15</v>
      </c>
      <c r="Q16" s="97">
        <v>48</v>
      </c>
      <c r="R16" s="99">
        <v>1.31</v>
      </c>
      <c r="S16" s="104">
        <v>15.99</v>
      </c>
      <c r="T16" s="86" t="str">
        <f>IFERROR(VLOOKUP(B16,Sum!A:A,1,0),"")</f>
        <v/>
      </c>
      <c r="U16" s="86" t="s">
        <v>849</v>
      </c>
      <c r="V16" s="86" t="s">
        <v>850</v>
      </c>
      <c r="W16" s="86" t="s">
        <v>787</v>
      </c>
      <c r="X16" s="86" t="s">
        <v>831</v>
      </c>
      <c r="Y16" s="86" t="s">
        <v>840</v>
      </c>
      <c r="Z16" s="86" t="s">
        <v>841</v>
      </c>
      <c r="AA16" s="86" t="s">
        <v>842</v>
      </c>
      <c r="AB16" s="86" t="s">
        <v>843</v>
      </c>
      <c r="AC16" s="86" t="s">
        <v>773</v>
      </c>
      <c r="AD16" s="86" t="s">
        <v>844</v>
      </c>
    </row>
    <row r="17" customHeight="1" spans="1:30">
      <c r="A17" s="102" t="s">
        <v>851</v>
      </c>
      <c r="B17" s="106" t="s">
        <v>851</v>
      </c>
      <c r="C17" s="105">
        <v>850030338099</v>
      </c>
      <c r="D17" s="102">
        <f ca="1">SUMIFS(Sales!$G:$G,Sales!$C:$C,$B17,Sales!$A:$A,"&gt;="&amp;EDATE(TODAY(),-6))</f>
        <v>0</v>
      </c>
      <c r="E17" s="86">
        <f ca="1" t="shared" si="0"/>
        <v>1</v>
      </c>
      <c r="F17" s="102" t="str">
        <f ca="1" t="shared" si="1"/>
        <v>C</v>
      </c>
      <c r="G17" s="102" t="s">
        <v>762</v>
      </c>
      <c r="H17" s="102" t="s">
        <v>731</v>
      </c>
      <c r="I17" s="86" t="s">
        <v>852</v>
      </c>
      <c r="J17" s="86" t="s">
        <v>853</v>
      </c>
      <c r="K17" s="86" t="s">
        <v>854</v>
      </c>
      <c r="L17" s="107" t="s">
        <v>855</v>
      </c>
      <c r="M17" s="86" t="s">
        <v>856</v>
      </c>
      <c r="N17" s="104" t="s">
        <v>767</v>
      </c>
      <c r="O17" s="104">
        <v>2000</v>
      </c>
      <c r="P17" s="104">
        <v>15</v>
      </c>
      <c r="Q17" s="97">
        <v>12</v>
      </c>
      <c r="R17" s="86">
        <v>4.06</v>
      </c>
      <c r="S17" s="104">
        <v>22.99</v>
      </c>
      <c r="T17" s="86" t="str">
        <f>IFERROR(VLOOKUP(B17,Sum!A:A,1,0),"")</f>
        <v/>
      </c>
      <c r="U17" s="86"/>
      <c r="V17" s="86"/>
      <c r="W17" s="86"/>
      <c r="X17" s="86"/>
      <c r="Y17" s="86"/>
      <c r="Z17" s="86"/>
      <c r="AA17" s="86" t="s">
        <v>857</v>
      </c>
      <c r="AB17" s="86" t="s">
        <v>858</v>
      </c>
      <c r="AC17" s="86" t="s">
        <v>859</v>
      </c>
      <c r="AD17" s="86" t="s">
        <v>860</v>
      </c>
    </row>
    <row r="18" customHeight="1" spans="1:30">
      <c r="A18" s="102" t="s">
        <v>861</v>
      </c>
      <c r="B18" s="106" t="s">
        <v>861</v>
      </c>
      <c r="C18" s="105">
        <v>698746776589</v>
      </c>
      <c r="D18" s="102">
        <f ca="1">SUMIFS(Sales!$G:$G,Sales!$C:$C,$B18,Sales!$A:$A,"&gt;="&amp;EDATE(TODAY(),-6))</f>
        <v>0</v>
      </c>
      <c r="E18" s="86">
        <f ca="1" t="shared" si="0"/>
        <v>1</v>
      </c>
      <c r="F18" s="102" t="str">
        <f ca="1" t="shared" si="1"/>
        <v>C</v>
      </c>
      <c r="G18" s="102" t="s">
        <v>862</v>
      </c>
      <c r="H18" s="102" t="s">
        <v>731</v>
      </c>
      <c r="I18" s="86" t="s">
        <v>863</v>
      </c>
      <c r="J18" s="86" t="s">
        <v>864</v>
      </c>
      <c r="K18" s="86" t="s">
        <v>865</v>
      </c>
      <c r="L18" s="86" t="s">
        <v>866</v>
      </c>
      <c r="M18" s="86" t="s">
        <v>856</v>
      </c>
      <c r="N18" s="104" t="s">
        <v>867</v>
      </c>
      <c r="O18" s="104">
        <v>1000</v>
      </c>
      <c r="P18" s="104">
        <v>10</v>
      </c>
      <c r="Q18" s="97">
        <v>1</v>
      </c>
      <c r="R18" s="86">
        <v>18.14</v>
      </c>
      <c r="S18" s="104">
        <v>49.99</v>
      </c>
      <c r="T18" s="86" t="str">
        <f>IFERROR(VLOOKUP(B18,Sum!A:A,1,0),"")</f>
        <v/>
      </c>
      <c r="U18" s="86"/>
      <c r="V18" s="86"/>
      <c r="W18" s="86"/>
      <c r="X18" s="86"/>
      <c r="Y18" s="86"/>
      <c r="Z18" s="86"/>
      <c r="AA18" s="86" t="s">
        <v>868</v>
      </c>
      <c r="AB18" s="86" t="s">
        <v>869</v>
      </c>
      <c r="AC18" s="86" t="s">
        <v>870</v>
      </c>
      <c r="AD18" s="86" t="s">
        <v>871</v>
      </c>
    </row>
    <row r="19" customHeight="1" spans="1:30">
      <c r="A19" s="102" t="s">
        <v>39</v>
      </c>
      <c r="B19" s="95" t="s">
        <v>39</v>
      </c>
      <c r="C19" s="103">
        <v>760762457008</v>
      </c>
      <c r="D19" s="102">
        <f ca="1">SUMIFS(Sales!$G:$G,Sales!$C:$C,$B19,Sales!$A:$A,"&gt;="&amp;EDATE(TODAY(),-6))</f>
        <v>9381.12</v>
      </c>
      <c r="E19" s="86">
        <f ca="1" t="shared" si="0"/>
        <v>0.857477401324598</v>
      </c>
      <c r="F19" s="102" t="str">
        <f ca="1" t="shared" si="1"/>
        <v>B</v>
      </c>
      <c r="G19" s="102" t="s">
        <v>762</v>
      </c>
      <c r="H19" s="102" t="s">
        <v>731</v>
      </c>
      <c r="I19" s="86" t="s">
        <v>872</v>
      </c>
      <c r="J19" s="86" t="s">
        <v>873</v>
      </c>
      <c r="K19" s="86" t="s">
        <v>874</v>
      </c>
      <c r="L19" s="86" t="s">
        <v>875</v>
      </c>
      <c r="M19" s="86" t="s">
        <v>306</v>
      </c>
      <c r="N19" s="104" t="s">
        <v>876</v>
      </c>
      <c r="O19" s="104">
        <v>500</v>
      </c>
      <c r="P19" s="104">
        <v>15</v>
      </c>
      <c r="Q19" s="86">
        <v>16</v>
      </c>
      <c r="R19" s="86">
        <v>3.2</v>
      </c>
      <c r="S19" s="104">
        <v>22.99</v>
      </c>
      <c r="T19" s="86" t="str">
        <f>IFERROR(VLOOKUP(B19,Sum!A:A,1,0),"")</f>
        <v>CPWJ0011</v>
      </c>
      <c r="U19" s="86" t="s">
        <v>877</v>
      </c>
      <c r="V19" s="86" t="s">
        <v>878</v>
      </c>
      <c r="W19" s="86" t="s">
        <v>879</v>
      </c>
      <c r="X19" s="86" t="s">
        <v>880</v>
      </c>
      <c r="Y19" s="86" t="s">
        <v>881</v>
      </c>
      <c r="Z19" s="86" t="s">
        <v>882</v>
      </c>
      <c r="AA19" s="86" t="s">
        <v>883</v>
      </c>
      <c r="AB19" s="86" t="s">
        <v>884</v>
      </c>
      <c r="AC19" s="86" t="s">
        <v>885</v>
      </c>
      <c r="AD19" s="86" t="s">
        <v>886</v>
      </c>
    </row>
    <row r="20" customHeight="1" spans="1:30">
      <c r="A20" s="102" t="s">
        <v>40</v>
      </c>
      <c r="B20" s="96" t="s">
        <v>40</v>
      </c>
      <c r="C20" s="103">
        <v>760762456995</v>
      </c>
      <c r="D20" s="102">
        <f ca="1">SUMIFS(Sales!$G:$G,Sales!$C:$C,$B20,Sales!$A:$A,"&gt;="&amp;EDATE(TODAY(),-6))</f>
        <v>2696.4</v>
      </c>
      <c r="E20" s="86">
        <f ca="1" t="shared" si="0"/>
        <v>0.960130416180304</v>
      </c>
      <c r="F20" s="102" t="str">
        <f ca="1" t="shared" si="1"/>
        <v>C</v>
      </c>
      <c r="G20" s="102" t="s">
        <v>762</v>
      </c>
      <c r="H20" s="102" t="s">
        <v>731</v>
      </c>
      <c r="I20" s="96" t="s">
        <v>887</v>
      </c>
      <c r="J20" s="86" t="s">
        <v>888</v>
      </c>
      <c r="K20" s="86" t="s">
        <v>889</v>
      </c>
      <c r="L20" s="86" t="s">
        <v>890</v>
      </c>
      <c r="M20" s="86" t="s">
        <v>306</v>
      </c>
      <c r="N20" s="104" t="s">
        <v>876</v>
      </c>
      <c r="O20" s="104">
        <v>500</v>
      </c>
      <c r="P20" s="104">
        <v>15</v>
      </c>
      <c r="Q20" s="86">
        <v>30</v>
      </c>
      <c r="R20" s="86">
        <v>2.2</v>
      </c>
      <c r="S20" s="104">
        <v>13.99</v>
      </c>
      <c r="T20" s="86" t="str">
        <f>IFERROR(VLOOKUP(B20,Sum!A:A,1,0),"")</f>
        <v>CPWJ0012</v>
      </c>
      <c r="U20" s="86" t="s">
        <v>891</v>
      </c>
      <c r="V20" s="86" t="s">
        <v>892</v>
      </c>
      <c r="W20" s="86" t="s">
        <v>893</v>
      </c>
      <c r="X20" s="86" t="s">
        <v>894</v>
      </c>
      <c r="Y20" s="86" t="s">
        <v>895</v>
      </c>
      <c r="Z20" s="86" t="s">
        <v>896</v>
      </c>
      <c r="AA20" s="86" t="s">
        <v>897</v>
      </c>
      <c r="AB20" s="86" t="s">
        <v>898</v>
      </c>
      <c r="AC20" s="86" t="s">
        <v>747</v>
      </c>
      <c r="AD20" s="86" t="s">
        <v>899</v>
      </c>
    </row>
    <row r="21" customHeight="1" spans="1:30">
      <c r="A21" s="102" t="s">
        <v>41</v>
      </c>
      <c r="B21" s="86" t="s">
        <v>41</v>
      </c>
      <c r="C21" s="103">
        <v>760762457022</v>
      </c>
      <c r="D21" s="102">
        <f ca="1">SUMIFS(Sales!$G:$G,Sales!$C:$C,$B21,Sales!$A:$A,"&gt;="&amp;EDATE(TODAY(),-6))</f>
        <v>6034.8</v>
      </c>
      <c r="E21" s="86">
        <f ca="1" t="shared" si="0"/>
        <v>0.934068498402638</v>
      </c>
      <c r="F21" s="102" t="str">
        <f ca="1" t="shared" si="1"/>
        <v>C</v>
      </c>
      <c r="G21" s="102" t="s">
        <v>762</v>
      </c>
      <c r="H21" s="102" t="s">
        <v>731</v>
      </c>
      <c r="I21" s="86" t="s">
        <v>900</v>
      </c>
      <c r="J21" s="86" t="s">
        <v>901</v>
      </c>
      <c r="K21" s="86" t="s">
        <v>902</v>
      </c>
      <c r="L21" s="86" t="s">
        <v>903</v>
      </c>
      <c r="M21" s="86" t="s">
        <v>306</v>
      </c>
      <c r="N21" s="104" t="s">
        <v>876</v>
      </c>
      <c r="O21" s="104">
        <v>500</v>
      </c>
      <c r="P21" s="104">
        <v>15</v>
      </c>
      <c r="Q21" s="86">
        <v>30</v>
      </c>
      <c r="R21" s="86">
        <v>2.07</v>
      </c>
      <c r="S21" s="104">
        <v>13.99</v>
      </c>
      <c r="T21" s="86" t="str">
        <f>IFERROR(VLOOKUP(B21,Sum!A:A,1,0),"")</f>
        <v>CPWJ0013</v>
      </c>
      <c r="U21" s="86" t="s">
        <v>904</v>
      </c>
      <c r="V21" s="86" t="s">
        <v>878</v>
      </c>
      <c r="W21" s="86" t="s">
        <v>879</v>
      </c>
      <c r="X21" s="86" t="s">
        <v>880</v>
      </c>
      <c r="Y21" s="86" t="s">
        <v>881</v>
      </c>
      <c r="Z21" s="86" t="s">
        <v>882</v>
      </c>
      <c r="AA21" s="86" t="s">
        <v>883</v>
      </c>
      <c r="AB21" s="86" t="s">
        <v>884</v>
      </c>
      <c r="AC21" s="86" t="s">
        <v>905</v>
      </c>
      <c r="AD21" s="86" t="s">
        <v>886</v>
      </c>
    </row>
    <row r="22" customHeight="1" spans="1:30">
      <c r="A22" s="102" t="s">
        <v>42</v>
      </c>
      <c r="B22" s="96" t="s">
        <v>42</v>
      </c>
      <c r="C22" s="103">
        <v>760762457039</v>
      </c>
      <c r="D22" s="102">
        <f ca="1">SUMIFS(Sales!$G:$G,Sales!$C:$C,$B22,Sales!$A:$A,"&gt;="&amp;EDATE(TODAY(),-6))</f>
        <v>1935.9</v>
      </c>
      <c r="E22" s="86">
        <f ca="1" t="shared" si="0"/>
        <v>0.990129816051591</v>
      </c>
      <c r="F22" s="102" t="str">
        <f ca="1" t="shared" si="1"/>
        <v>C</v>
      </c>
      <c r="G22" s="102" t="s">
        <v>762</v>
      </c>
      <c r="H22" s="102" t="s">
        <v>731</v>
      </c>
      <c r="I22" s="96" t="s">
        <v>906</v>
      </c>
      <c r="J22" s="86" t="s">
        <v>907</v>
      </c>
      <c r="K22" s="86" t="s">
        <v>908</v>
      </c>
      <c r="L22" s="86" t="s">
        <v>909</v>
      </c>
      <c r="M22" s="86" t="s">
        <v>306</v>
      </c>
      <c r="N22" s="104" t="s">
        <v>876</v>
      </c>
      <c r="O22" s="104">
        <v>500</v>
      </c>
      <c r="P22" s="104">
        <v>15</v>
      </c>
      <c r="Q22" s="86">
        <v>30</v>
      </c>
      <c r="R22" s="86">
        <v>1.45</v>
      </c>
      <c r="S22" s="104">
        <v>7.99</v>
      </c>
      <c r="T22" s="86" t="str">
        <f>IFERROR(VLOOKUP(B22,Sum!A:A,1,0),"")</f>
        <v>CPWJ0014</v>
      </c>
      <c r="U22" s="86" t="s">
        <v>910</v>
      </c>
      <c r="V22" s="86" t="s">
        <v>911</v>
      </c>
      <c r="W22" s="86" t="s">
        <v>893</v>
      </c>
      <c r="X22" s="86" t="s">
        <v>894</v>
      </c>
      <c r="Y22" s="86" t="s">
        <v>895</v>
      </c>
      <c r="Z22" s="86" t="s">
        <v>896</v>
      </c>
      <c r="AA22" s="86" t="s">
        <v>897</v>
      </c>
      <c r="AB22" s="86" t="s">
        <v>898</v>
      </c>
      <c r="AC22" s="86" t="s">
        <v>747</v>
      </c>
      <c r="AD22" s="86" t="s">
        <v>912</v>
      </c>
    </row>
    <row r="23" customHeight="1" spans="1:30">
      <c r="A23" s="102" t="s">
        <v>43</v>
      </c>
      <c r="B23" s="86" t="s">
        <v>43</v>
      </c>
      <c r="C23" s="103">
        <v>760762457015</v>
      </c>
      <c r="D23" s="102">
        <f ca="1">SUMIFS(Sales!$G:$G,Sales!$C:$C,$B23,Sales!$A:$A,"&gt;="&amp;EDATE(TODAY(),-6))</f>
        <v>6500.1</v>
      </c>
      <c r="E23" s="86">
        <f ca="1" t="shared" si="0"/>
        <v>0.927546304712795</v>
      </c>
      <c r="F23" s="102" t="str">
        <f ca="1" t="shared" si="1"/>
        <v>C</v>
      </c>
      <c r="G23" s="102" t="s">
        <v>762</v>
      </c>
      <c r="H23" s="102" t="s">
        <v>731</v>
      </c>
      <c r="I23" s="86" t="s">
        <v>913</v>
      </c>
      <c r="J23" s="86" t="s">
        <v>914</v>
      </c>
      <c r="K23" s="86" t="s">
        <v>915</v>
      </c>
      <c r="L23" s="107" t="s">
        <v>916</v>
      </c>
      <c r="M23" s="86" t="s">
        <v>306</v>
      </c>
      <c r="N23" s="104" t="s">
        <v>876</v>
      </c>
      <c r="O23" s="104">
        <v>500</v>
      </c>
      <c r="P23" s="104">
        <v>15</v>
      </c>
      <c r="Q23" s="86">
        <v>30</v>
      </c>
      <c r="R23" s="86">
        <v>2.25</v>
      </c>
      <c r="S23" s="104">
        <v>14.99</v>
      </c>
      <c r="T23" s="86" t="str">
        <f>IFERROR(VLOOKUP(B23,Sum!A:A,1,0),"")</f>
        <v>CPWJ0015</v>
      </c>
      <c r="U23" s="86" t="s">
        <v>917</v>
      </c>
      <c r="V23" s="86" t="s">
        <v>918</v>
      </c>
      <c r="W23" s="86" t="s">
        <v>879</v>
      </c>
      <c r="X23" s="86" t="s">
        <v>919</v>
      </c>
      <c r="Y23" s="86" t="s">
        <v>895</v>
      </c>
      <c r="Z23" s="86" t="s">
        <v>882</v>
      </c>
      <c r="AA23" s="86" t="s">
        <v>920</v>
      </c>
      <c r="AB23" s="86" t="s">
        <v>921</v>
      </c>
      <c r="AC23" s="86" t="s">
        <v>747</v>
      </c>
      <c r="AD23" s="86" t="s">
        <v>922</v>
      </c>
    </row>
    <row r="24" customHeight="1" spans="1:30">
      <c r="A24" s="102" t="s">
        <v>44</v>
      </c>
      <c r="B24" s="94" t="s">
        <v>44</v>
      </c>
      <c r="C24" s="105">
        <v>698746776756</v>
      </c>
      <c r="D24" s="102">
        <f ca="1">SUMIFS(Sales!$G:$G,Sales!$C:$C,$B24,Sales!$A:$A,"&gt;="&amp;EDATE(TODAY(),-6))</f>
        <v>20659.1088</v>
      </c>
      <c r="E24" s="86">
        <f ca="1" t="shared" si="0"/>
        <v>0.677879162848889</v>
      </c>
      <c r="F24" s="102" t="str">
        <f ca="1" t="shared" si="1"/>
        <v>A</v>
      </c>
      <c r="G24" s="102" t="s">
        <v>762</v>
      </c>
      <c r="H24" s="102" t="s">
        <v>731</v>
      </c>
      <c r="I24" s="86" t="s">
        <v>923</v>
      </c>
      <c r="J24" s="86" t="s">
        <v>924</v>
      </c>
      <c r="K24" s="86" t="s">
        <v>925</v>
      </c>
      <c r="L24" s="107" t="s">
        <v>926</v>
      </c>
      <c r="M24" s="86" t="s">
        <v>328</v>
      </c>
      <c r="N24" s="104" t="s">
        <v>927</v>
      </c>
      <c r="O24" s="104">
        <v>500</v>
      </c>
      <c r="P24" s="104">
        <v>15</v>
      </c>
      <c r="Q24" s="86">
        <v>48</v>
      </c>
      <c r="R24" s="86">
        <v>1.83</v>
      </c>
      <c r="S24" s="104">
        <v>9.99</v>
      </c>
      <c r="T24" s="86" t="str">
        <f>IFERROR(VLOOKUP(B24,Sum!A:A,1,0),"")</f>
        <v>CPWJ0018</v>
      </c>
      <c r="U24" s="86" t="s">
        <v>928</v>
      </c>
      <c r="V24" s="86" t="s">
        <v>929</v>
      </c>
      <c r="W24" s="86" t="s">
        <v>930</v>
      </c>
      <c r="X24" s="86" t="s">
        <v>931</v>
      </c>
      <c r="Y24" s="86" t="s">
        <v>743</v>
      </c>
      <c r="Z24" s="86" t="s">
        <v>932</v>
      </c>
      <c r="AA24" s="86" t="s">
        <v>933</v>
      </c>
      <c r="AB24" s="86" t="s">
        <v>934</v>
      </c>
      <c r="AC24" s="86" t="s">
        <v>747</v>
      </c>
      <c r="AD24" s="86" t="s">
        <v>935</v>
      </c>
    </row>
    <row r="25" customHeight="1" spans="1:30">
      <c r="A25" s="102" t="s">
        <v>45</v>
      </c>
      <c r="B25" s="94" t="s">
        <v>45</v>
      </c>
      <c r="C25" s="105">
        <v>698746777326</v>
      </c>
      <c r="D25" s="102">
        <f ca="1">SUMIFS(Sales!$G:$G,Sales!$C:$C,$B25,Sales!$A:$A,"&gt;="&amp;EDATE(TODAY(),-6))</f>
        <v>27774.801</v>
      </c>
      <c r="E25" s="86">
        <f ca="1" t="shared" si="0"/>
        <v>0.607693505838752</v>
      </c>
      <c r="F25" s="102" t="str">
        <f ca="1" t="shared" si="1"/>
        <v>A</v>
      </c>
      <c r="G25" s="102" t="s">
        <v>730</v>
      </c>
      <c r="H25" s="102" t="s">
        <v>731</v>
      </c>
      <c r="I25" s="86" t="s">
        <v>936</v>
      </c>
      <c r="J25" s="86" t="s">
        <v>937</v>
      </c>
      <c r="K25" s="86" t="s">
        <v>938</v>
      </c>
      <c r="L25" s="86" t="s">
        <v>939</v>
      </c>
      <c r="M25" s="86" t="s">
        <v>328</v>
      </c>
      <c r="N25" s="104" t="s">
        <v>940</v>
      </c>
      <c r="O25" s="104">
        <v>500</v>
      </c>
      <c r="P25" s="104">
        <v>10</v>
      </c>
      <c r="Q25" s="86">
        <v>45</v>
      </c>
      <c r="R25" s="86">
        <v>2.35</v>
      </c>
      <c r="S25" s="104">
        <v>13.99</v>
      </c>
      <c r="T25" s="86" t="str">
        <f>IFERROR(VLOOKUP(B25,Sum!A:A,1,0),"")</f>
        <v>CPWJ162000PK</v>
      </c>
      <c r="U25" s="86" t="s">
        <v>941</v>
      </c>
      <c r="V25" s="86" t="s">
        <v>942</v>
      </c>
      <c r="W25" s="86" t="s">
        <v>740</v>
      </c>
      <c r="X25" s="86" t="s">
        <v>743</v>
      </c>
      <c r="Y25" s="86" t="s">
        <v>943</v>
      </c>
      <c r="Z25" s="86" t="s">
        <v>932</v>
      </c>
      <c r="AA25" s="86" t="s">
        <v>944</v>
      </c>
      <c r="AB25" s="86" t="s">
        <v>945</v>
      </c>
      <c r="AC25" s="86" t="s">
        <v>946</v>
      </c>
      <c r="AD25" s="86" t="s">
        <v>947</v>
      </c>
    </row>
    <row r="26" customHeight="1" spans="1:30">
      <c r="A26" s="102" t="s">
        <v>46</v>
      </c>
      <c r="B26" s="94" t="s">
        <v>46</v>
      </c>
      <c r="C26" s="105">
        <v>698746777029</v>
      </c>
      <c r="D26" s="102">
        <f ca="1">SUMIFS(Sales!$G:$G,Sales!$C:$C,$B26,Sales!$A:$A,"&gt;="&amp;EDATE(TODAY(),-6))</f>
        <v>1697.76</v>
      </c>
      <c r="E26" s="86">
        <f ca="1" t="shared" si="0"/>
        <v>1</v>
      </c>
      <c r="F26" s="102" t="str">
        <f ca="1" t="shared" si="1"/>
        <v>C</v>
      </c>
      <c r="G26" s="102" t="s">
        <v>762</v>
      </c>
      <c r="H26" s="102" t="s">
        <v>731</v>
      </c>
      <c r="I26" s="86" t="s">
        <v>948</v>
      </c>
      <c r="J26" s="86" t="s">
        <v>949</v>
      </c>
      <c r="K26" s="86" t="s">
        <v>950</v>
      </c>
      <c r="L26" s="107" t="s">
        <v>951</v>
      </c>
      <c r="M26" s="86" t="s">
        <v>952</v>
      </c>
      <c r="N26" s="104" t="s">
        <v>953</v>
      </c>
      <c r="O26" s="104">
        <v>500</v>
      </c>
      <c r="P26" s="104">
        <v>15</v>
      </c>
      <c r="Q26" s="86">
        <v>72</v>
      </c>
      <c r="R26" s="86">
        <v>1.42</v>
      </c>
      <c r="S26" s="104">
        <v>9.99</v>
      </c>
      <c r="T26" s="86" t="str">
        <f>IFERROR(VLOOKUP(B26,Sum!A:A,1,0),"")</f>
        <v>CPWJ181002RD</v>
      </c>
      <c r="U26" s="86" t="s">
        <v>954</v>
      </c>
      <c r="V26" s="86" t="s">
        <v>955</v>
      </c>
      <c r="W26" s="86" t="s">
        <v>932</v>
      </c>
      <c r="X26" s="86" t="s">
        <v>740</v>
      </c>
      <c r="Y26" s="86" t="s">
        <v>743</v>
      </c>
      <c r="Z26" s="86" t="s">
        <v>894</v>
      </c>
      <c r="AA26" s="86" t="s">
        <v>956</v>
      </c>
      <c r="AB26" s="86" t="s">
        <v>957</v>
      </c>
      <c r="AC26" s="86" t="s">
        <v>747</v>
      </c>
      <c r="AD26" s="86" t="s">
        <v>898</v>
      </c>
    </row>
    <row r="27" customHeight="1" spans="1:30">
      <c r="A27" s="102" t="s">
        <v>47</v>
      </c>
      <c r="B27" s="94" t="s">
        <v>47</v>
      </c>
      <c r="C27" s="105">
        <v>698746777333</v>
      </c>
      <c r="D27" s="102">
        <f ca="1">SUMIFS(Sales!$G:$G,Sales!$C:$C,$B27,Sales!$A:$A,"&gt;="&amp;EDATE(TODAY(),-6))</f>
        <v>29366.7864</v>
      </c>
      <c r="E27" s="86">
        <f ca="1" t="shared" si="0"/>
        <v>0.57767550494082</v>
      </c>
      <c r="F27" s="102" t="str">
        <f ca="1" t="shared" si="1"/>
        <v>A</v>
      </c>
      <c r="G27" s="102" t="s">
        <v>730</v>
      </c>
      <c r="H27" s="102" t="s">
        <v>731</v>
      </c>
      <c r="I27" s="86" t="s">
        <v>958</v>
      </c>
      <c r="J27" s="86" t="s">
        <v>959</v>
      </c>
      <c r="K27" s="86" t="s">
        <v>960</v>
      </c>
      <c r="L27" s="86" t="s">
        <v>961</v>
      </c>
      <c r="M27" s="86" t="s">
        <v>328</v>
      </c>
      <c r="N27" s="104" t="s">
        <v>962</v>
      </c>
      <c r="O27" s="104">
        <v>500</v>
      </c>
      <c r="P27" s="104">
        <v>10</v>
      </c>
      <c r="Q27" s="86">
        <v>28</v>
      </c>
      <c r="R27" s="86">
        <v>3.1</v>
      </c>
      <c r="S27" s="104">
        <v>13.99</v>
      </c>
      <c r="T27" s="86" t="str">
        <f>IFERROR(VLOOKUP(B27,Sum!A:A,1,0),"")</f>
        <v>CPWJ18400WHSET-A</v>
      </c>
      <c r="U27" s="86" t="s">
        <v>963</v>
      </c>
      <c r="V27" s="86" t="s">
        <v>942</v>
      </c>
      <c r="W27" s="86" t="s">
        <v>740</v>
      </c>
      <c r="X27" s="86" t="s">
        <v>743</v>
      </c>
      <c r="Y27" s="86" t="s">
        <v>964</v>
      </c>
      <c r="Z27" s="86" t="s">
        <v>932</v>
      </c>
      <c r="AA27" s="86" t="s">
        <v>965</v>
      </c>
      <c r="AB27" s="86" t="s">
        <v>966</v>
      </c>
      <c r="AC27" s="86" t="s">
        <v>967</v>
      </c>
      <c r="AD27" s="86" t="s">
        <v>947</v>
      </c>
    </row>
    <row r="28" customHeight="1" spans="1:30">
      <c r="A28" s="102" t="s">
        <v>48</v>
      </c>
      <c r="B28" s="94" t="s">
        <v>48</v>
      </c>
      <c r="C28" s="105">
        <v>698746777036</v>
      </c>
      <c r="D28" s="102">
        <f ca="1">SUMIFS(Sales!$G:$G,Sales!$C:$C,$B28,Sales!$A:$A,"&gt;="&amp;EDATE(TODAY(),-6))</f>
        <v>0</v>
      </c>
      <c r="E28" s="86">
        <f ca="1" t="shared" si="0"/>
        <v>1</v>
      </c>
      <c r="F28" s="102" t="str">
        <f ca="1" t="shared" si="1"/>
        <v>C</v>
      </c>
      <c r="G28" s="102" t="s">
        <v>762</v>
      </c>
      <c r="H28" s="102" t="s">
        <v>731</v>
      </c>
      <c r="I28" s="86" t="s">
        <v>968</v>
      </c>
      <c r="J28" s="86" t="s">
        <v>969</v>
      </c>
      <c r="K28" s="86" t="s">
        <v>970</v>
      </c>
      <c r="L28" s="107" t="s">
        <v>971</v>
      </c>
      <c r="M28" s="86" t="s">
        <v>325</v>
      </c>
      <c r="N28" s="104" t="s">
        <v>972</v>
      </c>
      <c r="O28" s="104">
        <v>500</v>
      </c>
      <c r="P28" s="104">
        <v>15</v>
      </c>
      <c r="Q28" s="86">
        <v>48</v>
      </c>
      <c r="R28" s="86">
        <v>1.42</v>
      </c>
      <c r="S28" s="104">
        <v>9.99</v>
      </c>
      <c r="T28" s="86" t="str">
        <f>IFERROR(VLOOKUP(B28,Sum!A:A,1,0),"")</f>
        <v>CPWJ18500WH</v>
      </c>
      <c r="U28" s="86"/>
      <c r="V28" s="86"/>
      <c r="W28" s="86"/>
      <c r="X28" s="86"/>
      <c r="Y28" s="86"/>
      <c r="Z28" s="86"/>
      <c r="AA28" s="86" t="s">
        <v>973</v>
      </c>
      <c r="AB28" s="86" t="s">
        <v>974</v>
      </c>
      <c r="AC28" s="86" t="s">
        <v>947</v>
      </c>
      <c r="AD28" s="86"/>
    </row>
    <row r="29" customHeight="1" spans="1:30">
      <c r="A29" s="102" t="s">
        <v>49</v>
      </c>
      <c r="B29" s="96" t="s">
        <v>49</v>
      </c>
      <c r="C29" s="103">
        <v>850030338051</v>
      </c>
      <c r="D29" s="102">
        <f ca="1">SUMIFS(Sales!$G:$G,Sales!$C:$C,$B29,Sales!$A:$A,"&gt;="&amp;EDATE(TODAY(),-6))</f>
        <v>17570.2</v>
      </c>
      <c r="E29" s="86">
        <f ca="1" t="shared" si="0"/>
        <v>0.716742785941875</v>
      </c>
      <c r="F29" s="102" t="str">
        <f ca="1" t="shared" si="1"/>
        <v>B</v>
      </c>
      <c r="G29" s="102" t="s">
        <v>762</v>
      </c>
      <c r="H29" s="102" t="s">
        <v>731</v>
      </c>
      <c r="I29" s="96" t="s">
        <v>975</v>
      </c>
      <c r="J29" s="86" t="s">
        <v>976</v>
      </c>
      <c r="K29" s="86" t="s">
        <v>977</v>
      </c>
      <c r="L29" s="107" t="s">
        <v>978</v>
      </c>
      <c r="M29" s="86" t="s">
        <v>306</v>
      </c>
      <c r="N29" s="104" t="s">
        <v>979</v>
      </c>
      <c r="O29" s="104">
        <v>500</v>
      </c>
      <c r="P29" s="104">
        <v>15</v>
      </c>
      <c r="Q29" s="86">
        <v>4</v>
      </c>
      <c r="R29" s="86">
        <v>7.16</v>
      </c>
      <c r="S29" s="104">
        <v>39.99</v>
      </c>
      <c r="T29" s="86" t="str">
        <f>IFERROR(VLOOKUP(B29,Sum!A:A,1,0),"")</f>
        <v>CPWJ87000</v>
      </c>
      <c r="U29" s="86" t="s">
        <v>980</v>
      </c>
      <c r="V29" s="86" t="s">
        <v>981</v>
      </c>
      <c r="W29" s="86" t="s">
        <v>982</v>
      </c>
      <c r="X29" s="86" t="s">
        <v>983</v>
      </c>
      <c r="Y29" s="86" t="s">
        <v>984</v>
      </c>
      <c r="Z29" s="86" t="s">
        <v>985</v>
      </c>
      <c r="AA29" s="86" t="s">
        <v>986</v>
      </c>
      <c r="AB29" s="86" t="s">
        <v>987</v>
      </c>
      <c r="AC29" s="86" t="s">
        <v>988</v>
      </c>
      <c r="AD29" s="86" t="s">
        <v>989</v>
      </c>
    </row>
    <row r="30" customHeight="1" spans="1:30">
      <c r="A30" s="102" t="s">
        <v>605</v>
      </c>
      <c r="B30" s="106" t="s">
        <v>605</v>
      </c>
      <c r="C30" s="105">
        <v>850030338358</v>
      </c>
      <c r="D30" s="102">
        <f ca="1">SUMIFS(Sales!$G:$G,Sales!$C:$C,$B30,Sales!$A:$A,"&gt;="&amp;EDATE(TODAY(),-6))</f>
        <v>0</v>
      </c>
      <c r="E30" s="86">
        <f ca="1" t="shared" si="0"/>
        <v>1</v>
      </c>
      <c r="F30" s="102" t="str">
        <f ca="1" t="shared" si="1"/>
        <v>C</v>
      </c>
      <c r="G30" s="102" t="s">
        <v>862</v>
      </c>
      <c r="H30" s="102" t="s">
        <v>731</v>
      </c>
      <c r="I30" s="86" t="s">
        <v>604</v>
      </c>
      <c r="J30" s="86" t="s">
        <v>990</v>
      </c>
      <c r="K30" s="86" t="s">
        <v>991</v>
      </c>
      <c r="L30" s="86" t="s">
        <v>992</v>
      </c>
      <c r="M30" s="86" t="s">
        <v>766</v>
      </c>
      <c r="N30" s="104" t="s">
        <v>993</v>
      </c>
      <c r="O30" s="104">
        <v>1000</v>
      </c>
      <c r="P30" s="104">
        <v>10</v>
      </c>
      <c r="Q30" s="97">
        <v>1</v>
      </c>
      <c r="R30" s="86">
        <v>36.3</v>
      </c>
      <c r="S30" s="104">
        <v>189.99</v>
      </c>
      <c r="T30" s="86" t="str">
        <f>IFERROR(VLOOKUP(B30,Sum!A:A,1,0),"")</f>
        <v/>
      </c>
      <c r="U30" s="86"/>
      <c r="V30" s="86"/>
      <c r="W30" s="86"/>
      <c r="X30" s="86"/>
      <c r="Y30" s="86"/>
      <c r="Z30" s="86"/>
      <c r="AA30" s="86" t="s">
        <v>994</v>
      </c>
      <c r="AB30" s="86" t="s">
        <v>995</v>
      </c>
      <c r="AC30" s="86" t="s">
        <v>996</v>
      </c>
      <c r="AD30" s="86" t="s">
        <v>997</v>
      </c>
    </row>
    <row r="31" customHeight="1" spans="1:30">
      <c r="A31" s="102" t="s">
        <v>50</v>
      </c>
      <c r="B31" s="86" t="s">
        <v>50</v>
      </c>
      <c r="C31" s="105">
        <v>850030338761</v>
      </c>
      <c r="D31" s="102">
        <f ca="1">SUMIFS(Sales!$G:$G,Sales!$C:$C,$B31,Sales!$A:$A,"&gt;="&amp;EDATE(TODAY(),-6))</f>
        <v>339761.7736</v>
      </c>
      <c r="E31" s="86">
        <f ca="1" t="shared" si="0"/>
        <v>0.367202242961443</v>
      </c>
      <c r="F31" s="102" t="str">
        <f ca="1" t="shared" si="1"/>
        <v>A</v>
      </c>
      <c r="G31" s="102" t="s">
        <v>862</v>
      </c>
      <c r="H31" s="102" t="s">
        <v>731</v>
      </c>
      <c r="I31" s="86" t="s">
        <v>603</v>
      </c>
      <c r="J31" s="86" t="s">
        <v>998</v>
      </c>
      <c r="K31" s="86" t="s">
        <v>999</v>
      </c>
      <c r="L31" s="86" t="s">
        <v>1000</v>
      </c>
      <c r="M31" s="86" t="s">
        <v>1001</v>
      </c>
      <c r="N31" s="104" t="s">
        <v>1002</v>
      </c>
      <c r="O31" s="104">
        <v>1000</v>
      </c>
      <c r="P31" s="104">
        <v>10</v>
      </c>
      <c r="Q31" s="86">
        <v>1</v>
      </c>
      <c r="R31" s="86">
        <v>24.09</v>
      </c>
      <c r="S31" s="104">
        <v>99.99</v>
      </c>
      <c r="T31" s="86" t="str">
        <f>IFERROR(VLOOKUP(B31,Sum!A:A,1,0),"")</f>
        <v>HL-4</v>
      </c>
      <c r="U31" s="86" t="s">
        <v>1003</v>
      </c>
      <c r="V31" s="86" t="s">
        <v>1004</v>
      </c>
      <c r="W31" s="86" t="s">
        <v>1005</v>
      </c>
      <c r="X31" s="86" t="s">
        <v>931</v>
      </c>
      <c r="Y31" s="86" t="s">
        <v>1006</v>
      </c>
      <c r="Z31" s="86" t="s">
        <v>743</v>
      </c>
      <c r="AA31" s="86" t="s">
        <v>1007</v>
      </c>
      <c r="AB31" s="86" t="s">
        <v>1008</v>
      </c>
      <c r="AC31" s="86" t="s">
        <v>1009</v>
      </c>
      <c r="AD31" s="86" t="s">
        <v>1010</v>
      </c>
    </row>
    <row r="32" customHeight="1" spans="1:30">
      <c r="A32" s="102" t="s">
        <v>51</v>
      </c>
      <c r="B32" s="86" t="s">
        <v>51</v>
      </c>
      <c r="C32" s="105">
        <v>760762457053</v>
      </c>
      <c r="D32" s="102">
        <f ca="1">SUMIFS(Sales!$G:$G,Sales!$C:$C,$B32,Sales!$A:$A,"&gt;="&amp;EDATE(TODAY(),-6))</f>
        <v>22776</v>
      </c>
      <c r="E32" s="86">
        <f ca="1" t="shared" si="0"/>
        <v>0.632308983316027</v>
      </c>
      <c r="F32" s="102" t="str">
        <f ca="1" t="shared" si="1"/>
        <v>A</v>
      </c>
      <c r="G32" s="102" t="s">
        <v>862</v>
      </c>
      <c r="H32" s="102" t="s">
        <v>731</v>
      </c>
      <c r="I32" s="86" t="s">
        <v>1011</v>
      </c>
      <c r="J32" s="86" t="s">
        <v>1012</v>
      </c>
      <c r="K32" s="86" t="s">
        <v>1013</v>
      </c>
      <c r="L32" s="86" t="s">
        <v>1014</v>
      </c>
      <c r="M32" s="86" t="s">
        <v>306</v>
      </c>
      <c r="N32" s="104" t="s">
        <v>1015</v>
      </c>
      <c r="O32" s="104">
        <v>1000</v>
      </c>
      <c r="P32" s="104">
        <v>10</v>
      </c>
      <c r="Q32" s="86">
        <v>1</v>
      </c>
      <c r="R32" s="86">
        <v>15.25</v>
      </c>
      <c r="S32" s="104">
        <v>94.99</v>
      </c>
      <c r="T32" s="86" t="str">
        <f>IFERROR(VLOOKUP(B32,Sum!A:A,1,0),"")</f>
        <v>LT-27</v>
      </c>
      <c r="U32" s="86" t="s">
        <v>1016</v>
      </c>
      <c r="V32" s="86" t="s">
        <v>1017</v>
      </c>
      <c r="W32" s="86" t="s">
        <v>1005</v>
      </c>
      <c r="X32" s="86" t="s">
        <v>1006</v>
      </c>
      <c r="Y32" s="86" t="s">
        <v>1018</v>
      </c>
      <c r="Z32" s="86" t="s">
        <v>1019</v>
      </c>
      <c r="AA32" s="86" t="s">
        <v>1020</v>
      </c>
      <c r="AB32" s="86" t="s">
        <v>1021</v>
      </c>
      <c r="AC32" s="86" t="s">
        <v>1022</v>
      </c>
      <c r="AD32" s="86" t="s">
        <v>1023</v>
      </c>
    </row>
    <row r="33" customHeight="1" spans="1:30">
      <c r="A33" s="102" t="s">
        <v>1024</v>
      </c>
      <c r="B33" s="86" t="s">
        <v>52</v>
      </c>
      <c r="C33" s="103">
        <v>850062627567</v>
      </c>
      <c r="D33" s="102">
        <f ca="1">SUMIFS(Sales!$G:$G,Sales!$C:$C,$B33,Sales!$A:$A,"&gt;="&amp;EDATE(TODAY(),-6))</f>
        <v>2652</v>
      </c>
      <c r="E33" s="86">
        <f ca="1" t="shared" si="0"/>
        <v>0.96299660191396</v>
      </c>
      <c r="F33" s="102" t="str">
        <f ca="1" t="shared" si="1"/>
        <v>C</v>
      </c>
      <c r="G33" s="102" t="s">
        <v>808</v>
      </c>
      <c r="H33" s="102" t="s">
        <v>719</v>
      </c>
      <c r="I33" s="86" t="s">
        <v>578</v>
      </c>
      <c r="J33" s="86" t="s">
        <v>1025</v>
      </c>
      <c r="K33" s="86" t="s">
        <v>1026</v>
      </c>
      <c r="L33" s="86" t="s">
        <v>1027</v>
      </c>
      <c r="M33" s="86" t="s">
        <v>1028</v>
      </c>
      <c r="N33" s="104" t="s">
        <v>1029</v>
      </c>
      <c r="O33" s="104">
        <v>1000</v>
      </c>
      <c r="P33" s="104">
        <v>10</v>
      </c>
      <c r="Q33" s="86">
        <v>60</v>
      </c>
      <c r="R33" s="86">
        <v>0.73</v>
      </c>
      <c r="S33" s="104">
        <v>5.99</v>
      </c>
      <c r="T33" s="86" t="str">
        <f>IFERROR(VLOOKUP(B33,Sum!A:A,1,0),"")</f>
        <v>LT-7-PK</v>
      </c>
      <c r="U33" s="86" t="s">
        <v>1030</v>
      </c>
      <c r="V33" s="86" t="s">
        <v>1031</v>
      </c>
      <c r="W33" s="86" t="s">
        <v>787</v>
      </c>
      <c r="X33" s="86" t="s">
        <v>830</v>
      </c>
      <c r="Y33" s="86" t="s">
        <v>816</v>
      </c>
      <c r="Z33" s="86" t="s">
        <v>818</v>
      </c>
      <c r="AA33" s="86" t="s">
        <v>1032</v>
      </c>
      <c r="AB33" s="86" t="s">
        <v>1033</v>
      </c>
      <c r="AC33" s="86" t="s">
        <v>1034</v>
      </c>
      <c r="AD33" s="86" t="s">
        <v>1035</v>
      </c>
    </row>
    <row r="34" customHeight="1" spans="1:30">
      <c r="A34" s="102" t="s">
        <v>53</v>
      </c>
      <c r="B34" s="94" t="s">
        <v>53</v>
      </c>
      <c r="C34" s="105">
        <v>850030338211</v>
      </c>
      <c r="D34" s="102">
        <f ca="1">SUMIFS(Sales!$G:$G,Sales!$C:$C,$B34,Sales!$A:$A,"&gt;="&amp;EDATE(TODAY(),-6))</f>
        <v>35117.052</v>
      </c>
      <c r="E34" s="86">
        <f ca="1" t="shared" si="0"/>
        <v>0.512807452493252</v>
      </c>
      <c r="F34" s="102" t="str">
        <f ca="1" t="shared" si="1"/>
        <v>A</v>
      </c>
      <c r="G34" s="102" t="s">
        <v>762</v>
      </c>
      <c r="H34" s="102" t="s">
        <v>731</v>
      </c>
      <c r="I34" s="86" t="s">
        <v>656</v>
      </c>
      <c r="J34" s="86" t="s">
        <v>1036</v>
      </c>
      <c r="K34" s="86" t="s">
        <v>1037</v>
      </c>
      <c r="L34" s="86" t="s">
        <v>1038</v>
      </c>
      <c r="M34" s="86" t="s">
        <v>1039</v>
      </c>
      <c r="N34" s="104" t="s">
        <v>876</v>
      </c>
      <c r="O34" s="104">
        <v>500</v>
      </c>
      <c r="P34" s="104">
        <v>15</v>
      </c>
      <c r="Q34" s="86">
        <v>24</v>
      </c>
      <c r="R34" s="86">
        <v>3.61</v>
      </c>
      <c r="S34" s="104">
        <v>23.99</v>
      </c>
      <c r="T34" s="86" t="str">
        <f>IFERROR(VLOOKUP(B34,Sum!A:A,1,0),"")</f>
        <v>R-12</v>
      </c>
      <c r="U34" s="86" t="s">
        <v>1040</v>
      </c>
      <c r="V34" s="86" t="s">
        <v>1041</v>
      </c>
      <c r="W34" s="86" t="s">
        <v>932</v>
      </c>
      <c r="X34" s="86" t="s">
        <v>982</v>
      </c>
      <c r="Y34" s="86" t="s">
        <v>743</v>
      </c>
      <c r="Z34" s="86" t="s">
        <v>771</v>
      </c>
      <c r="AA34" s="86" t="s">
        <v>1042</v>
      </c>
      <c r="AB34" s="86" t="s">
        <v>1043</v>
      </c>
      <c r="AC34" s="86" t="s">
        <v>1044</v>
      </c>
      <c r="AD34" s="86" t="s">
        <v>1045</v>
      </c>
    </row>
    <row r="35" customHeight="1" spans="1:30">
      <c r="A35" s="102" t="s">
        <v>54</v>
      </c>
      <c r="B35" s="94" t="s">
        <v>54</v>
      </c>
      <c r="C35" s="105">
        <v>850030338235</v>
      </c>
      <c r="D35" s="102">
        <f ca="1">SUMIFS(Sales!$G:$G,Sales!$C:$C,$B35,Sales!$A:$A,"&gt;="&amp;EDATE(TODAY(),-6))</f>
        <v>0</v>
      </c>
      <c r="E35" s="86">
        <f ca="1" t="shared" si="0"/>
        <v>1</v>
      </c>
      <c r="F35" s="102" t="str">
        <f ca="1" t="shared" si="1"/>
        <v>C</v>
      </c>
      <c r="G35" s="102" t="s">
        <v>762</v>
      </c>
      <c r="H35" s="102" t="s">
        <v>731</v>
      </c>
      <c r="I35" s="86" t="s">
        <v>638</v>
      </c>
      <c r="J35" s="86" t="s">
        <v>1046</v>
      </c>
      <c r="K35" s="86" t="s">
        <v>1047</v>
      </c>
      <c r="L35" s="86" t="s">
        <v>1048</v>
      </c>
      <c r="M35" s="86" t="s">
        <v>1049</v>
      </c>
      <c r="N35" s="104" t="s">
        <v>876</v>
      </c>
      <c r="O35" s="104">
        <v>500</v>
      </c>
      <c r="P35" s="104">
        <v>15</v>
      </c>
      <c r="Q35" s="86">
        <v>24</v>
      </c>
      <c r="R35" s="86">
        <v>2.67</v>
      </c>
      <c r="S35" s="104">
        <v>15.99</v>
      </c>
      <c r="T35" s="86" t="str">
        <f>IFERROR(VLOOKUP(B35,Sum!A:A,1,0),"")</f>
        <v>R-15</v>
      </c>
      <c r="U35" s="86" t="s">
        <v>1050</v>
      </c>
      <c r="V35" s="86" t="s">
        <v>1041</v>
      </c>
      <c r="W35" s="86" t="s">
        <v>932</v>
      </c>
      <c r="X35" s="86" t="s">
        <v>982</v>
      </c>
      <c r="Y35" s="86" t="s">
        <v>743</v>
      </c>
      <c r="Z35" s="86" t="s">
        <v>771</v>
      </c>
      <c r="AA35" s="86" t="s">
        <v>1051</v>
      </c>
      <c r="AB35" s="86" t="s">
        <v>1052</v>
      </c>
      <c r="AC35" s="86" t="s">
        <v>1053</v>
      </c>
      <c r="AD35" s="86" t="s">
        <v>1054</v>
      </c>
    </row>
    <row r="36" customHeight="1" spans="1:30">
      <c r="A36" s="102" t="s">
        <v>55</v>
      </c>
      <c r="B36" s="86" t="s">
        <v>55</v>
      </c>
      <c r="C36" s="105">
        <v>850030338341</v>
      </c>
      <c r="D36" s="102">
        <f ca="1">SUMIFS(Sales!$G:$G,Sales!$C:$C,$B36,Sales!$A:$A,"&gt;="&amp;EDATE(TODAY(),-6))</f>
        <v>2105.28</v>
      </c>
      <c r="E36" s="86">
        <f ca="1" t="shared" si="0"/>
        <v>0.98369388893236</v>
      </c>
      <c r="F36" s="102" t="str">
        <f ca="1" t="shared" si="1"/>
        <v>C</v>
      </c>
      <c r="G36" s="102" t="s">
        <v>762</v>
      </c>
      <c r="H36" s="102" t="s">
        <v>731</v>
      </c>
      <c r="I36" s="86" t="s">
        <v>641</v>
      </c>
      <c r="J36" s="86" t="s">
        <v>1055</v>
      </c>
      <c r="K36" s="86" t="s">
        <v>1056</v>
      </c>
      <c r="L36" s="86" t="s">
        <v>1057</v>
      </c>
      <c r="M36" s="86" t="s">
        <v>1058</v>
      </c>
      <c r="N36" s="104" t="s">
        <v>876</v>
      </c>
      <c r="O36" s="104">
        <v>500</v>
      </c>
      <c r="P36" s="104">
        <v>15</v>
      </c>
      <c r="Q36" s="86">
        <v>34</v>
      </c>
      <c r="R36" s="86">
        <v>1.91</v>
      </c>
      <c r="S36" s="104">
        <v>14.99</v>
      </c>
      <c r="T36" s="86" t="str">
        <f>IFERROR(VLOOKUP(B36,Sum!A:A,1,0),"")</f>
        <v>R-61</v>
      </c>
      <c r="U36" s="86" t="s">
        <v>1059</v>
      </c>
      <c r="V36" s="86" t="s">
        <v>1060</v>
      </c>
      <c r="W36" s="86" t="s">
        <v>879</v>
      </c>
      <c r="X36" s="86" t="s">
        <v>1061</v>
      </c>
      <c r="Y36" s="86" t="s">
        <v>895</v>
      </c>
      <c r="Z36" s="86" t="s">
        <v>882</v>
      </c>
      <c r="AA36" s="86" t="s">
        <v>883</v>
      </c>
      <c r="AB36" s="86" t="s">
        <v>1062</v>
      </c>
      <c r="AC36" s="86" t="s">
        <v>747</v>
      </c>
      <c r="AD36" s="86" t="s">
        <v>886</v>
      </c>
    </row>
    <row r="37" customHeight="1" spans="1:30">
      <c r="A37" s="102" t="s">
        <v>56</v>
      </c>
      <c r="B37" s="86" t="s">
        <v>56</v>
      </c>
      <c r="C37" s="105">
        <v>850030338303</v>
      </c>
      <c r="D37" s="102">
        <f ca="1">SUMIFS(Sales!$G:$G,Sales!$C:$C,$B37,Sales!$A:$A,"&gt;="&amp;EDATE(TODAY(),-6))</f>
        <v>2037</v>
      </c>
      <c r="E37" s="86">
        <f ca="1" t="shared" si="0"/>
        <v>0.985895404897464</v>
      </c>
      <c r="F37" s="102" t="str">
        <f ca="1" t="shared" si="1"/>
        <v>C</v>
      </c>
      <c r="G37" s="102" t="s">
        <v>762</v>
      </c>
      <c r="H37" s="102" t="s">
        <v>731</v>
      </c>
      <c r="I37" s="86" t="s">
        <v>642</v>
      </c>
      <c r="J37" s="86" t="s">
        <v>1063</v>
      </c>
      <c r="K37" s="86" t="s">
        <v>1064</v>
      </c>
      <c r="L37" s="86" t="s">
        <v>1065</v>
      </c>
      <c r="M37" s="86" t="s">
        <v>1058</v>
      </c>
      <c r="N37" s="104" t="s">
        <v>876</v>
      </c>
      <c r="O37" s="104">
        <v>500</v>
      </c>
      <c r="P37" s="104">
        <v>15</v>
      </c>
      <c r="Q37" s="86">
        <v>70</v>
      </c>
      <c r="R37" s="86">
        <v>1.58</v>
      </c>
      <c r="S37" s="104">
        <v>14.99</v>
      </c>
      <c r="T37" s="86" t="str">
        <f>IFERROR(VLOOKUP(B37,Sum!A:A,1,0),"")</f>
        <v>R-62</v>
      </c>
      <c r="U37" s="86" t="s">
        <v>910</v>
      </c>
      <c r="V37" s="86" t="s">
        <v>1066</v>
      </c>
      <c r="W37" s="86" t="s">
        <v>893</v>
      </c>
      <c r="X37" s="86" t="s">
        <v>894</v>
      </c>
      <c r="Y37" s="86" t="s">
        <v>895</v>
      </c>
      <c r="Z37" s="86" t="s">
        <v>896</v>
      </c>
      <c r="AA37" s="86" t="s">
        <v>897</v>
      </c>
      <c r="AB37" s="86" t="s">
        <v>898</v>
      </c>
      <c r="AC37" s="86" t="s">
        <v>747</v>
      </c>
      <c r="AD37" s="86" t="s">
        <v>899</v>
      </c>
    </row>
    <row r="38" customHeight="1" spans="1:30">
      <c r="A38" s="102" t="s">
        <v>57</v>
      </c>
      <c r="B38" s="94" t="s">
        <v>57</v>
      </c>
      <c r="C38" s="105">
        <v>850030338280</v>
      </c>
      <c r="D38" s="102">
        <f ca="1">SUMIFS(Sales!$G:$G,Sales!$C:$C,$B38,Sales!$A:$A,"&gt;="&amp;EDATE(TODAY(),-6))</f>
        <v>2751.03</v>
      </c>
      <c r="E38" s="86">
        <f ca="1" t="shared" si="0"/>
        <v>0.957216244531651</v>
      </c>
      <c r="F38" s="102" t="str">
        <f ca="1" t="shared" si="1"/>
        <v>C</v>
      </c>
      <c r="G38" s="102" t="s">
        <v>762</v>
      </c>
      <c r="H38" s="102" t="s">
        <v>731</v>
      </c>
      <c r="I38" s="86" t="s">
        <v>643</v>
      </c>
      <c r="J38" s="86" t="s">
        <v>1067</v>
      </c>
      <c r="K38" s="86" t="s">
        <v>1068</v>
      </c>
      <c r="L38" s="86" t="s">
        <v>1069</v>
      </c>
      <c r="M38" s="86" t="s">
        <v>1070</v>
      </c>
      <c r="N38" s="104" t="s">
        <v>876</v>
      </c>
      <c r="O38" s="104">
        <v>500</v>
      </c>
      <c r="P38" s="104">
        <v>15</v>
      </c>
      <c r="Q38" s="86">
        <v>27</v>
      </c>
      <c r="R38" s="86">
        <v>2.13</v>
      </c>
      <c r="S38" s="104">
        <v>16.99</v>
      </c>
      <c r="T38" s="86" t="str">
        <f>IFERROR(VLOOKUP(B38,Sum!A:A,1,0),"")</f>
        <v>R-63</v>
      </c>
      <c r="U38" s="86" t="s">
        <v>1071</v>
      </c>
      <c r="V38" s="86" t="s">
        <v>1066</v>
      </c>
      <c r="W38" s="86" t="s">
        <v>932</v>
      </c>
      <c r="X38" s="86" t="s">
        <v>982</v>
      </c>
      <c r="Y38" s="86" t="s">
        <v>743</v>
      </c>
      <c r="Z38" s="86" t="s">
        <v>771</v>
      </c>
      <c r="AA38" s="86" t="s">
        <v>1072</v>
      </c>
      <c r="AB38" s="86" t="s">
        <v>1073</v>
      </c>
      <c r="AC38" s="86" t="s">
        <v>1074</v>
      </c>
      <c r="AD38" s="86" t="s">
        <v>1075</v>
      </c>
    </row>
    <row r="39" customHeight="1" spans="1:30">
      <c r="A39" s="102" t="s">
        <v>58</v>
      </c>
      <c r="B39" s="86" t="s">
        <v>58</v>
      </c>
      <c r="C39" s="105">
        <v>850030338297</v>
      </c>
      <c r="D39" s="102">
        <f ca="1">SUMIFS(Sales!$G:$G,Sales!$C:$C,$B39,Sales!$A:$A,"&gt;="&amp;EDATE(TODAY(),-6))</f>
        <v>1706.64</v>
      </c>
      <c r="E39" s="86">
        <f ca="1" t="shared" si="0"/>
        <v>0.998165122363812</v>
      </c>
      <c r="F39" s="102" t="str">
        <f ca="1" t="shared" si="1"/>
        <v>C</v>
      </c>
      <c r="G39" s="102" t="s">
        <v>762</v>
      </c>
      <c r="H39" s="102" t="s">
        <v>731</v>
      </c>
      <c r="I39" s="86" t="s">
        <v>644</v>
      </c>
      <c r="J39" s="86" t="s">
        <v>1076</v>
      </c>
      <c r="K39" s="86" t="s">
        <v>1077</v>
      </c>
      <c r="L39" s="86" t="s">
        <v>1078</v>
      </c>
      <c r="M39" s="86" t="s">
        <v>1058</v>
      </c>
      <c r="N39" s="104" t="s">
        <v>876</v>
      </c>
      <c r="O39" s="104">
        <v>500</v>
      </c>
      <c r="P39" s="104">
        <v>15</v>
      </c>
      <c r="Q39" s="86">
        <v>13</v>
      </c>
      <c r="R39" s="86">
        <v>2.54</v>
      </c>
      <c r="S39" s="104">
        <v>18.99</v>
      </c>
      <c r="T39" s="86" t="str">
        <f>IFERROR(VLOOKUP(B39,Sum!A:A,1,0),"")</f>
        <v>R-64</v>
      </c>
      <c r="U39" s="86" t="s">
        <v>1079</v>
      </c>
      <c r="V39" s="86" t="s">
        <v>1080</v>
      </c>
      <c r="W39" s="86" t="s">
        <v>932</v>
      </c>
      <c r="X39" s="86" t="s">
        <v>982</v>
      </c>
      <c r="Y39" s="86" t="s">
        <v>743</v>
      </c>
      <c r="Z39" s="86" t="s">
        <v>771</v>
      </c>
      <c r="AA39" s="86" t="s">
        <v>1081</v>
      </c>
      <c r="AB39" s="86" t="s">
        <v>1052</v>
      </c>
      <c r="AC39" s="86" t="s">
        <v>1082</v>
      </c>
      <c r="AD39" s="86" t="s">
        <v>1083</v>
      </c>
    </row>
    <row r="40" customHeight="1" spans="1:30">
      <c r="A40" s="102" t="s">
        <v>59</v>
      </c>
      <c r="B40" s="94" t="s">
        <v>59</v>
      </c>
      <c r="C40" s="105">
        <v>850030338273</v>
      </c>
      <c r="D40" s="102">
        <f ca="1">SUMIFS(Sales!$G:$G,Sales!$C:$C,$B40,Sales!$A:$A,"&gt;="&amp;EDATE(TODAY(),-6))</f>
        <v>2564.73</v>
      </c>
      <c r="E40" s="86">
        <f ca="1" t="shared" si="0"/>
        <v>0.965768469386312</v>
      </c>
      <c r="F40" s="102" t="str">
        <f ca="1" t="shared" si="1"/>
        <v>C</v>
      </c>
      <c r="G40" s="102" t="s">
        <v>762</v>
      </c>
      <c r="H40" s="102" t="s">
        <v>731</v>
      </c>
      <c r="I40" s="86" t="s">
        <v>647</v>
      </c>
      <c r="J40" s="86" t="s">
        <v>1084</v>
      </c>
      <c r="K40" s="86" t="s">
        <v>1085</v>
      </c>
      <c r="L40" s="86" t="s">
        <v>1086</v>
      </c>
      <c r="M40" s="86" t="s">
        <v>1087</v>
      </c>
      <c r="N40" s="104" t="s">
        <v>876</v>
      </c>
      <c r="O40" s="104">
        <v>500</v>
      </c>
      <c r="P40" s="104">
        <v>15</v>
      </c>
      <c r="Q40" s="97">
        <v>27</v>
      </c>
      <c r="R40" s="86">
        <v>1.92</v>
      </c>
      <c r="S40" s="104">
        <v>16.99</v>
      </c>
      <c r="T40" s="86" t="str">
        <f>IFERROR(VLOOKUP(B40,Sum!A:A,1,0),"")</f>
        <v>R-66</v>
      </c>
      <c r="U40" s="86" t="s">
        <v>1088</v>
      </c>
      <c r="V40" s="86" t="s">
        <v>1089</v>
      </c>
      <c r="W40" s="86" t="s">
        <v>932</v>
      </c>
      <c r="X40" s="86" t="s">
        <v>982</v>
      </c>
      <c r="Y40" s="86" t="s">
        <v>743</v>
      </c>
      <c r="Z40" s="86" t="s">
        <v>771</v>
      </c>
      <c r="AA40" s="86" t="s">
        <v>1072</v>
      </c>
      <c r="AB40" s="86" t="s">
        <v>1090</v>
      </c>
      <c r="AC40" s="86" t="s">
        <v>1091</v>
      </c>
      <c r="AD40" s="86" t="s">
        <v>1045</v>
      </c>
    </row>
    <row r="41" customHeight="1" spans="1:30">
      <c r="A41" s="102" t="s">
        <v>60</v>
      </c>
      <c r="B41" s="86" t="s">
        <v>60</v>
      </c>
      <c r="C41" s="105">
        <v>850030338433</v>
      </c>
      <c r="D41" s="102">
        <f ca="1">SUMIFS(Sales!$G:$G,Sales!$C:$C,$B41,Sales!$A:$A,"&gt;="&amp;EDATE(TODAY(),-6))</f>
        <v>9788.8</v>
      </c>
      <c r="E41" s="86">
        <f ca="1" t="shared" si="0"/>
        <v>0.836866024224738</v>
      </c>
      <c r="F41" s="102" t="str">
        <f ca="1" t="shared" si="1"/>
        <v>B</v>
      </c>
      <c r="G41" s="102" t="s">
        <v>762</v>
      </c>
      <c r="H41" s="102" t="s">
        <v>731</v>
      </c>
      <c r="I41" s="86" t="s">
        <v>1092</v>
      </c>
      <c r="J41" s="86" t="s">
        <v>1093</v>
      </c>
      <c r="K41" s="86" t="s">
        <v>1094</v>
      </c>
      <c r="L41" s="86" t="s">
        <v>1095</v>
      </c>
      <c r="M41" s="86" t="s">
        <v>760</v>
      </c>
      <c r="N41" s="104" t="s">
        <v>876</v>
      </c>
      <c r="O41" s="104">
        <v>500</v>
      </c>
      <c r="P41" s="104">
        <v>15</v>
      </c>
      <c r="Q41" s="86">
        <v>20</v>
      </c>
      <c r="R41" s="86">
        <v>2.81</v>
      </c>
      <c r="S41" s="104">
        <v>16.99</v>
      </c>
      <c r="T41" s="86" t="str">
        <f>IFERROR(VLOOKUP(B41,Sum!A:A,1,0),"")</f>
        <v>R-71</v>
      </c>
      <c r="U41" s="86"/>
      <c r="V41" s="86"/>
      <c r="W41" s="86"/>
      <c r="X41" s="86"/>
      <c r="Y41" s="86"/>
      <c r="Z41" s="86"/>
      <c r="AA41" s="86" t="s">
        <v>1096</v>
      </c>
      <c r="AB41" s="86" t="s">
        <v>1097</v>
      </c>
      <c r="AC41" s="86" t="s">
        <v>1098</v>
      </c>
      <c r="AD41" s="86" t="s">
        <v>988</v>
      </c>
    </row>
    <row r="42" customHeight="1" spans="1:30">
      <c r="A42" s="102" t="s">
        <v>61</v>
      </c>
      <c r="B42" s="86" t="s">
        <v>61</v>
      </c>
      <c r="C42" s="105">
        <v>850030338440</v>
      </c>
      <c r="D42" s="102">
        <f ca="1">SUMIFS(Sales!$G:$G,Sales!$C:$C,$B42,Sales!$A:$A,"&gt;="&amp;EDATE(TODAY(),-6))</f>
        <v>10062.36</v>
      </c>
      <c r="E42" s="86">
        <f ca="1" t="shared" si="0"/>
        <v>0.826286643037104</v>
      </c>
      <c r="F42" s="102" t="str">
        <f ca="1" t="shared" si="1"/>
        <v>B</v>
      </c>
      <c r="G42" s="102" t="s">
        <v>762</v>
      </c>
      <c r="H42" s="102" t="s">
        <v>731</v>
      </c>
      <c r="I42" s="86" t="s">
        <v>657</v>
      </c>
      <c r="J42" s="86" t="s">
        <v>1099</v>
      </c>
      <c r="K42" s="86" t="s">
        <v>1100</v>
      </c>
      <c r="L42" s="86" t="s">
        <v>1101</v>
      </c>
      <c r="M42" s="86" t="s">
        <v>1102</v>
      </c>
      <c r="N42" s="104" t="s">
        <v>876</v>
      </c>
      <c r="O42" s="104">
        <v>500</v>
      </c>
      <c r="P42" s="104">
        <v>15</v>
      </c>
      <c r="Q42" s="86">
        <v>33</v>
      </c>
      <c r="R42" s="86">
        <v>2.79</v>
      </c>
      <c r="S42" s="104">
        <v>15.99</v>
      </c>
      <c r="T42" s="86" t="str">
        <f>IFERROR(VLOOKUP(B42,Sum!A:A,1,0),"")</f>
        <v>R-72</v>
      </c>
      <c r="U42" s="86"/>
      <c r="V42" s="86"/>
      <c r="W42" s="86"/>
      <c r="X42" s="86"/>
      <c r="Y42" s="86"/>
      <c r="Z42" s="86"/>
      <c r="AA42" s="86" t="s">
        <v>1096</v>
      </c>
      <c r="AB42" s="86" t="s">
        <v>1097</v>
      </c>
      <c r="AC42" s="86" t="s">
        <v>1098</v>
      </c>
      <c r="AD42" s="86" t="s">
        <v>988</v>
      </c>
    </row>
    <row r="43" customHeight="1" spans="1:30">
      <c r="A43" s="102" t="s">
        <v>62</v>
      </c>
      <c r="B43" s="86" t="s">
        <v>62</v>
      </c>
      <c r="C43" s="103">
        <v>850030338150</v>
      </c>
      <c r="D43" s="102">
        <f ca="1">SUMIFS(Sales!$G:$G,Sales!$C:$C,$B43,Sales!$A:$A,"&gt;="&amp;EDATE(TODAY(),-6))</f>
        <v>9378.24</v>
      </c>
      <c r="E43" s="86">
        <f ca="1" t="shared" si="0"/>
        <v>0.867613064105441</v>
      </c>
      <c r="F43" s="102" t="str">
        <f ca="1" t="shared" si="1"/>
        <v>B</v>
      </c>
      <c r="G43" s="102" t="s">
        <v>1103</v>
      </c>
      <c r="H43" s="102" t="s">
        <v>731</v>
      </c>
      <c r="I43" s="86" t="s">
        <v>1104</v>
      </c>
      <c r="J43" s="86" t="s">
        <v>1105</v>
      </c>
      <c r="K43" s="86" t="s">
        <v>1106</v>
      </c>
      <c r="L43" s="107" t="s">
        <v>1107</v>
      </c>
      <c r="M43" s="86" t="s">
        <v>1108</v>
      </c>
      <c r="N43" s="86" t="s">
        <v>1109</v>
      </c>
      <c r="O43" s="104">
        <v>500</v>
      </c>
      <c r="P43" s="104">
        <v>15</v>
      </c>
      <c r="Q43" s="86">
        <v>32</v>
      </c>
      <c r="R43" s="86">
        <v>3.4</v>
      </c>
      <c r="S43" s="104">
        <v>14.99</v>
      </c>
      <c r="T43" s="86" t="str">
        <f>IFERROR(VLOOKUP(B43,Sum!A:A,1,0),"")</f>
        <v>R-8</v>
      </c>
      <c r="U43" s="86" t="s">
        <v>1110</v>
      </c>
      <c r="V43" s="86" t="s">
        <v>1111</v>
      </c>
      <c r="W43" s="86" t="s">
        <v>893</v>
      </c>
      <c r="X43" s="86" t="s">
        <v>894</v>
      </c>
      <c r="Y43" s="86" t="s">
        <v>1112</v>
      </c>
      <c r="Z43" s="86" t="s">
        <v>1113</v>
      </c>
      <c r="AA43" s="86" t="s">
        <v>1114</v>
      </c>
      <c r="AB43" s="86" t="s">
        <v>1115</v>
      </c>
      <c r="AC43" s="86" t="s">
        <v>1116</v>
      </c>
      <c r="AD43" s="86" t="s">
        <v>1117</v>
      </c>
    </row>
    <row r="44" customHeight="1" spans="1:30">
      <c r="A44" s="102" t="s">
        <v>1118</v>
      </c>
      <c r="B44" s="106" t="s">
        <v>1118</v>
      </c>
      <c r="C44" s="105">
        <v>698746776565</v>
      </c>
      <c r="D44" s="102">
        <f ca="1">SUMIFS(Sales!$G:$G,Sales!$C:$C,$B44,Sales!$A:$A,"&gt;="&amp;EDATE(TODAY(),-6))</f>
        <v>0</v>
      </c>
      <c r="E44" s="86">
        <f ca="1" t="shared" si="0"/>
        <v>1</v>
      </c>
      <c r="F44" s="102" t="str">
        <f ca="1" t="shared" si="1"/>
        <v>C</v>
      </c>
      <c r="G44" s="102" t="s">
        <v>794</v>
      </c>
      <c r="H44" s="102" t="s">
        <v>731</v>
      </c>
      <c r="I44" s="86" t="s">
        <v>1119</v>
      </c>
      <c r="J44" s="86" t="s">
        <v>1120</v>
      </c>
      <c r="K44" s="86" t="s">
        <v>1121</v>
      </c>
      <c r="L44" s="86" t="s">
        <v>1122</v>
      </c>
      <c r="M44" s="86" t="s">
        <v>856</v>
      </c>
      <c r="N44" s="104" t="s">
        <v>1123</v>
      </c>
      <c r="O44" s="104">
        <v>1000</v>
      </c>
      <c r="P44" s="104">
        <v>10</v>
      </c>
      <c r="Q44" s="97">
        <v>40</v>
      </c>
      <c r="R44" s="86">
        <v>0.72</v>
      </c>
      <c r="S44" s="104">
        <v>7.99</v>
      </c>
      <c r="T44" s="86" t="str">
        <f>IFERROR(VLOOKUP(B44,Sum!A:A,1,0),"")</f>
        <v/>
      </c>
      <c r="U44" s="86"/>
      <c r="V44" s="86"/>
      <c r="W44" s="86"/>
      <c r="X44" s="86"/>
      <c r="Y44" s="86"/>
      <c r="Z44" s="86"/>
      <c r="AA44" s="86" t="s">
        <v>1124</v>
      </c>
      <c r="AB44" s="86" t="s">
        <v>1125</v>
      </c>
      <c r="AC44" s="86" t="s">
        <v>1126</v>
      </c>
      <c r="AD44" s="86"/>
    </row>
    <row r="45" customHeight="1" spans="1:30">
      <c r="A45" s="102" t="s">
        <v>1127</v>
      </c>
      <c r="B45" s="106" t="s">
        <v>580</v>
      </c>
      <c r="C45" s="105">
        <v>850062627390</v>
      </c>
      <c r="D45" s="102">
        <f ca="1">SUMIFS(Sales!$G:$G,Sales!$C:$C,$B45,Sales!$A:$A,"&gt;="&amp;EDATE(TODAY(),-6))</f>
        <v>0</v>
      </c>
      <c r="E45" s="86">
        <f ca="1" t="shared" si="0"/>
        <v>1</v>
      </c>
      <c r="F45" s="102" t="str">
        <f ca="1" t="shared" si="1"/>
        <v>C</v>
      </c>
      <c r="G45" s="102" t="s">
        <v>778</v>
      </c>
      <c r="H45" s="102" t="s">
        <v>1128</v>
      </c>
      <c r="I45" s="86" t="s">
        <v>579</v>
      </c>
      <c r="J45" s="86" t="s">
        <v>1129</v>
      </c>
      <c r="K45" s="86" t="s">
        <v>1130</v>
      </c>
      <c r="L45" s="86" t="s">
        <v>1131</v>
      </c>
      <c r="M45" s="86" t="s">
        <v>766</v>
      </c>
      <c r="N45" s="104" t="s">
        <v>1132</v>
      </c>
      <c r="O45" s="104">
        <v>1000</v>
      </c>
      <c r="P45" s="104">
        <v>10</v>
      </c>
      <c r="Q45" s="97">
        <v>36</v>
      </c>
      <c r="R45" s="86">
        <v>2.25</v>
      </c>
      <c r="S45" s="104">
        <v>16.99</v>
      </c>
      <c r="T45" s="86" t="str">
        <f>IFERROR(VLOOKUP(B45,Sum!A:A,1,0),"")</f>
        <v/>
      </c>
      <c r="U45" s="86" t="s">
        <v>1133</v>
      </c>
      <c r="V45" s="86" t="s">
        <v>1134</v>
      </c>
      <c r="W45" s="86" t="s">
        <v>786</v>
      </c>
      <c r="X45" s="86" t="s">
        <v>1135</v>
      </c>
      <c r="Y45" s="86" t="s">
        <v>1136</v>
      </c>
      <c r="Z45" s="86" t="s">
        <v>789</v>
      </c>
      <c r="AA45" s="86" t="s">
        <v>790</v>
      </c>
      <c r="AB45" s="86" t="s">
        <v>1137</v>
      </c>
      <c r="AC45" s="86" t="s">
        <v>1138</v>
      </c>
      <c r="AD45" s="86" t="s">
        <v>1139</v>
      </c>
    </row>
    <row r="46" customHeight="1" spans="1:30">
      <c r="A46" s="102" t="s">
        <v>1140</v>
      </c>
      <c r="B46" s="106" t="s">
        <v>594</v>
      </c>
      <c r="C46" s="105">
        <v>698746776527</v>
      </c>
      <c r="D46" s="102">
        <f ca="1">SUMIFS(Sales!$G:$G,Sales!$C:$C,$B46,Sales!$A:$A,"&gt;="&amp;EDATE(TODAY(),-6))</f>
        <v>0</v>
      </c>
      <c r="E46" s="86">
        <f ca="1" t="shared" si="0"/>
        <v>1</v>
      </c>
      <c r="F46" s="102" t="str">
        <f ca="1" t="shared" si="1"/>
        <v>C</v>
      </c>
      <c r="G46" s="102" t="s">
        <v>778</v>
      </c>
      <c r="H46" s="102" t="s">
        <v>719</v>
      </c>
      <c r="I46" s="86" t="s">
        <v>593</v>
      </c>
      <c r="J46" s="86" t="s">
        <v>1141</v>
      </c>
      <c r="K46" s="86" t="s">
        <v>1142</v>
      </c>
      <c r="L46" s="86" t="s">
        <v>1143</v>
      </c>
      <c r="M46" s="86" t="s">
        <v>856</v>
      </c>
      <c r="N46" s="86" t="s">
        <v>783</v>
      </c>
      <c r="O46" s="104">
        <v>1000</v>
      </c>
      <c r="P46" s="104">
        <v>10</v>
      </c>
      <c r="Q46" s="97">
        <v>60</v>
      </c>
      <c r="R46" s="86">
        <v>0.39</v>
      </c>
      <c r="S46" s="104">
        <v>5.99</v>
      </c>
      <c r="T46" s="86" t="str">
        <f>IFERROR(VLOOKUP(B46,Sum!A:A,1,0),"")</f>
        <v/>
      </c>
      <c r="U46" s="86"/>
      <c r="V46" s="86"/>
      <c r="W46" s="86"/>
      <c r="X46" s="86"/>
      <c r="Y46" s="86"/>
      <c r="Z46" s="86"/>
      <c r="AA46" s="86" t="s">
        <v>1144</v>
      </c>
      <c r="AB46" s="86" t="s">
        <v>1145</v>
      </c>
      <c r="AC46" s="86" t="s">
        <v>1146</v>
      </c>
      <c r="AD46" s="86"/>
    </row>
    <row r="47" customHeight="1" spans="1:30">
      <c r="A47" s="102" t="s">
        <v>1147</v>
      </c>
      <c r="B47" s="106" t="s">
        <v>591</v>
      </c>
      <c r="C47" s="105">
        <v>850062627383</v>
      </c>
      <c r="D47" s="102">
        <f ca="1">SUMIFS(Sales!$G:$G,Sales!$C:$C,$B47,Sales!$A:$A,"&gt;="&amp;EDATE(TODAY(),-6))</f>
        <v>0</v>
      </c>
      <c r="E47" s="86">
        <f ca="1" t="shared" si="0"/>
        <v>1</v>
      </c>
      <c r="F47" s="102" t="str">
        <f ca="1" t="shared" si="1"/>
        <v>C</v>
      </c>
      <c r="G47" s="102" t="s">
        <v>778</v>
      </c>
      <c r="H47" s="102" t="s">
        <v>1128</v>
      </c>
      <c r="I47" s="86" t="s">
        <v>590</v>
      </c>
      <c r="J47" s="86" t="s">
        <v>1148</v>
      </c>
      <c r="K47" s="86" t="s">
        <v>1149</v>
      </c>
      <c r="L47" s="86" t="s">
        <v>1150</v>
      </c>
      <c r="M47" s="86" t="s">
        <v>766</v>
      </c>
      <c r="N47" s="104" t="s">
        <v>1151</v>
      </c>
      <c r="O47" s="104">
        <v>1000</v>
      </c>
      <c r="P47" s="104">
        <v>10</v>
      </c>
      <c r="Q47" s="97">
        <v>60</v>
      </c>
      <c r="R47" s="86">
        <v>1.08</v>
      </c>
      <c r="S47" s="104">
        <v>8.99</v>
      </c>
      <c r="T47" s="86" t="str">
        <f>IFERROR(VLOOKUP(B47,Sum!A:A,1,0),"")</f>
        <v/>
      </c>
      <c r="U47" s="86" t="s">
        <v>1152</v>
      </c>
      <c r="V47" s="86" t="s">
        <v>1134</v>
      </c>
      <c r="W47" s="86" t="s">
        <v>1153</v>
      </c>
      <c r="X47" s="86" t="s">
        <v>1154</v>
      </c>
      <c r="Y47" s="86" t="s">
        <v>787</v>
      </c>
      <c r="Z47" s="86" t="s">
        <v>789</v>
      </c>
      <c r="AA47" s="86" t="s">
        <v>1155</v>
      </c>
      <c r="AB47" s="86" t="s">
        <v>1156</v>
      </c>
      <c r="AC47" s="86" t="s">
        <v>1157</v>
      </c>
      <c r="AD47" s="86" t="s">
        <v>1158</v>
      </c>
    </row>
    <row r="48" customHeight="1" spans="1:30">
      <c r="A48" s="102" t="s">
        <v>1147</v>
      </c>
      <c r="B48" s="106" t="s">
        <v>1159</v>
      </c>
      <c r="C48" s="105">
        <v>698746776510</v>
      </c>
      <c r="D48" s="102">
        <f ca="1">SUMIFS(Sales!$G:$G,Sales!$C:$C,$B48,Sales!$A:$A,"&gt;="&amp;EDATE(TODAY(),-6))</f>
        <v>0</v>
      </c>
      <c r="E48" s="86">
        <f ca="1" t="shared" si="0"/>
        <v>1</v>
      </c>
      <c r="F48" s="102" t="str">
        <f ca="1" t="shared" si="1"/>
        <v>C</v>
      </c>
      <c r="G48" s="102" t="s">
        <v>778</v>
      </c>
      <c r="H48" s="102" t="s">
        <v>779</v>
      </c>
      <c r="I48" s="86" t="s">
        <v>590</v>
      </c>
      <c r="J48" s="86" t="s">
        <v>1148</v>
      </c>
      <c r="K48" s="86" t="s">
        <v>1160</v>
      </c>
      <c r="L48" s="86" t="s">
        <v>1161</v>
      </c>
      <c r="M48" s="86" t="s">
        <v>856</v>
      </c>
      <c r="N48" s="86" t="s">
        <v>1151</v>
      </c>
      <c r="O48" s="104">
        <v>1000</v>
      </c>
      <c r="P48" s="104">
        <v>10</v>
      </c>
      <c r="Q48" s="97">
        <v>60</v>
      </c>
      <c r="R48" s="86">
        <v>1.08</v>
      </c>
      <c r="S48" s="104">
        <v>8.99</v>
      </c>
      <c r="T48" s="86" t="str">
        <f>IFERROR(VLOOKUP(B48,Sum!A:A,1,0),"")</f>
        <v/>
      </c>
      <c r="U48" s="86" t="s">
        <v>1152</v>
      </c>
      <c r="V48" s="86" t="s">
        <v>1134</v>
      </c>
      <c r="W48" s="86" t="s">
        <v>1153</v>
      </c>
      <c r="X48" s="86" t="s">
        <v>1154</v>
      </c>
      <c r="Y48" s="86" t="s">
        <v>787</v>
      </c>
      <c r="Z48" s="86" t="s">
        <v>789</v>
      </c>
      <c r="AA48" s="86" t="s">
        <v>1155</v>
      </c>
      <c r="AB48" s="86" t="s">
        <v>1156</v>
      </c>
      <c r="AC48" s="86" t="s">
        <v>1157</v>
      </c>
      <c r="AD48" s="86" t="s">
        <v>1158</v>
      </c>
    </row>
    <row r="49" customHeight="1" spans="1:30">
      <c r="A49" s="102" t="s">
        <v>1162</v>
      </c>
      <c r="B49" s="106" t="s">
        <v>609</v>
      </c>
      <c r="C49" s="105">
        <v>698746776572</v>
      </c>
      <c r="D49" s="102">
        <f ca="1">SUMIFS(Sales!$G:$G,Sales!$C:$C,$B49,Sales!$A:$A,"&gt;="&amp;EDATE(TODAY(),-6))</f>
        <v>0</v>
      </c>
      <c r="E49" s="86">
        <f ca="1" t="shared" si="0"/>
        <v>1</v>
      </c>
      <c r="F49" s="102" t="str">
        <f ca="1" t="shared" si="1"/>
        <v>C</v>
      </c>
      <c r="G49" s="102" t="s">
        <v>794</v>
      </c>
      <c r="H49" s="102" t="s">
        <v>1128</v>
      </c>
      <c r="I49" s="86" t="s">
        <v>608</v>
      </c>
      <c r="J49" s="86" t="s">
        <v>1163</v>
      </c>
      <c r="K49" s="86" t="s">
        <v>1164</v>
      </c>
      <c r="L49" s="86" t="s">
        <v>1165</v>
      </c>
      <c r="M49" s="86" t="s">
        <v>856</v>
      </c>
      <c r="N49" s="104" t="s">
        <v>1123</v>
      </c>
      <c r="O49" s="104">
        <v>1000</v>
      </c>
      <c r="P49" s="104">
        <v>10</v>
      </c>
      <c r="Q49" s="97">
        <v>20</v>
      </c>
      <c r="R49" s="86">
        <v>1.65</v>
      </c>
      <c r="S49" s="104">
        <v>8.99</v>
      </c>
      <c r="T49" s="86" t="str">
        <f>IFERROR(VLOOKUP(B49,Sum!A:A,1,0),"")</f>
        <v/>
      </c>
      <c r="U49" s="86"/>
      <c r="V49" s="86"/>
      <c r="W49" s="86"/>
      <c r="X49" s="86"/>
      <c r="Y49" s="86"/>
      <c r="Z49" s="86"/>
      <c r="AA49" s="86" t="s">
        <v>1124</v>
      </c>
      <c r="AB49" s="86" t="s">
        <v>1125</v>
      </c>
      <c r="AC49" s="86" t="s">
        <v>1126</v>
      </c>
      <c r="AD49" s="86"/>
    </row>
    <row r="50" customHeight="1" spans="1:30">
      <c r="A50" s="102" t="s">
        <v>1166</v>
      </c>
      <c r="B50" s="94" t="s">
        <v>63</v>
      </c>
      <c r="C50" s="105">
        <v>698746777579</v>
      </c>
      <c r="D50" s="102">
        <f ca="1">SUMIFS(Sales!$G:$G,Sales!$C:$C,$B50,Sales!$A:$A,"&gt;="&amp;EDATE(TODAY(),-6))</f>
        <v>2501</v>
      </c>
      <c r="E50" s="86">
        <f ca="1" t="shared" si="0"/>
        <v>0.96847145977842</v>
      </c>
      <c r="F50" s="102" t="str">
        <f ca="1" t="shared" si="1"/>
        <v>C</v>
      </c>
      <c r="G50" s="102" t="s">
        <v>862</v>
      </c>
      <c r="H50" s="102" t="s">
        <v>1128</v>
      </c>
      <c r="I50" s="86" t="s">
        <v>592</v>
      </c>
      <c r="J50" s="86" t="s">
        <v>1167</v>
      </c>
      <c r="K50" s="86" t="s">
        <v>1168</v>
      </c>
      <c r="L50" s="86" t="s">
        <v>1169</v>
      </c>
      <c r="M50" s="86" t="s">
        <v>1070</v>
      </c>
      <c r="N50" s="104" t="s">
        <v>1170</v>
      </c>
      <c r="O50" s="104">
        <v>1000</v>
      </c>
      <c r="P50" s="104">
        <v>10</v>
      </c>
      <c r="Q50" s="99">
        <v>5</v>
      </c>
      <c r="R50" s="99">
        <v>3.26</v>
      </c>
      <c r="S50" s="104">
        <v>23.99</v>
      </c>
      <c r="T50" s="86" t="str">
        <f>IFERROR(VLOOKUP(B50,Sum!A:A,1,0),"")</f>
        <v>RJ510-BL</v>
      </c>
      <c r="U50" s="86" t="s">
        <v>1171</v>
      </c>
      <c r="V50" s="86" t="s">
        <v>1172</v>
      </c>
      <c r="W50" s="86" t="s">
        <v>1173</v>
      </c>
      <c r="X50" s="86" t="s">
        <v>1005</v>
      </c>
      <c r="Y50" s="86" t="s">
        <v>1006</v>
      </c>
      <c r="Z50" s="86" t="s">
        <v>1174</v>
      </c>
      <c r="AA50" s="86" t="s">
        <v>1175</v>
      </c>
      <c r="AB50" s="86" t="s">
        <v>1176</v>
      </c>
      <c r="AC50" s="86" t="s">
        <v>1177</v>
      </c>
      <c r="AD50" s="86" t="s">
        <v>1178</v>
      </c>
    </row>
    <row r="51" customHeight="1" spans="1:30">
      <c r="A51" s="102" t="s">
        <v>1166</v>
      </c>
      <c r="B51" s="108" t="s">
        <v>615</v>
      </c>
      <c r="C51" s="105">
        <v>698746777111</v>
      </c>
      <c r="D51" s="102">
        <f ca="1">SUMIFS(Sales!$G:$G,Sales!$C:$C,$B51,Sales!$A:$A,"&gt;="&amp;EDATE(TODAY(),-6))</f>
        <v>0</v>
      </c>
      <c r="E51" s="86">
        <f ca="1" t="shared" si="0"/>
        <v>1</v>
      </c>
      <c r="F51" s="102" t="str">
        <f ca="1" t="shared" si="1"/>
        <v>C</v>
      </c>
      <c r="G51" s="102" t="s">
        <v>862</v>
      </c>
      <c r="H51" s="102" t="s">
        <v>719</v>
      </c>
      <c r="I51" s="105" t="s">
        <v>592</v>
      </c>
      <c r="J51" s="86" t="s">
        <v>1167</v>
      </c>
      <c r="K51" s="86" t="s">
        <v>1179</v>
      </c>
      <c r="L51" s="86" t="s">
        <v>1180</v>
      </c>
      <c r="M51" s="86" t="s">
        <v>856</v>
      </c>
      <c r="N51" s="104" t="s">
        <v>1170</v>
      </c>
      <c r="O51" s="104">
        <v>1000</v>
      </c>
      <c r="P51" s="104">
        <v>10</v>
      </c>
      <c r="Q51" s="99">
        <v>5</v>
      </c>
      <c r="R51" s="99">
        <v>3.26</v>
      </c>
      <c r="S51" s="104">
        <v>23.99</v>
      </c>
      <c r="T51" s="86" t="str">
        <f>IFERROR(VLOOKUP(B51,Sum!A:A,1,0),"")</f>
        <v/>
      </c>
      <c r="U51" s="86" t="s">
        <v>1171</v>
      </c>
      <c r="V51" s="86" t="s">
        <v>1172</v>
      </c>
      <c r="W51" s="86" t="s">
        <v>1173</v>
      </c>
      <c r="X51" s="86" t="s">
        <v>1005</v>
      </c>
      <c r="Y51" s="86" t="s">
        <v>1006</v>
      </c>
      <c r="Z51" s="86" t="s">
        <v>1174</v>
      </c>
      <c r="AA51" s="86" t="s">
        <v>1175</v>
      </c>
      <c r="AB51" s="86" t="s">
        <v>1176</v>
      </c>
      <c r="AC51" s="86" t="s">
        <v>1177</v>
      </c>
      <c r="AD51" s="86" t="s">
        <v>1178</v>
      </c>
    </row>
    <row r="52" customHeight="1" spans="1:30">
      <c r="A52" s="102" t="s">
        <v>1166</v>
      </c>
      <c r="B52" s="108" t="s">
        <v>616</v>
      </c>
      <c r="C52" s="105">
        <v>698746777128</v>
      </c>
      <c r="D52" s="102">
        <f ca="1">SUMIFS(Sales!$G:$G,Sales!$C:$C,$B52,Sales!$A:$A,"&gt;="&amp;EDATE(TODAY(),-6))</f>
        <v>0</v>
      </c>
      <c r="E52" s="86">
        <f ca="1" t="shared" si="0"/>
        <v>1</v>
      </c>
      <c r="F52" s="102" t="str">
        <f ca="1" t="shared" si="1"/>
        <v>C</v>
      </c>
      <c r="G52" s="102" t="s">
        <v>862</v>
      </c>
      <c r="H52" s="102" t="s">
        <v>703</v>
      </c>
      <c r="I52" s="105" t="s">
        <v>592</v>
      </c>
      <c r="J52" s="86" t="s">
        <v>1167</v>
      </c>
      <c r="K52" s="86" t="s">
        <v>1181</v>
      </c>
      <c r="L52" s="86" t="s">
        <v>1182</v>
      </c>
      <c r="M52" s="86" t="s">
        <v>856</v>
      </c>
      <c r="N52" s="104" t="s">
        <v>1170</v>
      </c>
      <c r="O52" s="104">
        <v>1000</v>
      </c>
      <c r="P52" s="104">
        <v>10</v>
      </c>
      <c r="Q52" s="99">
        <v>5</v>
      </c>
      <c r="R52" s="99">
        <v>3.26</v>
      </c>
      <c r="S52" s="104">
        <v>23.99</v>
      </c>
      <c r="T52" s="86" t="str">
        <f>IFERROR(VLOOKUP(B52,Sum!A:A,1,0),"")</f>
        <v/>
      </c>
      <c r="U52" s="86" t="s">
        <v>1171</v>
      </c>
      <c r="V52" s="86" t="s">
        <v>1172</v>
      </c>
      <c r="W52" s="86" t="s">
        <v>1173</v>
      </c>
      <c r="X52" s="86" t="s">
        <v>1005</v>
      </c>
      <c r="Y52" s="86" t="s">
        <v>1006</v>
      </c>
      <c r="Z52" s="86" t="s">
        <v>1174</v>
      </c>
      <c r="AA52" s="86" t="s">
        <v>1175</v>
      </c>
      <c r="AB52" s="86" t="s">
        <v>1176</v>
      </c>
      <c r="AC52" s="86" t="s">
        <v>1177</v>
      </c>
      <c r="AD52" s="86" t="s">
        <v>1178</v>
      </c>
    </row>
    <row r="53" customHeight="1" spans="1:30">
      <c r="A53" s="102" t="s">
        <v>614</v>
      </c>
      <c r="B53" s="106" t="s">
        <v>614</v>
      </c>
      <c r="C53" s="105">
        <v>760762457060</v>
      </c>
      <c r="D53" s="102">
        <f ca="1">SUMIFS(Sales!$G:$G,Sales!$C:$C,$B53,Sales!$A:$A,"&gt;="&amp;EDATE(TODAY(),-6))</f>
        <v>0</v>
      </c>
      <c r="E53" s="86">
        <f ca="1" t="shared" si="0"/>
        <v>1</v>
      </c>
      <c r="F53" s="102" t="str">
        <f ca="1" t="shared" si="1"/>
        <v>C</v>
      </c>
      <c r="G53" s="102" t="s">
        <v>862</v>
      </c>
      <c r="H53" s="102" t="s">
        <v>687</v>
      </c>
      <c r="I53" s="86" t="s">
        <v>611</v>
      </c>
      <c r="J53" s="86" t="s">
        <v>1183</v>
      </c>
      <c r="K53" s="86" t="s">
        <v>1184</v>
      </c>
      <c r="L53" s="86" t="s">
        <v>1185</v>
      </c>
      <c r="M53" s="86" t="s">
        <v>856</v>
      </c>
      <c r="N53" s="104" t="s">
        <v>1186</v>
      </c>
      <c r="O53" s="104">
        <v>1000</v>
      </c>
      <c r="P53" s="104">
        <v>10</v>
      </c>
      <c r="Q53" s="97">
        <v>4</v>
      </c>
      <c r="R53" s="86">
        <v>9.66</v>
      </c>
      <c r="S53" s="104">
        <v>63.99</v>
      </c>
      <c r="T53" s="86" t="str">
        <f>IFERROR(VLOOKUP(B53,Sum!A:A,1,0),"")</f>
        <v/>
      </c>
      <c r="U53" s="86" t="s">
        <v>1187</v>
      </c>
      <c r="V53" s="86" t="s">
        <v>1188</v>
      </c>
      <c r="W53" s="86" t="s">
        <v>1189</v>
      </c>
      <c r="X53" s="86" t="s">
        <v>1190</v>
      </c>
      <c r="Y53" s="86" t="s">
        <v>1018</v>
      </c>
      <c r="Z53" s="86" t="s">
        <v>1191</v>
      </c>
      <c r="AA53" s="86" t="s">
        <v>1192</v>
      </c>
      <c r="AB53" s="86" t="s">
        <v>1193</v>
      </c>
      <c r="AC53" s="86" t="s">
        <v>1194</v>
      </c>
      <c r="AD53" s="86" t="s">
        <v>1195</v>
      </c>
    </row>
    <row r="54" customHeight="1" spans="1:30">
      <c r="A54" s="102" t="s">
        <v>614</v>
      </c>
      <c r="B54" s="106" t="s">
        <v>1196</v>
      </c>
      <c r="C54" s="105">
        <v>698746776657</v>
      </c>
      <c r="D54" s="102">
        <f ca="1">SUMIFS(Sales!$G:$G,Sales!$C:$C,$B54,Sales!$A:$A,"&gt;="&amp;EDATE(TODAY(),-6))</f>
        <v>0</v>
      </c>
      <c r="E54" s="86">
        <f ca="1" t="shared" si="0"/>
        <v>1</v>
      </c>
      <c r="F54" s="102" t="str">
        <f ca="1" t="shared" si="1"/>
        <v>C</v>
      </c>
      <c r="G54" s="102" t="s">
        <v>862</v>
      </c>
      <c r="H54" s="102" t="s">
        <v>1128</v>
      </c>
      <c r="I54" s="86" t="s">
        <v>611</v>
      </c>
      <c r="J54" s="86" t="s">
        <v>1183</v>
      </c>
      <c r="K54" s="86" t="s">
        <v>1197</v>
      </c>
      <c r="L54" s="86" t="s">
        <v>1198</v>
      </c>
      <c r="M54" s="86" t="s">
        <v>856</v>
      </c>
      <c r="N54" s="104" t="s">
        <v>1186</v>
      </c>
      <c r="O54" s="104">
        <v>1000</v>
      </c>
      <c r="P54" s="104">
        <v>10</v>
      </c>
      <c r="Q54" s="97">
        <v>4</v>
      </c>
      <c r="R54" s="86">
        <v>9.66</v>
      </c>
      <c r="S54" s="104">
        <v>63.99</v>
      </c>
      <c r="T54" s="86" t="str">
        <f>IFERROR(VLOOKUP(B54,Sum!A:A,1,0),"")</f>
        <v/>
      </c>
      <c r="U54" s="86" t="s">
        <v>1187</v>
      </c>
      <c r="V54" s="86" t="s">
        <v>1188</v>
      </c>
      <c r="W54" s="86" t="s">
        <v>1189</v>
      </c>
      <c r="X54" s="86" t="s">
        <v>1190</v>
      </c>
      <c r="Y54" s="86" t="s">
        <v>1018</v>
      </c>
      <c r="Z54" s="86" t="s">
        <v>1191</v>
      </c>
      <c r="AA54" s="86" t="s">
        <v>1192</v>
      </c>
      <c r="AB54" s="86" t="s">
        <v>1193</v>
      </c>
      <c r="AC54" s="86" t="s">
        <v>1194</v>
      </c>
      <c r="AD54" s="86" t="s">
        <v>1195</v>
      </c>
    </row>
    <row r="55" customHeight="1" spans="1:30">
      <c r="A55" s="102" t="s">
        <v>614</v>
      </c>
      <c r="B55" s="106" t="s">
        <v>612</v>
      </c>
      <c r="C55" s="105">
        <v>698746776664</v>
      </c>
      <c r="D55" s="102">
        <f ca="1">SUMIFS(Sales!$G:$G,Sales!$C:$C,$B55,Sales!$A:$A,"&gt;="&amp;EDATE(TODAY(),-6))</f>
        <v>0</v>
      </c>
      <c r="E55" s="86">
        <f ca="1" t="shared" si="0"/>
        <v>1</v>
      </c>
      <c r="F55" s="102" t="str">
        <f ca="1" t="shared" si="1"/>
        <v>C</v>
      </c>
      <c r="G55" s="102" t="s">
        <v>862</v>
      </c>
      <c r="H55" s="102" t="s">
        <v>719</v>
      </c>
      <c r="I55" s="86" t="s">
        <v>611</v>
      </c>
      <c r="J55" s="86" t="s">
        <v>1183</v>
      </c>
      <c r="K55" s="86" t="s">
        <v>1199</v>
      </c>
      <c r="L55" s="86" t="s">
        <v>1200</v>
      </c>
      <c r="M55" s="86" t="s">
        <v>856</v>
      </c>
      <c r="N55" s="104" t="s">
        <v>1186</v>
      </c>
      <c r="O55" s="104">
        <v>1000</v>
      </c>
      <c r="P55" s="104">
        <v>10</v>
      </c>
      <c r="Q55" s="97">
        <v>4</v>
      </c>
      <c r="R55" s="86">
        <v>9.66</v>
      </c>
      <c r="S55" s="104">
        <v>63.99</v>
      </c>
      <c r="T55" s="86" t="str">
        <f>IFERROR(VLOOKUP(B55,Sum!A:A,1,0),"")</f>
        <v/>
      </c>
      <c r="U55" s="86" t="s">
        <v>1187</v>
      </c>
      <c r="V55" s="86" t="s">
        <v>1188</v>
      </c>
      <c r="W55" s="86" t="s">
        <v>1189</v>
      </c>
      <c r="X55" s="86" t="s">
        <v>1190</v>
      </c>
      <c r="Y55" s="86" t="s">
        <v>1018</v>
      </c>
      <c r="Z55" s="86" t="s">
        <v>1191</v>
      </c>
      <c r="AA55" s="86" t="s">
        <v>1192</v>
      </c>
      <c r="AB55" s="86" t="s">
        <v>1193</v>
      </c>
      <c r="AC55" s="86" t="s">
        <v>1194</v>
      </c>
      <c r="AD55" s="86" t="s">
        <v>1195</v>
      </c>
    </row>
    <row r="56" customHeight="1" spans="1:30">
      <c r="A56" s="102" t="s">
        <v>614</v>
      </c>
      <c r="B56" s="106" t="s">
        <v>613</v>
      </c>
      <c r="C56" s="105">
        <v>698746776671</v>
      </c>
      <c r="D56" s="102">
        <f ca="1">SUMIFS(Sales!$G:$G,Sales!$C:$C,$B56,Sales!$A:$A,"&gt;="&amp;EDATE(TODAY(),-6))</f>
        <v>0</v>
      </c>
      <c r="E56" s="86">
        <f ca="1" t="shared" si="0"/>
        <v>1</v>
      </c>
      <c r="F56" s="102" t="str">
        <f ca="1" t="shared" si="1"/>
        <v>C</v>
      </c>
      <c r="G56" s="102" t="s">
        <v>862</v>
      </c>
      <c r="H56" s="102" t="s">
        <v>703</v>
      </c>
      <c r="I56" s="86" t="s">
        <v>611</v>
      </c>
      <c r="J56" s="86" t="s">
        <v>1183</v>
      </c>
      <c r="K56" s="86" t="s">
        <v>1201</v>
      </c>
      <c r="L56" s="86" t="s">
        <v>1202</v>
      </c>
      <c r="M56" s="86" t="s">
        <v>856</v>
      </c>
      <c r="N56" s="104" t="s">
        <v>1186</v>
      </c>
      <c r="O56" s="104">
        <v>1000</v>
      </c>
      <c r="P56" s="104">
        <v>10</v>
      </c>
      <c r="Q56" s="97">
        <v>4</v>
      </c>
      <c r="R56" s="86">
        <v>9.66</v>
      </c>
      <c r="S56" s="104">
        <v>63.99</v>
      </c>
      <c r="T56" s="86" t="str">
        <f>IFERROR(VLOOKUP(B56,Sum!A:A,1,0),"")</f>
        <v/>
      </c>
      <c r="U56" s="86" t="s">
        <v>1187</v>
      </c>
      <c r="V56" s="86" t="s">
        <v>1188</v>
      </c>
      <c r="W56" s="86" t="s">
        <v>1189</v>
      </c>
      <c r="X56" s="86" t="s">
        <v>1190</v>
      </c>
      <c r="Y56" s="86" t="s">
        <v>1018</v>
      </c>
      <c r="Z56" s="86" t="s">
        <v>1191</v>
      </c>
      <c r="AA56" s="86" t="s">
        <v>1192</v>
      </c>
      <c r="AB56" s="86" t="s">
        <v>1193</v>
      </c>
      <c r="AC56" s="86" t="s">
        <v>1194</v>
      </c>
      <c r="AD56" s="86" t="s">
        <v>1195</v>
      </c>
    </row>
    <row r="57" customHeight="1" spans="1:30">
      <c r="A57" s="102" t="s">
        <v>582</v>
      </c>
      <c r="B57" s="106" t="s">
        <v>582</v>
      </c>
      <c r="C57" s="105">
        <v>698746776534</v>
      </c>
      <c r="D57" s="102">
        <f ca="1">SUMIFS(Sales!$G:$G,Sales!$C:$C,$B57,Sales!$A:$A,"&gt;="&amp;EDATE(TODAY(),-6))</f>
        <v>0</v>
      </c>
      <c r="E57" s="86">
        <f ca="1" t="shared" si="0"/>
        <v>1</v>
      </c>
      <c r="F57" s="102" t="str">
        <f ca="1" t="shared" si="1"/>
        <v>C</v>
      </c>
      <c r="G57" s="102" t="s">
        <v>808</v>
      </c>
      <c r="H57" s="102" t="s">
        <v>731</v>
      </c>
      <c r="I57" s="86" t="s">
        <v>581</v>
      </c>
      <c r="J57" s="86" t="s">
        <v>582</v>
      </c>
      <c r="K57" s="86" t="s">
        <v>1203</v>
      </c>
      <c r="L57" s="86" t="s">
        <v>1204</v>
      </c>
      <c r="M57" s="86" t="s">
        <v>856</v>
      </c>
      <c r="N57" s="104" t="s">
        <v>1205</v>
      </c>
      <c r="O57" s="104">
        <v>1000</v>
      </c>
      <c r="P57" s="104">
        <v>10</v>
      </c>
      <c r="Q57" s="97">
        <v>120</v>
      </c>
      <c r="R57" s="86">
        <v>0.52</v>
      </c>
      <c r="S57" s="104">
        <v>4.99</v>
      </c>
      <c r="T57" s="86" t="str">
        <f>IFERROR(VLOOKUP(B57,Sum!A:A,1,0),"")</f>
        <v/>
      </c>
      <c r="U57" s="86"/>
      <c r="V57" s="86"/>
      <c r="W57" s="86"/>
      <c r="X57" s="86"/>
      <c r="Y57" s="86"/>
      <c r="Z57" s="86"/>
      <c r="AA57" s="86" t="s">
        <v>1206</v>
      </c>
      <c r="AB57" s="86" t="s">
        <v>1207</v>
      </c>
      <c r="AC57" s="86" t="s">
        <v>1208</v>
      </c>
      <c r="AD57" s="86" t="s">
        <v>1209</v>
      </c>
    </row>
    <row r="58" customHeight="1" spans="1:30">
      <c r="A58" s="102" t="s">
        <v>584</v>
      </c>
      <c r="B58" s="106" t="s">
        <v>584</v>
      </c>
      <c r="C58" s="105">
        <v>698746776541</v>
      </c>
      <c r="D58" s="102">
        <f ca="1">SUMIFS(Sales!$G:$G,Sales!$C:$C,$B58,Sales!$A:$A,"&gt;="&amp;EDATE(TODAY(),-6))</f>
        <v>0</v>
      </c>
      <c r="E58" s="86">
        <f ca="1" t="shared" si="0"/>
        <v>1</v>
      </c>
      <c r="F58" s="102" t="str">
        <f ca="1" t="shared" si="1"/>
        <v>C</v>
      </c>
      <c r="G58" s="102" t="s">
        <v>808</v>
      </c>
      <c r="H58" s="102" t="s">
        <v>731</v>
      </c>
      <c r="I58" s="86" t="s">
        <v>583</v>
      </c>
      <c r="J58" s="86" t="s">
        <v>584</v>
      </c>
      <c r="K58" s="86" t="s">
        <v>1210</v>
      </c>
      <c r="L58" s="86" t="s">
        <v>1211</v>
      </c>
      <c r="M58" s="86" t="s">
        <v>856</v>
      </c>
      <c r="N58" s="104" t="s">
        <v>1205</v>
      </c>
      <c r="O58" s="104">
        <v>1000</v>
      </c>
      <c r="P58" s="104">
        <v>10</v>
      </c>
      <c r="Q58" s="97">
        <v>80</v>
      </c>
      <c r="R58" s="86">
        <v>0.6</v>
      </c>
      <c r="S58" s="104">
        <v>5.99</v>
      </c>
      <c r="T58" s="86" t="str">
        <f>IFERROR(VLOOKUP(B58,Sum!A:A,1,0),"")</f>
        <v/>
      </c>
      <c r="U58" s="86"/>
      <c r="V58" s="86"/>
      <c r="W58" s="86"/>
      <c r="X58" s="86"/>
      <c r="Y58" s="86"/>
      <c r="Z58" s="86"/>
      <c r="AA58" s="86" t="s">
        <v>1206</v>
      </c>
      <c r="AB58" s="86" t="s">
        <v>1207</v>
      </c>
      <c r="AC58" s="86" t="s">
        <v>1208</v>
      </c>
      <c r="AD58" s="86" t="s">
        <v>1209</v>
      </c>
    </row>
    <row r="59" customHeight="1" spans="1:30">
      <c r="A59" s="102" t="s">
        <v>586</v>
      </c>
      <c r="B59" s="106" t="s">
        <v>586</v>
      </c>
      <c r="C59" s="105">
        <v>698746776558</v>
      </c>
      <c r="D59" s="102">
        <f ca="1">SUMIFS(Sales!$G:$G,Sales!$C:$C,$B59,Sales!$A:$A,"&gt;="&amp;EDATE(TODAY(),-6))</f>
        <v>0</v>
      </c>
      <c r="E59" s="86">
        <f ca="1" t="shared" si="0"/>
        <v>1</v>
      </c>
      <c r="F59" s="102" t="str">
        <f ca="1" t="shared" si="1"/>
        <v>C</v>
      </c>
      <c r="G59" s="102" t="s">
        <v>808</v>
      </c>
      <c r="H59" s="102" t="s">
        <v>731</v>
      </c>
      <c r="I59" s="86" t="s">
        <v>585</v>
      </c>
      <c r="J59" s="86" t="s">
        <v>586</v>
      </c>
      <c r="K59" s="86" t="s">
        <v>1212</v>
      </c>
      <c r="L59" s="86" t="s">
        <v>1213</v>
      </c>
      <c r="M59" s="86" t="s">
        <v>856</v>
      </c>
      <c r="N59" s="104" t="s">
        <v>1205</v>
      </c>
      <c r="O59" s="104">
        <v>1000</v>
      </c>
      <c r="P59" s="104">
        <v>10</v>
      </c>
      <c r="Q59" s="97">
        <v>60</v>
      </c>
      <c r="R59" s="86">
        <v>0.67</v>
      </c>
      <c r="S59" s="104">
        <v>6.99</v>
      </c>
      <c r="T59" s="86" t="str">
        <f>IFERROR(VLOOKUP(B59,Sum!A:A,1,0),"")</f>
        <v/>
      </c>
      <c r="U59" s="86"/>
      <c r="V59" s="86"/>
      <c r="W59" s="86"/>
      <c r="X59" s="86"/>
      <c r="Y59" s="86"/>
      <c r="Z59" s="86"/>
      <c r="AA59" s="86" t="s">
        <v>1206</v>
      </c>
      <c r="AB59" s="86" t="s">
        <v>1207</v>
      </c>
      <c r="AC59" s="86" t="s">
        <v>1208</v>
      </c>
      <c r="AD59" s="86" t="s">
        <v>1209</v>
      </c>
    </row>
    <row r="60" customHeight="1" spans="1:30">
      <c r="A60" s="102" t="s">
        <v>64</v>
      </c>
      <c r="B60" s="86" t="s">
        <v>64</v>
      </c>
      <c r="C60" s="103">
        <v>850030338730</v>
      </c>
      <c r="D60" s="102">
        <f ca="1">SUMIFS(Sales!$G:$G,Sales!$C:$C,$B60,Sales!$A:$A,"&gt;="&amp;EDATE(TODAY(),-6))</f>
        <v>21505.68</v>
      </c>
      <c r="E60" s="86">
        <f ca="1" t="shared" si="0"/>
        <v>0.655551544857715</v>
      </c>
      <c r="F60" s="102" t="str">
        <f ca="1" t="shared" si="1"/>
        <v>A</v>
      </c>
      <c r="G60" s="102" t="s">
        <v>862</v>
      </c>
      <c r="H60" s="102" t="s">
        <v>731</v>
      </c>
      <c r="I60" s="86" t="s">
        <v>610</v>
      </c>
      <c r="J60" s="86" t="s">
        <v>1214</v>
      </c>
      <c r="K60" s="86" t="s">
        <v>1215</v>
      </c>
      <c r="L60" s="107" t="s">
        <v>1216</v>
      </c>
      <c r="M60" s="86" t="s">
        <v>1217</v>
      </c>
      <c r="N60" s="104" t="s">
        <v>1218</v>
      </c>
      <c r="O60" s="104">
        <v>1000</v>
      </c>
      <c r="P60" s="104">
        <v>10</v>
      </c>
      <c r="Q60" s="86">
        <v>1</v>
      </c>
      <c r="R60" s="86">
        <v>28.56</v>
      </c>
      <c r="S60" s="104">
        <v>129.99</v>
      </c>
      <c r="T60" s="86" t="str">
        <f>IFERROR(VLOOKUP(B60,Sum!A:A,1,0),"")</f>
        <v>SP-4</v>
      </c>
      <c r="U60" s="86" t="s">
        <v>1219</v>
      </c>
      <c r="V60" s="86" t="s">
        <v>1220</v>
      </c>
      <c r="W60" s="86" t="s">
        <v>1221</v>
      </c>
      <c r="X60" s="86" t="s">
        <v>1191</v>
      </c>
      <c r="Y60" s="86" t="s">
        <v>1222</v>
      </c>
      <c r="Z60" s="86" t="s">
        <v>1223</v>
      </c>
      <c r="AA60" s="86" t="s">
        <v>1224</v>
      </c>
      <c r="AB60" s="86" t="s">
        <v>1225</v>
      </c>
      <c r="AC60" s="86" t="s">
        <v>1226</v>
      </c>
      <c r="AD60" s="86" t="s">
        <v>1227</v>
      </c>
    </row>
    <row r="61" customHeight="1" spans="1:30">
      <c r="A61" s="102" t="s">
        <v>65</v>
      </c>
      <c r="B61" s="86" t="s">
        <v>65</v>
      </c>
      <c r="C61" s="105">
        <v>760762457046</v>
      </c>
      <c r="D61" s="102">
        <f ca="1">SUMIFS(Sales!$G:$G,Sales!$C:$C,$B61,Sales!$A:$A,"&gt;="&amp;EDATE(TODAY(),-6))</f>
        <v>0</v>
      </c>
      <c r="E61" s="86">
        <f ca="1" t="shared" si="0"/>
        <v>1</v>
      </c>
      <c r="F61" s="102" t="str">
        <f ca="1" t="shared" si="1"/>
        <v>C</v>
      </c>
      <c r="G61" s="102" t="s">
        <v>762</v>
      </c>
      <c r="H61" s="102" t="s">
        <v>731</v>
      </c>
      <c r="I61" s="86" t="s">
        <v>1228</v>
      </c>
      <c r="J61" s="86" t="s">
        <v>731</v>
      </c>
      <c r="K61" s="86" t="s">
        <v>1229</v>
      </c>
      <c r="L61" s="107" t="s">
        <v>1230</v>
      </c>
      <c r="M61" s="86" t="s">
        <v>306</v>
      </c>
      <c r="N61" s="104" t="s">
        <v>1231</v>
      </c>
      <c r="O61" s="104">
        <v>500</v>
      </c>
      <c r="P61" s="104">
        <v>10</v>
      </c>
      <c r="Q61" s="86">
        <v>18</v>
      </c>
      <c r="R61" s="86">
        <v>3.18</v>
      </c>
      <c r="S61" s="104">
        <v>23.27</v>
      </c>
      <c r="T61" s="86" t="str">
        <f>IFERROR(VLOOKUP(B61,Sum!A:A,1,0),"")</f>
        <v>SP-7</v>
      </c>
      <c r="U61" s="86" t="s">
        <v>1232</v>
      </c>
      <c r="V61" s="86" t="s">
        <v>1233</v>
      </c>
      <c r="W61" s="86" t="s">
        <v>932</v>
      </c>
      <c r="X61" s="86" t="s">
        <v>982</v>
      </c>
      <c r="Y61" s="86" t="s">
        <v>743</v>
      </c>
      <c r="Z61" s="86" t="s">
        <v>771</v>
      </c>
      <c r="AA61" s="86" t="s">
        <v>1234</v>
      </c>
      <c r="AB61" s="86" t="s">
        <v>1235</v>
      </c>
      <c r="AC61" s="86" t="s">
        <v>1236</v>
      </c>
      <c r="AD61" s="86" t="s">
        <v>1237</v>
      </c>
    </row>
    <row r="62" customHeight="1" spans="1:30">
      <c r="A62" s="102" t="s">
        <v>66</v>
      </c>
      <c r="B62" s="94" t="s">
        <v>66</v>
      </c>
      <c r="C62" s="105">
        <v>634413994429</v>
      </c>
      <c r="D62" s="102">
        <f ca="1">SUMIFS(Sales!$G:$G,Sales!$C:$C,$B62,Sales!$A:$A,"&gt;="&amp;EDATE(TODAY(),-6))</f>
        <v>0</v>
      </c>
      <c r="E62" s="86">
        <f ca="1" t="shared" si="0"/>
        <v>1</v>
      </c>
      <c r="F62" s="102" t="str">
        <f ca="1" t="shared" si="1"/>
        <v>C</v>
      </c>
      <c r="G62" s="102" t="s">
        <v>808</v>
      </c>
      <c r="H62" s="102" t="s">
        <v>687</v>
      </c>
      <c r="I62" s="86" t="s">
        <v>602</v>
      </c>
      <c r="J62" s="86" t="s">
        <v>1238</v>
      </c>
      <c r="K62" s="86" t="s">
        <v>1239</v>
      </c>
      <c r="L62" s="107" t="s">
        <v>1240</v>
      </c>
      <c r="M62" s="86" t="s">
        <v>1241</v>
      </c>
      <c r="N62" s="104" t="s">
        <v>1242</v>
      </c>
      <c r="O62" s="104">
        <v>1000</v>
      </c>
      <c r="P62" s="104">
        <v>10</v>
      </c>
      <c r="Q62" s="97">
        <v>18</v>
      </c>
      <c r="R62" s="86">
        <v>3.1</v>
      </c>
      <c r="S62" s="104">
        <v>14.99</v>
      </c>
      <c r="T62" s="86" t="str">
        <f>IFERROR(VLOOKUP(B62,Sum!A:A,1,0),"")</f>
        <v>SZP542-GN</v>
      </c>
      <c r="U62" s="86"/>
      <c r="V62" s="86"/>
      <c r="W62" s="86"/>
      <c r="X62" s="86"/>
      <c r="Y62" s="86"/>
      <c r="Z62" s="86"/>
      <c r="AA62" s="86" t="s">
        <v>1243</v>
      </c>
      <c r="AB62" s="86" t="s">
        <v>1244</v>
      </c>
      <c r="AC62" s="86" t="s">
        <v>1033</v>
      </c>
      <c r="AD62" s="86" t="s">
        <v>1035</v>
      </c>
    </row>
    <row r="63" customHeight="1" spans="1:30">
      <c r="A63" s="102" t="s">
        <v>67</v>
      </c>
      <c r="B63" s="86" t="s">
        <v>67</v>
      </c>
      <c r="C63" s="105">
        <v>760762456971</v>
      </c>
      <c r="D63" s="102">
        <f ca="1">SUMIFS(Sales!$G:$G,Sales!$C:$C,$B63,Sales!$A:$A,"&gt;="&amp;EDATE(TODAY(),-6))</f>
        <v>49874.58</v>
      </c>
      <c r="E63" s="86">
        <f ca="1" t="shared" si="0"/>
        <v>0.421104886124358</v>
      </c>
      <c r="F63" s="102" t="str">
        <f ca="1" t="shared" si="1"/>
        <v>A</v>
      </c>
      <c r="G63" s="102" t="s">
        <v>808</v>
      </c>
      <c r="H63" s="102" t="s">
        <v>703</v>
      </c>
      <c r="I63" s="86" t="s">
        <v>1245</v>
      </c>
      <c r="J63" s="86" t="s">
        <v>1238</v>
      </c>
      <c r="K63" s="86" t="s">
        <v>1246</v>
      </c>
      <c r="L63" s="86" t="s">
        <v>1247</v>
      </c>
      <c r="M63" s="86" t="s">
        <v>1248</v>
      </c>
      <c r="N63" s="104" t="s">
        <v>1242</v>
      </c>
      <c r="O63" s="104">
        <v>1000</v>
      </c>
      <c r="P63" s="104">
        <v>10</v>
      </c>
      <c r="Q63" s="86">
        <v>42</v>
      </c>
      <c r="R63" s="86">
        <v>3.1</v>
      </c>
      <c r="S63" s="104">
        <v>14.99</v>
      </c>
      <c r="T63" s="86" t="str">
        <f>IFERROR(VLOOKUP(B63,Sum!A:A,1,0),"")</f>
        <v>SZP542-WH</v>
      </c>
      <c r="U63" s="86" t="s">
        <v>1249</v>
      </c>
      <c r="V63" s="86" t="s">
        <v>1250</v>
      </c>
      <c r="W63" s="86" t="s">
        <v>1251</v>
      </c>
      <c r="X63" s="86" t="s">
        <v>1252</v>
      </c>
      <c r="Y63" s="86" t="s">
        <v>830</v>
      </c>
      <c r="Z63" s="86" t="s">
        <v>818</v>
      </c>
      <c r="AA63" s="86" t="s">
        <v>1243</v>
      </c>
      <c r="AB63" s="86" t="s">
        <v>1244</v>
      </c>
      <c r="AC63" s="86" t="s">
        <v>1033</v>
      </c>
      <c r="AD63" s="86" t="s">
        <v>1035</v>
      </c>
    </row>
    <row r="64" customHeight="1" spans="1:30">
      <c r="A64" s="102" t="s">
        <v>1253</v>
      </c>
      <c r="B64" s="86" t="s">
        <v>68</v>
      </c>
      <c r="C64" s="105">
        <v>850030338075</v>
      </c>
      <c r="D64" s="102">
        <f ca="1">SUMIFS(Sales!$G:$G,Sales!$C:$C,$B64,Sales!$A:$A,"&gt;="&amp;EDATE(TODAY(),-6))</f>
        <v>8285.7</v>
      </c>
      <c r="E64" s="86">
        <f ca="1" t="shared" si="0"/>
        <v>0.886300011476394</v>
      </c>
      <c r="F64" s="102" t="str">
        <f ca="1" t="shared" si="1"/>
        <v>B</v>
      </c>
      <c r="G64" s="102" t="s">
        <v>708</v>
      </c>
      <c r="H64" s="102" t="s">
        <v>1128</v>
      </c>
      <c r="I64" s="86" t="s">
        <v>1254</v>
      </c>
      <c r="J64" s="86" t="s">
        <v>1255</v>
      </c>
      <c r="K64" s="86" t="s">
        <v>1256</v>
      </c>
      <c r="L64" s="86" t="s">
        <v>1257</v>
      </c>
      <c r="M64" s="86" t="s">
        <v>736</v>
      </c>
      <c r="N64" s="104" t="s">
        <v>1258</v>
      </c>
      <c r="O64" s="104">
        <v>500</v>
      </c>
      <c r="P64" s="104">
        <v>10</v>
      </c>
      <c r="Q64" s="86">
        <v>30</v>
      </c>
      <c r="R64" s="86">
        <v>1.98</v>
      </c>
      <c r="S64" s="104">
        <v>11.99</v>
      </c>
      <c r="T64" s="86" t="str">
        <f>IFERROR(VLOOKUP(B64,Sum!A:A,1,0),"")</f>
        <v>T-1-BL</v>
      </c>
      <c r="U64" s="86"/>
      <c r="V64" s="86"/>
      <c r="W64" s="86"/>
      <c r="X64" s="86"/>
      <c r="Y64" s="86"/>
      <c r="Z64" s="86"/>
      <c r="AA64" s="86" t="s">
        <v>1259</v>
      </c>
      <c r="AB64" s="86" t="s">
        <v>716</v>
      </c>
      <c r="AC64" s="86" t="s">
        <v>717</v>
      </c>
      <c r="AD64" s="86" t="s">
        <v>718</v>
      </c>
    </row>
    <row r="65" customHeight="1" spans="1:30">
      <c r="A65" s="102" t="s">
        <v>1253</v>
      </c>
      <c r="B65" s="86" t="s">
        <v>69</v>
      </c>
      <c r="C65" s="103">
        <v>698746777210</v>
      </c>
      <c r="D65" s="102">
        <f ca="1">SUMIFS(Sales!$G:$G,Sales!$C:$C,$B65,Sales!$A:$A,"&gt;="&amp;EDATE(TODAY(),-6))</f>
        <v>7638</v>
      </c>
      <c r="E65" s="86">
        <f ca="1" t="shared" si="0"/>
        <v>0.920521231602941</v>
      </c>
      <c r="F65" s="102" t="str">
        <f ca="1" t="shared" si="1"/>
        <v>C</v>
      </c>
      <c r="G65" s="102" t="s">
        <v>708</v>
      </c>
      <c r="H65" s="102" t="s">
        <v>1260</v>
      </c>
      <c r="I65" s="86" t="s">
        <v>1261</v>
      </c>
      <c r="J65" s="86" t="s">
        <v>1255</v>
      </c>
      <c r="K65" s="86" t="s">
        <v>1262</v>
      </c>
      <c r="L65" s="86" t="s">
        <v>1263</v>
      </c>
      <c r="M65" s="86" t="s">
        <v>306</v>
      </c>
      <c r="N65" s="104" t="s">
        <v>1258</v>
      </c>
      <c r="O65" s="104">
        <v>1000</v>
      </c>
      <c r="P65" s="104">
        <v>10</v>
      </c>
      <c r="Q65" s="86">
        <v>30</v>
      </c>
      <c r="R65" s="86">
        <v>1.98</v>
      </c>
      <c r="S65" s="104">
        <v>11.99</v>
      </c>
      <c r="T65" s="86" t="str">
        <f>IFERROR(VLOOKUP(B65,Sum!A:A,1,0),"")</f>
        <v>T-1-BL-WH</v>
      </c>
      <c r="U65" s="86"/>
      <c r="V65" s="86"/>
      <c r="W65" s="86"/>
      <c r="X65" s="86"/>
      <c r="Y65" s="86"/>
      <c r="Z65" s="86"/>
      <c r="AA65" s="86" t="s">
        <v>1259</v>
      </c>
      <c r="AB65" s="86" t="s">
        <v>716</v>
      </c>
      <c r="AC65" s="86" t="s">
        <v>717</v>
      </c>
      <c r="AD65" s="86" t="s">
        <v>718</v>
      </c>
    </row>
    <row r="66" customHeight="1" spans="1:30">
      <c r="A66" s="102" t="s">
        <v>1253</v>
      </c>
      <c r="B66" s="94" t="s">
        <v>70</v>
      </c>
      <c r="C66" s="105">
        <v>698746777050</v>
      </c>
      <c r="D66" s="102">
        <f ca="1">SUMIFS(Sales!$G:$G,Sales!$C:$C,$B66,Sales!$A:$A,"&gt;="&amp;EDATE(TODAY(),-6))</f>
        <v>2394</v>
      </c>
      <c r="E66" s="86">
        <f ca="1" t="shared" ref="E66:E129" si="2">IF($D66&lt;=0,1,(SUMIF($D:$D,"&gt;"&amp;$D66,$D:$D)+$D66)/SUM($D:$D))</f>
        <v>0.976356064379216</v>
      </c>
      <c r="F66" s="102" t="str">
        <f ca="1" t="shared" ref="F66:F129" si="3">IF($D66&lt;=0,"C",IF($E66&lt;=0.7,"A",IF($E66&lt;=0.9,"B","C")))</f>
        <v>C</v>
      </c>
      <c r="G66" s="102" t="s">
        <v>708</v>
      </c>
      <c r="H66" s="102" t="s">
        <v>1264</v>
      </c>
      <c r="I66" s="86" t="s">
        <v>1265</v>
      </c>
      <c r="J66" s="86" t="s">
        <v>1255</v>
      </c>
      <c r="K66" s="86" t="s">
        <v>1266</v>
      </c>
      <c r="L66" s="86" t="s">
        <v>1267</v>
      </c>
      <c r="M66" s="86" t="s">
        <v>1268</v>
      </c>
      <c r="N66" s="104" t="s">
        <v>1258</v>
      </c>
      <c r="O66" s="104">
        <v>1000</v>
      </c>
      <c r="P66" s="104">
        <v>10</v>
      </c>
      <c r="Q66" s="86">
        <v>30</v>
      </c>
      <c r="R66" s="86">
        <v>1.98</v>
      </c>
      <c r="S66" s="104">
        <v>11.99</v>
      </c>
      <c r="T66" s="86" t="str">
        <f>IFERROR(VLOOKUP(B66,Sum!A:A,1,0),"")</f>
        <v>T-1-BR-WH</v>
      </c>
      <c r="U66" s="86"/>
      <c r="V66" s="86"/>
      <c r="W66" s="86"/>
      <c r="X66" s="86"/>
      <c r="Y66" s="86"/>
      <c r="Z66" s="86"/>
      <c r="AA66" s="86" t="s">
        <v>1259</v>
      </c>
      <c r="AB66" s="86" t="s">
        <v>716</v>
      </c>
      <c r="AC66" s="86" t="s">
        <v>717</v>
      </c>
      <c r="AD66" s="86" t="s">
        <v>718</v>
      </c>
    </row>
    <row r="67" customHeight="1" spans="1:30">
      <c r="A67" s="102" t="s">
        <v>1253</v>
      </c>
      <c r="B67" s="86" t="s">
        <v>71</v>
      </c>
      <c r="C67" s="105">
        <v>850081655015</v>
      </c>
      <c r="D67" s="102">
        <f ca="1">SUMIFS(Sales!$G:$G,Sales!$C:$C,$B67,Sales!$A:$A,"&gt;="&amp;EDATE(TODAY(),-6))</f>
        <v>2394</v>
      </c>
      <c r="E67" s="86">
        <f ca="1" t="shared" si="2"/>
        <v>0.976356064379216</v>
      </c>
      <c r="F67" s="102" t="str">
        <f ca="1" t="shared" si="3"/>
        <v>C</v>
      </c>
      <c r="G67" s="102" t="s">
        <v>708</v>
      </c>
      <c r="H67" s="102" t="s">
        <v>719</v>
      </c>
      <c r="I67" s="86" t="s">
        <v>1269</v>
      </c>
      <c r="J67" s="86" t="s">
        <v>1255</v>
      </c>
      <c r="K67" s="86" t="s">
        <v>1270</v>
      </c>
      <c r="L67" s="86" t="s">
        <v>1271</v>
      </c>
      <c r="M67" s="86" t="s">
        <v>306</v>
      </c>
      <c r="N67" s="104" t="s">
        <v>1258</v>
      </c>
      <c r="O67" s="104">
        <v>1000</v>
      </c>
      <c r="P67" s="104">
        <v>10</v>
      </c>
      <c r="Q67" s="86">
        <v>30</v>
      </c>
      <c r="R67" s="86">
        <v>1.98</v>
      </c>
      <c r="S67" s="104">
        <v>11.99</v>
      </c>
      <c r="T67" s="86" t="str">
        <f>IFERROR(VLOOKUP(B67,Sum!A:A,1,0),"")</f>
        <v>T-1-PK</v>
      </c>
      <c r="U67" s="86"/>
      <c r="V67" s="86"/>
      <c r="W67" s="86"/>
      <c r="X67" s="86"/>
      <c r="Y67" s="86"/>
      <c r="Z67" s="86"/>
      <c r="AA67" s="86" t="s">
        <v>1259</v>
      </c>
      <c r="AB67" s="86" t="s">
        <v>716</v>
      </c>
      <c r="AC67" s="86" t="s">
        <v>717</v>
      </c>
      <c r="AD67" s="86" t="s">
        <v>718</v>
      </c>
    </row>
    <row r="68" customHeight="1" spans="1:30">
      <c r="A68" s="102" t="s">
        <v>72</v>
      </c>
      <c r="B68" s="94" t="s">
        <v>72</v>
      </c>
      <c r="C68" s="105">
        <v>698746777005</v>
      </c>
      <c r="D68" s="102">
        <f ca="1">SUMIFS(Sales!$G:$G,Sales!$C:$C,$B68,Sales!$A:$A,"&gt;="&amp;EDATE(TODAY(),-6))</f>
        <v>2290.2</v>
      </c>
      <c r="E68" s="86">
        <f ca="1" t="shared" si="2"/>
        <v>0.981418578411488</v>
      </c>
      <c r="F68" s="102" t="str">
        <f ca="1" t="shared" si="3"/>
        <v>C</v>
      </c>
      <c r="G68" s="102" t="s">
        <v>730</v>
      </c>
      <c r="H68" s="102" t="s">
        <v>731</v>
      </c>
      <c r="I68" s="86" t="s">
        <v>1272</v>
      </c>
      <c r="J68" s="86" t="s">
        <v>1273</v>
      </c>
      <c r="K68" s="86" t="s">
        <v>1274</v>
      </c>
      <c r="L68" s="107" t="s">
        <v>1275</v>
      </c>
      <c r="M68" s="86" t="s">
        <v>952</v>
      </c>
      <c r="N68" s="104" t="s">
        <v>753</v>
      </c>
      <c r="O68" s="104">
        <v>1000</v>
      </c>
      <c r="P68" s="104">
        <v>10</v>
      </c>
      <c r="Q68" s="86">
        <v>60</v>
      </c>
      <c r="R68" s="86">
        <v>2.14</v>
      </c>
      <c r="S68" s="104">
        <v>9.99</v>
      </c>
      <c r="T68" s="86" t="str">
        <f>IFERROR(VLOOKUP(B68,Sum!A:A,1,0),"")</f>
        <v>T-41</v>
      </c>
      <c r="U68" s="86" t="s">
        <v>1276</v>
      </c>
      <c r="V68" s="86" t="s">
        <v>1277</v>
      </c>
      <c r="W68" s="86" t="s">
        <v>740</v>
      </c>
      <c r="X68" s="86" t="s">
        <v>741</v>
      </c>
      <c r="Y68" s="86" t="s">
        <v>742</v>
      </c>
      <c r="Z68" s="86" t="s">
        <v>743</v>
      </c>
      <c r="AA68" s="86" t="s">
        <v>744</v>
      </c>
      <c r="AB68" s="86" t="s">
        <v>745</v>
      </c>
      <c r="AC68" s="86" t="s">
        <v>746</v>
      </c>
      <c r="AD68" s="86" t="s">
        <v>747</v>
      </c>
    </row>
    <row r="69" customHeight="1" spans="1:30">
      <c r="A69" s="102" t="s">
        <v>73</v>
      </c>
      <c r="B69" s="86" t="s">
        <v>73</v>
      </c>
      <c r="C69" s="103">
        <v>850030338082</v>
      </c>
      <c r="D69" s="102">
        <f ca="1">SUMIFS(Sales!$G:$G,Sales!$C:$C,$B69,Sales!$A:$A,"&gt;="&amp;EDATE(TODAY(),-6))</f>
        <v>30653.7744</v>
      </c>
      <c r="E69" s="86">
        <f ca="1" t="shared" si="2"/>
        <v>0.545936943770767</v>
      </c>
      <c r="F69" s="102" t="str">
        <f ca="1" t="shared" si="3"/>
        <v>A</v>
      </c>
      <c r="G69" s="102" t="s">
        <v>762</v>
      </c>
      <c r="H69" s="102" t="s">
        <v>731</v>
      </c>
      <c r="I69" s="86" t="s">
        <v>629</v>
      </c>
      <c r="J69" s="86" t="s">
        <v>1278</v>
      </c>
      <c r="K69" s="86" t="s">
        <v>1279</v>
      </c>
      <c r="L69" s="107" t="s">
        <v>1280</v>
      </c>
      <c r="M69" s="86" t="s">
        <v>1281</v>
      </c>
      <c r="N69" s="104" t="s">
        <v>1282</v>
      </c>
      <c r="O69" s="104">
        <v>500</v>
      </c>
      <c r="P69" s="104">
        <v>15</v>
      </c>
      <c r="Q69" s="86">
        <v>12</v>
      </c>
      <c r="R69" s="86">
        <v>1.96</v>
      </c>
      <c r="S69" s="104">
        <v>12.99</v>
      </c>
      <c r="T69" s="86" t="str">
        <f>IFERROR(VLOOKUP(B69,Sum!A:A,1,0),"")</f>
        <v>WJ-13</v>
      </c>
      <c r="U69" s="86" t="s">
        <v>1283</v>
      </c>
      <c r="V69" s="86" t="s">
        <v>1284</v>
      </c>
      <c r="W69" s="86" t="s">
        <v>1285</v>
      </c>
      <c r="X69" s="86" t="s">
        <v>1286</v>
      </c>
      <c r="Y69" s="86" t="s">
        <v>1287</v>
      </c>
      <c r="Z69" s="86" t="s">
        <v>743</v>
      </c>
      <c r="AA69" s="86" t="s">
        <v>1288</v>
      </c>
      <c r="AB69" s="86" t="s">
        <v>1289</v>
      </c>
      <c r="AC69" s="86" t="s">
        <v>1290</v>
      </c>
      <c r="AD69" s="86" t="s">
        <v>1291</v>
      </c>
    </row>
    <row r="70" customHeight="1" spans="1:30">
      <c r="A70" s="102" t="s">
        <v>1292</v>
      </c>
      <c r="B70" s="94" t="s">
        <v>74</v>
      </c>
      <c r="C70" s="105">
        <v>850030338921</v>
      </c>
      <c r="D70" s="102">
        <f ca="1">SUMIFS(Sales!$G:$G,Sales!$C:$C,$B70,Sales!$A:$A,"&gt;="&amp;EDATE(TODAY(),-6))</f>
        <v>3353.76</v>
      </c>
      <c r="E70" s="86">
        <f ca="1" t="shared" si="2"/>
        <v>0.951013535443892</v>
      </c>
      <c r="F70" s="102" t="str">
        <f ca="1" t="shared" si="3"/>
        <v>C</v>
      </c>
      <c r="G70" s="102" t="s">
        <v>862</v>
      </c>
      <c r="H70" s="102" t="s">
        <v>1293</v>
      </c>
      <c r="I70" s="86" t="s">
        <v>589</v>
      </c>
      <c r="J70" s="86" t="s">
        <v>1294</v>
      </c>
      <c r="K70" s="86" t="s">
        <v>1295</v>
      </c>
      <c r="L70" s="86" t="s">
        <v>1296</v>
      </c>
      <c r="M70" s="86" t="s">
        <v>1070</v>
      </c>
      <c r="N70" s="104" t="s">
        <v>1297</v>
      </c>
      <c r="O70" s="104">
        <v>1000</v>
      </c>
      <c r="P70" s="104">
        <v>10</v>
      </c>
      <c r="Q70" s="86">
        <v>18</v>
      </c>
      <c r="R70" s="86">
        <v>2.23</v>
      </c>
      <c r="S70" s="104">
        <v>14.99</v>
      </c>
      <c r="T70" s="86" t="str">
        <f>IFERROR(VLOOKUP(B70,Sum!A:A,1,0),"")</f>
        <v>WJ-14-B</v>
      </c>
      <c r="U70" s="86" t="s">
        <v>1298</v>
      </c>
      <c r="V70" s="86" t="s">
        <v>1299</v>
      </c>
      <c r="W70" s="86" t="s">
        <v>1173</v>
      </c>
      <c r="X70" s="86" t="s">
        <v>1005</v>
      </c>
      <c r="Y70" s="86" t="s">
        <v>1006</v>
      </c>
      <c r="Z70" s="86" t="s">
        <v>1300</v>
      </c>
      <c r="AA70" s="86" t="s">
        <v>1175</v>
      </c>
      <c r="AB70" s="86" t="s">
        <v>1301</v>
      </c>
      <c r="AC70" s="86" t="s">
        <v>1302</v>
      </c>
      <c r="AD70" s="86" t="s">
        <v>1303</v>
      </c>
    </row>
    <row r="71" customHeight="1" spans="1:30">
      <c r="A71" s="102" t="s">
        <v>1292</v>
      </c>
      <c r="B71" s="99" t="s">
        <v>588</v>
      </c>
      <c r="C71" s="105">
        <v>850081655367</v>
      </c>
      <c r="D71" s="102">
        <f ca="1">SUMIFS(Sales!$G:$G,Sales!$C:$C,$B71,Sales!$A:$A,"&gt;="&amp;EDATE(TODAY(),-6))</f>
        <v>0</v>
      </c>
      <c r="E71" s="86">
        <f ca="1" t="shared" si="2"/>
        <v>1</v>
      </c>
      <c r="F71" s="102" t="str">
        <f ca="1" t="shared" si="3"/>
        <v>C</v>
      </c>
      <c r="G71" s="102" t="s">
        <v>862</v>
      </c>
      <c r="H71" s="102" t="s">
        <v>731</v>
      </c>
      <c r="I71" s="86" t="s">
        <v>587</v>
      </c>
      <c r="J71" s="86" t="s">
        <v>1294</v>
      </c>
      <c r="K71" s="86" t="s">
        <v>1304</v>
      </c>
      <c r="L71" s="86" t="s">
        <v>1305</v>
      </c>
      <c r="M71" s="86" t="s">
        <v>856</v>
      </c>
      <c r="N71" s="104" t="s">
        <v>1297</v>
      </c>
      <c r="O71" s="104">
        <v>1000</v>
      </c>
      <c r="P71" s="104">
        <v>10</v>
      </c>
      <c r="Q71" s="86">
        <v>18</v>
      </c>
      <c r="R71" s="86">
        <v>2.23</v>
      </c>
      <c r="S71" s="104">
        <v>18.99</v>
      </c>
      <c r="T71" s="86" t="str">
        <f>IFERROR(VLOOKUP(B71,Sum!A:A,1,0),"")</f>
        <v/>
      </c>
      <c r="U71" s="86" t="s">
        <v>1298</v>
      </c>
      <c r="V71" s="86" t="s">
        <v>1299</v>
      </c>
      <c r="W71" s="86" t="s">
        <v>1173</v>
      </c>
      <c r="X71" s="86" t="s">
        <v>1005</v>
      </c>
      <c r="Y71" s="86" t="s">
        <v>1006</v>
      </c>
      <c r="Z71" s="86" t="s">
        <v>1300</v>
      </c>
      <c r="AA71" s="86" t="s">
        <v>1175</v>
      </c>
      <c r="AB71" s="86" t="s">
        <v>1301</v>
      </c>
      <c r="AC71" s="86" t="s">
        <v>1302</v>
      </c>
      <c r="AD71" s="86" t="s">
        <v>1303</v>
      </c>
    </row>
    <row r="72" customHeight="1" spans="1:30">
      <c r="A72" s="102"/>
      <c r="B72" s="108" t="s">
        <v>596</v>
      </c>
      <c r="C72" s="105">
        <v>850081655008</v>
      </c>
      <c r="D72" s="102">
        <f ca="1">SUMIFS(Sales!$G:$G,Sales!$C:$C,$B72,Sales!$A:$A,"&gt;="&amp;EDATE(TODAY(),-6))</f>
        <v>0</v>
      </c>
      <c r="E72" s="86">
        <f ca="1" t="shared" si="2"/>
        <v>1</v>
      </c>
      <c r="F72" s="102" t="str">
        <f ca="1" t="shared" si="3"/>
        <v>C</v>
      </c>
      <c r="G72" s="102" t="s">
        <v>862</v>
      </c>
      <c r="H72" s="102" t="s">
        <v>1306</v>
      </c>
      <c r="I72" s="105" t="s">
        <v>589</v>
      </c>
      <c r="J72" s="86" t="s">
        <v>731</v>
      </c>
      <c r="K72" s="86" t="s">
        <v>1307</v>
      </c>
      <c r="L72" s="86" t="s">
        <v>1308</v>
      </c>
      <c r="M72" s="86" t="s">
        <v>856</v>
      </c>
      <c r="N72" s="104" t="s">
        <v>1309</v>
      </c>
      <c r="O72" s="104">
        <v>500</v>
      </c>
      <c r="P72" s="104">
        <v>15</v>
      </c>
      <c r="Q72" s="97">
        <v>1</v>
      </c>
      <c r="R72" s="104">
        <v>2.23</v>
      </c>
      <c r="S72" s="104">
        <v>18.99</v>
      </c>
      <c r="T72" s="86" t="str">
        <f>IFERROR(VLOOKUP(B72,Sum!A:A,1,0),"")</f>
        <v/>
      </c>
      <c r="U72" s="86"/>
      <c r="V72" s="86"/>
      <c r="W72" s="86"/>
      <c r="X72" s="86"/>
      <c r="Y72" s="86"/>
      <c r="Z72" s="86"/>
      <c r="AA72" s="86" t="s">
        <v>699</v>
      </c>
      <c r="AB72" s="86" t="s">
        <v>700</v>
      </c>
      <c r="AC72" s="86" t="s">
        <v>701</v>
      </c>
      <c r="AD72" s="86" t="s">
        <v>702</v>
      </c>
    </row>
    <row r="73" customHeight="1" spans="1:30">
      <c r="A73" s="102" t="s">
        <v>1310</v>
      </c>
      <c r="B73" s="94" t="s">
        <v>75</v>
      </c>
      <c r="C73" s="105">
        <v>850030338464</v>
      </c>
      <c r="D73" s="102">
        <f ca="1">SUMIFS(Sales!$G:$G,Sales!$C:$C,$B73,Sales!$A:$A,"&gt;="&amp;EDATE(TODAY(),-6))</f>
        <v>13224</v>
      </c>
      <c r="E73" s="86">
        <f ca="1" t="shared" si="2"/>
        <v>0.776858297372752</v>
      </c>
      <c r="F73" s="102" t="str">
        <f ca="1" t="shared" si="3"/>
        <v>B</v>
      </c>
      <c r="G73" s="102" t="s">
        <v>686</v>
      </c>
      <c r="H73" s="102" t="s">
        <v>687</v>
      </c>
      <c r="I73" s="86" t="s">
        <v>606</v>
      </c>
      <c r="J73" s="86" t="s">
        <v>1311</v>
      </c>
      <c r="K73" s="86" t="s">
        <v>1312</v>
      </c>
      <c r="L73" s="86" t="s">
        <v>1313</v>
      </c>
      <c r="M73" s="86" t="s">
        <v>1314</v>
      </c>
      <c r="N73" s="104" t="s">
        <v>1315</v>
      </c>
      <c r="O73" s="104">
        <v>1000</v>
      </c>
      <c r="P73" s="104">
        <v>10</v>
      </c>
      <c r="Q73" s="86">
        <v>3</v>
      </c>
      <c r="R73" s="86">
        <v>10.42</v>
      </c>
      <c r="S73" s="104">
        <v>45.99</v>
      </c>
      <c r="T73" s="86" t="str">
        <f>IFERROR(VLOOKUP(B73,Sum!A:A,1,0),"")</f>
        <v>WJ-39-GN</v>
      </c>
      <c r="U73" s="86" t="s">
        <v>1316</v>
      </c>
      <c r="V73" s="86" t="s">
        <v>694</v>
      </c>
      <c r="W73" s="86" t="s">
        <v>695</v>
      </c>
      <c r="X73" s="86" t="s">
        <v>1251</v>
      </c>
      <c r="Y73" s="86" t="s">
        <v>1317</v>
      </c>
      <c r="Z73" s="86" t="s">
        <v>1318</v>
      </c>
      <c r="AA73" s="86" t="s">
        <v>699</v>
      </c>
      <c r="AB73" s="86" t="s">
        <v>700</v>
      </c>
      <c r="AC73" s="86" t="s">
        <v>701</v>
      </c>
      <c r="AD73" s="86" t="s">
        <v>702</v>
      </c>
    </row>
    <row r="74" customHeight="1" spans="1:30">
      <c r="A74" s="102" t="s">
        <v>1310</v>
      </c>
      <c r="B74" s="86" t="s">
        <v>76</v>
      </c>
      <c r="C74" s="103">
        <v>850030338518</v>
      </c>
      <c r="D74" s="102">
        <f ca="1">SUMIFS(Sales!$G:$G,Sales!$C:$C,$B74,Sales!$A:$A,"&gt;="&amp;EDATE(TODAY(),-6))</f>
        <v>13331.25</v>
      </c>
      <c r="E74" s="86">
        <f ca="1" t="shared" si="2"/>
        <v>0.762566276203122</v>
      </c>
      <c r="F74" s="102" t="str">
        <f ca="1" t="shared" si="3"/>
        <v>B</v>
      </c>
      <c r="G74" s="102" t="s">
        <v>686</v>
      </c>
      <c r="H74" s="102" t="s">
        <v>719</v>
      </c>
      <c r="I74" s="86" t="s">
        <v>626</v>
      </c>
      <c r="J74" s="86" t="s">
        <v>1311</v>
      </c>
      <c r="K74" s="86" t="s">
        <v>1319</v>
      </c>
      <c r="L74" s="86" t="s">
        <v>1320</v>
      </c>
      <c r="M74" s="86" t="s">
        <v>1058</v>
      </c>
      <c r="N74" s="104" t="s">
        <v>1315</v>
      </c>
      <c r="O74" s="104">
        <v>1000</v>
      </c>
      <c r="P74" s="104">
        <v>10</v>
      </c>
      <c r="Q74" s="86">
        <v>3</v>
      </c>
      <c r="R74" s="86">
        <v>10.42</v>
      </c>
      <c r="S74" s="104">
        <v>45.99</v>
      </c>
      <c r="T74" s="86" t="str">
        <f>IFERROR(VLOOKUP(B74,Sum!A:A,1,0),"")</f>
        <v>WJ-39-PK</v>
      </c>
      <c r="U74" s="86" t="s">
        <v>1316</v>
      </c>
      <c r="V74" s="86" t="s">
        <v>694</v>
      </c>
      <c r="W74" s="86" t="s">
        <v>695</v>
      </c>
      <c r="X74" s="86" t="s">
        <v>1251</v>
      </c>
      <c r="Y74" s="86" t="s">
        <v>1317</v>
      </c>
      <c r="Z74" s="86" t="s">
        <v>1318</v>
      </c>
      <c r="AA74" s="86" t="s">
        <v>699</v>
      </c>
      <c r="AB74" s="86" t="s">
        <v>700</v>
      </c>
      <c r="AC74" s="86" t="s">
        <v>701</v>
      </c>
      <c r="AD74" s="86" t="s">
        <v>702</v>
      </c>
    </row>
    <row r="75" customHeight="1" spans="1:30">
      <c r="A75" s="102" t="s">
        <v>1310</v>
      </c>
      <c r="B75" s="106" t="s">
        <v>607</v>
      </c>
      <c r="C75" s="105">
        <v>850030338501</v>
      </c>
      <c r="D75" s="102">
        <f ca="1">SUMIFS(Sales!$G:$G,Sales!$C:$C,$B75,Sales!$A:$A,"&gt;="&amp;EDATE(TODAY(),-6))</f>
        <v>0</v>
      </c>
      <c r="E75" s="86">
        <f ca="1" t="shared" si="2"/>
        <v>1</v>
      </c>
      <c r="F75" s="102" t="str">
        <f ca="1" t="shared" si="3"/>
        <v>C</v>
      </c>
      <c r="G75" s="102" t="s">
        <v>686</v>
      </c>
      <c r="H75" s="102" t="s">
        <v>703</v>
      </c>
      <c r="I75" s="86" t="s">
        <v>606</v>
      </c>
      <c r="J75" s="86" t="s">
        <v>1311</v>
      </c>
      <c r="K75" s="86" t="s">
        <v>1321</v>
      </c>
      <c r="L75" s="86" t="s">
        <v>1322</v>
      </c>
      <c r="M75" s="86" t="s">
        <v>766</v>
      </c>
      <c r="N75" s="86" t="s">
        <v>1315</v>
      </c>
      <c r="O75" s="104">
        <v>1000</v>
      </c>
      <c r="P75" s="104">
        <v>10</v>
      </c>
      <c r="Q75" s="97">
        <v>4</v>
      </c>
      <c r="R75" s="86">
        <v>10.42</v>
      </c>
      <c r="S75" s="104">
        <v>39.99</v>
      </c>
      <c r="T75" s="86" t="str">
        <f>IFERROR(VLOOKUP(B75,Sum!A:A,1,0),"")</f>
        <v/>
      </c>
      <c r="U75" s="86" t="s">
        <v>1316</v>
      </c>
      <c r="V75" s="86" t="s">
        <v>694</v>
      </c>
      <c r="W75" s="86" t="s">
        <v>695</v>
      </c>
      <c r="X75" s="86" t="s">
        <v>1251</v>
      </c>
      <c r="Y75" s="86" t="s">
        <v>1317</v>
      </c>
      <c r="Z75" s="86" t="s">
        <v>1318</v>
      </c>
      <c r="AA75" s="86" t="s">
        <v>699</v>
      </c>
      <c r="AB75" s="86" t="s">
        <v>700</v>
      </c>
      <c r="AC75" s="86" t="s">
        <v>701</v>
      </c>
      <c r="AD75" s="86" t="s">
        <v>702</v>
      </c>
    </row>
    <row r="76" customHeight="1" spans="1:30">
      <c r="A76" s="102" t="s">
        <v>77</v>
      </c>
      <c r="B76" s="86" t="s">
        <v>77</v>
      </c>
      <c r="C76" s="105">
        <v>850030338112</v>
      </c>
      <c r="D76" s="102">
        <f ca="1">SUMIFS(Sales!$G:$G,Sales!$C:$C,$B76,Sales!$A:$A,"&gt;="&amp;EDATE(TODAY(),-6))</f>
        <v>12936</v>
      </c>
      <c r="E76" s="86">
        <f ca="1" t="shared" si="2"/>
        <v>0.790839058553206</v>
      </c>
      <c r="F76" s="102" t="str">
        <f ca="1" t="shared" si="3"/>
        <v>B</v>
      </c>
      <c r="G76" s="102" t="s">
        <v>808</v>
      </c>
      <c r="H76" s="102" t="s">
        <v>731</v>
      </c>
      <c r="I76" s="86" t="s">
        <v>576</v>
      </c>
      <c r="J76" s="86" t="s">
        <v>731</v>
      </c>
      <c r="K76" s="86" t="s">
        <v>1323</v>
      </c>
      <c r="L76" s="86" t="s">
        <v>1324</v>
      </c>
      <c r="M76" s="86" t="s">
        <v>1325</v>
      </c>
      <c r="N76" s="86" t="s">
        <v>783</v>
      </c>
      <c r="O76" s="104">
        <v>1000</v>
      </c>
      <c r="P76" s="104">
        <v>10</v>
      </c>
      <c r="Q76" s="86">
        <v>50</v>
      </c>
      <c r="R76" s="86">
        <v>0.62</v>
      </c>
      <c r="S76" s="104">
        <v>6.99</v>
      </c>
      <c r="T76" s="86" t="str">
        <f>IFERROR(VLOOKUP(B76,Sum!A:A,1,0),"")</f>
        <v>WJ-4</v>
      </c>
      <c r="U76" s="86"/>
      <c r="V76" s="86"/>
      <c r="W76" s="86"/>
      <c r="X76" s="86"/>
      <c r="Y76" s="86"/>
      <c r="Z76" s="86"/>
      <c r="AA76" s="86" t="s">
        <v>1032</v>
      </c>
      <c r="AB76" s="86" t="s">
        <v>1033</v>
      </c>
      <c r="AC76" s="86" t="s">
        <v>1034</v>
      </c>
      <c r="AD76" s="86" t="s">
        <v>1035</v>
      </c>
    </row>
    <row r="77" customHeight="1" spans="1:30">
      <c r="A77" s="102" t="s">
        <v>1326</v>
      </c>
      <c r="B77" s="106" t="s">
        <v>1326</v>
      </c>
      <c r="C77" s="105">
        <v>698746776497</v>
      </c>
      <c r="D77" s="102">
        <f ca="1">SUMIFS(Sales!$G:$G,Sales!$C:$C,$B77,Sales!$A:$A,"&gt;="&amp;EDATE(TODAY(),-6))</f>
        <v>0</v>
      </c>
      <c r="E77" s="86">
        <f ca="1" t="shared" si="2"/>
        <v>1</v>
      </c>
      <c r="F77" s="102" t="str">
        <f ca="1" t="shared" si="3"/>
        <v>C</v>
      </c>
      <c r="G77" s="102" t="s">
        <v>762</v>
      </c>
      <c r="H77" s="102" t="s">
        <v>731</v>
      </c>
      <c r="I77" s="86" t="s">
        <v>1327</v>
      </c>
      <c r="J77" s="86" t="s">
        <v>1328</v>
      </c>
      <c r="K77" s="86" t="s">
        <v>1329</v>
      </c>
      <c r="L77" s="86" t="s">
        <v>1330</v>
      </c>
      <c r="M77" s="86" t="s">
        <v>856</v>
      </c>
      <c r="N77" s="104" t="s">
        <v>767</v>
      </c>
      <c r="O77" s="104">
        <v>2000</v>
      </c>
      <c r="P77" s="104">
        <v>15</v>
      </c>
      <c r="Q77" s="97">
        <v>16</v>
      </c>
      <c r="R77" s="86">
        <v>2.65</v>
      </c>
      <c r="S77" s="104">
        <v>19.99</v>
      </c>
      <c r="T77" s="86" t="str">
        <f>IFERROR(VLOOKUP(B77,Sum!A:A,1,0),"")</f>
        <v/>
      </c>
      <c r="U77" s="86"/>
      <c r="V77" s="86"/>
      <c r="W77" s="86"/>
      <c r="X77" s="86"/>
      <c r="Y77" s="86"/>
      <c r="Z77" s="86"/>
      <c r="AA77" s="86" t="s">
        <v>1331</v>
      </c>
      <c r="AB77" s="86" t="s">
        <v>1332</v>
      </c>
      <c r="AC77" s="86" t="s">
        <v>1333</v>
      </c>
      <c r="AD77" s="86" t="s">
        <v>1334</v>
      </c>
    </row>
    <row r="78" customHeight="1" spans="1:30">
      <c r="A78" s="102" t="s">
        <v>78</v>
      </c>
      <c r="B78" s="86" t="s">
        <v>78</v>
      </c>
      <c r="C78" s="103">
        <v>850030338969</v>
      </c>
      <c r="D78" s="102">
        <f ca="1">SUMIFS(Sales!$G:$G,Sales!$C:$C,$B78,Sales!$A:$A,"&gt;="&amp;EDATE(TODAY(),-6))</f>
        <v>9004.8</v>
      </c>
      <c r="E78" s="86">
        <f ca="1" t="shared" si="2"/>
        <v>0.877345126433653</v>
      </c>
      <c r="F78" s="102" t="str">
        <f ca="1" t="shared" si="3"/>
        <v>B</v>
      </c>
      <c r="G78" s="102" t="s">
        <v>778</v>
      </c>
      <c r="H78" s="102" t="s">
        <v>731</v>
      </c>
      <c r="I78" s="86" t="s">
        <v>1335</v>
      </c>
      <c r="J78" s="86" t="s">
        <v>1336</v>
      </c>
      <c r="K78" s="86" t="s">
        <v>1337</v>
      </c>
      <c r="L78" s="86" t="s">
        <v>1338</v>
      </c>
      <c r="M78" s="86" t="s">
        <v>1339</v>
      </c>
      <c r="N78" s="104" t="s">
        <v>767</v>
      </c>
      <c r="O78" s="104">
        <v>2000</v>
      </c>
      <c r="P78" s="104">
        <v>15</v>
      </c>
      <c r="Q78" s="86">
        <v>48</v>
      </c>
      <c r="R78" s="86">
        <v>1.34</v>
      </c>
      <c r="S78" s="104">
        <v>7.99</v>
      </c>
      <c r="T78" s="86" t="str">
        <f>IFERROR(VLOOKUP(B78,Sum!A:A,1,0),"")</f>
        <v>WJ-46</v>
      </c>
      <c r="U78" s="86" t="s">
        <v>1340</v>
      </c>
      <c r="V78" s="86" t="s">
        <v>839</v>
      </c>
      <c r="W78" s="86" t="s">
        <v>787</v>
      </c>
      <c r="X78" s="86" t="s">
        <v>831</v>
      </c>
      <c r="Y78" s="86" t="s">
        <v>840</v>
      </c>
      <c r="Z78" s="86" t="s">
        <v>841</v>
      </c>
      <c r="AA78" s="86" t="s">
        <v>842</v>
      </c>
      <c r="AB78" s="86" t="s">
        <v>843</v>
      </c>
      <c r="AC78" s="86" t="s">
        <v>773</v>
      </c>
      <c r="AD78" s="86" t="s">
        <v>844</v>
      </c>
    </row>
    <row r="79" customHeight="1" spans="1:30">
      <c r="A79" s="102" t="s">
        <v>1341</v>
      </c>
      <c r="B79" s="96" t="s">
        <v>79</v>
      </c>
      <c r="C79" s="103">
        <v>760762457077</v>
      </c>
      <c r="D79" s="102">
        <f ca="1">SUMIFS(Sales!$G:$G,Sales!$C:$C,$B79,Sales!$A:$A,"&gt;="&amp;EDATE(TODAY(),-6))</f>
        <v>1879.2</v>
      </c>
      <c r="E79" s="86">
        <f ca="1" t="shared" si="2"/>
        <v>0.996320647544625</v>
      </c>
      <c r="F79" s="102" t="str">
        <f ca="1" t="shared" si="3"/>
        <v>C</v>
      </c>
      <c r="G79" s="102" t="s">
        <v>794</v>
      </c>
      <c r="H79" s="102" t="s">
        <v>687</v>
      </c>
      <c r="I79" s="96" t="s">
        <v>1342</v>
      </c>
      <c r="J79" s="86" t="s">
        <v>1343</v>
      </c>
      <c r="K79" s="86" t="s">
        <v>1344</v>
      </c>
      <c r="L79" s="86" t="s">
        <v>1345</v>
      </c>
      <c r="M79" s="86" t="s">
        <v>306</v>
      </c>
      <c r="N79" s="104" t="s">
        <v>1346</v>
      </c>
      <c r="O79" s="104">
        <v>500</v>
      </c>
      <c r="P79" s="104">
        <v>10</v>
      </c>
      <c r="Q79" s="86">
        <v>36</v>
      </c>
      <c r="R79" s="86">
        <v>1.19</v>
      </c>
      <c r="S79" s="104">
        <v>7.99</v>
      </c>
      <c r="T79" s="86" t="str">
        <f>IFERROR(VLOOKUP(B79,Sum!A:A,1,0),"")</f>
        <v>WJ-9-GN</v>
      </c>
      <c r="U79" s="86" t="s">
        <v>1347</v>
      </c>
      <c r="V79" s="86" t="s">
        <v>1348</v>
      </c>
      <c r="W79" s="86" t="s">
        <v>1349</v>
      </c>
      <c r="X79" s="86" t="s">
        <v>1350</v>
      </c>
      <c r="Y79" s="86" t="s">
        <v>1351</v>
      </c>
      <c r="Z79" s="86" t="s">
        <v>1352</v>
      </c>
      <c r="AA79" s="86" t="s">
        <v>1353</v>
      </c>
      <c r="AB79" s="86" t="s">
        <v>1354</v>
      </c>
      <c r="AC79" s="86" t="s">
        <v>1116</v>
      </c>
      <c r="AD79" s="86" t="s">
        <v>1355</v>
      </c>
    </row>
    <row r="80" customHeight="1" spans="1:30">
      <c r="A80" s="102" t="s">
        <v>1341</v>
      </c>
      <c r="B80" s="109" t="s">
        <v>637</v>
      </c>
      <c r="C80" s="105">
        <v>850030338570</v>
      </c>
      <c r="D80" s="102">
        <f ca="1">SUMIFS(Sales!$G:$G,Sales!$C:$C,$B80,Sales!$A:$A,"&gt;="&amp;EDATE(TODAY(),-6))</f>
        <v>0</v>
      </c>
      <c r="E80" s="86">
        <f ca="1" t="shared" si="2"/>
        <v>1</v>
      </c>
      <c r="F80" s="102" t="str">
        <f ca="1" t="shared" si="3"/>
        <v>C</v>
      </c>
      <c r="G80" s="102" t="s">
        <v>794</v>
      </c>
      <c r="H80" s="102" t="s">
        <v>703</v>
      </c>
      <c r="I80" s="86" t="s">
        <v>636</v>
      </c>
      <c r="J80" s="86" t="s">
        <v>1343</v>
      </c>
      <c r="K80" s="86" t="s">
        <v>1356</v>
      </c>
      <c r="L80" s="86" t="s">
        <v>1357</v>
      </c>
      <c r="M80" s="86" t="s">
        <v>766</v>
      </c>
      <c r="N80" s="86" t="s">
        <v>1346</v>
      </c>
      <c r="O80" s="104">
        <v>1000</v>
      </c>
      <c r="P80" s="104">
        <v>10</v>
      </c>
      <c r="Q80" s="97">
        <v>36</v>
      </c>
      <c r="R80" s="86">
        <v>1.19</v>
      </c>
      <c r="S80" s="104">
        <v>7.99</v>
      </c>
      <c r="T80" s="86" t="str">
        <f>IFERROR(VLOOKUP(B80,Sum!A:A,1,0),"")</f>
        <v/>
      </c>
      <c r="U80" s="86" t="s">
        <v>1347</v>
      </c>
      <c r="V80" s="86" t="s">
        <v>1348</v>
      </c>
      <c r="W80" s="86" t="s">
        <v>1349</v>
      </c>
      <c r="X80" s="86" t="s">
        <v>1350</v>
      </c>
      <c r="Y80" s="86" t="s">
        <v>1351</v>
      </c>
      <c r="Z80" s="86" t="s">
        <v>1352</v>
      </c>
      <c r="AA80" s="86" t="s">
        <v>1353</v>
      </c>
      <c r="AB80" s="86" t="s">
        <v>1354</v>
      </c>
      <c r="AC80" s="86" t="s">
        <v>1116</v>
      </c>
      <c r="AD80" s="86" t="s">
        <v>1355</v>
      </c>
    </row>
    <row r="81" customHeight="1" spans="1:30">
      <c r="A81" s="102" t="s">
        <v>1358</v>
      </c>
      <c r="B81" s="86" t="s">
        <v>80</v>
      </c>
      <c r="C81" s="103">
        <v>698746777562</v>
      </c>
      <c r="D81" s="102">
        <f ca="1">SUMIFS(Sales!$G:$G,Sales!$C:$C,$B81,Sales!$A:$A,"&gt;="&amp;EDATE(TODAY(),-6))</f>
        <v>11511.36</v>
      </c>
      <c r="E81" s="86">
        <f ca="1" t="shared" si="2"/>
        <v>0.80328012032054</v>
      </c>
      <c r="F81" s="102" t="str">
        <f ca="1" t="shared" si="3"/>
        <v>B</v>
      </c>
      <c r="G81" s="102" t="s">
        <v>708</v>
      </c>
      <c r="H81" s="102" t="s">
        <v>1128</v>
      </c>
      <c r="I81" s="86" t="s">
        <v>1359</v>
      </c>
      <c r="J81" s="86" t="s">
        <v>1360</v>
      </c>
      <c r="K81" s="86" t="s">
        <v>1361</v>
      </c>
      <c r="L81" s="86" t="s">
        <v>1362</v>
      </c>
      <c r="M81" s="86" t="s">
        <v>306</v>
      </c>
      <c r="N81" s="104" t="s">
        <v>1363</v>
      </c>
      <c r="O81" s="104">
        <v>1000</v>
      </c>
      <c r="P81" s="104">
        <v>10</v>
      </c>
      <c r="Q81" s="86">
        <v>12</v>
      </c>
      <c r="R81" s="86">
        <v>2.84</v>
      </c>
      <c r="S81" s="104">
        <v>17.99</v>
      </c>
      <c r="T81" s="86" t="str">
        <f>IFERROR(VLOOKUP(B81,Sum!A:A,1,0),"")</f>
        <v>ZM003-BL</v>
      </c>
      <c r="U81" s="86"/>
      <c r="V81" s="86"/>
      <c r="W81" s="86"/>
      <c r="X81" s="86"/>
      <c r="Y81" s="86"/>
      <c r="Z81" s="86"/>
      <c r="AA81" s="86" t="s">
        <v>1364</v>
      </c>
      <c r="AB81" s="86" t="s">
        <v>716</v>
      </c>
      <c r="AC81" s="86" t="s">
        <v>1365</v>
      </c>
      <c r="AD81" s="86" t="s">
        <v>717</v>
      </c>
    </row>
    <row r="82" customHeight="1" spans="1:30">
      <c r="A82" s="102" t="s">
        <v>1358</v>
      </c>
      <c r="B82" s="86" t="s">
        <v>81</v>
      </c>
      <c r="C82" s="105">
        <v>850067049258</v>
      </c>
      <c r="D82" s="102">
        <f ca="1">SUMIFS(Sales!$G:$G,Sales!$C:$C,$B82,Sales!$A:$A,"&gt;="&amp;EDATE(TODAY(),-6))</f>
        <v>11224.92</v>
      </c>
      <c r="E82" s="86">
        <f ca="1" t="shared" si="2"/>
        <v>0.815411608090308</v>
      </c>
      <c r="F82" s="102" t="str">
        <f ca="1" t="shared" si="3"/>
        <v>B</v>
      </c>
      <c r="G82" s="102" t="s">
        <v>708</v>
      </c>
      <c r="H82" s="102" t="s">
        <v>1260</v>
      </c>
      <c r="I82" s="86" t="s">
        <v>1366</v>
      </c>
      <c r="J82" s="86" t="s">
        <v>1360</v>
      </c>
      <c r="K82" s="86" t="s">
        <v>1367</v>
      </c>
      <c r="L82" s="86" t="s">
        <v>1368</v>
      </c>
      <c r="M82" s="86" t="s">
        <v>1369</v>
      </c>
      <c r="N82" s="104" t="s">
        <v>1363</v>
      </c>
      <c r="O82" s="104">
        <v>1000</v>
      </c>
      <c r="P82" s="104">
        <v>10</v>
      </c>
      <c r="Q82" s="86">
        <v>12</v>
      </c>
      <c r="R82" s="86">
        <v>2.84</v>
      </c>
      <c r="S82" s="104">
        <v>17.99</v>
      </c>
      <c r="T82" s="86" t="str">
        <f>IFERROR(VLOOKUP(B82,Sum!A:A,1,0),"")</f>
        <v>ZM003-BL-WH</v>
      </c>
      <c r="U82" s="86"/>
      <c r="V82" s="86"/>
      <c r="W82" s="86"/>
      <c r="X82" s="86"/>
      <c r="Y82" s="86"/>
      <c r="Z82" s="86"/>
      <c r="AA82" s="86" t="s">
        <v>1364</v>
      </c>
      <c r="AB82" s="86" t="s">
        <v>716</v>
      </c>
      <c r="AC82" s="86" t="s">
        <v>1365</v>
      </c>
      <c r="AD82" s="86" t="s">
        <v>717</v>
      </c>
    </row>
    <row r="83" customHeight="1" spans="1:30">
      <c r="A83" s="102" t="s">
        <v>1358</v>
      </c>
      <c r="B83" s="86" t="s">
        <v>82</v>
      </c>
      <c r="C83" s="105">
        <v>698746777500</v>
      </c>
      <c r="D83" s="102">
        <f ca="1">SUMIFS(Sales!$G:$G,Sales!$C:$C,$B83,Sales!$A:$A,"&gt;="&amp;EDATE(TODAY(),-6))</f>
        <v>3494.52</v>
      </c>
      <c r="E83" s="86">
        <f ca="1" t="shared" si="2"/>
        <v>0.947388912869946</v>
      </c>
      <c r="F83" s="102" t="str">
        <f ca="1" t="shared" si="3"/>
        <v>C</v>
      </c>
      <c r="G83" s="102" t="s">
        <v>708</v>
      </c>
      <c r="H83" s="102" t="s">
        <v>1370</v>
      </c>
      <c r="I83" s="86" t="s">
        <v>720</v>
      </c>
      <c r="J83" s="86" t="s">
        <v>1360</v>
      </c>
      <c r="K83" s="86" t="s">
        <v>1371</v>
      </c>
      <c r="L83" s="86" t="s">
        <v>1372</v>
      </c>
      <c r="M83" s="86" t="s">
        <v>306</v>
      </c>
      <c r="N83" s="104" t="s">
        <v>1363</v>
      </c>
      <c r="O83" s="104">
        <v>1000</v>
      </c>
      <c r="P83" s="104">
        <v>10</v>
      </c>
      <c r="Q83" s="86">
        <v>12</v>
      </c>
      <c r="R83" s="86">
        <v>2.84</v>
      </c>
      <c r="S83" s="104">
        <v>17.99</v>
      </c>
      <c r="T83" s="86" t="str">
        <f>IFERROR(VLOOKUP(B83,Sum!A:A,1,0),"")</f>
        <v>ZM003-GN-WH</v>
      </c>
      <c r="U83" s="86"/>
      <c r="V83" s="86"/>
      <c r="W83" s="86"/>
      <c r="X83" s="86"/>
      <c r="Y83" s="86"/>
      <c r="Z83" s="86"/>
      <c r="AA83" s="86" t="s">
        <v>1364</v>
      </c>
      <c r="AB83" s="86" t="s">
        <v>716</v>
      </c>
      <c r="AC83" s="86" t="s">
        <v>1365</v>
      </c>
      <c r="AD83" s="86" t="s">
        <v>717</v>
      </c>
    </row>
    <row r="84" customHeight="1" spans="1:30">
      <c r="A84" s="102" t="s">
        <v>83</v>
      </c>
      <c r="B84" s="94" t="s">
        <v>83</v>
      </c>
      <c r="C84" s="105">
        <v>860006392840</v>
      </c>
      <c r="D84" s="102">
        <f ca="1">SUMIFS(Sales!$G:$G,Sales!$C:$C,$B84,Sales!$A:$A,"&gt;="&amp;EDATE(TODAY(),-6))</f>
        <v>0</v>
      </c>
      <c r="E84" s="86">
        <f ca="1" t="shared" si="2"/>
        <v>1</v>
      </c>
      <c r="F84" s="102" t="str">
        <f ca="1" t="shared" si="3"/>
        <v>C</v>
      </c>
      <c r="G84" s="102" t="s">
        <v>708</v>
      </c>
      <c r="H84" s="102" t="s">
        <v>731</v>
      </c>
      <c r="I84" s="86" t="s">
        <v>1373</v>
      </c>
      <c r="J84" s="86" t="s">
        <v>1374</v>
      </c>
      <c r="K84" s="86" t="s">
        <v>1375</v>
      </c>
      <c r="L84" s="86" t="s">
        <v>1376</v>
      </c>
      <c r="M84" s="86" t="s">
        <v>325</v>
      </c>
      <c r="N84" s="104" t="s">
        <v>1377</v>
      </c>
      <c r="O84" s="104">
        <v>1000</v>
      </c>
      <c r="P84" s="104">
        <v>10</v>
      </c>
      <c r="Q84" s="86">
        <v>30</v>
      </c>
      <c r="R84" s="86">
        <v>1.88</v>
      </c>
      <c r="S84" s="104">
        <v>9.99</v>
      </c>
      <c r="T84" s="86" t="str">
        <f>IFERROR(VLOOKUP(B84,Sum!A:A,1,0),"")</f>
        <v>ZM004</v>
      </c>
      <c r="U84" s="86"/>
      <c r="V84" s="86"/>
      <c r="W84" s="86"/>
      <c r="X84" s="86"/>
      <c r="Y84" s="86"/>
      <c r="Z84" s="86"/>
      <c r="AA84" s="86" t="s">
        <v>1378</v>
      </c>
      <c r="AB84" s="86" t="s">
        <v>1379</v>
      </c>
      <c r="AC84" s="86" t="s">
        <v>1380</v>
      </c>
      <c r="AD84" s="86" t="s">
        <v>1381</v>
      </c>
    </row>
    <row r="85" customHeight="1" spans="1:30">
      <c r="A85" s="102" t="s">
        <v>1382</v>
      </c>
      <c r="B85" s="86" t="s">
        <v>84</v>
      </c>
      <c r="C85" s="105">
        <v>850030338198</v>
      </c>
      <c r="D85" s="102">
        <f ca="1">SUMIFS(Sales!$G:$G,Sales!$C:$C,$B85,Sales!$A:$A,"&gt;="&amp;EDATE(TODAY(),-6))</f>
        <v>7872.32</v>
      </c>
      <c r="E85" s="86">
        <f ca="1" t="shared" si="2"/>
        <v>0.912266357306689</v>
      </c>
      <c r="F85" s="102" t="str">
        <f ca="1" t="shared" si="3"/>
        <v>C</v>
      </c>
      <c r="G85" s="102" t="s">
        <v>708</v>
      </c>
      <c r="H85" s="102" t="s">
        <v>1128</v>
      </c>
      <c r="I85" s="86" t="s">
        <v>1383</v>
      </c>
      <c r="J85" s="86" t="s">
        <v>1384</v>
      </c>
      <c r="K85" s="86" t="s">
        <v>1385</v>
      </c>
      <c r="L85" s="86" t="s">
        <v>1386</v>
      </c>
      <c r="M85" s="86" t="s">
        <v>760</v>
      </c>
      <c r="N85" s="86" t="s">
        <v>1363</v>
      </c>
      <c r="O85" s="104">
        <v>1000</v>
      </c>
      <c r="P85" s="104">
        <v>10</v>
      </c>
      <c r="Q85" s="86">
        <v>32</v>
      </c>
      <c r="R85" s="86">
        <v>1.64</v>
      </c>
      <c r="S85" s="104">
        <v>9.99</v>
      </c>
      <c r="T85" s="86" t="str">
        <f>IFERROR(VLOOKUP(B85,Sum!A:A,1,0),"")</f>
        <v>ZM005-BL</v>
      </c>
      <c r="U85" s="86"/>
      <c r="V85" s="86"/>
      <c r="W85" s="86"/>
      <c r="X85" s="86"/>
      <c r="Y85" s="86"/>
      <c r="Z85" s="86"/>
      <c r="AA85" s="86" t="s">
        <v>1387</v>
      </c>
      <c r="AB85" s="86" t="s">
        <v>1388</v>
      </c>
      <c r="AC85" s="86" t="s">
        <v>1389</v>
      </c>
      <c r="AD85" s="86" t="s">
        <v>718</v>
      </c>
    </row>
    <row r="86" customHeight="1" spans="1:30">
      <c r="A86" s="102" t="s">
        <v>1382</v>
      </c>
      <c r="B86" s="94" t="s">
        <v>85</v>
      </c>
      <c r="C86" s="105">
        <v>698746777067</v>
      </c>
      <c r="D86" s="102">
        <f ca="1">SUMIFS(Sales!$G:$G,Sales!$C:$C,$B86,Sales!$A:$A,"&gt;="&amp;EDATE(TODAY(),-6))</f>
        <v>1982.08</v>
      </c>
      <c r="E86" s="86">
        <f ca="1" t="shared" si="2"/>
        <v>0.988037565311854</v>
      </c>
      <c r="F86" s="102" t="str">
        <f ca="1" t="shared" si="3"/>
        <v>C</v>
      </c>
      <c r="G86" s="102" t="s">
        <v>708</v>
      </c>
      <c r="H86" s="102" t="s">
        <v>1390</v>
      </c>
      <c r="I86" s="86" t="s">
        <v>621</v>
      </c>
      <c r="J86" s="86" t="s">
        <v>1384</v>
      </c>
      <c r="K86" s="86" t="s">
        <v>1391</v>
      </c>
      <c r="L86" s="86" t="s">
        <v>1392</v>
      </c>
      <c r="M86" s="86" t="s">
        <v>1393</v>
      </c>
      <c r="N86" s="104" t="s">
        <v>1363</v>
      </c>
      <c r="O86" s="104">
        <v>1000</v>
      </c>
      <c r="P86" s="104">
        <v>10</v>
      </c>
      <c r="Q86" s="86">
        <v>32</v>
      </c>
      <c r="R86" s="86">
        <v>1.64</v>
      </c>
      <c r="S86" s="104">
        <v>9.99</v>
      </c>
      <c r="T86" s="86" t="str">
        <f>IFERROR(VLOOKUP(B86,Sum!A:A,1,0),"")</f>
        <v>ZM005-MIX</v>
      </c>
      <c r="U86" s="86"/>
      <c r="V86" s="86"/>
      <c r="W86" s="86"/>
      <c r="X86" s="86"/>
      <c r="Y86" s="86"/>
      <c r="Z86" s="86"/>
      <c r="AA86" s="86" t="s">
        <v>1387</v>
      </c>
      <c r="AB86" s="86" t="s">
        <v>1388</v>
      </c>
      <c r="AC86" s="86" t="s">
        <v>1389</v>
      </c>
      <c r="AD86" s="86" t="s">
        <v>718</v>
      </c>
    </row>
    <row r="87" customHeight="1" spans="1:30">
      <c r="A87" s="102" t="s">
        <v>1382</v>
      </c>
      <c r="B87" s="86" t="s">
        <v>86</v>
      </c>
      <c r="C87" s="103">
        <v>698746777531</v>
      </c>
      <c r="D87" s="102">
        <f ca="1">SUMIFS(Sales!$G:$G,Sales!$C:$C,$B87,Sales!$A:$A,"&gt;="&amp;EDATE(TODAY(),-6))</f>
        <v>7928.32</v>
      </c>
      <c r="E87" s="86">
        <f ca="1" t="shared" si="2"/>
        <v>0.9037582384248</v>
      </c>
      <c r="F87" s="102" t="str">
        <f ca="1" t="shared" si="3"/>
        <v>C</v>
      </c>
      <c r="G87" s="102" t="s">
        <v>708</v>
      </c>
      <c r="H87" s="102" t="s">
        <v>1306</v>
      </c>
      <c r="I87" s="86" t="s">
        <v>1394</v>
      </c>
      <c r="J87" s="86" t="s">
        <v>1384</v>
      </c>
      <c r="K87" s="86" t="s">
        <v>1395</v>
      </c>
      <c r="L87" s="86" t="s">
        <v>1396</v>
      </c>
      <c r="M87" s="86" t="s">
        <v>306</v>
      </c>
      <c r="N87" s="104" t="s">
        <v>1363</v>
      </c>
      <c r="O87" s="104">
        <v>1000</v>
      </c>
      <c r="P87" s="104">
        <v>10</v>
      </c>
      <c r="Q87" s="86">
        <v>32</v>
      </c>
      <c r="R87" s="86">
        <v>1.64</v>
      </c>
      <c r="S87" s="104">
        <v>9.99</v>
      </c>
      <c r="T87" s="86" t="str">
        <f>IFERROR(VLOOKUP(B87,Sum!A:A,1,0),"")</f>
        <v>ZM005-PL</v>
      </c>
      <c r="U87" s="86"/>
      <c r="V87" s="86"/>
      <c r="W87" s="86"/>
      <c r="X87" s="86"/>
      <c r="Y87" s="86"/>
      <c r="Z87" s="86"/>
      <c r="AA87" s="86" t="s">
        <v>1387</v>
      </c>
      <c r="AB87" s="86" t="s">
        <v>1388</v>
      </c>
      <c r="AC87" s="86" t="s">
        <v>1389</v>
      </c>
      <c r="AD87" s="86" t="s">
        <v>718</v>
      </c>
    </row>
    <row r="88" customHeight="1" spans="1:30">
      <c r="A88" s="102" t="s">
        <v>1397</v>
      </c>
      <c r="B88" s="86" t="s">
        <v>87</v>
      </c>
      <c r="C88" s="103">
        <v>698746777463</v>
      </c>
      <c r="D88" s="102">
        <f ca="1">SUMIFS(Sales!$G:$G,Sales!$C:$C,$B88,Sales!$A:$A,"&gt;="&amp;EDATE(TODAY(),-6))</f>
        <v>14068.88</v>
      </c>
      <c r="E88" s="86">
        <f ca="1" t="shared" si="2"/>
        <v>0.74815834311044</v>
      </c>
      <c r="F88" s="102" t="str">
        <f ca="1" t="shared" si="3"/>
        <v>B</v>
      </c>
      <c r="G88" s="102" t="s">
        <v>708</v>
      </c>
      <c r="H88" s="102" t="s">
        <v>1398</v>
      </c>
      <c r="I88" s="86" t="s">
        <v>1399</v>
      </c>
      <c r="J88" s="86" t="s">
        <v>1400</v>
      </c>
      <c r="K88" s="86" t="s">
        <v>1401</v>
      </c>
      <c r="L88" s="86" t="s">
        <v>1402</v>
      </c>
      <c r="M88" s="86" t="s">
        <v>306</v>
      </c>
      <c r="N88" s="104" t="s">
        <v>714</v>
      </c>
      <c r="O88" s="104">
        <v>1000</v>
      </c>
      <c r="P88" s="104">
        <v>10</v>
      </c>
      <c r="Q88" s="86">
        <v>14</v>
      </c>
      <c r="R88" s="86">
        <v>4.79</v>
      </c>
      <c r="S88" s="104">
        <v>12.99</v>
      </c>
      <c r="T88" s="86" t="str">
        <f>IFERROR(VLOOKUP(B88,Sum!A:A,1,0),"")</f>
        <v>ZM1.2-PL-BL</v>
      </c>
      <c r="U88" s="86"/>
      <c r="V88" s="86"/>
      <c r="W88" s="86"/>
      <c r="X88" s="86"/>
      <c r="Y88" s="86"/>
      <c r="Z88" s="86"/>
      <c r="AA88" s="86" t="s">
        <v>1403</v>
      </c>
      <c r="AB88" s="86" t="s">
        <v>1404</v>
      </c>
      <c r="AC88" s="86" t="s">
        <v>1405</v>
      </c>
      <c r="AD88" s="86" t="s">
        <v>1406</v>
      </c>
    </row>
    <row r="89" customHeight="1" spans="1:30">
      <c r="A89" s="102" t="s">
        <v>1397</v>
      </c>
      <c r="B89" s="86" t="s">
        <v>88</v>
      </c>
      <c r="C89" s="103">
        <v>698746777203</v>
      </c>
      <c r="D89" s="102">
        <f ca="1">SUMIFS(Sales!$G:$G,Sales!$C:$C,$B89,Sales!$A:$A,"&gt;="&amp;EDATE(TODAY(),-6))</f>
        <v>4182.64</v>
      </c>
      <c r="E89" s="86">
        <f ca="1" t="shared" si="2"/>
        <v>0.943612161976291</v>
      </c>
      <c r="F89" s="102" t="str">
        <f ca="1" t="shared" si="3"/>
        <v>C</v>
      </c>
      <c r="G89" s="102" t="s">
        <v>708</v>
      </c>
      <c r="H89" s="102" t="s">
        <v>1407</v>
      </c>
      <c r="I89" s="86" t="s">
        <v>1408</v>
      </c>
      <c r="J89" s="86" t="s">
        <v>1400</v>
      </c>
      <c r="K89" s="86" t="s">
        <v>1409</v>
      </c>
      <c r="L89" s="86" t="s">
        <v>1410</v>
      </c>
      <c r="M89" s="86" t="s">
        <v>306</v>
      </c>
      <c r="N89" s="104" t="s">
        <v>714</v>
      </c>
      <c r="O89" s="104">
        <v>1000</v>
      </c>
      <c r="P89" s="104">
        <v>10</v>
      </c>
      <c r="Q89" s="86">
        <v>14</v>
      </c>
      <c r="R89" s="86">
        <v>4.79</v>
      </c>
      <c r="S89" s="104">
        <v>12.99</v>
      </c>
      <c r="T89" s="86" t="str">
        <f>IFERROR(VLOOKUP(B89,Sum!A:A,1,0),"")</f>
        <v>ZM1.2-RD-GN</v>
      </c>
      <c r="U89" s="86"/>
      <c r="V89" s="86"/>
      <c r="W89" s="86"/>
      <c r="X89" s="86"/>
      <c r="Y89" s="86"/>
      <c r="Z89" s="86"/>
      <c r="AA89" s="86" t="s">
        <v>1403</v>
      </c>
      <c r="AB89" s="86" t="s">
        <v>1404</v>
      </c>
      <c r="AC89" s="86" t="s">
        <v>1405</v>
      </c>
      <c r="AD89" s="86" t="s">
        <v>1406</v>
      </c>
    </row>
    <row r="90" customHeight="1" spans="1:30">
      <c r="A90" s="102" t="s">
        <v>731</v>
      </c>
      <c r="B90" s="86" t="s">
        <v>620</v>
      </c>
      <c r="C90" s="103">
        <v>850030338914</v>
      </c>
      <c r="D90" s="102">
        <f ca="1">SUMIFS(Sales!$G:$G,Sales!$C:$C,$B90,Sales!$A:$A,"&gt;="&amp;EDATE(TODAY(),-6))</f>
        <v>0</v>
      </c>
      <c r="E90" s="86">
        <f ca="1" t="shared" si="2"/>
        <v>1</v>
      </c>
      <c r="F90" s="102" t="str">
        <f ca="1" t="shared" si="3"/>
        <v>C</v>
      </c>
      <c r="G90" s="102" t="s">
        <v>862</v>
      </c>
      <c r="H90" s="102" t="s">
        <v>731</v>
      </c>
      <c r="I90" s="86" t="s">
        <v>619</v>
      </c>
      <c r="J90" s="86" t="s">
        <v>731</v>
      </c>
      <c r="K90" s="86" t="s">
        <v>1411</v>
      </c>
      <c r="L90" s="86" t="s">
        <v>1412</v>
      </c>
      <c r="M90" s="86" t="s">
        <v>618</v>
      </c>
      <c r="N90" s="104" t="s">
        <v>993</v>
      </c>
      <c r="O90" s="104">
        <v>1000</v>
      </c>
      <c r="P90" s="104">
        <v>10</v>
      </c>
      <c r="Q90" s="97">
        <v>1</v>
      </c>
      <c r="R90" s="110"/>
      <c r="S90" s="104">
        <v>169.99</v>
      </c>
      <c r="T90" s="86" t="str">
        <f>IFERROR(VLOOKUP(B90,Sum!A:A,1,0),"")</f>
        <v/>
      </c>
      <c r="U90" s="86"/>
      <c r="V90" s="86"/>
      <c r="W90" s="86" t="s">
        <v>1005</v>
      </c>
      <c r="X90" s="86" t="s">
        <v>1300</v>
      </c>
      <c r="Y90" s="86" t="s">
        <v>1413</v>
      </c>
      <c r="Z90" s="86" t="s">
        <v>1414</v>
      </c>
      <c r="AA90" s="86" t="s">
        <v>994</v>
      </c>
      <c r="AB90" s="86" t="s">
        <v>995</v>
      </c>
      <c r="AC90" s="86" t="s">
        <v>996</v>
      </c>
      <c r="AD90" s="86" t="s">
        <v>997</v>
      </c>
    </row>
    <row r="91" customHeight="1" spans="1:30">
      <c r="A91" s="102" t="s">
        <v>685</v>
      </c>
      <c r="B91" s="86" t="s">
        <v>623</v>
      </c>
      <c r="C91" s="103">
        <v>850062627673</v>
      </c>
      <c r="D91" s="102">
        <f ca="1">SUMIFS(Sales!$G:$G,Sales!$C:$C,$B91,Sales!$A:$A,"&gt;="&amp;EDATE(TODAY(),-6))</f>
        <v>0</v>
      </c>
      <c r="E91" s="86">
        <f ca="1" t="shared" si="2"/>
        <v>1</v>
      </c>
      <c r="F91" s="102" t="str">
        <f ca="1" t="shared" si="3"/>
        <v>C</v>
      </c>
      <c r="G91" s="102" t="s">
        <v>686</v>
      </c>
      <c r="H91" s="102" t="s">
        <v>1128</v>
      </c>
      <c r="I91" s="86" t="s">
        <v>622</v>
      </c>
      <c r="J91" s="86" t="s">
        <v>689</v>
      </c>
      <c r="K91" s="86" t="s">
        <v>1415</v>
      </c>
      <c r="L91" s="107" t="s">
        <v>1416</v>
      </c>
      <c r="M91" s="86" t="s">
        <v>618</v>
      </c>
      <c r="N91" s="104" t="s">
        <v>692</v>
      </c>
      <c r="O91" s="104">
        <v>1000</v>
      </c>
      <c r="P91" s="104">
        <v>10</v>
      </c>
      <c r="Q91" s="86">
        <v>8</v>
      </c>
      <c r="R91" s="86">
        <v>6.27</v>
      </c>
      <c r="S91" s="104">
        <v>34.99</v>
      </c>
      <c r="T91" s="86" t="str">
        <f>IFERROR(VLOOKUP(B91,Sum!A:A,1,0),"")</f>
        <v/>
      </c>
      <c r="U91" s="86" t="s">
        <v>693</v>
      </c>
      <c r="V91" s="86" t="s">
        <v>694</v>
      </c>
      <c r="W91" s="86" t="s">
        <v>695</v>
      </c>
      <c r="X91" s="86" t="s">
        <v>696</v>
      </c>
      <c r="Y91" s="86" t="s">
        <v>697</v>
      </c>
      <c r="Z91" s="86" t="s">
        <v>698</v>
      </c>
      <c r="AA91" s="86" t="s">
        <v>699</v>
      </c>
      <c r="AB91" s="86" t="s">
        <v>700</v>
      </c>
      <c r="AC91" s="86" t="s">
        <v>701</v>
      </c>
      <c r="AD91" s="86" t="s">
        <v>702</v>
      </c>
    </row>
    <row r="92" customHeight="1" spans="1:30">
      <c r="A92" s="102" t="s">
        <v>685</v>
      </c>
      <c r="B92" s="86" t="s">
        <v>625</v>
      </c>
      <c r="C92" s="103">
        <v>850062627710</v>
      </c>
      <c r="D92" s="102">
        <f ca="1">SUMIFS(Sales!$G:$G,Sales!$C:$C,$B92,Sales!$A:$A,"&gt;="&amp;EDATE(TODAY(),-6))</f>
        <v>0</v>
      </c>
      <c r="E92" s="86">
        <f ca="1" t="shared" si="2"/>
        <v>1</v>
      </c>
      <c r="F92" s="102" t="str">
        <f ca="1" t="shared" si="3"/>
        <v>C</v>
      </c>
      <c r="G92" s="102" t="s">
        <v>686</v>
      </c>
      <c r="H92" s="102" t="s">
        <v>1417</v>
      </c>
      <c r="I92" s="86" t="s">
        <v>624</v>
      </c>
      <c r="J92" s="86" t="s">
        <v>689</v>
      </c>
      <c r="K92" s="86" t="s">
        <v>1418</v>
      </c>
      <c r="L92" s="86" t="s">
        <v>1419</v>
      </c>
      <c r="M92" s="86" t="s">
        <v>618</v>
      </c>
      <c r="N92" s="104" t="s">
        <v>692</v>
      </c>
      <c r="O92" s="104">
        <v>1000</v>
      </c>
      <c r="P92" s="104">
        <v>10</v>
      </c>
      <c r="Q92" s="86">
        <v>8</v>
      </c>
      <c r="R92" s="86">
        <v>6.27</v>
      </c>
      <c r="S92" s="104">
        <v>34.99</v>
      </c>
      <c r="T92" s="86" t="str">
        <f>IFERROR(VLOOKUP(B92,Sum!A:A,1,0),"")</f>
        <v/>
      </c>
      <c r="U92" s="86" t="s">
        <v>693</v>
      </c>
      <c r="V92" s="86" t="s">
        <v>694</v>
      </c>
      <c r="W92" s="86" t="s">
        <v>695</v>
      </c>
      <c r="X92" s="86" t="s">
        <v>696</v>
      </c>
      <c r="Y92" s="86" t="s">
        <v>697</v>
      </c>
      <c r="Z92" s="86" t="s">
        <v>698</v>
      </c>
      <c r="AA92" s="86" t="s">
        <v>699</v>
      </c>
      <c r="AB92" s="86" t="s">
        <v>700</v>
      </c>
      <c r="AC92" s="86" t="s">
        <v>701</v>
      </c>
      <c r="AD92" s="86" t="s">
        <v>702</v>
      </c>
    </row>
    <row r="93" customHeight="1" spans="1:30">
      <c r="A93" s="102" t="s">
        <v>1310</v>
      </c>
      <c r="B93" s="86" t="s">
        <v>628</v>
      </c>
      <c r="C93" s="103">
        <v>850030338495</v>
      </c>
      <c r="D93" s="102">
        <f ca="1">SUMIFS(Sales!$G:$G,Sales!$C:$C,$B93,Sales!$A:$A,"&gt;="&amp;EDATE(TODAY(),-6))</f>
        <v>0</v>
      </c>
      <c r="E93" s="86">
        <f ca="1" t="shared" si="2"/>
        <v>1</v>
      </c>
      <c r="F93" s="102" t="str">
        <f ca="1" t="shared" si="3"/>
        <v>C</v>
      </c>
      <c r="G93" s="102" t="s">
        <v>686</v>
      </c>
      <c r="H93" s="102" t="s">
        <v>1128</v>
      </c>
      <c r="I93" s="86" t="s">
        <v>627</v>
      </c>
      <c r="J93" s="86" t="s">
        <v>1311</v>
      </c>
      <c r="K93" s="86" t="s">
        <v>1420</v>
      </c>
      <c r="L93" s="86" t="s">
        <v>1421</v>
      </c>
      <c r="M93" s="86" t="s">
        <v>618</v>
      </c>
      <c r="N93" s="104" t="s">
        <v>1315</v>
      </c>
      <c r="O93" s="104">
        <v>1000</v>
      </c>
      <c r="P93" s="104">
        <v>10</v>
      </c>
      <c r="Q93" s="86">
        <v>3</v>
      </c>
      <c r="R93" s="86">
        <v>10.42</v>
      </c>
      <c r="S93" s="104">
        <v>45.99</v>
      </c>
      <c r="T93" s="86" t="str">
        <f>IFERROR(VLOOKUP(B93,Sum!A:A,1,0),"")</f>
        <v/>
      </c>
      <c r="U93" s="86" t="s">
        <v>1316</v>
      </c>
      <c r="V93" s="86" t="s">
        <v>694</v>
      </c>
      <c r="W93" s="86" t="s">
        <v>695</v>
      </c>
      <c r="X93" s="86" t="s">
        <v>1251</v>
      </c>
      <c r="Y93" s="86" t="s">
        <v>1317</v>
      </c>
      <c r="Z93" s="86" t="s">
        <v>1318</v>
      </c>
      <c r="AA93" s="86" t="s">
        <v>699</v>
      </c>
      <c r="AB93" s="86" t="s">
        <v>700</v>
      </c>
      <c r="AC93" s="86" t="s">
        <v>701</v>
      </c>
      <c r="AD93" s="86" t="s">
        <v>702</v>
      </c>
    </row>
    <row r="94" customHeight="1" spans="1:30">
      <c r="A94" s="102" t="s">
        <v>731</v>
      </c>
      <c r="B94" s="86" t="s">
        <v>633</v>
      </c>
      <c r="C94" s="103">
        <v>850030338044</v>
      </c>
      <c r="D94" s="102">
        <f ca="1">SUMIFS(Sales!$G:$G,Sales!$C:$C,$B94,Sales!$A:$A,"&gt;="&amp;EDATE(TODAY(),-6))</f>
        <v>0</v>
      </c>
      <c r="E94" s="86">
        <f ca="1" t="shared" si="2"/>
        <v>1</v>
      </c>
      <c r="F94" s="102" t="str">
        <f ca="1" t="shared" si="3"/>
        <v>C</v>
      </c>
      <c r="G94" s="102" t="s">
        <v>762</v>
      </c>
      <c r="H94" s="102" t="s">
        <v>731</v>
      </c>
      <c r="I94" s="111" t="s">
        <v>632</v>
      </c>
      <c r="J94" s="86" t="s">
        <v>731</v>
      </c>
      <c r="K94" s="86" t="s">
        <v>1422</v>
      </c>
      <c r="L94" s="86" t="s">
        <v>1423</v>
      </c>
      <c r="M94" s="86" t="s">
        <v>618</v>
      </c>
      <c r="N94" s="104" t="s">
        <v>1309</v>
      </c>
      <c r="O94" s="104">
        <v>500</v>
      </c>
      <c r="P94" s="104">
        <v>15</v>
      </c>
      <c r="Q94" s="86">
        <v>8</v>
      </c>
      <c r="R94" s="110"/>
      <c r="S94" s="104">
        <v>19.99</v>
      </c>
      <c r="T94" s="86" t="str">
        <f>IFERROR(VLOOKUP(B94,Sum!A:A,1,0),"")</f>
        <v/>
      </c>
      <c r="U94" s="86"/>
      <c r="V94" s="86"/>
      <c r="W94" s="86" t="s">
        <v>932</v>
      </c>
      <c r="X94" s="86" t="s">
        <v>982</v>
      </c>
      <c r="Y94" s="86" t="s">
        <v>743</v>
      </c>
      <c r="Z94" s="86" t="s">
        <v>1424</v>
      </c>
      <c r="AA94" s="86" t="s">
        <v>1072</v>
      </c>
      <c r="AB94" s="86" t="s">
        <v>1090</v>
      </c>
      <c r="AC94" s="86" t="s">
        <v>1425</v>
      </c>
      <c r="AD94" s="86" t="s">
        <v>1426</v>
      </c>
    </row>
    <row r="95" customHeight="1" spans="1:30">
      <c r="A95" s="102" t="s">
        <v>731</v>
      </c>
      <c r="B95" s="86" t="s">
        <v>635</v>
      </c>
      <c r="C95" s="103">
        <v>850030338136</v>
      </c>
      <c r="D95" s="102">
        <f ca="1">SUMIFS(Sales!$G:$G,Sales!$C:$C,$B95,Sales!$A:$A,"&gt;="&amp;EDATE(TODAY(),-6))</f>
        <v>0</v>
      </c>
      <c r="E95" s="86">
        <f ca="1" t="shared" si="2"/>
        <v>1</v>
      </c>
      <c r="F95" s="102" t="str">
        <f ca="1" t="shared" si="3"/>
        <v>C</v>
      </c>
      <c r="G95" s="102" t="s">
        <v>808</v>
      </c>
      <c r="H95" s="102" t="s">
        <v>703</v>
      </c>
      <c r="I95" s="86" t="s">
        <v>634</v>
      </c>
      <c r="J95" s="86" t="s">
        <v>731</v>
      </c>
      <c r="K95" s="86" t="s">
        <v>1427</v>
      </c>
      <c r="L95" s="86" t="s">
        <v>1428</v>
      </c>
      <c r="M95" s="86" t="s">
        <v>618</v>
      </c>
      <c r="N95" s="104" t="s">
        <v>1309</v>
      </c>
      <c r="O95" s="104">
        <v>500</v>
      </c>
      <c r="P95" s="104">
        <v>15</v>
      </c>
      <c r="Q95" s="86">
        <v>1</v>
      </c>
      <c r="R95" s="86">
        <v>1.66</v>
      </c>
      <c r="S95" s="104">
        <v>15.99</v>
      </c>
      <c r="T95" s="86" t="str">
        <f>IFERROR(VLOOKUP(B95,Sum!A:A,1,0),"")</f>
        <v/>
      </c>
      <c r="U95" s="86"/>
      <c r="V95" s="86"/>
      <c r="W95" s="86" t="s">
        <v>787</v>
      </c>
      <c r="X95" s="86" t="s">
        <v>1429</v>
      </c>
      <c r="Y95" s="86" t="s">
        <v>816</v>
      </c>
      <c r="Z95" s="86" t="s">
        <v>818</v>
      </c>
      <c r="AA95" s="86" t="s">
        <v>1032</v>
      </c>
      <c r="AB95" s="86" t="s">
        <v>1430</v>
      </c>
      <c r="AC95" s="86" t="s">
        <v>1034</v>
      </c>
      <c r="AD95" s="86" t="s">
        <v>1035</v>
      </c>
    </row>
    <row r="96" customHeight="1" spans="1:30">
      <c r="A96" s="102" t="s">
        <v>731</v>
      </c>
      <c r="B96" s="86" t="s">
        <v>640</v>
      </c>
      <c r="C96" s="103">
        <v>850030338587</v>
      </c>
      <c r="D96" s="102">
        <f ca="1">SUMIFS(Sales!$G:$G,Sales!$C:$C,$B96,Sales!$A:$A,"&gt;="&amp;EDATE(TODAY(),-6))</f>
        <v>0</v>
      </c>
      <c r="E96" s="86">
        <f ca="1" t="shared" si="2"/>
        <v>1</v>
      </c>
      <c r="F96" s="102" t="str">
        <f ca="1" t="shared" si="3"/>
        <v>C</v>
      </c>
      <c r="G96" s="102" t="s">
        <v>794</v>
      </c>
      <c r="H96" s="102" t="s">
        <v>719</v>
      </c>
      <c r="I96" s="86" t="s">
        <v>639</v>
      </c>
      <c r="J96" s="86" t="s">
        <v>731</v>
      </c>
      <c r="K96" s="86" t="s">
        <v>1431</v>
      </c>
      <c r="L96" s="86" t="s">
        <v>1432</v>
      </c>
      <c r="M96" s="86" t="s">
        <v>618</v>
      </c>
      <c r="N96" s="104" t="s">
        <v>1433</v>
      </c>
      <c r="O96" s="104">
        <v>1000</v>
      </c>
      <c r="P96" s="104">
        <v>10</v>
      </c>
      <c r="Q96" s="86">
        <v>18</v>
      </c>
      <c r="R96" s="110"/>
      <c r="S96" s="104">
        <v>8.99</v>
      </c>
      <c r="T96" s="86" t="str">
        <f>IFERROR(VLOOKUP(B96,Sum!A:A,1,0),"")</f>
        <v/>
      </c>
      <c r="U96" s="86"/>
      <c r="V96" s="86"/>
      <c r="W96" s="86" t="s">
        <v>1349</v>
      </c>
      <c r="X96" s="86" t="s">
        <v>1350</v>
      </c>
      <c r="Y96" s="86" t="s">
        <v>1351</v>
      </c>
      <c r="Z96" s="86" t="s">
        <v>1352</v>
      </c>
      <c r="AA96" s="86" t="s">
        <v>1353</v>
      </c>
      <c r="AB96" s="86" t="s">
        <v>1354</v>
      </c>
      <c r="AC96" s="86" t="s">
        <v>1116</v>
      </c>
      <c r="AD96" s="86" t="s">
        <v>1355</v>
      </c>
    </row>
    <row r="97" customHeight="1" spans="1:30">
      <c r="A97" s="102" t="s">
        <v>731</v>
      </c>
      <c r="B97" s="86" t="s">
        <v>646</v>
      </c>
      <c r="C97" s="103">
        <v>850030338266</v>
      </c>
      <c r="D97" s="102">
        <f ca="1">SUMIFS(Sales!$G:$G,Sales!$C:$C,$B97,Sales!$A:$A,"&gt;="&amp;EDATE(TODAY(),-6))</f>
        <v>0</v>
      </c>
      <c r="E97" s="86">
        <f ca="1" t="shared" si="2"/>
        <v>1</v>
      </c>
      <c r="F97" s="102" t="str">
        <f ca="1" t="shared" si="3"/>
        <v>C</v>
      </c>
      <c r="G97" s="102" t="s">
        <v>762</v>
      </c>
      <c r="H97" s="102" t="s">
        <v>731</v>
      </c>
      <c r="I97" s="86" t="s">
        <v>645</v>
      </c>
      <c r="J97" s="86" t="s">
        <v>731</v>
      </c>
      <c r="K97" s="86" t="s">
        <v>1434</v>
      </c>
      <c r="L97" s="86" t="s">
        <v>1435</v>
      </c>
      <c r="M97" s="86" t="s">
        <v>618</v>
      </c>
      <c r="N97" s="104" t="s">
        <v>1309</v>
      </c>
      <c r="O97" s="104">
        <v>500</v>
      </c>
      <c r="P97" s="104">
        <v>15</v>
      </c>
      <c r="Q97" s="86">
        <v>18</v>
      </c>
      <c r="R97" s="110"/>
      <c r="S97" s="104">
        <v>14.99</v>
      </c>
      <c r="T97" s="86" t="str">
        <f>IFERROR(VLOOKUP(B97,Sum!A:A,1,0),"")</f>
        <v/>
      </c>
      <c r="U97" s="86"/>
      <c r="V97" s="86"/>
      <c r="W97" s="86" t="s">
        <v>1436</v>
      </c>
      <c r="X97" s="86" t="s">
        <v>982</v>
      </c>
      <c r="Y97" s="86" t="s">
        <v>743</v>
      </c>
      <c r="Z97" s="86" t="s">
        <v>1112</v>
      </c>
      <c r="AA97" s="86" t="s">
        <v>1437</v>
      </c>
      <c r="AB97" s="86" t="s">
        <v>1052</v>
      </c>
      <c r="AC97" s="86" t="s">
        <v>1438</v>
      </c>
      <c r="AD97" s="86" t="s">
        <v>1439</v>
      </c>
    </row>
    <row r="98" customHeight="1" spans="1:30">
      <c r="A98" s="102" t="s">
        <v>731</v>
      </c>
      <c r="B98" s="86" t="s">
        <v>651</v>
      </c>
      <c r="C98" s="103">
        <v>850030338372</v>
      </c>
      <c r="D98" s="102">
        <f ca="1">SUMIFS(Sales!$G:$G,Sales!$C:$C,$B98,Sales!$A:$A,"&gt;="&amp;EDATE(TODAY(),-6))</f>
        <v>0</v>
      </c>
      <c r="E98" s="86">
        <f ca="1" t="shared" si="2"/>
        <v>1</v>
      </c>
      <c r="F98" s="102" t="str">
        <f ca="1" t="shared" si="3"/>
        <v>C</v>
      </c>
      <c r="G98" s="102" t="s">
        <v>762</v>
      </c>
      <c r="H98" s="102" t="s">
        <v>731</v>
      </c>
      <c r="I98" s="86" t="s">
        <v>650</v>
      </c>
      <c r="J98" s="86" t="s">
        <v>731</v>
      </c>
      <c r="K98" s="86" t="s">
        <v>1440</v>
      </c>
      <c r="L98" s="86" t="s">
        <v>1441</v>
      </c>
      <c r="M98" s="86" t="s">
        <v>618</v>
      </c>
      <c r="N98" s="104" t="s">
        <v>1309</v>
      </c>
      <c r="O98" s="104">
        <v>500</v>
      </c>
      <c r="P98" s="104">
        <v>15</v>
      </c>
      <c r="Q98" s="86">
        <v>36</v>
      </c>
      <c r="R98" s="110"/>
      <c r="S98" s="104">
        <v>16.99</v>
      </c>
      <c r="T98" s="86" t="str">
        <f>IFERROR(VLOOKUP(B98,Sum!A:A,1,0),"")</f>
        <v/>
      </c>
      <c r="U98" s="86"/>
      <c r="V98" s="86"/>
      <c r="W98" s="86" t="s">
        <v>893</v>
      </c>
      <c r="X98" s="86" t="s">
        <v>894</v>
      </c>
      <c r="Y98" s="86" t="s">
        <v>895</v>
      </c>
      <c r="Z98" s="86" t="s">
        <v>896</v>
      </c>
      <c r="AA98" s="86" t="s">
        <v>897</v>
      </c>
      <c r="AB98" s="86" t="s">
        <v>898</v>
      </c>
      <c r="AC98" s="86" t="s">
        <v>747</v>
      </c>
      <c r="AD98" s="86" t="s">
        <v>899</v>
      </c>
    </row>
    <row r="99" customHeight="1" spans="1:30">
      <c r="A99" s="102" t="s">
        <v>731</v>
      </c>
      <c r="B99" s="86" t="s">
        <v>653</v>
      </c>
      <c r="C99" s="103">
        <v>850062627635</v>
      </c>
      <c r="D99" s="102">
        <f ca="1">SUMIFS(Sales!$G:$G,Sales!$C:$C,$B99,Sales!$A:$A,"&gt;="&amp;EDATE(TODAY(),-6))</f>
        <v>0</v>
      </c>
      <c r="E99" s="86">
        <f ca="1" t="shared" si="2"/>
        <v>1</v>
      </c>
      <c r="F99" s="102" t="str">
        <f ca="1" t="shared" si="3"/>
        <v>C</v>
      </c>
      <c r="G99" s="102" t="s">
        <v>686</v>
      </c>
      <c r="H99" s="102" t="s">
        <v>1417</v>
      </c>
      <c r="I99" s="86" t="s">
        <v>652</v>
      </c>
      <c r="J99" s="86" t="s">
        <v>731</v>
      </c>
      <c r="K99" s="86" t="s">
        <v>1442</v>
      </c>
      <c r="L99" s="86" t="s">
        <v>1443</v>
      </c>
      <c r="M99" s="86" t="s">
        <v>618</v>
      </c>
      <c r="N99" s="104" t="s">
        <v>1444</v>
      </c>
      <c r="O99" s="104">
        <v>1000</v>
      </c>
      <c r="P99" s="104">
        <v>10</v>
      </c>
      <c r="Q99" s="86">
        <v>1</v>
      </c>
      <c r="R99" s="86">
        <v>6.27</v>
      </c>
      <c r="S99" s="104">
        <v>29.99</v>
      </c>
      <c r="T99" s="86" t="str">
        <f>IFERROR(VLOOKUP(B99,Sum!A:A,1,0),"")</f>
        <v/>
      </c>
      <c r="U99" s="86"/>
      <c r="V99" s="86"/>
      <c r="W99" s="86" t="s">
        <v>695</v>
      </c>
      <c r="X99" s="86" t="s">
        <v>1445</v>
      </c>
      <c r="Y99" s="86" t="s">
        <v>1446</v>
      </c>
      <c r="Z99" s="86" t="s">
        <v>1447</v>
      </c>
      <c r="AA99" s="86" t="s">
        <v>699</v>
      </c>
      <c r="AB99" s="86" t="s">
        <v>700</v>
      </c>
      <c r="AC99" s="86" t="s">
        <v>701</v>
      </c>
      <c r="AD99" s="86" t="s">
        <v>702</v>
      </c>
    </row>
    <row r="100" customHeight="1" spans="1:30">
      <c r="A100" s="102" t="s">
        <v>731</v>
      </c>
      <c r="B100" s="86" t="s">
        <v>655</v>
      </c>
      <c r="C100" s="103">
        <v>850062627628</v>
      </c>
      <c r="D100" s="102">
        <f ca="1">SUMIFS(Sales!$G:$G,Sales!$C:$C,$B100,Sales!$A:$A,"&gt;="&amp;EDATE(TODAY(),-6))</f>
        <v>0</v>
      </c>
      <c r="E100" s="86">
        <f ca="1" t="shared" si="2"/>
        <v>1</v>
      </c>
      <c r="F100" s="102" t="str">
        <f ca="1" t="shared" si="3"/>
        <v>C</v>
      </c>
      <c r="G100" s="102" t="s">
        <v>686</v>
      </c>
      <c r="H100" s="102" t="s">
        <v>1128</v>
      </c>
      <c r="I100" s="86" t="s">
        <v>654</v>
      </c>
      <c r="J100" s="86" t="s">
        <v>731</v>
      </c>
      <c r="K100" s="86" t="s">
        <v>1448</v>
      </c>
      <c r="L100" s="86" t="s">
        <v>1449</v>
      </c>
      <c r="M100" s="86" t="s">
        <v>618</v>
      </c>
      <c r="N100" s="104" t="s">
        <v>1444</v>
      </c>
      <c r="O100" s="104">
        <v>1000</v>
      </c>
      <c r="P100" s="104">
        <v>10</v>
      </c>
      <c r="Q100" s="86">
        <v>1</v>
      </c>
      <c r="R100" s="86">
        <v>6.27</v>
      </c>
      <c r="S100" s="104">
        <v>29.99</v>
      </c>
      <c r="T100" s="86" t="str">
        <f>IFERROR(VLOOKUP(B100,Sum!A:A,1,0),"")</f>
        <v/>
      </c>
      <c r="U100" s="86"/>
      <c r="V100" s="86"/>
      <c r="W100" s="86" t="s">
        <v>695</v>
      </c>
      <c r="X100" s="86" t="s">
        <v>1445</v>
      </c>
      <c r="Y100" s="86" t="s">
        <v>1446</v>
      </c>
      <c r="Z100" s="86" t="s">
        <v>1447</v>
      </c>
      <c r="AA100" s="86" t="s">
        <v>699</v>
      </c>
      <c r="AB100" s="86" t="s">
        <v>700</v>
      </c>
      <c r="AC100" s="86" t="s">
        <v>701</v>
      </c>
      <c r="AD100" s="86" t="s">
        <v>702</v>
      </c>
    </row>
    <row r="101" customHeight="1" spans="1:30">
      <c r="A101" s="102" t="s">
        <v>731</v>
      </c>
      <c r="B101" s="86" t="s">
        <v>659</v>
      </c>
      <c r="C101" s="103">
        <v>850030338389</v>
      </c>
      <c r="D101" s="102">
        <f ca="1">SUMIFS(Sales!$G:$G,Sales!$C:$C,$B101,Sales!$A:$A,"&gt;="&amp;EDATE(TODAY(),-6))</f>
        <v>0</v>
      </c>
      <c r="E101" s="86">
        <f ca="1" t="shared" si="2"/>
        <v>1</v>
      </c>
      <c r="F101" s="102" t="str">
        <f ca="1" t="shared" si="3"/>
        <v>C</v>
      </c>
      <c r="G101" s="102" t="s">
        <v>762</v>
      </c>
      <c r="H101" s="102" t="s">
        <v>731</v>
      </c>
      <c r="I101" s="86" t="s">
        <v>658</v>
      </c>
      <c r="J101" s="86" t="s">
        <v>731</v>
      </c>
      <c r="K101" s="86" t="s">
        <v>1450</v>
      </c>
      <c r="L101" s="107" t="s">
        <v>1451</v>
      </c>
      <c r="M101" s="86" t="s">
        <v>618</v>
      </c>
      <c r="N101" s="104" t="s">
        <v>1309</v>
      </c>
      <c r="O101" s="104">
        <v>500</v>
      </c>
      <c r="P101" s="104">
        <v>15</v>
      </c>
      <c r="Q101" s="86">
        <v>32</v>
      </c>
      <c r="R101" s="110"/>
      <c r="S101" s="104">
        <v>16.99</v>
      </c>
      <c r="T101" s="86" t="str">
        <f>IFERROR(VLOOKUP(B101,Sum!A:A,1,0),"")</f>
        <v/>
      </c>
      <c r="U101" s="86"/>
      <c r="V101" s="86"/>
      <c r="W101" s="86" t="s">
        <v>1452</v>
      </c>
      <c r="X101" s="86" t="s">
        <v>1453</v>
      </c>
      <c r="Y101" s="86" t="s">
        <v>896</v>
      </c>
      <c r="Z101" s="86" t="s">
        <v>1112</v>
      </c>
      <c r="AA101" s="86" t="s">
        <v>1454</v>
      </c>
      <c r="AB101" s="86" t="s">
        <v>1090</v>
      </c>
      <c r="AC101" s="86" t="s">
        <v>1455</v>
      </c>
      <c r="AD101" s="86" t="s">
        <v>1439</v>
      </c>
    </row>
    <row r="102" customHeight="1" spans="1:30">
      <c r="A102" s="102" t="s">
        <v>731</v>
      </c>
      <c r="B102" s="86" t="s">
        <v>661</v>
      </c>
      <c r="C102" s="103">
        <v>850030338242</v>
      </c>
      <c r="D102" s="102">
        <f ca="1">SUMIFS(Sales!$G:$G,Sales!$C:$C,$B102,Sales!$A:$A,"&gt;="&amp;EDATE(TODAY(),-6))</f>
        <v>0</v>
      </c>
      <c r="E102" s="86">
        <f ca="1" t="shared" si="2"/>
        <v>1</v>
      </c>
      <c r="F102" s="102" t="str">
        <f ca="1" t="shared" si="3"/>
        <v>C</v>
      </c>
      <c r="G102" s="102" t="s">
        <v>762</v>
      </c>
      <c r="H102" s="102" t="s">
        <v>731</v>
      </c>
      <c r="I102" s="86" t="s">
        <v>660</v>
      </c>
      <c r="J102" s="86" t="s">
        <v>731</v>
      </c>
      <c r="K102" s="86" t="s">
        <v>1456</v>
      </c>
      <c r="L102" s="86" t="s">
        <v>1457</v>
      </c>
      <c r="M102" s="86" t="s">
        <v>618</v>
      </c>
      <c r="N102" s="104" t="s">
        <v>1309</v>
      </c>
      <c r="O102" s="104">
        <v>500</v>
      </c>
      <c r="P102" s="104">
        <v>15</v>
      </c>
      <c r="Q102" s="86">
        <v>30</v>
      </c>
      <c r="R102" s="110"/>
      <c r="S102" s="104">
        <v>16.99</v>
      </c>
      <c r="T102" s="86" t="str">
        <f>IFERROR(VLOOKUP(B102,Sum!A:A,1,0),"")</f>
        <v/>
      </c>
      <c r="U102" s="86"/>
      <c r="V102" s="86"/>
      <c r="W102" s="86" t="s">
        <v>1458</v>
      </c>
      <c r="X102" s="86" t="s">
        <v>893</v>
      </c>
      <c r="Y102" s="86" t="s">
        <v>896</v>
      </c>
      <c r="Z102" s="86" t="s">
        <v>882</v>
      </c>
      <c r="AA102" s="86" t="s">
        <v>1459</v>
      </c>
      <c r="AB102" s="86" t="s">
        <v>897</v>
      </c>
      <c r="AC102" s="86" t="s">
        <v>899</v>
      </c>
      <c r="AD102" s="86" t="s">
        <v>886</v>
      </c>
    </row>
    <row r="103" ht="12.75" spans="1:30">
      <c r="A103" s="102" t="s">
        <v>777</v>
      </c>
      <c r="B103" s="86" t="s">
        <v>1460</v>
      </c>
      <c r="C103" s="103" t="s">
        <v>1461</v>
      </c>
      <c r="D103" s="102">
        <f ca="1">SUMIFS(Sales!$G:$G,Sales!$C:$C,$B103,Sales!$A:$A,"&gt;="&amp;EDATE(TODAY(),-6))</f>
        <v>0</v>
      </c>
      <c r="E103" s="86">
        <f ca="1" t="shared" si="2"/>
        <v>1</v>
      </c>
      <c r="F103" s="102" t="str">
        <f ca="1" t="shared" si="3"/>
        <v>C</v>
      </c>
      <c r="G103" s="102" t="s">
        <v>778</v>
      </c>
      <c r="H103" s="102" t="s">
        <v>1306</v>
      </c>
      <c r="I103" s="86" t="s">
        <v>599</v>
      </c>
      <c r="J103" s="86" t="s">
        <v>780</v>
      </c>
      <c r="K103" s="86" t="s">
        <v>599</v>
      </c>
      <c r="L103" s="107" t="s">
        <v>1462</v>
      </c>
      <c r="M103" s="86" t="s">
        <v>731</v>
      </c>
      <c r="N103" s="104" t="s">
        <v>783</v>
      </c>
      <c r="O103" s="104" t="s">
        <v>731</v>
      </c>
      <c r="P103" s="104" t="s">
        <v>731</v>
      </c>
      <c r="Q103" s="86" t="s">
        <v>731</v>
      </c>
      <c r="R103" s="86">
        <v>2.6</v>
      </c>
      <c r="S103" s="104" t="s">
        <v>731</v>
      </c>
      <c r="T103" s="86" t="str">
        <f>IFERROR(VLOOKUP(B103,Sum!A:A,1,0),"")</f>
        <v/>
      </c>
      <c r="U103" s="86" t="s">
        <v>784</v>
      </c>
      <c r="V103" s="86" t="s">
        <v>785</v>
      </c>
      <c r="W103" s="86" t="s">
        <v>786</v>
      </c>
      <c r="X103" s="86" t="s">
        <v>787</v>
      </c>
      <c r="Y103" s="86" t="s">
        <v>788</v>
      </c>
      <c r="Z103" s="86" t="s">
        <v>789</v>
      </c>
      <c r="AA103" s="86" t="s">
        <v>790</v>
      </c>
      <c r="AB103" s="86" t="s">
        <v>791</v>
      </c>
      <c r="AC103" s="86" t="s">
        <v>792</v>
      </c>
      <c r="AD103" s="86" t="s">
        <v>793</v>
      </c>
    </row>
    <row r="104" ht="12.75" spans="1:30">
      <c r="A104" s="102" t="s">
        <v>1463</v>
      </c>
      <c r="B104" s="86" t="s">
        <v>1463</v>
      </c>
      <c r="C104" s="103" t="s">
        <v>731</v>
      </c>
      <c r="D104" s="102">
        <f ca="1">SUMIFS(Sales!$G:$G,Sales!$C:$C,$B104,Sales!$A:$A,"&gt;="&amp;EDATE(TODAY(),-6))</f>
        <v>0</v>
      </c>
      <c r="E104" s="86">
        <f ca="1" t="shared" si="2"/>
        <v>1</v>
      </c>
      <c r="F104" s="102" t="str">
        <f ca="1" t="shared" si="3"/>
        <v>C</v>
      </c>
      <c r="G104" s="102" t="s">
        <v>762</v>
      </c>
      <c r="H104" s="102" t="s">
        <v>731</v>
      </c>
      <c r="I104" s="86" t="s">
        <v>731</v>
      </c>
      <c r="J104" s="86" t="s">
        <v>1464</v>
      </c>
      <c r="K104" s="86" t="s">
        <v>731</v>
      </c>
      <c r="L104" s="107" t="s">
        <v>1465</v>
      </c>
      <c r="M104" s="86" t="s">
        <v>731</v>
      </c>
      <c r="N104" s="104" t="s">
        <v>1466</v>
      </c>
      <c r="O104" s="104" t="s">
        <v>731</v>
      </c>
      <c r="P104" s="104" t="s">
        <v>731</v>
      </c>
      <c r="Q104" s="86">
        <v>36</v>
      </c>
      <c r="R104" s="86">
        <v>2.3</v>
      </c>
      <c r="S104" s="104" t="s">
        <v>731</v>
      </c>
      <c r="T104" s="86" t="str">
        <f>IFERROR(VLOOKUP(B104,Sum!A:A,1,0),"")</f>
        <v/>
      </c>
      <c r="U104" s="86" t="s">
        <v>1467</v>
      </c>
      <c r="V104" s="86" t="s">
        <v>1468</v>
      </c>
      <c r="W104" s="86" t="s">
        <v>1469</v>
      </c>
      <c r="X104" s="86" t="s">
        <v>1470</v>
      </c>
      <c r="Y104" s="86" t="s">
        <v>1471</v>
      </c>
      <c r="Z104" s="86" t="s">
        <v>1472</v>
      </c>
      <c r="AA104" s="86" t="s">
        <v>747</v>
      </c>
      <c r="AB104" s="86" t="s">
        <v>1473</v>
      </c>
      <c r="AC104" s="86" t="s">
        <v>1474</v>
      </c>
      <c r="AD104" s="86" t="s">
        <v>1439</v>
      </c>
    </row>
    <row r="105" ht="12.75" spans="1:30">
      <c r="A105" s="102" t="s">
        <v>1475</v>
      </c>
      <c r="B105" s="86" t="s">
        <v>1475</v>
      </c>
      <c r="C105" s="103" t="s">
        <v>731</v>
      </c>
      <c r="D105" s="102">
        <f ca="1">SUMIFS(Sales!$G:$G,Sales!$C:$C,$B105,Sales!$A:$A,"&gt;="&amp;EDATE(TODAY(),-6))</f>
        <v>0</v>
      </c>
      <c r="E105" s="86">
        <f ca="1" t="shared" si="2"/>
        <v>1</v>
      </c>
      <c r="F105" s="102" t="str">
        <f ca="1" t="shared" si="3"/>
        <v>C</v>
      </c>
      <c r="G105" s="102" t="s">
        <v>762</v>
      </c>
      <c r="H105" s="102" t="s">
        <v>731</v>
      </c>
      <c r="I105" s="86" t="s">
        <v>731</v>
      </c>
      <c r="J105" s="86" t="s">
        <v>1476</v>
      </c>
      <c r="K105" s="86" t="s">
        <v>731</v>
      </c>
      <c r="L105" s="107" t="s">
        <v>1477</v>
      </c>
      <c r="M105" s="86" t="s">
        <v>731</v>
      </c>
      <c r="N105" s="104" t="s">
        <v>1478</v>
      </c>
      <c r="O105" s="104" t="s">
        <v>731</v>
      </c>
      <c r="P105" s="104" t="s">
        <v>731</v>
      </c>
      <c r="Q105" s="86">
        <v>30</v>
      </c>
      <c r="R105" s="86">
        <v>2.6</v>
      </c>
      <c r="S105" s="104" t="s">
        <v>731</v>
      </c>
      <c r="T105" s="86" t="str">
        <f>IFERROR(VLOOKUP(B105,Sum!A:A,1,0),"")</f>
        <v/>
      </c>
      <c r="U105" s="86" t="s">
        <v>1479</v>
      </c>
      <c r="V105" s="86" t="s">
        <v>1468</v>
      </c>
      <c r="W105" s="86" t="s">
        <v>1469</v>
      </c>
      <c r="X105" s="86" t="s">
        <v>1470</v>
      </c>
      <c r="Y105" s="86" t="s">
        <v>1471</v>
      </c>
      <c r="Z105" s="86" t="s">
        <v>1472</v>
      </c>
      <c r="AA105" s="86" t="s">
        <v>747</v>
      </c>
      <c r="AB105" s="86" t="s">
        <v>1473</v>
      </c>
      <c r="AC105" s="86" t="s">
        <v>1474</v>
      </c>
      <c r="AD105" s="86" t="s">
        <v>1439</v>
      </c>
    </row>
    <row r="106" ht="12.75" spans="1:30">
      <c r="A106" s="102" t="s">
        <v>1480</v>
      </c>
      <c r="B106" s="86" t="s">
        <v>1480</v>
      </c>
      <c r="C106" s="103" t="s">
        <v>731</v>
      </c>
      <c r="D106" s="102">
        <f ca="1">SUMIFS(Sales!$G:$G,Sales!$C:$C,$B106,Sales!$A:$A,"&gt;="&amp;EDATE(TODAY(),-6))</f>
        <v>0</v>
      </c>
      <c r="E106" s="86">
        <f ca="1" t="shared" si="2"/>
        <v>1</v>
      </c>
      <c r="F106" s="102" t="str">
        <f ca="1" t="shared" si="3"/>
        <v>C</v>
      </c>
      <c r="G106" s="102" t="s">
        <v>762</v>
      </c>
      <c r="H106" s="102" t="s">
        <v>731</v>
      </c>
      <c r="I106" s="86" t="s">
        <v>731</v>
      </c>
      <c r="J106" s="86" t="s">
        <v>1481</v>
      </c>
      <c r="K106" s="86" t="s">
        <v>731</v>
      </c>
      <c r="L106" s="107" t="s">
        <v>1482</v>
      </c>
      <c r="M106" s="86" t="s">
        <v>731</v>
      </c>
      <c r="N106" s="104" t="s">
        <v>1478</v>
      </c>
      <c r="O106" s="104" t="s">
        <v>731</v>
      </c>
      <c r="P106" s="104" t="s">
        <v>731</v>
      </c>
      <c r="Q106" s="86">
        <v>18</v>
      </c>
      <c r="R106" s="86">
        <v>3.25</v>
      </c>
      <c r="S106" s="104" t="s">
        <v>731</v>
      </c>
      <c r="T106" s="86" t="str">
        <f>IFERROR(VLOOKUP(B106,Sum!A:A,1,0),"")</f>
        <v/>
      </c>
      <c r="U106" s="86" t="s">
        <v>1483</v>
      </c>
      <c r="V106" s="86" t="s">
        <v>1468</v>
      </c>
      <c r="W106" s="86" t="s">
        <v>1469</v>
      </c>
      <c r="X106" s="86" t="s">
        <v>1470</v>
      </c>
      <c r="Y106" s="86" t="s">
        <v>1471</v>
      </c>
      <c r="Z106" s="86" t="s">
        <v>1472</v>
      </c>
      <c r="AA106" s="86" t="s">
        <v>747</v>
      </c>
      <c r="AB106" s="86" t="s">
        <v>1473</v>
      </c>
      <c r="AC106" s="86" t="s">
        <v>1474</v>
      </c>
      <c r="AD106" s="86" t="s">
        <v>1439</v>
      </c>
    </row>
    <row r="107" ht="12.75" spans="1:30">
      <c r="A107" s="102" t="s">
        <v>1484</v>
      </c>
      <c r="B107" s="86" t="s">
        <v>1484</v>
      </c>
      <c r="C107" s="103" t="s">
        <v>731</v>
      </c>
      <c r="D107" s="102">
        <f ca="1">SUMIFS(Sales!$G:$G,Sales!$C:$C,$B107,Sales!$A:$A,"&gt;="&amp;EDATE(TODAY(),-6))</f>
        <v>0</v>
      </c>
      <c r="E107" s="86">
        <f ca="1" t="shared" si="2"/>
        <v>1</v>
      </c>
      <c r="F107" s="102" t="str">
        <f ca="1" t="shared" si="3"/>
        <v>C</v>
      </c>
      <c r="G107" s="102" t="s">
        <v>686</v>
      </c>
      <c r="H107" s="102" t="s">
        <v>731</v>
      </c>
      <c r="I107" s="86" t="s">
        <v>731</v>
      </c>
      <c r="J107" s="86" t="s">
        <v>1485</v>
      </c>
      <c r="K107" s="86" t="s">
        <v>731</v>
      </c>
      <c r="L107" s="107" t="s">
        <v>1486</v>
      </c>
      <c r="M107" s="86" t="s">
        <v>731</v>
      </c>
      <c r="N107" s="104" t="s">
        <v>1478</v>
      </c>
      <c r="O107" s="104" t="s">
        <v>731</v>
      </c>
      <c r="P107" s="104" t="s">
        <v>731</v>
      </c>
      <c r="Q107" s="86">
        <v>8</v>
      </c>
      <c r="R107" s="86">
        <v>8</v>
      </c>
      <c r="S107" s="104" t="s">
        <v>731</v>
      </c>
      <c r="T107" s="86" t="str">
        <f>IFERROR(VLOOKUP(B107,Sum!A:A,1,0),"")</f>
        <v/>
      </c>
      <c r="U107" s="86" t="s">
        <v>1487</v>
      </c>
      <c r="V107" s="86" t="s">
        <v>1488</v>
      </c>
      <c r="W107" s="86" t="s">
        <v>1489</v>
      </c>
      <c r="X107" s="86" t="s">
        <v>1490</v>
      </c>
      <c r="Y107" s="86" t="s">
        <v>1491</v>
      </c>
      <c r="Z107" s="86" t="s">
        <v>1472</v>
      </c>
      <c r="AA107" s="86" t="s">
        <v>1492</v>
      </c>
      <c r="AB107" s="86" t="s">
        <v>1493</v>
      </c>
      <c r="AC107" s="86" t="s">
        <v>1494</v>
      </c>
      <c r="AD107" s="86" t="s">
        <v>1439</v>
      </c>
    </row>
    <row r="108" ht="12.75" spans="1:30">
      <c r="A108" s="102" t="s">
        <v>1495</v>
      </c>
      <c r="B108" s="86" t="s">
        <v>1495</v>
      </c>
      <c r="C108" s="103" t="s">
        <v>731</v>
      </c>
      <c r="D108" s="102">
        <f ca="1">SUMIFS(Sales!$G:$G,Sales!$C:$C,$B108,Sales!$A:$A,"&gt;="&amp;EDATE(TODAY(),-6))</f>
        <v>0</v>
      </c>
      <c r="E108" s="86">
        <f ca="1" t="shared" si="2"/>
        <v>1</v>
      </c>
      <c r="F108" s="102" t="str">
        <f ca="1" t="shared" si="3"/>
        <v>C</v>
      </c>
      <c r="G108" s="102" t="s">
        <v>686</v>
      </c>
      <c r="H108" s="102" t="s">
        <v>731</v>
      </c>
      <c r="I108" s="86" t="s">
        <v>731</v>
      </c>
      <c r="J108" s="86" t="s">
        <v>1496</v>
      </c>
      <c r="K108" s="86" t="s">
        <v>731</v>
      </c>
      <c r="L108" s="107" t="s">
        <v>1497</v>
      </c>
      <c r="M108" s="86" t="s">
        <v>731</v>
      </c>
      <c r="N108" s="104" t="s">
        <v>1478</v>
      </c>
      <c r="O108" s="104" t="s">
        <v>731</v>
      </c>
      <c r="P108" s="104" t="s">
        <v>731</v>
      </c>
      <c r="Q108" s="86">
        <v>12</v>
      </c>
      <c r="R108" s="86">
        <v>6.2</v>
      </c>
      <c r="S108" s="104" t="s">
        <v>731</v>
      </c>
      <c r="T108" s="86" t="str">
        <f>IFERROR(VLOOKUP(B108,Sum!A:A,1,0),"")</f>
        <v/>
      </c>
      <c r="U108" s="86" t="s">
        <v>1498</v>
      </c>
      <c r="V108" s="86" t="s">
        <v>1488</v>
      </c>
      <c r="W108" s="86" t="s">
        <v>1499</v>
      </c>
      <c r="X108" s="86" t="s">
        <v>1500</v>
      </c>
      <c r="Y108" s="86" t="s">
        <v>1491</v>
      </c>
      <c r="Z108" s="86" t="s">
        <v>1501</v>
      </c>
      <c r="AA108" s="86" t="s">
        <v>1502</v>
      </c>
      <c r="AB108" s="86" t="s">
        <v>1503</v>
      </c>
      <c r="AC108" s="86" t="s">
        <v>1494</v>
      </c>
      <c r="AD108" s="86" t="s">
        <v>1439</v>
      </c>
    </row>
    <row r="109" ht="12.75" spans="1:30">
      <c r="A109" s="102" t="s">
        <v>1504</v>
      </c>
      <c r="B109" s="86" t="s">
        <v>1504</v>
      </c>
      <c r="C109" s="103" t="s">
        <v>731</v>
      </c>
      <c r="D109" s="102">
        <f ca="1">SUMIFS(Sales!$G:$G,Sales!$C:$C,$B109,Sales!$A:$A,"&gt;="&amp;EDATE(TODAY(),-6))</f>
        <v>0</v>
      </c>
      <c r="E109" s="86">
        <f ca="1" t="shared" si="2"/>
        <v>1</v>
      </c>
      <c r="F109" s="102" t="str">
        <f ca="1" t="shared" si="3"/>
        <v>C</v>
      </c>
      <c r="G109" s="102" t="s">
        <v>808</v>
      </c>
      <c r="H109" s="102" t="s">
        <v>731</v>
      </c>
      <c r="I109" s="86" t="s">
        <v>731</v>
      </c>
      <c r="J109" s="86" t="s">
        <v>1505</v>
      </c>
      <c r="K109" s="86" t="s">
        <v>731</v>
      </c>
      <c r="L109" s="107" t="s">
        <v>1506</v>
      </c>
      <c r="M109" s="86" t="s">
        <v>731</v>
      </c>
      <c r="N109" s="104" t="s">
        <v>1507</v>
      </c>
      <c r="O109" s="104" t="s">
        <v>731</v>
      </c>
      <c r="P109" s="104" t="s">
        <v>731</v>
      </c>
      <c r="Q109" s="86">
        <v>42</v>
      </c>
      <c r="R109" s="86">
        <v>1.3</v>
      </c>
      <c r="S109" s="104" t="s">
        <v>731</v>
      </c>
      <c r="T109" s="86" t="str">
        <f>IFERROR(VLOOKUP(B109,Sum!A:A,1,0),"")</f>
        <v/>
      </c>
      <c r="U109" s="86" t="s">
        <v>1508</v>
      </c>
      <c r="V109" s="86" t="s">
        <v>1509</v>
      </c>
      <c r="W109" s="86" t="s">
        <v>1510</v>
      </c>
      <c r="X109" s="86" t="s">
        <v>1511</v>
      </c>
      <c r="Y109" s="86" t="s">
        <v>1512</v>
      </c>
      <c r="Z109" s="86" t="s">
        <v>1513</v>
      </c>
      <c r="AA109" s="86" t="s">
        <v>1514</v>
      </c>
      <c r="AB109" s="86" t="s">
        <v>1515</v>
      </c>
      <c r="AC109" s="86" t="s">
        <v>1516</v>
      </c>
      <c r="AD109" s="86" t="s">
        <v>1517</v>
      </c>
    </row>
    <row r="110" ht="12.75" spans="1:30">
      <c r="A110" s="102" t="s">
        <v>1518</v>
      </c>
      <c r="B110" s="86" t="s">
        <v>1518</v>
      </c>
      <c r="C110" s="103" t="s">
        <v>731</v>
      </c>
      <c r="D110" s="102">
        <f ca="1">SUMIFS(Sales!$G:$G,Sales!$C:$C,$B110,Sales!$A:$A,"&gt;="&amp;EDATE(TODAY(),-6))</f>
        <v>0</v>
      </c>
      <c r="E110" s="86">
        <f ca="1" t="shared" si="2"/>
        <v>1</v>
      </c>
      <c r="F110" s="102" t="str">
        <f ca="1" t="shared" si="3"/>
        <v>C</v>
      </c>
      <c r="G110" s="102" t="s">
        <v>808</v>
      </c>
      <c r="H110" s="102" t="s">
        <v>731</v>
      </c>
      <c r="I110" s="86" t="s">
        <v>731</v>
      </c>
      <c r="J110" s="86" t="s">
        <v>1519</v>
      </c>
      <c r="K110" s="86" t="s">
        <v>731</v>
      </c>
      <c r="L110" s="107" t="s">
        <v>1520</v>
      </c>
      <c r="M110" s="86" t="s">
        <v>731</v>
      </c>
      <c r="N110" s="104" t="s">
        <v>1507</v>
      </c>
      <c r="O110" s="104" t="s">
        <v>731</v>
      </c>
      <c r="P110" s="104" t="s">
        <v>731</v>
      </c>
      <c r="Q110" s="86">
        <v>42</v>
      </c>
      <c r="R110" s="86">
        <v>1.4</v>
      </c>
      <c r="S110" s="104" t="s">
        <v>731</v>
      </c>
      <c r="T110" s="86" t="str">
        <f>IFERROR(VLOOKUP(B110,Sum!A:A,1,0),"")</f>
        <v/>
      </c>
      <c r="U110" s="86" t="s">
        <v>1521</v>
      </c>
      <c r="V110" s="86" t="s">
        <v>1509</v>
      </c>
      <c r="W110" s="86" t="s">
        <v>787</v>
      </c>
      <c r="X110" s="86" t="s">
        <v>1511</v>
      </c>
      <c r="Y110" s="86" t="s">
        <v>1512</v>
      </c>
      <c r="Z110" s="86" t="s">
        <v>1513</v>
      </c>
      <c r="AA110" s="86" t="s">
        <v>1522</v>
      </c>
      <c r="AB110" s="86" t="s">
        <v>1515</v>
      </c>
      <c r="AC110" s="86" t="s">
        <v>1516</v>
      </c>
      <c r="AD110" s="86" t="s">
        <v>1517</v>
      </c>
    </row>
    <row r="111" ht="12.75" spans="1:30">
      <c r="A111" s="102" t="s">
        <v>1523</v>
      </c>
      <c r="B111" s="86" t="s">
        <v>1523</v>
      </c>
      <c r="C111" s="103" t="s">
        <v>731</v>
      </c>
      <c r="D111" s="102">
        <f ca="1">SUMIFS(Sales!$G:$G,Sales!$C:$C,$B111,Sales!$A:$A,"&gt;="&amp;EDATE(TODAY(),-6))</f>
        <v>0</v>
      </c>
      <c r="E111" s="86">
        <f ca="1" t="shared" si="2"/>
        <v>1</v>
      </c>
      <c r="F111" s="102" t="str">
        <f ca="1" t="shared" si="3"/>
        <v>C</v>
      </c>
      <c r="G111" s="102" t="s">
        <v>862</v>
      </c>
      <c r="H111" s="102" t="s">
        <v>731</v>
      </c>
      <c r="I111" s="86" t="s">
        <v>731</v>
      </c>
      <c r="J111" s="86" t="s">
        <v>1524</v>
      </c>
      <c r="K111" s="86" t="s">
        <v>731</v>
      </c>
      <c r="L111" s="107" t="s">
        <v>1525</v>
      </c>
      <c r="M111" s="86" t="s">
        <v>731</v>
      </c>
      <c r="N111" s="104" t="s">
        <v>1526</v>
      </c>
      <c r="O111" s="104" t="s">
        <v>731</v>
      </c>
      <c r="P111" s="104" t="s">
        <v>731</v>
      </c>
      <c r="Q111" s="86">
        <v>1</v>
      </c>
      <c r="R111" s="86">
        <v>36.6</v>
      </c>
      <c r="S111" s="104" t="s">
        <v>731</v>
      </c>
      <c r="T111" s="86" t="str">
        <f>IFERROR(VLOOKUP(B111,Sum!A:A,1,0),"")</f>
        <v/>
      </c>
      <c r="U111" s="86" t="s">
        <v>1527</v>
      </c>
      <c r="V111" s="86" t="s">
        <v>1528</v>
      </c>
      <c r="W111" s="86" t="s">
        <v>1529</v>
      </c>
      <c r="X111" s="86" t="s">
        <v>1530</v>
      </c>
      <c r="Y111" s="86" t="s">
        <v>1154</v>
      </c>
      <c r="Z111" s="86" t="s">
        <v>1531</v>
      </c>
      <c r="AA111" s="86" t="s">
        <v>1532</v>
      </c>
      <c r="AB111" s="86" t="s">
        <v>1533</v>
      </c>
      <c r="AC111" s="86" t="s">
        <v>1534</v>
      </c>
      <c r="AD111" s="86" t="s">
        <v>1535</v>
      </c>
    </row>
    <row r="112" ht="12.75" spans="1:30">
      <c r="A112" s="102" t="s">
        <v>1536</v>
      </c>
      <c r="B112" s="86" t="s">
        <v>1536</v>
      </c>
      <c r="C112" s="103" t="s">
        <v>1537</v>
      </c>
      <c r="D112" s="102">
        <f ca="1">SUMIFS(Sales!$G:$G,Sales!$C:$C,$B112,Sales!$A:$A,"&gt;="&amp;EDATE(TODAY(),-6))</f>
        <v>0</v>
      </c>
      <c r="E112" s="86">
        <f ca="1" t="shared" si="2"/>
        <v>1</v>
      </c>
      <c r="F112" s="102" t="str">
        <f ca="1" t="shared" si="3"/>
        <v>C</v>
      </c>
      <c r="G112" s="102" t="s">
        <v>862</v>
      </c>
      <c r="H112" s="102" t="s">
        <v>731</v>
      </c>
      <c r="I112" s="86" t="s">
        <v>1538</v>
      </c>
      <c r="J112" s="86" t="s">
        <v>1539</v>
      </c>
      <c r="K112" s="86" t="s">
        <v>1538</v>
      </c>
      <c r="L112" s="107" t="s">
        <v>1540</v>
      </c>
      <c r="M112" s="86" t="s">
        <v>731</v>
      </c>
      <c r="N112" s="104" t="s">
        <v>1541</v>
      </c>
      <c r="O112" s="104" t="s">
        <v>731</v>
      </c>
      <c r="P112" s="104" t="s">
        <v>731</v>
      </c>
      <c r="Q112" s="86">
        <v>1</v>
      </c>
      <c r="R112" s="86">
        <v>57.35</v>
      </c>
      <c r="S112" s="104" t="s">
        <v>731</v>
      </c>
      <c r="T112" s="86" t="str">
        <f>IFERROR(VLOOKUP(B112,Sum!A:A,1,0),"")</f>
        <v/>
      </c>
      <c r="U112" s="86" t="s">
        <v>1542</v>
      </c>
      <c r="V112" s="86" t="s">
        <v>1543</v>
      </c>
      <c r="W112" s="86" t="s">
        <v>1544</v>
      </c>
      <c r="X112" s="86" t="s">
        <v>1529</v>
      </c>
      <c r="Y112" s="86" t="s">
        <v>1545</v>
      </c>
      <c r="Z112" s="86" t="s">
        <v>1546</v>
      </c>
      <c r="AA112" s="86" t="s">
        <v>1547</v>
      </c>
      <c r="AB112" s="86" t="s">
        <v>1548</v>
      </c>
      <c r="AC112" s="86" t="s">
        <v>1549</v>
      </c>
      <c r="AD112" s="86" t="s">
        <v>1550</v>
      </c>
    </row>
    <row r="113" ht="12.75" spans="1:30">
      <c r="A113" s="102" t="s">
        <v>1551</v>
      </c>
      <c r="B113" s="86" t="s">
        <v>1551</v>
      </c>
      <c r="C113" s="103" t="s">
        <v>731</v>
      </c>
      <c r="D113" s="102">
        <f ca="1">SUMIFS(Sales!$G:$G,Sales!$C:$C,$B113,Sales!$A:$A,"&gt;="&amp;EDATE(TODAY(),-6))</f>
        <v>0</v>
      </c>
      <c r="E113" s="86">
        <f ca="1" t="shared" si="2"/>
        <v>1</v>
      </c>
      <c r="F113" s="102" t="str">
        <f ca="1" t="shared" si="3"/>
        <v>C</v>
      </c>
      <c r="G113" s="102" t="s">
        <v>862</v>
      </c>
      <c r="H113" s="102" t="s">
        <v>731</v>
      </c>
      <c r="I113" s="86" t="s">
        <v>1552</v>
      </c>
      <c r="J113" s="86" t="s">
        <v>1553</v>
      </c>
      <c r="K113" s="86" t="s">
        <v>1552</v>
      </c>
      <c r="L113" s="107" t="s">
        <v>1554</v>
      </c>
      <c r="M113" s="86" t="s">
        <v>731</v>
      </c>
      <c r="N113" s="104" t="s">
        <v>1555</v>
      </c>
      <c r="O113" s="104" t="s">
        <v>731</v>
      </c>
      <c r="P113" s="104" t="s">
        <v>731</v>
      </c>
      <c r="Q113" s="86">
        <v>1</v>
      </c>
      <c r="R113" s="86">
        <v>28.5</v>
      </c>
      <c r="S113" s="104" t="s">
        <v>731</v>
      </c>
      <c r="T113" s="86" t="str">
        <f>IFERROR(VLOOKUP(B113,Sum!A:A,1,0),"")</f>
        <v/>
      </c>
      <c r="U113" s="86" t="s">
        <v>1556</v>
      </c>
      <c r="V113" s="86" t="s">
        <v>1557</v>
      </c>
      <c r="W113" s="86" t="s">
        <v>1529</v>
      </c>
      <c r="X113" s="86" t="s">
        <v>1558</v>
      </c>
      <c r="Y113" s="86" t="s">
        <v>1559</v>
      </c>
      <c r="Z113" s="86" t="s">
        <v>1560</v>
      </c>
      <c r="AA113" s="86" t="s">
        <v>1561</v>
      </c>
      <c r="AB113" s="86" t="s">
        <v>1562</v>
      </c>
      <c r="AC113" s="86" t="s">
        <v>1563</v>
      </c>
      <c r="AD113" s="86" t="s">
        <v>1564</v>
      </c>
    </row>
    <row r="114" ht="12.75" spans="1:30">
      <c r="A114" s="102" t="s">
        <v>1565</v>
      </c>
      <c r="B114" s="86" t="s">
        <v>1565</v>
      </c>
      <c r="C114" s="103" t="s">
        <v>731</v>
      </c>
      <c r="D114" s="102">
        <f ca="1">SUMIFS(Sales!$G:$G,Sales!$C:$C,$B114,Sales!$A:$A,"&gt;="&amp;EDATE(TODAY(),-6))</f>
        <v>0</v>
      </c>
      <c r="E114" s="86">
        <f ca="1" t="shared" si="2"/>
        <v>1</v>
      </c>
      <c r="F114" s="102" t="str">
        <f ca="1" t="shared" si="3"/>
        <v>C</v>
      </c>
      <c r="G114" s="102" t="s">
        <v>762</v>
      </c>
      <c r="H114" s="102" t="s">
        <v>731</v>
      </c>
      <c r="I114" s="86" t="s">
        <v>731</v>
      </c>
      <c r="J114" s="86" t="s">
        <v>1566</v>
      </c>
      <c r="K114" s="86" t="s">
        <v>731</v>
      </c>
      <c r="L114" s="107" t="s">
        <v>1567</v>
      </c>
      <c r="M114" s="86" t="s">
        <v>731</v>
      </c>
      <c r="N114" s="104" t="s">
        <v>767</v>
      </c>
      <c r="O114" s="104" t="s">
        <v>731</v>
      </c>
      <c r="P114" s="104" t="s">
        <v>731</v>
      </c>
      <c r="Q114" s="86">
        <v>8</v>
      </c>
      <c r="R114" s="86">
        <v>3.2</v>
      </c>
      <c r="S114" s="104" t="s">
        <v>731</v>
      </c>
      <c r="T114" s="86" t="str">
        <f>IFERROR(VLOOKUP(B114,Sum!A:A,1,0),"")</f>
        <v/>
      </c>
      <c r="U114" s="86" t="s">
        <v>1568</v>
      </c>
      <c r="V114" s="86" t="s">
        <v>1569</v>
      </c>
      <c r="W114" s="86" t="s">
        <v>1570</v>
      </c>
      <c r="X114" s="86" t="s">
        <v>1571</v>
      </c>
      <c r="Y114" s="86" t="s">
        <v>1572</v>
      </c>
      <c r="Z114" s="86" t="s">
        <v>1351</v>
      </c>
      <c r="AA114" s="86" t="s">
        <v>1573</v>
      </c>
      <c r="AB114" s="86" t="s">
        <v>1574</v>
      </c>
      <c r="AC114" s="86" t="s">
        <v>715</v>
      </c>
      <c r="AD114" s="86" t="s">
        <v>1575</v>
      </c>
    </row>
    <row r="115" ht="12.75" spans="1:30">
      <c r="A115" s="102" t="s">
        <v>1576</v>
      </c>
      <c r="B115" s="86" t="s">
        <v>1576</v>
      </c>
      <c r="C115" s="103" t="s">
        <v>731</v>
      </c>
      <c r="D115" s="102">
        <f ca="1">SUMIFS(Sales!$G:$G,Sales!$C:$C,$B115,Sales!$A:$A,"&gt;="&amp;EDATE(TODAY(),-6))</f>
        <v>0</v>
      </c>
      <c r="E115" s="86">
        <f ca="1" t="shared" si="2"/>
        <v>1</v>
      </c>
      <c r="F115" s="102" t="str">
        <f ca="1" t="shared" si="3"/>
        <v>C</v>
      </c>
      <c r="G115" s="102" t="s">
        <v>778</v>
      </c>
      <c r="H115" s="102" t="s">
        <v>731</v>
      </c>
      <c r="I115" s="86" t="s">
        <v>731</v>
      </c>
      <c r="J115" s="86" t="s">
        <v>1577</v>
      </c>
      <c r="K115" s="86" t="s">
        <v>731</v>
      </c>
      <c r="L115" s="107" t="s">
        <v>1578</v>
      </c>
      <c r="M115" s="86" t="s">
        <v>731</v>
      </c>
      <c r="N115" s="104" t="s">
        <v>767</v>
      </c>
      <c r="O115" s="104" t="s">
        <v>731</v>
      </c>
      <c r="P115" s="104" t="s">
        <v>731</v>
      </c>
      <c r="Q115" s="86">
        <v>8</v>
      </c>
      <c r="R115" s="86">
        <v>3.3</v>
      </c>
      <c r="S115" s="104" t="s">
        <v>731</v>
      </c>
      <c r="T115" s="86" t="str">
        <f>IFERROR(VLOOKUP(B115,Sum!A:A,1,0),"")</f>
        <v/>
      </c>
      <c r="U115" s="86" t="s">
        <v>1579</v>
      </c>
      <c r="V115" s="86" t="s">
        <v>1580</v>
      </c>
      <c r="W115" s="86" t="s">
        <v>1581</v>
      </c>
      <c r="X115" s="86" t="s">
        <v>1572</v>
      </c>
      <c r="Y115" s="86" t="s">
        <v>1582</v>
      </c>
      <c r="Z115" s="86" t="s">
        <v>1351</v>
      </c>
      <c r="AA115" s="86" t="s">
        <v>1583</v>
      </c>
      <c r="AB115" s="86" t="s">
        <v>715</v>
      </c>
      <c r="AC115" s="86" t="s">
        <v>1584</v>
      </c>
      <c r="AD115" s="86" t="s">
        <v>1575</v>
      </c>
    </row>
    <row r="116" ht="12.75" spans="1:30">
      <c r="A116" s="102" t="s">
        <v>845</v>
      </c>
      <c r="B116" s="86" t="s">
        <v>1585</v>
      </c>
      <c r="C116" s="103" t="s">
        <v>1586</v>
      </c>
      <c r="D116" s="102">
        <f ca="1">SUMIFS(Sales!$G:$G,Sales!$C:$C,$B116,Sales!$A:$A,"&gt;="&amp;EDATE(TODAY(),-6))</f>
        <v>0</v>
      </c>
      <c r="E116" s="86">
        <f ca="1" t="shared" si="2"/>
        <v>1</v>
      </c>
      <c r="F116" s="102" t="str">
        <f ca="1" t="shared" si="3"/>
        <v>C</v>
      </c>
      <c r="G116" s="102" t="s">
        <v>778</v>
      </c>
      <c r="H116" s="102" t="s">
        <v>703</v>
      </c>
      <c r="I116" s="86" t="s">
        <v>630</v>
      </c>
      <c r="J116" s="86" t="s">
        <v>846</v>
      </c>
      <c r="K116" s="86" t="s">
        <v>630</v>
      </c>
      <c r="L116" s="107" t="s">
        <v>1587</v>
      </c>
      <c r="M116" s="86" t="s">
        <v>731</v>
      </c>
      <c r="N116" s="104" t="s">
        <v>767</v>
      </c>
      <c r="O116" s="104" t="s">
        <v>731</v>
      </c>
      <c r="P116" s="104" t="s">
        <v>731</v>
      </c>
      <c r="Q116" s="86" t="s">
        <v>731</v>
      </c>
      <c r="R116" s="86">
        <v>1.31</v>
      </c>
      <c r="S116" s="104" t="s">
        <v>731</v>
      </c>
      <c r="T116" s="86" t="str">
        <f>IFERROR(VLOOKUP(B116,Sum!A:A,1,0),"")</f>
        <v/>
      </c>
      <c r="U116" s="86" t="s">
        <v>849</v>
      </c>
      <c r="V116" s="86" t="s">
        <v>850</v>
      </c>
      <c r="W116" s="86" t="s">
        <v>787</v>
      </c>
      <c r="X116" s="86" t="s">
        <v>831</v>
      </c>
      <c r="Y116" s="86" t="s">
        <v>840</v>
      </c>
      <c r="Z116" s="86" t="s">
        <v>841</v>
      </c>
      <c r="AA116" s="86" t="s">
        <v>842</v>
      </c>
      <c r="AB116" s="86" t="s">
        <v>843</v>
      </c>
      <c r="AC116" s="86" t="s">
        <v>773</v>
      </c>
      <c r="AD116" s="86" t="s">
        <v>844</v>
      </c>
    </row>
    <row r="117" ht="12.75" spans="1:30">
      <c r="A117" s="102" t="s">
        <v>1588</v>
      </c>
      <c r="B117" s="86" t="s">
        <v>1588</v>
      </c>
      <c r="C117" s="103" t="s">
        <v>731</v>
      </c>
      <c r="D117" s="102">
        <f ca="1">SUMIFS(Sales!$G:$G,Sales!$C:$C,$B117,Sales!$A:$A,"&gt;="&amp;EDATE(TODAY(),-6))</f>
        <v>0</v>
      </c>
      <c r="E117" s="86">
        <f ca="1" t="shared" si="2"/>
        <v>1</v>
      </c>
      <c r="F117" s="102" t="str">
        <f ca="1" t="shared" si="3"/>
        <v>C</v>
      </c>
      <c r="G117" s="102" t="s">
        <v>778</v>
      </c>
      <c r="H117" s="102" t="s">
        <v>731</v>
      </c>
      <c r="I117" s="86" t="s">
        <v>731</v>
      </c>
      <c r="J117" s="86" t="s">
        <v>1589</v>
      </c>
      <c r="K117" s="86" t="s">
        <v>731</v>
      </c>
      <c r="L117" s="107" t="s">
        <v>1590</v>
      </c>
      <c r="M117" s="86" t="s">
        <v>731</v>
      </c>
      <c r="N117" s="104" t="s">
        <v>767</v>
      </c>
      <c r="O117" s="104" t="s">
        <v>731</v>
      </c>
      <c r="P117" s="104" t="s">
        <v>731</v>
      </c>
      <c r="Q117" s="86">
        <v>12</v>
      </c>
      <c r="R117" s="86">
        <v>1.4</v>
      </c>
      <c r="S117" s="104" t="s">
        <v>731</v>
      </c>
      <c r="T117" s="86" t="str">
        <f>IFERROR(VLOOKUP(B117,Sum!A:A,1,0),"")</f>
        <v/>
      </c>
      <c r="U117" s="86" t="s">
        <v>1591</v>
      </c>
      <c r="V117" s="86" t="s">
        <v>1569</v>
      </c>
      <c r="W117" s="86" t="s">
        <v>1570</v>
      </c>
      <c r="X117" s="86" t="s">
        <v>1571</v>
      </c>
      <c r="Y117" s="86" t="s">
        <v>1592</v>
      </c>
      <c r="Z117" s="86" t="s">
        <v>1351</v>
      </c>
      <c r="AA117" s="86" t="s">
        <v>1573</v>
      </c>
      <c r="AB117" s="86" t="s">
        <v>1574</v>
      </c>
      <c r="AC117" s="86" t="s">
        <v>1593</v>
      </c>
      <c r="AD117" s="86" t="s">
        <v>1575</v>
      </c>
    </row>
    <row r="118" ht="12.75" spans="1:30">
      <c r="A118" s="102" t="s">
        <v>1594</v>
      </c>
      <c r="B118" s="86" t="s">
        <v>1594</v>
      </c>
      <c r="C118" s="103" t="s">
        <v>731</v>
      </c>
      <c r="D118" s="102">
        <f ca="1">SUMIFS(Sales!$G:$G,Sales!$C:$C,$B118,Sales!$A:$A,"&gt;="&amp;EDATE(TODAY(),-6))</f>
        <v>0</v>
      </c>
      <c r="E118" s="86">
        <f ca="1" t="shared" si="2"/>
        <v>1</v>
      </c>
      <c r="F118" s="102" t="str">
        <f ca="1" t="shared" si="3"/>
        <v>C</v>
      </c>
      <c r="G118" s="102" t="s">
        <v>778</v>
      </c>
      <c r="H118" s="102" t="s">
        <v>731</v>
      </c>
      <c r="I118" s="86" t="s">
        <v>731</v>
      </c>
      <c r="J118" s="86" t="s">
        <v>1595</v>
      </c>
      <c r="K118" s="86" t="s">
        <v>731</v>
      </c>
      <c r="L118" s="107" t="s">
        <v>1596</v>
      </c>
      <c r="M118" s="86" t="s">
        <v>731</v>
      </c>
      <c r="N118" s="104" t="s">
        <v>767</v>
      </c>
      <c r="O118" s="104" t="s">
        <v>731</v>
      </c>
      <c r="P118" s="104" t="s">
        <v>731</v>
      </c>
      <c r="Q118" s="86">
        <v>5</v>
      </c>
      <c r="R118" s="86">
        <v>2.3</v>
      </c>
      <c r="S118" s="104" t="s">
        <v>731</v>
      </c>
      <c r="T118" s="86" t="str">
        <f>IFERROR(VLOOKUP(B118,Sum!A:A,1,0),"")</f>
        <v/>
      </c>
      <c r="U118" s="86" t="s">
        <v>1597</v>
      </c>
      <c r="V118" s="86" t="s">
        <v>1580</v>
      </c>
      <c r="W118" s="86" t="s">
        <v>1581</v>
      </c>
      <c r="X118" s="86" t="s">
        <v>1572</v>
      </c>
      <c r="Y118" s="86" t="s">
        <v>1598</v>
      </c>
      <c r="Z118" s="86" t="s">
        <v>1351</v>
      </c>
      <c r="AA118" s="86" t="s">
        <v>1583</v>
      </c>
      <c r="AB118" s="86" t="s">
        <v>715</v>
      </c>
      <c r="AC118" s="86" t="s">
        <v>1599</v>
      </c>
      <c r="AD118" s="86" t="s">
        <v>1575</v>
      </c>
    </row>
    <row r="119" ht="12.75" spans="1:30">
      <c r="A119" s="102" t="s">
        <v>1600</v>
      </c>
      <c r="B119" s="86" t="s">
        <v>1600</v>
      </c>
      <c r="C119" s="103" t="s">
        <v>731</v>
      </c>
      <c r="D119" s="102">
        <f ca="1">SUMIFS(Sales!$G:$G,Sales!$C:$C,$B119,Sales!$A:$A,"&gt;="&amp;EDATE(TODAY(),-6))</f>
        <v>0</v>
      </c>
      <c r="E119" s="86">
        <f ca="1" t="shared" si="2"/>
        <v>1</v>
      </c>
      <c r="F119" s="102" t="str">
        <f ca="1" t="shared" si="3"/>
        <v>C</v>
      </c>
      <c r="G119" s="102" t="s">
        <v>686</v>
      </c>
      <c r="H119" s="102" t="s">
        <v>731</v>
      </c>
      <c r="I119" s="86" t="s">
        <v>731</v>
      </c>
      <c r="J119" s="86" t="s">
        <v>1601</v>
      </c>
      <c r="K119" s="86" t="s">
        <v>731</v>
      </c>
      <c r="L119" s="107" t="s">
        <v>1602</v>
      </c>
      <c r="M119" s="86" t="s">
        <v>731</v>
      </c>
      <c r="N119" s="104" t="s">
        <v>731</v>
      </c>
      <c r="O119" s="104" t="s">
        <v>731</v>
      </c>
      <c r="P119" s="104" t="s">
        <v>731</v>
      </c>
      <c r="Q119" s="86" t="s">
        <v>731</v>
      </c>
      <c r="R119" s="86">
        <v>5.8</v>
      </c>
      <c r="S119" s="104" t="s">
        <v>731</v>
      </c>
      <c r="T119" s="86" t="str">
        <f>IFERROR(VLOOKUP(B119,Sum!A:A,1,0),"")</f>
        <v/>
      </c>
      <c r="U119" s="86" t="s">
        <v>731</v>
      </c>
      <c r="V119" s="86" t="s">
        <v>731</v>
      </c>
      <c r="W119" s="86" t="s">
        <v>731</v>
      </c>
      <c r="X119" s="86" t="s">
        <v>731</v>
      </c>
      <c r="Y119" s="86" t="s">
        <v>731</v>
      </c>
      <c r="Z119" s="86" t="s">
        <v>731</v>
      </c>
      <c r="AA119" s="86"/>
      <c r="AB119" s="86"/>
      <c r="AC119" s="86"/>
      <c r="AD119" s="86"/>
    </row>
    <row r="120" ht="12.75" spans="1:30">
      <c r="A120" s="102" t="s">
        <v>1603</v>
      </c>
      <c r="B120" s="86" t="s">
        <v>1603</v>
      </c>
      <c r="C120" s="103" t="s">
        <v>731</v>
      </c>
      <c r="D120" s="102">
        <f ca="1">SUMIFS(Sales!$G:$G,Sales!$C:$C,$B120,Sales!$A:$A,"&gt;="&amp;EDATE(TODAY(),-6))</f>
        <v>0</v>
      </c>
      <c r="E120" s="86">
        <f ca="1" t="shared" si="2"/>
        <v>1</v>
      </c>
      <c r="F120" s="102" t="str">
        <f ca="1" t="shared" si="3"/>
        <v>C</v>
      </c>
      <c r="G120" s="102" t="s">
        <v>762</v>
      </c>
      <c r="H120" s="102" t="s">
        <v>731</v>
      </c>
      <c r="I120" s="86" t="s">
        <v>731</v>
      </c>
      <c r="J120" s="86" t="s">
        <v>1604</v>
      </c>
      <c r="K120" s="86" t="s">
        <v>731</v>
      </c>
      <c r="L120" s="107" t="s">
        <v>1605</v>
      </c>
      <c r="M120" s="86" t="s">
        <v>731</v>
      </c>
      <c r="N120" s="104" t="s">
        <v>767</v>
      </c>
      <c r="O120" s="104" t="s">
        <v>731</v>
      </c>
      <c r="P120" s="104" t="s">
        <v>731</v>
      </c>
      <c r="Q120" s="86">
        <v>30</v>
      </c>
      <c r="R120" s="86">
        <v>2.59</v>
      </c>
      <c r="S120" s="104" t="s">
        <v>731</v>
      </c>
      <c r="T120" s="86" t="str">
        <f>IFERROR(VLOOKUP(B120,Sum!A:A,1,0),"")</f>
        <v/>
      </c>
      <c r="U120" s="86" t="s">
        <v>1606</v>
      </c>
      <c r="V120" s="86" t="s">
        <v>1607</v>
      </c>
      <c r="W120" s="86" t="s">
        <v>1608</v>
      </c>
      <c r="X120" s="86" t="s">
        <v>1609</v>
      </c>
      <c r="Y120" s="86" t="s">
        <v>1610</v>
      </c>
      <c r="Z120" s="86" t="s">
        <v>1611</v>
      </c>
      <c r="AA120" s="86" t="s">
        <v>715</v>
      </c>
      <c r="AB120" s="86" t="s">
        <v>1612</v>
      </c>
      <c r="AC120" s="86" t="s">
        <v>1613</v>
      </c>
      <c r="AD120" s="86" t="s">
        <v>1614</v>
      </c>
    </row>
    <row r="121" ht="12.75" spans="1:30">
      <c r="A121" s="102" t="s">
        <v>1024</v>
      </c>
      <c r="B121" s="86" t="s">
        <v>1615</v>
      </c>
      <c r="C121" s="103" t="s">
        <v>1616</v>
      </c>
      <c r="D121" s="102">
        <f ca="1">SUMIFS(Sales!$G:$G,Sales!$C:$C,$B121,Sales!$A:$A,"&gt;="&amp;EDATE(TODAY(),-6))</f>
        <v>0</v>
      </c>
      <c r="E121" s="86">
        <f ca="1" t="shared" si="2"/>
        <v>1</v>
      </c>
      <c r="F121" s="102" t="str">
        <f ca="1" t="shared" si="3"/>
        <v>C</v>
      </c>
      <c r="G121" s="102" t="s">
        <v>808</v>
      </c>
      <c r="H121" s="102" t="s">
        <v>687</v>
      </c>
      <c r="I121" s="86" t="s">
        <v>1617</v>
      </c>
      <c r="J121" s="86" t="s">
        <v>1025</v>
      </c>
      <c r="K121" s="86" t="s">
        <v>1617</v>
      </c>
      <c r="L121" s="107" t="s">
        <v>1618</v>
      </c>
      <c r="M121" s="86" t="s">
        <v>731</v>
      </c>
      <c r="N121" s="104" t="s">
        <v>1029</v>
      </c>
      <c r="O121" s="104" t="s">
        <v>731</v>
      </c>
      <c r="P121" s="104" t="s">
        <v>731</v>
      </c>
      <c r="Q121" s="86">
        <v>60</v>
      </c>
      <c r="R121" s="86">
        <v>0.73</v>
      </c>
      <c r="S121" s="104" t="s">
        <v>731</v>
      </c>
      <c r="T121" s="86" t="str">
        <f>IFERROR(VLOOKUP(B121,Sum!A:A,1,0),"")</f>
        <v/>
      </c>
      <c r="U121" s="86" t="s">
        <v>1030</v>
      </c>
      <c r="V121" s="86" t="s">
        <v>1031</v>
      </c>
      <c r="W121" s="86" t="s">
        <v>787</v>
      </c>
      <c r="X121" s="86" t="s">
        <v>830</v>
      </c>
      <c r="Y121" s="86" t="s">
        <v>816</v>
      </c>
      <c r="Z121" s="86" t="s">
        <v>818</v>
      </c>
      <c r="AA121" s="86" t="s">
        <v>1032</v>
      </c>
      <c r="AB121" s="86" t="s">
        <v>1033</v>
      </c>
      <c r="AC121" s="86" t="s">
        <v>1034</v>
      </c>
      <c r="AD121" s="86" t="s">
        <v>1035</v>
      </c>
    </row>
    <row r="122" ht="12.75" spans="1:30">
      <c r="A122" s="102" t="s">
        <v>1024</v>
      </c>
      <c r="B122" s="86" t="s">
        <v>1619</v>
      </c>
      <c r="C122" s="103" t="s">
        <v>1620</v>
      </c>
      <c r="D122" s="102">
        <f ca="1">SUMIFS(Sales!$G:$G,Sales!$C:$C,$B122,Sales!$A:$A,"&gt;="&amp;EDATE(TODAY(),-6))</f>
        <v>0</v>
      </c>
      <c r="E122" s="86">
        <f ca="1" t="shared" si="2"/>
        <v>1</v>
      </c>
      <c r="F122" s="102" t="str">
        <f ca="1" t="shared" si="3"/>
        <v>C</v>
      </c>
      <c r="G122" s="102" t="s">
        <v>808</v>
      </c>
      <c r="H122" s="102" t="s">
        <v>703</v>
      </c>
      <c r="I122" s="86" t="s">
        <v>1617</v>
      </c>
      <c r="J122" s="86" t="s">
        <v>1025</v>
      </c>
      <c r="K122" s="86" t="s">
        <v>1617</v>
      </c>
      <c r="L122" s="107" t="s">
        <v>1618</v>
      </c>
      <c r="M122" s="86" t="s">
        <v>731</v>
      </c>
      <c r="N122" s="104" t="s">
        <v>1029</v>
      </c>
      <c r="O122" s="104" t="s">
        <v>731</v>
      </c>
      <c r="P122" s="104" t="s">
        <v>731</v>
      </c>
      <c r="Q122" s="86">
        <v>60</v>
      </c>
      <c r="R122" s="86">
        <v>0.73</v>
      </c>
      <c r="S122" s="104" t="s">
        <v>731</v>
      </c>
      <c r="T122" s="86" t="str">
        <f>IFERROR(VLOOKUP(B122,Sum!A:A,1,0),"")</f>
        <v/>
      </c>
      <c r="U122" s="86" t="s">
        <v>1030</v>
      </c>
      <c r="V122" s="86" t="s">
        <v>1031</v>
      </c>
      <c r="W122" s="86" t="s">
        <v>787</v>
      </c>
      <c r="X122" s="86" t="s">
        <v>830</v>
      </c>
      <c r="Y122" s="86" t="s">
        <v>816</v>
      </c>
      <c r="Z122" s="86" t="s">
        <v>818</v>
      </c>
      <c r="AA122" s="86" t="s">
        <v>1032</v>
      </c>
      <c r="AB122" s="86" t="s">
        <v>1033</v>
      </c>
      <c r="AC122" s="86" t="s">
        <v>1034</v>
      </c>
      <c r="AD122" s="86" t="s">
        <v>1035</v>
      </c>
    </row>
    <row r="123" ht="12.75" spans="1:30">
      <c r="A123" s="102" t="s">
        <v>1127</v>
      </c>
      <c r="B123" s="86" t="s">
        <v>1621</v>
      </c>
      <c r="C123" s="103" t="s">
        <v>1622</v>
      </c>
      <c r="D123" s="102">
        <f ca="1">SUMIFS(Sales!$G:$G,Sales!$C:$C,$B123,Sales!$A:$A,"&gt;="&amp;EDATE(TODAY(),-6))</f>
        <v>0</v>
      </c>
      <c r="E123" s="86">
        <f ca="1" t="shared" si="2"/>
        <v>1</v>
      </c>
      <c r="F123" s="102" t="str">
        <f ca="1" t="shared" si="3"/>
        <v>C</v>
      </c>
      <c r="G123" s="102" t="s">
        <v>778</v>
      </c>
      <c r="H123" s="102" t="s">
        <v>1623</v>
      </c>
      <c r="I123" s="86" t="s">
        <v>1624</v>
      </c>
      <c r="J123" s="86" t="s">
        <v>1129</v>
      </c>
      <c r="K123" s="86" t="s">
        <v>1624</v>
      </c>
      <c r="L123" s="107" t="s">
        <v>1625</v>
      </c>
      <c r="M123" s="86" t="s">
        <v>731</v>
      </c>
      <c r="N123" s="104" t="s">
        <v>1132</v>
      </c>
      <c r="O123" s="104" t="s">
        <v>731</v>
      </c>
      <c r="P123" s="104" t="s">
        <v>731</v>
      </c>
      <c r="Q123" s="86" t="s">
        <v>731</v>
      </c>
      <c r="R123" s="86">
        <v>2.25</v>
      </c>
      <c r="S123" s="104" t="s">
        <v>731</v>
      </c>
      <c r="T123" s="86" t="str">
        <f>IFERROR(VLOOKUP(B123,Sum!A:A,1,0),"")</f>
        <v/>
      </c>
      <c r="U123" s="86" t="s">
        <v>1133</v>
      </c>
      <c r="V123" s="86" t="s">
        <v>1134</v>
      </c>
      <c r="W123" s="86" t="s">
        <v>786</v>
      </c>
      <c r="X123" s="86" t="s">
        <v>1135</v>
      </c>
      <c r="Y123" s="86" t="s">
        <v>1136</v>
      </c>
      <c r="Z123" s="86" t="s">
        <v>789</v>
      </c>
      <c r="AA123" s="86" t="s">
        <v>790</v>
      </c>
      <c r="AB123" s="86" t="s">
        <v>1137</v>
      </c>
      <c r="AC123" s="86" t="s">
        <v>1138</v>
      </c>
      <c r="AD123" s="86" t="s">
        <v>1139</v>
      </c>
    </row>
    <row r="124" ht="12.75" spans="1:30">
      <c r="A124" s="102" t="s">
        <v>1626</v>
      </c>
      <c r="B124" s="86" t="s">
        <v>1626</v>
      </c>
      <c r="C124" s="103" t="s">
        <v>731</v>
      </c>
      <c r="D124" s="102">
        <f ca="1">SUMIFS(Sales!$G:$G,Sales!$C:$C,$B124,Sales!$A:$A,"&gt;="&amp;EDATE(TODAY(),-6))</f>
        <v>0</v>
      </c>
      <c r="E124" s="86">
        <f ca="1" t="shared" si="2"/>
        <v>1</v>
      </c>
      <c r="F124" s="102" t="str">
        <f ca="1" t="shared" si="3"/>
        <v>C</v>
      </c>
      <c r="G124" s="102" t="s">
        <v>1627</v>
      </c>
      <c r="H124" s="102" t="s">
        <v>731</v>
      </c>
      <c r="I124" s="86" t="s">
        <v>731</v>
      </c>
      <c r="J124" s="86" t="s">
        <v>1628</v>
      </c>
      <c r="K124" s="86" t="s">
        <v>731</v>
      </c>
      <c r="L124" s="107" t="s">
        <v>1629</v>
      </c>
      <c r="M124" s="86" t="s">
        <v>731</v>
      </c>
      <c r="N124" s="104" t="s">
        <v>1630</v>
      </c>
      <c r="O124" s="104" t="s">
        <v>731</v>
      </c>
      <c r="P124" s="104" t="s">
        <v>731</v>
      </c>
      <c r="Q124" s="86">
        <v>62</v>
      </c>
      <c r="R124" s="86">
        <v>0.65</v>
      </c>
      <c r="S124" s="104" t="s">
        <v>731</v>
      </c>
      <c r="T124" s="86" t="str">
        <f>IFERROR(VLOOKUP(B124,Sum!A:A,1,0),"")</f>
        <v/>
      </c>
      <c r="U124" s="86" t="s">
        <v>1631</v>
      </c>
      <c r="V124" s="86" t="s">
        <v>1632</v>
      </c>
      <c r="W124" s="86" t="s">
        <v>1633</v>
      </c>
      <c r="X124" s="86" t="s">
        <v>1634</v>
      </c>
      <c r="Y124" s="86" t="s">
        <v>1635</v>
      </c>
      <c r="Z124" s="86" t="s">
        <v>1636</v>
      </c>
      <c r="AA124" s="86" t="s">
        <v>1637</v>
      </c>
      <c r="AB124" s="86" t="s">
        <v>1638</v>
      </c>
      <c r="AC124" s="86" t="s">
        <v>1639</v>
      </c>
      <c r="AD124" s="86" t="s">
        <v>1640</v>
      </c>
    </row>
    <row r="125" ht="12.75" spans="1:30">
      <c r="A125" s="102" t="s">
        <v>77</v>
      </c>
      <c r="B125" s="86" t="s">
        <v>1641</v>
      </c>
      <c r="C125" s="103" t="s">
        <v>1642</v>
      </c>
      <c r="D125" s="102">
        <f ca="1">SUMIFS(Sales!$G:$G,Sales!$C:$C,$B125,Sales!$A:$A,"&gt;="&amp;EDATE(TODAY(),-6))</f>
        <v>0</v>
      </c>
      <c r="E125" s="86">
        <f ca="1" t="shared" si="2"/>
        <v>1</v>
      </c>
      <c r="F125" s="102" t="str">
        <f ca="1" t="shared" si="3"/>
        <v>C</v>
      </c>
      <c r="G125" s="102" t="s">
        <v>808</v>
      </c>
      <c r="H125" s="102" t="s">
        <v>703</v>
      </c>
      <c r="I125" s="86" t="s">
        <v>1643</v>
      </c>
      <c r="J125" s="86" t="s">
        <v>1644</v>
      </c>
      <c r="K125" s="86" t="s">
        <v>1643</v>
      </c>
      <c r="L125" s="107" t="s">
        <v>1645</v>
      </c>
      <c r="M125" s="86" t="s">
        <v>731</v>
      </c>
      <c r="N125" s="104" t="s">
        <v>1015</v>
      </c>
      <c r="O125" s="104" t="s">
        <v>731</v>
      </c>
      <c r="P125" s="104" t="s">
        <v>731</v>
      </c>
      <c r="Q125" s="86">
        <v>50</v>
      </c>
      <c r="R125" s="86">
        <v>0.62</v>
      </c>
      <c r="S125" s="104" t="s">
        <v>731</v>
      </c>
      <c r="T125" s="86" t="str">
        <f>IFERROR(VLOOKUP(B125,Sum!A:A,1,0),"")</f>
        <v/>
      </c>
      <c r="U125" s="86" t="s">
        <v>1646</v>
      </c>
      <c r="V125" s="86" t="s">
        <v>1647</v>
      </c>
      <c r="W125" s="86" t="s">
        <v>787</v>
      </c>
      <c r="X125" s="86" t="s">
        <v>830</v>
      </c>
      <c r="Y125" s="86" t="s">
        <v>816</v>
      </c>
      <c r="Z125" s="86" t="s">
        <v>818</v>
      </c>
      <c r="AA125" s="86" t="s">
        <v>1032</v>
      </c>
      <c r="AB125" s="86" t="s">
        <v>1033</v>
      </c>
      <c r="AC125" s="86" t="s">
        <v>1034</v>
      </c>
      <c r="AD125" s="86" t="s">
        <v>1035</v>
      </c>
    </row>
    <row r="126" ht="12.75" spans="1:30">
      <c r="A126" s="102" t="s">
        <v>1292</v>
      </c>
      <c r="B126" s="86" t="s">
        <v>1648</v>
      </c>
      <c r="C126" s="103" t="s">
        <v>1649</v>
      </c>
      <c r="D126" s="102">
        <f ca="1">SUMIFS(Sales!$G:$G,Sales!$C:$C,$B126,Sales!$A:$A,"&gt;="&amp;EDATE(TODAY(),-6))</f>
        <v>0</v>
      </c>
      <c r="E126" s="86">
        <f ca="1" t="shared" si="2"/>
        <v>1</v>
      </c>
      <c r="F126" s="102" t="str">
        <f ca="1" t="shared" si="3"/>
        <v>C</v>
      </c>
      <c r="G126" s="102" t="s">
        <v>862</v>
      </c>
      <c r="H126" s="102" t="s">
        <v>1650</v>
      </c>
      <c r="I126" s="86" t="s">
        <v>1651</v>
      </c>
      <c r="J126" s="86" t="s">
        <v>1294</v>
      </c>
      <c r="K126" s="86" t="s">
        <v>1651</v>
      </c>
      <c r="L126" s="107" t="s">
        <v>1652</v>
      </c>
      <c r="M126" s="86" t="s">
        <v>731</v>
      </c>
      <c r="N126" s="104" t="s">
        <v>1297</v>
      </c>
      <c r="O126" s="104" t="s">
        <v>731</v>
      </c>
      <c r="P126" s="104" t="s">
        <v>731</v>
      </c>
      <c r="Q126" s="86">
        <v>18</v>
      </c>
      <c r="R126" s="86">
        <v>2.23</v>
      </c>
      <c r="S126" s="104" t="s">
        <v>731</v>
      </c>
      <c r="T126" s="86" t="str">
        <f>IFERROR(VLOOKUP(B126,Sum!A:A,1,0),"")</f>
        <v/>
      </c>
      <c r="U126" s="86" t="s">
        <v>1298</v>
      </c>
      <c r="V126" s="86" t="s">
        <v>1299</v>
      </c>
      <c r="W126" s="86" t="s">
        <v>1173</v>
      </c>
      <c r="X126" s="86" t="s">
        <v>1005</v>
      </c>
      <c r="Y126" s="86" t="s">
        <v>1006</v>
      </c>
      <c r="Z126" s="86" t="s">
        <v>1300</v>
      </c>
      <c r="AA126" s="86" t="s">
        <v>1175</v>
      </c>
      <c r="AB126" s="86" t="s">
        <v>1301</v>
      </c>
      <c r="AC126" s="86" t="s">
        <v>1302</v>
      </c>
      <c r="AD126" s="86" t="s">
        <v>1303</v>
      </c>
    </row>
    <row r="127" ht="12.75" spans="1:30">
      <c r="A127" s="102" t="s">
        <v>1310</v>
      </c>
      <c r="B127" s="86" t="s">
        <v>1653</v>
      </c>
      <c r="C127" s="103" t="s">
        <v>731</v>
      </c>
      <c r="D127" s="102">
        <f ca="1">SUMIFS(Sales!$G:$G,Sales!$C:$C,$B127,Sales!$A:$A,"&gt;="&amp;EDATE(TODAY(),-6))</f>
        <v>0</v>
      </c>
      <c r="E127" s="86">
        <f ca="1" t="shared" si="2"/>
        <v>1</v>
      </c>
      <c r="F127" s="102" t="str">
        <f ca="1" t="shared" si="3"/>
        <v>C</v>
      </c>
      <c r="G127" s="102" t="s">
        <v>686</v>
      </c>
      <c r="H127" s="102" t="s">
        <v>703</v>
      </c>
      <c r="I127" s="86" t="s">
        <v>1654</v>
      </c>
      <c r="J127" s="86" t="s">
        <v>1311</v>
      </c>
      <c r="K127" s="86" t="s">
        <v>1654</v>
      </c>
      <c r="L127" s="107" t="s">
        <v>1655</v>
      </c>
      <c r="M127" s="86" t="s">
        <v>731</v>
      </c>
      <c r="N127" s="104" t="s">
        <v>1315</v>
      </c>
      <c r="O127" s="104" t="s">
        <v>731</v>
      </c>
      <c r="P127" s="104" t="s">
        <v>731</v>
      </c>
      <c r="Q127" s="86">
        <v>3</v>
      </c>
      <c r="R127" s="86">
        <v>10.42</v>
      </c>
      <c r="S127" s="104" t="s">
        <v>731</v>
      </c>
      <c r="T127" s="86" t="str">
        <f>IFERROR(VLOOKUP(B127,Sum!A:A,1,0),"")</f>
        <v/>
      </c>
      <c r="U127" s="86" t="s">
        <v>1316</v>
      </c>
      <c r="V127" s="86" t="s">
        <v>694</v>
      </c>
      <c r="W127" s="86" t="s">
        <v>695</v>
      </c>
      <c r="X127" s="86" t="s">
        <v>1251</v>
      </c>
      <c r="Y127" s="86" t="s">
        <v>1317</v>
      </c>
      <c r="Z127" s="86" t="s">
        <v>1318</v>
      </c>
      <c r="AA127" s="86" t="s">
        <v>699</v>
      </c>
      <c r="AB127" s="86" t="s">
        <v>700</v>
      </c>
      <c r="AC127" s="86" t="s">
        <v>701</v>
      </c>
      <c r="AD127" s="86" t="s">
        <v>702</v>
      </c>
    </row>
    <row r="128" ht="12.75" spans="1:30">
      <c r="A128" s="102" t="s">
        <v>1656</v>
      </c>
      <c r="B128" s="86" t="s">
        <v>1656</v>
      </c>
      <c r="C128" s="103" t="s">
        <v>731</v>
      </c>
      <c r="D128" s="102">
        <f ca="1">SUMIFS(Sales!$G:$G,Sales!$C:$C,$B128,Sales!$A:$A,"&gt;="&amp;EDATE(TODAY(),-6))</f>
        <v>0</v>
      </c>
      <c r="E128" s="86">
        <f ca="1" t="shared" si="2"/>
        <v>1</v>
      </c>
      <c r="F128" s="102" t="str">
        <f ca="1" t="shared" si="3"/>
        <v>C</v>
      </c>
      <c r="G128" s="102" t="s">
        <v>730</v>
      </c>
      <c r="H128" s="102" t="s">
        <v>731</v>
      </c>
      <c r="I128" s="86" t="s">
        <v>1657</v>
      </c>
      <c r="J128" s="86" t="s">
        <v>1658</v>
      </c>
      <c r="K128" s="86" t="s">
        <v>1657</v>
      </c>
      <c r="L128" s="107" t="s">
        <v>1659</v>
      </c>
      <c r="M128" s="86" t="s">
        <v>731</v>
      </c>
      <c r="N128" s="104" t="s">
        <v>1660</v>
      </c>
      <c r="O128" s="104" t="s">
        <v>731</v>
      </c>
      <c r="P128" s="104" t="s">
        <v>731</v>
      </c>
      <c r="Q128" s="86" t="s">
        <v>731</v>
      </c>
      <c r="R128" s="86">
        <v>1</v>
      </c>
      <c r="S128" s="104" t="s">
        <v>731</v>
      </c>
      <c r="T128" s="86" t="str">
        <f>IFERROR(VLOOKUP(B128,Sum!A:A,1,0),"")</f>
        <v/>
      </c>
      <c r="U128" s="86" t="s">
        <v>731</v>
      </c>
      <c r="V128" s="86" t="s">
        <v>731</v>
      </c>
      <c r="W128" s="86" t="s">
        <v>731</v>
      </c>
      <c r="X128" s="86" t="s">
        <v>731</v>
      </c>
      <c r="Y128" s="86" t="s">
        <v>731</v>
      </c>
      <c r="Z128" s="86" t="s">
        <v>731</v>
      </c>
      <c r="AA128" s="86"/>
      <c r="AB128" s="86"/>
      <c r="AC128" s="86"/>
      <c r="AD128" s="86"/>
    </row>
    <row r="129" ht="12.75" spans="1:30">
      <c r="A129" s="102" t="s">
        <v>1661</v>
      </c>
      <c r="B129" s="86" t="s">
        <v>1661</v>
      </c>
      <c r="C129" s="103" t="s">
        <v>731</v>
      </c>
      <c r="D129" s="102">
        <f ca="1">SUMIFS(Sales!$G:$G,Sales!$C:$C,$B129,Sales!$A:$A,"&gt;="&amp;EDATE(TODAY(),-6))</f>
        <v>0</v>
      </c>
      <c r="E129" s="86">
        <f ca="1" t="shared" si="2"/>
        <v>1</v>
      </c>
      <c r="F129" s="102" t="str">
        <f ca="1" t="shared" si="3"/>
        <v>C</v>
      </c>
      <c r="G129" s="102" t="s">
        <v>762</v>
      </c>
      <c r="H129" s="102" t="s">
        <v>731</v>
      </c>
      <c r="I129" s="86" t="s">
        <v>1662</v>
      </c>
      <c r="J129" s="86" t="s">
        <v>1663</v>
      </c>
      <c r="K129" s="86" t="s">
        <v>1662</v>
      </c>
      <c r="L129" s="107" t="s">
        <v>1664</v>
      </c>
      <c r="M129" s="86" t="s">
        <v>731</v>
      </c>
      <c r="N129" s="104" t="s">
        <v>1478</v>
      </c>
      <c r="O129" s="104" t="s">
        <v>731</v>
      </c>
      <c r="P129" s="104" t="s">
        <v>731</v>
      </c>
      <c r="Q129" s="86" t="s">
        <v>731</v>
      </c>
      <c r="R129" s="86">
        <v>3.38</v>
      </c>
      <c r="S129" s="104" t="s">
        <v>731</v>
      </c>
      <c r="T129" s="86" t="str">
        <f>IFERROR(VLOOKUP(B129,Sum!A:A,1,0),"")</f>
        <v/>
      </c>
      <c r="U129" s="86" t="s">
        <v>731</v>
      </c>
      <c r="V129" s="86" t="s">
        <v>731</v>
      </c>
      <c r="W129" s="86" t="s">
        <v>731</v>
      </c>
      <c r="X129" s="86" t="s">
        <v>731</v>
      </c>
      <c r="Y129" s="86" t="s">
        <v>731</v>
      </c>
      <c r="Z129" s="86" t="s">
        <v>731</v>
      </c>
      <c r="AA129" s="86"/>
      <c r="AB129" s="86"/>
      <c r="AC129" s="86"/>
      <c r="AD129" s="86"/>
    </row>
    <row r="130" ht="12.75" spans="1:30">
      <c r="A130" s="102" t="s">
        <v>1665</v>
      </c>
      <c r="B130" s="86" t="s">
        <v>1665</v>
      </c>
      <c r="C130" s="103" t="s">
        <v>731</v>
      </c>
      <c r="D130" s="102">
        <f ca="1">SUMIFS(Sales!$G:$G,Sales!$C:$C,$B130,Sales!$A:$A,"&gt;="&amp;EDATE(TODAY(),-6))</f>
        <v>0</v>
      </c>
      <c r="E130" s="86">
        <f ca="1" t="shared" ref="E130:E142" si="4">IF($D130&lt;=0,1,(SUMIF($D:$D,"&gt;"&amp;$D130,$D:$D)+$D130)/SUM($D:$D))</f>
        <v>1</v>
      </c>
      <c r="F130" s="102" t="str">
        <f ca="1" t="shared" ref="F130:F142" si="5">IF($D130&lt;=0,"C",IF($E130&lt;=0.7,"A",IF($E130&lt;=0.9,"B","C")))</f>
        <v>C</v>
      </c>
      <c r="G130" s="102" t="s">
        <v>762</v>
      </c>
      <c r="H130" s="102" t="s">
        <v>731</v>
      </c>
      <c r="I130" s="86" t="s">
        <v>1666</v>
      </c>
      <c r="J130" s="86" t="s">
        <v>1667</v>
      </c>
      <c r="K130" s="86" t="s">
        <v>1666</v>
      </c>
      <c r="L130" s="107" t="s">
        <v>1668</v>
      </c>
      <c r="M130" s="86" t="s">
        <v>731</v>
      </c>
      <c r="N130" s="104" t="s">
        <v>1478</v>
      </c>
      <c r="O130" s="104" t="s">
        <v>731</v>
      </c>
      <c r="P130" s="104" t="s">
        <v>731</v>
      </c>
      <c r="Q130" s="86" t="s">
        <v>731</v>
      </c>
      <c r="R130" s="86">
        <v>3.05</v>
      </c>
      <c r="S130" s="104" t="s">
        <v>731</v>
      </c>
      <c r="T130" s="86" t="str">
        <f>IFERROR(VLOOKUP(B130,Sum!A:A,1,0),"")</f>
        <v/>
      </c>
      <c r="U130" s="86" t="s">
        <v>731</v>
      </c>
      <c r="V130" s="86" t="s">
        <v>731</v>
      </c>
      <c r="W130" s="86" t="s">
        <v>731</v>
      </c>
      <c r="X130" s="86" t="s">
        <v>731</v>
      </c>
      <c r="Y130" s="86" t="s">
        <v>731</v>
      </c>
      <c r="Z130" s="86" t="s">
        <v>731</v>
      </c>
      <c r="AA130" s="86"/>
      <c r="AB130" s="86"/>
      <c r="AC130" s="86"/>
      <c r="AD130" s="86"/>
    </row>
    <row r="131" ht="12.75" spans="1:30">
      <c r="A131" s="102" t="s">
        <v>1669</v>
      </c>
      <c r="B131" s="86" t="s">
        <v>1669</v>
      </c>
      <c r="C131" s="103" t="s">
        <v>731</v>
      </c>
      <c r="D131" s="102">
        <f ca="1">SUMIFS(Sales!$G:$G,Sales!$C:$C,$B131,Sales!$A:$A,"&gt;="&amp;EDATE(TODAY(),-6))</f>
        <v>0</v>
      </c>
      <c r="E131" s="86">
        <f ca="1" t="shared" si="4"/>
        <v>1</v>
      </c>
      <c r="F131" s="102" t="str">
        <f ca="1" t="shared" si="5"/>
        <v>C</v>
      </c>
      <c r="G131" s="102" t="s">
        <v>1103</v>
      </c>
      <c r="H131" s="102" t="s">
        <v>731</v>
      </c>
      <c r="I131" s="86" t="s">
        <v>1670</v>
      </c>
      <c r="J131" s="86" t="s">
        <v>1671</v>
      </c>
      <c r="K131" s="86" t="s">
        <v>1670</v>
      </c>
      <c r="L131" s="107" t="s">
        <v>1672</v>
      </c>
      <c r="M131" s="86" t="s">
        <v>731</v>
      </c>
      <c r="N131" s="104" t="s">
        <v>1673</v>
      </c>
      <c r="O131" s="104" t="s">
        <v>731</v>
      </c>
      <c r="P131" s="104" t="s">
        <v>731</v>
      </c>
      <c r="Q131" s="86" t="s">
        <v>731</v>
      </c>
      <c r="R131" s="86">
        <v>3.18</v>
      </c>
      <c r="S131" s="104" t="s">
        <v>731</v>
      </c>
      <c r="T131" s="86" t="str">
        <f>IFERROR(VLOOKUP(B131,Sum!A:A,1,0),"")</f>
        <v/>
      </c>
      <c r="U131" s="86" t="s">
        <v>731</v>
      </c>
      <c r="V131" s="86" t="s">
        <v>731</v>
      </c>
      <c r="W131" s="86" t="s">
        <v>731</v>
      </c>
      <c r="X131" s="86" t="s">
        <v>731</v>
      </c>
      <c r="Y131" s="86" t="s">
        <v>731</v>
      </c>
      <c r="Z131" s="86" t="s">
        <v>731</v>
      </c>
      <c r="AA131" s="86"/>
      <c r="AB131" s="86"/>
      <c r="AC131" s="86"/>
      <c r="AD131" s="86"/>
    </row>
    <row r="132" ht="12.75" spans="1:30">
      <c r="A132" s="102" t="s">
        <v>1674</v>
      </c>
      <c r="B132" s="86" t="s">
        <v>1674</v>
      </c>
      <c r="C132" s="103" t="s">
        <v>731</v>
      </c>
      <c r="D132" s="102">
        <f ca="1">SUMIFS(Sales!$G:$G,Sales!$C:$C,$B132,Sales!$A:$A,"&gt;="&amp;EDATE(TODAY(),-6))</f>
        <v>0</v>
      </c>
      <c r="E132" s="86">
        <f ca="1" t="shared" si="4"/>
        <v>1</v>
      </c>
      <c r="F132" s="102" t="str">
        <f ca="1" t="shared" si="5"/>
        <v>C</v>
      </c>
      <c r="G132" s="102" t="s">
        <v>762</v>
      </c>
      <c r="H132" s="102" t="s">
        <v>731</v>
      </c>
      <c r="I132" s="86" t="s">
        <v>1675</v>
      </c>
      <c r="J132" s="86" t="s">
        <v>1676</v>
      </c>
      <c r="K132" s="86" t="s">
        <v>1675</v>
      </c>
      <c r="L132" s="107" t="s">
        <v>1677</v>
      </c>
      <c r="M132" s="86" t="s">
        <v>731</v>
      </c>
      <c r="N132" s="104" t="s">
        <v>1478</v>
      </c>
      <c r="O132" s="104" t="s">
        <v>731</v>
      </c>
      <c r="P132" s="104" t="s">
        <v>731</v>
      </c>
      <c r="Q132" s="86" t="s">
        <v>731</v>
      </c>
      <c r="R132" s="86">
        <v>1.82</v>
      </c>
      <c r="S132" s="104" t="s">
        <v>731</v>
      </c>
      <c r="T132" s="86" t="str">
        <f>IFERROR(VLOOKUP(B132,Sum!A:A,1,0),"")</f>
        <v/>
      </c>
      <c r="U132" s="86" t="s">
        <v>731</v>
      </c>
      <c r="V132" s="86" t="s">
        <v>731</v>
      </c>
      <c r="W132" s="86" t="s">
        <v>731</v>
      </c>
      <c r="X132" s="86" t="s">
        <v>731</v>
      </c>
      <c r="Y132" s="86" t="s">
        <v>731</v>
      </c>
      <c r="Z132" s="86" t="s">
        <v>731</v>
      </c>
      <c r="AA132" s="86"/>
      <c r="AB132" s="86"/>
      <c r="AC132" s="86"/>
      <c r="AD132" s="86"/>
    </row>
    <row r="133" ht="12.75" spans="1:30">
      <c r="A133" s="102" t="s">
        <v>1678</v>
      </c>
      <c r="B133" s="86" t="s">
        <v>1678</v>
      </c>
      <c r="C133" s="103" t="s">
        <v>731</v>
      </c>
      <c r="D133" s="102">
        <f ca="1">SUMIFS(Sales!$G:$G,Sales!$C:$C,$B133,Sales!$A:$A,"&gt;="&amp;EDATE(TODAY(),-6))</f>
        <v>0</v>
      </c>
      <c r="E133" s="86">
        <f ca="1" t="shared" si="4"/>
        <v>1</v>
      </c>
      <c r="F133" s="102" t="str">
        <f ca="1" t="shared" si="5"/>
        <v>C</v>
      </c>
      <c r="G133" s="102" t="s">
        <v>762</v>
      </c>
      <c r="H133" s="102" t="s">
        <v>731</v>
      </c>
      <c r="I133" s="86" t="s">
        <v>1679</v>
      </c>
      <c r="J133" s="86" t="s">
        <v>1680</v>
      </c>
      <c r="K133" s="86" t="s">
        <v>1679</v>
      </c>
      <c r="L133" s="107" t="s">
        <v>1681</v>
      </c>
      <c r="M133" s="86" t="s">
        <v>731</v>
      </c>
      <c r="N133" s="104" t="s">
        <v>1478</v>
      </c>
      <c r="O133" s="104" t="s">
        <v>731</v>
      </c>
      <c r="P133" s="104" t="s">
        <v>731</v>
      </c>
      <c r="Q133" s="86" t="s">
        <v>731</v>
      </c>
      <c r="R133" s="86">
        <v>2.05</v>
      </c>
      <c r="S133" s="104" t="s">
        <v>731</v>
      </c>
      <c r="T133" s="86" t="str">
        <f>IFERROR(VLOOKUP(B133,Sum!A:A,1,0),"")</f>
        <v/>
      </c>
      <c r="U133" s="86" t="s">
        <v>731</v>
      </c>
      <c r="V133" s="86" t="s">
        <v>731</v>
      </c>
      <c r="W133" s="86" t="s">
        <v>731</v>
      </c>
      <c r="X133" s="86" t="s">
        <v>731</v>
      </c>
      <c r="Y133" s="86" t="s">
        <v>731</v>
      </c>
      <c r="Z133" s="86" t="s">
        <v>731</v>
      </c>
      <c r="AA133" s="86"/>
      <c r="AB133" s="86"/>
      <c r="AC133" s="86"/>
      <c r="AD133" s="86"/>
    </row>
    <row r="134" ht="12.75" spans="1:30">
      <c r="A134" s="102" t="s">
        <v>1682</v>
      </c>
      <c r="B134" s="86" t="s">
        <v>1682</v>
      </c>
      <c r="C134" s="103" t="s">
        <v>731</v>
      </c>
      <c r="D134" s="102">
        <f ca="1">SUMIFS(Sales!$G:$G,Sales!$C:$C,$B134,Sales!$A:$A,"&gt;="&amp;EDATE(TODAY(),-6))</f>
        <v>0</v>
      </c>
      <c r="E134" s="86">
        <f ca="1" t="shared" si="4"/>
        <v>1</v>
      </c>
      <c r="F134" s="102" t="str">
        <f ca="1" t="shared" si="5"/>
        <v>C</v>
      </c>
      <c r="G134" s="102" t="s">
        <v>762</v>
      </c>
      <c r="H134" s="102" t="s">
        <v>731</v>
      </c>
      <c r="I134" s="86" t="s">
        <v>1683</v>
      </c>
      <c r="J134" s="86" t="s">
        <v>1684</v>
      </c>
      <c r="K134" s="86" t="s">
        <v>1683</v>
      </c>
      <c r="L134" s="107" t="s">
        <v>1685</v>
      </c>
      <c r="M134" s="86" t="s">
        <v>731</v>
      </c>
      <c r="N134" s="104" t="s">
        <v>1478</v>
      </c>
      <c r="O134" s="104" t="s">
        <v>731</v>
      </c>
      <c r="P134" s="104" t="s">
        <v>731</v>
      </c>
      <c r="Q134" s="86" t="s">
        <v>731</v>
      </c>
      <c r="R134" s="86">
        <v>1.03</v>
      </c>
      <c r="S134" s="104" t="s">
        <v>731</v>
      </c>
      <c r="T134" s="86" t="str">
        <f>IFERROR(VLOOKUP(B134,Sum!A:A,1,0),"")</f>
        <v/>
      </c>
      <c r="U134" s="86" t="s">
        <v>731</v>
      </c>
      <c r="V134" s="86" t="s">
        <v>731</v>
      </c>
      <c r="W134" s="86" t="s">
        <v>731</v>
      </c>
      <c r="X134" s="86" t="s">
        <v>731</v>
      </c>
      <c r="Y134" s="86" t="s">
        <v>731</v>
      </c>
      <c r="Z134" s="86" t="s">
        <v>731</v>
      </c>
      <c r="AA134" s="86"/>
      <c r="AB134" s="86"/>
      <c r="AC134" s="86"/>
      <c r="AD134" s="86"/>
    </row>
    <row r="135" ht="12.75" spans="1:30">
      <c r="A135" s="102" t="s">
        <v>1686</v>
      </c>
      <c r="B135" s="86" t="s">
        <v>1686</v>
      </c>
      <c r="C135" s="103" t="s">
        <v>731</v>
      </c>
      <c r="D135" s="102">
        <f ca="1">SUMIFS(Sales!$G:$G,Sales!$C:$C,$B135,Sales!$A:$A,"&gt;="&amp;EDATE(TODAY(),-6))</f>
        <v>0</v>
      </c>
      <c r="E135" s="86">
        <f ca="1" t="shared" si="4"/>
        <v>1</v>
      </c>
      <c r="F135" s="102" t="str">
        <f ca="1" t="shared" si="5"/>
        <v>C</v>
      </c>
      <c r="G135" s="102" t="s">
        <v>762</v>
      </c>
      <c r="H135" s="102" t="s">
        <v>703</v>
      </c>
      <c r="I135" s="86" t="s">
        <v>1687</v>
      </c>
      <c r="J135" s="86" t="s">
        <v>1688</v>
      </c>
      <c r="K135" s="86" t="s">
        <v>1687</v>
      </c>
      <c r="L135" s="107" t="s">
        <v>1689</v>
      </c>
      <c r="M135" s="86" t="s">
        <v>731</v>
      </c>
      <c r="N135" s="104" t="s">
        <v>1690</v>
      </c>
      <c r="O135" s="104" t="s">
        <v>731</v>
      </c>
      <c r="P135" s="104" t="s">
        <v>731</v>
      </c>
      <c r="Q135" s="86" t="s">
        <v>731</v>
      </c>
      <c r="R135" s="86">
        <v>2.02</v>
      </c>
      <c r="S135" s="104" t="s">
        <v>731</v>
      </c>
      <c r="T135" s="86" t="str">
        <f>IFERROR(VLOOKUP(B135,Sum!A:A,1,0),"")</f>
        <v/>
      </c>
      <c r="U135" s="86" t="s">
        <v>731</v>
      </c>
      <c r="V135" s="86" t="s">
        <v>731</v>
      </c>
      <c r="W135" s="86" t="s">
        <v>731</v>
      </c>
      <c r="X135" s="86" t="s">
        <v>731</v>
      </c>
      <c r="Y135" s="86" t="s">
        <v>731</v>
      </c>
      <c r="Z135" s="86" t="s">
        <v>731</v>
      </c>
      <c r="AA135" s="86"/>
      <c r="AB135" s="86"/>
      <c r="AC135" s="86"/>
      <c r="AD135" s="86"/>
    </row>
    <row r="136" ht="12.75" spans="1:30">
      <c r="A136" s="102" t="s">
        <v>731</v>
      </c>
      <c r="B136" s="86" t="s">
        <v>1691</v>
      </c>
      <c r="C136" s="103" t="s">
        <v>731</v>
      </c>
      <c r="D136" s="102">
        <f ca="1">SUMIFS(Sales!$G:$G,Sales!$C:$C,$B136,Sales!$A:$A,"&gt;="&amp;EDATE(TODAY(),-6))</f>
        <v>0</v>
      </c>
      <c r="E136" s="86">
        <f ca="1" t="shared" si="4"/>
        <v>1</v>
      </c>
      <c r="F136" s="102" t="str">
        <f ca="1" t="shared" si="5"/>
        <v>C</v>
      </c>
      <c r="G136" s="102" t="s">
        <v>808</v>
      </c>
      <c r="H136" s="102" t="s">
        <v>822</v>
      </c>
      <c r="I136" s="86" t="s">
        <v>731</v>
      </c>
      <c r="J136" s="86" t="s">
        <v>1692</v>
      </c>
      <c r="K136" s="86" t="s">
        <v>731</v>
      </c>
      <c r="L136" s="107" t="s">
        <v>1693</v>
      </c>
      <c r="M136" s="86" t="s">
        <v>731</v>
      </c>
      <c r="N136" s="104" t="s">
        <v>1694</v>
      </c>
      <c r="O136" s="104" t="s">
        <v>731</v>
      </c>
      <c r="P136" s="104" t="s">
        <v>731</v>
      </c>
      <c r="Q136" s="86">
        <v>27</v>
      </c>
      <c r="R136" s="86">
        <v>1.77</v>
      </c>
      <c r="S136" s="104" t="s">
        <v>731</v>
      </c>
      <c r="T136" s="86" t="str">
        <f>IFERROR(VLOOKUP(B136,Sum!A:A,1,0),"")</f>
        <v/>
      </c>
      <c r="U136" s="86" t="s">
        <v>1695</v>
      </c>
      <c r="V136" s="86" t="s">
        <v>829</v>
      </c>
      <c r="W136" s="86" t="s">
        <v>1696</v>
      </c>
      <c r="X136" s="86" t="s">
        <v>1697</v>
      </c>
      <c r="Y136" s="86" t="s">
        <v>1698</v>
      </c>
      <c r="Z136" s="86" t="s">
        <v>1513</v>
      </c>
      <c r="AA136" s="86" t="s">
        <v>1699</v>
      </c>
      <c r="AB136" s="86" t="s">
        <v>1700</v>
      </c>
      <c r="AC136" s="86" t="s">
        <v>1701</v>
      </c>
      <c r="AD136" s="86" t="s">
        <v>1517</v>
      </c>
    </row>
    <row r="137" ht="12.75" spans="1:30">
      <c r="A137" s="102" t="s">
        <v>731</v>
      </c>
      <c r="B137" s="86" t="s">
        <v>1702</v>
      </c>
      <c r="C137" s="103" t="s">
        <v>731</v>
      </c>
      <c r="D137" s="102">
        <f ca="1">SUMIFS(Sales!$G:$G,Sales!$C:$C,$B137,Sales!$A:$A,"&gt;="&amp;EDATE(TODAY(),-6))</f>
        <v>0</v>
      </c>
      <c r="E137" s="86">
        <f ca="1" t="shared" si="4"/>
        <v>1</v>
      </c>
      <c r="F137" s="102" t="str">
        <f ca="1" t="shared" si="5"/>
        <v>C</v>
      </c>
      <c r="G137" s="102" t="s">
        <v>808</v>
      </c>
      <c r="H137" s="102" t="s">
        <v>719</v>
      </c>
      <c r="I137" s="86" t="s">
        <v>731</v>
      </c>
      <c r="J137" s="86" t="s">
        <v>1692</v>
      </c>
      <c r="K137" s="86" t="s">
        <v>731</v>
      </c>
      <c r="L137" s="107" t="s">
        <v>1693</v>
      </c>
      <c r="M137" s="86" t="s">
        <v>731</v>
      </c>
      <c r="N137" s="104" t="s">
        <v>1694</v>
      </c>
      <c r="O137" s="104" t="s">
        <v>731</v>
      </c>
      <c r="P137" s="104" t="s">
        <v>731</v>
      </c>
      <c r="Q137" s="86">
        <v>27</v>
      </c>
      <c r="R137" s="86">
        <v>1.77</v>
      </c>
      <c r="S137" s="104" t="s">
        <v>731</v>
      </c>
      <c r="T137" s="86" t="str">
        <f>IFERROR(VLOOKUP(B137,Sum!A:A,1,0),"")</f>
        <v/>
      </c>
      <c r="U137" s="86" t="s">
        <v>1695</v>
      </c>
      <c r="V137" s="86" t="s">
        <v>829</v>
      </c>
      <c r="W137" s="86" t="s">
        <v>1696</v>
      </c>
      <c r="X137" s="86" t="s">
        <v>1697</v>
      </c>
      <c r="Y137" s="86" t="s">
        <v>1698</v>
      </c>
      <c r="Z137" s="86" t="s">
        <v>1513</v>
      </c>
      <c r="AA137" s="86"/>
      <c r="AB137" s="86"/>
      <c r="AC137" s="86"/>
      <c r="AD137" s="86"/>
    </row>
    <row r="138" ht="12.75" spans="1:30">
      <c r="A138" s="102" t="s">
        <v>731</v>
      </c>
      <c r="B138" s="86" t="s">
        <v>1703</v>
      </c>
      <c r="C138" s="103" t="s">
        <v>731</v>
      </c>
      <c r="D138" s="102">
        <f ca="1">SUMIFS(Sales!$G:$G,Sales!$C:$C,$B138,Sales!$A:$A,"&gt;="&amp;EDATE(TODAY(),-6))</f>
        <v>0</v>
      </c>
      <c r="E138" s="86">
        <f ca="1" t="shared" si="4"/>
        <v>1</v>
      </c>
      <c r="F138" s="102" t="str">
        <f ca="1" t="shared" si="5"/>
        <v>C</v>
      </c>
      <c r="G138" s="102" t="s">
        <v>862</v>
      </c>
      <c r="H138" s="102" t="s">
        <v>731</v>
      </c>
      <c r="I138" s="86" t="s">
        <v>731</v>
      </c>
      <c r="J138" s="86" t="s">
        <v>1704</v>
      </c>
      <c r="K138" s="86" t="s">
        <v>731</v>
      </c>
      <c r="L138" s="107" t="s">
        <v>1705</v>
      </c>
      <c r="M138" s="86" t="s">
        <v>731</v>
      </c>
      <c r="N138" s="104" t="s">
        <v>731</v>
      </c>
      <c r="O138" s="104" t="s">
        <v>731</v>
      </c>
      <c r="P138" s="104" t="s">
        <v>731</v>
      </c>
      <c r="Q138" s="86">
        <v>1</v>
      </c>
      <c r="R138" s="86">
        <v>64.4</v>
      </c>
      <c r="S138" s="104" t="s">
        <v>731</v>
      </c>
      <c r="T138" s="86" t="str">
        <f>IFERROR(VLOOKUP(B138,Sum!A:A,1,0),"")</f>
        <v/>
      </c>
      <c r="U138" s="86" t="s">
        <v>731</v>
      </c>
      <c r="V138" s="86" t="s">
        <v>731</v>
      </c>
      <c r="W138" s="86" t="s">
        <v>731</v>
      </c>
      <c r="X138" s="86" t="s">
        <v>731</v>
      </c>
      <c r="Y138" s="86" t="s">
        <v>731</v>
      </c>
      <c r="Z138" s="86" t="s">
        <v>731</v>
      </c>
      <c r="AA138" s="86"/>
      <c r="AB138" s="86"/>
      <c r="AC138" s="86"/>
      <c r="AD138" s="86"/>
    </row>
    <row r="139" ht="12.75" spans="1:30">
      <c r="A139" s="102" t="s">
        <v>731</v>
      </c>
      <c r="B139" s="86" t="s">
        <v>1706</v>
      </c>
      <c r="C139" s="103" t="s">
        <v>731</v>
      </c>
      <c r="D139" s="102">
        <f ca="1">SUMIFS(Sales!$G:$G,Sales!$C:$C,$B139,Sales!$A:$A,"&gt;="&amp;EDATE(TODAY(),-6))</f>
        <v>0</v>
      </c>
      <c r="E139" s="86">
        <f ca="1" t="shared" si="4"/>
        <v>1</v>
      </c>
      <c r="F139" s="102" t="str">
        <f ca="1" t="shared" si="5"/>
        <v>C</v>
      </c>
      <c r="G139" s="102" t="s">
        <v>686</v>
      </c>
      <c r="H139" s="102" t="s">
        <v>1707</v>
      </c>
      <c r="I139" s="86" t="s">
        <v>1708</v>
      </c>
      <c r="J139" s="86" t="s">
        <v>1709</v>
      </c>
      <c r="K139" s="86" t="s">
        <v>1708</v>
      </c>
      <c r="L139" s="107" t="s">
        <v>1710</v>
      </c>
      <c r="M139" s="86" t="s">
        <v>731</v>
      </c>
      <c r="N139" s="104" t="s">
        <v>1711</v>
      </c>
      <c r="O139" s="104" t="s">
        <v>731</v>
      </c>
      <c r="P139" s="104" t="s">
        <v>731</v>
      </c>
      <c r="Q139" s="86" t="s">
        <v>731</v>
      </c>
      <c r="R139" s="86">
        <v>8.2</v>
      </c>
      <c r="S139" s="104" t="s">
        <v>731</v>
      </c>
      <c r="T139" s="86" t="str">
        <f>IFERROR(VLOOKUP(B139,Sum!A:A,1,0),"")</f>
        <v/>
      </c>
      <c r="U139" s="86" t="s">
        <v>1712</v>
      </c>
      <c r="V139" s="86" t="s">
        <v>1713</v>
      </c>
      <c r="W139" s="86" t="s">
        <v>1714</v>
      </c>
      <c r="X139" s="86" t="s">
        <v>1715</v>
      </c>
      <c r="Y139" s="86" t="s">
        <v>1716</v>
      </c>
      <c r="Z139" s="86" t="s">
        <v>1717</v>
      </c>
      <c r="AA139" s="86"/>
      <c r="AB139" s="86"/>
      <c r="AC139" s="86"/>
      <c r="AD139" s="86"/>
    </row>
    <row r="140" ht="12.75" spans="1:30">
      <c r="A140" s="102" t="s">
        <v>731</v>
      </c>
      <c r="B140" s="86" t="s">
        <v>1718</v>
      </c>
      <c r="C140" s="103" t="s">
        <v>731</v>
      </c>
      <c r="D140" s="102">
        <f ca="1">SUMIFS(Sales!$G:$G,Sales!$C:$C,$B140,Sales!$A:$A,"&gt;="&amp;EDATE(TODAY(),-6))</f>
        <v>0</v>
      </c>
      <c r="E140" s="86">
        <f ca="1" t="shared" si="4"/>
        <v>1</v>
      </c>
      <c r="F140" s="102" t="str">
        <f ca="1" t="shared" si="5"/>
        <v>C</v>
      </c>
      <c r="G140" s="102" t="s">
        <v>686</v>
      </c>
      <c r="H140" s="102" t="s">
        <v>1719</v>
      </c>
      <c r="I140" s="86" t="s">
        <v>1708</v>
      </c>
      <c r="J140" s="86" t="s">
        <v>1709</v>
      </c>
      <c r="K140" s="86" t="s">
        <v>1708</v>
      </c>
      <c r="L140" s="107" t="s">
        <v>1710</v>
      </c>
      <c r="M140" s="86" t="s">
        <v>731</v>
      </c>
      <c r="N140" s="104" t="s">
        <v>1711</v>
      </c>
      <c r="O140" s="104" t="s">
        <v>731</v>
      </c>
      <c r="P140" s="104" t="s">
        <v>731</v>
      </c>
      <c r="Q140" s="86" t="s">
        <v>731</v>
      </c>
      <c r="R140" s="86">
        <v>8.2</v>
      </c>
      <c r="S140" s="104" t="s">
        <v>731</v>
      </c>
      <c r="T140" s="86" t="str">
        <f>IFERROR(VLOOKUP(B140,Sum!A:A,1,0),"")</f>
        <v/>
      </c>
      <c r="U140" s="86" t="s">
        <v>1712</v>
      </c>
      <c r="V140" s="86" t="s">
        <v>1713</v>
      </c>
      <c r="W140" s="86" t="s">
        <v>1714</v>
      </c>
      <c r="X140" s="86" t="s">
        <v>1715</v>
      </c>
      <c r="Y140" s="86" t="s">
        <v>1716</v>
      </c>
      <c r="Z140" s="86" t="s">
        <v>1717</v>
      </c>
      <c r="AA140" s="86"/>
      <c r="AB140" s="86"/>
      <c r="AC140" s="86"/>
      <c r="AD140" s="86"/>
    </row>
    <row r="141" ht="12.75" spans="1:30">
      <c r="A141" s="102" t="s">
        <v>731</v>
      </c>
      <c r="B141" s="86" t="s">
        <v>1720</v>
      </c>
      <c r="C141" s="103" t="s">
        <v>731</v>
      </c>
      <c r="D141" s="102">
        <f ca="1">SUMIFS(Sales!$G:$G,Sales!$C:$C,$B141,Sales!$A:$A,"&gt;="&amp;EDATE(TODAY(),-6))</f>
        <v>0</v>
      </c>
      <c r="E141" s="86">
        <f ca="1" t="shared" si="4"/>
        <v>1</v>
      </c>
      <c r="F141" s="102" t="str">
        <f ca="1" t="shared" si="5"/>
        <v>C</v>
      </c>
      <c r="G141" s="102" t="s">
        <v>686</v>
      </c>
      <c r="H141" s="102" t="s">
        <v>731</v>
      </c>
      <c r="I141" s="86" t="s">
        <v>731</v>
      </c>
      <c r="J141" s="86" t="s">
        <v>1721</v>
      </c>
      <c r="K141" s="86" t="s">
        <v>731</v>
      </c>
      <c r="L141" s="107" t="s">
        <v>1722</v>
      </c>
      <c r="M141" s="86" t="s">
        <v>731</v>
      </c>
      <c r="N141" s="104" t="s">
        <v>731</v>
      </c>
      <c r="O141" s="104" t="s">
        <v>731</v>
      </c>
      <c r="P141" s="104" t="s">
        <v>731</v>
      </c>
      <c r="Q141" s="86" t="s">
        <v>731</v>
      </c>
      <c r="R141" s="86">
        <v>9.85</v>
      </c>
      <c r="S141" s="104" t="s">
        <v>731</v>
      </c>
      <c r="T141" s="86" t="str">
        <f>IFERROR(VLOOKUP(B141,Sum!A:A,1,0),"")</f>
        <v/>
      </c>
      <c r="U141" s="86" t="s">
        <v>731</v>
      </c>
      <c r="V141" s="86" t="s">
        <v>731</v>
      </c>
      <c r="W141" s="86" t="s">
        <v>731</v>
      </c>
      <c r="X141" s="86" t="s">
        <v>731</v>
      </c>
      <c r="Y141" s="86" t="s">
        <v>731</v>
      </c>
      <c r="Z141" s="86" t="s">
        <v>731</v>
      </c>
      <c r="AA141" s="86"/>
      <c r="AB141" s="86"/>
      <c r="AC141" s="86"/>
      <c r="AD141" s="86"/>
    </row>
    <row r="142" ht="12.75" spans="1:30">
      <c r="A142" s="102" t="s">
        <v>731</v>
      </c>
      <c r="B142" s="86" t="s">
        <v>1723</v>
      </c>
      <c r="C142" s="103" t="s">
        <v>731</v>
      </c>
      <c r="D142" s="102">
        <f ca="1">SUMIFS(Sales!$G:$G,Sales!$C:$C,$B142,Sales!$A:$A,"&gt;="&amp;EDATE(TODAY(),-6))</f>
        <v>0</v>
      </c>
      <c r="E142" s="86">
        <f ca="1" t="shared" si="4"/>
        <v>1</v>
      </c>
      <c r="F142" s="102" t="str">
        <f ca="1" t="shared" si="5"/>
        <v>C</v>
      </c>
      <c r="G142" s="102" t="s">
        <v>686</v>
      </c>
      <c r="H142" s="102" t="s">
        <v>731</v>
      </c>
      <c r="I142" s="86" t="s">
        <v>731</v>
      </c>
      <c r="J142" s="86" t="s">
        <v>1724</v>
      </c>
      <c r="K142" s="86" t="s">
        <v>731</v>
      </c>
      <c r="L142" s="107" t="s">
        <v>1725</v>
      </c>
      <c r="M142" s="86" t="s">
        <v>731</v>
      </c>
      <c r="N142" s="104" t="s">
        <v>731</v>
      </c>
      <c r="O142" s="104" t="s">
        <v>731</v>
      </c>
      <c r="P142" s="104" t="s">
        <v>731</v>
      </c>
      <c r="Q142" s="86" t="s">
        <v>731</v>
      </c>
      <c r="R142" s="86">
        <v>10.65</v>
      </c>
      <c r="S142" s="104" t="s">
        <v>731</v>
      </c>
      <c r="T142" s="86" t="str">
        <f>IFERROR(VLOOKUP(B142,Sum!A:A,1,0),"")</f>
        <v/>
      </c>
      <c r="U142" s="86" t="s">
        <v>731</v>
      </c>
      <c r="V142" s="86" t="s">
        <v>731</v>
      </c>
      <c r="W142" s="86" t="s">
        <v>731</v>
      </c>
      <c r="X142" s="86" t="s">
        <v>731</v>
      </c>
      <c r="Y142" s="86" t="s">
        <v>731</v>
      </c>
      <c r="Z142" s="86" t="s">
        <v>731</v>
      </c>
      <c r="AA142" s="86"/>
      <c r="AB142" s="86"/>
      <c r="AC142" s="86"/>
      <c r="AD142" s="86"/>
    </row>
  </sheetData>
  <sheetProtection formatCells="0" formatColumns="0" formatRows="0" insertRows="0" insertColumns="0" insertHyperlinks="0" deleteColumns="0" deleteRows="0" sort="0" autoFilter="0" pivotTables="0"/>
  <autoFilter xmlns:etc="http://www.wps.cn/officeDocument/2017/etCustomData" ref="A1:T142" etc:filterBottomFollowUsedRange="1">
    <extLst/>
  </autoFilter>
  <conditionalFormatting sqref="B103:B142">
    <cfRule type="duplicateValues" dxfId="0" priority="1"/>
  </conditionalFormatting>
  <conditionalFormatting sqref="B1:B102 B143:B1048576">
    <cfRule type="duplicateValues" dxfId="0" priority="4"/>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BE5D6"/>
    <outlinePr summaryBelow="0" summaryRight="0"/>
  </sheetPr>
  <dimension ref="A1:AP149"/>
  <sheetViews>
    <sheetView zoomScale="61" zoomScaleNormal="61" workbookViewId="0">
      <selection activeCell="A26" sqref="A26"/>
    </sheetView>
  </sheetViews>
  <sheetFormatPr defaultColWidth="12.6285714285714" defaultRowHeight="15.75" customHeight="1"/>
  <cols>
    <col min="1" max="1" width="18" customWidth="1"/>
    <col min="2" max="2" width="19.2571428571429" customWidth="1"/>
    <col min="3" max="3" width="18.7714285714286" customWidth="1"/>
    <col min="4" max="4" width="8.85714285714286" customWidth="1"/>
    <col min="5" max="5" width="10.5047619047619" customWidth="1"/>
    <col min="6" max="6" width="17.6380952380952" customWidth="1"/>
    <col min="7" max="7" width="7.3047619047619" customWidth="1"/>
    <col min="8" max="8" width="18.7714285714286" customWidth="1"/>
    <col min="9" max="9" width="12.1428571428571" customWidth="1"/>
    <col min="10" max="10" width="7.56190476190476" customWidth="1"/>
    <col min="11" max="11" width="9.52380952380952" customWidth="1"/>
    <col min="12" max="13" width="7.56190476190476" customWidth="1"/>
    <col min="14" max="32" width="8.04761904761905" customWidth="1"/>
    <col min="33" max="33" width="9.42857142857143" customWidth="1" outlineLevel="1"/>
    <col min="34" max="34" width="10.1428571428571" customWidth="1" outlineLevel="1"/>
    <col min="35" max="35" width="10.2190476190476" customWidth="1" outlineLevel="1"/>
    <col min="36" max="36" width="10.1428571428571" customWidth="1" outlineLevel="1"/>
    <col min="37" max="37" width="10.2190476190476" customWidth="1" outlineLevel="1"/>
    <col min="38" max="38" width="10.1428571428571" customWidth="1" outlineLevel="1"/>
    <col min="39" max="39" width="4.63809523809524" customWidth="1" outlineLevel="1"/>
    <col min="40" max="40" width="11.9333333333333" customWidth="1" outlineLevel="1"/>
    <col min="41" max="41" width="31.7142857142857" customWidth="1" outlineLevel="1"/>
    <col min="42" max="42" width="44.7142857142857" customWidth="1" outlineLevel="1"/>
  </cols>
  <sheetData>
    <row r="1" customHeight="1" spans="1:42">
      <c r="A1" s="85" t="s">
        <v>288</v>
      </c>
      <c r="B1" s="85" t="s">
        <v>663</v>
      </c>
      <c r="C1" s="90" t="s">
        <v>671</v>
      </c>
      <c r="D1" s="85" t="s">
        <v>23</v>
      </c>
      <c r="E1" s="85" t="s">
        <v>1726</v>
      </c>
      <c r="F1" s="85" t="s">
        <v>1727</v>
      </c>
      <c r="G1" s="85" t="s">
        <v>25</v>
      </c>
      <c r="H1" s="90" t="s">
        <v>543</v>
      </c>
      <c r="I1" s="85" t="s">
        <v>1728</v>
      </c>
      <c r="J1" s="90" t="s">
        <v>1729</v>
      </c>
      <c r="K1" s="90" t="s">
        <v>1730</v>
      </c>
      <c r="L1" s="90" t="s">
        <v>1731</v>
      </c>
      <c r="M1" s="85" t="s">
        <v>1732</v>
      </c>
      <c r="N1" s="90" t="s">
        <v>244</v>
      </c>
      <c r="O1" s="90" t="s">
        <v>1733</v>
      </c>
      <c r="P1" s="90" t="s">
        <v>1734</v>
      </c>
      <c r="Q1" s="90" t="s">
        <v>1735</v>
      </c>
      <c r="R1" s="90" t="s">
        <v>1736</v>
      </c>
      <c r="S1" s="90" t="s">
        <v>1737</v>
      </c>
      <c r="T1" s="90" t="s">
        <v>1738</v>
      </c>
      <c r="U1" s="90" t="s">
        <v>1739</v>
      </c>
      <c r="V1" s="90" t="s">
        <v>1740</v>
      </c>
      <c r="W1" s="90" t="s">
        <v>1741</v>
      </c>
      <c r="X1" s="90" t="s">
        <v>1742</v>
      </c>
      <c r="Y1" s="90" t="s">
        <v>1743</v>
      </c>
      <c r="Z1" s="90" t="s">
        <v>1744</v>
      </c>
      <c r="AA1" s="90" t="s">
        <v>1745</v>
      </c>
      <c r="AB1" s="90" t="s">
        <v>1746</v>
      </c>
      <c r="AC1" s="90" t="s">
        <v>1747</v>
      </c>
      <c r="AD1" s="90" t="s">
        <v>1748</v>
      </c>
      <c r="AE1" s="90" t="s">
        <v>1749</v>
      </c>
      <c r="AF1" s="90" t="s">
        <v>1750</v>
      </c>
      <c r="AG1" s="85" t="s">
        <v>1751</v>
      </c>
      <c r="AH1" s="85" t="s">
        <v>1752</v>
      </c>
      <c r="AI1" s="85" t="s">
        <v>1753</v>
      </c>
      <c r="AJ1" s="85" t="s">
        <v>1754</v>
      </c>
      <c r="AK1" s="85" t="s">
        <v>1755</v>
      </c>
      <c r="AL1" s="85" t="s">
        <v>1756</v>
      </c>
      <c r="AM1" s="85" t="s">
        <v>27</v>
      </c>
      <c r="AN1" s="85" t="s">
        <v>1757</v>
      </c>
      <c r="AO1" s="85" t="s">
        <v>1758</v>
      </c>
      <c r="AP1" s="85" t="s">
        <v>1759</v>
      </c>
    </row>
    <row r="2" customHeight="1" spans="1:42">
      <c r="A2" s="86" t="s">
        <v>28</v>
      </c>
      <c r="B2" s="91" t="str">
        <f>_xlfn.XLOOKUP(A2,'Product List'!B:B,'Product List'!A:A)</f>
        <v>BOBO22</v>
      </c>
      <c r="C2" s="86" t="str">
        <f>_xlfn.XLOOKUP(A2,'Product List'!B:B,'Product List'!L:L)</f>
        <v>跑轮-波波跑轮8.5英寸 绿色</v>
      </c>
      <c r="D2" s="86">
        <v>16</v>
      </c>
      <c r="E2" s="86" t="s">
        <v>1760</v>
      </c>
      <c r="F2" s="92">
        <v>46322</v>
      </c>
      <c r="G2" s="86" t="s">
        <v>1761</v>
      </c>
      <c r="H2" s="86" t="s">
        <v>1762</v>
      </c>
      <c r="I2" s="93">
        <v>46322</v>
      </c>
      <c r="J2" s="86">
        <v>384</v>
      </c>
      <c r="K2" s="93">
        <f>IF(OR(I2="",J2=""),"",IF(_xlfn.XLOOKUP(A2,Sum!A:A,Sum!O:O)&gt;0,I2+ROUNDUP(J2/_xlfn.XLOOKUP(A2,Sum!A:A,Sum!O:O)*7,0),"无预测，无法估算"))</f>
        <v>46535</v>
      </c>
      <c r="L2" s="93"/>
      <c r="M2" s="93">
        <f t="shared" ref="M2:M8" si="0">IF(ISNUMBER(K2),EDATE(K2,-1),"")</f>
        <v>46505</v>
      </c>
      <c r="N2" s="86"/>
      <c r="O2" s="86">
        <v>8.39</v>
      </c>
      <c r="P2" s="86">
        <v>4.72</v>
      </c>
      <c r="Q2" s="86">
        <v>10.28</v>
      </c>
      <c r="R2" s="86">
        <v>8.39</v>
      </c>
      <c r="S2" s="86">
        <v>4.72</v>
      </c>
      <c r="T2" s="86">
        <v>10.28</v>
      </c>
      <c r="U2" s="86">
        <f>_xlfn.XLOOKUP(G2,'Case Type'!A:A,'Case Type'!B:B)</f>
        <v>24</v>
      </c>
      <c r="V2" s="86">
        <f>_xlfn.XLOOKUP(G2,'Case Type'!A:A,'Case Type'!C:C)</f>
        <v>20</v>
      </c>
      <c r="W2" s="86">
        <f>_xlfn.XLOOKUP(G2,'Case Type'!A:A,'Case Type'!D:D)</f>
        <v>20</v>
      </c>
      <c r="X2" s="86">
        <v>21.32</v>
      </c>
      <c r="Y2" s="86">
        <v>11.99</v>
      </c>
      <c r="Z2" s="86">
        <v>26.12</v>
      </c>
      <c r="AA2" s="86">
        <v>27.51</v>
      </c>
      <c r="AB2" s="86">
        <v>17</v>
      </c>
      <c r="AC2" s="86">
        <v>29.01</v>
      </c>
      <c r="AD2" s="86">
        <f>_xlfn.XLOOKUP(G2,'Case Type'!A:A,'Case Type'!E:E)</f>
        <v>60.96</v>
      </c>
      <c r="AE2" s="86">
        <f>_xlfn.XLOOKUP(G2,'Case Type'!A:A,'Case Type'!F:F)</f>
        <v>50.8</v>
      </c>
      <c r="AF2" s="86">
        <f>_xlfn.XLOOKUP(G2,'Case Type'!A:A,'Case Type'!G:G)</f>
        <v>50.8</v>
      </c>
      <c r="AG2" s="87"/>
      <c r="AH2" s="87"/>
      <c r="AI2" s="87"/>
      <c r="AJ2" s="87"/>
      <c r="AK2" s="87"/>
      <c r="AL2" s="87"/>
      <c r="AM2" s="87"/>
      <c r="AN2" s="87"/>
      <c r="AO2" s="87"/>
      <c r="AP2" s="87"/>
    </row>
    <row r="3" customFormat="1" customHeight="1" spans="1:42">
      <c r="A3" s="94" t="s">
        <v>29</v>
      </c>
      <c r="B3" s="91" t="str">
        <f>_xlfn.XLOOKUP(A3,'Product List'!B:B,'Product List'!A:A)</f>
        <v>BOBO22</v>
      </c>
      <c r="C3" s="86" t="str">
        <f>_xlfn.XLOOKUP(A3,'Product List'!B:B,'Product List'!L:L)</f>
        <v>跑轮-波波跑轮8.5英寸 白色</v>
      </c>
      <c r="D3" s="86">
        <v>16</v>
      </c>
      <c r="E3" s="86" t="s">
        <v>1760</v>
      </c>
      <c r="F3" s="92">
        <v>46322</v>
      </c>
      <c r="G3" s="86" t="s">
        <v>1761</v>
      </c>
      <c r="H3" s="86" t="s">
        <v>1762</v>
      </c>
      <c r="I3" s="93">
        <v>46322</v>
      </c>
      <c r="J3" s="86">
        <v>5280</v>
      </c>
      <c r="K3" s="93">
        <f>IF(OR(I3="",J3=""),"",IF(_xlfn.XLOOKUP(A3,Sum!A:A,Sum!O:O)&gt;0,I3+ROUNDUP(J3/_xlfn.XLOOKUP(A3,Sum!A:A,Sum!O:O)*7,0),"无预测，无法估算"))</f>
        <v>46710</v>
      </c>
      <c r="L3" s="93"/>
      <c r="M3" s="93">
        <f t="shared" si="0"/>
        <v>46679</v>
      </c>
      <c r="N3" s="86"/>
      <c r="O3" s="86">
        <v>8.39</v>
      </c>
      <c r="P3" s="86">
        <v>4.72</v>
      </c>
      <c r="Q3" s="86">
        <v>10.28</v>
      </c>
      <c r="R3" s="86">
        <v>8.39</v>
      </c>
      <c r="S3" s="86">
        <v>4.72</v>
      </c>
      <c r="T3" s="86">
        <v>10.28</v>
      </c>
      <c r="U3" s="86">
        <f>_xlfn.XLOOKUP(G3,'Case Type'!A:A,'Case Type'!B:B)</f>
        <v>24</v>
      </c>
      <c r="V3" s="86">
        <f>_xlfn.XLOOKUP(G3,'Case Type'!A:A,'Case Type'!C:C)</f>
        <v>20</v>
      </c>
      <c r="W3" s="86">
        <f>_xlfn.XLOOKUP(G3,'Case Type'!A:A,'Case Type'!D:D)</f>
        <v>20</v>
      </c>
      <c r="X3" s="86">
        <v>21.32</v>
      </c>
      <c r="Y3" s="86">
        <v>11.99</v>
      </c>
      <c r="Z3" s="86">
        <v>26.12</v>
      </c>
      <c r="AA3" s="86">
        <v>27.51</v>
      </c>
      <c r="AB3" s="86">
        <v>17</v>
      </c>
      <c r="AC3" s="86">
        <v>29.01</v>
      </c>
      <c r="AD3" s="86">
        <f>_xlfn.XLOOKUP(G3,'Case Type'!A:A,'Case Type'!E:E)</f>
        <v>60.96</v>
      </c>
      <c r="AE3" s="86">
        <f>_xlfn.XLOOKUP(G3,'Case Type'!A:A,'Case Type'!F:F)</f>
        <v>50.8</v>
      </c>
      <c r="AF3" s="86">
        <f>_xlfn.XLOOKUP(G3,'Case Type'!A:A,'Case Type'!G:G)</f>
        <v>50.8</v>
      </c>
      <c r="AG3" s="87"/>
      <c r="AH3" s="87"/>
      <c r="AI3" s="87"/>
      <c r="AJ3" s="87"/>
      <c r="AK3" s="87"/>
      <c r="AL3" s="87"/>
      <c r="AM3" s="87"/>
      <c r="AN3" s="87"/>
      <c r="AO3" s="87"/>
      <c r="AP3" s="87"/>
    </row>
    <row r="4" customHeight="1" spans="1:42">
      <c r="A4" s="94" t="s">
        <v>75</v>
      </c>
      <c r="B4" s="91" t="str">
        <f>_xlfn.XLOOKUP(A4,'Product List'!B:B,'Product List'!A:A)</f>
        <v>WJ-39</v>
      </c>
      <c r="C4" s="86" t="str">
        <f>_xlfn.XLOOKUP(A4,'Product List'!B:B,'Product List'!L:L)</f>
        <v>跑轮-宽面跑轮 绿色</v>
      </c>
      <c r="D4" s="86">
        <v>4</v>
      </c>
      <c r="E4" s="86" t="s">
        <v>1763</v>
      </c>
      <c r="F4" s="92">
        <v>46288</v>
      </c>
      <c r="G4" s="86" t="s">
        <v>1764</v>
      </c>
      <c r="H4" s="86" t="s">
        <v>1762</v>
      </c>
      <c r="I4" s="93">
        <v>46288</v>
      </c>
      <c r="J4" s="86">
        <v>807</v>
      </c>
      <c r="K4" s="93">
        <f>IF(OR(I4="",J4=""),"",IF(_xlfn.XLOOKUP(A4,Sum!A:A,Sum!O:O)&gt;0,I4+ROUNDUP(J4/_xlfn.XLOOKUP(A4,Sum!A:A,Sum!O:O)*7,0),"无预测，无法估算"))</f>
        <v>57586</v>
      </c>
      <c r="L4" s="93"/>
      <c r="M4" s="93">
        <f t="shared" si="0"/>
        <v>57555</v>
      </c>
      <c r="N4" s="86"/>
      <c r="O4" s="86">
        <v>12.05</v>
      </c>
      <c r="P4" s="86">
        <v>10.63</v>
      </c>
      <c r="Q4" s="86">
        <v>7.32</v>
      </c>
      <c r="R4" s="86">
        <v>12.05</v>
      </c>
      <c r="S4" s="86">
        <v>10.63</v>
      </c>
      <c r="T4" s="86">
        <v>7.32</v>
      </c>
      <c r="U4" s="86">
        <f>_xlfn.XLOOKUP(G4,'Case Type'!A:A,'Case Type'!B:B)</f>
        <v>24</v>
      </c>
      <c r="V4" s="86">
        <f>_xlfn.XLOOKUP(G4,'Case Type'!A:A,'Case Type'!C:C)</f>
        <v>20</v>
      </c>
      <c r="W4" s="86">
        <f>_xlfn.XLOOKUP(G4,'Case Type'!A:A,'Case Type'!D:D)</f>
        <v>11.2</v>
      </c>
      <c r="X4" s="86">
        <v>27</v>
      </c>
      <c r="Y4" s="86">
        <v>18.6</v>
      </c>
      <c r="Z4" s="86">
        <v>30.6</v>
      </c>
      <c r="AA4" s="86">
        <v>37</v>
      </c>
      <c r="AB4" s="86">
        <v>23</v>
      </c>
      <c r="AC4" s="86">
        <v>37</v>
      </c>
      <c r="AD4" s="86">
        <f>_xlfn.XLOOKUP(G4,'Case Type'!A:A,'Case Type'!E:E)</f>
        <v>60.96</v>
      </c>
      <c r="AE4" s="86">
        <f>_xlfn.XLOOKUP(G4,'Case Type'!A:A,'Case Type'!F:F)</f>
        <v>50.8</v>
      </c>
      <c r="AF4" s="86">
        <f>_xlfn.XLOOKUP(G4,'Case Type'!A:A,'Case Type'!G:G)</f>
        <v>28.45</v>
      </c>
      <c r="AG4" s="87"/>
      <c r="AH4" s="87"/>
      <c r="AI4" s="87"/>
      <c r="AJ4" s="87"/>
      <c r="AK4" s="87"/>
      <c r="AL4" s="87"/>
      <c r="AM4" s="87"/>
      <c r="AN4" s="87"/>
      <c r="AO4" s="87"/>
      <c r="AP4" s="87"/>
    </row>
    <row r="5" customHeight="1" spans="1:42">
      <c r="A5" s="86" t="s">
        <v>76</v>
      </c>
      <c r="B5" s="91" t="str">
        <f>_xlfn.XLOOKUP(A5,'Product List'!B:B,'Product List'!A:A)</f>
        <v>WJ-39</v>
      </c>
      <c r="C5" s="86" t="str">
        <f>_xlfn.XLOOKUP(A5,'Product List'!B:B,'Product List'!L:L)</f>
        <v>跑轮-宽面跑轮 粉色</v>
      </c>
      <c r="D5" s="86">
        <v>4</v>
      </c>
      <c r="E5" s="86" t="s">
        <v>1763</v>
      </c>
      <c r="F5" s="92">
        <v>46288</v>
      </c>
      <c r="G5" s="86" t="s">
        <v>1764</v>
      </c>
      <c r="H5" s="86" t="s">
        <v>1762</v>
      </c>
      <c r="I5" s="93">
        <v>46288</v>
      </c>
      <c r="J5" s="86">
        <v>792</v>
      </c>
      <c r="K5" s="93">
        <f>IF(OR(I5="",J5=""),"",IF(_xlfn.XLOOKUP(A5,Sum!A:A,Sum!O:O)&gt;0,I5+ROUNDUP(J5/_xlfn.XLOOKUP(A5,Sum!A:A,Sum!O:O)*7,0),"无预测，无法估算"))</f>
        <v>46605</v>
      </c>
      <c r="L5" s="93"/>
      <c r="M5" s="93">
        <f t="shared" si="0"/>
        <v>46574</v>
      </c>
      <c r="N5" s="86"/>
      <c r="O5" s="86">
        <v>12.05</v>
      </c>
      <c r="P5" s="86">
        <v>10.63</v>
      </c>
      <c r="Q5" s="86">
        <v>7.32</v>
      </c>
      <c r="R5" s="86">
        <v>12.05</v>
      </c>
      <c r="S5" s="86">
        <v>10.63</v>
      </c>
      <c r="T5" s="86">
        <v>7.32</v>
      </c>
      <c r="U5" s="86">
        <f>_xlfn.XLOOKUP(G5,'Case Type'!A:A,'Case Type'!B:B)</f>
        <v>24</v>
      </c>
      <c r="V5" s="86">
        <f>_xlfn.XLOOKUP(G5,'Case Type'!A:A,'Case Type'!C:C)</f>
        <v>20</v>
      </c>
      <c r="W5" s="86">
        <f>_xlfn.XLOOKUP(G5,'Case Type'!A:A,'Case Type'!D:D)</f>
        <v>11.2</v>
      </c>
      <c r="X5" s="86">
        <v>27</v>
      </c>
      <c r="Y5" s="86">
        <v>18.6</v>
      </c>
      <c r="Z5" s="86">
        <v>30.6</v>
      </c>
      <c r="AA5" s="86">
        <v>37</v>
      </c>
      <c r="AB5" s="86">
        <v>23</v>
      </c>
      <c r="AC5" s="86">
        <v>37</v>
      </c>
      <c r="AD5" s="86">
        <f>_xlfn.XLOOKUP(G5,'Case Type'!A:A,'Case Type'!E:E)</f>
        <v>60.96</v>
      </c>
      <c r="AE5" s="86">
        <f>_xlfn.XLOOKUP(G5,'Case Type'!A:A,'Case Type'!F:F)</f>
        <v>50.8</v>
      </c>
      <c r="AF5" s="86">
        <f>_xlfn.XLOOKUP(G5,'Case Type'!A:A,'Case Type'!G:G)</f>
        <v>28.45</v>
      </c>
      <c r="AG5" s="87"/>
      <c r="AH5" s="87"/>
      <c r="AI5" s="87"/>
      <c r="AJ5" s="87"/>
      <c r="AK5" s="87"/>
      <c r="AL5" s="87"/>
      <c r="AM5" s="87"/>
      <c r="AN5" s="87"/>
      <c r="AO5" s="87"/>
      <c r="AP5" s="87"/>
    </row>
    <row r="6" customHeight="1" spans="1:42">
      <c r="A6" s="86" t="s">
        <v>73</v>
      </c>
      <c r="B6" s="91" t="str">
        <f>_xlfn.XLOOKUP(A6,'Product List'!B:B,'Product List'!A:A)</f>
        <v>WJ-13</v>
      </c>
      <c r="C6" s="86" t="str">
        <f>_xlfn.XLOOKUP(A6,'Product List'!B:B,'Product List'!L:L)</f>
        <v>木制躲避屋-帐篷毛毡小屋</v>
      </c>
      <c r="D6" s="86">
        <v>18</v>
      </c>
      <c r="E6" s="86" t="s">
        <v>1763</v>
      </c>
      <c r="F6" s="92">
        <v>46282</v>
      </c>
      <c r="G6" s="86" t="s">
        <v>1765</v>
      </c>
      <c r="H6" s="86" t="s">
        <v>1762</v>
      </c>
      <c r="I6" s="92">
        <v>46282</v>
      </c>
      <c r="J6" s="86">
        <v>5844</v>
      </c>
      <c r="K6" s="93">
        <f>IF(OR(I6="",J6=""),"",IF(_xlfn.XLOOKUP(A6,Sum!A:A,Sum!O:O)&gt;0,I6+ROUNDUP(J6/_xlfn.XLOOKUP(A6,Sum!A:A,Sum!O:O)*7,0),"无预测，无法估算"))</f>
        <v>46460</v>
      </c>
      <c r="L6" s="93"/>
      <c r="M6" s="93">
        <f t="shared" si="0"/>
        <v>46432</v>
      </c>
      <c r="N6" s="86"/>
      <c r="O6" s="86">
        <v>6.5</v>
      </c>
      <c r="P6" s="86">
        <v>6.34</v>
      </c>
      <c r="Q6" s="86">
        <v>5.55</v>
      </c>
      <c r="R6" s="86">
        <v>6.5</v>
      </c>
      <c r="S6" s="86">
        <v>6.34</v>
      </c>
      <c r="T6" s="86">
        <v>5.55</v>
      </c>
      <c r="U6" s="86">
        <f>_xlfn.XLOOKUP(G6,'Case Type'!A:A,'Case Type'!B:B)</f>
        <v>16</v>
      </c>
      <c r="V6" s="86">
        <f>_xlfn.XLOOKUP(G6,'Case Type'!A:A,'Case Type'!C:C)</f>
        <v>20</v>
      </c>
      <c r="W6" s="86">
        <f>_xlfn.XLOOKUP(G6,'Case Type'!A:A,'Case Type'!D:D)</f>
        <v>14</v>
      </c>
      <c r="X6" s="86">
        <v>16.5</v>
      </c>
      <c r="Y6" s="86">
        <v>16.1</v>
      </c>
      <c r="Z6" s="86">
        <v>14.1</v>
      </c>
      <c r="AA6" s="86">
        <v>18</v>
      </c>
      <c r="AB6" s="86">
        <v>15.5</v>
      </c>
      <c r="AC6" s="86">
        <v>17.5</v>
      </c>
      <c r="AD6" s="86">
        <f>_xlfn.XLOOKUP(G6,'Case Type'!A:A,'Case Type'!E:E)</f>
        <v>40.64</v>
      </c>
      <c r="AE6" s="86">
        <f>_xlfn.XLOOKUP(G6,'Case Type'!A:A,'Case Type'!F:F)</f>
        <v>50.8</v>
      </c>
      <c r="AF6" s="86">
        <f>_xlfn.XLOOKUP(G6,'Case Type'!A:A,'Case Type'!G:G)</f>
        <v>35.56</v>
      </c>
      <c r="AG6" s="87"/>
      <c r="AH6" s="87"/>
      <c r="AI6" s="87"/>
      <c r="AJ6" s="87"/>
      <c r="AK6" s="87"/>
      <c r="AL6" s="87"/>
      <c r="AM6" s="87"/>
      <c r="AN6" s="87"/>
      <c r="AO6" s="87"/>
      <c r="AP6" s="87"/>
    </row>
    <row r="7" customHeight="1" spans="1:42">
      <c r="A7" s="86" t="s">
        <v>28</v>
      </c>
      <c r="B7" s="91" t="str">
        <f>_xlfn.XLOOKUP(A7,'Product List'!B:B,'Product List'!A:A)</f>
        <v>BOBO22</v>
      </c>
      <c r="C7" s="86" t="str">
        <f>_xlfn.XLOOKUP(A7,'Product List'!B:B,'Product List'!L:L)</f>
        <v>跑轮-波波跑轮8.5英寸 绿色</v>
      </c>
      <c r="D7" s="86">
        <v>8</v>
      </c>
      <c r="E7" s="86" t="s">
        <v>1763</v>
      </c>
      <c r="F7" s="92">
        <v>46272</v>
      </c>
      <c r="G7" s="86" t="s">
        <v>1766</v>
      </c>
      <c r="H7" s="86" t="s">
        <v>1762</v>
      </c>
      <c r="I7" s="93">
        <v>46272</v>
      </c>
      <c r="J7" s="86">
        <v>480</v>
      </c>
      <c r="K7" s="93">
        <f>IF(OR(I7="",J7=""),"",IF(_xlfn.XLOOKUP(A7,Sum!A:A,Sum!O:O)&gt;0,I7+ROUNDUP(J7/_xlfn.XLOOKUP(A7,Sum!A:A,Sum!O:O)*7,0),"无预测，无法估算"))</f>
        <v>46538</v>
      </c>
      <c r="L7" s="93"/>
      <c r="M7" s="93">
        <f t="shared" si="0"/>
        <v>46507</v>
      </c>
      <c r="N7" s="86"/>
      <c r="O7" s="86">
        <v>8.39</v>
      </c>
      <c r="P7" s="86">
        <v>4.72</v>
      </c>
      <c r="Q7" s="86">
        <v>10.28</v>
      </c>
      <c r="R7" s="86">
        <v>8.39</v>
      </c>
      <c r="S7" s="86">
        <v>4.72</v>
      </c>
      <c r="T7" s="86">
        <v>10.28</v>
      </c>
      <c r="U7" s="86">
        <f>_xlfn.XLOOKUP(G7,'Case Type'!A:A,'Case Type'!B:B)</f>
        <v>24</v>
      </c>
      <c r="V7" s="86">
        <f>_xlfn.XLOOKUP(G7,'Case Type'!A:A,'Case Type'!C:C)</f>
        <v>20</v>
      </c>
      <c r="W7" s="86">
        <f>_xlfn.XLOOKUP(G7,'Case Type'!A:A,'Case Type'!D:D)</f>
        <v>14</v>
      </c>
      <c r="X7" s="86">
        <v>21.32</v>
      </c>
      <c r="Y7" s="86">
        <v>11.99</v>
      </c>
      <c r="Z7" s="86">
        <v>26.12</v>
      </c>
      <c r="AA7" s="86">
        <v>27.51</v>
      </c>
      <c r="AB7" s="86">
        <v>17</v>
      </c>
      <c r="AC7" s="86">
        <v>29.01</v>
      </c>
      <c r="AD7" s="86">
        <f>_xlfn.XLOOKUP(G7,'Case Type'!A:A,'Case Type'!E:E)</f>
        <v>60.96</v>
      </c>
      <c r="AE7" s="86">
        <f>_xlfn.XLOOKUP(G7,'Case Type'!A:A,'Case Type'!F:F)</f>
        <v>50.8</v>
      </c>
      <c r="AF7" s="86">
        <f>_xlfn.XLOOKUP(G7,'Case Type'!A:A,'Case Type'!G:G)</f>
        <v>35.56</v>
      </c>
      <c r="AG7" s="87"/>
      <c r="AH7" s="87"/>
      <c r="AI7" s="87"/>
      <c r="AJ7" s="87"/>
      <c r="AK7" s="87"/>
      <c r="AL7" s="87"/>
      <c r="AM7" s="87"/>
      <c r="AN7" s="87"/>
      <c r="AO7" s="87"/>
      <c r="AP7" s="87"/>
    </row>
    <row r="8" customFormat="1" customHeight="1" spans="1:42">
      <c r="A8" s="94" t="s">
        <v>29</v>
      </c>
      <c r="B8" s="91" t="str">
        <f>_xlfn.XLOOKUP(A8,'Product List'!B:B,'Product List'!A:A)</f>
        <v>BOBO22</v>
      </c>
      <c r="C8" s="86" t="str">
        <f>_xlfn.XLOOKUP(A8,'Product List'!B:B,'Product List'!L:L)</f>
        <v>跑轮-波波跑轮8.5英寸 白色</v>
      </c>
      <c r="D8" s="86">
        <v>8</v>
      </c>
      <c r="E8" s="86" t="s">
        <v>1763</v>
      </c>
      <c r="F8" s="92">
        <v>46272</v>
      </c>
      <c r="G8" s="86" t="s">
        <v>1766</v>
      </c>
      <c r="H8" s="86" t="s">
        <v>1762</v>
      </c>
      <c r="I8" s="93">
        <v>46272</v>
      </c>
      <c r="J8" s="86">
        <v>4568</v>
      </c>
      <c r="K8" s="93">
        <f>IF(OR(I8="",J8=""),"",IF(_xlfn.XLOOKUP(A8,Sum!A:A,Sum!O:O)&gt;0,I8+ROUNDUP(J8/_xlfn.XLOOKUP(A8,Sum!A:A,Sum!O:O)*7,0),"无预测，无法估算"))</f>
        <v>46607</v>
      </c>
      <c r="L8" s="93"/>
      <c r="M8" s="93">
        <f t="shared" si="0"/>
        <v>46576</v>
      </c>
      <c r="N8" s="86"/>
      <c r="O8" s="86">
        <v>8.39</v>
      </c>
      <c r="P8" s="86">
        <v>4.72</v>
      </c>
      <c r="Q8" s="86">
        <v>10.28</v>
      </c>
      <c r="R8" s="86">
        <v>8.39</v>
      </c>
      <c r="S8" s="86">
        <v>4.72</v>
      </c>
      <c r="T8" s="86">
        <v>10.28</v>
      </c>
      <c r="U8" s="86">
        <f>_xlfn.XLOOKUP(G8,'Case Type'!A:A,'Case Type'!B:B)</f>
        <v>24</v>
      </c>
      <c r="V8" s="86">
        <f>_xlfn.XLOOKUP(G8,'Case Type'!A:A,'Case Type'!C:C)</f>
        <v>20</v>
      </c>
      <c r="W8" s="86">
        <f>_xlfn.XLOOKUP(G8,'Case Type'!A:A,'Case Type'!D:D)</f>
        <v>14</v>
      </c>
      <c r="X8" s="86">
        <v>21.32</v>
      </c>
      <c r="Y8" s="86">
        <v>11.99</v>
      </c>
      <c r="Z8" s="86">
        <v>26.12</v>
      </c>
      <c r="AA8" s="86">
        <v>27.51</v>
      </c>
      <c r="AB8" s="86">
        <v>17</v>
      </c>
      <c r="AC8" s="86">
        <v>29.01</v>
      </c>
      <c r="AD8" s="86">
        <f>_xlfn.XLOOKUP(G8,'Case Type'!A:A,'Case Type'!E:E)</f>
        <v>60.96</v>
      </c>
      <c r="AE8" s="86">
        <f>_xlfn.XLOOKUP(G8,'Case Type'!A:A,'Case Type'!F:F)</f>
        <v>50.8</v>
      </c>
      <c r="AF8" s="86">
        <f>_xlfn.XLOOKUP(G8,'Case Type'!A:A,'Case Type'!G:G)</f>
        <v>35.56</v>
      </c>
      <c r="AG8" s="87"/>
      <c r="AH8" s="87"/>
      <c r="AI8" s="87"/>
      <c r="AJ8" s="87"/>
      <c r="AK8" s="87"/>
      <c r="AL8" s="87"/>
      <c r="AM8" s="87"/>
      <c r="AN8" s="87"/>
      <c r="AO8" s="87"/>
      <c r="AP8" s="87"/>
    </row>
    <row r="9" customFormat="1" customHeight="1" spans="1:42">
      <c r="A9" s="86" t="s">
        <v>73</v>
      </c>
      <c r="B9" s="91" t="str">
        <f>_xlfn.XLOOKUP(A9,'Product List'!B:B,'Product List'!A:A)</f>
        <v>WJ-13</v>
      </c>
      <c r="C9" s="86" t="str">
        <f>_xlfn.XLOOKUP(A9,'Product List'!B:B,'Product List'!L:L)</f>
        <v>木制躲避屋-帐篷毛毡小屋</v>
      </c>
      <c r="D9" s="86">
        <v>12</v>
      </c>
      <c r="E9" s="86" t="s">
        <v>1767</v>
      </c>
      <c r="F9" s="92">
        <v>45931</v>
      </c>
      <c r="G9" s="86" t="s">
        <v>1765</v>
      </c>
      <c r="H9" s="86" t="s">
        <v>1762</v>
      </c>
      <c r="I9" s="92"/>
      <c r="J9" s="86"/>
      <c r="K9" s="92"/>
      <c r="L9" s="92">
        <v>45931</v>
      </c>
      <c r="M9" s="93"/>
      <c r="N9" s="86"/>
      <c r="O9" s="86">
        <f t="shared" ref="O9:W9" si="1">IFERROR(ROUNDUP(X9/2.54,2),"NA")</f>
        <v>6.5</v>
      </c>
      <c r="P9" s="86">
        <f t="shared" si="1"/>
        <v>6.34</v>
      </c>
      <c r="Q9" s="86">
        <f t="shared" si="1"/>
        <v>5.56</v>
      </c>
      <c r="R9" s="86">
        <f t="shared" si="1"/>
        <v>7.09</v>
      </c>
      <c r="S9" s="86">
        <f t="shared" si="1"/>
        <v>6.11</v>
      </c>
      <c r="T9" s="86">
        <f t="shared" si="1"/>
        <v>6.89</v>
      </c>
      <c r="U9" s="86">
        <f t="shared" si="1"/>
        <v>16</v>
      </c>
      <c r="V9" s="86">
        <f t="shared" si="1"/>
        <v>20</v>
      </c>
      <c r="W9" s="86">
        <f t="shared" si="1"/>
        <v>14</v>
      </c>
      <c r="X9" s="86">
        <v>16.5</v>
      </c>
      <c r="Y9" s="86">
        <v>16.1</v>
      </c>
      <c r="Z9" s="86">
        <v>14.1</v>
      </c>
      <c r="AA9" s="86">
        <v>18</v>
      </c>
      <c r="AB9" s="86">
        <v>15.5</v>
      </c>
      <c r="AC9" s="86">
        <v>17.5</v>
      </c>
      <c r="AD9" s="86">
        <f>_xlfn.XLOOKUP(G9,'Case Type'!A:A,'Case Type'!E:E)</f>
        <v>40.64</v>
      </c>
      <c r="AE9" s="86">
        <f>_xlfn.XLOOKUP(G9,'Case Type'!A:A,'Case Type'!F:F)</f>
        <v>50.8</v>
      </c>
      <c r="AF9" s="86">
        <f>_xlfn.XLOOKUP(G9,'Case Type'!A:A,'Case Type'!G:G)</f>
        <v>35.56</v>
      </c>
      <c r="AG9" s="87">
        <v>146</v>
      </c>
      <c r="AH9" s="87">
        <v>5.15</v>
      </c>
      <c r="AI9" s="87">
        <v>3.47</v>
      </c>
      <c r="AJ9" s="87">
        <v>122.41</v>
      </c>
      <c r="AK9" s="87">
        <v>4.3</v>
      </c>
      <c r="AL9" s="87">
        <v>151.68</v>
      </c>
      <c r="AM9" s="87">
        <f t="shared" ref="AM9:AM57" si="2">IFERROR(AD9*AE9*AF9/1000000,"NA")</f>
        <v>0.07341404672</v>
      </c>
      <c r="AN9" s="87" t="s">
        <v>1768</v>
      </c>
      <c r="AO9" s="87"/>
      <c r="AP9" s="87" t="s">
        <v>1769</v>
      </c>
    </row>
    <row r="10" customHeight="1" spans="1:42">
      <c r="A10" s="86" t="s">
        <v>28</v>
      </c>
      <c r="B10" s="91" t="str">
        <f>_xlfn.XLOOKUP(A10,'Product List'!B:B,'Product List'!A:A)</f>
        <v>BOBO22</v>
      </c>
      <c r="C10" s="86" t="str">
        <f>_xlfn.XLOOKUP(A10,'Product List'!B:B,'Product List'!L:L)</f>
        <v>跑轮-波波跑轮8.5英寸 绿色</v>
      </c>
      <c r="D10" s="86">
        <v>8</v>
      </c>
      <c r="E10" s="86" t="s">
        <v>1767</v>
      </c>
      <c r="F10" s="92">
        <v>45931</v>
      </c>
      <c r="G10" s="86" t="s">
        <v>1761</v>
      </c>
      <c r="H10" s="86" t="s">
        <v>1762</v>
      </c>
      <c r="I10" s="92"/>
      <c r="J10" s="86"/>
      <c r="K10" s="92"/>
      <c r="L10" s="92">
        <v>45931</v>
      </c>
      <c r="M10" s="93"/>
      <c r="N10" s="86"/>
      <c r="O10" s="86">
        <v>8.39</v>
      </c>
      <c r="P10" s="86">
        <v>4.72</v>
      </c>
      <c r="Q10" s="86">
        <v>10.28</v>
      </c>
      <c r="R10" s="86">
        <v>10.83</v>
      </c>
      <c r="S10" s="86">
        <v>6.69</v>
      </c>
      <c r="T10" s="86">
        <v>11.42</v>
      </c>
      <c r="U10" s="86">
        <f>_xlfn.XLOOKUP(G10,'Case Type'!A:A,'Case Type'!B:B)</f>
        <v>24</v>
      </c>
      <c r="V10" s="86">
        <f>_xlfn.XLOOKUP(G10,'Case Type'!A:A,'Case Type'!C:C)</f>
        <v>20</v>
      </c>
      <c r="W10" s="86">
        <f>_xlfn.XLOOKUP(G10,'Case Type'!A:A,'Case Type'!D:D)</f>
        <v>20</v>
      </c>
      <c r="X10" s="86">
        <v>21.32</v>
      </c>
      <c r="Y10" s="86">
        <v>11.99</v>
      </c>
      <c r="Z10" s="86">
        <v>26.12</v>
      </c>
      <c r="AA10" s="86">
        <v>27.51</v>
      </c>
      <c r="AB10" s="86">
        <v>17</v>
      </c>
      <c r="AC10" s="86">
        <v>29.01</v>
      </c>
      <c r="AD10" s="86">
        <f>_xlfn.XLOOKUP(G10,'Case Type'!A:A,'Case Type'!E:E)</f>
        <v>60.96</v>
      </c>
      <c r="AE10" s="86">
        <f>_xlfn.XLOOKUP(G10,'Case Type'!A:A,'Case Type'!F:F)</f>
        <v>50.8</v>
      </c>
      <c r="AF10" s="86">
        <f>_xlfn.XLOOKUP(G10,'Case Type'!A:A,'Case Type'!G:G)</f>
        <v>50.8</v>
      </c>
      <c r="AG10" s="87">
        <v>700</v>
      </c>
      <c r="AH10" s="87">
        <v>24.7</v>
      </c>
      <c r="AI10" s="87"/>
      <c r="AJ10" s="87"/>
      <c r="AK10" s="87"/>
      <c r="AL10" s="87"/>
      <c r="AM10" s="87">
        <f t="shared" si="2"/>
        <v>0.1573158144</v>
      </c>
      <c r="AN10" s="87" t="s">
        <v>1770</v>
      </c>
      <c r="AO10" s="87" t="s">
        <v>1771</v>
      </c>
      <c r="AP10" s="87" t="s">
        <v>1772</v>
      </c>
    </row>
    <row r="11" customHeight="1" spans="1:42">
      <c r="A11" s="94" t="s">
        <v>29</v>
      </c>
      <c r="B11" s="91" t="str">
        <f>_xlfn.XLOOKUP(A11,'Product List'!B:B,'Product List'!A:A)</f>
        <v>BOBO22</v>
      </c>
      <c r="C11" s="86" t="str">
        <f>_xlfn.XLOOKUP(A11,'Product List'!B:B,'Product List'!L:L)</f>
        <v>跑轮-波波跑轮8.5英寸 白色</v>
      </c>
      <c r="D11" s="86">
        <v>8</v>
      </c>
      <c r="E11" s="86" t="s">
        <v>1767</v>
      </c>
      <c r="F11" s="92">
        <v>45931</v>
      </c>
      <c r="G11" s="87" t="s">
        <v>1761</v>
      </c>
      <c r="H11" s="86" t="s">
        <v>1762</v>
      </c>
      <c r="I11" s="92"/>
      <c r="J11" s="86"/>
      <c r="K11" s="92"/>
      <c r="L11" s="92">
        <v>45931</v>
      </c>
      <c r="M11" s="93"/>
      <c r="N11" s="86"/>
      <c r="O11" s="86">
        <v>8.39</v>
      </c>
      <c r="P11" s="86">
        <v>4.72</v>
      </c>
      <c r="Q11" s="86">
        <v>10.28</v>
      </c>
      <c r="R11" s="86">
        <v>10.83</v>
      </c>
      <c r="S11" s="86">
        <v>6.69</v>
      </c>
      <c r="T11" s="86">
        <v>11.42</v>
      </c>
      <c r="U11" s="86">
        <f>_xlfn.XLOOKUP(G11,'Case Type'!A:A,'Case Type'!B:B)</f>
        <v>24</v>
      </c>
      <c r="V11" s="86">
        <f>_xlfn.XLOOKUP(G11,'Case Type'!A:A,'Case Type'!C:C)</f>
        <v>20</v>
      </c>
      <c r="W11" s="86">
        <f>_xlfn.XLOOKUP(G11,'Case Type'!A:A,'Case Type'!D:D)</f>
        <v>20</v>
      </c>
      <c r="X11" s="86">
        <v>21.32</v>
      </c>
      <c r="Y11" s="86">
        <v>11.99</v>
      </c>
      <c r="Z11" s="86">
        <v>26.12</v>
      </c>
      <c r="AA11" s="86">
        <v>27.51</v>
      </c>
      <c r="AB11" s="86">
        <v>17</v>
      </c>
      <c r="AC11" s="86">
        <v>29.01</v>
      </c>
      <c r="AD11" s="86">
        <f>_xlfn.XLOOKUP(G11,'Case Type'!A:A,'Case Type'!E:E)</f>
        <v>60.96</v>
      </c>
      <c r="AE11" s="86">
        <f>_xlfn.XLOOKUP(G11,'Case Type'!A:A,'Case Type'!F:F)</f>
        <v>50.8</v>
      </c>
      <c r="AF11" s="86">
        <f>_xlfn.XLOOKUP(G11,'Case Type'!A:A,'Case Type'!G:G)</f>
        <v>50.8</v>
      </c>
      <c r="AG11" s="87">
        <v>700</v>
      </c>
      <c r="AH11" s="87">
        <v>24.7</v>
      </c>
      <c r="AI11" s="87"/>
      <c r="AJ11" s="87"/>
      <c r="AK11" s="87"/>
      <c r="AL11" s="87"/>
      <c r="AM11" s="87">
        <f t="shared" si="2"/>
        <v>0.1573158144</v>
      </c>
      <c r="AN11" s="87" t="s">
        <v>1770</v>
      </c>
      <c r="AO11" s="87" t="s">
        <v>1771</v>
      </c>
      <c r="AP11" s="87" t="s">
        <v>1772</v>
      </c>
    </row>
    <row r="12" customHeight="1" spans="1:42">
      <c r="A12" s="94" t="s">
        <v>75</v>
      </c>
      <c r="B12" s="91" t="str">
        <f>_xlfn.XLOOKUP(A12,'Product List'!B:B,'Product List'!A:A)</f>
        <v>WJ-39</v>
      </c>
      <c r="C12" s="86" t="str">
        <f>_xlfn.XLOOKUP(A12,'Product List'!B:B,'Product List'!L:L)</f>
        <v>跑轮-宽面跑轮 绿色</v>
      </c>
      <c r="D12" s="86">
        <v>3</v>
      </c>
      <c r="E12" s="86" t="s">
        <v>1767</v>
      </c>
      <c r="F12" s="92">
        <v>45931</v>
      </c>
      <c r="G12" s="86" t="s">
        <v>1761</v>
      </c>
      <c r="H12" s="86" t="s">
        <v>1762</v>
      </c>
      <c r="I12" s="92"/>
      <c r="J12" s="86"/>
      <c r="K12" s="92"/>
      <c r="L12" s="92">
        <v>45931</v>
      </c>
      <c r="M12" s="93"/>
      <c r="N12" s="86"/>
      <c r="O12" s="86">
        <f t="shared" ref="O12:W12" si="3">IFERROR(ROUNDUP(X12/2.54,2),"NA")</f>
        <v>10.63</v>
      </c>
      <c r="P12" s="86">
        <f t="shared" si="3"/>
        <v>7.33</v>
      </c>
      <c r="Q12" s="86">
        <f t="shared" si="3"/>
        <v>12.05</v>
      </c>
      <c r="R12" s="86">
        <f t="shared" si="3"/>
        <v>14.57</v>
      </c>
      <c r="S12" s="86">
        <f t="shared" si="3"/>
        <v>9.06</v>
      </c>
      <c r="T12" s="86">
        <f t="shared" si="3"/>
        <v>14.57</v>
      </c>
      <c r="U12" s="86">
        <f t="shared" si="3"/>
        <v>24</v>
      </c>
      <c r="V12" s="86">
        <f t="shared" si="3"/>
        <v>20</v>
      </c>
      <c r="W12" s="86">
        <f t="shared" si="3"/>
        <v>20</v>
      </c>
      <c r="X12" s="86">
        <v>27</v>
      </c>
      <c r="Y12" s="86">
        <v>18.6</v>
      </c>
      <c r="Z12" s="86">
        <v>30.6</v>
      </c>
      <c r="AA12" s="86">
        <v>37</v>
      </c>
      <c r="AB12" s="86">
        <v>23</v>
      </c>
      <c r="AC12" s="86">
        <v>37</v>
      </c>
      <c r="AD12" s="86">
        <f>_xlfn.XLOOKUP(G12,'Case Type'!A:A,'Case Type'!E:E)</f>
        <v>60.96</v>
      </c>
      <c r="AE12" s="86">
        <f>_xlfn.XLOOKUP(G12,'Case Type'!A:A,'Case Type'!F:F)</f>
        <v>50.8</v>
      </c>
      <c r="AF12" s="86">
        <f>_xlfn.XLOOKUP(G12,'Case Type'!A:A,'Case Type'!G:G)</f>
        <v>50.8</v>
      </c>
      <c r="AG12" s="87">
        <v>1198</v>
      </c>
      <c r="AH12" s="87">
        <v>42.26</v>
      </c>
      <c r="AI12" s="87">
        <v>6.1</v>
      </c>
      <c r="AJ12" s="87">
        <v>215.18</v>
      </c>
      <c r="AK12" s="87">
        <v>7.15</v>
      </c>
      <c r="AL12" s="87">
        <v>252.21</v>
      </c>
      <c r="AM12" s="87">
        <f t="shared" si="2"/>
        <v>0.1573158144</v>
      </c>
      <c r="AN12" s="87" t="s">
        <v>1770</v>
      </c>
      <c r="AO12" s="87" t="s">
        <v>1773</v>
      </c>
      <c r="AP12" s="87" t="s">
        <v>1774</v>
      </c>
    </row>
    <row r="13" customHeight="1" spans="1:42">
      <c r="A13" s="86" t="s">
        <v>76</v>
      </c>
      <c r="B13" s="91" t="str">
        <f>_xlfn.XLOOKUP(A13,'Product List'!B:B,'Product List'!A:A)</f>
        <v>WJ-39</v>
      </c>
      <c r="C13" s="86" t="str">
        <f>_xlfn.XLOOKUP(A13,'Product List'!B:B,'Product List'!L:L)</f>
        <v>跑轮-宽面跑轮 粉色</v>
      </c>
      <c r="D13" s="86">
        <v>3</v>
      </c>
      <c r="E13" s="86" t="s">
        <v>1767</v>
      </c>
      <c r="F13" s="92">
        <v>45931</v>
      </c>
      <c r="G13" s="86" t="s">
        <v>1761</v>
      </c>
      <c r="H13" s="86" t="s">
        <v>1762</v>
      </c>
      <c r="I13" s="92"/>
      <c r="J13" s="86"/>
      <c r="K13" s="92"/>
      <c r="L13" s="92">
        <v>45931</v>
      </c>
      <c r="M13" s="93"/>
      <c r="N13" s="86"/>
      <c r="O13" s="86">
        <f t="shared" ref="O13:W13" si="4">IFERROR(ROUNDUP(X13/2.54,2),"NA")</f>
        <v>10.63</v>
      </c>
      <c r="P13" s="86">
        <f t="shared" si="4"/>
        <v>7.33</v>
      </c>
      <c r="Q13" s="86">
        <f t="shared" si="4"/>
        <v>12.05</v>
      </c>
      <c r="R13" s="86">
        <f t="shared" si="4"/>
        <v>14.57</v>
      </c>
      <c r="S13" s="86">
        <f t="shared" si="4"/>
        <v>9.06</v>
      </c>
      <c r="T13" s="86">
        <f t="shared" si="4"/>
        <v>14.57</v>
      </c>
      <c r="U13" s="86">
        <f t="shared" si="4"/>
        <v>24</v>
      </c>
      <c r="V13" s="86">
        <f t="shared" si="4"/>
        <v>20</v>
      </c>
      <c r="W13" s="86">
        <f t="shared" si="4"/>
        <v>20</v>
      </c>
      <c r="X13" s="86">
        <v>27</v>
      </c>
      <c r="Y13" s="86">
        <v>18.6</v>
      </c>
      <c r="Z13" s="86">
        <v>30.6</v>
      </c>
      <c r="AA13" s="86">
        <v>37</v>
      </c>
      <c r="AB13" s="86">
        <v>23</v>
      </c>
      <c r="AC13" s="86">
        <v>37</v>
      </c>
      <c r="AD13" s="86">
        <f>_xlfn.XLOOKUP(G13,'Case Type'!A:A,'Case Type'!E:E)</f>
        <v>60.96</v>
      </c>
      <c r="AE13" s="86">
        <f>_xlfn.XLOOKUP(G13,'Case Type'!A:A,'Case Type'!F:F)</f>
        <v>50.8</v>
      </c>
      <c r="AF13" s="86">
        <f>_xlfn.XLOOKUP(G13,'Case Type'!A:A,'Case Type'!G:G)</f>
        <v>50.8</v>
      </c>
      <c r="AG13" s="87">
        <v>1198</v>
      </c>
      <c r="AH13" s="87">
        <v>42.26</v>
      </c>
      <c r="AI13" s="87">
        <v>6.1</v>
      </c>
      <c r="AJ13" s="87">
        <v>215.18</v>
      </c>
      <c r="AK13" s="87">
        <v>7.15</v>
      </c>
      <c r="AL13" s="87">
        <v>252.21</v>
      </c>
      <c r="AM13" s="87">
        <f t="shared" si="2"/>
        <v>0.1573158144</v>
      </c>
      <c r="AN13" s="87" t="s">
        <v>1770</v>
      </c>
      <c r="AO13" s="87" t="s">
        <v>1773</v>
      </c>
      <c r="AP13" s="87" t="s">
        <v>1774</v>
      </c>
    </row>
    <row r="14" customHeight="1" spans="1:42">
      <c r="A14" s="86" t="s">
        <v>30</v>
      </c>
      <c r="B14" s="91" t="str">
        <f>_xlfn.XLOOKUP(A14,'Product List'!B:B,'Product List'!A:A)</f>
        <v>CFDL1090</v>
      </c>
      <c r="C14" s="86" t="str">
        <f>_xlfn.XLOOKUP(A14,'Product List'!B:B,'Product List'!L:L)</f>
        <v>垫料-松松纸粒 可可布朗尼</v>
      </c>
      <c r="D14" s="86">
        <v>30</v>
      </c>
      <c r="E14" s="86" t="s">
        <v>1767</v>
      </c>
      <c r="F14" s="92">
        <v>45931</v>
      </c>
      <c r="G14" s="86" t="s">
        <v>1766</v>
      </c>
      <c r="H14" s="86" t="s">
        <v>1775</v>
      </c>
      <c r="I14" s="92"/>
      <c r="J14" s="86"/>
      <c r="K14" s="92"/>
      <c r="L14" s="92">
        <v>45931</v>
      </c>
      <c r="M14" s="93"/>
      <c r="N14" s="86"/>
      <c r="O14" s="86">
        <v>7.88</v>
      </c>
      <c r="P14" s="86">
        <v>3.15</v>
      </c>
      <c r="Q14" s="86">
        <v>11.82</v>
      </c>
      <c r="R14" s="86">
        <v>7.88</v>
      </c>
      <c r="S14" s="86">
        <v>3.15</v>
      </c>
      <c r="T14" s="86">
        <v>11.82</v>
      </c>
      <c r="U14" s="86">
        <f t="shared" ref="U14:U22" si="5">IFERROR(ROUNDUP(AD14/2.54,2),"NA")</f>
        <v>24</v>
      </c>
      <c r="V14" s="86">
        <f t="shared" ref="V14:V22" si="6">IFERROR(ROUNDUP(AE14/2.54,2),"NA")</f>
        <v>20</v>
      </c>
      <c r="W14" s="86">
        <f t="shared" ref="W14:W22" si="7">IFERROR(ROUNDUP(AF14/2.54,2),"NA")</f>
        <v>14</v>
      </c>
      <c r="X14" s="86">
        <v>28</v>
      </c>
      <c r="Y14" s="86">
        <v>8</v>
      </c>
      <c r="Z14" s="86">
        <v>30</v>
      </c>
      <c r="AA14" s="86">
        <v>20</v>
      </c>
      <c r="AB14" s="86">
        <v>8</v>
      </c>
      <c r="AC14" s="86">
        <v>30</v>
      </c>
      <c r="AD14" s="86">
        <f>_xlfn.XLOOKUP(G14,'Case Type'!A:A,'Case Type'!E:E)</f>
        <v>60.96</v>
      </c>
      <c r="AE14" s="86">
        <f>_xlfn.XLOOKUP(G14,'Case Type'!A:A,'Case Type'!F:F)</f>
        <v>50.8</v>
      </c>
      <c r="AF14" s="86">
        <f>_xlfn.XLOOKUP(G14,'Case Type'!A:A,'Case Type'!G:G)</f>
        <v>35.56</v>
      </c>
      <c r="AG14" s="87">
        <v>300</v>
      </c>
      <c r="AH14" s="87">
        <v>10.59</v>
      </c>
      <c r="AI14" s="87"/>
      <c r="AJ14" s="87"/>
      <c r="AK14" s="87"/>
      <c r="AL14" s="87"/>
      <c r="AM14" s="87">
        <f t="shared" si="2"/>
        <v>0.11012107008</v>
      </c>
      <c r="AN14" s="87" t="s">
        <v>1776</v>
      </c>
      <c r="AO14" s="87"/>
      <c r="AP14" s="87"/>
    </row>
    <row r="15" customHeight="1" spans="1:42">
      <c r="A15" s="86" t="s">
        <v>31</v>
      </c>
      <c r="B15" s="91" t="str">
        <f>_xlfn.XLOOKUP(A15,'Product List'!B:B,'Product List'!A:A)</f>
        <v>CFDL1090</v>
      </c>
      <c r="C15" s="86" t="str">
        <f>_xlfn.XLOOKUP(A15,'Product List'!B:B,'Product List'!L:L)</f>
        <v>垫料-松松纸粒 草莓马卡龙</v>
      </c>
      <c r="D15" s="86">
        <v>30</v>
      </c>
      <c r="E15" s="86" t="s">
        <v>1767</v>
      </c>
      <c r="F15" s="92">
        <v>45931</v>
      </c>
      <c r="G15" s="86" t="s">
        <v>1766</v>
      </c>
      <c r="H15" s="86" t="s">
        <v>1775</v>
      </c>
      <c r="I15" s="92"/>
      <c r="J15" s="86"/>
      <c r="K15" s="92"/>
      <c r="L15" s="92">
        <v>45931</v>
      </c>
      <c r="M15" s="93"/>
      <c r="N15" s="86"/>
      <c r="O15" s="86">
        <v>7.88</v>
      </c>
      <c r="P15" s="86">
        <v>3.15</v>
      </c>
      <c r="Q15" s="86">
        <v>11.82</v>
      </c>
      <c r="R15" s="86">
        <v>7.88</v>
      </c>
      <c r="S15" s="86">
        <v>3.15</v>
      </c>
      <c r="T15" s="86">
        <v>11.82</v>
      </c>
      <c r="U15" s="86">
        <f t="shared" si="5"/>
        <v>24</v>
      </c>
      <c r="V15" s="86">
        <f t="shared" si="6"/>
        <v>20</v>
      </c>
      <c r="W15" s="86">
        <f t="shared" si="7"/>
        <v>14</v>
      </c>
      <c r="X15" s="86">
        <v>29</v>
      </c>
      <c r="Y15" s="86">
        <v>8</v>
      </c>
      <c r="Z15" s="86">
        <v>30</v>
      </c>
      <c r="AA15" s="86">
        <v>20</v>
      </c>
      <c r="AB15" s="86">
        <v>8</v>
      </c>
      <c r="AC15" s="86">
        <v>30</v>
      </c>
      <c r="AD15" s="86">
        <f>_xlfn.XLOOKUP(G15,'Case Type'!A:A,'Case Type'!E:E)</f>
        <v>60.96</v>
      </c>
      <c r="AE15" s="86">
        <f>_xlfn.XLOOKUP(G15,'Case Type'!A:A,'Case Type'!F:F)</f>
        <v>50.8</v>
      </c>
      <c r="AF15" s="86">
        <f>_xlfn.XLOOKUP(G15,'Case Type'!A:A,'Case Type'!G:G)</f>
        <v>35.56</v>
      </c>
      <c r="AG15" s="87">
        <v>300</v>
      </c>
      <c r="AH15" s="87">
        <v>10.59</v>
      </c>
      <c r="AI15" s="87"/>
      <c r="AJ15" s="87"/>
      <c r="AK15" s="87"/>
      <c r="AL15" s="87"/>
      <c r="AM15" s="87">
        <f t="shared" si="2"/>
        <v>0.11012107008</v>
      </c>
      <c r="AN15" s="87" t="s">
        <v>1776</v>
      </c>
      <c r="AO15" s="87"/>
      <c r="AP15" s="87"/>
    </row>
    <row r="16" customHeight="1" spans="1:42">
      <c r="A16" s="86" t="s">
        <v>32</v>
      </c>
      <c r="B16" s="91" t="str">
        <f>_xlfn.XLOOKUP(A16,'Product List'!B:B,'Product List'!A:A)</f>
        <v>CFDL9000</v>
      </c>
      <c r="C16" s="86" t="str">
        <f>_xlfn.XLOOKUP(A16,'Product List'!B:B,'Product List'!L:L)</f>
        <v>垫料-童话纸卷 开心果柠檬</v>
      </c>
      <c r="D16" s="86">
        <v>30</v>
      </c>
      <c r="E16" s="86" t="s">
        <v>1767</v>
      </c>
      <c r="F16" s="92">
        <v>45931</v>
      </c>
      <c r="G16" s="86" t="s">
        <v>1766</v>
      </c>
      <c r="H16" s="86" t="s">
        <v>1775</v>
      </c>
      <c r="I16" s="92"/>
      <c r="J16" s="86"/>
      <c r="K16" s="92"/>
      <c r="L16" s="92">
        <v>45931</v>
      </c>
      <c r="M16" s="93"/>
      <c r="N16" s="86"/>
      <c r="O16" s="86">
        <v>7.88</v>
      </c>
      <c r="P16" s="86">
        <v>3.15</v>
      </c>
      <c r="Q16" s="86">
        <v>11.82</v>
      </c>
      <c r="R16" s="86">
        <v>7.88</v>
      </c>
      <c r="S16" s="86">
        <v>3.15</v>
      </c>
      <c r="T16" s="86">
        <v>11.82</v>
      </c>
      <c r="U16" s="86">
        <f t="shared" si="5"/>
        <v>24</v>
      </c>
      <c r="V16" s="86">
        <f t="shared" si="6"/>
        <v>20</v>
      </c>
      <c r="W16" s="86">
        <f t="shared" si="7"/>
        <v>14</v>
      </c>
      <c r="X16" s="86">
        <v>30</v>
      </c>
      <c r="Y16" s="86">
        <v>8</v>
      </c>
      <c r="Z16" s="86">
        <v>30</v>
      </c>
      <c r="AA16" s="86">
        <v>20</v>
      </c>
      <c r="AB16" s="86">
        <v>8</v>
      </c>
      <c r="AC16" s="86">
        <v>30</v>
      </c>
      <c r="AD16" s="86">
        <f>_xlfn.XLOOKUP(G16,'Case Type'!A:A,'Case Type'!E:E)</f>
        <v>60.96</v>
      </c>
      <c r="AE16" s="86">
        <f>_xlfn.XLOOKUP(G16,'Case Type'!A:A,'Case Type'!F:F)</f>
        <v>50.8</v>
      </c>
      <c r="AF16" s="86">
        <f>_xlfn.XLOOKUP(G16,'Case Type'!A:A,'Case Type'!G:G)</f>
        <v>35.56</v>
      </c>
      <c r="AG16" s="87">
        <v>450</v>
      </c>
      <c r="AH16" s="87">
        <v>15.88</v>
      </c>
      <c r="AI16" s="87"/>
      <c r="AJ16" s="87"/>
      <c r="AK16" s="87"/>
      <c r="AL16" s="87"/>
      <c r="AM16" s="87">
        <f t="shared" si="2"/>
        <v>0.11012107008</v>
      </c>
      <c r="AN16" s="87" t="s">
        <v>1776</v>
      </c>
      <c r="AO16" s="87"/>
      <c r="AP16" s="87"/>
    </row>
    <row r="17" customHeight="1" spans="1:42">
      <c r="A17" s="94" t="s">
        <v>33</v>
      </c>
      <c r="B17" s="91" t="str">
        <f>_xlfn.XLOOKUP(A17,'Product List'!B:B,'Product List'!A:A)</f>
        <v>CFLS18000</v>
      </c>
      <c r="C17" s="86" t="str">
        <f>_xlfn.XLOOKUP(A17,'Product List'!B:B,'Product List'!L:L)</f>
        <v>磨牙玩具-苹果核</v>
      </c>
      <c r="D17" s="86">
        <v>48</v>
      </c>
      <c r="E17" s="86" t="s">
        <v>1767</v>
      </c>
      <c r="F17" s="92">
        <v>45931</v>
      </c>
      <c r="G17" s="87" t="s">
        <v>1765</v>
      </c>
      <c r="H17" s="86" t="s">
        <v>1775</v>
      </c>
      <c r="I17" s="92"/>
      <c r="J17" s="86"/>
      <c r="K17" s="92"/>
      <c r="L17" s="92">
        <v>45931</v>
      </c>
      <c r="M17" s="93"/>
      <c r="N17" s="86"/>
      <c r="O17" s="86">
        <v>3.47</v>
      </c>
      <c r="P17" s="86">
        <v>3.47</v>
      </c>
      <c r="Q17" s="86">
        <v>3.47</v>
      </c>
      <c r="R17" s="86">
        <v>6.7</v>
      </c>
      <c r="S17" s="86">
        <v>3.15</v>
      </c>
      <c r="T17" s="86">
        <v>10.24</v>
      </c>
      <c r="U17" s="86">
        <f t="shared" si="5"/>
        <v>16</v>
      </c>
      <c r="V17" s="86">
        <f t="shared" si="6"/>
        <v>20</v>
      </c>
      <c r="W17" s="86">
        <f t="shared" si="7"/>
        <v>14</v>
      </c>
      <c r="X17" s="86">
        <v>31</v>
      </c>
      <c r="Y17" s="86">
        <v>8.8</v>
      </c>
      <c r="Z17" s="86">
        <v>8.8</v>
      </c>
      <c r="AA17" s="86">
        <v>17</v>
      </c>
      <c r="AB17" s="86">
        <v>8</v>
      </c>
      <c r="AC17" s="86">
        <v>26</v>
      </c>
      <c r="AD17" s="86">
        <f>_xlfn.XLOOKUP(G17,'Case Type'!A:A,'Case Type'!E:E)</f>
        <v>40.64</v>
      </c>
      <c r="AE17" s="86">
        <f>_xlfn.XLOOKUP(G17,'Case Type'!A:A,'Case Type'!F:F)</f>
        <v>50.8</v>
      </c>
      <c r="AF17" s="86">
        <f>_xlfn.XLOOKUP(G17,'Case Type'!A:A,'Case Type'!G:G)</f>
        <v>35.56</v>
      </c>
      <c r="AG17" s="87">
        <v>110</v>
      </c>
      <c r="AH17" s="87">
        <v>3.89</v>
      </c>
      <c r="AI17" s="87">
        <v>6.24</v>
      </c>
      <c r="AJ17" s="87">
        <v>220.11</v>
      </c>
      <c r="AK17" s="87">
        <v>6.95</v>
      </c>
      <c r="AL17" s="87">
        <v>245.16</v>
      </c>
      <c r="AM17" s="87">
        <f t="shared" si="2"/>
        <v>0.07341404672</v>
      </c>
      <c r="AN17" s="87" t="s">
        <v>1777</v>
      </c>
      <c r="AO17" s="87"/>
      <c r="AP17" s="87"/>
    </row>
    <row r="18" customHeight="1" spans="1:42">
      <c r="A18" s="94" t="s">
        <v>34</v>
      </c>
      <c r="B18" s="91" t="str">
        <f>_xlfn.XLOOKUP(A18,'Product List'!B:B,'Product List'!A:A)</f>
        <v>CFLS64000YE</v>
      </c>
      <c r="C18" s="86" t="str">
        <f>_xlfn.XLOOKUP(A18,'Product List'!B:B,'Product List'!L:L)</f>
        <v>磨牙玩具-露营便当盒</v>
      </c>
      <c r="D18" s="86">
        <v>72</v>
      </c>
      <c r="E18" s="86" t="s">
        <v>1767</v>
      </c>
      <c r="F18" s="92">
        <v>45931</v>
      </c>
      <c r="G18" s="87" t="s">
        <v>1765</v>
      </c>
      <c r="H18" s="86" t="s">
        <v>1775</v>
      </c>
      <c r="I18" s="92"/>
      <c r="J18" s="86"/>
      <c r="K18" s="92"/>
      <c r="L18" s="92">
        <v>45931</v>
      </c>
      <c r="M18" s="93"/>
      <c r="N18" s="86"/>
      <c r="O18" s="86">
        <v>5.91</v>
      </c>
      <c r="P18" s="86">
        <v>2.96</v>
      </c>
      <c r="Q18" s="86">
        <v>1.42</v>
      </c>
      <c r="R18" s="86">
        <v>5.12</v>
      </c>
      <c r="S18" s="86">
        <v>1.5</v>
      </c>
      <c r="T18" s="86">
        <v>11.23</v>
      </c>
      <c r="U18" s="86">
        <f t="shared" si="5"/>
        <v>16</v>
      </c>
      <c r="V18" s="86">
        <f t="shared" si="6"/>
        <v>20</v>
      </c>
      <c r="W18" s="86">
        <f t="shared" si="7"/>
        <v>14</v>
      </c>
      <c r="X18" s="86">
        <v>32</v>
      </c>
      <c r="Y18" s="86">
        <v>7.5</v>
      </c>
      <c r="Z18" s="86">
        <v>3.6</v>
      </c>
      <c r="AA18" s="86">
        <v>13</v>
      </c>
      <c r="AB18" s="86">
        <v>3.8</v>
      </c>
      <c r="AC18" s="86">
        <v>28.5</v>
      </c>
      <c r="AD18" s="86">
        <f>_xlfn.XLOOKUP(G18,'Case Type'!A:A,'Case Type'!E:E)</f>
        <v>40.64</v>
      </c>
      <c r="AE18" s="86">
        <f>_xlfn.XLOOKUP(G18,'Case Type'!A:A,'Case Type'!F:F)</f>
        <v>50.8</v>
      </c>
      <c r="AF18" s="86">
        <f>_xlfn.XLOOKUP(G18,'Case Type'!A:A,'Case Type'!G:G)</f>
        <v>35.56</v>
      </c>
      <c r="AG18" s="87">
        <v>150</v>
      </c>
      <c r="AH18" s="87">
        <v>5.3</v>
      </c>
      <c r="AI18" s="87">
        <v>11.3</v>
      </c>
      <c r="AJ18" s="87">
        <v>398.6</v>
      </c>
      <c r="AK18" s="87">
        <v>12.55</v>
      </c>
      <c r="AL18" s="87">
        <v>442.69</v>
      </c>
      <c r="AM18" s="87">
        <f t="shared" si="2"/>
        <v>0.07341404672</v>
      </c>
      <c r="AN18" s="87" t="s">
        <v>1778</v>
      </c>
      <c r="AO18" s="87"/>
      <c r="AP18" s="87"/>
    </row>
    <row r="19" customHeight="1" spans="1:42">
      <c r="A19" s="94" t="s">
        <v>35</v>
      </c>
      <c r="B19" s="91" t="str">
        <f>_xlfn.XLOOKUP(A19,'Product List'!B:B,'Product List'!A:A)</f>
        <v>CFLS71000WH</v>
      </c>
      <c r="C19" s="86" t="str">
        <f>_xlfn.XLOOKUP(A19,'Product List'!B:B,'Product List'!L:L)</f>
        <v>磨牙玩具-蚌不珠</v>
      </c>
      <c r="D19" s="86">
        <v>64</v>
      </c>
      <c r="E19" s="86" t="s">
        <v>1767</v>
      </c>
      <c r="F19" s="92">
        <v>45931</v>
      </c>
      <c r="G19" s="87" t="s">
        <v>1765</v>
      </c>
      <c r="H19" s="86" t="s">
        <v>1775</v>
      </c>
      <c r="I19" s="92"/>
      <c r="J19" s="86"/>
      <c r="K19" s="92"/>
      <c r="L19" s="92">
        <v>45931</v>
      </c>
      <c r="M19" s="93"/>
      <c r="N19" s="86"/>
      <c r="O19" s="86">
        <v>3.75</v>
      </c>
      <c r="P19" s="86">
        <v>3.75</v>
      </c>
      <c r="Q19" s="86">
        <v>3.67</v>
      </c>
      <c r="R19" s="86">
        <v>5.91</v>
      </c>
      <c r="S19" s="86">
        <v>3.75</v>
      </c>
      <c r="T19" s="86">
        <v>9.45</v>
      </c>
      <c r="U19" s="86">
        <f t="shared" si="5"/>
        <v>16</v>
      </c>
      <c r="V19" s="86">
        <f t="shared" si="6"/>
        <v>20</v>
      </c>
      <c r="W19" s="86">
        <f t="shared" si="7"/>
        <v>14</v>
      </c>
      <c r="X19" s="86">
        <v>33</v>
      </c>
      <c r="Y19" s="86">
        <v>9.5</v>
      </c>
      <c r="Z19" s="86">
        <v>9.3</v>
      </c>
      <c r="AA19" s="86">
        <v>15</v>
      </c>
      <c r="AB19" s="86">
        <v>9.5</v>
      </c>
      <c r="AC19" s="86">
        <v>24</v>
      </c>
      <c r="AD19" s="86">
        <f>_xlfn.XLOOKUP(G19,'Case Type'!A:A,'Case Type'!E:E)</f>
        <v>40.64</v>
      </c>
      <c r="AE19" s="86">
        <f>_xlfn.XLOOKUP(G19,'Case Type'!A:A,'Case Type'!F:F)</f>
        <v>50.8</v>
      </c>
      <c r="AF19" s="86">
        <f>_xlfn.XLOOKUP(G19,'Case Type'!A:A,'Case Type'!G:G)</f>
        <v>35.56</v>
      </c>
      <c r="AG19" s="87">
        <v>60</v>
      </c>
      <c r="AH19" s="87">
        <v>2.12</v>
      </c>
      <c r="AI19" s="87">
        <v>5.76</v>
      </c>
      <c r="AJ19" s="87">
        <v>203.18</v>
      </c>
      <c r="AK19" s="87">
        <v>6.75</v>
      </c>
      <c r="AL19" s="87">
        <v>238.1</v>
      </c>
      <c r="AM19" s="87">
        <f t="shared" si="2"/>
        <v>0.07341404672</v>
      </c>
      <c r="AN19" s="87" t="s">
        <v>1778</v>
      </c>
      <c r="AO19" s="87"/>
      <c r="AP19" s="87"/>
    </row>
    <row r="20" customHeight="1" spans="1:42">
      <c r="A20" s="94" t="s">
        <v>36</v>
      </c>
      <c r="B20" s="91" t="str">
        <f>_xlfn.XLOOKUP(A20,'Product List'!B:B,'Product List'!A:A)</f>
        <v>CPSH54000WH</v>
      </c>
      <c r="C20" s="86" t="str">
        <f>_xlfn.XLOOKUP(A20,'Product List'!B:B,'Product List'!L:L)</f>
        <v>水壶-NONO磁吸水壶220ml</v>
      </c>
      <c r="D20" s="86">
        <v>60</v>
      </c>
      <c r="E20" s="86" t="s">
        <v>1767</v>
      </c>
      <c r="F20" s="92">
        <v>45931</v>
      </c>
      <c r="G20" s="87" t="s">
        <v>1766</v>
      </c>
      <c r="H20" s="86" t="s">
        <v>1775</v>
      </c>
      <c r="I20" s="92"/>
      <c r="J20" s="86"/>
      <c r="K20" s="92"/>
      <c r="L20" s="92">
        <v>45931</v>
      </c>
      <c r="M20" s="93"/>
      <c r="N20" s="86"/>
      <c r="O20" s="86">
        <v>3.94</v>
      </c>
      <c r="P20" s="86">
        <v>3.43</v>
      </c>
      <c r="Q20" s="86">
        <v>5.12</v>
      </c>
      <c r="R20" s="86">
        <v>4.34</v>
      </c>
      <c r="S20" s="86">
        <v>7.88</v>
      </c>
      <c r="T20" s="86">
        <v>3.43</v>
      </c>
      <c r="U20" s="86">
        <f t="shared" si="5"/>
        <v>24</v>
      </c>
      <c r="V20" s="86">
        <f t="shared" si="6"/>
        <v>20</v>
      </c>
      <c r="W20" s="86">
        <f t="shared" si="7"/>
        <v>14</v>
      </c>
      <c r="X20" s="86">
        <v>34</v>
      </c>
      <c r="Y20" s="86">
        <v>8.7</v>
      </c>
      <c r="Z20" s="86">
        <v>13</v>
      </c>
      <c r="AA20" s="86">
        <v>11</v>
      </c>
      <c r="AB20" s="86">
        <v>20</v>
      </c>
      <c r="AC20" s="86">
        <v>8.7</v>
      </c>
      <c r="AD20" s="86">
        <f>_xlfn.XLOOKUP(G20,'Case Type'!A:A,'Case Type'!E:E)</f>
        <v>60.96</v>
      </c>
      <c r="AE20" s="86">
        <f>_xlfn.XLOOKUP(G20,'Case Type'!A:A,'Case Type'!F:F)</f>
        <v>50.8</v>
      </c>
      <c r="AF20" s="86">
        <f>_xlfn.XLOOKUP(G20,'Case Type'!A:A,'Case Type'!G:G)</f>
        <v>35.56</v>
      </c>
      <c r="AG20" s="87">
        <v>87</v>
      </c>
      <c r="AH20" s="87">
        <v>3.07</v>
      </c>
      <c r="AI20" s="87"/>
      <c r="AJ20" s="87"/>
      <c r="AK20" s="87"/>
      <c r="AL20" s="87"/>
      <c r="AM20" s="87">
        <f t="shared" si="2"/>
        <v>0.11012107008</v>
      </c>
      <c r="AN20" s="87" t="s">
        <v>1777</v>
      </c>
      <c r="AO20" s="87"/>
      <c r="AP20" s="87" t="s">
        <v>1779</v>
      </c>
    </row>
    <row r="21" customHeight="1" spans="1:42">
      <c r="A21" s="94" t="s">
        <v>37</v>
      </c>
      <c r="B21" s="91" t="str">
        <f>_xlfn.XLOOKUP(A21,'Product List'!B:B,'Product List'!A:A)</f>
        <v>CPSH60007BK</v>
      </c>
      <c r="C21" s="86" t="str">
        <f>_xlfn.XLOOKUP(A21,'Product List'!B:B,'Product List'!L:L)</f>
        <v>水壶-路灯磁吸水壶118ml</v>
      </c>
      <c r="D21" s="86">
        <v>54</v>
      </c>
      <c r="E21" s="86" t="s">
        <v>1767</v>
      </c>
      <c r="F21" s="92">
        <v>45931</v>
      </c>
      <c r="G21" s="87" t="s">
        <v>1766</v>
      </c>
      <c r="H21" s="86" t="s">
        <v>1775</v>
      </c>
      <c r="I21" s="92"/>
      <c r="J21" s="86"/>
      <c r="K21" s="92"/>
      <c r="L21" s="92">
        <v>45931</v>
      </c>
      <c r="M21" s="93"/>
      <c r="N21" s="86"/>
      <c r="O21" s="86">
        <v>3.08</v>
      </c>
      <c r="P21" s="86">
        <v>3.94</v>
      </c>
      <c r="Q21" s="86">
        <v>6.3</v>
      </c>
      <c r="R21" s="86">
        <v>4.93</v>
      </c>
      <c r="S21" s="86">
        <v>3.15</v>
      </c>
      <c r="T21" s="86">
        <v>6.89</v>
      </c>
      <c r="U21" s="86">
        <f t="shared" si="5"/>
        <v>24</v>
      </c>
      <c r="V21" s="86">
        <f t="shared" si="6"/>
        <v>20</v>
      </c>
      <c r="W21" s="86">
        <f t="shared" si="7"/>
        <v>14</v>
      </c>
      <c r="X21" s="86">
        <v>35</v>
      </c>
      <c r="Y21" s="86">
        <v>10</v>
      </c>
      <c r="Z21" s="86">
        <v>16</v>
      </c>
      <c r="AA21" s="86">
        <v>12.5</v>
      </c>
      <c r="AB21" s="86">
        <v>8</v>
      </c>
      <c r="AC21" s="86">
        <v>17.5</v>
      </c>
      <c r="AD21" s="86">
        <f>_xlfn.XLOOKUP(G21,'Case Type'!A:A,'Case Type'!E:E)</f>
        <v>60.96</v>
      </c>
      <c r="AE21" s="86">
        <f>_xlfn.XLOOKUP(G21,'Case Type'!A:A,'Case Type'!F:F)</f>
        <v>50.8</v>
      </c>
      <c r="AF21" s="86">
        <f>_xlfn.XLOOKUP(G21,'Case Type'!A:A,'Case Type'!G:G)</f>
        <v>35.56</v>
      </c>
      <c r="AG21" s="87">
        <v>100</v>
      </c>
      <c r="AH21" s="87">
        <v>3.53</v>
      </c>
      <c r="AI21" s="87"/>
      <c r="AJ21" s="87"/>
      <c r="AK21" s="87"/>
      <c r="AL21" s="87"/>
      <c r="AM21" s="87">
        <f t="shared" si="2"/>
        <v>0.11012107008</v>
      </c>
      <c r="AN21" s="87" t="s">
        <v>1770</v>
      </c>
      <c r="AO21" s="87"/>
      <c r="AP21" s="87"/>
    </row>
    <row r="22" customHeight="1" spans="1:42">
      <c r="A22" s="94" t="s">
        <v>38</v>
      </c>
      <c r="B22" s="91" t="str">
        <f>_xlfn.XLOOKUP(A22,'Product List'!B:B,'Product List'!A:A)</f>
        <v>CPSL22004GN</v>
      </c>
      <c r="C22" s="86" t="str">
        <f>_xlfn.XLOOKUP(A22,'Product List'!B:B,'Product List'!L:L)</f>
        <v>食具-糖纸食碗</v>
      </c>
      <c r="D22" s="86">
        <v>48</v>
      </c>
      <c r="E22" s="86" t="s">
        <v>1767</v>
      </c>
      <c r="F22" s="92">
        <v>45931</v>
      </c>
      <c r="G22" s="87" t="s">
        <v>1765</v>
      </c>
      <c r="H22" s="86" t="s">
        <v>1775</v>
      </c>
      <c r="I22" s="92"/>
      <c r="J22" s="86"/>
      <c r="K22" s="92"/>
      <c r="L22" s="92">
        <v>45931</v>
      </c>
      <c r="M22" s="93"/>
      <c r="N22" s="86"/>
      <c r="O22" s="86">
        <v>4.02</v>
      </c>
      <c r="P22" s="86">
        <v>4.02</v>
      </c>
      <c r="Q22" s="86">
        <v>2.72</v>
      </c>
      <c r="R22" s="86">
        <v>4.53</v>
      </c>
      <c r="S22" s="86">
        <v>4.53</v>
      </c>
      <c r="T22" s="86">
        <v>3.31</v>
      </c>
      <c r="U22" s="86">
        <f t="shared" si="5"/>
        <v>16</v>
      </c>
      <c r="V22" s="86">
        <f t="shared" si="6"/>
        <v>20</v>
      </c>
      <c r="W22" s="86">
        <f t="shared" si="7"/>
        <v>14</v>
      </c>
      <c r="X22" s="86">
        <v>36</v>
      </c>
      <c r="Y22" s="86">
        <v>10.2</v>
      </c>
      <c r="Z22" s="86">
        <v>6.9</v>
      </c>
      <c r="AA22" s="86">
        <v>11.5</v>
      </c>
      <c r="AB22" s="86">
        <v>11.5</v>
      </c>
      <c r="AC22" s="86">
        <v>8.4</v>
      </c>
      <c r="AD22" s="86">
        <f>_xlfn.XLOOKUP(G22,'Case Type'!A:A,'Case Type'!E:E)</f>
        <v>40.64</v>
      </c>
      <c r="AE22" s="86">
        <f>_xlfn.XLOOKUP(G22,'Case Type'!A:A,'Case Type'!F:F)</f>
        <v>50.8</v>
      </c>
      <c r="AF22" s="86">
        <f>_xlfn.XLOOKUP(G22,'Case Type'!A:A,'Case Type'!G:G)</f>
        <v>35.56</v>
      </c>
      <c r="AG22" s="87">
        <v>213</v>
      </c>
      <c r="AH22" s="87">
        <v>7.52</v>
      </c>
      <c r="AI22" s="87"/>
      <c r="AJ22" s="87"/>
      <c r="AK22" s="87"/>
      <c r="AL22" s="87"/>
      <c r="AM22" s="87">
        <f t="shared" si="2"/>
        <v>0.07341404672</v>
      </c>
      <c r="AN22" s="87" t="s">
        <v>1780</v>
      </c>
      <c r="AO22" s="87"/>
      <c r="AP22" s="87"/>
    </row>
    <row r="23" customHeight="1" spans="1:42">
      <c r="A23" s="95" t="s">
        <v>39</v>
      </c>
      <c r="B23" s="91" t="str">
        <f>_xlfn.XLOOKUP(A23,'Product List'!B:B,'Product List'!A:A)</f>
        <v>CPWJ0011</v>
      </c>
      <c r="C23" s="86" t="str">
        <f>_xlfn.XLOOKUP(A23,'Product List'!B:B,'Product List'!L:L)</f>
        <v>木制躲避屋-蘑菇小屋</v>
      </c>
      <c r="D23" s="86">
        <v>16</v>
      </c>
      <c r="E23" s="86" t="s">
        <v>1767</v>
      </c>
      <c r="F23" s="92">
        <v>45931</v>
      </c>
      <c r="G23" s="87" t="s">
        <v>1761</v>
      </c>
      <c r="H23" s="86" t="s">
        <v>1775</v>
      </c>
      <c r="I23" s="92"/>
      <c r="J23" s="86"/>
      <c r="K23" s="92"/>
      <c r="L23" s="92">
        <v>45931</v>
      </c>
      <c r="M23" s="93"/>
      <c r="N23" s="86"/>
      <c r="O23" s="86">
        <v>9.81</v>
      </c>
      <c r="P23" s="86">
        <v>5.95</v>
      </c>
      <c r="Q23" s="86">
        <v>8.71</v>
      </c>
      <c r="R23" s="86">
        <v>9.81</v>
      </c>
      <c r="S23" s="86">
        <v>5.95</v>
      </c>
      <c r="T23" s="86">
        <v>8.71</v>
      </c>
      <c r="U23" s="86">
        <f t="shared" ref="U23:U39" si="8">IFERROR(ROUNDUP(AD23/2.54,2),"NA")</f>
        <v>24</v>
      </c>
      <c r="V23" s="86">
        <f t="shared" ref="V23:V39" si="9">IFERROR(ROUNDUP(AE23/2.54,2),"NA")</f>
        <v>20</v>
      </c>
      <c r="W23" s="86">
        <f t="shared" ref="W23:W39" si="10">IFERROR(ROUNDUP(AF23/2.54,2),"NA")</f>
        <v>20</v>
      </c>
      <c r="X23" s="86">
        <v>37</v>
      </c>
      <c r="Y23" s="86">
        <v>15.1</v>
      </c>
      <c r="Z23" s="86">
        <v>22.1</v>
      </c>
      <c r="AA23" s="86">
        <v>24.9</v>
      </c>
      <c r="AB23" s="86">
        <v>15.1</v>
      </c>
      <c r="AC23" s="86">
        <v>22.1</v>
      </c>
      <c r="AD23" s="86">
        <f>_xlfn.XLOOKUP(G23,'Case Type'!A:A,'Case Type'!E:E)</f>
        <v>60.96</v>
      </c>
      <c r="AE23" s="86">
        <f>_xlfn.XLOOKUP(G23,'Case Type'!A:A,'Case Type'!F:F)</f>
        <v>50.8</v>
      </c>
      <c r="AF23" s="86">
        <f>_xlfn.XLOOKUP(G23,'Case Type'!A:A,'Case Type'!G:G)</f>
        <v>50.8</v>
      </c>
      <c r="AG23" s="87"/>
      <c r="AH23" s="87"/>
      <c r="AI23" s="87">
        <v>8.26</v>
      </c>
      <c r="AJ23" s="87">
        <v>291.37</v>
      </c>
      <c r="AK23" s="87">
        <v>9.16</v>
      </c>
      <c r="AL23" s="87">
        <v>323.11</v>
      </c>
      <c r="AM23" s="87">
        <f t="shared" si="2"/>
        <v>0.1573158144</v>
      </c>
      <c r="AN23" s="87" t="s">
        <v>1781</v>
      </c>
      <c r="AO23" s="87"/>
      <c r="AP23" s="87"/>
    </row>
    <row r="24" customHeight="1" spans="1:42">
      <c r="A24" s="96" t="s">
        <v>40</v>
      </c>
      <c r="B24" s="91" t="str">
        <f>_xlfn.XLOOKUP(A24,'Product List'!B:B,'Product List'!A:A)</f>
        <v>CPWJ0012</v>
      </c>
      <c r="C24" s="86" t="str">
        <f>_xlfn.XLOOKUP(A24,'Product List'!B:B,'Product List'!L:L)</f>
        <v>木制躲避屋-蘑菇爬梯</v>
      </c>
      <c r="D24" s="86">
        <v>30</v>
      </c>
      <c r="E24" s="86" t="s">
        <v>1767</v>
      </c>
      <c r="F24" s="92">
        <v>45931</v>
      </c>
      <c r="G24" s="87" t="s">
        <v>1761</v>
      </c>
      <c r="H24" s="86" t="s">
        <v>1775</v>
      </c>
      <c r="I24" s="92"/>
      <c r="J24" s="86"/>
      <c r="K24" s="92"/>
      <c r="L24" s="92">
        <v>45931</v>
      </c>
      <c r="M24" s="93"/>
      <c r="N24" s="86"/>
      <c r="O24" s="86">
        <v>9.38</v>
      </c>
      <c r="P24" s="86">
        <v>3.94</v>
      </c>
      <c r="Q24" s="86">
        <v>5.99</v>
      </c>
      <c r="R24" s="86">
        <v>9.38</v>
      </c>
      <c r="S24" s="86">
        <v>3.94</v>
      </c>
      <c r="T24" s="86">
        <v>5.99</v>
      </c>
      <c r="U24" s="86">
        <f t="shared" si="8"/>
        <v>24</v>
      </c>
      <c r="V24" s="86">
        <f t="shared" si="9"/>
        <v>20</v>
      </c>
      <c r="W24" s="86">
        <f t="shared" si="10"/>
        <v>20</v>
      </c>
      <c r="X24" s="86">
        <v>38</v>
      </c>
      <c r="Y24" s="86">
        <v>10</v>
      </c>
      <c r="Z24" s="86">
        <v>15.2</v>
      </c>
      <c r="AA24" s="86">
        <v>23.8</v>
      </c>
      <c r="AB24" s="86">
        <v>10</v>
      </c>
      <c r="AC24" s="86">
        <v>15.2</v>
      </c>
      <c r="AD24" s="86">
        <f>_xlfn.XLOOKUP(G24,'Case Type'!A:A,'Case Type'!E:E)</f>
        <v>60.96</v>
      </c>
      <c r="AE24" s="86">
        <f>_xlfn.XLOOKUP(G24,'Case Type'!A:A,'Case Type'!F:F)</f>
        <v>50.8</v>
      </c>
      <c r="AF24" s="86">
        <f>_xlfn.XLOOKUP(G24,'Case Type'!A:A,'Case Type'!G:G)</f>
        <v>50.8</v>
      </c>
      <c r="AG24" s="87"/>
      <c r="AH24" s="87"/>
      <c r="AI24" s="87"/>
      <c r="AJ24" s="87"/>
      <c r="AK24" s="87"/>
      <c r="AL24" s="87"/>
      <c r="AM24" s="87">
        <f t="shared" si="2"/>
        <v>0.1573158144</v>
      </c>
      <c r="AN24" s="87" t="s">
        <v>1781</v>
      </c>
      <c r="AO24" s="87"/>
      <c r="AP24" s="87"/>
    </row>
    <row r="25" customHeight="1" spans="1:42">
      <c r="A25" s="86" t="s">
        <v>41</v>
      </c>
      <c r="B25" s="91" t="str">
        <f>_xlfn.XLOOKUP(A25,'Product List'!B:B,'Product List'!A:A)</f>
        <v>CPWJ0013</v>
      </c>
      <c r="C25" s="86" t="str">
        <f>_xlfn.XLOOKUP(A25,'Product List'!B:B,'Product List'!L:L)</f>
        <v>木制躲避屋-树屋</v>
      </c>
      <c r="D25" s="86">
        <v>30</v>
      </c>
      <c r="E25" s="86" t="s">
        <v>1767</v>
      </c>
      <c r="F25" s="92">
        <v>45931</v>
      </c>
      <c r="G25" s="87" t="s">
        <v>1761</v>
      </c>
      <c r="H25" s="86" t="s">
        <v>1775</v>
      </c>
      <c r="I25" s="92"/>
      <c r="J25" s="86"/>
      <c r="K25" s="92"/>
      <c r="L25" s="92">
        <v>45931</v>
      </c>
      <c r="M25" s="93"/>
      <c r="N25" s="86"/>
      <c r="O25" s="86">
        <v>7.88</v>
      </c>
      <c r="P25" s="86">
        <v>5.32</v>
      </c>
      <c r="Q25" s="86">
        <v>6.62</v>
      </c>
      <c r="R25" s="86">
        <v>7.88</v>
      </c>
      <c r="S25" s="86">
        <v>5.32</v>
      </c>
      <c r="T25" s="86">
        <v>6.62</v>
      </c>
      <c r="U25" s="86">
        <f t="shared" si="8"/>
        <v>24</v>
      </c>
      <c r="V25" s="86">
        <f t="shared" si="9"/>
        <v>20</v>
      </c>
      <c r="W25" s="86">
        <f t="shared" si="10"/>
        <v>20</v>
      </c>
      <c r="X25" s="86">
        <v>39</v>
      </c>
      <c r="Y25" s="86">
        <v>13.5</v>
      </c>
      <c r="Z25" s="86">
        <v>16.8</v>
      </c>
      <c r="AA25" s="86">
        <v>20</v>
      </c>
      <c r="AB25" s="86">
        <v>13.5</v>
      </c>
      <c r="AC25" s="86">
        <v>16.8</v>
      </c>
      <c r="AD25" s="86">
        <f>_xlfn.XLOOKUP(G25,'Case Type'!A:A,'Case Type'!E:E)</f>
        <v>60.96</v>
      </c>
      <c r="AE25" s="86">
        <f>_xlfn.XLOOKUP(G25,'Case Type'!A:A,'Case Type'!F:F)</f>
        <v>50.8</v>
      </c>
      <c r="AF25" s="86">
        <f>_xlfn.XLOOKUP(G25,'Case Type'!A:A,'Case Type'!G:G)</f>
        <v>50.8</v>
      </c>
      <c r="AG25" s="87"/>
      <c r="AH25" s="87"/>
      <c r="AI25" s="87">
        <v>8.6</v>
      </c>
      <c r="AJ25" s="87">
        <v>303.36</v>
      </c>
      <c r="AK25" s="87">
        <v>9.64</v>
      </c>
      <c r="AL25" s="87">
        <v>340.05</v>
      </c>
      <c r="AM25" s="87">
        <f t="shared" si="2"/>
        <v>0.1573158144</v>
      </c>
      <c r="AN25" s="87" t="s">
        <v>1781</v>
      </c>
      <c r="AO25" s="87"/>
      <c r="AP25" s="87"/>
    </row>
    <row r="26" customHeight="1" spans="1:42">
      <c r="A26" s="96" t="s">
        <v>42</v>
      </c>
      <c r="B26" s="91" t="str">
        <f>_xlfn.XLOOKUP(A26,'Product List'!B:B,'Product List'!A:A)</f>
        <v>CPWJ0014</v>
      </c>
      <c r="C26" s="86" t="str">
        <f>_xlfn.XLOOKUP(A26,'Product List'!B:B,'Product List'!L:L)</f>
        <v>木制躲避屋-鱼骨桥</v>
      </c>
      <c r="D26" s="86">
        <v>30</v>
      </c>
      <c r="E26" s="86" t="s">
        <v>1767</v>
      </c>
      <c r="F26" s="92">
        <v>45931</v>
      </c>
      <c r="G26" s="87" t="s">
        <v>1765</v>
      </c>
      <c r="H26" s="86" t="s">
        <v>1775</v>
      </c>
      <c r="I26" s="92"/>
      <c r="J26" s="86"/>
      <c r="K26" s="92"/>
      <c r="L26" s="92">
        <v>45931</v>
      </c>
      <c r="M26" s="93"/>
      <c r="N26" s="86"/>
      <c r="O26" s="86">
        <v>8.31</v>
      </c>
      <c r="P26" s="86">
        <v>4.06</v>
      </c>
      <c r="Q26" s="86">
        <v>2.72</v>
      </c>
      <c r="R26" s="86">
        <v>8.31</v>
      </c>
      <c r="S26" s="86">
        <v>4.06</v>
      </c>
      <c r="T26" s="86">
        <v>2.72</v>
      </c>
      <c r="U26" s="86">
        <f t="shared" si="8"/>
        <v>16</v>
      </c>
      <c r="V26" s="86">
        <f t="shared" si="9"/>
        <v>20</v>
      </c>
      <c r="W26" s="86">
        <f t="shared" si="10"/>
        <v>14</v>
      </c>
      <c r="X26" s="86">
        <v>40</v>
      </c>
      <c r="Y26" s="86">
        <v>10.3</v>
      </c>
      <c r="Z26" s="86">
        <v>6.9</v>
      </c>
      <c r="AA26" s="86">
        <v>21.1</v>
      </c>
      <c r="AB26" s="86">
        <v>10.3</v>
      </c>
      <c r="AC26" s="86">
        <v>6.9</v>
      </c>
      <c r="AD26" s="86">
        <f>_xlfn.XLOOKUP(G26,'Case Type'!A:A,'Case Type'!E:E)</f>
        <v>40.64</v>
      </c>
      <c r="AE26" s="86">
        <f>_xlfn.XLOOKUP(G26,'Case Type'!A:A,'Case Type'!F:F)</f>
        <v>50.8</v>
      </c>
      <c r="AF26" s="86">
        <f>_xlfn.XLOOKUP(G26,'Case Type'!A:A,'Case Type'!G:G)</f>
        <v>35.56</v>
      </c>
      <c r="AG26" s="87"/>
      <c r="AH26" s="87"/>
      <c r="AI26" s="87"/>
      <c r="AJ26" s="87"/>
      <c r="AK26" s="87"/>
      <c r="AL26" s="87"/>
      <c r="AM26" s="87">
        <f t="shared" si="2"/>
        <v>0.07341404672</v>
      </c>
      <c r="AN26" s="87" t="s">
        <v>1781</v>
      </c>
      <c r="AO26" s="87"/>
      <c r="AP26" s="87"/>
    </row>
    <row r="27" customHeight="1" spans="1:42">
      <c r="A27" s="86" t="s">
        <v>43</v>
      </c>
      <c r="B27" s="91" t="str">
        <f>_xlfn.XLOOKUP(A27,'Product List'!B:B,'Product List'!A:A)</f>
        <v>CPWJ0015</v>
      </c>
      <c r="C27" s="86" t="str">
        <f>_xlfn.XLOOKUP(A27,'Product List'!B:B,'Product List'!L:L)</f>
        <v>木制躲避屋-花园茶壶小屋</v>
      </c>
      <c r="D27" s="86">
        <v>30</v>
      </c>
      <c r="E27" s="86" t="s">
        <v>1767</v>
      </c>
      <c r="F27" s="92">
        <v>45931</v>
      </c>
      <c r="G27" s="87" t="s">
        <v>1761</v>
      </c>
      <c r="H27" s="86" t="s">
        <v>1775</v>
      </c>
      <c r="I27" s="92"/>
      <c r="J27" s="86"/>
      <c r="K27" s="92"/>
      <c r="L27" s="92">
        <v>45931</v>
      </c>
      <c r="M27" s="93"/>
      <c r="N27" s="86"/>
      <c r="O27" s="86">
        <v>7.56</v>
      </c>
      <c r="P27" s="86">
        <v>5.2</v>
      </c>
      <c r="Q27" s="86">
        <v>7.13</v>
      </c>
      <c r="R27" s="86">
        <v>7.56</v>
      </c>
      <c r="S27" s="86">
        <v>5.2</v>
      </c>
      <c r="T27" s="86">
        <v>7.13</v>
      </c>
      <c r="U27" s="86">
        <f t="shared" si="8"/>
        <v>24</v>
      </c>
      <c r="V27" s="86">
        <f t="shared" si="9"/>
        <v>20</v>
      </c>
      <c r="W27" s="86">
        <f t="shared" si="10"/>
        <v>20</v>
      </c>
      <c r="X27" s="86">
        <v>41</v>
      </c>
      <c r="Y27" s="86">
        <v>13.2</v>
      </c>
      <c r="Z27" s="86">
        <v>18.1</v>
      </c>
      <c r="AA27" s="86">
        <v>19.2</v>
      </c>
      <c r="AB27" s="86">
        <v>13.2</v>
      </c>
      <c r="AC27" s="86">
        <v>18.1</v>
      </c>
      <c r="AD27" s="86">
        <f>_xlfn.XLOOKUP(G27,'Case Type'!A:A,'Case Type'!E:E)</f>
        <v>60.96</v>
      </c>
      <c r="AE27" s="86">
        <f>_xlfn.XLOOKUP(G27,'Case Type'!A:A,'Case Type'!F:F)</f>
        <v>50.8</v>
      </c>
      <c r="AF27" s="86">
        <f>_xlfn.XLOOKUP(G27,'Case Type'!A:A,'Case Type'!G:G)</f>
        <v>50.8</v>
      </c>
      <c r="AG27" s="87"/>
      <c r="AH27" s="87"/>
      <c r="AI27" s="87">
        <v>8</v>
      </c>
      <c r="AJ27" s="87">
        <v>282.2</v>
      </c>
      <c r="AK27" s="87">
        <v>9.34</v>
      </c>
      <c r="AL27" s="87">
        <v>329.46</v>
      </c>
      <c r="AM27" s="87">
        <f t="shared" si="2"/>
        <v>0.1573158144</v>
      </c>
      <c r="AN27" s="87" t="s">
        <v>1781</v>
      </c>
      <c r="AO27" s="87"/>
      <c r="AP27" s="87"/>
    </row>
    <row r="28" customHeight="1" spans="1:42">
      <c r="A28" s="94" t="s">
        <v>44</v>
      </c>
      <c r="B28" s="91" t="str">
        <f>_xlfn.XLOOKUP(A28,'Product List'!B:B,'Product List'!A:A)</f>
        <v>CPWJ0018</v>
      </c>
      <c r="C28" s="86" t="str">
        <f>_xlfn.XLOOKUP(A28,'Product List'!B:B,'Product List'!L:L)</f>
        <v>木制躲避屋-摇摇椅</v>
      </c>
      <c r="D28" s="86">
        <v>48</v>
      </c>
      <c r="E28" s="86" t="s">
        <v>1767</v>
      </c>
      <c r="F28" s="92">
        <v>45931</v>
      </c>
      <c r="G28" s="87" t="s">
        <v>1766</v>
      </c>
      <c r="H28" s="86" t="s">
        <v>1775</v>
      </c>
      <c r="I28" s="92"/>
      <c r="J28" s="86"/>
      <c r="K28" s="92"/>
      <c r="L28" s="92">
        <v>45931</v>
      </c>
      <c r="M28" s="93"/>
      <c r="N28" s="86"/>
      <c r="O28" s="86">
        <v>8.86</v>
      </c>
      <c r="P28" s="86">
        <v>4.34</v>
      </c>
      <c r="Q28" s="86">
        <v>3.75</v>
      </c>
      <c r="R28" s="86">
        <v>8.86</v>
      </c>
      <c r="S28" s="86">
        <v>4.34</v>
      </c>
      <c r="T28" s="86">
        <v>3.75</v>
      </c>
      <c r="U28" s="86">
        <f t="shared" si="8"/>
        <v>24</v>
      </c>
      <c r="V28" s="86">
        <f t="shared" si="9"/>
        <v>20</v>
      </c>
      <c r="W28" s="86">
        <f t="shared" si="10"/>
        <v>14</v>
      </c>
      <c r="X28" s="86">
        <v>42</v>
      </c>
      <c r="Y28" s="86">
        <v>11</v>
      </c>
      <c r="Z28" s="86">
        <v>9.5</v>
      </c>
      <c r="AA28" s="86">
        <v>22.5</v>
      </c>
      <c r="AB28" s="86">
        <v>11</v>
      </c>
      <c r="AC28" s="86">
        <v>9.5</v>
      </c>
      <c r="AD28" s="86">
        <f>_xlfn.XLOOKUP(G28,'Case Type'!A:A,'Case Type'!E:E)</f>
        <v>60.96</v>
      </c>
      <c r="AE28" s="86">
        <f>_xlfn.XLOOKUP(G28,'Case Type'!A:A,'Case Type'!F:F)</f>
        <v>50.8</v>
      </c>
      <c r="AF28" s="86">
        <f>_xlfn.XLOOKUP(G28,'Case Type'!A:A,'Case Type'!G:G)</f>
        <v>35.56</v>
      </c>
      <c r="AG28" s="87">
        <v>125</v>
      </c>
      <c r="AH28" s="87">
        <v>4.41</v>
      </c>
      <c r="AI28" s="87"/>
      <c r="AJ28" s="87"/>
      <c r="AK28" s="87"/>
      <c r="AL28" s="87"/>
      <c r="AM28" s="87">
        <f t="shared" si="2"/>
        <v>0.11012107008</v>
      </c>
      <c r="AN28" s="87" t="s">
        <v>1781</v>
      </c>
      <c r="AO28" s="87"/>
      <c r="AP28" s="87" t="s">
        <v>1782</v>
      </c>
    </row>
    <row r="29" customHeight="1" spans="1:42">
      <c r="A29" s="94" t="s">
        <v>45</v>
      </c>
      <c r="B29" s="91" t="str">
        <f>_xlfn.XLOOKUP(A29,'Product List'!B:B,'Product List'!A:A)</f>
        <v>CPWJ162000PK</v>
      </c>
      <c r="C29" s="86" t="str">
        <f>_xlfn.XLOOKUP(A29,'Product List'!B:B,'Product List'!L:L)</f>
        <v>磨牙玩具-小花园+小花朵</v>
      </c>
      <c r="D29" s="86">
        <v>45</v>
      </c>
      <c r="E29" s="86" t="s">
        <v>1767</v>
      </c>
      <c r="F29" s="92">
        <v>45931</v>
      </c>
      <c r="G29" s="87" t="s">
        <v>1765</v>
      </c>
      <c r="H29" s="86" t="s">
        <v>1775</v>
      </c>
      <c r="I29" s="92"/>
      <c r="J29" s="86"/>
      <c r="K29" s="92"/>
      <c r="L29" s="92">
        <v>45931</v>
      </c>
      <c r="M29" s="93"/>
      <c r="N29" s="86"/>
      <c r="O29" s="86">
        <v>7.49</v>
      </c>
      <c r="P29" s="86">
        <v>4.14</v>
      </c>
      <c r="Q29" s="86">
        <v>4.73</v>
      </c>
      <c r="R29" s="86">
        <v>4.73</v>
      </c>
      <c r="S29" s="86">
        <v>1.78</v>
      </c>
      <c r="T29" s="86">
        <v>8.67</v>
      </c>
      <c r="U29" s="86">
        <f t="shared" si="8"/>
        <v>16</v>
      </c>
      <c r="V29" s="86">
        <f t="shared" si="9"/>
        <v>20</v>
      </c>
      <c r="W29" s="86">
        <f t="shared" si="10"/>
        <v>14</v>
      </c>
      <c r="X29" s="86">
        <v>43</v>
      </c>
      <c r="Y29" s="86">
        <v>10.5</v>
      </c>
      <c r="Z29" s="86">
        <v>12</v>
      </c>
      <c r="AA29" s="86">
        <v>12</v>
      </c>
      <c r="AB29" s="86">
        <v>4.5</v>
      </c>
      <c r="AC29" s="86">
        <v>22</v>
      </c>
      <c r="AD29" s="86">
        <f>_xlfn.XLOOKUP(G29,'Case Type'!A:A,'Case Type'!E:E)</f>
        <v>40.64</v>
      </c>
      <c r="AE29" s="86">
        <f>_xlfn.XLOOKUP(G29,'Case Type'!A:A,'Case Type'!F:F)</f>
        <v>50.8</v>
      </c>
      <c r="AF29" s="86">
        <f>_xlfn.XLOOKUP(G29,'Case Type'!A:A,'Case Type'!G:G)</f>
        <v>35.56</v>
      </c>
      <c r="AG29" s="87">
        <v>325</v>
      </c>
      <c r="AH29" s="87">
        <v>11.47</v>
      </c>
      <c r="AI29" s="87"/>
      <c r="AJ29" s="87"/>
      <c r="AK29" s="87"/>
      <c r="AL29" s="87"/>
      <c r="AM29" s="87">
        <f t="shared" si="2"/>
        <v>0.07341404672</v>
      </c>
      <c r="AN29" s="87" t="s">
        <v>1770</v>
      </c>
      <c r="AO29" s="87"/>
      <c r="AP29" s="87"/>
    </row>
    <row r="30" customHeight="1" spans="1:42">
      <c r="A30" s="94" t="s">
        <v>46</v>
      </c>
      <c r="B30" s="91" t="str">
        <f>_xlfn.XLOOKUP(A30,'Product List'!B:B,'Product List'!A:A)</f>
        <v>CPWJ181002RD</v>
      </c>
      <c r="C30" s="86" t="str">
        <f>_xlfn.XLOOKUP(A30,'Product List'!B:B,'Product List'!L:L)</f>
        <v>木制躲避屋-蘑菇旋转楼梯</v>
      </c>
      <c r="D30" s="86">
        <v>72</v>
      </c>
      <c r="E30" s="86" t="s">
        <v>1767</v>
      </c>
      <c r="F30" s="92">
        <v>45931</v>
      </c>
      <c r="G30" s="87" t="s">
        <v>1765</v>
      </c>
      <c r="H30" s="86" t="s">
        <v>1775</v>
      </c>
      <c r="I30" s="92"/>
      <c r="J30" s="86"/>
      <c r="K30" s="92"/>
      <c r="L30" s="92">
        <v>45931</v>
      </c>
      <c r="M30" s="93"/>
      <c r="N30" s="86"/>
      <c r="O30" s="86">
        <v>3.86</v>
      </c>
      <c r="P30" s="86">
        <v>3.86</v>
      </c>
      <c r="Q30" s="86">
        <v>4.45</v>
      </c>
      <c r="R30" s="86">
        <v>3.86</v>
      </c>
      <c r="S30" s="86">
        <v>3.86</v>
      </c>
      <c r="T30" s="86">
        <v>4.45</v>
      </c>
      <c r="U30" s="86">
        <f t="shared" si="8"/>
        <v>16</v>
      </c>
      <c r="V30" s="86">
        <f t="shared" si="9"/>
        <v>20</v>
      </c>
      <c r="W30" s="86">
        <f t="shared" si="10"/>
        <v>14</v>
      </c>
      <c r="X30" s="86">
        <v>44</v>
      </c>
      <c r="Y30" s="86">
        <v>9.8</v>
      </c>
      <c r="Z30" s="86">
        <v>11.3</v>
      </c>
      <c r="AA30" s="86">
        <v>9.8</v>
      </c>
      <c r="AB30" s="86">
        <v>9.8</v>
      </c>
      <c r="AC30" s="86">
        <v>11.3</v>
      </c>
      <c r="AD30" s="86">
        <f>_xlfn.XLOOKUP(G30,'Case Type'!A:A,'Case Type'!E:E)</f>
        <v>40.64</v>
      </c>
      <c r="AE30" s="86">
        <f>_xlfn.XLOOKUP(G30,'Case Type'!A:A,'Case Type'!F:F)</f>
        <v>50.8</v>
      </c>
      <c r="AF30" s="86">
        <f>_xlfn.XLOOKUP(G30,'Case Type'!A:A,'Case Type'!G:G)</f>
        <v>35.56</v>
      </c>
      <c r="AG30" s="87">
        <v>247</v>
      </c>
      <c r="AH30" s="87">
        <v>8.72</v>
      </c>
      <c r="AI30" s="87">
        <v>8.55</v>
      </c>
      <c r="AJ30" s="87">
        <v>301.6</v>
      </c>
      <c r="AK30" s="87">
        <v>9.55</v>
      </c>
      <c r="AL30" s="87">
        <v>336.87</v>
      </c>
      <c r="AM30" s="87">
        <f t="shared" si="2"/>
        <v>0.07341404672</v>
      </c>
      <c r="AN30" s="87" t="s">
        <v>1781</v>
      </c>
      <c r="AO30" s="87"/>
      <c r="AP30" s="87"/>
    </row>
    <row r="31" customHeight="1" spans="1:42">
      <c r="A31" s="94" t="s">
        <v>47</v>
      </c>
      <c r="B31" s="91" t="str">
        <f>_xlfn.XLOOKUP(A31,'Product List'!B:B,'Product List'!A:A)</f>
        <v>CPWJ18400WHSET-A</v>
      </c>
      <c r="C31" s="86" t="str">
        <f>_xlfn.XLOOKUP(A31,'Product List'!B:B,'Product List'!L:L)</f>
        <v>磨牙玩具-小树+小苹果</v>
      </c>
      <c r="D31" s="86">
        <v>28</v>
      </c>
      <c r="E31" s="86" t="s">
        <v>1767</v>
      </c>
      <c r="F31" s="92">
        <v>45931</v>
      </c>
      <c r="G31" s="87" t="s">
        <v>1765</v>
      </c>
      <c r="H31" s="86" t="s">
        <v>1775</v>
      </c>
      <c r="I31" s="92"/>
      <c r="J31" s="86"/>
      <c r="K31" s="92"/>
      <c r="L31" s="92">
        <v>45931</v>
      </c>
      <c r="M31" s="93"/>
      <c r="N31" s="86"/>
      <c r="O31" s="86">
        <v>6.89</v>
      </c>
      <c r="P31" s="86">
        <v>6.89</v>
      </c>
      <c r="Q31" s="86">
        <v>6.5</v>
      </c>
      <c r="R31" s="86">
        <v>7.09</v>
      </c>
      <c r="S31" s="86">
        <v>2.37</v>
      </c>
      <c r="T31" s="86">
        <v>6.5</v>
      </c>
      <c r="U31" s="86">
        <f t="shared" si="8"/>
        <v>16</v>
      </c>
      <c r="V31" s="86">
        <f t="shared" si="9"/>
        <v>20</v>
      </c>
      <c r="W31" s="86">
        <f t="shared" si="10"/>
        <v>14</v>
      </c>
      <c r="X31" s="86">
        <v>45</v>
      </c>
      <c r="Y31" s="86">
        <v>17.5</v>
      </c>
      <c r="Z31" s="86">
        <v>16.5</v>
      </c>
      <c r="AA31" s="86">
        <v>18</v>
      </c>
      <c r="AB31" s="86">
        <v>6</v>
      </c>
      <c r="AC31" s="86">
        <v>16.5</v>
      </c>
      <c r="AD31" s="86">
        <f>_xlfn.XLOOKUP(G31,'Case Type'!A:A,'Case Type'!E:E)</f>
        <v>40.64</v>
      </c>
      <c r="AE31" s="86">
        <f>_xlfn.XLOOKUP(G31,'Case Type'!A:A,'Case Type'!F:F)</f>
        <v>50.8</v>
      </c>
      <c r="AF31" s="86">
        <f>_xlfn.XLOOKUP(G31,'Case Type'!A:A,'Case Type'!G:G)</f>
        <v>35.56</v>
      </c>
      <c r="AG31" s="87">
        <v>150</v>
      </c>
      <c r="AH31" s="87">
        <v>5.3</v>
      </c>
      <c r="AI31" s="87"/>
      <c r="AJ31" s="87"/>
      <c r="AK31" s="87"/>
      <c r="AL31" s="87"/>
      <c r="AM31" s="87">
        <f t="shared" si="2"/>
        <v>0.07341404672</v>
      </c>
      <c r="AN31" s="87" t="s">
        <v>1770</v>
      </c>
      <c r="AO31" s="87"/>
      <c r="AP31" s="87"/>
    </row>
    <row r="32" customHeight="1" spans="1:42">
      <c r="A32" s="94" t="s">
        <v>48</v>
      </c>
      <c r="B32" s="91" t="str">
        <f>_xlfn.XLOOKUP(A32,'Product List'!B:B,'Product List'!A:A)</f>
        <v>CPWJ18500WH</v>
      </c>
      <c r="C32" s="86" t="str">
        <f>_xlfn.XLOOKUP(A32,'Product List'!B:B,'Product List'!L:L)</f>
        <v>木制躲避屋-秋千</v>
      </c>
      <c r="D32" s="86">
        <v>48</v>
      </c>
      <c r="E32" s="86" t="s">
        <v>1767</v>
      </c>
      <c r="F32" s="92">
        <v>45931</v>
      </c>
      <c r="G32" s="87" t="s">
        <v>1765</v>
      </c>
      <c r="H32" s="86" t="s">
        <v>1775</v>
      </c>
      <c r="I32" s="92"/>
      <c r="J32" s="86"/>
      <c r="K32" s="92"/>
      <c r="L32" s="92">
        <v>45931</v>
      </c>
      <c r="M32" s="93"/>
      <c r="N32" s="86"/>
      <c r="O32" s="86">
        <v>6.34</v>
      </c>
      <c r="P32" s="86">
        <v>4.02</v>
      </c>
      <c r="Q32" s="86">
        <v>6.7</v>
      </c>
      <c r="R32" s="86">
        <v>6.34</v>
      </c>
      <c r="S32" s="86">
        <v>4.02</v>
      </c>
      <c r="T32" s="86">
        <v>28.45</v>
      </c>
      <c r="U32" s="86">
        <f t="shared" si="8"/>
        <v>16</v>
      </c>
      <c r="V32" s="86">
        <f t="shared" si="9"/>
        <v>20</v>
      </c>
      <c r="W32" s="86">
        <f t="shared" si="10"/>
        <v>14</v>
      </c>
      <c r="X32" s="86">
        <v>46</v>
      </c>
      <c r="Y32" s="86">
        <v>10.2</v>
      </c>
      <c r="Z32" s="86">
        <v>17</v>
      </c>
      <c r="AA32" s="86" t="s">
        <v>130</v>
      </c>
      <c r="AB32" s="86" t="s">
        <v>130</v>
      </c>
      <c r="AC32" s="86" t="s">
        <v>130</v>
      </c>
      <c r="AD32" s="86">
        <f>_xlfn.XLOOKUP(G32,'Case Type'!A:A,'Case Type'!E:E)</f>
        <v>40.64</v>
      </c>
      <c r="AE32" s="86">
        <f>_xlfn.XLOOKUP(G32,'Case Type'!A:A,'Case Type'!F:F)</f>
        <v>50.8</v>
      </c>
      <c r="AF32" s="86">
        <f>_xlfn.XLOOKUP(G32,'Case Type'!A:A,'Case Type'!G:G)</f>
        <v>35.56</v>
      </c>
      <c r="AG32" s="87">
        <v>112</v>
      </c>
      <c r="AH32" s="87">
        <v>3.96</v>
      </c>
      <c r="AI32" s="87">
        <v>5.82</v>
      </c>
      <c r="AJ32" s="87">
        <v>205.3</v>
      </c>
      <c r="AK32" s="87">
        <v>6.65</v>
      </c>
      <c r="AL32" s="87">
        <v>234.58</v>
      </c>
      <c r="AM32" s="87">
        <f t="shared" si="2"/>
        <v>0.07341404672</v>
      </c>
      <c r="AN32" s="87" t="s">
        <v>1781</v>
      </c>
      <c r="AO32" s="87"/>
      <c r="AP32" s="87"/>
    </row>
    <row r="33" customHeight="1" spans="1:42">
      <c r="A33" s="96" t="s">
        <v>49</v>
      </c>
      <c r="B33" s="91" t="str">
        <f>_xlfn.XLOOKUP(A33,'Product List'!B:B,'Product List'!A:A)</f>
        <v>CPWJ87000</v>
      </c>
      <c r="C33" s="86" t="str">
        <f>_xlfn.XLOOKUP(A33,'Product List'!B:B,'Product List'!L:L)</f>
        <v>木制躲避屋-常春藤钻洞盒</v>
      </c>
      <c r="D33" s="86">
        <v>4</v>
      </c>
      <c r="E33" s="86" t="s">
        <v>1767</v>
      </c>
      <c r="F33" s="92">
        <v>45931</v>
      </c>
      <c r="G33" s="87" t="s">
        <v>1764</v>
      </c>
      <c r="H33" s="86" t="s">
        <v>1775</v>
      </c>
      <c r="I33" s="92"/>
      <c r="J33" s="86"/>
      <c r="K33" s="92"/>
      <c r="L33" s="92">
        <v>45931</v>
      </c>
      <c r="M33" s="93"/>
      <c r="N33" s="86"/>
      <c r="O33" s="86">
        <v>9.93</v>
      </c>
      <c r="P33" s="86">
        <v>9.14</v>
      </c>
      <c r="Q33" s="86">
        <v>10.6</v>
      </c>
      <c r="R33" s="86">
        <v>10.83</v>
      </c>
      <c r="S33" s="86">
        <v>10.04</v>
      </c>
      <c r="T33" s="86">
        <v>11.42</v>
      </c>
      <c r="U33" s="86">
        <f t="shared" si="8"/>
        <v>24</v>
      </c>
      <c r="V33" s="86">
        <f t="shared" si="9"/>
        <v>20</v>
      </c>
      <c r="W33" s="86">
        <f t="shared" si="10"/>
        <v>11.21</v>
      </c>
      <c r="X33" s="86">
        <v>47</v>
      </c>
      <c r="Y33" s="86">
        <v>23.2</v>
      </c>
      <c r="Z33" s="86">
        <v>26.9</v>
      </c>
      <c r="AA33" s="86">
        <v>27.5</v>
      </c>
      <c r="AB33" s="86">
        <v>25.5</v>
      </c>
      <c r="AC33" s="86">
        <v>29</v>
      </c>
      <c r="AD33" s="86">
        <f>_xlfn.XLOOKUP(G33,'Case Type'!A:A,'Case Type'!E:E)</f>
        <v>60.96</v>
      </c>
      <c r="AE33" s="86">
        <f>_xlfn.XLOOKUP(G33,'Case Type'!A:A,'Case Type'!F:F)</f>
        <v>50.8</v>
      </c>
      <c r="AF33" s="86">
        <f>_xlfn.XLOOKUP(G33,'Case Type'!A:A,'Case Type'!G:G)</f>
        <v>28.45</v>
      </c>
      <c r="AG33" s="87">
        <v>1447</v>
      </c>
      <c r="AH33" s="87">
        <v>51.05</v>
      </c>
      <c r="AI33" s="87">
        <v>8.05</v>
      </c>
      <c r="AJ33" s="87">
        <v>283.96</v>
      </c>
      <c r="AK33" s="87">
        <v>8.8</v>
      </c>
      <c r="AL33" s="87">
        <v>310.42</v>
      </c>
      <c r="AM33" s="87">
        <f t="shared" si="2"/>
        <v>0.0881030496</v>
      </c>
      <c r="AN33" s="87" t="s">
        <v>1770</v>
      </c>
      <c r="AO33" s="87"/>
      <c r="AP33" s="87"/>
    </row>
    <row r="34" customHeight="1" spans="1:42">
      <c r="A34" s="86" t="s">
        <v>50</v>
      </c>
      <c r="B34" s="91" t="str">
        <f>_xlfn.XLOOKUP(A34,'Product List'!B:B,'Product List'!A:A)</f>
        <v>HL-4</v>
      </c>
      <c r="C34" s="86" t="str">
        <f>_xlfn.XLOOKUP(A34,'Product List'!B:B,'Product List'!L:L)</f>
        <v>笼子-小电视机笼子</v>
      </c>
      <c r="D34" s="86">
        <v>1</v>
      </c>
      <c r="E34" s="86" t="s">
        <v>1767</v>
      </c>
      <c r="F34" s="92">
        <v>45931</v>
      </c>
      <c r="G34" s="86" t="s">
        <v>1783</v>
      </c>
      <c r="H34" s="86" t="s">
        <v>1775</v>
      </c>
      <c r="I34" s="92"/>
      <c r="J34" s="86"/>
      <c r="K34" s="92"/>
      <c r="L34" s="92">
        <v>45931</v>
      </c>
      <c r="M34" s="93"/>
      <c r="N34" s="86"/>
      <c r="O34" s="86">
        <v>24.41</v>
      </c>
      <c r="P34" s="86">
        <v>15.75</v>
      </c>
      <c r="Q34" s="86">
        <v>14.18</v>
      </c>
      <c r="R34" s="86">
        <v>25.2</v>
      </c>
      <c r="S34" s="86">
        <v>16.93</v>
      </c>
      <c r="T34" s="86">
        <v>10.63</v>
      </c>
      <c r="U34" s="86">
        <f t="shared" si="8"/>
        <v>25.21</v>
      </c>
      <c r="V34" s="86">
        <f t="shared" si="9"/>
        <v>16.91</v>
      </c>
      <c r="W34" s="86">
        <f t="shared" si="10"/>
        <v>10.61</v>
      </c>
      <c r="X34" s="86">
        <v>48</v>
      </c>
      <c r="Y34" s="86">
        <v>40</v>
      </c>
      <c r="Z34" s="86">
        <v>36</v>
      </c>
      <c r="AA34" s="86">
        <v>64</v>
      </c>
      <c r="AB34" s="86">
        <v>43</v>
      </c>
      <c r="AC34" s="86">
        <v>27</v>
      </c>
      <c r="AD34" s="86">
        <f>_xlfn.XLOOKUP(G34,'Case Type'!A:A,'Case Type'!E:E)</f>
        <v>64.01</v>
      </c>
      <c r="AE34" s="86">
        <f>_xlfn.XLOOKUP(G34,'Case Type'!A:A,'Case Type'!F:F)</f>
        <v>42.93</v>
      </c>
      <c r="AF34" s="86">
        <f>_xlfn.XLOOKUP(G34,'Case Type'!A:A,'Case Type'!G:G)</f>
        <v>26.93</v>
      </c>
      <c r="AG34" s="87">
        <v>3990</v>
      </c>
      <c r="AH34" s="87">
        <v>140.75</v>
      </c>
      <c r="AI34" s="87">
        <v>4.15</v>
      </c>
      <c r="AJ34" s="87">
        <v>146.39</v>
      </c>
      <c r="AK34" s="87">
        <v>5.35</v>
      </c>
      <c r="AL34" s="87">
        <v>188.72</v>
      </c>
      <c r="AM34" s="87">
        <f t="shared" si="2"/>
        <v>0.074002274649</v>
      </c>
      <c r="AN34" s="87" t="s">
        <v>1770</v>
      </c>
      <c r="AO34" s="87" t="s">
        <v>1784</v>
      </c>
      <c r="AP34" s="87"/>
    </row>
    <row r="35" customHeight="1" spans="1:42">
      <c r="A35" s="86" t="s">
        <v>51</v>
      </c>
      <c r="B35" s="91" t="str">
        <f>_xlfn.XLOOKUP(A35,'Product List'!B:B,'Product List'!A:A)</f>
        <v>LT-27</v>
      </c>
      <c r="C35" s="86" t="str">
        <f>_xlfn.XLOOKUP(A35,'Product List'!B:B,'Product List'!L:L)</f>
        <v>笼子-奇境隧道笼</v>
      </c>
      <c r="D35" s="86">
        <v>1</v>
      </c>
      <c r="E35" s="86" t="s">
        <v>1767</v>
      </c>
      <c r="F35" s="92">
        <v>45931</v>
      </c>
      <c r="G35" s="86" t="s">
        <v>1785</v>
      </c>
      <c r="H35" s="86" t="s">
        <v>1775</v>
      </c>
      <c r="I35" s="92"/>
      <c r="J35" s="86"/>
      <c r="K35" s="92"/>
      <c r="L35" s="92">
        <v>45931</v>
      </c>
      <c r="M35" s="93"/>
      <c r="N35" s="86"/>
      <c r="O35" s="86">
        <v>17.96</v>
      </c>
      <c r="P35" s="86">
        <v>13</v>
      </c>
      <c r="Q35" s="86">
        <v>13.71</v>
      </c>
      <c r="R35" s="86">
        <v>18.31</v>
      </c>
      <c r="S35" s="86">
        <v>13.39</v>
      </c>
      <c r="T35" s="86">
        <v>8.86</v>
      </c>
      <c r="U35" s="86">
        <f t="shared" si="8"/>
        <v>18.31</v>
      </c>
      <c r="V35" s="86">
        <f t="shared" si="9"/>
        <v>13.39</v>
      </c>
      <c r="W35" s="86">
        <f t="shared" si="10"/>
        <v>8.86</v>
      </c>
      <c r="X35" s="86">
        <v>49</v>
      </c>
      <c r="Y35" s="86">
        <v>33</v>
      </c>
      <c r="Z35" s="86">
        <v>34.8</v>
      </c>
      <c r="AA35" s="86">
        <v>46.5</v>
      </c>
      <c r="AB35" s="86">
        <v>34</v>
      </c>
      <c r="AC35" s="86">
        <v>22.5</v>
      </c>
      <c r="AD35" s="86">
        <f>_xlfn.XLOOKUP(G35,'Case Type'!A:A,'Case Type'!E:E)</f>
        <v>46.5</v>
      </c>
      <c r="AE35" s="86">
        <f>_xlfn.XLOOKUP(G35,'Case Type'!A:A,'Case Type'!F:F)</f>
        <v>34</v>
      </c>
      <c r="AF35" s="86">
        <f>_xlfn.XLOOKUP(G35,'Case Type'!A:A,'Case Type'!G:G)</f>
        <v>22.5</v>
      </c>
      <c r="AG35" s="87">
        <v>2421</v>
      </c>
      <c r="AH35" s="87">
        <v>85.4</v>
      </c>
      <c r="AI35" s="87"/>
      <c r="AJ35" s="87"/>
      <c r="AK35" s="87"/>
      <c r="AL35" s="87"/>
      <c r="AM35" s="87">
        <f t="shared" si="2"/>
        <v>0.0355725</v>
      </c>
      <c r="AN35" s="87" t="s">
        <v>1770</v>
      </c>
      <c r="AO35" s="87" t="s">
        <v>1786</v>
      </c>
      <c r="AP35" s="87"/>
    </row>
    <row r="36" customHeight="1" spans="1:42">
      <c r="A36" s="86" t="s">
        <v>52</v>
      </c>
      <c r="B36" s="91" t="str">
        <f>_xlfn.XLOOKUP(A36,'Product List'!B:B,'Product List'!A:A)</f>
        <v>LT-7</v>
      </c>
      <c r="C36" s="86" t="str">
        <f>_xlfn.XLOOKUP(A36,'Product List'!B:B,'Product List'!L:L)</f>
        <v>水壶-郁金香水壶</v>
      </c>
      <c r="D36" s="86">
        <v>60</v>
      </c>
      <c r="E36" s="86" t="s">
        <v>1767</v>
      </c>
      <c r="F36" s="92">
        <v>45931</v>
      </c>
      <c r="G36" s="86" t="s">
        <v>1761</v>
      </c>
      <c r="H36" s="86" t="s">
        <v>1775</v>
      </c>
      <c r="I36" s="92"/>
      <c r="J36" s="86"/>
      <c r="K36" s="92"/>
      <c r="L36" s="92">
        <v>45931</v>
      </c>
      <c r="M36" s="93"/>
      <c r="N36" s="86"/>
      <c r="O36" s="86">
        <v>3.98</v>
      </c>
      <c r="P36" s="86">
        <v>3.31</v>
      </c>
      <c r="Q36" s="86">
        <v>8.51</v>
      </c>
      <c r="R36" s="86">
        <v>4.97</v>
      </c>
      <c r="S36" s="86">
        <v>10.48</v>
      </c>
      <c r="T36" s="86">
        <v>3.31</v>
      </c>
      <c r="U36" s="86">
        <f t="shared" si="8"/>
        <v>24</v>
      </c>
      <c r="V36" s="86">
        <f t="shared" si="9"/>
        <v>20</v>
      </c>
      <c r="W36" s="86">
        <f t="shared" si="10"/>
        <v>20</v>
      </c>
      <c r="X36" s="86">
        <v>50</v>
      </c>
      <c r="Y36" s="86">
        <v>8.4</v>
      </c>
      <c r="Z36" s="86">
        <v>21.6</v>
      </c>
      <c r="AA36" s="86">
        <v>12.6</v>
      </c>
      <c r="AB36" s="86">
        <v>26.6</v>
      </c>
      <c r="AC36" s="86">
        <v>8.4</v>
      </c>
      <c r="AD36" s="86">
        <f>_xlfn.XLOOKUP(G36,'Case Type'!A:A,'Case Type'!E:E)</f>
        <v>60.96</v>
      </c>
      <c r="AE36" s="86">
        <f>_xlfn.XLOOKUP(G36,'Case Type'!A:A,'Case Type'!F:F)</f>
        <v>50.8</v>
      </c>
      <c r="AF36" s="86">
        <f>_xlfn.XLOOKUP(G36,'Case Type'!A:A,'Case Type'!G:G)</f>
        <v>50.8</v>
      </c>
      <c r="AG36" s="87">
        <v>100</v>
      </c>
      <c r="AH36" s="87">
        <v>3.53</v>
      </c>
      <c r="AI36" s="87">
        <v>7.3</v>
      </c>
      <c r="AJ36" s="87">
        <v>257.5</v>
      </c>
      <c r="AK36" s="87">
        <v>8.6</v>
      </c>
      <c r="AL36" s="87">
        <v>303.36</v>
      </c>
      <c r="AM36" s="87">
        <f t="shared" si="2"/>
        <v>0.1573158144</v>
      </c>
      <c r="AN36" s="87" t="s">
        <v>1777</v>
      </c>
      <c r="AO36" s="87"/>
      <c r="AP36" s="87"/>
    </row>
    <row r="37" customHeight="1" spans="1:42">
      <c r="A37" s="94" t="s">
        <v>53</v>
      </c>
      <c r="B37" s="91" t="str">
        <f>_xlfn.XLOOKUP(A37,'Product List'!B:B,'Product List'!A:A)</f>
        <v>R-12</v>
      </c>
      <c r="C37" s="86" t="str">
        <f>_xlfn.XLOOKUP(A37,'Product List'!B:B,'Product List'!L:L)</f>
        <v>木制躲避屋-小熊头</v>
      </c>
      <c r="D37" s="86">
        <v>24</v>
      </c>
      <c r="E37" s="86" t="s">
        <v>1767</v>
      </c>
      <c r="F37" s="92">
        <v>45931</v>
      </c>
      <c r="G37" s="87" t="s">
        <v>1761</v>
      </c>
      <c r="H37" s="86" t="s">
        <v>1775</v>
      </c>
      <c r="I37" s="92"/>
      <c r="J37" s="86"/>
      <c r="K37" s="92"/>
      <c r="L37" s="92">
        <v>45931</v>
      </c>
      <c r="M37" s="93"/>
      <c r="N37" s="86"/>
      <c r="O37" s="86">
        <v>11.42</v>
      </c>
      <c r="P37" s="86">
        <v>3.55</v>
      </c>
      <c r="Q37" s="86">
        <v>9.85</v>
      </c>
      <c r="R37" s="86">
        <v>11.42</v>
      </c>
      <c r="S37" s="86">
        <v>3.55</v>
      </c>
      <c r="T37" s="86">
        <v>9.85</v>
      </c>
      <c r="U37" s="86">
        <f t="shared" si="8"/>
        <v>24</v>
      </c>
      <c r="V37" s="86">
        <f t="shared" si="9"/>
        <v>20</v>
      </c>
      <c r="W37" s="86">
        <f t="shared" si="10"/>
        <v>20</v>
      </c>
      <c r="X37" s="86">
        <v>51</v>
      </c>
      <c r="Y37" s="86">
        <v>9</v>
      </c>
      <c r="Z37" s="86">
        <v>25</v>
      </c>
      <c r="AA37" s="86">
        <v>29</v>
      </c>
      <c r="AB37" s="86">
        <v>9</v>
      </c>
      <c r="AC37" s="86">
        <v>25</v>
      </c>
      <c r="AD37" s="86">
        <f>_xlfn.XLOOKUP(G37,'Case Type'!A:A,'Case Type'!E:E)</f>
        <v>60.96</v>
      </c>
      <c r="AE37" s="86">
        <f>_xlfn.XLOOKUP(G37,'Case Type'!A:A,'Case Type'!F:F)</f>
        <v>50.8</v>
      </c>
      <c r="AF37" s="86">
        <f>_xlfn.XLOOKUP(G37,'Case Type'!A:A,'Case Type'!G:G)</f>
        <v>50.8</v>
      </c>
      <c r="AG37" s="87">
        <v>488</v>
      </c>
      <c r="AH37" s="87">
        <v>17.22</v>
      </c>
      <c r="AI37" s="87"/>
      <c r="AJ37" s="87"/>
      <c r="AK37" s="87"/>
      <c r="AL37" s="87"/>
      <c r="AM37" s="87">
        <f t="shared" si="2"/>
        <v>0.1573158144</v>
      </c>
      <c r="AN37" s="87" t="s">
        <v>1781</v>
      </c>
      <c r="AO37" s="87"/>
      <c r="AP37" s="87"/>
    </row>
    <row r="38" customHeight="1" spans="1:42">
      <c r="A38" s="94" t="s">
        <v>54</v>
      </c>
      <c r="B38" s="91" t="str">
        <f>_xlfn.XLOOKUP(A38,'Product List'!B:B,'Product List'!A:A)</f>
        <v>R-15</v>
      </c>
      <c r="C38" s="86" t="str">
        <f>_xlfn.XLOOKUP(A38,'Product List'!B:B,'Product List'!L:L)</f>
        <v>木制躲避屋-树桩</v>
      </c>
      <c r="D38" s="86">
        <v>24</v>
      </c>
      <c r="E38" s="86" t="s">
        <v>1767</v>
      </c>
      <c r="F38" s="92">
        <v>45931</v>
      </c>
      <c r="G38" s="87" t="s">
        <v>1765</v>
      </c>
      <c r="H38" s="86" t="s">
        <v>1775</v>
      </c>
      <c r="I38" s="92"/>
      <c r="J38" s="86"/>
      <c r="K38" s="92"/>
      <c r="L38" s="92">
        <v>45931</v>
      </c>
      <c r="M38" s="93"/>
      <c r="N38" s="86"/>
      <c r="O38" s="86">
        <v>8.27</v>
      </c>
      <c r="P38" s="86">
        <v>3.55</v>
      </c>
      <c r="Q38" s="86">
        <v>5.91</v>
      </c>
      <c r="R38" s="86">
        <v>8.27</v>
      </c>
      <c r="S38" s="86">
        <v>3.55</v>
      </c>
      <c r="T38" s="86">
        <v>5.91</v>
      </c>
      <c r="U38" s="86">
        <f t="shared" si="8"/>
        <v>16</v>
      </c>
      <c r="V38" s="86">
        <f t="shared" si="9"/>
        <v>20</v>
      </c>
      <c r="W38" s="86">
        <f t="shared" si="10"/>
        <v>14</v>
      </c>
      <c r="X38" s="86">
        <v>52</v>
      </c>
      <c r="Y38" s="86">
        <v>9</v>
      </c>
      <c r="Z38" s="86">
        <v>15</v>
      </c>
      <c r="AA38" s="86">
        <v>21</v>
      </c>
      <c r="AB38" s="86">
        <v>9</v>
      </c>
      <c r="AC38" s="86">
        <v>15</v>
      </c>
      <c r="AD38" s="86">
        <f>_xlfn.XLOOKUP(G38,'Case Type'!A:A,'Case Type'!E:E)</f>
        <v>40.64</v>
      </c>
      <c r="AE38" s="86">
        <f>_xlfn.XLOOKUP(G38,'Case Type'!A:A,'Case Type'!F:F)</f>
        <v>50.8</v>
      </c>
      <c r="AF38" s="86">
        <f>_xlfn.XLOOKUP(G38,'Case Type'!A:A,'Case Type'!G:G)</f>
        <v>35.56</v>
      </c>
      <c r="AG38" s="87">
        <v>253</v>
      </c>
      <c r="AH38" s="87">
        <v>8.93</v>
      </c>
      <c r="AI38" s="87">
        <v>4.42</v>
      </c>
      <c r="AJ38" s="87">
        <v>155.92</v>
      </c>
      <c r="AK38" s="87">
        <v>5.25</v>
      </c>
      <c r="AL38" s="87">
        <v>185.19</v>
      </c>
      <c r="AM38" s="87">
        <f t="shared" si="2"/>
        <v>0.07341404672</v>
      </c>
      <c r="AN38" s="87" t="s">
        <v>1781</v>
      </c>
      <c r="AO38" s="87"/>
      <c r="AP38" s="87"/>
    </row>
    <row r="39" customHeight="1" spans="1:42">
      <c r="A39" s="86" t="s">
        <v>55</v>
      </c>
      <c r="B39" s="91" t="str">
        <f>_xlfn.XLOOKUP(A39,'Product List'!B:B,'Product List'!A:A)</f>
        <v>R-61</v>
      </c>
      <c r="C39" s="86" t="str">
        <f>_xlfn.XLOOKUP(A39,'Product List'!B:B,'Product List'!L:L)</f>
        <v>木制躲避屋-糖球水壶架</v>
      </c>
      <c r="D39" s="86">
        <v>34</v>
      </c>
      <c r="E39" s="86" t="s">
        <v>1767</v>
      </c>
      <c r="F39" s="92">
        <v>45931</v>
      </c>
      <c r="G39" s="86" t="s">
        <v>1761</v>
      </c>
      <c r="H39" s="86" t="s">
        <v>1775</v>
      </c>
      <c r="I39" s="92"/>
      <c r="J39" s="86"/>
      <c r="K39" s="92"/>
      <c r="L39" s="92">
        <v>45931</v>
      </c>
      <c r="M39" s="93"/>
      <c r="N39" s="86"/>
      <c r="O39" s="86">
        <v>5.52</v>
      </c>
      <c r="P39" s="86">
        <v>5.24</v>
      </c>
      <c r="Q39" s="86">
        <v>7.09</v>
      </c>
      <c r="R39" s="86">
        <v>5.52</v>
      </c>
      <c r="S39" s="86">
        <v>5.24</v>
      </c>
      <c r="T39" s="86">
        <v>7.09</v>
      </c>
      <c r="U39" s="86">
        <f t="shared" si="8"/>
        <v>24</v>
      </c>
      <c r="V39" s="86">
        <f t="shared" si="9"/>
        <v>20</v>
      </c>
      <c r="W39" s="86">
        <f t="shared" si="10"/>
        <v>20</v>
      </c>
      <c r="X39" s="86">
        <v>53</v>
      </c>
      <c r="Y39" s="86">
        <v>13.3</v>
      </c>
      <c r="Z39" s="86">
        <v>18</v>
      </c>
      <c r="AA39" s="86">
        <v>14</v>
      </c>
      <c r="AB39" s="86">
        <v>13.3</v>
      </c>
      <c r="AC39" s="86">
        <v>18</v>
      </c>
      <c r="AD39" s="86">
        <f>_xlfn.XLOOKUP(G39,'Case Type'!A:A,'Case Type'!E:E)</f>
        <v>60.96</v>
      </c>
      <c r="AE39" s="86">
        <f>_xlfn.XLOOKUP(G39,'Case Type'!A:A,'Case Type'!F:F)</f>
        <v>50.8</v>
      </c>
      <c r="AF39" s="86">
        <f>_xlfn.XLOOKUP(G39,'Case Type'!A:A,'Case Type'!G:G)</f>
        <v>50.8</v>
      </c>
      <c r="AG39" s="87">
        <v>221</v>
      </c>
      <c r="AH39" s="87">
        <v>7.8</v>
      </c>
      <c r="AI39" s="87"/>
      <c r="AJ39" s="87"/>
      <c r="AK39" s="87"/>
      <c r="AL39" s="87"/>
      <c r="AM39" s="87">
        <f t="shared" si="2"/>
        <v>0.1573158144</v>
      </c>
      <c r="AN39" s="87" t="s">
        <v>1781</v>
      </c>
      <c r="AO39" s="87"/>
      <c r="AP39" s="87"/>
    </row>
    <row r="40" customHeight="1" spans="1:42">
      <c r="A40" s="86" t="s">
        <v>56</v>
      </c>
      <c r="B40" s="91" t="str">
        <f>_xlfn.XLOOKUP(A40,'Product List'!B:B,'Product List'!A:A)</f>
        <v>R-62</v>
      </c>
      <c r="C40" s="86" t="str">
        <f>_xlfn.XLOOKUP(A40,'Product List'!B:B,'Product List'!L:L)</f>
        <v>木制躲避屋-甜甜桥</v>
      </c>
      <c r="D40" s="86">
        <v>70</v>
      </c>
      <c r="E40" s="86" t="s">
        <v>1767</v>
      </c>
      <c r="F40" s="92">
        <v>45931</v>
      </c>
      <c r="G40" s="86" t="s">
        <v>1766</v>
      </c>
      <c r="H40" s="86" t="s">
        <v>1775</v>
      </c>
      <c r="I40" s="92"/>
      <c r="J40" s="86"/>
      <c r="K40" s="92"/>
      <c r="L40" s="92">
        <v>45931</v>
      </c>
      <c r="M40" s="93"/>
      <c r="N40" s="86"/>
      <c r="O40" s="86">
        <v>8.27</v>
      </c>
      <c r="P40" s="86">
        <v>3.31</v>
      </c>
      <c r="Q40" s="86">
        <v>2.92</v>
      </c>
      <c r="R40" s="86">
        <v>8.27</v>
      </c>
      <c r="S40" s="86">
        <v>3.31</v>
      </c>
      <c r="T40" s="86">
        <v>2.92</v>
      </c>
      <c r="U40" s="86">
        <f t="shared" ref="U40:U56" si="11">IFERROR(ROUNDUP(AD40/2.54,2),"NA")</f>
        <v>24</v>
      </c>
      <c r="V40" s="86">
        <f t="shared" ref="V40:V56" si="12">IFERROR(ROUNDUP(AE40/2.54,2),"NA")</f>
        <v>20</v>
      </c>
      <c r="W40" s="86">
        <f t="shared" ref="W40:W56" si="13">IFERROR(ROUNDUP(AF40/2.54,2),"NA")</f>
        <v>14</v>
      </c>
      <c r="X40" s="86">
        <v>54</v>
      </c>
      <c r="Y40" s="86">
        <v>8.4</v>
      </c>
      <c r="Z40" s="86">
        <v>7.4</v>
      </c>
      <c r="AA40" s="86">
        <v>21</v>
      </c>
      <c r="AB40" s="86">
        <v>8.4</v>
      </c>
      <c r="AC40" s="86">
        <v>7.4</v>
      </c>
      <c r="AD40" s="86">
        <f>_xlfn.XLOOKUP(G40,'Case Type'!A:A,'Case Type'!E:E)</f>
        <v>60.96</v>
      </c>
      <c r="AE40" s="86">
        <f>_xlfn.XLOOKUP(G40,'Case Type'!A:A,'Case Type'!F:F)</f>
        <v>50.8</v>
      </c>
      <c r="AF40" s="86">
        <f>_xlfn.XLOOKUP(G40,'Case Type'!A:A,'Case Type'!G:G)</f>
        <v>35.56</v>
      </c>
      <c r="AG40" s="87">
        <v>134</v>
      </c>
      <c r="AH40" s="87">
        <v>4.73</v>
      </c>
      <c r="AI40" s="87"/>
      <c r="AJ40" s="87"/>
      <c r="AK40" s="87"/>
      <c r="AL40" s="87"/>
      <c r="AM40" s="87">
        <f t="shared" si="2"/>
        <v>0.11012107008</v>
      </c>
      <c r="AN40" s="87" t="s">
        <v>1781</v>
      </c>
      <c r="AO40" s="87"/>
      <c r="AP40" s="87"/>
    </row>
    <row r="41" customHeight="1" spans="1:42">
      <c r="A41" s="94" t="s">
        <v>57</v>
      </c>
      <c r="B41" s="91" t="str">
        <f>_xlfn.XLOOKUP(A41,'Product List'!B:B,'Product List'!A:A)</f>
        <v>R-63</v>
      </c>
      <c r="C41" s="86" t="str">
        <f>_xlfn.XLOOKUP(A41,'Product List'!B:B,'Product List'!L:L)</f>
        <v>木制躲避屋-糖果屋</v>
      </c>
      <c r="D41" s="86">
        <v>27</v>
      </c>
      <c r="E41" s="86" t="s">
        <v>1767</v>
      </c>
      <c r="F41" s="92">
        <v>45931</v>
      </c>
      <c r="G41" s="87" t="s">
        <v>1761</v>
      </c>
      <c r="H41" s="86" t="s">
        <v>1775</v>
      </c>
      <c r="I41" s="92"/>
      <c r="J41" s="86"/>
      <c r="K41" s="92"/>
      <c r="L41" s="92">
        <v>45931</v>
      </c>
      <c r="M41" s="93"/>
      <c r="N41" s="86"/>
      <c r="O41" s="86">
        <v>7.84</v>
      </c>
      <c r="P41" s="86">
        <v>5.2</v>
      </c>
      <c r="Q41" s="86">
        <v>6.3</v>
      </c>
      <c r="R41" s="86">
        <v>7.84</v>
      </c>
      <c r="S41" s="86">
        <v>5.2</v>
      </c>
      <c r="T41" s="86">
        <v>6.3</v>
      </c>
      <c r="U41" s="86">
        <f t="shared" si="11"/>
        <v>24</v>
      </c>
      <c r="V41" s="86">
        <f t="shared" si="12"/>
        <v>20</v>
      </c>
      <c r="W41" s="86">
        <f t="shared" si="13"/>
        <v>20</v>
      </c>
      <c r="X41" s="86">
        <v>55</v>
      </c>
      <c r="Y41" s="86">
        <v>13.2</v>
      </c>
      <c r="Z41" s="86">
        <v>16</v>
      </c>
      <c r="AA41" s="86">
        <v>19.9</v>
      </c>
      <c r="AB41" s="86">
        <v>13.2</v>
      </c>
      <c r="AC41" s="86">
        <v>16</v>
      </c>
      <c r="AD41" s="86">
        <f>_xlfn.XLOOKUP(G41,'Case Type'!A:A,'Case Type'!E:E)</f>
        <v>60.96</v>
      </c>
      <c r="AE41" s="86">
        <f>_xlfn.XLOOKUP(G41,'Case Type'!A:A,'Case Type'!F:F)</f>
        <v>50.8</v>
      </c>
      <c r="AF41" s="86">
        <f>_xlfn.XLOOKUP(G41,'Case Type'!A:A,'Case Type'!G:G)</f>
        <v>50.8</v>
      </c>
      <c r="AG41" s="87">
        <v>243</v>
      </c>
      <c r="AH41" s="87">
        <v>8.58</v>
      </c>
      <c r="AI41" s="87"/>
      <c r="AJ41" s="87"/>
      <c r="AK41" s="87"/>
      <c r="AL41" s="87"/>
      <c r="AM41" s="87">
        <f t="shared" si="2"/>
        <v>0.1573158144</v>
      </c>
      <c r="AN41" s="87" t="s">
        <v>1781</v>
      </c>
      <c r="AO41" s="87"/>
      <c r="AP41" s="87"/>
    </row>
    <row r="42" customHeight="1" spans="1:42">
      <c r="A42" s="86" t="s">
        <v>58</v>
      </c>
      <c r="B42" s="91" t="str">
        <f>_xlfn.XLOOKUP(A42,'Product List'!B:B,'Product List'!A:A)</f>
        <v>R-64</v>
      </c>
      <c r="C42" s="86" t="str">
        <f>_xlfn.XLOOKUP(A42,'Product List'!B:B,'Product List'!L:L)</f>
        <v>木制躲避屋-蛋糕小屋</v>
      </c>
      <c r="D42" s="86">
        <v>13</v>
      </c>
      <c r="E42" s="86" t="s">
        <v>1767</v>
      </c>
      <c r="F42" s="92">
        <v>45931</v>
      </c>
      <c r="G42" s="86" t="s">
        <v>1761</v>
      </c>
      <c r="H42" s="86" t="s">
        <v>1775</v>
      </c>
      <c r="I42" s="92"/>
      <c r="J42" s="86"/>
      <c r="K42" s="92"/>
      <c r="L42" s="92">
        <v>45931</v>
      </c>
      <c r="M42" s="93"/>
      <c r="N42" s="86"/>
      <c r="O42" s="86">
        <v>12.21</v>
      </c>
      <c r="P42" s="86">
        <v>8.08</v>
      </c>
      <c r="Q42" s="86">
        <v>4.73</v>
      </c>
      <c r="R42" s="86">
        <v>12.21</v>
      </c>
      <c r="S42" s="86">
        <v>8.08</v>
      </c>
      <c r="T42" s="86">
        <v>4.73</v>
      </c>
      <c r="U42" s="86">
        <f t="shared" si="11"/>
        <v>24</v>
      </c>
      <c r="V42" s="86">
        <f t="shared" si="12"/>
        <v>20</v>
      </c>
      <c r="W42" s="86">
        <f t="shared" si="13"/>
        <v>20</v>
      </c>
      <c r="X42" s="86">
        <v>56</v>
      </c>
      <c r="Y42" s="86">
        <v>20.5</v>
      </c>
      <c r="Z42" s="86">
        <v>12</v>
      </c>
      <c r="AA42" s="86">
        <v>31</v>
      </c>
      <c r="AB42" s="86">
        <v>20.5</v>
      </c>
      <c r="AC42" s="86">
        <v>12</v>
      </c>
      <c r="AD42" s="86">
        <f>_xlfn.XLOOKUP(G42,'Case Type'!A:A,'Case Type'!E:E)</f>
        <v>60.96</v>
      </c>
      <c r="AE42" s="86">
        <f>_xlfn.XLOOKUP(G42,'Case Type'!A:A,'Case Type'!F:F)</f>
        <v>50.8</v>
      </c>
      <c r="AF42" s="86">
        <f>_xlfn.XLOOKUP(G42,'Case Type'!A:A,'Case Type'!G:G)</f>
        <v>50.8</v>
      </c>
      <c r="AG42" s="87">
        <v>521</v>
      </c>
      <c r="AH42" s="87">
        <v>18.38</v>
      </c>
      <c r="AI42" s="87"/>
      <c r="AJ42" s="87"/>
      <c r="AK42" s="87"/>
      <c r="AL42" s="87"/>
      <c r="AM42" s="87">
        <f t="shared" si="2"/>
        <v>0.1573158144</v>
      </c>
      <c r="AN42" s="87" t="s">
        <v>1781</v>
      </c>
      <c r="AO42" s="87"/>
      <c r="AP42" s="87"/>
    </row>
    <row r="43" customHeight="1" spans="1:42">
      <c r="A43" s="94" t="s">
        <v>59</v>
      </c>
      <c r="B43" s="91" t="str">
        <f>_xlfn.XLOOKUP(A43,'Product List'!B:B,'Product List'!A:A)</f>
        <v>R-66</v>
      </c>
      <c r="C43" s="86" t="str">
        <f>_xlfn.XLOOKUP(A43,'Product List'!B:B,'Product List'!L:L)</f>
        <v>木制躲避屋-糖罐小屋</v>
      </c>
      <c r="D43" s="97">
        <v>27</v>
      </c>
      <c r="E43" s="86" t="s">
        <v>1767</v>
      </c>
      <c r="F43" s="92">
        <v>45931</v>
      </c>
      <c r="G43" s="98" t="s">
        <v>1761</v>
      </c>
      <c r="H43" s="86" t="s">
        <v>1775</v>
      </c>
      <c r="I43" s="92"/>
      <c r="J43" s="86"/>
      <c r="K43" s="92"/>
      <c r="L43" s="92">
        <v>45931</v>
      </c>
      <c r="M43" s="93"/>
      <c r="N43" s="86"/>
      <c r="O43" s="86">
        <v>7.88</v>
      </c>
      <c r="P43" s="86">
        <v>4.57</v>
      </c>
      <c r="Q43" s="86">
        <v>6.46</v>
      </c>
      <c r="R43" s="86">
        <v>7.88</v>
      </c>
      <c r="S43" s="86">
        <v>4.57</v>
      </c>
      <c r="T43" s="86">
        <v>6.46</v>
      </c>
      <c r="U43" s="86">
        <f t="shared" si="11"/>
        <v>24</v>
      </c>
      <c r="V43" s="86">
        <f t="shared" si="12"/>
        <v>20</v>
      </c>
      <c r="W43" s="86">
        <f t="shared" si="13"/>
        <v>20</v>
      </c>
      <c r="X43" s="86">
        <v>57</v>
      </c>
      <c r="Y43" s="86">
        <v>11.6</v>
      </c>
      <c r="Z43" s="86">
        <v>16.4</v>
      </c>
      <c r="AA43" s="86">
        <v>20</v>
      </c>
      <c r="AB43" s="86">
        <v>11.6</v>
      </c>
      <c r="AC43" s="86">
        <v>16.4</v>
      </c>
      <c r="AD43" s="86">
        <f>_xlfn.XLOOKUP(G43,'Case Type'!A:A,'Case Type'!E:E)</f>
        <v>60.96</v>
      </c>
      <c r="AE43" s="86">
        <f>_xlfn.XLOOKUP(G43,'Case Type'!A:A,'Case Type'!F:F)</f>
        <v>50.8</v>
      </c>
      <c r="AF43" s="86">
        <f>_xlfn.XLOOKUP(G43,'Case Type'!A:A,'Case Type'!G:G)</f>
        <v>50.8</v>
      </c>
      <c r="AG43" s="87">
        <v>300</v>
      </c>
      <c r="AH43" s="87">
        <v>10.59</v>
      </c>
      <c r="AI43" s="87"/>
      <c r="AJ43" s="87"/>
      <c r="AK43" s="87"/>
      <c r="AL43" s="87"/>
      <c r="AM43" s="87">
        <f t="shared" si="2"/>
        <v>0.1573158144</v>
      </c>
      <c r="AN43" s="87" t="s">
        <v>1781</v>
      </c>
      <c r="AO43" s="87"/>
      <c r="AP43" s="87"/>
    </row>
    <row r="44" customHeight="1" spans="1:42">
      <c r="A44" s="86" t="s">
        <v>60</v>
      </c>
      <c r="B44" s="91" t="str">
        <f>_xlfn.XLOOKUP(A44,'Product List'!B:B,'Product List'!A:A)</f>
        <v>R-71</v>
      </c>
      <c r="C44" s="86" t="str">
        <f>_xlfn.XLOOKUP(A44,'Product List'!B:B,'Product List'!L:L)</f>
        <v>木制躲避屋-海星城堡</v>
      </c>
      <c r="D44" s="86">
        <v>20</v>
      </c>
      <c r="E44" s="86" t="s">
        <v>1767</v>
      </c>
      <c r="F44" s="92">
        <v>45931</v>
      </c>
      <c r="G44" s="87" t="s">
        <v>1761</v>
      </c>
      <c r="H44" s="86" t="s">
        <v>1775</v>
      </c>
      <c r="I44" s="92"/>
      <c r="J44" s="86"/>
      <c r="K44" s="92"/>
      <c r="L44" s="92">
        <v>45931</v>
      </c>
      <c r="M44" s="93"/>
      <c r="N44" s="86"/>
      <c r="O44" s="86">
        <v>9.73</v>
      </c>
      <c r="P44" s="86">
        <v>5.91</v>
      </c>
      <c r="Q44" s="86">
        <v>8.47</v>
      </c>
      <c r="R44" s="86">
        <v>9.73</v>
      </c>
      <c r="S44" s="86">
        <v>5.91</v>
      </c>
      <c r="T44" s="86">
        <v>8.47</v>
      </c>
      <c r="U44" s="86">
        <f t="shared" si="11"/>
        <v>24</v>
      </c>
      <c r="V44" s="86">
        <f t="shared" si="12"/>
        <v>20</v>
      </c>
      <c r="W44" s="86">
        <f t="shared" si="13"/>
        <v>20</v>
      </c>
      <c r="X44" s="86">
        <v>58</v>
      </c>
      <c r="Y44" s="86">
        <v>15</v>
      </c>
      <c r="Z44" s="86">
        <v>21.5</v>
      </c>
      <c r="AA44" s="86">
        <v>24.7</v>
      </c>
      <c r="AB44" s="86">
        <v>15</v>
      </c>
      <c r="AC44" s="86">
        <v>21.5</v>
      </c>
      <c r="AD44" s="86">
        <f>_xlfn.XLOOKUP(G44,'Case Type'!A:A,'Case Type'!E:E)</f>
        <v>60.96</v>
      </c>
      <c r="AE44" s="86">
        <f>_xlfn.XLOOKUP(G44,'Case Type'!A:A,'Case Type'!F:F)</f>
        <v>50.8</v>
      </c>
      <c r="AF44" s="86">
        <f>_xlfn.XLOOKUP(G44,'Case Type'!A:A,'Case Type'!G:G)</f>
        <v>50.8</v>
      </c>
      <c r="AG44" s="87">
        <v>400</v>
      </c>
      <c r="AH44" s="87">
        <v>14.11</v>
      </c>
      <c r="AI44" s="87">
        <v>8.7</v>
      </c>
      <c r="AJ44" s="87">
        <v>306.89</v>
      </c>
      <c r="AK44" s="87">
        <v>9.7</v>
      </c>
      <c r="AL44" s="87">
        <v>342.16</v>
      </c>
      <c r="AM44" s="87">
        <f t="shared" si="2"/>
        <v>0.1573158144</v>
      </c>
      <c r="AN44" s="87" t="s">
        <v>1781</v>
      </c>
      <c r="AO44" s="87"/>
      <c r="AP44" s="87"/>
    </row>
    <row r="45" customHeight="1" spans="1:42">
      <c r="A45" s="86" t="s">
        <v>61</v>
      </c>
      <c r="B45" s="91" t="str">
        <f>_xlfn.XLOOKUP(A45,'Product List'!B:B,'Product List'!A:A)</f>
        <v>R-72</v>
      </c>
      <c r="C45" s="86" t="str">
        <f>_xlfn.XLOOKUP(A45,'Product List'!B:B,'Product List'!L:L)</f>
        <v>木制躲避屋-海浪桥</v>
      </c>
      <c r="D45" s="86">
        <v>33</v>
      </c>
      <c r="E45" s="86" t="s">
        <v>1767</v>
      </c>
      <c r="F45" s="92">
        <v>45931</v>
      </c>
      <c r="G45" s="87" t="s">
        <v>1761</v>
      </c>
      <c r="H45" s="86" t="s">
        <v>1775</v>
      </c>
      <c r="I45" s="92"/>
      <c r="J45" s="86"/>
      <c r="K45" s="92"/>
      <c r="L45" s="92">
        <v>45931</v>
      </c>
      <c r="M45" s="93"/>
      <c r="N45" s="86"/>
      <c r="O45" s="86">
        <v>14.14</v>
      </c>
      <c r="P45" s="86">
        <v>4.02</v>
      </c>
      <c r="Q45" s="86">
        <v>5.36</v>
      </c>
      <c r="R45" s="86">
        <v>14.14</v>
      </c>
      <c r="S45" s="86">
        <v>4.02</v>
      </c>
      <c r="T45" s="86">
        <v>5.36</v>
      </c>
      <c r="U45" s="86">
        <f t="shared" si="11"/>
        <v>24</v>
      </c>
      <c r="V45" s="86">
        <f t="shared" si="12"/>
        <v>20</v>
      </c>
      <c r="W45" s="86">
        <f t="shared" si="13"/>
        <v>20</v>
      </c>
      <c r="X45" s="86">
        <v>59</v>
      </c>
      <c r="Y45" s="86">
        <v>10.2</v>
      </c>
      <c r="Z45" s="86">
        <v>13.6</v>
      </c>
      <c r="AA45" s="86">
        <v>35.9</v>
      </c>
      <c r="AB45" s="86">
        <v>10.2</v>
      </c>
      <c r="AC45" s="86">
        <v>13.6</v>
      </c>
      <c r="AD45" s="86">
        <f>_xlfn.XLOOKUP(G45,'Case Type'!A:A,'Case Type'!E:E)</f>
        <v>60.96</v>
      </c>
      <c r="AE45" s="86">
        <f>_xlfn.XLOOKUP(G45,'Case Type'!A:A,'Case Type'!F:F)</f>
        <v>50.8</v>
      </c>
      <c r="AF45" s="86">
        <f>_xlfn.XLOOKUP(G45,'Case Type'!A:A,'Case Type'!G:G)</f>
        <v>50.8</v>
      </c>
      <c r="AG45" s="87">
        <v>310</v>
      </c>
      <c r="AH45" s="87">
        <v>10.94</v>
      </c>
      <c r="AI45" s="87">
        <v>10.96</v>
      </c>
      <c r="AJ45" s="87">
        <v>386.61</v>
      </c>
      <c r="AK45" s="87">
        <v>12.04</v>
      </c>
      <c r="AL45" s="87">
        <v>424.7</v>
      </c>
      <c r="AM45" s="87">
        <f t="shared" si="2"/>
        <v>0.1573158144</v>
      </c>
      <c r="AN45" s="87" t="s">
        <v>1781</v>
      </c>
      <c r="AO45" s="87"/>
      <c r="AP45" s="87"/>
    </row>
    <row r="46" customHeight="1" spans="1:42">
      <c r="A46" s="86" t="s">
        <v>62</v>
      </c>
      <c r="B46" s="91" t="str">
        <f>_xlfn.XLOOKUP(A46,'Product List'!B:B,'Product List'!A:A)</f>
        <v>R-8</v>
      </c>
      <c r="C46" s="86" t="str">
        <f>_xlfn.XLOOKUP(A46,'Product List'!B:B,'Product List'!L:L)</f>
        <v>隔板-可弯曲桦木围栏</v>
      </c>
      <c r="D46" s="86">
        <v>32</v>
      </c>
      <c r="E46" s="86" t="s">
        <v>1767</v>
      </c>
      <c r="F46" s="92">
        <v>45931</v>
      </c>
      <c r="G46" s="87" t="s">
        <v>1787</v>
      </c>
      <c r="H46" s="86" t="s">
        <v>1775</v>
      </c>
      <c r="I46" s="92"/>
      <c r="J46" s="86"/>
      <c r="K46" s="92"/>
      <c r="L46" s="92">
        <v>45931</v>
      </c>
      <c r="M46" s="93"/>
      <c r="N46" s="86"/>
      <c r="O46" s="86">
        <v>21.66</v>
      </c>
      <c r="P46" s="86">
        <v>0.48</v>
      </c>
      <c r="Q46" s="86">
        <v>4.73</v>
      </c>
      <c r="R46" s="86">
        <v>21.66</v>
      </c>
      <c r="S46" s="86">
        <v>0.48</v>
      </c>
      <c r="T46" s="86">
        <v>4.73</v>
      </c>
      <c r="U46" s="86">
        <f t="shared" si="11"/>
        <v>16</v>
      </c>
      <c r="V46" s="86">
        <f t="shared" si="12"/>
        <v>20</v>
      </c>
      <c r="W46" s="86">
        <f t="shared" si="13"/>
        <v>7</v>
      </c>
      <c r="X46" s="86">
        <v>60</v>
      </c>
      <c r="Y46" s="86">
        <v>1.2</v>
      </c>
      <c r="Z46" s="86">
        <v>12</v>
      </c>
      <c r="AA46" s="86">
        <v>55</v>
      </c>
      <c r="AB46" s="86">
        <v>1.2</v>
      </c>
      <c r="AC46" s="86">
        <v>12</v>
      </c>
      <c r="AD46" s="86">
        <f>_xlfn.XLOOKUP(G46,'Case Type'!A:A,'Case Type'!E:E)</f>
        <v>40.64</v>
      </c>
      <c r="AE46" s="86">
        <f>_xlfn.XLOOKUP(G46,'Case Type'!A:A,'Case Type'!F:F)</f>
        <v>50.8</v>
      </c>
      <c r="AF46" s="86">
        <f>_xlfn.XLOOKUP(G46,'Case Type'!A:A,'Case Type'!G:G)</f>
        <v>17.78</v>
      </c>
      <c r="AG46" s="87">
        <v>414</v>
      </c>
      <c r="AH46" s="87">
        <v>14.61</v>
      </c>
      <c r="AI46" s="87">
        <v>14.62</v>
      </c>
      <c r="AJ46" s="87">
        <v>515.71</v>
      </c>
      <c r="AK46" s="87">
        <v>15.32</v>
      </c>
      <c r="AL46" s="87">
        <v>540.4</v>
      </c>
      <c r="AM46" s="87">
        <f t="shared" si="2"/>
        <v>0.03670702336</v>
      </c>
      <c r="AN46" s="87" t="s">
        <v>1788</v>
      </c>
      <c r="AO46" s="87"/>
      <c r="AP46" s="87"/>
    </row>
    <row r="47" customHeight="1" spans="1:42">
      <c r="A47" s="94" t="s">
        <v>63</v>
      </c>
      <c r="B47" s="91" t="str">
        <f>_xlfn.XLOOKUP(A47,'Product List'!B:B,'Product List'!A:A)</f>
        <v>RJ510</v>
      </c>
      <c r="C47" s="86" t="str">
        <f>_xlfn.XLOOKUP(A47,'Product List'!B:B,'Product List'!L:L)</f>
        <v>外出笼-水晶外出笼 蓝色</v>
      </c>
      <c r="D47" s="99">
        <v>5</v>
      </c>
      <c r="E47" s="86" t="s">
        <v>1767</v>
      </c>
      <c r="F47" s="92">
        <v>45931</v>
      </c>
      <c r="G47" s="87" t="s">
        <v>1766</v>
      </c>
      <c r="H47" s="86" t="s">
        <v>1775</v>
      </c>
      <c r="I47" s="92"/>
      <c r="J47" s="86"/>
      <c r="K47" s="92"/>
      <c r="L47" s="92">
        <v>45931</v>
      </c>
      <c r="M47" s="93"/>
      <c r="N47" s="86"/>
      <c r="O47" s="86">
        <v>10.63</v>
      </c>
      <c r="P47" s="86">
        <v>7.88</v>
      </c>
      <c r="Q47" s="86">
        <v>11.03</v>
      </c>
      <c r="R47" s="86">
        <v>10.95</v>
      </c>
      <c r="S47" s="86">
        <v>8.08</v>
      </c>
      <c r="T47" s="86">
        <v>11.42</v>
      </c>
      <c r="U47" s="86">
        <f t="shared" si="11"/>
        <v>24</v>
      </c>
      <c r="V47" s="86">
        <f t="shared" si="12"/>
        <v>20</v>
      </c>
      <c r="W47" s="86">
        <f t="shared" si="13"/>
        <v>14</v>
      </c>
      <c r="X47" s="86">
        <v>61</v>
      </c>
      <c r="Y47" s="86">
        <v>20</v>
      </c>
      <c r="Z47" s="86">
        <v>28</v>
      </c>
      <c r="AA47" s="86">
        <v>27.8</v>
      </c>
      <c r="AB47" s="86">
        <v>20.5</v>
      </c>
      <c r="AC47" s="86">
        <v>29</v>
      </c>
      <c r="AD47" s="86">
        <f>_xlfn.XLOOKUP(G47,'Case Type'!A:A,'Case Type'!E:E)</f>
        <v>60.96</v>
      </c>
      <c r="AE47" s="86">
        <f>_xlfn.XLOOKUP(G47,'Case Type'!A:A,'Case Type'!F:F)</f>
        <v>50.8</v>
      </c>
      <c r="AF47" s="86">
        <f>_xlfn.XLOOKUP(G47,'Case Type'!A:A,'Case Type'!G:G)</f>
        <v>35.56</v>
      </c>
      <c r="AG47" s="87">
        <v>1090</v>
      </c>
      <c r="AH47" s="87">
        <v>38.45</v>
      </c>
      <c r="AI47" s="87"/>
      <c r="AJ47" s="87"/>
      <c r="AK47" s="87"/>
      <c r="AL47" s="87"/>
      <c r="AM47" s="87">
        <f t="shared" si="2"/>
        <v>0.11012107008</v>
      </c>
      <c r="AN47" s="87" t="s">
        <v>1770</v>
      </c>
      <c r="AO47" s="87"/>
      <c r="AP47" s="87"/>
    </row>
    <row r="48" customHeight="1" spans="1:42">
      <c r="A48" s="86" t="s">
        <v>64</v>
      </c>
      <c r="B48" s="91" t="str">
        <f>_xlfn.XLOOKUP(A48,'Product List'!B:B,'Product List'!A:A)</f>
        <v>SP-4</v>
      </c>
      <c r="C48" s="86" t="str">
        <f>_xlfn.XLOOKUP(A48,'Product List'!B:B,'Product List'!L:L)</f>
        <v>笼子-乡村观景笼</v>
      </c>
      <c r="D48" s="86">
        <v>1</v>
      </c>
      <c r="E48" s="86" t="s">
        <v>1767</v>
      </c>
      <c r="F48" s="92">
        <v>45931</v>
      </c>
      <c r="G48" s="86" t="s">
        <v>1789</v>
      </c>
      <c r="H48" s="86" t="s">
        <v>1775</v>
      </c>
      <c r="I48" s="92"/>
      <c r="J48" s="86"/>
      <c r="K48" s="92"/>
      <c r="L48" s="92">
        <v>45931</v>
      </c>
      <c r="M48" s="93"/>
      <c r="N48" s="86"/>
      <c r="O48" s="86">
        <v>24.41</v>
      </c>
      <c r="P48" s="86">
        <v>15.75</v>
      </c>
      <c r="Q48" s="86">
        <v>19.3</v>
      </c>
      <c r="R48" s="86">
        <v>27.76</v>
      </c>
      <c r="S48" s="86">
        <v>18.9</v>
      </c>
      <c r="T48" s="86">
        <v>16.54</v>
      </c>
      <c r="U48" s="86">
        <f t="shared" si="11"/>
        <v>27.77</v>
      </c>
      <c r="V48" s="86">
        <f t="shared" si="12"/>
        <v>18.91</v>
      </c>
      <c r="W48" s="86">
        <f t="shared" si="13"/>
        <v>16.55</v>
      </c>
      <c r="X48" s="86">
        <v>62</v>
      </c>
      <c r="Y48" s="86">
        <v>40</v>
      </c>
      <c r="Z48" s="86">
        <v>49</v>
      </c>
      <c r="AA48" s="86">
        <v>70.5</v>
      </c>
      <c r="AB48" s="86">
        <v>48</v>
      </c>
      <c r="AC48" s="86">
        <v>42</v>
      </c>
      <c r="AD48" s="86">
        <f>_xlfn.XLOOKUP(G48,'Case Type'!A:A,'Case Type'!E:E)</f>
        <v>70.52</v>
      </c>
      <c r="AE48" s="86">
        <f>_xlfn.XLOOKUP(G48,'Case Type'!A:A,'Case Type'!F:F)</f>
        <v>48.01</v>
      </c>
      <c r="AF48" s="86">
        <f>_xlfn.XLOOKUP(G48,'Case Type'!A:A,'Case Type'!G:G)</f>
        <v>42.02</v>
      </c>
      <c r="AG48" s="87">
        <v>3500</v>
      </c>
      <c r="AH48" s="87">
        <v>123.46</v>
      </c>
      <c r="AI48" s="87">
        <v>4.05</v>
      </c>
      <c r="AJ48" s="87">
        <v>142.86</v>
      </c>
      <c r="AK48" s="87">
        <v>6.7</v>
      </c>
      <c r="AL48" s="87">
        <v>236.34</v>
      </c>
      <c r="AM48" s="87">
        <f t="shared" si="2"/>
        <v>0.142265651704</v>
      </c>
      <c r="AN48" s="87" t="s">
        <v>1770</v>
      </c>
      <c r="AO48" s="87" t="s">
        <v>1790</v>
      </c>
      <c r="AP48" s="87"/>
    </row>
    <row r="49" customHeight="1" spans="1:42">
      <c r="A49" s="86" t="s">
        <v>65</v>
      </c>
      <c r="B49" s="91" t="str">
        <f>_xlfn.XLOOKUP(A49,'Product List'!B:B,'Product List'!A:A)</f>
        <v>SP-7</v>
      </c>
      <c r="C49" s="86" t="str">
        <f>_xlfn.XLOOKUP(A49,'Product List'!B:B,'Product List'!L:L)</f>
        <v>木制躲避屋-摇摇鸟屋</v>
      </c>
      <c r="D49" s="86">
        <v>18</v>
      </c>
      <c r="E49" s="86" t="s">
        <v>1767</v>
      </c>
      <c r="F49" s="92">
        <v>45931</v>
      </c>
      <c r="G49" s="86" t="s">
        <v>1761</v>
      </c>
      <c r="H49" s="86" t="s">
        <v>1775</v>
      </c>
      <c r="I49" s="92"/>
      <c r="J49" s="86"/>
      <c r="K49" s="92"/>
      <c r="L49" s="92">
        <v>45931</v>
      </c>
      <c r="M49" s="93"/>
      <c r="N49" s="86"/>
      <c r="O49" s="86">
        <v>7.88</v>
      </c>
      <c r="P49" s="86">
        <v>5.12</v>
      </c>
      <c r="Q49" s="86">
        <v>7.49</v>
      </c>
      <c r="R49" s="86">
        <v>7.88</v>
      </c>
      <c r="S49" s="86">
        <v>5.12</v>
      </c>
      <c r="T49" s="86">
        <v>7.49</v>
      </c>
      <c r="U49" s="86">
        <f t="shared" si="11"/>
        <v>24</v>
      </c>
      <c r="V49" s="86">
        <f t="shared" si="12"/>
        <v>20</v>
      </c>
      <c r="W49" s="86">
        <f t="shared" si="13"/>
        <v>20</v>
      </c>
      <c r="X49" s="86">
        <v>63</v>
      </c>
      <c r="Y49" s="86">
        <v>13</v>
      </c>
      <c r="Z49" s="86">
        <v>19</v>
      </c>
      <c r="AA49" s="86">
        <v>20</v>
      </c>
      <c r="AB49" s="86">
        <v>13</v>
      </c>
      <c r="AC49" s="86">
        <v>19</v>
      </c>
      <c r="AD49" s="86">
        <f>_xlfn.XLOOKUP(G49,'Case Type'!A:A,'Case Type'!E:E)</f>
        <v>60.96</v>
      </c>
      <c r="AE49" s="86">
        <f>_xlfn.XLOOKUP(G49,'Case Type'!A:A,'Case Type'!F:F)</f>
        <v>50.8</v>
      </c>
      <c r="AF49" s="86">
        <f>_xlfn.XLOOKUP(G49,'Case Type'!A:A,'Case Type'!G:G)</f>
        <v>50.8</v>
      </c>
      <c r="AG49" s="87"/>
      <c r="AH49" s="87"/>
      <c r="AI49" s="87"/>
      <c r="AJ49" s="87"/>
      <c r="AK49" s="87"/>
      <c r="AL49" s="87"/>
      <c r="AM49" s="87">
        <f t="shared" si="2"/>
        <v>0.1573158144</v>
      </c>
      <c r="AN49" s="87" t="s">
        <v>1781</v>
      </c>
      <c r="AO49" s="87"/>
      <c r="AP49" s="87"/>
    </row>
    <row r="50" customHeight="1" spans="1:42">
      <c r="A50" s="94" t="s">
        <v>66</v>
      </c>
      <c r="B50" s="91" t="str">
        <f>_xlfn.XLOOKUP(A50,'Product List'!B:B,'Product List'!A:A)</f>
        <v>SZP542-GN</v>
      </c>
      <c r="C50" s="86" t="str">
        <f>_xlfn.XLOOKUP(A50,'Product List'!B:B,'Product List'!L:L)</f>
        <v>水壶-果果升降水壶 绿色</v>
      </c>
      <c r="D50" s="97">
        <v>18</v>
      </c>
      <c r="E50" s="86" t="s">
        <v>1767</v>
      </c>
      <c r="F50" s="92">
        <v>45931</v>
      </c>
      <c r="G50" s="98" t="s">
        <v>1765</v>
      </c>
      <c r="H50" s="86" t="s">
        <v>1775</v>
      </c>
      <c r="I50" s="92"/>
      <c r="J50" s="86"/>
      <c r="K50" s="92"/>
      <c r="L50" s="92">
        <v>45931</v>
      </c>
      <c r="M50" s="93"/>
      <c r="N50" s="86"/>
      <c r="O50" s="86">
        <v>4.14</v>
      </c>
      <c r="P50" s="86">
        <v>4.77</v>
      </c>
      <c r="Q50" s="86">
        <v>6.72</v>
      </c>
      <c r="R50" s="86">
        <v>5.71</v>
      </c>
      <c r="S50" s="86">
        <v>4.34</v>
      </c>
      <c r="T50" s="86">
        <v>7.17</v>
      </c>
      <c r="U50" s="86">
        <f t="shared" si="11"/>
        <v>16</v>
      </c>
      <c r="V50" s="86">
        <f t="shared" si="12"/>
        <v>20</v>
      </c>
      <c r="W50" s="86">
        <f t="shared" si="13"/>
        <v>14</v>
      </c>
      <c r="X50" s="86">
        <v>64</v>
      </c>
      <c r="Y50" s="86">
        <v>12.1</v>
      </c>
      <c r="Z50" s="86">
        <v>17.05</v>
      </c>
      <c r="AA50" s="86">
        <v>14.5</v>
      </c>
      <c r="AB50" s="86">
        <v>11</v>
      </c>
      <c r="AC50" s="86">
        <v>18.2</v>
      </c>
      <c r="AD50" s="86">
        <f>_xlfn.XLOOKUP(G50,'Case Type'!A:A,'Case Type'!E:E)</f>
        <v>40.64</v>
      </c>
      <c r="AE50" s="86">
        <f>_xlfn.XLOOKUP(G50,'Case Type'!A:A,'Case Type'!F:F)</f>
        <v>50.8</v>
      </c>
      <c r="AF50" s="86">
        <f>_xlfn.XLOOKUP(G50,'Case Type'!A:A,'Case Type'!G:G)</f>
        <v>35.56</v>
      </c>
      <c r="AG50" s="87">
        <v>300</v>
      </c>
      <c r="AH50" s="87">
        <v>10.59</v>
      </c>
      <c r="AI50" s="87">
        <v>7.37</v>
      </c>
      <c r="AJ50" s="87">
        <v>259.97</v>
      </c>
      <c r="AK50" s="87">
        <v>8.2</v>
      </c>
      <c r="AL50" s="87">
        <v>289.25</v>
      </c>
      <c r="AM50" s="87">
        <f t="shared" si="2"/>
        <v>0.07341404672</v>
      </c>
      <c r="AN50" s="87" t="s">
        <v>1770</v>
      </c>
      <c r="AO50" s="87" t="s">
        <v>1791</v>
      </c>
      <c r="AP50" s="87"/>
    </row>
    <row r="51" customHeight="1" spans="1:42">
      <c r="A51" s="86" t="s">
        <v>67</v>
      </c>
      <c r="B51" s="91" t="str">
        <f>_xlfn.XLOOKUP(A51,'Product List'!B:B,'Product List'!A:A)</f>
        <v>SZP542-WH</v>
      </c>
      <c r="C51" s="86" t="str">
        <f>_xlfn.XLOOKUP(A51,'Product List'!B:B,'Product List'!L:L)</f>
        <v>水壶-果果升降水壶 白色</v>
      </c>
      <c r="D51" s="86">
        <v>42</v>
      </c>
      <c r="E51" s="86" t="s">
        <v>1767</v>
      </c>
      <c r="F51" s="92">
        <v>45931</v>
      </c>
      <c r="G51" s="87" t="s">
        <v>1761</v>
      </c>
      <c r="H51" s="86" t="s">
        <v>1775</v>
      </c>
      <c r="I51" s="92"/>
      <c r="J51" s="86"/>
      <c r="K51" s="92"/>
      <c r="L51" s="92">
        <v>45931</v>
      </c>
      <c r="M51" s="93"/>
      <c r="N51" s="86"/>
      <c r="O51" s="86">
        <v>4.14</v>
      </c>
      <c r="P51" s="86">
        <v>4.77</v>
      </c>
      <c r="Q51" s="86">
        <v>6.7</v>
      </c>
      <c r="R51" s="86">
        <v>5.71</v>
      </c>
      <c r="S51" s="86">
        <v>4.34</v>
      </c>
      <c r="T51" s="86">
        <v>7.17</v>
      </c>
      <c r="U51" s="86">
        <f t="shared" si="11"/>
        <v>24</v>
      </c>
      <c r="V51" s="86">
        <f t="shared" si="12"/>
        <v>20</v>
      </c>
      <c r="W51" s="86">
        <f t="shared" si="13"/>
        <v>20</v>
      </c>
      <c r="X51" s="86">
        <v>65</v>
      </c>
      <c r="Y51" s="86">
        <v>12.1</v>
      </c>
      <c r="Z51" s="86">
        <v>17</v>
      </c>
      <c r="AA51" s="86">
        <v>14.5</v>
      </c>
      <c r="AB51" s="86">
        <v>11</v>
      </c>
      <c r="AC51" s="86">
        <v>18.2</v>
      </c>
      <c r="AD51" s="86">
        <f>_xlfn.XLOOKUP(G51,'Case Type'!A:A,'Case Type'!E:E)</f>
        <v>60.96</v>
      </c>
      <c r="AE51" s="86">
        <f>_xlfn.XLOOKUP(G51,'Case Type'!A:A,'Case Type'!F:F)</f>
        <v>50.8</v>
      </c>
      <c r="AF51" s="86">
        <f>_xlfn.XLOOKUP(G51,'Case Type'!A:A,'Case Type'!G:G)</f>
        <v>50.8</v>
      </c>
      <c r="AG51" s="87">
        <v>300</v>
      </c>
      <c r="AH51" s="87">
        <v>10.59</v>
      </c>
      <c r="AI51" s="87">
        <v>16.9</v>
      </c>
      <c r="AJ51" s="87">
        <v>596.13</v>
      </c>
      <c r="AK51" s="87">
        <v>18.4</v>
      </c>
      <c r="AL51" s="87">
        <v>649.05</v>
      </c>
      <c r="AM51" s="87">
        <f t="shared" si="2"/>
        <v>0.1573158144</v>
      </c>
      <c r="AN51" s="87" t="s">
        <v>1770</v>
      </c>
      <c r="AO51" s="87"/>
      <c r="AP51" s="87"/>
    </row>
    <row r="52" customHeight="1" spans="1:42">
      <c r="A52" s="86" t="s">
        <v>68</v>
      </c>
      <c r="B52" s="91" t="str">
        <f>_xlfn.XLOOKUP(A52,'Product List'!B:B,'Product List'!A:A)</f>
        <v>T-1</v>
      </c>
      <c r="C52" s="86" t="str">
        <f>_xlfn.XLOOKUP(A52,'Product List'!B:B,'Product List'!L:L)</f>
        <v>垫料-麻花纸粒 蓝莓塔</v>
      </c>
      <c r="D52" s="86">
        <v>30</v>
      </c>
      <c r="E52" s="86" t="s">
        <v>1767</v>
      </c>
      <c r="F52" s="92">
        <v>45931</v>
      </c>
      <c r="G52" s="87" t="s">
        <v>1766</v>
      </c>
      <c r="H52" s="86" t="s">
        <v>1775</v>
      </c>
      <c r="I52" s="92"/>
      <c r="J52" s="86"/>
      <c r="K52" s="92"/>
      <c r="L52" s="92">
        <v>45931</v>
      </c>
      <c r="M52" s="93"/>
      <c r="N52" s="86"/>
      <c r="O52" s="86">
        <v>7.88</v>
      </c>
      <c r="P52" s="86">
        <v>3.15</v>
      </c>
      <c r="Q52" s="86">
        <v>11.82</v>
      </c>
      <c r="R52" s="86">
        <v>7.88</v>
      </c>
      <c r="S52" s="86">
        <v>3.15</v>
      </c>
      <c r="T52" s="86">
        <v>11.82</v>
      </c>
      <c r="U52" s="86">
        <f t="shared" si="11"/>
        <v>24</v>
      </c>
      <c r="V52" s="86">
        <f t="shared" si="12"/>
        <v>20</v>
      </c>
      <c r="W52" s="86">
        <f t="shared" si="13"/>
        <v>14</v>
      </c>
      <c r="X52" s="86">
        <v>66</v>
      </c>
      <c r="Y52" s="86">
        <v>8</v>
      </c>
      <c r="Z52" s="86">
        <v>30</v>
      </c>
      <c r="AA52" s="86">
        <v>20</v>
      </c>
      <c r="AB52" s="86">
        <v>8</v>
      </c>
      <c r="AC52" s="86">
        <v>30</v>
      </c>
      <c r="AD52" s="86">
        <f>_xlfn.XLOOKUP(G52,'Case Type'!A:A,'Case Type'!E:E)</f>
        <v>60.96</v>
      </c>
      <c r="AE52" s="86">
        <f>_xlfn.XLOOKUP(G52,'Case Type'!A:A,'Case Type'!F:F)</f>
        <v>50.8</v>
      </c>
      <c r="AF52" s="86">
        <f>_xlfn.XLOOKUP(G52,'Case Type'!A:A,'Case Type'!G:G)</f>
        <v>35.56</v>
      </c>
      <c r="AG52" s="87">
        <v>400</v>
      </c>
      <c r="AH52" s="87">
        <v>14.11</v>
      </c>
      <c r="AI52" s="87">
        <v>12.8</v>
      </c>
      <c r="AJ52" s="87">
        <v>451.51</v>
      </c>
      <c r="AK52" s="87">
        <v>14.05</v>
      </c>
      <c r="AL52" s="87">
        <v>495.6</v>
      </c>
      <c r="AM52" s="87">
        <f t="shared" si="2"/>
        <v>0.11012107008</v>
      </c>
      <c r="AN52" s="87" t="s">
        <v>1776</v>
      </c>
      <c r="AO52" s="87"/>
      <c r="AP52" s="87"/>
    </row>
    <row r="53" customHeight="1" spans="1:42">
      <c r="A53" s="86" t="s">
        <v>69</v>
      </c>
      <c r="B53" s="91" t="str">
        <f>_xlfn.XLOOKUP(A53,'Product List'!B:B,'Product List'!A:A)</f>
        <v>T-1</v>
      </c>
      <c r="C53" s="86" t="str">
        <f>_xlfn.XLOOKUP(A53,'Product List'!B:B,'Product List'!L:L)</f>
        <v>垫料-麻花纸粒 海盐香草</v>
      </c>
      <c r="D53" s="86">
        <v>30</v>
      </c>
      <c r="E53" s="86" t="s">
        <v>1767</v>
      </c>
      <c r="F53" s="92">
        <v>45931</v>
      </c>
      <c r="G53" s="86" t="s">
        <v>1766</v>
      </c>
      <c r="H53" s="86" t="s">
        <v>1775</v>
      </c>
      <c r="I53" s="92"/>
      <c r="J53" s="86"/>
      <c r="K53" s="92"/>
      <c r="L53" s="92">
        <v>45931</v>
      </c>
      <c r="M53" s="93"/>
      <c r="N53" s="86"/>
      <c r="O53" s="86">
        <v>7.88</v>
      </c>
      <c r="P53" s="86">
        <v>3.15</v>
      </c>
      <c r="Q53" s="86">
        <v>11.82</v>
      </c>
      <c r="R53" s="86">
        <v>7.88</v>
      </c>
      <c r="S53" s="86">
        <v>3.15</v>
      </c>
      <c r="T53" s="86">
        <v>11.82</v>
      </c>
      <c r="U53" s="86">
        <f t="shared" si="11"/>
        <v>24</v>
      </c>
      <c r="V53" s="86">
        <f t="shared" si="12"/>
        <v>20</v>
      </c>
      <c r="W53" s="86">
        <f t="shared" si="13"/>
        <v>14</v>
      </c>
      <c r="X53" s="86">
        <v>67</v>
      </c>
      <c r="Y53" s="86">
        <v>8</v>
      </c>
      <c r="Z53" s="86">
        <v>30</v>
      </c>
      <c r="AA53" s="86">
        <v>20</v>
      </c>
      <c r="AB53" s="86">
        <v>8</v>
      </c>
      <c r="AC53" s="86">
        <v>30</v>
      </c>
      <c r="AD53" s="86">
        <f>_xlfn.XLOOKUP(G53,'Case Type'!A:A,'Case Type'!E:E)</f>
        <v>60.96</v>
      </c>
      <c r="AE53" s="86">
        <f>_xlfn.XLOOKUP(G53,'Case Type'!A:A,'Case Type'!F:F)</f>
        <v>50.8</v>
      </c>
      <c r="AF53" s="86">
        <f>_xlfn.XLOOKUP(G53,'Case Type'!A:A,'Case Type'!G:G)</f>
        <v>35.56</v>
      </c>
      <c r="AG53" s="87">
        <v>400</v>
      </c>
      <c r="AH53" s="87">
        <v>14.11</v>
      </c>
      <c r="AI53" s="87">
        <v>12.8</v>
      </c>
      <c r="AJ53" s="87">
        <v>451.51</v>
      </c>
      <c r="AK53" s="87">
        <v>14.05</v>
      </c>
      <c r="AL53" s="87">
        <v>495.6</v>
      </c>
      <c r="AM53" s="87">
        <f t="shared" si="2"/>
        <v>0.11012107008</v>
      </c>
      <c r="AN53" s="87" t="s">
        <v>1776</v>
      </c>
      <c r="AO53" s="87"/>
      <c r="AP53" s="87"/>
    </row>
    <row r="54" customHeight="1" spans="1:42">
      <c r="A54" s="94" t="s">
        <v>70</v>
      </c>
      <c r="B54" s="91" t="str">
        <f>_xlfn.XLOOKUP(A54,'Product List'!B:B,'Product List'!A:A)</f>
        <v>T-1</v>
      </c>
      <c r="C54" s="86" t="str">
        <f>_xlfn.XLOOKUP(A54,'Product List'!B:B,'Product List'!L:L)</f>
        <v>垫料-麻花纸粒 焦糖</v>
      </c>
      <c r="D54" s="86">
        <v>30</v>
      </c>
      <c r="E54" s="86" t="s">
        <v>1767</v>
      </c>
      <c r="F54" s="92">
        <v>45931</v>
      </c>
      <c r="G54" s="87" t="s">
        <v>1766</v>
      </c>
      <c r="H54" s="86" t="s">
        <v>1775</v>
      </c>
      <c r="I54" s="92"/>
      <c r="J54" s="86"/>
      <c r="K54" s="92"/>
      <c r="L54" s="92">
        <v>45931</v>
      </c>
      <c r="M54" s="93"/>
      <c r="N54" s="86"/>
      <c r="O54" s="86">
        <v>7.88</v>
      </c>
      <c r="P54" s="86">
        <v>3.15</v>
      </c>
      <c r="Q54" s="86">
        <v>11.82</v>
      </c>
      <c r="R54" s="86">
        <v>7.88</v>
      </c>
      <c r="S54" s="86">
        <v>3.15</v>
      </c>
      <c r="T54" s="86">
        <v>11.82</v>
      </c>
      <c r="U54" s="86">
        <f t="shared" si="11"/>
        <v>24</v>
      </c>
      <c r="V54" s="86">
        <f t="shared" si="12"/>
        <v>20</v>
      </c>
      <c r="W54" s="86">
        <f t="shared" si="13"/>
        <v>14</v>
      </c>
      <c r="X54" s="86">
        <v>68</v>
      </c>
      <c r="Y54" s="86">
        <v>8</v>
      </c>
      <c r="Z54" s="86">
        <v>30</v>
      </c>
      <c r="AA54" s="86">
        <v>20</v>
      </c>
      <c r="AB54" s="86">
        <v>8</v>
      </c>
      <c r="AC54" s="86">
        <v>30</v>
      </c>
      <c r="AD54" s="86">
        <f>_xlfn.XLOOKUP(G54,'Case Type'!A:A,'Case Type'!E:E)</f>
        <v>60.96</v>
      </c>
      <c r="AE54" s="86">
        <f>_xlfn.XLOOKUP(G54,'Case Type'!A:A,'Case Type'!F:F)</f>
        <v>50.8</v>
      </c>
      <c r="AF54" s="86">
        <f>_xlfn.XLOOKUP(G54,'Case Type'!A:A,'Case Type'!G:G)</f>
        <v>35.56</v>
      </c>
      <c r="AG54" s="87">
        <v>400</v>
      </c>
      <c r="AH54" s="87">
        <v>14.11</v>
      </c>
      <c r="AI54" s="87">
        <v>12.8</v>
      </c>
      <c r="AJ54" s="87">
        <v>451.51</v>
      </c>
      <c r="AK54" s="87">
        <v>14.05</v>
      </c>
      <c r="AL54" s="87">
        <v>495.6</v>
      </c>
      <c r="AM54" s="87">
        <f t="shared" si="2"/>
        <v>0.11012107008</v>
      </c>
      <c r="AN54" s="87" t="s">
        <v>1776</v>
      </c>
      <c r="AO54" s="87"/>
      <c r="AP54" s="87"/>
    </row>
    <row r="55" customHeight="1" spans="1:42">
      <c r="A55" s="86" t="s">
        <v>71</v>
      </c>
      <c r="B55" s="91" t="str">
        <f>_xlfn.XLOOKUP(A55,'Product List'!B:B,'Product List'!A:A)</f>
        <v>T-1</v>
      </c>
      <c r="C55" s="86" t="str">
        <f>_xlfn.XLOOKUP(A55,'Product List'!B:B,'Product List'!L:L)</f>
        <v>垫料-麻花纸粒 泡泡糖</v>
      </c>
      <c r="D55" s="86">
        <v>30</v>
      </c>
      <c r="E55" s="86" t="s">
        <v>1767</v>
      </c>
      <c r="F55" s="92">
        <v>45931</v>
      </c>
      <c r="G55" s="86" t="s">
        <v>1766</v>
      </c>
      <c r="H55" s="86" t="s">
        <v>1775</v>
      </c>
      <c r="I55" s="92"/>
      <c r="J55" s="86"/>
      <c r="K55" s="92"/>
      <c r="L55" s="92">
        <v>45931</v>
      </c>
      <c r="M55" s="93"/>
      <c r="N55" s="86"/>
      <c r="O55" s="86">
        <v>7.88</v>
      </c>
      <c r="P55" s="86">
        <v>3.15</v>
      </c>
      <c r="Q55" s="86">
        <v>11.82</v>
      </c>
      <c r="R55" s="86">
        <v>7.88</v>
      </c>
      <c r="S55" s="86">
        <v>3.15</v>
      </c>
      <c r="T55" s="86">
        <v>11.82</v>
      </c>
      <c r="U55" s="86">
        <f t="shared" si="11"/>
        <v>24</v>
      </c>
      <c r="V55" s="86">
        <f t="shared" si="12"/>
        <v>20</v>
      </c>
      <c r="W55" s="86">
        <f t="shared" si="13"/>
        <v>14</v>
      </c>
      <c r="X55" s="86">
        <v>69</v>
      </c>
      <c r="Y55" s="86">
        <v>8</v>
      </c>
      <c r="Z55" s="86">
        <v>30</v>
      </c>
      <c r="AA55" s="86">
        <v>20</v>
      </c>
      <c r="AB55" s="86">
        <v>8</v>
      </c>
      <c r="AC55" s="86">
        <v>30</v>
      </c>
      <c r="AD55" s="86">
        <f>_xlfn.XLOOKUP(G55,'Case Type'!A:A,'Case Type'!E:E)</f>
        <v>60.96</v>
      </c>
      <c r="AE55" s="86">
        <f>_xlfn.XLOOKUP(G55,'Case Type'!A:A,'Case Type'!F:F)</f>
        <v>50.8</v>
      </c>
      <c r="AF55" s="86">
        <f>_xlfn.XLOOKUP(G55,'Case Type'!A:A,'Case Type'!G:G)</f>
        <v>35.56</v>
      </c>
      <c r="AG55" s="87">
        <v>400</v>
      </c>
      <c r="AH55" s="87">
        <v>14.11</v>
      </c>
      <c r="AI55" s="87">
        <v>12.8</v>
      </c>
      <c r="AJ55" s="87">
        <v>451.51</v>
      </c>
      <c r="AK55" s="87">
        <v>14.05</v>
      </c>
      <c r="AL55" s="87">
        <v>495.6</v>
      </c>
      <c r="AM55" s="87">
        <f t="shared" si="2"/>
        <v>0.11012107008</v>
      </c>
      <c r="AN55" s="87" t="s">
        <v>1776</v>
      </c>
      <c r="AO55" s="87"/>
      <c r="AP55" s="87"/>
    </row>
    <row r="56" customHeight="1" spans="1:42">
      <c r="A56" s="94" t="s">
        <v>72</v>
      </c>
      <c r="B56" s="91" t="str">
        <f>_xlfn.XLOOKUP(A56,'Product List'!B:B,'Product List'!A:A)</f>
        <v>T-41</v>
      </c>
      <c r="C56" s="86" t="str">
        <f>_xlfn.XLOOKUP(A56,'Product List'!B:B,'Product List'!L:L)</f>
        <v>磨牙玩具-森林系列仓鼠磨牙零食玩具</v>
      </c>
      <c r="D56" s="86">
        <v>60</v>
      </c>
      <c r="E56" s="86" t="s">
        <v>1767</v>
      </c>
      <c r="F56" s="92">
        <v>45931</v>
      </c>
      <c r="G56" s="87" t="s">
        <v>1765</v>
      </c>
      <c r="H56" s="86" t="s">
        <v>1775</v>
      </c>
      <c r="I56" s="92"/>
      <c r="J56" s="86"/>
      <c r="K56" s="92"/>
      <c r="L56" s="92">
        <v>45931</v>
      </c>
      <c r="M56" s="93"/>
      <c r="N56" s="86"/>
      <c r="O56" s="86">
        <v>4.85</v>
      </c>
      <c r="P56" s="86">
        <v>3.55</v>
      </c>
      <c r="Q56" s="86">
        <v>3.94</v>
      </c>
      <c r="R56" s="86">
        <v>6.3</v>
      </c>
      <c r="S56" s="86">
        <v>3.55</v>
      </c>
      <c r="T56" s="86">
        <v>10.24</v>
      </c>
      <c r="U56" s="86">
        <f t="shared" si="11"/>
        <v>16</v>
      </c>
      <c r="V56" s="86">
        <f t="shared" si="12"/>
        <v>20</v>
      </c>
      <c r="W56" s="86">
        <f t="shared" si="13"/>
        <v>14</v>
      </c>
      <c r="X56" s="86">
        <v>70</v>
      </c>
      <c r="Y56" s="86">
        <v>9</v>
      </c>
      <c r="Z56" s="86">
        <v>10</v>
      </c>
      <c r="AA56" s="86">
        <v>16</v>
      </c>
      <c r="AB56" s="86">
        <v>9</v>
      </c>
      <c r="AC56" s="86">
        <v>26</v>
      </c>
      <c r="AD56" s="86">
        <f>_xlfn.XLOOKUP(G56,'Case Type'!A:A,'Case Type'!E:E)</f>
        <v>40.64</v>
      </c>
      <c r="AE56" s="86">
        <f>_xlfn.XLOOKUP(G56,'Case Type'!A:A,'Case Type'!F:F)</f>
        <v>50.8</v>
      </c>
      <c r="AF56" s="86">
        <f>_xlfn.XLOOKUP(G56,'Case Type'!A:A,'Case Type'!G:G)</f>
        <v>35.56</v>
      </c>
      <c r="AG56" s="87">
        <v>120</v>
      </c>
      <c r="AH56" s="87">
        <v>4.24</v>
      </c>
      <c r="AI56" s="87">
        <v>11</v>
      </c>
      <c r="AJ56" s="87">
        <v>388.02</v>
      </c>
      <c r="AK56" s="87">
        <v>12</v>
      </c>
      <c r="AL56" s="87">
        <v>423.29</v>
      </c>
      <c r="AM56" s="87">
        <f t="shared" si="2"/>
        <v>0.07341404672</v>
      </c>
      <c r="AN56" s="87" t="s">
        <v>1778</v>
      </c>
      <c r="AO56" s="87"/>
      <c r="AP56" s="87"/>
    </row>
    <row r="57" customHeight="1" spans="1:42">
      <c r="A57" s="94" t="s">
        <v>74</v>
      </c>
      <c r="B57" s="91" t="str">
        <f>_xlfn.XLOOKUP(A57,'Product List'!B:B,'Product List'!A:A)</f>
        <v>WJ-14</v>
      </c>
      <c r="C57" s="86" t="str">
        <f>_xlfn.XLOOKUP(A57,'Product List'!B:B,'Product List'!L:L)</f>
        <v>外出笼-小恶魔外出笼 黑色</v>
      </c>
      <c r="D57" s="86">
        <v>18</v>
      </c>
      <c r="E57" s="86" t="s">
        <v>1767</v>
      </c>
      <c r="F57" s="92">
        <v>45931</v>
      </c>
      <c r="G57" s="86" t="s">
        <v>1761</v>
      </c>
      <c r="H57" s="86" t="s">
        <v>1775</v>
      </c>
      <c r="I57" s="92"/>
      <c r="J57" s="86"/>
      <c r="K57" s="92"/>
      <c r="L57" s="92">
        <v>45931</v>
      </c>
      <c r="M57" s="93"/>
      <c r="N57" s="86"/>
      <c r="O57" s="86">
        <v>7.17</v>
      </c>
      <c r="P57" s="86">
        <v>7.17</v>
      </c>
      <c r="Q57" s="86">
        <v>6.19</v>
      </c>
      <c r="R57" s="86">
        <v>7.41</v>
      </c>
      <c r="S57" s="86">
        <v>7.41</v>
      </c>
      <c r="T57" s="86">
        <v>7.05</v>
      </c>
      <c r="U57" s="86">
        <f t="shared" ref="U57:U71" si="14">IFERROR(ROUNDUP(AD57/2.54,2),"NA")</f>
        <v>24</v>
      </c>
      <c r="V57" s="86">
        <f t="shared" ref="V57:V71" si="15">IFERROR(ROUNDUP(AE57/2.54,2),"NA")</f>
        <v>20</v>
      </c>
      <c r="W57" s="86">
        <f t="shared" ref="W57:W71" si="16">IFERROR(ROUNDUP(AF57/2.54,2),"NA")</f>
        <v>20</v>
      </c>
      <c r="X57" s="86">
        <v>71</v>
      </c>
      <c r="Y57" s="86">
        <v>18.2</v>
      </c>
      <c r="Z57" s="86">
        <v>15.7</v>
      </c>
      <c r="AA57" s="86">
        <v>18.8</v>
      </c>
      <c r="AB57" s="86">
        <v>18.8</v>
      </c>
      <c r="AC57" s="86">
        <v>17.9</v>
      </c>
      <c r="AD57" s="86">
        <f>_xlfn.XLOOKUP(G57,'Case Type'!A:A,'Case Type'!E:E)</f>
        <v>60.96</v>
      </c>
      <c r="AE57" s="86">
        <f>_xlfn.XLOOKUP(G57,'Case Type'!A:A,'Case Type'!F:F)</f>
        <v>50.8</v>
      </c>
      <c r="AF57" s="86">
        <f>_xlfn.XLOOKUP(G57,'Case Type'!A:A,'Case Type'!G:G)</f>
        <v>50.8</v>
      </c>
      <c r="AG57" s="87">
        <v>366</v>
      </c>
      <c r="AH57" s="87">
        <v>12.92</v>
      </c>
      <c r="AI57" s="87"/>
      <c r="AJ57" s="87"/>
      <c r="AK57" s="87"/>
      <c r="AL57" s="87"/>
      <c r="AM57" s="87">
        <f t="shared" si="2"/>
        <v>0.1573158144</v>
      </c>
      <c r="AN57" s="87" t="s">
        <v>1770</v>
      </c>
      <c r="AO57" s="87"/>
      <c r="AP57" s="87" t="s">
        <v>1792</v>
      </c>
    </row>
    <row r="58" customHeight="1" spans="1:42">
      <c r="A58" s="86" t="s">
        <v>77</v>
      </c>
      <c r="B58" s="91" t="str">
        <f>_xlfn.XLOOKUP(A58,'Product List'!B:B,'Product List'!A:A)</f>
        <v>WJ-4</v>
      </c>
      <c r="C58" s="86" t="str">
        <f>_xlfn.XLOOKUP(A58,'Product List'!B:B,'Product List'!L:L)</f>
        <v>水壶-云朵饮水瓶</v>
      </c>
      <c r="D58" s="86">
        <v>50</v>
      </c>
      <c r="E58" s="86" t="s">
        <v>1767</v>
      </c>
      <c r="F58" s="92">
        <v>45931</v>
      </c>
      <c r="G58" s="87" t="s">
        <v>1766</v>
      </c>
      <c r="H58" s="86" t="s">
        <v>1775</v>
      </c>
      <c r="I58" s="92"/>
      <c r="J58" s="86"/>
      <c r="K58" s="92"/>
      <c r="L58" s="92">
        <v>45931</v>
      </c>
      <c r="M58" s="93"/>
      <c r="N58" s="86"/>
      <c r="O58" s="86">
        <v>7.29</v>
      </c>
      <c r="P58" s="86">
        <v>2.96</v>
      </c>
      <c r="Q58" s="86">
        <v>5.12</v>
      </c>
      <c r="R58" s="86">
        <v>6.03</v>
      </c>
      <c r="S58" s="86">
        <v>9.45</v>
      </c>
      <c r="T58" s="86">
        <v>2.96</v>
      </c>
      <c r="U58" s="86">
        <f t="shared" si="14"/>
        <v>24</v>
      </c>
      <c r="V58" s="86">
        <f t="shared" si="15"/>
        <v>20</v>
      </c>
      <c r="W58" s="86">
        <f t="shared" si="16"/>
        <v>14</v>
      </c>
      <c r="X58" s="86">
        <v>72</v>
      </c>
      <c r="Y58" s="86">
        <v>7.5</v>
      </c>
      <c r="Z58" s="86">
        <v>13</v>
      </c>
      <c r="AA58" s="86">
        <v>15.3</v>
      </c>
      <c r="AB58" s="86">
        <v>24</v>
      </c>
      <c r="AC58" s="86">
        <v>7.5</v>
      </c>
      <c r="AD58" s="86">
        <f>_xlfn.XLOOKUP(G58,'Case Type'!A:A,'Case Type'!E:E)</f>
        <v>60.96</v>
      </c>
      <c r="AE58" s="86">
        <f>_xlfn.XLOOKUP(G58,'Case Type'!A:A,'Case Type'!F:F)</f>
        <v>50.8</v>
      </c>
      <c r="AF58" s="86">
        <f>_xlfn.XLOOKUP(G58,'Case Type'!A:A,'Case Type'!G:G)</f>
        <v>35.56</v>
      </c>
      <c r="AG58" s="87"/>
      <c r="AH58" s="87"/>
      <c r="AI58" s="87"/>
      <c r="AJ58" s="87"/>
      <c r="AK58" s="87"/>
      <c r="AL58" s="87"/>
      <c r="AM58" s="87"/>
      <c r="AN58" s="87"/>
      <c r="AO58" s="87"/>
      <c r="AP58" s="87"/>
    </row>
    <row r="59" customHeight="1" spans="1:42">
      <c r="A59" s="86" t="s">
        <v>78</v>
      </c>
      <c r="B59" s="91" t="str">
        <f>_xlfn.XLOOKUP(A59,'Product List'!B:B,'Product List'!A:A)</f>
        <v>WJ-46</v>
      </c>
      <c r="C59" s="86" t="str">
        <f>_xlfn.XLOOKUP(A59,'Product List'!B:B,'Product List'!L:L)</f>
        <v>食具-荷叶边食盆</v>
      </c>
      <c r="D59" s="86">
        <v>48</v>
      </c>
      <c r="E59" s="86" t="s">
        <v>1767</v>
      </c>
      <c r="F59" s="92">
        <v>45931</v>
      </c>
      <c r="G59" s="87" t="s">
        <v>1765</v>
      </c>
      <c r="H59" s="86" t="s">
        <v>1775</v>
      </c>
      <c r="I59" s="92"/>
      <c r="J59" s="86"/>
      <c r="K59" s="92"/>
      <c r="L59" s="92">
        <v>45931</v>
      </c>
      <c r="M59" s="93"/>
      <c r="N59" s="86"/>
      <c r="O59" s="86">
        <v>4.26</v>
      </c>
      <c r="P59" s="86">
        <v>4.26</v>
      </c>
      <c r="Q59" s="86">
        <v>2.56</v>
      </c>
      <c r="R59" s="86">
        <v>4.81</v>
      </c>
      <c r="S59" s="86">
        <v>4.81</v>
      </c>
      <c r="T59" s="86">
        <v>3.15</v>
      </c>
      <c r="U59" s="86">
        <f t="shared" si="14"/>
        <v>16</v>
      </c>
      <c r="V59" s="86">
        <f t="shared" si="15"/>
        <v>20</v>
      </c>
      <c r="W59" s="86">
        <f t="shared" si="16"/>
        <v>14</v>
      </c>
      <c r="X59" s="86">
        <v>73</v>
      </c>
      <c r="Y59" s="86">
        <v>10.8</v>
      </c>
      <c r="Z59" s="86">
        <v>6.5</v>
      </c>
      <c r="AA59" s="86">
        <v>12.2</v>
      </c>
      <c r="AB59" s="86">
        <v>12.2</v>
      </c>
      <c r="AC59" s="86">
        <v>8</v>
      </c>
      <c r="AD59" s="86">
        <f>_xlfn.XLOOKUP(G59,'Case Type'!A:A,'Case Type'!E:E)</f>
        <v>40.64</v>
      </c>
      <c r="AE59" s="86">
        <f>_xlfn.XLOOKUP(G59,'Case Type'!A:A,'Case Type'!F:F)</f>
        <v>50.8</v>
      </c>
      <c r="AF59" s="86">
        <f>_xlfn.XLOOKUP(G59,'Case Type'!A:A,'Case Type'!G:G)</f>
        <v>35.56</v>
      </c>
      <c r="AG59" s="87">
        <v>310</v>
      </c>
      <c r="AH59" s="87">
        <v>10.94</v>
      </c>
      <c r="AI59" s="87">
        <v>17.1</v>
      </c>
      <c r="AJ59" s="87">
        <v>603.19</v>
      </c>
      <c r="AK59" s="87">
        <v>17.9</v>
      </c>
      <c r="AL59" s="87">
        <v>631.41</v>
      </c>
      <c r="AM59" s="87">
        <f t="shared" ref="AM59:AM122" si="17">IFERROR(AD59*AE59*AF59/1000000,"NA")</f>
        <v>0.07341404672</v>
      </c>
      <c r="AN59" s="87" t="s">
        <v>1793</v>
      </c>
      <c r="AO59" s="87"/>
      <c r="AP59" s="87"/>
    </row>
    <row r="60" customHeight="1" spans="1:42">
      <c r="A60" s="96" t="s">
        <v>79</v>
      </c>
      <c r="B60" s="91" t="str">
        <f>_xlfn.XLOOKUP(A60,'Product List'!B:B,'Product List'!A:A)</f>
        <v>WJ-9</v>
      </c>
      <c r="C60" s="86" t="str">
        <f>_xlfn.XLOOKUP(A60,'Product List'!B:B,'Product List'!L:L)</f>
        <v>厕所-森林厕所 绿色</v>
      </c>
      <c r="D60" s="86">
        <v>36</v>
      </c>
      <c r="E60" s="86" t="s">
        <v>1767</v>
      </c>
      <c r="F60" s="92">
        <v>45931</v>
      </c>
      <c r="G60" s="87" t="s">
        <v>1761</v>
      </c>
      <c r="H60" s="86" t="s">
        <v>1775</v>
      </c>
      <c r="I60" s="92"/>
      <c r="J60" s="86"/>
      <c r="K60" s="92"/>
      <c r="L60" s="92">
        <v>45931</v>
      </c>
      <c r="M60" s="93"/>
      <c r="N60" s="86"/>
      <c r="O60" s="86">
        <v>6.54</v>
      </c>
      <c r="P60" s="86">
        <v>6.15</v>
      </c>
      <c r="Q60" s="86">
        <v>4.41</v>
      </c>
      <c r="R60" s="86">
        <v>6.66</v>
      </c>
      <c r="S60" s="86">
        <v>6.26</v>
      </c>
      <c r="T60" s="86">
        <v>4.93</v>
      </c>
      <c r="U60" s="86">
        <f t="shared" si="14"/>
        <v>24</v>
      </c>
      <c r="V60" s="86">
        <f t="shared" si="15"/>
        <v>20</v>
      </c>
      <c r="W60" s="86">
        <f t="shared" si="16"/>
        <v>20</v>
      </c>
      <c r="X60" s="86">
        <v>74</v>
      </c>
      <c r="Y60" s="86">
        <v>15.6</v>
      </c>
      <c r="Z60" s="86">
        <v>11.2</v>
      </c>
      <c r="AA60" s="86">
        <v>16.9</v>
      </c>
      <c r="AB60" s="86">
        <v>15.9</v>
      </c>
      <c r="AC60" s="86">
        <v>12.5</v>
      </c>
      <c r="AD60" s="86">
        <f>_xlfn.XLOOKUP(G60,'Case Type'!A:A,'Case Type'!E:E)</f>
        <v>60.96</v>
      </c>
      <c r="AE60" s="86">
        <f>_xlfn.XLOOKUP(G60,'Case Type'!A:A,'Case Type'!F:F)</f>
        <v>50.8</v>
      </c>
      <c r="AF60" s="86">
        <f>_xlfn.XLOOKUP(G60,'Case Type'!A:A,'Case Type'!G:G)</f>
        <v>50.8</v>
      </c>
      <c r="AG60" s="87">
        <v>210</v>
      </c>
      <c r="AH60" s="87">
        <v>7.41</v>
      </c>
      <c r="AI60" s="87">
        <v>11.6</v>
      </c>
      <c r="AJ60" s="87">
        <v>409.18</v>
      </c>
      <c r="AK60" s="87">
        <v>12.3</v>
      </c>
      <c r="AL60" s="87">
        <v>433.87</v>
      </c>
      <c r="AM60" s="87">
        <f t="shared" si="17"/>
        <v>0.1573158144</v>
      </c>
      <c r="AN60" s="87" t="s">
        <v>1770</v>
      </c>
      <c r="AO60" s="87"/>
      <c r="AP60" s="87"/>
    </row>
    <row r="61" customHeight="1" spans="1:42">
      <c r="A61" s="86" t="s">
        <v>80</v>
      </c>
      <c r="B61" s="91" t="str">
        <f>_xlfn.XLOOKUP(A61,'Product List'!B:B,'Product List'!A:A)</f>
        <v>ZM003</v>
      </c>
      <c r="C61" s="86" t="str">
        <f>_xlfn.XLOOKUP(A61,'Product List'!B:B,'Product List'!L:L)</f>
        <v>垫料-吸水纸粒 蓝莓雪葩</v>
      </c>
      <c r="D61" s="86">
        <v>12</v>
      </c>
      <c r="E61" s="86" t="s">
        <v>1767</v>
      </c>
      <c r="F61" s="92">
        <v>45931</v>
      </c>
      <c r="G61" s="86" t="s">
        <v>1765</v>
      </c>
      <c r="H61" s="86" t="s">
        <v>1775</v>
      </c>
      <c r="I61" s="92"/>
      <c r="J61" s="86"/>
      <c r="K61" s="92"/>
      <c r="L61" s="92">
        <v>45931</v>
      </c>
      <c r="M61" s="93"/>
      <c r="N61" s="86"/>
      <c r="O61" s="86">
        <v>10.24</v>
      </c>
      <c r="P61" s="86">
        <v>3.15</v>
      </c>
      <c r="Q61" s="86">
        <v>14.18</v>
      </c>
      <c r="R61" s="86">
        <v>10.24</v>
      </c>
      <c r="S61" s="86">
        <v>3.15</v>
      </c>
      <c r="T61" s="86">
        <v>14.18</v>
      </c>
      <c r="U61" s="86">
        <f t="shared" si="14"/>
        <v>16</v>
      </c>
      <c r="V61" s="86">
        <f t="shared" si="15"/>
        <v>20</v>
      </c>
      <c r="W61" s="86">
        <f t="shared" si="16"/>
        <v>14</v>
      </c>
      <c r="X61" s="86">
        <v>75</v>
      </c>
      <c r="Y61" s="86">
        <v>8</v>
      </c>
      <c r="Z61" s="86">
        <v>36</v>
      </c>
      <c r="AA61" s="86">
        <v>26</v>
      </c>
      <c r="AB61" s="86">
        <v>8</v>
      </c>
      <c r="AC61" s="86">
        <v>36</v>
      </c>
      <c r="AD61" s="86">
        <f>_xlfn.XLOOKUP(G61,'Case Type'!A:A,'Case Type'!E:E)</f>
        <v>40.64</v>
      </c>
      <c r="AE61" s="86">
        <f>_xlfn.XLOOKUP(G61,'Case Type'!A:A,'Case Type'!F:F)</f>
        <v>50.8</v>
      </c>
      <c r="AF61" s="86">
        <f>_xlfn.XLOOKUP(G61,'Case Type'!A:A,'Case Type'!G:G)</f>
        <v>35.56</v>
      </c>
      <c r="AG61" s="87">
        <v>1800</v>
      </c>
      <c r="AH61" s="87">
        <v>63.5</v>
      </c>
      <c r="AI61" s="87">
        <v>22.1</v>
      </c>
      <c r="AJ61" s="87">
        <v>779.56</v>
      </c>
      <c r="AK61" s="87">
        <v>22.97</v>
      </c>
      <c r="AL61" s="87">
        <v>810.25</v>
      </c>
      <c r="AM61" s="87">
        <f t="shared" si="17"/>
        <v>0.07341404672</v>
      </c>
      <c r="AN61" s="87" t="s">
        <v>1794</v>
      </c>
      <c r="AO61" s="87"/>
      <c r="AP61" s="87"/>
    </row>
    <row r="62" customHeight="1" spans="1:42">
      <c r="A62" s="86" t="s">
        <v>81</v>
      </c>
      <c r="B62" s="91" t="str">
        <f>_xlfn.XLOOKUP(A62,'Product List'!B:B,'Product List'!A:A)</f>
        <v>ZM003</v>
      </c>
      <c r="C62" s="86" t="str">
        <f>_xlfn.XLOOKUP(A62,'Product List'!B:B,'Product List'!L:L)</f>
        <v>垫料-吸水纸粒 蓝莓奶油</v>
      </c>
      <c r="D62" s="86">
        <v>12</v>
      </c>
      <c r="E62" s="86" t="s">
        <v>1767</v>
      </c>
      <c r="F62" s="92">
        <v>45931</v>
      </c>
      <c r="G62" s="87" t="s">
        <v>1765</v>
      </c>
      <c r="H62" s="86" t="s">
        <v>1775</v>
      </c>
      <c r="I62" s="92"/>
      <c r="J62" s="86"/>
      <c r="K62" s="92"/>
      <c r="L62" s="92">
        <v>45931</v>
      </c>
      <c r="M62" s="93"/>
      <c r="N62" s="86"/>
      <c r="O62" s="86">
        <v>10.24</v>
      </c>
      <c r="P62" s="86">
        <v>3.15</v>
      </c>
      <c r="Q62" s="86">
        <v>14.18</v>
      </c>
      <c r="R62" s="86">
        <v>10.24</v>
      </c>
      <c r="S62" s="86">
        <v>3.15</v>
      </c>
      <c r="T62" s="86">
        <v>14.18</v>
      </c>
      <c r="U62" s="86">
        <f t="shared" si="14"/>
        <v>16</v>
      </c>
      <c r="V62" s="86">
        <f t="shared" si="15"/>
        <v>20</v>
      </c>
      <c r="W62" s="86">
        <f t="shared" si="16"/>
        <v>14</v>
      </c>
      <c r="X62" s="86">
        <v>76</v>
      </c>
      <c r="Y62" s="86">
        <v>8</v>
      </c>
      <c r="Z62" s="86">
        <v>36</v>
      </c>
      <c r="AA62" s="86">
        <v>26</v>
      </c>
      <c r="AB62" s="86">
        <v>8</v>
      </c>
      <c r="AC62" s="86">
        <v>36</v>
      </c>
      <c r="AD62" s="86">
        <f>_xlfn.XLOOKUP(G62,'Case Type'!A:A,'Case Type'!E:E)</f>
        <v>40.64</v>
      </c>
      <c r="AE62" s="86">
        <f>_xlfn.XLOOKUP(G62,'Case Type'!A:A,'Case Type'!F:F)</f>
        <v>50.8</v>
      </c>
      <c r="AF62" s="86">
        <f>_xlfn.XLOOKUP(G62,'Case Type'!A:A,'Case Type'!G:G)</f>
        <v>35.56</v>
      </c>
      <c r="AG62" s="87">
        <v>1800</v>
      </c>
      <c r="AH62" s="87">
        <v>63.5</v>
      </c>
      <c r="AI62" s="87">
        <v>22.1</v>
      </c>
      <c r="AJ62" s="87">
        <v>779.56</v>
      </c>
      <c r="AK62" s="87">
        <v>22.97</v>
      </c>
      <c r="AL62" s="87">
        <v>810.25</v>
      </c>
      <c r="AM62" s="87">
        <f t="shared" si="17"/>
        <v>0.07341404672</v>
      </c>
      <c r="AN62" s="87" t="s">
        <v>1794</v>
      </c>
      <c r="AO62" s="87"/>
      <c r="AP62" s="87"/>
    </row>
    <row r="63" customHeight="1" spans="1:42">
      <c r="A63" s="86" t="s">
        <v>82</v>
      </c>
      <c r="B63" s="91" t="str">
        <f>_xlfn.XLOOKUP(A63,'Product List'!B:B,'Product List'!A:A)</f>
        <v>ZM003</v>
      </c>
      <c r="C63" s="86" t="str">
        <f>_xlfn.XLOOKUP(A63,'Product List'!B:B,'Product List'!L:L)</f>
        <v>垫料-吸水纸粒 开心果奶油</v>
      </c>
      <c r="D63" s="86">
        <v>12</v>
      </c>
      <c r="E63" s="86" t="s">
        <v>1767</v>
      </c>
      <c r="F63" s="92">
        <v>45931</v>
      </c>
      <c r="G63" s="86" t="s">
        <v>1765</v>
      </c>
      <c r="H63" s="86" t="s">
        <v>1775</v>
      </c>
      <c r="I63" s="92"/>
      <c r="J63" s="86"/>
      <c r="K63" s="92"/>
      <c r="L63" s="92">
        <v>45931</v>
      </c>
      <c r="M63" s="93"/>
      <c r="N63" s="86"/>
      <c r="O63" s="86">
        <v>10.24</v>
      </c>
      <c r="P63" s="86">
        <v>3.15</v>
      </c>
      <c r="Q63" s="86">
        <v>14.18</v>
      </c>
      <c r="R63" s="86">
        <v>10.24</v>
      </c>
      <c r="S63" s="86">
        <v>3.15</v>
      </c>
      <c r="T63" s="86">
        <v>14.18</v>
      </c>
      <c r="U63" s="86">
        <f t="shared" si="14"/>
        <v>16</v>
      </c>
      <c r="V63" s="86">
        <f t="shared" si="15"/>
        <v>20</v>
      </c>
      <c r="W63" s="86">
        <f t="shared" si="16"/>
        <v>14</v>
      </c>
      <c r="X63" s="86">
        <v>77</v>
      </c>
      <c r="Y63" s="86">
        <v>8</v>
      </c>
      <c r="Z63" s="86">
        <v>36</v>
      </c>
      <c r="AA63" s="86">
        <v>26</v>
      </c>
      <c r="AB63" s="86">
        <v>8</v>
      </c>
      <c r="AC63" s="86">
        <v>36</v>
      </c>
      <c r="AD63" s="86">
        <f>_xlfn.XLOOKUP(G63,'Case Type'!A:A,'Case Type'!E:E)</f>
        <v>40.64</v>
      </c>
      <c r="AE63" s="86">
        <f>_xlfn.XLOOKUP(G63,'Case Type'!A:A,'Case Type'!F:F)</f>
        <v>50.8</v>
      </c>
      <c r="AF63" s="86">
        <f>_xlfn.XLOOKUP(G63,'Case Type'!A:A,'Case Type'!G:G)</f>
        <v>35.56</v>
      </c>
      <c r="AG63" s="87">
        <v>1800</v>
      </c>
      <c r="AH63" s="87">
        <v>63.5</v>
      </c>
      <c r="AI63" s="87">
        <v>22.1</v>
      </c>
      <c r="AJ63" s="87">
        <v>779.56</v>
      </c>
      <c r="AK63" s="87">
        <v>22.97</v>
      </c>
      <c r="AL63" s="87">
        <v>810.25</v>
      </c>
      <c r="AM63" s="87">
        <f t="shared" si="17"/>
        <v>0.07341404672</v>
      </c>
      <c r="AN63" s="87" t="s">
        <v>1794</v>
      </c>
      <c r="AO63" s="87"/>
      <c r="AP63" s="87"/>
    </row>
    <row r="64" customHeight="1" spans="1:42">
      <c r="A64" s="94" t="s">
        <v>83</v>
      </c>
      <c r="B64" s="91" t="str">
        <f>_xlfn.XLOOKUP(A64,'Product List'!B:B,'Product List'!A:A)</f>
        <v>ZM004</v>
      </c>
      <c r="C64" s="86" t="str">
        <f>_xlfn.XLOOKUP(A64,'Product List'!B:B,'Product List'!L:L)</f>
        <v>垫料-游戏纸条 青柠塔</v>
      </c>
      <c r="D64" s="86">
        <v>30</v>
      </c>
      <c r="E64" s="86" t="s">
        <v>1767</v>
      </c>
      <c r="F64" s="92">
        <v>45931</v>
      </c>
      <c r="G64" s="86" t="s">
        <v>1761</v>
      </c>
      <c r="H64" s="86" t="s">
        <v>1775</v>
      </c>
      <c r="I64" s="92"/>
      <c r="J64" s="86"/>
      <c r="K64" s="92"/>
      <c r="L64" s="92">
        <v>45931</v>
      </c>
      <c r="M64" s="93"/>
      <c r="N64" s="86"/>
      <c r="O64" s="86">
        <v>7.88</v>
      </c>
      <c r="P64" s="86">
        <v>3.15</v>
      </c>
      <c r="Q64" s="86">
        <v>11.82</v>
      </c>
      <c r="R64" s="86">
        <v>7.88</v>
      </c>
      <c r="S64" s="86">
        <v>3.15</v>
      </c>
      <c r="T64" s="86">
        <v>11.82</v>
      </c>
      <c r="U64" s="86">
        <f t="shared" si="14"/>
        <v>24</v>
      </c>
      <c r="V64" s="86">
        <f t="shared" si="15"/>
        <v>20</v>
      </c>
      <c r="W64" s="86">
        <f t="shared" si="16"/>
        <v>20</v>
      </c>
      <c r="X64" s="86">
        <v>78</v>
      </c>
      <c r="Y64" s="86">
        <v>8</v>
      </c>
      <c r="Z64" s="86">
        <v>30</v>
      </c>
      <c r="AA64" s="86">
        <v>20</v>
      </c>
      <c r="AB64" s="86">
        <v>8</v>
      </c>
      <c r="AC64" s="86">
        <v>30</v>
      </c>
      <c r="AD64" s="86">
        <f>_xlfn.XLOOKUP(G64,'Case Type'!A:A,'Case Type'!E:E)</f>
        <v>60.96</v>
      </c>
      <c r="AE64" s="86">
        <f>_xlfn.XLOOKUP(G64,'Case Type'!A:A,'Case Type'!F:F)</f>
        <v>50.8</v>
      </c>
      <c r="AF64" s="86">
        <f>_xlfn.XLOOKUP(G64,'Case Type'!A:A,'Case Type'!G:G)</f>
        <v>50.8</v>
      </c>
      <c r="AG64" s="87">
        <v>200</v>
      </c>
      <c r="AH64" s="87">
        <v>7.06</v>
      </c>
      <c r="AI64" s="87">
        <v>6.8</v>
      </c>
      <c r="AJ64" s="87">
        <v>239.87</v>
      </c>
      <c r="AK64" s="87">
        <v>8.25</v>
      </c>
      <c r="AL64" s="87">
        <v>291.02</v>
      </c>
      <c r="AM64" s="87">
        <f t="shared" si="17"/>
        <v>0.1573158144</v>
      </c>
      <c r="AN64" s="87" t="s">
        <v>1776</v>
      </c>
      <c r="AO64" s="87"/>
      <c r="AP64" s="87" t="s">
        <v>1795</v>
      </c>
    </row>
    <row r="65" customHeight="1" spans="1:42">
      <c r="A65" s="86" t="s">
        <v>84</v>
      </c>
      <c r="B65" s="91" t="str">
        <f>_xlfn.XLOOKUP(A65,'Product List'!B:B,'Product List'!A:A)</f>
        <v>ZM005</v>
      </c>
      <c r="C65" s="86" t="str">
        <f>_xlfn.XLOOKUP(A65,'Product List'!B:B,'Product List'!L:L)</f>
        <v>垫料-芋圆棉球 蓝莓蛋白霜</v>
      </c>
      <c r="D65" s="86">
        <v>32</v>
      </c>
      <c r="E65" s="86" t="s">
        <v>1767</v>
      </c>
      <c r="F65" s="92">
        <v>45931</v>
      </c>
      <c r="G65" s="87" t="s">
        <v>1766</v>
      </c>
      <c r="H65" s="86" t="s">
        <v>1775</v>
      </c>
      <c r="I65" s="92"/>
      <c r="J65" s="86"/>
      <c r="K65" s="92"/>
      <c r="L65" s="92">
        <v>45931</v>
      </c>
      <c r="M65" s="93"/>
      <c r="N65" s="86"/>
      <c r="O65" s="86">
        <v>7.88</v>
      </c>
      <c r="P65" s="86">
        <v>3.15</v>
      </c>
      <c r="Q65" s="86">
        <v>11.82</v>
      </c>
      <c r="R65" s="86">
        <v>7.88</v>
      </c>
      <c r="S65" s="86">
        <v>3.15</v>
      </c>
      <c r="T65" s="86">
        <v>11.82</v>
      </c>
      <c r="U65" s="86">
        <f t="shared" si="14"/>
        <v>24</v>
      </c>
      <c r="V65" s="86">
        <f t="shared" si="15"/>
        <v>20</v>
      </c>
      <c r="W65" s="86">
        <f t="shared" si="16"/>
        <v>14</v>
      </c>
      <c r="X65" s="86">
        <v>79</v>
      </c>
      <c r="Y65" s="86">
        <v>8</v>
      </c>
      <c r="Z65" s="86">
        <v>30</v>
      </c>
      <c r="AA65" s="86">
        <v>20</v>
      </c>
      <c r="AB65" s="86">
        <v>8</v>
      </c>
      <c r="AC65" s="86">
        <v>30</v>
      </c>
      <c r="AD65" s="86">
        <f>_xlfn.XLOOKUP(G65,'Case Type'!A:A,'Case Type'!E:E)</f>
        <v>60.96</v>
      </c>
      <c r="AE65" s="86">
        <f>_xlfn.XLOOKUP(G65,'Case Type'!A:A,'Case Type'!F:F)</f>
        <v>50.8</v>
      </c>
      <c r="AF65" s="86">
        <f>_xlfn.XLOOKUP(G65,'Case Type'!A:A,'Case Type'!G:G)</f>
        <v>35.56</v>
      </c>
      <c r="AG65" s="87">
        <v>160</v>
      </c>
      <c r="AH65" s="87">
        <v>5.65</v>
      </c>
      <c r="AI65" s="87">
        <v>6</v>
      </c>
      <c r="AJ65" s="87">
        <v>211.65</v>
      </c>
      <c r="AK65" s="87">
        <v>7.2</v>
      </c>
      <c r="AL65" s="87">
        <v>253.98</v>
      </c>
      <c r="AM65" s="87">
        <f t="shared" si="17"/>
        <v>0.11012107008</v>
      </c>
      <c r="AN65" s="87" t="s">
        <v>1776</v>
      </c>
      <c r="AO65" s="87"/>
      <c r="AP65" s="87"/>
    </row>
    <row r="66" customHeight="1" spans="1:42">
      <c r="A66" s="94" t="s">
        <v>85</v>
      </c>
      <c r="B66" s="91" t="str">
        <f>_xlfn.XLOOKUP(A66,'Product List'!B:B,'Product List'!A:A)</f>
        <v>ZM005</v>
      </c>
      <c r="C66" s="86" t="str">
        <f>_xlfn.XLOOKUP(A66,'Product List'!B:B,'Product List'!L:L)</f>
        <v>垫料-芋圆棉球 彩虹芭菲</v>
      </c>
      <c r="D66" s="86">
        <v>32</v>
      </c>
      <c r="E66" s="86" t="s">
        <v>1767</v>
      </c>
      <c r="F66" s="92">
        <v>45931</v>
      </c>
      <c r="G66" s="87" t="s">
        <v>1766</v>
      </c>
      <c r="H66" s="86" t="s">
        <v>1775</v>
      </c>
      <c r="I66" s="92"/>
      <c r="J66" s="86"/>
      <c r="K66" s="92"/>
      <c r="L66" s="92">
        <v>45931</v>
      </c>
      <c r="M66" s="93"/>
      <c r="N66" s="86"/>
      <c r="O66" s="86">
        <v>7.88</v>
      </c>
      <c r="P66" s="86">
        <v>3.15</v>
      </c>
      <c r="Q66" s="86">
        <v>11.82</v>
      </c>
      <c r="R66" s="86">
        <v>7.88</v>
      </c>
      <c r="S66" s="86">
        <v>3.15</v>
      </c>
      <c r="T66" s="86">
        <v>11.82</v>
      </c>
      <c r="U66" s="86">
        <f t="shared" si="14"/>
        <v>24</v>
      </c>
      <c r="V66" s="86">
        <f t="shared" si="15"/>
        <v>20</v>
      </c>
      <c r="W66" s="86">
        <f t="shared" si="16"/>
        <v>14</v>
      </c>
      <c r="X66" s="86">
        <v>80</v>
      </c>
      <c r="Y66" s="86">
        <v>8</v>
      </c>
      <c r="Z66" s="86">
        <v>30</v>
      </c>
      <c r="AA66" s="86">
        <v>20</v>
      </c>
      <c r="AB66" s="86">
        <v>8</v>
      </c>
      <c r="AC66" s="86">
        <v>30</v>
      </c>
      <c r="AD66" s="86">
        <f>_xlfn.XLOOKUP(G66,'Case Type'!A:A,'Case Type'!E:E)</f>
        <v>60.96</v>
      </c>
      <c r="AE66" s="86">
        <f>_xlfn.XLOOKUP(G66,'Case Type'!A:A,'Case Type'!F:F)</f>
        <v>50.8</v>
      </c>
      <c r="AF66" s="86">
        <f>_xlfn.XLOOKUP(G66,'Case Type'!A:A,'Case Type'!G:G)</f>
        <v>35.56</v>
      </c>
      <c r="AG66" s="87">
        <v>160</v>
      </c>
      <c r="AH66" s="87">
        <v>5.65</v>
      </c>
      <c r="AI66" s="87">
        <v>6</v>
      </c>
      <c r="AJ66" s="87">
        <v>211.65</v>
      </c>
      <c r="AK66" s="87">
        <v>7.2</v>
      </c>
      <c r="AL66" s="87">
        <v>253.98</v>
      </c>
      <c r="AM66" s="87">
        <f t="shared" si="17"/>
        <v>0.11012107008</v>
      </c>
      <c r="AN66" s="87" t="s">
        <v>1776</v>
      </c>
      <c r="AO66" s="87"/>
      <c r="AP66" s="87"/>
    </row>
    <row r="67" customHeight="1" spans="1:42">
      <c r="A67" s="86" t="s">
        <v>86</v>
      </c>
      <c r="B67" s="91" t="str">
        <f>_xlfn.XLOOKUP(A67,'Product List'!B:B,'Product List'!A:A)</f>
        <v>ZM005</v>
      </c>
      <c r="C67" s="86" t="str">
        <f>_xlfn.XLOOKUP(A67,'Product List'!B:B,'Product List'!L:L)</f>
        <v>垫料-芋圆棉球 薰衣草黑莓松露</v>
      </c>
      <c r="D67" s="86">
        <v>32</v>
      </c>
      <c r="E67" s="86" t="s">
        <v>1767</v>
      </c>
      <c r="F67" s="92">
        <v>45931</v>
      </c>
      <c r="G67" s="86" t="s">
        <v>1766</v>
      </c>
      <c r="H67" s="86" t="s">
        <v>1775</v>
      </c>
      <c r="I67" s="92"/>
      <c r="J67" s="86"/>
      <c r="K67" s="92"/>
      <c r="L67" s="92">
        <v>45931</v>
      </c>
      <c r="M67" s="93"/>
      <c r="N67" s="86"/>
      <c r="O67" s="86">
        <v>7.88</v>
      </c>
      <c r="P67" s="86">
        <v>3.15</v>
      </c>
      <c r="Q67" s="86">
        <v>11.82</v>
      </c>
      <c r="R67" s="86">
        <v>7.88</v>
      </c>
      <c r="S67" s="86">
        <v>3.15</v>
      </c>
      <c r="T67" s="86">
        <v>11.82</v>
      </c>
      <c r="U67" s="86">
        <f t="shared" si="14"/>
        <v>24</v>
      </c>
      <c r="V67" s="86">
        <f t="shared" si="15"/>
        <v>20</v>
      </c>
      <c r="W67" s="86">
        <f t="shared" si="16"/>
        <v>14</v>
      </c>
      <c r="X67" s="86">
        <v>81</v>
      </c>
      <c r="Y67" s="86">
        <v>8</v>
      </c>
      <c r="Z67" s="86">
        <v>30</v>
      </c>
      <c r="AA67" s="86">
        <v>20</v>
      </c>
      <c r="AB67" s="86">
        <v>8</v>
      </c>
      <c r="AC67" s="86">
        <v>30</v>
      </c>
      <c r="AD67" s="86">
        <f>_xlfn.XLOOKUP(G67,'Case Type'!A:A,'Case Type'!E:E)</f>
        <v>60.96</v>
      </c>
      <c r="AE67" s="86">
        <f>_xlfn.XLOOKUP(G67,'Case Type'!A:A,'Case Type'!F:F)</f>
        <v>50.8</v>
      </c>
      <c r="AF67" s="86">
        <f>_xlfn.XLOOKUP(G67,'Case Type'!A:A,'Case Type'!G:G)</f>
        <v>35.56</v>
      </c>
      <c r="AG67" s="87">
        <v>160</v>
      </c>
      <c r="AH67" s="87">
        <v>5.65</v>
      </c>
      <c r="AI67" s="87">
        <v>6</v>
      </c>
      <c r="AJ67" s="87">
        <v>211.65</v>
      </c>
      <c r="AK67" s="87">
        <v>7.2</v>
      </c>
      <c r="AL67" s="87">
        <v>253.98</v>
      </c>
      <c r="AM67" s="87">
        <f t="shared" si="17"/>
        <v>0.11012107008</v>
      </c>
      <c r="AN67" s="87" t="s">
        <v>1776</v>
      </c>
      <c r="AO67" s="87"/>
      <c r="AP67" s="87"/>
    </row>
    <row r="68" customHeight="1" spans="1:42">
      <c r="A68" s="86" t="s">
        <v>87</v>
      </c>
      <c r="B68" s="91" t="str">
        <f>_xlfn.XLOOKUP(A68,'Product List'!B:B,'Product List'!A:A)</f>
        <v>ZM1.2</v>
      </c>
      <c r="C68" s="86" t="str">
        <f>_xlfn.XLOOKUP(A68,'Product List'!B:B,'Product List'!L:L)</f>
        <v>垫料-卡诺压缩植棉 棉花糖</v>
      </c>
      <c r="D68" s="86">
        <v>14</v>
      </c>
      <c r="E68" s="86" t="s">
        <v>1767</v>
      </c>
      <c r="F68" s="92">
        <v>45931</v>
      </c>
      <c r="G68" s="86" t="s">
        <v>1761</v>
      </c>
      <c r="H68" s="86" t="s">
        <v>1775</v>
      </c>
      <c r="I68" s="92"/>
      <c r="J68" s="86"/>
      <c r="K68" s="92"/>
      <c r="L68" s="92">
        <v>45931</v>
      </c>
      <c r="M68" s="93"/>
      <c r="N68" s="86"/>
      <c r="O68" s="86">
        <v>11.58</v>
      </c>
      <c r="P68" s="86">
        <v>2.84</v>
      </c>
      <c r="Q68" s="86">
        <v>15.91</v>
      </c>
      <c r="R68" s="86">
        <v>11.58</v>
      </c>
      <c r="S68" s="86">
        <v>2.84</v>
      </c>
      <c r="T68" s="86">
        <v>15.91</v>
      </c>
      <c r="U68" s="86">
        <f t="shared" si="14"/>
        <v>24</v>
      </c>
      <c r="V68" s="86">
        <f t="shared" si="15"/>
        <v>20</v>
      </c>
      <c r="W68" s="86">
        <f t="shared" si="16"/>
        <v>20</v>
      </c>
      <c r="X68" s="86">
        <v>82</v>
      </c>
      <c r="Y68" s="86">
        <v>7.2</v>
      </c>
      <c r="Z68" s="86">
        <v>40.4</v>
      </c>
      <c r="AA68" s="86">
        <v>29.4</v>
      </c>
      <c r="AB68" s="86">
        <v>7.2</v>
      </c>
      <c r="AC68" s="86">
        <v>40.4</v>
      </c>
      <c r="AD68" s="86">
        <f>_xlfn.XLOOKUP(G68,'Case Type'!A:A,'Case Type'!E:E)</f>
        <v>60.96</v>
      </c>
      <c r="AE68" s="86">
        <f>_xlfn.XLOOKUP(G68,'Case Type'!A:A,'Case Type'!F:F)</f>
        <v>50.8</v>
      </c>
      <c r="AF68" s="86">
        <f>_xlfn.XLOOKUP(G68,'Case Type'!A:A,'Case Type'!G:G)</f>
        <v>50.8</v>
      </c>
      <c r="AG68" s="87">
        <v>900</v>
      </c>
      <c r="AH68" s="87">
        <v>31.75</v>
      </c>
      <c r="AI68" s="87"/>
      <c r="AJ68" s="87"/>
      <c r="AK68" s="87"/>
      <c r="AL68" s="87"/>
      <c r="AM68" s="87">
        <f t="shared" si="17"/>
        <v>0.1573158144</v>
      </c>
      <c r="AN68" s="87" t="s">
        <v>1796</v>
      </c>
      <c r="AO68" s="87"/>
      <c r="AP68" s="87" t="s">
        <v>1797</v>
      </c>
    </row>
    <row r="69" customHeight="1" spans="1:42">
      <c r="A69" s="86" t="s">
        <v>88</v>
      </c>
      <c r="B69" s="91" t="str">
        <f>_xlfn.XLOOKUP(A69,'Product List'!B:B,'Product List'!A:A)</f>
        <v>ZM1.2</v>
      </c>
      <c r="C69" s="86" t="str">
        <f>_xlfn.XLOOKUP(A69,'Product List'!B:B,'Product List'!L:L)</f>
        <v>垫料-卡诺压缩植棉 圣诞蔓越莓抹茶</v>
      </c>
      <c r="D69" s="86">
        <v>14</v>
      </c>
      <c r="E69" s="86" t="s">
        <v>1767</v>
      </c>
      <c r="F69" s="92">
        <v>45931</v>
      </c>
      <c r="G69" s="86" t="s">
        <v>1761</v>
      </c>
      <c r="H69" s="86" t="s">
        <v>1775</v>
      </c>
      <c r="I69" s="92"/>
      <c r="J69" s="86"/>
      <c r="K69" s="92"/>
      <c r="L69" s="92">
        <v>45931</v>
      </c>
      <c r="M69" s="93"/>
      <c r="N69" s="86"/>
      <c r="O69" s="86">
        <v>11.58</v>
      </c>
      <c r="P69" s="86">
        <v>2.84</v>
      </c>
      <c r="Q69" s="86">
        <v>15.91</v>
      </c>
      <c r="R69" s="86">
        <v>11.58</v>
      </c>
      <c r="S69" s="86">
        <v>2.84</v>
      </c>
      <c r="T69" s="86">
        <v>15.91</v>
      </c>
      <c r="U69" s="86">
        <f t="shared" si="14"/>
        <v>24</v>
      </c>
      <c r="V69" s="86">
        <f t="shared" si="15"/>
        <v>20</v>
      </c>
      <c r="W69" s="86">
        <f t="shared" si="16"/>
        <v>20</v>
      </c>
      <c r="X69" s="86">
        <v>83</v>
      </c>
      <c r="Y69" s="86">
        <v>7.2</v>
      </c>
      <c r="Z69" s="86">
        <v>40.4</v>
      </c>
      <c r="AA69" s="86">
        <v>29.4</v>
      </c>
      <c r="AB69" s="86">
        <v>7.2</v>
      </c>
      <c r="AC69" s="86">
        <v>40.4</v>
      </c>
      <c r="AD69" s="86">
        <f>_xlfn.XLOOKUP(G69,'Case Type'!A:A,'Case Type'!E:E)</f>
        <v>60.96</v>
      </c>
      <c r="AE69" s="86">
        <f>_xlfn.XLOOKUP(G69,'Case Type'!A:A,'Case Type'!F:F)</f>
        <v>50.8</v>
      </c>
      <c r="AF69" s="86">
        <f>_xlfn.XLOOKUP(G69,'Case Type'!A:A,'Case Type'!G:G)</f>
        <v>50.8</v>
      </c>
      <c r="AG69" s="87">
        <v>900</v>
      </c>
      <c r="AH69" s="87">
        <v>31.75</v>
      </c>
      <c r="AI69" s="87"/>
      <c r="AJ69" s="87"/>
      <c r="AK69" s="87"/>
      <c r="AL69" s="87"/>
      <c r="AM69" s="87">
        <f t="shared" si="17"/>
        <v>0.1573158144</v>
      </c>
      <c r="AN69" s="87" t="s">
        <v>1796</v>
      </c>
      <c r="AO69" s="87"/>
      <c r="AP69" s="87" t="s">
        <v>1797</v>
      </c>
    </row>
    <row r="70" customHeight="1" spans="1:42">
      <c r="A70" s="86" t="s">
        <v>623</v>
      </c>
      <c r="B70" s="91" t="str">
        <f>_xlfn.XLOOKUP(A70,'Product List'!B:B,'Product List'!A:A)</f>
        <v>BOBO22</v>
      </c>
      <c r="C70" s="86" t="str">
        <f>_xlfn.XLOOKUP(A70,'Product List'!B:B,'Product List'!L:L)</f>
        <v>跑轮-波波跑轮8.5英寸 蓝色</v>
      </c>
      <c r="D70" s="86">
        <v>8</v>
      </c>
      <c r="E70" s="86" t="s">
        <v>1767</v>
      </c>
      <c r="F70" s="92">
        <v>45931</v>
      </c>
      <c r="G70" s="86" t="s">
        <v>1766</v>
      </c>
      <c r="H70" s="86" t="s">
        <v>1775</v>
      </c>
      <c r="I70" s="92" t="s">
        <v>731</v>
      </c>
      <c r="J70" s="86" t="s">
        <v>731</v>
      </c>
      <c r="K70" s="92" t="s">
        <v>731</v>
      </c>
      <c r="L70" s="92">
        <v>45931</v>
      </c>
      <c r="M70" s="93" t="s">
        <v>731</v>
      </c>
      <c r="N70" s="86" t="s">
        <v>731</v>
      </c>
      <c r="O70" s="86">
        <v>8.39</v>
      </c>
      <c r="P70" s="86">
        <v>4.73</v>
      </c>
      <c r="Q70" s="86">
        <v>10.28</v>
      </c>
      <c r="R70" s="86">
        <v>10.83</v>
      </c>
      <c r="S70" s="86">
        <v>6.7</v>
      </c>
      <c r="T70" s="86">
        <v>11.42</v>
      </c>
      <c r="U70" s="86">
        <f t="shared" si="14"/>
        <v>24</v>
      </c>
      <c r="V70" s="86">
        <f t="shared" si="15"/>
        <v>20</v>
      </c>
      <c r="W70" s="86">
        <f t="shared" si="16"/>
        <v>14</v>
      </c>
      <c r="X70" s="86">
        <v>84</v>
      </c>
      <c r="Y70" s="86">
        <v>12</v>
      </c>
      <c r="Z70" s="86">
        <v>26.1</v>
      </c>
      <c r="AA70" s="86">
        <v>27.5</v>
      </c>
      <c r="AB70" s="86">
        <v>17</v>
      </c>
      <c r="AC70" s="86">
        <v>29</v>
      </c>
      <c r="AD70" s="86">
        <f>_xlfn.XLOOKUP(G70,'Case Type'!A:A,'Case Type'!E:E)</f>
        <v>60.96</v>
      </c>
      <c r="AE70" s="86">
        <f>_xlfn.XLOOKUP(G70,'Case Type'!A:A,'Case Type'!F:F)</f>
        <v>50.8</v>
      </c>
      <c r="AF70" s="86">
        <f>_xlfn.XLOOKUP(G70,'Case Type'!A:A,'Case Type'!G:G)</f>
        <v>35.56</v>
      </c>
      <c r="AG70" s="87">
        <v>700</v>
      </c>
      <c r="AH70" s="87">
        <v>24.7</v>
      </c>
      <c r="AI70" s="87">
        <v>8.2</v>
      </c>
      <c r="AJ70" s="87">
        <v>289.25</v>
      </c>
      <c r="AK70" s="87">
        <v>9.55</v>
      </c>
      <c r="AL70" s="87">
        <v>336.87</v>
      </c>
      <c r="AM70" s="87">
        <f t="shared" si="17"/>
        <v>0.11012107008</v>
      </c>
      <c r="AN70" s="87" t="s">
        <v>1770</v>
      </c>
      <c r="AO70" s="87" t="s">
        <v>1771</v>
      </c>
      <c r="AP70" s="87" t="s">
        <v>1772</v>
      </c>
    </row>
    <row r="71" customHeight="1" spans="1:42">
      <c r="A71" s="86" t="s">
        <v>625</v>
      </c>
      <c r="B71" s="91" t="str">
        <f>_xlfn.XLOOKUP(A71,'Product List'!B:B,'Product List'!A:A)</f>
        <v>BOBO22</v>
      </c>
      <c r="C71" s="86" t="str">
        <f>_xlfn.XLOOKUP(A71,'Product List'!B:B,'Product List'!L:L)</f>
        <v>跑轮-波波跑轮8.5英寸 透明</v>
      </c>
      <c r="D71" s="86">
        <v>8</v>
      </c>
      <c r="E71" s="86" t="s">
        <v>1767</v>
      </c>
      <c r="F71" s="92">
        <v>45931</v>
      </c>
      <c r="G71" s="86" t="s">
        <v>1766</v>
      </c>
      <c r="H71" s="86" t="s">
        <v>1775</v>
      </c>
      <c r="I71" s="92" t="s">
        <v>731</v>
      </c>
      <c r="J71" s="86" t="s">
        <v>731</v>
      </c>
      <c r="K71" s="92" t="s">
        <v>731</v>
      </c>
      <c r="L71" s="92">
        <v>45931</v>
      </c>
      <c r="M71" s="93" t="s">
        <v>731</v>
      </c>
      <c r="N71" s="86" t="s">
        <v>731</v>
      </c>
      <c r="O71" s="86">
        <v>8.39</v>
      </c>
      <c r="P71" s="86">
        <v>4.73</v>
      </c>
      <c r="Q71" s="86">
        <v>10.28</v>
      </c>
      <c r="R71" s="86">
        <v>10.83</v>
      </c>
      <c r="S71" s="86">
        <v>6.7</v>
      </c>
      <c r="T71" s="86">
        <v>11.42</v>
      </c>
      <c r="U71" s="86">
        <f t="shared" si="14"/>
        <v>24</v>
      </c>
      <c r="V71" s="86">
        <f t="shared" si="15"/>
        <v>20</v>
      </c>
      <c r="W71" s="86">
        <f t="shared" si="16"/>
        <v>14</v>
      </c>
      <c r="X71" s="86">
        <v>85</v>
      </c>
      <c r="Y71" s="86">
        <v>12</v>
      </c>
      <c r="Z71" s="86">
        <v>26.1</v>
      </c>
      <c r="AA71" s="86">
        <v>27.5</v>
      </c>
      <c r="AB71" s="86">
        <v>17</v>
      </c>
      <c r="AC71" s="86">
        <v>29</v>
      </c>
      <c r="AD71" s="86">
        <f>_xlfn.XLOOKUP(G71,'Case Type'!A:A,'Case Type'!E:E)</f>
        <v>60.96</v>
      </c>
      <c r="AE71" s="86">
        <f>_xlfn.XLOOKUP(G71,'Case Type'!A:A,'Case Type'!F:F)</f>
        <v>50.8</v>
      </c>
      <c r="AF71" s="86">
        <f>_xlfn.XLOOKUP(G71,'Case Type'!A:A,'Case Type'!G:G)</f>
        <v>35.56</v>
      </c>
      <c r="AG71" s="87">
        <v>700</v>
      </c>
      <c r="AH71" s="87">
        <v>24.7</v>
      </c>
      <c r="AI71" s="87">
        <v>8.2</v>
      </c>
      <c r="AJ71" s="87">
        <v>289.25</v>
      </c>
      <c r="AK71" s="87">
        <v>9.55</v>
      </c>
      <c r="AL71" s="87">
        <v>336.87</v>
      </c>
      <c r="AM71" s="87">
        <f t="shared" si="17"/>
        <v>0.11012107008</v>
      </c>
      <c r="AN71" s="87" t="s">
        <v>1770</v>
      </c>
      <c r="AO71" s="87" t="s">
        <v>1771</v>
      </c>
      <c r="AP71" s="87" t="s">
        <v>1772</v>
      </c>
    </row>
    <row r="72" customFormat="1" customHeight="1" spans="1:42">
      <c r="A72" s="86" t="s">
        <v>649</v>
      </c>
      <c r="B72" s="91" t="str">
        <f>_xlfn.XLOOKUP(A72,'Product List'!B:B,'Product List'!A:A)</f>
        <v>CPBD08001GN</v>
      </c>
      <c r="C72" s="86" t="str">
        <f>_xlfn.XLOOKUP(A72,'Product List'!B:B,'Product List'!L:L)</f>
        <v>躲避屋-糖果陶瓷盘</v>
      </c>
      <c r="D72" s="86" t="s">
        <v>731</v>
      </c>
      <c r="E72" s="86" t="s">
        <v>1767</v>
      </c>
      <c r="F72" s="92">
        <v>45931</v>
      </c>
      <c r="G72" s="86" t="s">
        <v>731</v>
      </c>
      <c r="H72" s="86" t="s">
        <v>1775</v>
      </c>
      <c r="I72" s="92" t="s">
        <v>731</v>
      </c>
      <c r="J72" s="86" t="s">
        <v>731</v>
      </c>
      <c r="K72" s="92" t="s">
        <v>731</v>
      </c>
      <c r="L72" s="92">
        <v>45931</v>
      </c>
      <c r="M72" s="93" t="s">
        <v>731</v>
      </c>
      <c r="N72" s="86" t="s">
        <v>731</v>
      </c>
      <c r="O72" s="86">
        <v>4.73</v>
      </c>
      <c r="P72" s="86">
        <v>4.73</v>
      </c>
      <c r="Q72" s="86">
        <v>1.19</v>
      </c>
      <c r="R72" s="86">
        <v>5.04</v>
      </c>
      <c r="S72" s="86">
        <v>5.04</v>
      </c>
      <c r="T72" s="86">
        <v>2.68</v>
      </c>
      <c r="U72" s="86">
        <v>15.99</v>
      </c>
      <c r="V72" s="86">
        <v>10.56</v>
      </c>
      <c r="W72" s="86">
        <v>14.49</v>
      </c>
      <c r="X72" s="86">
        <v>12</v>
      </c>
      <c r="Y72" s="86">
        <v>12</v>
      </c>
      <c r="Z72" s="86">
        <v>3</v>
      </c>
      <c r="AA72" s="86">
        <v>12.8</v>
      </c>
      <c r="AB72" s="86">
        <v>12.8</v>
      </c>
      <c r="AC72" s="86">
        <v>6.8</v>
      </c>
      <c r="AD72" s="86">
        <v>40.6</v>
      </c>
      <c r="AE72" s="86">
        <v>26.8</v>
      </c>
      <c r="AF72" s="86" t="s">
        <v>731</v>
      </c>
      <c r="AG72" s="87">
        <v>395</v>
      </c>
      <c r="AH72" s="87">
        <v>13.94</v>
      </c>
      <c r="AI72" s="87" t="s">
        <v>731</v>
      </c>
      <c r="AJ72" s="87" t="s">
        <v>731</v>
      </c>
      <c r="AK72" s="87" t="s">
        <v>731</v>
      </c>
      <c r="AL72" s="87" t="s">
        <v>731</v>
      </c>
      <c r="AM72" s="87" t="str">
        <f t="shared" si="17"/>
        <v>NA</v>
      </c>
      <c r="AN72" s="87" t="s">
        <v>731</v>
      </c>
      <c r="AO72" s="87" t="s">
        <v>731</v>
      </c>
      <c r="AP72" s="87" t="s">
        <v>731</v>
      </c>
    </row>
    <row r="73" customFormat="1" customHeight="1" spans="1:42">
      <c r="A73" s="86" t="s">
        <v>600</v>
      </c>
      <c r="B73" s="91" t="str">
        <f>_xlfn.XLOOKUP(A73,'Product List'!B:B,'Product List'!A:A)</f>
        <v>CPCJ0100</v>
      </c>
      <c r="C73" s="86" t="str">
        <f>_xlfn.XLOOKUP(A73,'Product List'!B:B,'Product List'!L:L)</f>
        <v>兔用-郁金香草架</v>
      </c>
      <c r="D73" s="86" t="s">
        <v>731</v>
      </c>
      <c r="E73" s="86" t="s">
        <v>1767</v>
      </c>
      <c r="F73" s="92">
        <v>45931</v>
      </c>
      <c r="G73" s="86" t="s">
        <v>731</v>
      </c>
      <c r="H73" s="86" t="s">
        <v>1775</v>
      </c>
      <c r="I73" s="92" t="s">
        <v>731</v>
      </c>
      <c r="J73" s="86" t="s">
        <v>731</v>
      </c>
      <c r="K73" s="92" t="s">
        <v>731</v>
      </c>
      <c r="L73" s="92">
        <v>45931</v>
      </c>
      <c r="M73" s="93" t="s">
        <v>731</v>
      </c>
      <c r="N73" s="86" t="s">
        <v>731</v>
      </c>
      <c r="O73" s="86">
        <v>8.15</v>
      </c>
      <c r="P73" s="86">
        <v>9.14</v>
      </c>
      <c r="Q73" s="86">
        <v>10.6</v>
      </c>
      <c r="R73" s="86">
        <v>8.86</v>
      </c>
      <c r="S73" s="86">
        <v>8.86</v>
      </c>
      <c r="T73" s="86">
        <v>8.78</v>
      </c>
      <c r="U73" s="86">
        <v>18.51</v>
      </c>
      <c r="V73" s="86">
        <v>18.12</v>
      </c>
      <c r="W73" s="86">
        <v>18.31</v>
      </c>
      <c r="X73" s="86">
        <v>20.7</v>
      </c>
      <c r="Y73" s="86">
        <v>23.2</v>
      </c>
      <c r="Z73" s="86">
        <v>26.9</v>
      </c>
      <c r="AA73" s="86">
        <v>22.5</v>
      </c>
      <c r="AB73" s="86">
        <v>22.5</v>
      </c>
      <c r="AC73" s="86">
        <v>22.3</v>
      </c>
      <c r="AD73" s="86">
        <v>47</v>
      </c>
      <c r="AE73" s="86">
        <v>46</v>
      </c>
      <c r="AF73" s="86" t="s">
        <v>731</v>
      </c>
      <c r="AG73" s="87">
        <v>325.6</v>
      </c>
      <c r="AH73" s="87">
        <v>11.49</v>
      </c>
      <c r="AI73" s="87" t="s">
        <v>731</v>
      </c>
      <c r="AJ73" s="87" t="s">
        <v>731</v>
      </c>
      <c r="AK73" s="87" t="s">
        <v>731</v>
      </c>
      <c r="AL73" s="87" t="s">
        <v>731</v>
      </c>
      <c r="AM73" s="87" t="str">
        <f t="shared" si="17"/>
        <v>NA</v>
      </c>
      <c r="AN73" s="87" t="s">
        <v>1798</v>
      </c>
      <c r="AO73" s="87" t="s">
        <v>731</v>
      </c>
      <c r="AP73" s="87" t="s">
        <v>731</v>
      </c>
    </row>
    <row r="74" customFormat="1" customHeight="1" spans="1:42">
      <c r="A74" s="86" t="s">
        <v>1460</v>
      </c>
      <c r="B74" s="91" t="str">
        <f>_xlfn.XLOOKUP(A74,'Product List'!B:B,'Product List'!A:A)</f>
        <v>CPCJ0100</v>
      </c>
      <c r="C74" s="86" t="str">
        <f>_xlfn.XLOOKUP(A74,'Product List'!B:B,'Product List'!L:L)</f>
        <v>兔用-郁金香兔草架</v>
      </c>
      <c r="D74" s="86" t="s">
        <v>731</v>
      </c>
      <c r="E74" s="86" t="s">
        <v>1767</v>
      </c>
      <c r="F74" s="92">
        <v>45931</v>
      </c>
      <c r="G74" s="86" t="s">
        <v>731</v>
      </c>
      <c r="H74" s="86" t="s">
        <v>1775</v>
      </c>
      <c r="I74" s="92" t="s">
        <v>731</v>
      </c>
      <c r="J74" s="86" t="s">
        <v>731</v>
      </c>
      <c r="K74" s="92" t="s">
        <v>731</v>
      </c>
      <c r="L74" s="92">
        <v>45931</v>
      </c>
      <c r="M74" s="93" t="s">
        <v>731</v>
      </c>
      <c r="N74" s="86" t="s">
        <v>731</v>
      </c>
      <c r="O74" s="86">
        <v>8.15</v>
      </c>
      <c r="P74" s="86">
        <v>9.14</v>
      </c>
      <c r="Q74" s="86">
        <v>10.6</v>
      </c>
      <c r="R74" s="86">
        <v>8.86</v>
      </c>
      <c r="S74" s="86">
        <v>8.86</v>
      </c>
      <c r="T74" s="86">
        <v>8.78</v>
      </c>
      <c r="U74" s="86" t="s">
        <v>731</v>
      </c>
      <c r="V74" s="86" t="s">
        <v>731</v>
      </c>
      <c r="W74" s="86" t="s">
        <v>731</v>
      </c>
      <c r="X74" s="86">
        <v>20.7</v>
      </c>
      <c r="Y74" s="86">
        <v>23.2</v>
      </c>
      <c r="Z74" s="86">
        <v>26.9</v>
      </c>
      <c r="AA74" s="86">
        <v>22.5</v>
      </c>
      <c r="AB74" s="86">
        <v>22.5</v>
      </c>
      <c r="AC74" s="86">
        <v>22.3</v>
      </c>
      <c r="AD74" s="86" t="s">
        <v>731</v>
      </c>
      <c r="AE74" s="86" t="s">
        <v>731</v>
      </c>
      <c r="AF74" s="86" t="s">
        <v>731</v>
      </c>
      <c r="AG74" s="87">
        <v>325.6</v>
      </c>
      <c r="AH74" s="87">
        <v>11.49</v>
      </c>
      <c r="AI74" s="87" t="s">
        <v>731</v>
      </c>
      <c r="AJ74" s="87" t="s">
        <v>731</v>
      </c>
      <c r="AK74" s="87" t="s">
        <v>731</v>
      </c>
      <c r="AL74" s="87" t="s">
        <v>731</v>
      </c>
      <c r="AM74" s="87" t="str">
        <f t="shared" si="17"/>
        <v>NA</v>
      </c>
      <c r="AN74" s="87" t="s">
        <v>1798</v>
      </c>
      <c r="AO74" s="87" t="s">
        <v>731</v>
      </c>
      <c r="AP74" s="87" t="s">
        <v>731</v>
      </c>
    </row>
    <row r="75" customFormat="1" customHeight="1" spans="1:42">
      <c r="A75" s="86" t="s">
        <v>598</v>
      </c>
      <c r="B75" s="91" t="str">
        <f>_xlfn.XLOOKUP(A75,'Product List'!B:B,'Product List'!A:A)</f>
        <v>CPCS1600-OR</v>
      </c>
      <c r="C75" s="86" t="str">
        <f>_xlfn.XLOOKUP(A75,'Product List'!B:B,'Product List'!L:L)</f>
        <v>兔用-郁金香厕所</v>
      </c>
      <c r="D75" s="86" t="s">
        <v>731</v>
      </c>
      <c r="E75" s="86" t="s">
        <v>1767</v>
      </c>
      <c r="F75" s="92">
        <v>45931</v>
      </c>
      <c r="G75" s="86" t="s">
        <v>731</v>
      </c>
      <c r="H75" s="86" t="s">
        <v>1775</v>
      </c>
      <c r="I75" s="92" t="s">
        <v>731</v>
      </c>
      <c r="J75" s="86" t="s">
        <v>731</v>
      </c>
      <c r="K75" s="92" t="s">
        <v>731</v>
      </c>
      <c r="L75" s="92">
        <v>45931</v>
      </c>
      <c r="M75" s="93" t="s">
        <v>731</v>
      </c>
      <c r="N75" s="86" t="s">
        <v>731</v>
      </c>
      <c r="O75" s="86">
        <v>15.24</v>
      </c>
      <c r="P75" s="86">
        <v>10.44</v>
      </c>
      <c r="Q75" s="86">
        <v>6.23</v>
      </c>
      <c r="R75" s="86">
        <v>15.24</v>
      </c>
      <c r="S75" s="86">
        <v>10.44</v>
      </c>
      <c r="T75" s="86">
        <v>6.23</v>
      </c>
      <c r="U75" s="86">
        <v>22.05</v>
      </c>
      <c r="V75" s="86">
        <v>15.95</v>
      </c>
      <c r="W75" s="86">
        <v>19.49</v>
      </c>
      <c r="X75" s="86">
        <v>38.7</v>
      </c>
      <c r="Y75" s="86">
        <v>26.5</v>
      </c>
      <c r="Z75" s="86">
        <v>15.8</v>
      </c>
      <c r="AA75" s="86">
        <v>38.7</v>
      </c>
      <c r="AB75" s="86">
        <v>26.5</v>
      </c>
      <c r="AC75" s="86">
        <v>15.8</v>
      </c>
      <c r="AD75" s="86">
        <v>56</v>
      </c>
      <c r="AE75" s="86">
        <v>40.5</v>
      </c>
      <c r="AF75" s="86" t="s">
        <v>731</v>
      </c>
      <c r="AG75" s="87">
        <v>586</v>
      </c>
      <c r="AH75" s="87">
        <v>20.68</v>
      </c>
      <c r="AI75" s="87" t="s">
        <v>731</v>
      </c>
      <c r="AJ75" s="87" t="s">
        <v>731</v>
      </c>
      <c r="AK75" s="87" t="s">
        <v>731</v>
      </c>
      <c r="AL75" s="87" t="s">
        <v>731</v>
      </c>
      <c r="AM75" s="87" t="str">
        <f t="shared" si="17"/>
        <v>NA</v>
      </c>
      <c r="AN75" s="87" t="s">
        <v>731</v>
      </c>
      <c r="AO75" s="87" t="s">
        <v>731</v>
      </c>
      <c r="AP75" s="87" t="s">
        <v>731</v>
      </c>
    </row>
    <row r="76" customHeight="1" spans="1:42">
      <c r="A76" s="86" t="s">
        <v>1463</v>
      </c>
      <c r="B76" s="91" t="str">
        <f>_xlfn.XLOOKUP(A76,'Product List'!B:B,'Product List'!A:A)</f>
        <v>CPDB34001WH</v>
      </c>
      <c r="C76" s="86" t="str">
        <f>_xlfn.XLOOKUP(A76,'Product List'!B:B,'Product List'!L:L)</f>
        <v>木制躲避屋-航线秋千</v>
      </c>
      <c r="D76" s="86">
        <v>36</v>
      </c>
      <c r="E76" s="86" t="s">
        <v>1767</v>
      </c>
      <c r="F76" s="92">
        <v>45931</v>
      </c>
      <c r="G76" s="86" t="s">
        <v>1765</v>
      </c>
      <c r="H76" s="86" t="s">
        <v>1775</v>
      </c>
      <c r="I76" s="92" t="s">
        <v>731</v>
      </c>
      <c r="J76" s="86" t="s">
        <v>731</v>
      </c>
      <c r="K76" s="92" t="s">
        <v>731</v>
      </c>
      <c r="L76" s="92">
        <v>45931</v>
      </c>
      <c r="M76" s="93" t="s">
        <v>731</v>
      </c>
      <c r="N76" s="86" t="s">
        <v>731</v>
      </c>
      <c r="O76" s="86">
        <v>6.74</v>
      </c>
      <c r="P76" s="86">
        <v>4.02</v>
      </c>
      <c r="Q76" s="86">
        <v>4.41</v>
      </c>
      <c r="R76" s="86">
        <v>6.74</v>
      </c>
      <c r="S76" s="86">
        <v>4.02</v>
      </c>
      <c r="T76" s="86">
        <v>4.41</v>
      </c>
      <c r="U76" s="86">
        <f t="shared" ref="U76:W76" si="18">IFERROR(ROUNDUP(AD76/2.54,2),"NA")</f>
        <v>16</v>
      </c>
      <c r="V76" s="86">
        <f t="shared" si="18"/>
        <v>20</v>
      </c>
      <c r="W76" s="86">
        <f t="shared" si="18"/>
        <v>14</v>
      </c>
      <c r="X76" s="86">
        <v>85</v>
      </c>
      <c r="Y76" s="86">
        <v>10.2</v>
      </c>
      <c r="Z76" s="86">
        <v>11.2</v>
      </c>
      <c r="AA76" s="86">
        <v>17.1</v>
      </c>
      <c r="AB76" s="86">
        <v>10.2</v>
      </c>
      <c r="AC76" s="86">
        <v>11.2</v>
      </c>
      <c r="AD76" s="86">
        <f>_xlfn.XLOOKUP(G76,'Case Type'!A:A,'Case Type'!E:E)</f>
        <v>40.64</v>
      </c>
      <c r="AE76" s="86">
        <f>_xlfn.XLOOKUP(G76,'Case Type'!A:A,'Case Type'!F:F)</f>
        <v>50.8</v>
      </c>
      <c r="AF76" s="86">
        <f>_xlfn.XLOOKUP(G76,'Case Type'!A:A,'Case Type'!G:G)</f>
        <v>35.56</v>
      </c>
      <c r="AG76" s="87">
        <v>288</v>
      </c>
      <c r="AH76" s="87">
        <v>10.16</v>
      </c>
      <c r="AI76" s="87" t="s">
        <v>731</v>
      </c>
      <c r="AJ76" s="87" t="s">
        <v>731</v>
      </c>
      <c r="AK76" s="87" t="s">
        <v>731</v>
      </c>
      <c r="AL76" s="87" t="s">
        <v>731</v>
      </c>
      <c r="AM76" s="87">
        <f t="shared" si="17"/>
        <v>0.07341404672</v>
      </c>
      <c r="AN76" s="87" t="s">
        <v>731</v>
      </c>
      <c r="AO76" s="87" t="s">
        <v>731</v>
      </c>
      <c r="AP76" s="87" t="s">
        <v>731</v>
      </c>
    </row>
    <row r="77" customHeight="1" spans="1:42">
      <c r="A77" s="86" t="s">
        <v>1475</v>
      </c>
      <c r="B77" s="91" t="str">
        <f>_xlfn.XLOOKUP(A77,'Product List'!B:B,'Product List'!A:A)</f>
        <v>CPDB34002WH</v>
      </c>
      <c r="C77" s="86" t="str">
        <f>_xlfn.XLOOKUP(A77,'Product List'!B:B,'Product List'!L:L)</f>
        <v>木制躲避屋-音像室</v>
      </c>
      <c r="D77" s="86">
        <v>30</v>
      </c>
      <c r="E77" s="86" t="s">
        <v>1767</v>
      </c>
      <c r="F77" s="92">
        <v>45931</v>
      </c>
      <c r="G77" s="86" t="s">
        <v>1766</v>
      </c>
      <c r="H77" s="86" t="s">
        <v>1775</v>
      </c>
      <c r="I77" s="92" t="s">
        <v>731</v>
      </c>
      <c r="J77" s="86" t="s">
        <v>731</v>
      </c>
      <c r="K77" s="92" t="s">
        <v>731</v>
      </c>
      <c r="L77" s="92">
        <v>45931</v>
      </c>
      <c r="M77" s="93" t="s">
        <v>731</v>
      </c>
      <c r="N77" s="86" t="s">
        <v>731</v>
      </c>
      <c r="O77" s="86">
        <v>7.05</v>
      </c>
      <c r="P77" s="86">
        <v>4.81</v>
      </c>
      <c r="Q77" s="86">
        <v>6.19</v>
      </c>
      <c r="R77" s="86">
        <v>7.05</v>
      </c>
      <c r="S77" s="86">
        <v>4.81</v>
      </c>
      <c r="T77" s="86">
        <v>6.19</v>
      </c>
      <c r="U77" s="86">
        <f t="shared" ref="U77:U82" si="19">IFERROR(ROUNDUP(AD77/2.54,2),"NA")</f>
        <v>24</v>
      </c>
      <c r="V77" s="86">
        <f t="shared" ref="V77:V82" si="20">IFERROR(ROUNDUP(AE77/2.54,2),"NA")</f>
        <v>20</v>
      </c>
      <c r="W77" s="86">
        <f t="shared" ref="W77:W82" si="21">IFERROR(ROUNDUP(AF77/2.54,2),"NA")</f>
        <v>14</v>
      </c>
      <c r="X77" s="86">
        <v>85</v>
      </c>
      <c r="Y77" s="86">
        <v>12.2</v>
      </c>
      <c r="Z77" s="86">
        <v>15.7</v>
      </c>
      <c r="AA77" s="86">
        <v>17.9</v>
      </c>
      <c r="AB77" s="86">
        <v>12.2</v>
      </c>
      <c r="AC77" s="86">
        <v>15.7</v>
      </c>
      <c r="AD77" s="86">
        <f>_xlfn.XLOOKUP(G77,'Case Type'!A:A,'Case Type'!E:E)</f>
        <v>60.96</v>
      </c>
      <c r="AE77" s="86">
        <f>_xlfn.XLOOKUP(G77,'Case Type'!A:A,'Case Type'!F:F)</f>
        <v>50.8</v>
      </c>
      <c r="AF77" s="86">
        <f>_xlfn.XLOOKUP(G77,'Case Type'!A:A,'Case Type'!G:G)</f>
        <v>35.56</v>
      </c>
      <c r="AG77" s="87">
        <v>410</v>
      </c>
      <c r="AH77" s="87">
        <v>14.47</v>
      </c>
      <c r="AI77" s="87" t="s">
        <v>731</v>
      </c>
      <c r="AJ77" s="87" t="s">
        <v>731</v>
      </c>
      <c r="AK77" s="87" t="s">
        <v>731</v>
      </c>
      <c r="AL77" s="87" t="s">
        <v>731</v>
      </c>
      <c r="AM77" s="87">
        <f t="shared" si="17"/>
        <v>0.11012107008</v>
      </c>
      <c r="AN77" s="87" t="s">
        <v>731</v>
      </c>
      <c r="AO77" s="87" t="s">
        <v>731</v>
      </c>
      <c r="AP77" s="87" t="s">
        <v>731</v>
      </c>
    </row>
    <row r="78" customHeight="1" spans="1:42">
      <c r="A78" s="86" t="s">
        <v>1480</v>
      </c>
      <c r="B78" s="91" t="str">
        <f>_xlfn.XLOOKUP(A78,'Product List'!B:B,'Product List'!A:A)</f>
        <v>CPDB34003WH</v>
      </c>
      <c r="C78" s="86" t="str">
        <f>_xlfn.XLOOKUP(A78,'Product List'!B:B,'Product List'!L:L)</f>
        <v>木制躲避屋-营地</v>
      </c>
      <c r="D78" s="86">
        <v>18</v>
      </c>
      <c r="E78" s="86" t="s">
        <v>1767</v>
      </c>
      <c r="F78" s="92">
        <v>45931</v>
      </c>
      <c r="G78" s="86" t="s">
        <v>1764</v>
      </c>
      <c r="H78" s="86" t="s">
        <v>1775</v>
      </c>
      <c r="I78" s="92" t="s">
        <v>731</v>
      </c>
      <c r="J78" s="86" t="s">
        <v>731</v>
      </c>
      <c r="K78" s="92" t="s">
        <v>731</v>
      </c>
      <c r="L78" s="92">
        <v>45931</v>
      </c>
      <c r="M78" s="93" t="s">
        <v>731</v>
      </c>
      <c r="N78" s="86" t="s">
        <v>731</v>
      </c>
      <c r="O78" s="86">
        <v>9.45</v>
      </c>
      <c r="P78" s="86">
        <v>4.81</v>
      </c>
      <c r="Q78" s="86">
        <v>5.91</v>
      </c>
      <c r="R78" s="86">
        <v>9.45</v>
      </c>
      <c r="S78" s="86">
        <v>4.81</v>
      </c>
      <c r="T78" s="86">
        <v>5.91</v>
      </c>
      <c r="U78" s="86">
        <f t="shared" si="19"/>
        <v>24</v>
      </c>
      <c r="V78" s="86">
        <f t="shared" si="20"/>
        <v>20</v>
      </c>
      <c r="W78" s="86">
        <f t="shared" si="21"/>
        <v>11.21</v>
      </c>
      <c r="X78" s="86">
        <v>85</v>
      </c>
      <c r="Y78" s="86">
        <v>12.2</v>
      </c>
      <c r="Z78" s="86">
        <v>15</v>
      </c>
      <c r="AA78" s="86">
        <v>24</v>
      </c>
      <c r="AB78" s="86">
        <v>12.2</v>
      </c>
      <c r="AC78" s="86">
        <v>15</v>
      </c>
      <c r="AD78" s="86">
        <f>_xlfn.XLOOKUP(G78,'Case Type'!A:A,'Case Type'!E:E)</f>
        <v>60.96</v>
      </c>
      <c r="AE78" s="86">
        <f>_xlfn.XLOOKUP(G78,'Case Type'!A:A,'Case Type'!F:F)</f>
        <v>50.8</v>
      </c>
      <c r="AF78" s="86">
        <f>_xlfn.XLOOKUP(G78,'Case Type'!A:A,'Case Type'!G:G)</f>
        <v>28.45</v>
      </c>
      <c r="AG78" s="87">
        <v>460</v>
      </c>
      <c r="AH78" s="87">
        <v>16.23</v>
      </c>
      <c r="AI78" s="87" t="s">
        <v>731</v>
      </c>
      <c r="AJ78" s="87" t="s">
        <v>731</v>
      </c>
      <c r="AK78" s="87" t="s">
        <v>731</v>
      </c>
      <c r="AL78" s="87" t="s">
        <v>731</v>
      </c>
      <c r="AM78" s="87">
        <f t="shared" si="17"/>
        <v>0.0881030496</v>
      </c>
      <c r="AN78" s="87" t="s">
        <v>731</v>
      </c>
      <c r="AO78" s="87" t="s">
        <v>731</v>
      </c>
      <c r="AP78" s="87" t="s">
        <v>731</v>
      </c>
    </row>
    <row r="79" customHeight="1" spans="1:42">
      <c r="A79" s="86" t="s">
        <v>1484</v>
      </c>
      <c r="B79" s="91" t="str">
        <f>_xlfn.XLOOKUP(A79,'Product List'!B:B,'Product List'!A:A)</f>
        <v>CPPJ129000WH-22</v>
      </c>
      <c r="C79" s="86" t="str">
        <f>_xlfn.XLOOKUP(A79,'Product List'!B:B,'Product List'!L:L)</f>
        <v>跑轮-小木屋跑轮支架+BOBO22跑轮（8.6in）</v>
      </c>
      <c r="D79" s="86">
        <v>8</v>
      </c>
      <c r="E79" s="86" t="s">
        <v>1767</v>
      </c>
      <c r="F79" s="92">
        <v>45931</v>
      </c>
      <c r="G79" s="86" t="s">
        <v>1789</v>
      </c>
      <c r="H79" s="86" t="s">
        <v>1775</v>
      </c>
      <c r="I79" s="92" t="s">
        <v>731</v>
      </c>
      <c r="J79" s="86" t="s">
        <v>731</v>
      </c>
      <c r="K79" s="92" t="s">
        <v>731</v>
      </c>
      <c r="L79" s="92">
        <v>45931</v>
      </c>
      <c r="M79" s="93" t="s">
        <v>731</v>
      </c>
      <c r="N79" s="86" t="s">
        <v>731</v>
      </c>
      <c r="O79" s="86">
        <v>13.59</v>
      </c>
      <c r="P79" s="86">
        <v>5.52</v>
      </c>
      <c r="Q79" s="86">
        <v>8.86</v>
      </c>
      <c r="R79" s="86">
        <v>16.15</v>
      </c>
      <c r="S79" s="86">
        <v>9.65</v>
      </c>
      <c r="T79" s="86">
        <v>5.71</v>
      </c>
      <c r="U79" s="86">
        <f t="shared" si="19"/>
        <v>27.77</v>
      </c>
      <c r="V79" s="86">
        <f t="shared" si="20"/>
        <v>18.91</v>
      </c>
      <c r="W79" s="86">
        <f t="shared" si="21"/>
        <v>16.55</v>
      </c>
      <c r="X79" s="86">
        <v>85</v>
      </c>
      <c r="Y79" s="86">
        <v>14</v>
      </c>
      <c r="Z79" s="86">
        <v>22.5</v>
      </c>
      <c r="AA79" s="86">
        <v>41</v>
      </c>
      <c r="AB79" s="86">
        <v>24.5</v>
      </c>
      <c r="AC79" s="86">
        <v>14.5</v>
      </c>
      <c r="AD79" s="86">
        <f>_xlfn.XLOOKUP(G79,'Case Type'!A:A,'Case Type'!E:E)</f>
        <v>70.52</v>
      </c>
      <c r="AE79" s="86">
        <f>_xlfn.XLOOKUP(G79,'Case Type'!A:A,'Case Type'!F:F)</f>
        <v>48.01</v>
      </c>
      <c r="AF79" s="86">
        <f>_xlfn.XLOOKUP(G79,'Case Type'!A:A,'Case Type'!G:G)</f>
        <v>42.02</v>
      </c>
      <c r="AG79" s="87">
        <v>536</v>
      </c>
      <c r="AH79" s="87">
        <v>18.91</v>
      </c>
      <c r="AI79" s="87" t="s">
        <v>731</v>
      </c>
      <c r="AJ79" s="87" t="s">
        <v>731</v>
      </c>
      <c r="AK79" s="87" t="s">
        <v>731</v>
      </c>
      <c r="AL79" s="87" t="s">
        <v>731</v>
      </c>
      <c r="AM79" s="87">
        <f t="shared" si="17"/>
        <v>0.142265651704</v>
      </c>
      <c r="AN79" s="87" t="s">
        <v>731</v>
      </c>
      <c r="AO79" s="87" t="s">
        <v>1799</v>
      </c>
      <c r="AP79" s="87" t="s">
        <v>731</v>
      </c>
    </row>
    <row r="80" customHeight="1" spans="1:42">
      <c r="A80" s="86" t="s">
        <v>1495</v>
      </c>
      <c r="B80" s="91" t="str">
        <f>_xlfn.XLOOKUP(A80,'Product List'!B:B,'Product List'!A:A)</f>
        <v>CPPJ130000WH-22</v>
      </c>
      <c r="C80" s="86" t="str">
        <f>_xlfn.XLOOKUP(A80,'Product List'!B:B,'Product List'!L:L)</f>
        <v>跑轮-小花园跑轮支架+BOBO22跑轮（8.6in）</v>
      </c>
      <c r="D80" s="86">
        <v>12</v>
      </c>
      <c r="E80" s="86" t="s">
        <v>1767</v>
      </c>
      <c r="F80" s="92">
        <v>45931</v>
      </c>
      <c r="G80" s="86" t="s">
        <v>1766</v>
      </c>
      <c r="H80" s="86" t="s">
        <v>1775</v>
      </c>
      <c r="I80" s="92" t="s">
        <v>731</v>
      </c>
      <c r="J80" s="86" t="s">
        <v>731</v>
      </c>
      <c r="K80" s="92" t="s">
        <v>731</v>
      </c>
      <c r="L80" s="92">
        <v>45931</v>
      </c>
      <c r="M80" s="93" t="s">
        <v>731</v>
      </c>
      <c r="N80" s="86" t="s">
        <v>731</v>
      </c>
      <c r="O80" s="86">
        <v>8.04</v>
      </c>
      <c r="P80" s="86">
        <v>5.08</v>
      </c>
      <c r="Q80" s="86">
        <v>9.3</v>
      </c>
      <c r="R80" s="86">
        <v>14.38</v>
      </c>
      <c r="S80" s="86">
        <v>8.67</v>
      </c>
      <c r="T80" s="86">
        <v>5.12</v>
      </c>
      <c r="U80" s="86">
        <f t="shared" si="19"/>
        <v>24</v>
      </c>
      <c r="V80" s="86">
        <f t="shared" si="20"/>
        <v>20</v>
      </c>
      <c r="W80" s="86">
        <f t="shared" si="21"/>
        <v>14</v>
      </c>
      <c r="X80" s="86">
        <v>85</v>
      </c>
      <c r="Y80" s="86">
        <v>12.9</v>
      </c>
      <c r="Z80" s="86">
        <v>23.6</v>
      </c>
      <c r="AA80" s="86">
        <v>36.5</v>
      </c>
      <c r="AB80" s="86">
        <v>22</v>
      </c>
      <c r="AC80" s="86">
        <v>13</v>
      </c>
      <c r="AD80" s="86">
        <f>_xlfn.XLOOKUP(G80,'Case Type'!A:A,'Case Type'!E:E)</f>
        <v>60.96</v>
      </c>
      <c r="AE80" s="86">
        <f>_xlfn.XLOOKUP(G80,'Case Type'!A:A,'Case Type'!F:F)</f>
        <v>50.8</v>
      </c>
      <c r="AF80" s="86">
        <f>_xlfn.XLOOKUP(G80,'Case Type'!A:A,'Case Type'!G:G)</f>
        <v>35.56</v>
      </c>
      <c r="AG80" s="87">
        <v>284</v>
      </c>
      <c r="AH80" s="87">
        <v>10.02</v>
      </c>
      <c r="AI80" s="87" t="s">
        <v>731</v>
      </c>
      <c r="AJ80" s="87" t="s">
        <v>731</v>
      </c>
      <c r="AK80" s="87" t="s">
        <v>731</v>
      </c>
      <c r="AL80" s="87" t="s">
        <v>731</v>
      </c>
      <c r="AM80" s="87">
        <f t="shared" si="17"/>
        <v>0.11012107008</v>
      </c>
      <c r="AN80" s="87" t="s">
        <v>731</v>
      </c>
      <c r="AO80" s="87" t="s">
        <v>1799</v>
      </c>
      <c r="AP80" s="87" t="s">
        <v>731</v>
      </c>
    </row>
    <row r="81" customHeight="1" spans="1:42">
      <c r="A81" s="86" t="s">
        <v>1504</v>
      </c>
      <c r="B81" s="91" t="str">
        <f>_xlfn.XLOOKUP(A81,'Product List'!B:B,'Product List'!A:A)</f>
        <v>CPSH52001WH</v>
      </c>
      <c r="C81" s="86" t="str">
        <f>_xlfn.XLOOKUP(A81,'Product List'!B:B,'Product List'!L:L)</f>
        <v>水壶-云朵撞针水壶-250ml(8.5fl oz)</v>
      </c>
      <c r="D81" s="86">
        <v>42</v>
      </c>
      <c r="E81" s="86" t="s">
        <v>1767</v>
      </c>
      <c r="F81" s="92">
        <v>45931</v>
      </c>
      <c r="G81" s="86" t="s">
        <v>1766</v>
      </c>
      <c r="H81" s="86" t="s">
        <v>1775</v>
      </c>
      <c r="I81" s="92" t="s">
        <v>731</v>
      </c>
      <c r="J81" s="86" t="s">
        <v>731</v>
      </c>
      <c r="K81" s="92" t="s">
        <v>731</v>
      </c>
      <c r="L81" s="92">
        <v>45931</v>
      </c>
      <c r="M81" s="93" t="s">
        <v>731</v>
      </c>
      <c r="N81" s="86" t="s">
        <v>731</v>
      </c>
      <c r="O81" s="86">
        <v>3.94</v>
      </c>
      <c r="P81" s="86">
        <v>2.96</v>
      </c>
      <c r="Q81" s="86">
        <v>5.32</v>
      </c>
      <c r="R81" s="86">
        <v>4.06</v>
      </c>
      <c r="S81" s="86">
        <v>4.53</v>
      </c>
      <c r="T81" s="86">
        <v>7.09</v>
      </c>
      <c r="U81" s="86">
        <f t="shared" si="19"/>
        <v>24</v>
      </c>
      <c r="V81" s="86">
        <f t="shared" si="20"/>
        <v>20</v>
      </c>
      <c r="W81" s="86">
        <f t="shared" si="21"/>
        <v>14</v>
      </c>
      <c r="X81" s="86">
        <v>85</v>
      </c>
      <c r="Y81" s="86">
        <v>7.5</v>
      </c>
      <c r="Z81" s="86">
        <v>13.5</v>
      </c>
      <c r="AA81" s="86">
        <v>10.3</v>
      </c>
      <c r="AB81" s="86">
        <v>11.5</v>
      </c>
      <c r="AC81" s="86">
        <v>18</v>
      </c>
      <c r="AD81" s="86">
        <f>_xlfn.XLOOKUP(G81,'Case Type'!A:A,'Case Type'!E:E)</f>
        <v>60.96</v>
      </c>
      <c r="AE81" s="86">
        <f>_xlfn.XLOOKUP(G81,'Case Type'!A:A,'Case Type'!F:F)</f>
        <v>50.8</v>
      </c>
      <c r="AF81" s="86">
        <f>_xlfn.XLOOKUP(G81,'Case Type'!A:A,'Case Type'!G:G)</f>
        <v>35.56</v>
      </c>
      <c r="AG81" s="87">
        <v>113</v>
      </c>
      <c r="AH81" s="87">
        <v>3.99</v>
      </c>
      <c r="AI81" s="87" t="s">
        <v>731</v>
      </c>
      <c r="AJ81" s="87" t="s">
        <v>731</v>
      </c>
      <c r="AK81" s="87" t="s">
        <v>731</v>
      </c>
      <c r="AL81" s="87" t="s">
        <v>731</v>
      </c>
      <c r="AM81" s="87">
        <f t="shared" si="17"/>
        <v>0.11012107008</v>
      </c>
      <c r="AN81" s="87" t="s">
        <v>731</v>
      </c>
      <c r="AO81" s="87" t="s">
        <v>731</v>
      </c>
      <c r="AP81" s="87" t="s">
        <v>731</v>
      </c>
    </row>
    <row r="82" customHeight="1" spans="1:42">
      <c r="A82" s="86" t="s">
        <v>1518</v>
      </c>
      <c r="B82" s="91" t="str">
        <f>_xlfn.XLOOKUP(A82,'Product List'!B:B,'Product List'!A:A)</f>
        <v>CPSH52002WH</v>
      </c>
      <c r="C82" s="86" t="str">
        <f>_xlfn.XLOOKUP(A82,'Product List'!B:B,'Product List'!L:L)</f>
        <v>水壶-云朵撞针水壶-400ml(13.5fl oz)</v>
      </c>
      <c r="D82" s="86">
        <v>42</v>
      </c>
      <c r="E82" s="86" t="s">
        <v>1767</v>
      </c>
      <c r="F82" s="92">
        <v>45931</v>
      </c>
      <c r="G82" s="86" t="s">
        <v>1766</v>
      </c>
      <c r="H82" s="86" t="s">
        <v>1775</v>
      </c>
      <c r="I82" s="92" t="s">
        <v>731</v>
      </c>
      <c r="J82" s="86" t="s">
        <v>731</v>
      </c>
      <c r="K82" s="92" t="s">
        <v>731</v>
      </c>
      <c r="L82" s="92">
        <v>45931</v>
      </c>
      <c r="M82" s="93" t="s">
        <v>731</v>
      </c>
      <c r="N82" s="86" t="s">
        <v>731</v>
      </c>
      <c r="O82" s="86">
        <v>3.94</v>
      </c>
      <c r="P82" s="86">
        <v>2.96</v>
      </c>
      <c r="Q82" s="86">
        <v>7.09</v>
      </c>
      <c r="R82" s="86">
        <v>4.06</v>
      </c>
      <c r="S82" s="86">
        <v>4.53</v>
      </c>
      <c r="T82" s="86">
        <v>7.09</v>
      </c>
      <c r="U82" s="86">
        <f t="shared" si="19"/>
        <v>24</v>
      </c>
      <c r="V82" s="86">
        <f t="shared" si="20"/>
        <v>20</v>
      </c>
      <c r="W82" s="86">
        <f t="shared" si="21"/>
        <v>14</v>
      </c>
      <c r="X82" s="86">
        <v>85</v>
      </c>
      <c r="Y82" s="86">
        <v>7.5</v>
      </c>
      <c r="Z82" s="86">
        <v>18</v>
      </c>
      <c r="AA82" s="86">
        <v>10.3</v>
      </c>
      <c r="AB82" s="86">
        <v>11.5</v>
      </c>
      <c r="AC82" s="86">
        <v>18</v>
      </c>
      <c r="AD82" s="86">
        <f>_xlfn.XLOOKUP(G82,'Case Type'!A:A,'Case Type'!E:E)</f>
        <v>60.96</v>
      </c>
      <c r="AE82" s="86">
        <f>_xlfn.XLOOKUP(G82,'Case Type'!A:A,'Case Type'!F:F)</f>
        <v>50.8</v>
      </c>
      <c r="AF82" s="86">
        <f>_xlfn.XLOOKUP(G82,'Case Type'!A:A,'Case Type'!G:G)</f>
        <v>35.56</v>
      </c>
      <c r="AG82" s="87">
        <v>132</v>
      </c>
      <c r="AH82" s="87">
        <v>4.66</v>
      </c>
      <c r="AI82" s="87" t="s">
        <v>731</v>
      </c>
      <c r="AJ82" s="87" t="s">
        <v>731</v>
      </c>
      <c r="AK82" s="87" t="s">
        <v>731</v>
      </c>
      <c r="AL82" s="87" t="s">
        <v>731</v>
      </c>
      <c r="AM82" s="87">
        <f t="shared" si="17"/>
        <v>0.11012107008</v>
      </c>
      <c r="AN82" s="87" t="s">
        <v>731</v>
      </c>
      <c r="AO82" s="87" t="s">
        <v>731</v>
      </c>
      <c r="AP82" s="87" t="s">
        <v>731</v>
      </c>
    </row>
    <row r="83" customHeight="1" spans="1:42">
      <c r="A83" s="86" t="s">
        <v>1523</v>
      </c>
      <c r="B83" s="91" t="str">
        <f>_xlfn.XLOOKUP(A83,'Product List'!B:B,'Product List'!A:A)</f>
        <v>CPSL33000WH</v>
      </c>
      <c r="C83" s="86" t="str">
        <f>_xlfn.XLOOKUP(A83,'Product List'!B:B,'Product List'!L:L)</f>
        <v>笼子-大电视</v>
      </c>
      <c r="D83" s="86">
        <v>1</v>
      </c>
      <c r="E83" s="86" t="s">
        <v>1767</v>
      </c>
      <c r="F83" s="92">
        <v>45931</v>
      </c>
      <c r="G83" s="86" t="s">
        <v>731</v>
      </c>
      <c r="H83" s="86" t="s">
        <v>1775</v>
      </c>
      <c r="I83" s="92" t="s">
        <v>731</v>
      </c>
      <c r="J83" s="86" t="s">
        <v>731</v>
      </c>
      <c r="K83" s="92" t="s">
        <v>731</v>
      </c>
      <c r="L83" s="92">
        <v>45931</v>
      </c>
      <c r="M83" s="93" t="s">
        <v>731</v>
      </c>
      <c r="N83" s="86" t="s">
        <v>731</v>
      </c>
      <c r="O83" s="86">
        <v>28.94</v>
      </c>
      <c r="P83" s="86">
        <v>18.9</v>
      </c>
      <c r="Q83" s="86">
        <v>20.87</v>
      </c>
      <c r="R83" s="86">
        <v>31.11</v>
      </c>
      <c r="S83" s="86">
        <v>21.26</v>
      </c>
      <c r="T83" s="86">
        <v>15.36</v>
      </c>
      <c r="U83" s="86" t="s">
        <v>731</v>
      </c>
      <c r="V83" s="86" t="s">
        <v>731</v>
      </c>
      <c r="W83" s="86" t="s">
        <v>731</v>
      </c>
      <c r="X83" s="86">
        <v>73.5</v>
      </c>
      <c r="Y83" s="86">
        <v>48</v>
      </c>
      <c r="Z83" s="86">
        <v>53</v>
      </c>
      <c r="AA83" s="86">
        <v>79</v>
      </c>
      <c r="AB83" s="86">
        <v>54</v>
      </c>
      <c r="AC83" s="86">
        <v>39</v>
      </c>
      <c r="AD83" s="86" t="s">
        <v>731</v>
      </c>
      <c r="AE83" s="86" t="s">
        <v>731</v>
      </c>
      <c r="AF83" s="86" t="s">
        <v>731</v>
      </c>
      <c r="AG83" s="87">
        <v>5600</v>
      </c>
      <c r="AH83" s="87">
        <v>197.54</v>
      </c>
      <c r="AI83" s="87" t="s">
        <v>731</v>
      </c>
      <c r="AJ83" s="87" t="s">
        <v>731</v>
      </c>
      <c r="AK83" s="87" t="s">
        <v>731</v>
      </c>
      <c r="AL83" s="87" t="s">
        <v>731</v>
      </c>
      <c r="AM83" s="87" t="str">
        <f t="shared" si="17"/>
        <v>NA</v>
      </c>
      <c r="AN83" s="87" t="s">
        <v>731</v>
      </c>
      <c r="AO83" s="87" t="s">
        <v>731</v>
      </c>
      <c r="AP83" s="87" t="s">
        <v>731</v>
      </c>
    </row>
    <row r="84" customHeight="1" spans="1:42">
      <c r="A84" s="86" t="s">
        <v>1536</v>
      </c>
      <c r="B84" s="91" t="str">
        <f>_xlfn.XLOOKUP(A84,'Product List'!B:B,'Product List'!A:A)</f>
        <v>CPSL38002WH</v>
      </c>
      <c r="C84" s="86" t="str">
        <f>_xlfn.XLOOKUP(A84,'Product List'!B:B,'Product List'!L:L)</f>
        <v>笼子-芝士笼Pro-100cm(39in)</v>
      </c>
      <c r="D84" s="86">
        <v>1</v>
      </c>
      <c r="E84" s="86" t="s">
        <v>1767</v>
      </c>
      <c r="F84" s="92">
        <v>45931</v>
      </c>
      <c r="G84" s="86" t="s">
        <v>731</v>
      </c>
      <c r="H84" s="86" t="s">
        <v>1775</v>
      </c>
      <c r="I84" s="92" t="s">
        <v>731</v>
      </c>
      <c r="J84" s="86" t="s">
        <v>731</v>
      </c>
      <c r="K84" s="92" t="s">
        <v>731</v>
      </c>
      <c r="L84" s="92">
        <v>45931</v>
      </c>
      <c r="M84" s="93" t="s">
        <v>731</v>
      </c>
      <c r="N84" s="86" t="s">
        <v>731</v>
      </c>
      <c r="O84" s="86">
        <v>39.38</v>
      </c>
      <c r="P84" s="86">
        <v>19.69</v>
      </c>
      <c r="Q84" s="86">
        <v>19.69</v>
      </c>
      <c r="R84" s="86">
        <v>42.52</v>
      </c>
      <c r="S84" s="86">
        <v>3.94</v>
      </c>
      <c r="T84" s="86">
        <v>31.11</v>
      </c>
      <c r="U84" s="86">
        <v>42.52</v>
      </c>
      <c r="V84" s="86">
        <v>3.94</v>
      </c>
      <c r="W84" s="86">
        <v>31.11</v>
      </c>
      <c r="X84" s="86">
        <v>100</v>
      </c>
      <c r="Y84" s="86">
        <v>50</v>
      </c>
      <c r="Z84" s="86">
        <v>50</v>
      </c>
      <c r="AA84" s="86">
        <v>108</v>
      </c>
      <c r="AB84" s="86">
        <v>10</v>
      </c>
      <c r="AC84" s="86">
        <v>79</v>
      </c>
      <c r="AD84" s="86">
        <v>108</v>
      </c>
      <c r="AE84" s="86">
        <v>10</v>
      </c>
      <c r="AF84" s="86" t="s">
        <v>731</v>
      </c>
      <c r="AG84" s="87">
        <v>9300</v>
      </c>
      <c r="AH84" s="87">
        <v>328.05</v>
      </c>
      <c r="AI84" s="87" t="s">
        <v>731</v>
      </c>
      <c r="AJ84" s="87" t="s">
        <v>731</v>
      </c>
      <c r="AK84" s="87" t="s">
        <v>731</v>
      </c>
      <c r="AL84" s="87" t="s">
        <v>731</v>
      </c>
      <c r="AM84" s="87" t="str">
        <f t="shared" si="17"/>
        <v>NA</v>
      </c>
      <c r="AN84" s="87" t="s">
        <v>731</v>
      </c>
      <c r="AO84" s="87" t="s">
        <v>731</v>
      </c>
      <c r="AP84" s="87" t="s">
        <v>731</v>
      </c>
    </row>
    <row r="85" customHeight="1" spans="1:42">
      <c r="A85" s="86" t="s">
        <v>1551</v>
      </c>
      <c r="B85" s="91" t="str">
        <f>_xlfn.XLOOKUP(A85,'Product List'!B:B,'Product List'!A:A)</f>
        <v>CPSL39000WH</v>
      </c>
      <c r="C85" s="86" t="str">
        <f>_xlfn.XLOOKUP(A85,'Product List'!B:B,'Product List'!L:L)</f>
        <v>笼子-很能装-75cm(29.5in)</v>
      </c>
      <c r="D85" s="86">
        <v>1</v>
      </c>
      <c r="E85" s="86" t="s">
        <v>1767</v>
      </c>
      <c r="F85" s="92">
        <v>45931</v>
      </c>
      <c r="G85" s="86" t="s">
        <v>731</v>
      </c>
      <c r="H85" s="86" t="s">
        <v>1775</v>
      </c>
      <c r="I85" s="92" t="s">
        <v>731</v>
      </c>
      <c r="J85" s="86" t="s">
        <v>731</v>
      </c>
      <c r="K85" s="92" t="s">
        <v>731</v>
      </c>
      <c r="L85" s="92">
        <v>45931</v>
      </c>
      <c r="M85" s="93" t="s">
        <v>731</v>
      </c>
      <c r="N85" s="86" t="s">
        <v>731</v>
      </c>
      <c r="O85" s="86">
        <v>30.12</v>
      </c>
      <c r="P85" s="86">
        <v>16.74</v>
      </c>
      <c r="Q85" s="86">
        <v>19.85</v>
      </c>
      <c r="R85" s="86">
        <v>29.93</v>
      </c>
      <c r="S85" s="86">
        <v>11.42</v>
      </c>
      <c r="T85" s="86">
        <v>17.33</v>
      </c>
      <c r="U85" s="86">
        <v>29.93</v>
      </c>
      <c r="V85" s="86">
        <v>17.33</v>
      </c>
      <c r="W85" s="86">
        <v>11.42</v>
      </c>
      <c r="X85" s="86">
        <v>76.5</v>
      </c>
      <c r="Y85" s="86">
        <v>42.5</v>
      </c>
      <c r="Z85" s="86">
        <v>50.4</v>
      </c>
      <c r="AA85" s="86">
        <v>76</v>
      </c>
      <c r="AB85" s="86">
        <v>29</v>
      </c>
      <c r="AC85" s="86">
        <v>44</v>
      </c>
      <c r="AD85" s="86">
        <v>76</v>
      </c>
      <c r="AE85" s="86">
        <v>44</v>
      </c>
      <c r="AF85" s="86" t="s">
        <v>731</v>
      </c>
      <c r="AG85" s="87">
        <v>4793</v>
      </c>
      <c r="AH85" s="87">
        <v>169.07</v>
      </c>
      <c r="AI85" s="87" t="s">
        <v>731</v>
      </c>
      <c r="AJ85" s="87" t="s">
        <v>731</v>
      </c>
      <c r="AK85" s="87" t="s">
        <v>731</v>
      </c>
      <c r="AL85" s="87" t="s">
        <v>731</v>
      </c>
      <c r="AM85" s="87" t="str">
        <f t="shared" si="17"/>
        <v>NA</v>
      </c>
      <c r="AN85" s="87" t="s">
        <v>731</v>
      </c>
      <c r="AO85" s="87" t="s">
        <v>1800</v>
      </c>
      <c r="AP85" s="87" t="s">
        <v>731</v>
      </c>
    </row>
    <row r="86" customHeight="1" spans="1:42">
      <c r="A86" s="86" t="s">
        <v>1565</v>
      </c>
      <c r="B86" s="91" t="str">
        <f>_xlfn.XLOOKUP(A86,'Product List'!B:B,'Product List'!A:A)</f>
        <v>CPSL39000YE</v>
      </c>
      <c r="C86" s="86" t="str">
        <f>_xlfn.XLOOKUP(A86,'Product List'!B:B,'Product List'!L:L)</f>
        <v>躲避屋-芋泥甜筒单层冰窝</v>
      </c>
      <c r="D86" s="86">
        <v>8</v>
      </c>
      <c r="E86" s="86" t="s">
        <v>1767</v>
      </c>
      <c r="F86" s="92">
        <v>45931</v>
      </c>
      <c r="G86" s="86" t="s">
        <v>1765</v>
      </c>
      <c r="H86" s="86" t="s">
        <v>1775</v>
      </c>
      <c r="I86" s="92" t="s">
        <v>731</v>
      </c>
      <c r="J86" s="86" t="s">
        <v>731</v>
      </c>
      <c r="K86" s="92" t="s">
        <v>731</v>
      </c>
      <c r="L86" s="92">
        <v>45931</v>
      </c>
      <c r="M86" s="93" t="s">
        <v>731</v>
      </c>
      <c r="N86" s="86" t="s">
        <v>731</v>
      </c>
      <c r="O86" s="86">
        <v>5.6</v>
      </c>
      <c r="P86" s="86">
        <v>3.15</v>
      </c>
      <c r="Q86" s="86">
        <v>6.3</v>
      </c>
      <c r="R86" s="86">
        <v>7.05</v>
      </c>
      <c r="S86" s="86">
        <v>7.05</v>
      </c>
      <c r="T86" s="86">
        <v>7.84</v>
      </c>
      <c r="U86" s="86">
        <f t="shared" ref="U86:W86" si="22">IFERROR(ROUNDUP(AD86/2.54,2),"NA")</f>
        <v>16</v>
      </c>
      <c r="V86" s="86">
        <f t="shared" si="22"/>
        <v>20</v>
      </c>
      <c r="W86" s="86">
        <f t="shared" si="22"/>
        <v>14</v>
      </c>
      <c r="X86" s="86">
        <v>85</v>
      </c>
      <c r="Y86" s="86">
        <v>8</v>
      </c>
      <c r="Z86" s="86">
        <v>16</v>
      </c>
      <c r="AA86" s="86">
        <v>17.9</v>
      </c>
      <c r="AB86" s="86">
        <v>17.9</v>
      </c>
      <c r="AC86" s="86">
        <v>19.9</v>
      </c>
      <c r="AD86" s="86">
        <f>_xlfn.XLOOKUP(G86,'Case Type'!A:A,'Case Type'!E:E)</f>
        <v>40.64</v>
      </c>
      <c r="AE86" s="86">
        <f>_xlfn.XLOOKUP(G86,'Case Type'!A:A,'Case Type'!F:F)</f>
        <v>50.8</v>
      </c>
      <c r="AF86" s="86">
        <f>_xlfn.XLOOKUP(G86,'Case Type'!A:A,'Case Type'!G:G)</f>
        <v>35.56</v>
      </c>
      <c r="AG86" s="87">
        <v>1470</v>
      </c>
      <c r="AH86" s="87">
        <v>51.86</v>
      </c>
      <c r="AI86" s="87" t="s">
        <v>731</v>
      </c>
      <c r="AJ86" s="87" t="s">
        <v>731</v>
      </c>
      <c r="AK86" s="87" t="s">
        <v>731</v>
      </c>
      <c r="AL86" s="87" t="s">
        <v>731</v>
      </c>
      <c r="AM86" s="87">
        <f t="shared" si="17"/>
        <v>0.07341404672</v>
      </c>
      <c r="AN86" s="87" t="s">
        <v>731</v>
      </c>
      <c r="AO86" s="87" t="s">
        <v>731</v>
      </c>
      <c r="AP86" s="87" t="s">
        <v>731</v>
      </c>
    </row>
    <row r="87" customHeight="1" spans="1:42">
      <c r="A87" s="86" t="s">
        <v>1576</v>
      </c>
      <c r="B87" s="91" t="str">
        <f>_xlfn.XLOOKUP(A87,'Product List'!B:B,'Product List'!A:A)</f>
        <v>CPSL50000WH</v>
      </c>
      <c r="C87" s="86" t="str">
        <f>_xlfn.XLOOKUP(A87,'Product List'!B:B,'Product List'!L:L)</f>
        <v>食具-牛奶芝士陶瓷碗</v>
      </c>
      <c r="D87" s="86">
        <v>8</v>
      </c>
      <c r="E87" s="86" t="s">
        <v>1767</v>
      </c>
      <c r="F87" s="92">
        <v>45931</v>
      </c>
      <c r="G87" s="86" t="s">
        <v>1761</v>
      </c>
      <c r="H87" s="86" t="s">
        <v>1775</v>
      </c>
      <c r="I87" s="92" t="s">
        <v>731</v>
      </c>
      <c r="J87" s="86" t="s">
        <v>731</v>
      </c>
      <c r="K87" s="92" t="s">
        <v>731</v>
      </c>
      <c r="L87" s="92">
        <v>45931</v>
      </c>
      <c r="M87" s="93" t="s">
        <v>731</v>
      </c>
      <c r="N87" s="86" t="s">
        <v>731</v>
      </c>
      <c r="O87" s="86">
        <v>5.91</v>
      </c>
      <c r="P87" s="86">
        <v>5.91</v>
      </c>
      <c r="Q87" s="86">
        <v>5.12</v>
      </c>
      <c r="R87" s="86">
        <v>8.67</v>
      </c>
      <c r="S87" s="86">
        <v>8.86</v>
      </c>
      <c r="T87" s="86">
        <v>8.47</v>
      </c>
      <c r="U87" s="86">
        <f t="shared" ref="U87:W87" si="23">IFERROR(ROUNDUP(AD87/2.54,2),"NA")</f>
        <v>24</v>
      </c>
      <c r="V87" s="86">
        <f t="shared" si="23"/>
        <v>20</v>
      </c>
      <c r="W87" s="86">
        <f t="shared" si="23"/>
        <v>20</v>
      </c>
      <c r="X87" s="86">
        <v>85</v>
      </c>
      <c r="Y87" s="86">
        <v>15</v>
      </c>
      <c r="Z87" s="86">
        <v>13</v>
      </c>
      <c r="AA87" s="86">
        <v>22</v>
      </c>
      <c r="AB87" s="86">
        <v>22.5</v>
      </c>
      <c r="AC87" s="86">
        <v>21.5</v>
      </c>
      <c r="AD87" s="86">
        <f>_xlfn.XLOOKUP(G87,'Case Type'!A:A,'Case Type'!E:E)</f>
        <v>60.96</v>
      </c>
      <c r="AE87" s="86">
        <f>_xlfn.XLOOKUP(G87,'Case Type'!A:A,'Case Type'!F:F)</f>
        <v>50.8</v>
      </c>
      <c r="AF87" s="86">
        <f>_xlfn.XLOOKUP(G87,'Case Type'!A:A,'Case Type'!G:G)</f>
        <v>50.8</v>
      </c>
      <c r="AG87" s="87">
        <v>655</v>
      </c>
      <c r="AH87" s="87">
        <v>23.11</v>
      </c>
      <c r="AI87" s="87" t="s">
        <v>731</v>
      </c>
      <c r="AJ87" s="87" t="s">
        <v>731</v>
      </c>
      <c r="AK87" s="87" t="s">
        <v>731</v>
      </c>
      <c r="AL87" s="87" t="s">
        <v>731</v>
      </c>
      <c r="AM87" s="87">
        <f t="shared" si="17"/>
        <v>0.1573158144</v>
      </c>
      <c r="AN87" s="87" t="s">
        <v>731</v>
      </c>
      <c r="AO87" s="87" t="s">
        <v>731</v>
      </c>
      <c r="AP87" s="87" t="s">
        <v>731</v>
      </c>
    </row>
    <row r="88" customFormat="1" customHeight="1" spans="1:42">
      <c r="A88" s="86" t="s">
        <v>631</v>
      </c>
      <c r="B88" s="91" t="str">
        <f>_xlfn.XLOOKUP(A88,'Product List'!B:B,'Product List'!A:A)</f>
        <v>CPSP17000</v>
      </c>
      <c r="C88" s="86" t="str">
        <f>_xlfn.XLOOKUP(A88,'Product List'!B:B,'Product List'!L:L)</f>
        <v>食具-奶酪陶瓷碗</v>
      </c>
      <c r="D88" s="86" t="s">
        <v>731</v>
      </c>
      <c r="E88" s="86" t="s">
        <v>1767</v>
      </c>
      <c r="F88" s="92">
        <v>45931</v>
      </c>
      <c r="G88" s="86" t="s">
        <v>731</v>
      </c>
      <c r="H88" s="86" t="s">
        <v>1775</v>
      </c>
      <c r="I88" s="92" t="s">
        <v>731</v>
      </c>
      <c r="J88" s="86" t="s">
        <v>731</v>
      </c>
      <c r="K88" s="92" t="s">
        <v>731</v>
      </c>
      <c r="L88" s="92">
        <v>45931</v>
      </c>
      <c r="M88" s="93" t="s">
        <v>731</v>
      </c>
      <c r="N88" s="86" t="s">
        <v>731</v>
      </c>
      <c r="O88" s="86">
        <v>3.94</v>
      </c>
      <c r="P88" s="86">
        <v>3.94</v>
      </c>
      <c r="Q88" s="86">
        <v>1.97</v>
      </c>
      <c r="R88" s="86">
        <v>4.34</v>
      </c>
      <c r="S88" s="86">
        <v>4.34</v>
      </c>
      <c r="T88" s="86">
        <v>3.35</v>
      </c>
      <c r="U88" s="86">
        <v>18.12</v>
      </c>
      <c r="V88" s="86">
        <v>13.47</v>
      </c>
      <c r="W88" s="86">
        <v>14.38</v>
      </c>
      <c r="X88" s="86">
        <v>10</v>
      </c>
      <c r="Y88" s="86">
        <v>10</v>
      </c>
      <c r="Z88" s="86">
        <v>5</v>
      </c>
      <c r="AA88" s="86">
        <v>11</v>
      </c>
      <c r="AB88" s="86">
        <v>11</v>
      </c>
      <c r="AC88" s="86">
        <v>8.5</v>
      </c>
      <c r="AD88" s="86">
        <v>46</v>
      </c>
      <c r="AE88" s="86">
        <v>34.2</v>
      </c>
      <c r="AF88" s="86" t="s">
        <v>731</v>
      </c>
      <c r="AG88" s="87">
        <v>295</v>
      </c>
      <c r="AH88" s="87">
        <v>10.41</v>
      </c>
      <c r="AI88" s="87" t="s">
        <v>731</v>
      </c>
      <c r="AJ88" s="87" t="s">
        <v>731</v>
      </c>
      <c r="AK88" s="87" t="s">
        <v>731</v>
      </c>
      <c r="AL88" s="87" t="s">
        <v>731</v>
      </c>
      <c r="AM88" s="87" t="str">
        <f t="shared" si="17"/>
        <v>NA</v>
      </c>
      <c r="AN88" s="87" t="s">
        <v>1793</v>
      </c>
      <c r="AO88" s="87" t="s">
        <v>731</v>
      </c>
      <c r="AP88" s="87" t="s">
        <v>731</v>
      </c>
    </row>
    <row r="89" customFormat="1" customHeight="1" spans="1:42">
      <c r="A89" s="86" t="s">
        <v>1585</v>
      </c>
      <c r="B89" s="91" t="str">
        <f>_xlfn.XLOOKUP(A89,'Product List'!B:B,'Product List'!A:A)</f>
        <v>CPSP17000</v>
      </c>
      <c r="C89" s="86" t="str">
        <f>_xlfn.XLOOKUP(A89,'Product List'!B:B,'Product List'!L:L)</f>
        <v>食具-芝吱食碗</v>
      </c>
      <c r="D89" s="86" t="s">
        <v>731</v>
      </c>
      <c r="E89" s="86" t="s">
        <v>1767</v>
      </c>
      <c r="F89" s="92">
        <v>45931</v>
      </c>
      <c r="G89" s="86" t="s">
        <v>731</v>
      </c>
      <c r="H89" s="86" t="s">
        <v>1775</v>
      </c>
      <c r="I89" s="92" t="s">
        <v>731</v>
      </c>
      <c r="J89" s="86" t="s">
        <v>731</v>
      </c>
      <c r="K89" s="92" t="s">
        <v>731</v>
      </c>
      <c r="L89" s="92">
        <v>45931</v>
      </c>
      <c r="M89" s="93" t="s">
        <v>731</v>
      </c>
      <c r="N89" s="86" t="s">
        <v>731</v>
      </c>
      <c r="O89" s="86">
        <v>3.94</v>
      </c>
      <c r="P89" s="86">
        <v>3.94</v>
      </c>
      <c r="Q89" s="86">
        <v>1.97</v>
      </c>
      <c r="R89" s="86">
        <v>4.34</v>
      </c>
      <c r="S89" s="86">
        <v>4.34</v>
      </c>
      <c r="T89" s="86">
        <v>3.35</v>
      </c>
      <c r="U89" s="86">
        <v>18.12</v>
      </c>
      <c r="V89" s="86">
        <v>13.47</v>
      </c>
      <c r="W89" s="86">
        <v>14.38</v>
      </c>
      <c r="X89" s="86">
        <v>10</v>
      </c>
      <c r="Y89" s="86">
        <v>10</v>
      </c>
      <c r="Z89" s="86">
        <v>5</v>
      </c>
      <c r="AA89" s="86">
        <v>11</v>
      </c>
      <c r="AB89" s="86">
        <v>11</v>
      </c>
      <c r="AC89" s="86">
        <v>8.5</v>
      </c>
      <c r="AD89" s="86">
        <v>46</v>
      </c>
      <c r="AE89" s="86">
        <v>34.2</v>
      </c>
      <c r="AF89" s="86" t="s">
        <v>731</v>
      </c>
      <c r="AG89" s="87">
        <v>295</v>
      </c>
      <c r="AH89" s="87">
        <v>10.41</v>
      </c>
      <c r="AI89" s="87" t="s">
        <v>731</v>
      </c>
      <c r="AJ89" s="87" t="s">
        <v>731</v>
      </c>
      <c r="AK89" s="87" t="s">
        <v>731</v>
      </c>
      <c r="AL89" s="87" t="s">
        <v>731</v>
      </c>
      <c r="AM89" s="87" t="str">
        <f t="shared" si="17"/>
        <v>NA</v>
      </c>
      <c r="AN89" s="87" t="s">
        <v>1793</v>
      </c>
      <c r="AO89" s="87" t="s">
        <v>731</v>
      </c>
      <c r="AP89" s="87" t="s">
        <v>731</v>
      </c>
    </row>
    <row r="90" customFormat="1" customHeight="1" spans="1:42">
      <c r="A90" s="86" t="s">
        <v>851</v>
      </c>
      <c r="B90" s="91" t="str">
        <f>_xlfn.XLOOKUP(A90,'Product List'!B:B,'Product List'!A:A)</f>
        <v>CPSP19001BU</v>
      </c>
      <c r="C90" s="86" t="str">
        <f>_xlfn.XLOOKUP(A90,'Product List'!B:B,'Product List'!L:L)</f>
        <v>躲避屋-糖果陶瓷躲避屋</v>
      </c>
      <c r="D90" s="86" t="s">
        <v>731</v>
      </c>
      <c r="E90" s="86" t="s">
        <v>1767</v>
      </c>
      <c r="F90" s="92">
        <v>45931</v>
      </c>
      <c r="G90" s="86" t="s">
        <v>731</v>
      </c>
      <c r="H90" s="86" t="s">
        <v>1775</v>
      </c>
      <c r="I90" s="92" t="s">
        <v>731</v>
      </c>
      <c r="J90" s="86" t="s">
        <v>731</v>
      </c>
      <c r="K90" s="92" t="s">
        <v>731</v>
      </c>
      <c r="L90" s="92">
        <v>45931</v>
      </c>
      <c r="M90" s="93" t="s">
        <v>731</v>
      </c>
      <c r="N90" s="86" t="s">
        <v>731</v>
      </c>
      <c r="O90" s="86">
        <v>8.08</v>
      </c>
      <c r="P90" s="86">
        <v>5.12</v>
      </c>
      <c r="Q90" s="86">
        <v>5.12</v>
      </c>
      <c r="R90" s="86">
        <v>9.73</v>
      </c>
      <c r="S90" s="86">
        <v>6.7</v>
      </c>
      <c r="T90" s="86">
        <v>6.7</v>
      </c>
      <c r="U90" s="86">
        <v>20.79</v>
      </c>
      <c r="V90" s="86">
        <v>13.86</v>
      </c>
      <c r="W90" s="86">
        <v>20.2</v>
      </c>
      <c r="X90" s="86">
        <v>20.5</v>
      </c>
      <c r="Y90" s="86">
        <v>13</v>
      </c>
      <c r="Z90" s="86">
        <v>13</v>
      </c>
      <c r="AA90" s="86">
        <v>24.7</v>
      </c>
      <c r="AB90" s="86">
        <v>17</v>
      </c>
      <c r="AC90" s="86">
        <v>17</v>
      </c>
      <c r="AD90" s="86">
        <v>52.8</v>
      </c>
      <c r="AE90" s="86">
        <v>35.2</v>
      </c>
      <c r="AF90" s="86" t="s">
        <v>731</v>
      </c>
      <c r="AG90" s="87" t="s">
        <v>731</v>
      </c>
      <c r="AH90" s="87" t="s">
        <v>731</v>
      </c>
      <c r="AI90" s="87" t="s">
        <v>731</v>
      </c>
      <c r="AJ90" s="87" t="s">
        <v>731</v>
      </c>
      <c r="AK90" s="87" t="s">
        <v>731</v>
      </c>
      <c r="AL90" s="87" t="s">
        <v>731</v>
      </c>
      <c r="AM90" s="87" t="str">
        <f t="shared" si="17"/>
        <v>NA</v>
      </c>
      <c r="AN90" s="87" t="s">
        <v>731</v>
      </c>
      <c r="AO90" s="87" t="s">
        <v>731</v>
      </c>
      <c r="AP90" s="87" t="s">
        <v>731</v>
      </c>
    </row>
    <row r="91" customHeight="1" spans="1:42">
      <c r="A91" s="86" t="s">
        <v>1588</v>
      </c>
      <c r="B91" s="91" t="str">
        <f>_xlfn.XLOOKUP(A91,'Product List'!B:B,'Product List'!A:A)</f>
        <v>CPSP35000YE</v>
      </c>
      <c r="C91" s="86" t="str">
        <f>_xlfn.XLOOKUP(A91,'Product List'!B:B,'Product List'!L:L)</f>
        <v>食具-甜筒食碗</v>
      </c>
      <c r="D91" s="86">
        <v>12</v>
      </c>
      <c r="E91" s="86" t="s">
        <v>1767</v>
      </c>
      <c r="F91" s="92">
        <v>45931</v>
      </c>
      <c r="G91" s="86" t="s">
        <v>1764</v>
      </c>
      <c r="H91" s="86" t="s">
        <v>1775</v>
      </c>
      <c r="I91" s="92" t="s">
        <v>731</v>
      </c>
      <c r="J91" s="86" t="s">
        <v>731</v>
      </c>
      <c r="K91" s="92" t="s">
        <v>731</v>
      </c>
      <c r="L91" s="92">
        <v>45931</v>
      </c>
      <c r="M91" s="93" t="s">
        <v>731</v>
      </c>
      <c r="N91" s="86" t="s">
        <v>731</v>
      </c>
      <c r="O91" s="86">
        <v>4.26</v>
      </c>
      <c r="P91" s="86">
        <v>4.26</v>
      </c>
      <c r="Q91" s="86">
        <v>2.68</v>
      </c>
      <c r="R91" s="86">
        <v>5.71</v>
      </c>
      <c r="S91" s="86">
        <v>5.71</v>
      </c>
      <c r="T91" s="86">
        <v>11.03</v>
      </c>
      <c r="U91" s="86">
        <f t="shared" ref="U91:W91" si="24">IFERROR(ROUNDUP(AD91/2.54,2),"NA")</f>
        <v>24</v>
      </c>
      <c r="V91" s="86">
        <f t="shared" si="24"/>
        <v>20</v>
      </c>
      <c r="W91" s="86">
        <f t="shared" si="24"/>
        <v>11.21</v>
      </c>
      <c r="X91" s="86">
        <v>85</v>
      </c>
      <c r="Y91" s="86">
        <v>10.8</v>
      </c>
      <c r="Z91" s="86">
        <v>6.8</v>
      </c>
      <c r="AA91" s="86">
        <v>14.5</v>
      </c>
      <c r="AB91" s="86">
        <v>14.5</v>
      </c>
      <c r="AC91" s="86">
        <v>28</v>
      </c>
      <c r="AD91" s="86">
        <f>_xlfn.XLOOKUP(G91,'Case Type'!A:A,'Case Type'!E:E)</f>
        <v>60.96</v>
      </c>
      <c r="AE91" s="86">
        <f>_xlfn.XLOOKUP(G91,'Case Type'!A:A,'Case Type'!F:F)</f>
        <v>50.8</v>
      </c>
      <c r="AF91" s="86">
        <f>_xlfn.XLOOKUP(G91,'Case Type'!A:A,'Case Type'!G:G)</f>
        <v>28.45</v>
      </c>
      <c r="AG91" s="87">
        <v>345</v>
      </c>
      <c r="AH91" s="87">
        <v>12.17</v>
      </c>
      <c r="AI91" s="87" t="s">
        <v>731</v>
      </c>
      <c r="AJ91" s="87" t="s">
        <v>731</v>
      </c>
      <c r="AK91" s="87" t="s">
        <v>731</v>
      </c>
      <c r="AL91" s="87" t="s">
        <v>731</v>
      </c>
      <c r="AM91" s="87">
        <f t="shared" si="17"/>
        <v>0.0881030496</v>
      </c>
      <c r="AN91" s="87" t="s">
        <v>731</v>
      </c>
      <c r="AO91" s="87" t="s">
        <v>731</v>
      </c>
      <c r="AP91" s="87" t="s">
        <v>731</v>
      </c>
    </row>
    <row r="92" customHeight="1" spans="1:42">
      <c r="A92" s="86" t="s">
        <v>1594</v>
      </c>
      <c r="B92" s="91" t="str">
        <f>_xlfn.XLOOKUP(A92,'Product List'!B:B,'Product List'!A:A)</f>
        <v>CPSP43000GN</v>
      </c>
      <c r="C92" s="86" t="str">
        <f>_xlfn.XLOOKUP(A92,'Product List'!B:B,'Product List'!L:L)</f>
        <v>食具-芝士陶瓷锅</v>
      </c>
      <c r="D92" s="86">
        <v>5</v>
      </c>
      <c r="E92" s="86" t="s">
        <v>1767</v>
      </c>
      <c r="F92" s="92">
        <v>45931</v>
      </c>
      <c r="G92" s="86" t="s">
        <v>1785</v>
      </c>
      <c r="H92" s="86" t="s">
        <v>1775</v>
      </c>
      <c r="I92" s="92" t="s">
        <v>731</v>
      </c>
      <c r="J92" s="86" t="s">
        <v>731</v>
      </c>
      <c r="K92" s="92" t="s">
        <v>731</v>
      </c>
      <c r="L92" s="92">
        <v>45931</v>
      </c>
      <c r="M92" s="93" t="s">
        <v>731</v>
      </c>
      <c r="N92" s="86" t="s">
        <v>731</v>
      </c>
      <c r="O92" s="86">
        <v>5.71</v>
      </c>
      <c r="P92" s="86">
        <v>7.88</v>
      </c>
      <c r="Q92" s="86">
        <v>3.35</v>
      </c>
      <c r="R92" s="86">
        <v>9.65</v>
      </c>
      <c r="S92" s="86">
        <v>8.86</v>
      </c>
      <c r="T92" s="86">
        <v>6.03</v>
      </c>
      <c r="U92" s="86">
        <f t="shared" ref="U92:W92" si="25">IFERROR(ROUNDUP(AD92/2.54,2),"NA")</f>
        <v>18.31</v>
      </c>
      <c r="V92" s="86">
        <f t="shared" si="25"/>
        <v>13.39</v>
      </c>
      <c r="W92" s="86">
        <f t="shared" si="25"/>
        <v>8.86</v>
      </c>
      <c r="X92" s="86">
        <v>85</v>
      </c>
      <c r="Y92" s="86">
        <v>20</v>
      </c>
      <c r="Z92" s="86">
        <v>8.5</v>
      </c>
      <c r="AA92" s="86">
        <v>24.5</v>
      </c>
      <c r="AB92" s="86">
        <v>22.5</v>
      </c>
      <c r="AC92" s="86">
        <v>15.3</v>
      </c>
      <c r="AD92" s="86">
        <f>_xlfn.XLOOKUP(G92,'Case Type'!A:A,'Case Type'!E:E)</f>
        <v>46.5</v>
      </c>
      <c r="AE92" s="86">
        <f>_xlfn.XLOOKUP(G92,'Case Type'!A:A,'Case Type'!F:F)</f>
        <v>34</v>
      </c>
      <c r="AF92" s="86">
        <f>_xlfn.XLOOKUP(G92,'Case Type'!A:A,'Case Type'!G:G)</f>
        <v>22.5</v>
      </c>
      <c r="AG92" s="87">
        <v>570</v>
      </c>
      <c r="AH92" s="87">
        <v>20.11</v>
      </c>
      <c r="AI92" s="87" t="s">
        <v>731</v>
      </c>
      <c r="AJ92" s="87" t="s">
        <v>731</v>
      </c>
      <c r="AK92" s="87" t="s">
        <v>731</v>
      </c>
      <c r="AL92" s="87" t="s">
        <v>731</v>
      </c>
      <c r="AM92" s="87">
        <f t="shared" si="17"/>
        <v>0.0355725</v>
      </c>
      <c r="AN92" s="87" t="s">
        <v>731</v>
      </c>
      <c r="AO92" s="87" t="s">
        <v>731</v>
      </c>
      <c r="AP92" s="87" t="s">
        <v>731</v>
      </c>
    </row>
    <row r="93" customFormat="1" customHeight="1" spans="1:42">
      <c r="A93" s="86" t="s">
        <v>861</v>
      </c>
      <c r="B93" s="91" t="str">
        <f>_xlfn.XLOOKUP(A93,'Product List'!B:B,'Product List'!A:A)</f>
        <v>CPTL0800</v>
      </c>
      <c r="C93" s="86" t="str">
        <f>_xlfn.XLOOKUP(A93,'Product List'!B:B,'Product List'!L:L)</f>
        <v>兔用-兔笼</v>
      </c>
      <c r="D93" s="86" t="s">
        <v>731</v>
      </c>
      <c r="E93" s="86" t="s">
        <v>1767</v>
      </c>
      <c r="F93" s="92">
        <v>45931</v>
      </c>
      <c r="G93" s="86" t="s">
        <v>731</v>
      </c>
      <c r="H93" s="86" t="s">
        <v>1775</v>
      </c>
      <c r="I93" s="92" t="s">
        <v>731</v>
      </c>
      <c r="J93" s="86" t="s">
        <v>731</v>
      </c>
      <c r="K93" s="92" t="s">
        <v>731</v>
      </c>
      <c r="L93" s="92">
        <v>45931</v>
      </c>
      <c r="M93" s="93" t="s">
        <v>731</v>
      </c>
      <c r="N93" s="86" t="s">
        <v>731</v>
      </c>
      <c r="O93" s="86" t="s">
        <v>731</v>
      </c>
      <c r="P93" s="86" t="s">
        <v>731</v>
      </c>
      <c r="Q93" s="86" t="s">
        <v>731</v>
      </c>
      <c r="R93" s="86" t="s">
        <v>731</v>
      </c>
      <c r="S93" s="86" t="s">
        <v>731</v>
      </c>
      <c r="T93" s="86" t="s">
        <v>731</v>
      </c>
      <c r="U93" s="86" t="s">
        <v>731</v>
      </c>
      <c r="V93" s="86" t="s">
        <v>731</v>
      </c>
      <c r="W93" s="86" t="s">
        <v>731</v>
      </c>
      <c r="X93" s="86" t="s">
        <v>731</v>
      </c>
      <c r="Y93" s="86" t="s">
        <v>731</v>
      </c>
      <c r="Z93" s="86" t="s">
        <v>731</v>
      </c>
      <c r="AA93" s="86" t="s">
        <v>731</v>
      </c>
      <c r="AB93" s="86" t="s">
        <v>731</v>
      </c>
      <c r="AC93" s="86" t="s">
        <v>731</v>
      </c>
      <c r="AD93" s="86" t="s">
        <v>731</v>
      </c>
      <c r="AE93" s="86" t="s">
        <v>731</v>
      </c>
      <c r="AF93" s="86" t="s">
        <v>731</v>
      </c>
      <c r="AG93" s="87" t="s">
        <v>731</v>
      </c>
      <c r="AH93" s="87" t="s">
        <v>731</v>
      </c>
      <c r="AI93" s="87" t="s">
        <v>731</v>
      </c>
      <c r="AJ93" s="87" t="s">
        <v>731</v>
      </c>
      <c r="AK93" s="87" t="s">
        <v>731</v>
      </c>
      <c r="AL93" s="87" t="s">
        <v>731</v>
      </c>
      <c r="AM93" s="87" t="str">
        <f t="shared" si="17"/>
        <v>NA</v>
      </c>
      <c r="AN93" s="87" t="s">
        <v>731</v>
      </c>
      <c r="AO93" s="87" t="s">
        <v>731</v>
      </c>
      <c r="AP93" s="87" t="s">
        <v>731</v>
      </c>
    </row>
    <row r="94" customFormat="1" customHeight="1" spans="1:42">
      <c r="A94" s="86" t="s">
        <v>1600</v>
      </c>
      <c r="B94" s="91" t="str">
        <f>_xlfn.XLOOKUP(A94,'Product List'!B:B,'Product List'!A:A)</f>
        <v>CPWJ19600</v>
      </c>
      <c r="C94" s="86" t="str">
        <f>_xlfn.XLOOKUP(A94,'Product List'!B:B,'Product List'!L:L)</f>
        <v>跑轮-波波跑轮Pro-22cm(8.6in)</v>
      </c>
      <c r="D94" s="86" t="s">
        <v>731</v>
      </c>
      <c r="E94" s="86" t="s">
        <v>1767</v>
      </c>
      <c r="F94" s="92">
        <v>45931</v>
      </c>
      <c r="G94" s="86" t="s">
        <v>731</v>
      </c>
      <c r="H94" s="86" t="s">
        <v>1775</v>
      </c>
      <c r="I94" s="92" t="s">
        <v>731</v>
      </c>
      <c r="J94" s="86" t="s">
        <v>731</v>
      </c>
      <c r="K94" s="92" t="s">
        <v>731</v>
      </c>
      <c r="L94" s="92">
        <v>45931</v>
      </c>
      <c r="M94" s="93" t="s">
        <v>731</v>
      </c>
      <c r="N94" s="86" t="s">
        <v>731</v>
      </c>
      <c r="O94" s="86">
        <v>10.24</v>
      </c>
      <c r="P94" s="86">
        <v>4.73</v>
      </c>
      <c r="Q94" s="86">
        <v>8.67</v>
      </c>
      <c r="R94" s="86">
        <v>11.82</v>
      </c>
      <c r="S94" s="86">
        <v>5.91</v>
      </c>
      <c r="T94" s="86">
        <v>11.42</v>
      </c>
      <c r="U94" s="86" t="s">
        <v>731</v>
      </c>
      <c r="V94" s="86" t="s">
        <v>731</v>
      </c>
      <c r="W94" s="86" t="s">
        <v>731</v>
      </c>
      <c r="X94" s="86">
        <v>26</v>
      </c>
      <c r="Y94" s="86">
        <v>12</v>
      </c>
      <c r="Z94" s="86">
        <v>22</v>
      </c>
      <c r="AA94" s="86">
        <v>30</v>
      </c>
      <c r="AB94" s="86">
        <v>15</v>
      </c>
      <c r="AC94" s="86">
        <v>29</v>
      </c>
      <c r="AD94" s="86" t="s">
        <v>731</v>
      </c>
      <c r="AE94" s="86" t="s">
        <v>731</v>
      </c>
      <c r="AF94" s="86" t="s">
        <v>731</v>
      </c>
      <c r="AG94" s="87" t="s">
        <v>731</v>
      </c>
      <c r="AH94" s="87" t="s">
        <v>731</v>
      </c>
      <c r="AI94" s="87" t="s">
        <v>731</v>
      </c>
      <c r="AJ94" s="87" t="s">
        <v>731</v>
      </c>
      <c r="AK94" s="87" t="s">
        <v>731</v>
      </c>
      <c r="AL94" s="87" t="s">
        <v>731</v>
      </c>
      <c r="AM94" s="87" t="str">
        <f t="shared" si="17"/>
        <v>NA</v>
      </c>
      <c r="AN94" s="87" t="s">
        <v>731</v>
      </c>
      <c r="AO94" s="87" t="s">
        <v>731</v>
      </c>
      <c r="AP94" s="87" t="s">
        <v>731</v>
      </c>
    </row>
    <row r="95" customHeight="1" spans="1:42">
      <c r="A95" s="86" t="s">
        <v>1603</v>
      </c>
      <c r="B95" s="91" t="str">
        <f>_xlfn.XLOOKUP(A95,'Product List'!B:B,'Product List'!A:A)</f>
        <v>CPWJ216002YE</v>
      </c>
      <c r="C95" s="86" t="str">
        <f>_xlfn.XLOOKUP(A95,'Product List'!B:B,'Product List'!L:L)</f>
        <v>躲避屋-陶瓷沙发椅</v>
      </c>
      <c r="D95" s="86">
        <v>30</v>
      </c>
      <c r="E95" s="86" t="s">
        <v>1767</v>
      </c>
      <c r="F95" s="92">
        <v>45931</v>
      </c>
      <c r="G95" s="86" t="s">
        <v>1789</v>
      </c>
      <c r="H95" s="86" t="s">
        <v>1775</v>
      </c>
      <c r="I95" s="92" t="s">
        <v>731</v>
      </c>
      <c r="J95" s="86" t="s">
        <v>731</v>
      </c>
      <c r="K95" s="92" t="s">
        <v>731</v>
      </c>
      <c r="L95" s="92">
        <v>45931</v>
      </c>
      <c r="M95" s="93" t="s">
        <v>731</v>
      </c>
      <c r="N95" s="86" t="s">
        <v>731</v>
      </c>
      <c r="O95" s="86">
        <v>6.74</v>
      </c>
      <c r="P95" s="86">
        <v>4.14</v>
      </c>
      <c r="Q95" s="86">
        <v>2.68</v>
      </c>
      <c r="R95" s="86">
        <v>8.67</v>
      </c>
      <c r="S95" s="86">
        <v>6.3</v>
      </c>
      <c r="T95" s="86">
        <v>4.73</v>
      </c>
      <c r="U95" s="86">
        <f t="shared" ref="U95:W95" si="26">IFERROR(ROUNDUP(AD95/2.54,2),"NA")</f>
        <v>27.77</v>
      </c>
      <c r="V95" s="86">
        <f t="shared" si="26"/>
        <v>18.91</v>
      </c>
      <c r="W95" s="86">
        <f t="shared" si="26"/>
        <v>16.55</v>
      </c>
      <c r="X95" s="86">
        <v>85</v>
      </c>
      <c r="Y95" s="86">
        <v>10.5</v>
      </c>
      <c r="Z95" s="86">
        <v>6.8</v>
      </c>
      <c r="AA95" s="86">
        <v>22</v>
      </c>
      <c r="AB95" s="86">
        <v>16</v>
      </c>
      <c r="AC95" s="86">
        <v>12</v>
      </c>
      <c r="AD95" s="86">
        <f>_xlfn.XLOOKUP(G95,'Case Type'!A:A,'Case Type'!E:E)</f>
        <v>70.52</v>
      </c>
      <c r="AE95" s="86">
        <f>_xlfn.XLOOKUP(G95,'Case Type'!A:A,'Case Type'!F:F)</f>
        <v>48.01</v>
      </c>
      <c r="AF95" s="86">
        <f>_xlfn.XLOOKUP(G95,'Case Type'!A:A,'Case Type'!G:G)</f>
        <v>42.02</v>
      </c>
      <c r="AG95" s="87">
        <v>454.5</v>
      </c>
      <c r="AH95" s="87">
        <v>16.04</v>
      </c>
      <c r="AI95" s="87" t="s">
        <v>731</v>
      </c>
      <c r="AJ95" s="87" t="s">
        <v>731</v>
      </c>
      <c r="AK95" s="87" t="s">
        <v>731</v>
      </c>
      <c r="AL95" s="87" t="s">
        <v>731</v>
      </c>
      <c r="AM95" s="87">
        <f t="shared" si="17"/>
        <v>0.142265651704</v>
      </c>
      <c r="AN95" s="87" t="s">
        <v>731</v>
      </c>
      <c r="AO95" s="87" t="s">
        <v>731</v>
      </c>
      <c r="AP95" s="87" t="s">
        <v>731</v>
      </c>
    </row>
    <row r="96" customFormat="1" customHeight="1" spans="1:42">
      <c r="A96" s="86" t="s">
        <v>605</v>
      </c>
      <c r="B96" s="91" t="str">
        <f>_xlfn.XLOOKUP(A96,'Product List'!B:B,'Product List'!A:A)</f>
        <v>HL-2</v>
      </c>
      <c r="C96" s="86" t="str">
        <f>_xlfn.XLOOKUP(A96,'Product List'!B:B,'Product List'!L:L)</f>
        <v>笼子-现代观景笼100cm</v>
      </c>
      <c r="D96" s="86" t="s">
        <v>731</v>
      </c>
      <c r="E96" s="86" t="s">
        <v>1767</v>
      </c>
      <c r="F96" s="92">
        <v>45931</v>
      </c>
      <c r="G96" s="86" t="s">
        <v>731</v>
      </c>
      <c r="H96" s="86" t="s">
        <v>1775</v>
      </c>
      <c r="I96" s="92" t="s">
        <v>731</v>
      </c>
      <c r="J96" s="86" t="s">
        <v>731</v>
      </c>
      <c r="K96" s="92" t="s">
        <v>731</v>
      </c>
      <c r="L96" s="92">
        <v>45931</v>
      </c>
      <c r="M96" s="93" t="s">
        <v>731</v>
      </c>
      <c r="N96" s="86" t="s">
        <v>731</v>
      </c>
      <c r="O96" s="86">
        <v>39.38</v>
      </c>
      <c r="P96" s="86">
        <v>19.69</v>
      </c>
      <c r="Q96" s="86">
        <v>19.69</v>
      </c>
      <c r="R96" s="86">
        <v>42.52</v>
      </c>
      <c r="S96" s="86">
        <v>3.94</v>
      </c>
      <c r="T96" s="86">
        <v>27.17</v>
      </c>
      <c r="U96" s="86">
        <v>42.52</v>
      </c>
      <c r="V96" s="86">
        <v>3.94</v>
      </c>
      <c r="W96" s="86">
        <v>27.17</v>
      </c>
      <c r="X96" s="86">
        <v>100</v>
      </c>
      <c r="Y96" s="86">
        <v>50</v>
      </c>
      <c r="Z96" s="86">
        <v>50</v>
      </c>
      <c r="AA96" s="86">
        <v>108</v>
      </c>
      <c r="AB96" s="86">
        <v>10</v>
      </c>
      <c r="AC96" s="86">
        <v>69</v>
      </c>
      <c r="AD96" s="86">
        <v>108</v>
      </c>
      <c r="AE96" s="86">
        <v>10</v>
      </c>
      <c r="AF96" s="86" t="s">
        <v>731</v>
      </c>
      <c r="AG96" s="87" t="s">
        <v>731</v>
      </c>
      <c r="AH96" s="87" t="s">
        <v>731</v>
      </c>
      <c r="AI96" s="87" t="s">
        <v>731</v>
      </c>
      <c r="AJ96" s="87" t="s">
        <v>731</v>
      </c>
      <c r="AK96" s="87" t="s">
        <v>731</v>
      </c>
      <c r="AL96" s="87" t="s">
        <v>731</v>
      </c>
      <c r="AM96" s="87" t="str">
        <f t="shared" si="17"/>
        <v>NA</v>
      </c>
      <c r="AN96" s="87" t="s">
        <v>1801</v>
      </c>
      <c r="AO96" s="87" t="s">
        <v>731</v>
      </c>
      <c r="AP96" s="87" t="s">
        <v>731</v>
      </c>
    </row>
    <row r="97" customHeight="1" spans="1:42">
      <c r="A97" s="86" t="s">
        <v>1615</v>
      </c>
      <c r="B97" s="91" t="str">
        <f>_xlfn.XLOOKUP(A97,'Product List'!B:B,'Product List'!A:A)</f>
        <v>LT-7</v>
      </c>
      <c r="C97" s="86" t="str">
        <f>_xlfn.XLOOKUP(A97,'Product List'!B:B,'Product List'!L:L)</f>
        <v>水壶-花花水壶500ML</v>
      </c>
      <c r="D97" s="86">
        <v>60</v>
      </c>
      <c r="E97" s="86" t="s">
        <v>1767</v>
      </c>
      <c r="F97" s="92">
        <v>45931</v>
      </c>
      <c r="G97" s="86" t="s">
        <v>1761</v>
      </c>
      <c r="H97" s="86" t="s">
        <v>1775</v>
      </c>
      <c r="I97" s="92" t="s">
        <v>731</v>
      </c>
      <c r="J97" s="86" t="s">
        <v>731</v>
      </c>
      <c r="K97" s="92" t="s">
        <v>731</v>
      </c>
      <c r="L97" s="92">
        <v>45931</v>
      </c>
      <c r="M97" s="93" t="s">
        <v>731</v>
      </c>
      <c r="N97" s="86" t="s">
        <v>731</v>
      </c>
      <c r="O97" s="86">
        <v>3.98</v>
      </c>
      <c r="P97" s="86">
        <v>3.31</v>
      </c>
      <c r="Q97" s="86">
        <v>8.51</v>
      </c>
      <c r="R97" s="86">
        <v>4.97</v>
      </c>
      <c r="S97" s="86">
        <v>10.48</v>
      </c>
      <c r="T97" s="86">
        <v>3.31</v>
      </c>
      <c r="U97" s="86">
        <f t="shared" ref="U97:W97" si="27">IFERROR(ROUNDUP(AD97/2.54,2),"NA")</f>
        <v>24</v>
      </c>
      <c r="V97" s="86">
        <f t="shared" si="27"/>
        <v>20</v>
      </c>
      <c r="W97" s="86">
        <f t="shared" si="27"/>
        <v>20</v>
      </c>
      <c r="X97" s="86">
        <v>85</v>
      </c>
      <c r="Y97" s="86">
        <v>8.4</v>
      </c>
      <c r="Z97" s="86">
        <v>21.6</v>
      </c>
      <c r="AA97" s="86">
        <v>12.6</v>
      </c>
      <c r="AB97" s="86">
        <v>26.6</v>
      </c>
      <c r="AC97" s="86">
        <v>8.4</v>
      </c>
      <c r="AD97" s="86">
        <f>_xlfn.XLOOKUP(G97,'Case Type'!A:A,'Case Type'!E:E)</f>
        <v>60.96</v>
      </c>
      <c r="AE97" s="86">
        <f>_xlfn.XLOOKUP(G97,'Case Type'!A:A,'Case Type'!F:F)</f>
        <v>50.8</v>
      </c>
      <c r="AF97" s="86">
        <f>_xlfn.XLOOKUP(G97,'Case Type'!A:A,'Case Type'!G:G)</f>
        <v>50.8</v>
      </c>
      <c r="AG97" s="87">
        <v>100</v>
      </c>
      <c r="AH97" s="87">
        <v>3.53</v>
      </c>
      <c r="AI97" s="87">
        <v>7.3</v>
      </c>
      <c r="AJ97" s="87">
        <v>257.5</v>
      </c>
      <c r="AK97" s="87">
        <v>8.6</v>
      </c>
      <c r="AL97" s="87">
        <v>303.36</v>
      </c>
      <c r="AM97" s="87">
        <f t="shared" si="17"/>
        <v>0.1573158144</v>
      </c>
      <c r="AN97" s="87" t="s">
        <v>1777</v>
      </c>
      <c r="AO97" s="87" t="s">
        <v>731</v>
      </c>
      <c r="AP97" s="87" t="s">
        <v>731</v>
      </c>
    </row>
    <row r="98" customHeight="1" spans="1:42">
      <c r="A98" s="86" t="s">
        <v>1619</v>
      </c>
      <c r="B98" s="91" t="str">
        <f>_xlfn.XLOOKUP(A98,'Product List'!B:B,'Product List'!A:A)</f>
        <v>LT-7</v>
      </c>
      <c r="C98" s="86" t="str">
        <f>_xlfn.XLOOKUP(A98,'Product List'!B:B,'Product List'!L:L)</f>
        <v>水壶-花花水壶500ML</v>
      </c>
      <c r="D98" s="86">
        <v>60</v>
      </c>
      <c r="E98" s="86" t="s">
        <v>1767</v>
      </c>
      <c r="F98" s="92">
        <v>45931</v>
      </c>
      <c r="G98" s="86" t="s">
        <v>1761</v>
      </c>
      <c r="H98" s="86" t="s">
        <v>1775</v>
      </c>
      <c r="I98" s="92" t="s">
        <v>731</v>
      </c>
      <c r="J98" s="86" t="s">
        <v>731</v>
      </c>
      <c r="K98" s="92" t="s">
        <v>731</v>
      </c>
      <c r="L98" s="92">
        <v>45931</v>
      </c>
      <c r="M98" s="93" t="s">
        <v>731</v>
      </c>
      <c r="N98" s="86" t="s">
        <v>731</v>
      </c>
      <c r="O98" s="86">
        <v>3.98</v>
      </c>
      <c r="P98" s="86">
        <v>3.31</v>
      </c>
      <c r="Q98" s="86">
        <v>8.51</v>
      </c>
      <c r="R98" s="86">
        <v>4.97</v>
      </c>
      <c r="S98" s="86">
        <v>10.48</v>
      </c>
      <c r="T98" s="86">
        <v>3.31</v>
      </c>
      <c r="U98" s="86">
        <f t="shared" ref="U98:W98" si="28">IFERROR(ROUNDUP(AD98/2.54,2),"NA")</f>
        <v>24</v>
      </c>
      <c r="V98" s="86">
        <f t="shared" si="28"/>
        <v>20</v>
      </c>
      <c r="W98" s="86">
        <f t="shared" si="28"/>
        <v>20</v>
      </c>
      <c r="X98" s="86">
        <v>85</v>
      </c>
      <c r="Y98" s="86">
        <v>8.4</v>
      </c>
      <c r="Z98" s="86">
        <v>21.6</v>
      </c>
      <c r="AA98" s="86">
        <v>12.6</v>
      </c>
      <c r="AB98" s="86">
        <v>26.6</v>
      </c>
      <c r="AC98" s="86">
        <v>8.4</v>
      </c>
      <c r="AD98" s="86">
        <f>_xlfn.XLOOKUP(G98,'Case Type'!A:A,'Case Type'!E:E)</f>
        <v>60.96</v>
      </c>
      <c r="AE98" s="86">
        <f>_xlfn.XLOOKUP(G98,'Case Type'!A:A,'Case Type'!F:F)</f>
        <v>50.8</v>
      </c>
      <c r="AF98" s="86">
        <f>_xlfn.XLOOKUP(G98,'Case Type'!A:A,'Case Type'!G:G)</f>
        <v>50.8</v>
      </c>
      <c r="AG98" s="87">
        <v>100</v>
      </c>
      <c r="AH98" s="87">
        <v>3.53</v>
      </c>
      <c r="AI98" s="87">
        <v>7.3</v>
      </c>
      <c r="AJ98" s="87">
        <v>257.5</v>
      </c>
      <c r="AK98" s="87">
        <v>8.6</v>
      </c>
      <c r="AL98" s="87">
        <v>303.36</v>
      </c>
      <c r="AM98" s="87">
        <f t="shared" si="17"/>
        <v>0.1573158144</v>
      </c>
      <c r="AN98" s="87" t="s">
        <v>1777</v>
      </c>
      <c r="AO98" s="87" t="s">
        <v>731</v>
      </c>
      <c r="AP98" s="87" t="s">
        <v>731</v>
      </c>
    </row>
    <row r="99" customFormat="1" customHeight="1" spans="1:42">
      <c r="A99" s="86" t="s">
        <v>1118</v>
      </c>
      <c r="B99" s="91" t="str">
        <f>_xlfn.XLOOKUP(A99,'Product List'!B:B,'Product List'!A:A)</f>
        <v>RJ121</v>
      </c>
      <c r="C99" s="86" t="str">
        <f>_xlfn.XLOOKUP(A99,'Product List'!B:B,'Product List'!L:L)</f>
        <v>兔用-三角厕所</v>
      </c>
      <c r="D99" s="86" t="s">
        <v>731</v>
      </c>
      <c r="E99" s="86" t="s">
        <v>1767</v>
      </c>
      <c r="F99" s="92">
        <v>45931</v>
      </c>
      <c r="G99" s="86" t="s">
        <v>731</v>
      </c>
      <c r="H99" s="86" t="s">
        <v>1775</v>
      </c>
      <c r="I99" s="92" t="s">
        <v>731</v>
      </c>
      <c r="J99" s="86" t="s">
        <v>731</v>
      </c>
      <c r="K99" s="92" t="s">
        <v>731</v>
      </c>
      <c r="L99" s="92">
        <v>45931</v>
      </c>
      <c r="M99" s="93" t="s">
        <v>731</v>
      </c>
      <c r="N99" s="86" t="s">
        <v>731</v>
      </c>
      <c r="O99" s="86">
        <v>9.45</v>
      </c>
      <c r="P99" s="86">
        <v>7.88</v>
      </c>
      <c r="Q99" s="86">
        <v>4.34</v>
      </c>
      <c r="R99" s="86">
        <v>9.45</v>
      </c>
      <c r="S99" s="86">
        <v>7.88</v>
      </c>
      <c r="T99" s="86">
        <v>4.34</v>
      </c>
      <c r="U99" s="86">
        <v>16.93</v>
      </c>
      <c r="V99" s="86">
        <v>16.93</v>
      </c>
      <c r="W99" s="86">
        <v>18.12</v>
      </c>
      <c r="X99" s="86">
        <v>24</v>
      </c>
      <c r="Y99" s="86">
        <v>20</v>
      </c>
      <c r="Z99" s="86">
        <v>11</v>
      </c>
      <c r="AA99" s="86">
        <v>24</v>
      </c>
      <c r="AB99" s="86">
        <v>20</v>
      </c>
      <c r="AC99" s="86">
        <v>11</v>
      </c>
      <c r="AD99" s="86">
        <v>43</v>
      </c>
      <c r="AE99" s="86">
        <v>43</v>
      </c>
      <c r="AF99" s="86" t="s">
        <v>731</v>
      </c>
      <c r="AG99" s="87" t="s">
        <v>731</v>
      </c>
      <c r="AH99" s="87" t="s">
        <v>731</v>
      </c>
      <c r="AI99" s="87" t="s">
        <v>731</v>
      </c>
      <c r="AJ99" s="87" t="s">
        <v>731</v>
      </c>
      <c r="AK99" s="87" t="s">
        <v>731</v>
      </c>
      <c r="AL99" s="87" t="s">
        <v>731</v>
      </c>
      <c r="AM99" s="87" t="str">
        <f t="shared" si="17"/>
        <v>NA</v>
      </c>
      <c r="AN99" s="87" t="s">
        <v>731</v>
      </c>
      <c r="AO99" s="87" t="s">
        <v>731</v>
      </c>
      <c r="AP99" s="87" t="s">
        <v>731</v>
      </c>
    </row>
    <row r="100" customFormat="1" customHeight="1" spans="1:42">
      <c r="A100" s="86" t="s">
        <v>580</v>
      </c>
      <c r="B100" s="91" t="str">
        <f>_xlfn.XLOOKUP(A100,'Product List'!B:B,'Product List'!A:A)</f>
        <v>RJ122</v>
      </c>
      <c r="C100" s="86" t="str">
        <f>_xlfn.XLOOKUP(A100,'Product List'!B:B,'Product List'!L:L)</f>
        <v>兔用-简约草架 蓝色</v>
      </c>
      <c r="D100" s="86" t="s">
        <v>731</v>
      </c>
      <c r="E100" s="86" t="s">
        <v>1767</v>
      </c>
      <c r="F100" s="92">
        <v>45931</v>
      </c>
      <c r="G100" s="86" t="s">
        <v>731</v>
      </c>
      <c r="H100" s="86" t="s">
        <v>1775</v>
      </c>
      <c r="I100" s="92" t="s">
        <v>731</v>
      </c>
      <c r="J100" s="86" t="s">
        <v>731</v>
      </c>
      <c r="K100" s="92" t="s">
        <v>731</v>
      </c>
      <c r="L100" s="92">
        <v>45931</v>
      </c>
      <c r="M100" s="93" t="s">
        <v>731</v>
      </c>
      <c r="N100" s="86" t="s">
        <v>731</v>
      </c>
      <c r="O100" s="86">
        <v>5.91</v>
      </c>
      <c r="P100" s="86">
        <v>6.7</v>
      </c>
      <c r="Q100" s="86">
        <v>7.09</v>
      </c>
      <c r="R100" s="86">
        <v>5.91</v>
      </c>
      <c r="S100" s="86">
        <v>6.7</v>
      </c>
      <c r="T100" s="86">
        <v>7.09</v>
      </c>
      <c r="U100" s="86">
        <v>21.86</v>
      </c>
      <c r="V100" s="86">
        <v>20.48</v>
      </c>
      <c r="W100" s="86">
        <v>18.51</v>
      </c>
      <c r="X100" s="86">
        <v>15</v>
      </c>
      <c r="Y100" s="86">
        <v>17</v>
      </c>
      <c r="Z100" s="86">
        <v>18</v>
      </c>
      <c r="AA100" s="86">
        <v>15</v>
      </c>
      <c r="AB100" s="86">
        <v>17</v>
      </c>
      <c r="AC100" s="86">
        <v>18</v>
      </c>
      <c r="AD100" s="86">
        <v>55.5</v>
      </c>
      <c r="AE100" s="86">
        <v>52</v>
      </c>
      <c r="AF100" s="86" t="s">
        <v>731</v>
      </c>
      <c r="AG100" s="87">
        <v>390</v>
      </c>
      <c r="AH100" s="87">
        <v>13.76</v>
      </c>
      <c r="AI100" s="87" t="s">
        <v>731</v>
      </c>
      <c r="AJ100" s="87" t="s">
        <v>731</v>
      </c>
      <c r="AK100" s="87" t="s">
        <v>731</v>
      </c>
      <c r="AL100" s="87" t="s">
        <v>731</v>
      </c>
      <c r="AM100" s="87" t="str">
        <f t="shared" si="17"/>
        <v>NA</v>
      </c>
      <c r="AN100" s="87" t="s">
        <v>1802</v>
      </c>
      <c r="AO100" s="87" t="s">
        <v>731</v>
      </c>
      <c r="AP100" s="87" t="s">
        <v>731</v>
      </c>
    </row>
    <row r="101" customFormat="1" customHeight="1" spans="1:42">
      <c r="A101" s="86" t="s">
        <v>1621</v>
      </c>
      <c r="B101" s="91" t="str">
        <f>_xlfn.XLOOKUP(A101,'Product List'!B:B,'Product List'!A:A)</f>
        <v>RJ122</v>
      </c>
      <c r="C101" s="86" t="str">
        <f>_xlfn.XLOOKUP(A101,'Product List'!B:B,'Product List'!L:L)</f>
        <v>食具-小宠物2合1固定草架食盒</v>
      </c>
      <c r="D101" s="86" t="s">
        <v>731</v>
      </c>
      <c r="E101" s="86" t="s">
        <v>1767</v>
      </c>
      <c r="F101" s="92">
        <v>45931</v>
      </c>
      <c r="G101" s="86" t="s">
        <v>731</v>
      </c>
      <c r="H101" s="86" t="s">
        <v>1775</v>
      </c>
      <c r="I101" s="92" t="s">
        <v>731</v>
      </c>
      <c r="J101" s="86" t="s">
        <v>731</v>
      </c>
      <c r="K101" s="92" t="s">
        <v>731</v>
      </c>
      <c r="L101" s="92">
        <v>45931</v>
      </c>
      <c r="M101" s="93" t="s">
        <v>731</v>
      </c>
      <c r="N101" s="86" t="s">
        <v>731</v>
      </c>
      <c r="O101" s="86">
        <v>5.91</v>
      </c>
      <c r="P101" s="86">
        <v>6.7</v>
      </c>
      <c r="Q101" s="86">
        <v>7.09</v>
      </c>
      <c r="R101" s="86">
        <v>5.91</v>
      </c>
      <c r="S101" s="86">
        <v>6.7</v>
      </c>
      <c r="T101" s="86">
        <v>7.09</v>
      </c>
      <c r="U101" s="86">
        <v>21.86</v>
      </c>
      <c r="V101" s="86">
        <v>20.48</v>
      </c>
      <c r="W101" s="86">
        <v>18.51</v>
      </c>
      <c r="X101" s="86">
        <v>15</v>
      </c>
      <c r="Y101" s="86">
        <v>17</v>
      </c>
      <c r="Z101" s="86">
        <v>18</v>
      </c>
      <c r="AA101" s="86">
        <v>15</v>
      </c>
      <c r="AB101" s="86">
        <v>17</v>
      </c>
      <c r="AC101" s="86">
        <v>18</v>
      </c>
      <c r="AD101" s="86">
        <v>55.5</v>
      </c>
      <c r="AE101" s="86">
        <v>52</v>
      </c>
      <c r="AF101" s="86" t="s">
        <v>731</v>
      </c>
      <c r="AG101" s="87">
        <v>390</v>
      </c>
      <c r="AH101" s="87">
        <v>13.76</v>
      </c>
      <c r="AI101" s="87" t="s">
        <v>731</v>
      </c>
      <c r="AJ101" s="87" t="s">
        <v>731</v>
      </c>
      <c r="AK101" s="87" t="s">
        <v>731</v>
      </c>
      <c r="AL101" s="87" t="s">
        <v>731</v>
      </c>
      <c r="AM101" s="87" t="str">
        <f t="shared" si="17"/>
        <v>NA</v>
      </c>
      <c r="AN101" s="87" t="s">
        <v>1802</v>
      </c>
      <c r="AO101" s="87" t="s">
        <v>731</v>
      </c>
      <c r="AP101" s="87" t="s">
        <v>731</v>
      </c>
    </row>
    <row r="102" customFormat="1" customHeight="1" spans="1:42">
      <c r="A102" s="86" t="s">
        <v>594</v>
      </c>
      <c r="B102" s="91" t="str">
        <f>_xlfn.XLOOKUP(A102,'Product List'!B:B,'Product List'!A:A)</f>
        <v>RJ181</v>
      </c>
      <c r="C102" s="86" t="str">
        <f>_xlfn.XLOOKUP(A102,'Product List'!B:B,'Product List'!L:L)</f>
        <v>兔用-简约草架 粉色</v>
      </c>
      <c r="D102" s="86" t="s">
        <v>731</v>
      </c>
      <c r="E102" s="86" t="s">
        <v>1767</v>
      </c>
      <c r="F102" s="92">
        <v>45931</v>
      </c>
      <c r="G102" s="86" t="s">
        <v>731</v>
      </c>
      <c r="H102" s="86" t="s">
        <v>1775</v>
      </c>
      <c r="I102" s="92" t="s">
        <v>731</v>
      </c>
      <c r="J102" s="86" t="s">
        <v>731</v>
      </c>
      <c r="K102" s="92" t="s">
        <v>731</v>
      </c>
      <c r="L102" s="92">
        <v>45931</v>
      </c>
      <c r="M102" s="93" t="s">
        <v>731</v>
      </c>
      <c r="N102" s="86" t="s">
        <v>731</v>
      </c>
      <c r="O102" s="86">
        <v>9.85</v>
      </c>
      <c r="P102" s="86">
        <v>6.19</v>
      </c>
      <c r="Q102" s="86">
        <v>2.76</v>
      </c>
      <c r="R102" s="86">
        <v>9.85</v>
      </c>
      <c r="S102" s="86">
        <v>6.19</v>
      </c>
      <c r="T102" s="86">
        <v>2.76</v>
      </c>
      <c r="U102" s="86">
        <v>20.87</v>
      </c>
      <c r="V102" s="86">
        <v>15.16</v>
      </c>
      <c r="W102" s="86">
        <v>12.6</v>
      </c>
      <c r="X102" s="86">
        <v>25</v>
      </c>
      <c r="Y102" s="86">
        <v>15.7</v>
      </c>
      <c r="Z102" s="86">
        <v>7</v>
      </c>
      <c r="AA102" s="86">
        <v>25</v>
      </c>
      <c r="AB102" s="86">
        <v>15.7</v>
      </c>
      <c r="AC102" s="86">
        <v>7</v>
      </c>
      <c r="AD102" s="86">
        <v>53</v>
      </c>
      <c r="AE102" s="86">
        <v>38.5</v>
      </c>
      <c r="AF102" s="86" t="s">
        <v>731</v>
      </c>
      <c r="AG102" s="87" t="s">
        <v>731</v>
      </c>
      <c r="AH102" s="87" t="s">
        <v>731</v>
      </c>
      <c r="AI102" s="87" t="s">
        <v>731</v>
      </c>
      <c r="AJ102" s="87" t="s">
        <v>731</v>
      </c>
      <c r="AK102" s="87" t="s">
        <v>731</v>
      </c>
      <c r="AL102" s="87" t="s">
        <v>731</v>
      </c>
      <c r="AM102" s="87" t="str">
        <f t="shared" si="17"/>
        <v>NA</v>
      </c>
      <c r="AN102" s="87" t="s">
        <v>731</v>
      </c>
      <c r="AO102" s="87" t="s">
        <v>731</v>
      </c>
      <c r="AP102" s="87" t="s">
        <v>731</v>
      </c>
    </row>
    <row r="103" customFormat="1" customHeight="1" spans="1:42">
      <c r="A103" s="86" t="s">
        <v>591</v>
      </c>
      <c r="B103" s="91" t="str">
        <f>_xlfn.XLOOKUP(A103,'Product List'!B:B,'Product List'!A:A)</f>
        <v>RJ183</v>
      </c>
      <c r="C103" s="86" t="str">
        <f>_xlfn.XLOOKUP(A103,'Product List'!B:B,'Product List'!L:L)</f>
        <v>兔用-简约食盆 蓝色</v>
      </c>
      <c r="D103" s="86" t="s">
        <v>731</v>
      </c>
      <c r="E103" s="86" t="s">
        <v>1767</v>
      </c>
      <c r="F103" s="92">
        <v>45931</v>
      </c>
      <c r="G103" s="86" t="s">
        <v>731</v>
      </c>
      <c r="H103" s="86" t="s">
        <v>1775</v>
      </c>
      <c r="I103" s="92" t="s">
        <v>731</v>
      </c>
      <c r="J103" s="86" t="s">
        <v>731</v>
      </c>
      <c r="K103" s="92" t="s">
        <v>731</v>
      </c>
      <c r="L103" s="92">
        <v>45931</v>
      </c>
      <c r="M103" s="93" t="s">
        <v>731</v>
      </c>
      <c r="N103" s="86" t="s">
        <v>731</v>
      </c>
      <c r="O103" s="86">
        <v>5.16</v>
      </c>
      <c r="P103" s="86">
        <v>4.53</v>
      </c>
      <c r="Q103" s="86">
        <v>1.97</v>
      </c>
      <c r="R103" s="86">
        <v>5.16</v>
      </c>
      <c r="S103" s="86">
        <v>4.53</v>
      </c>
      <c r="T103" s="86">
        <v>1.97</v>
      </c>
      <c r="U103" s="86">
        <v>14.97</v>
      </c>
      <c r="V103" s="86">
        <v>11.03</v>
      </c>
      <c r="W103" s="86">
        <v>22.45</v>
      </c>
      <c r="X103" s="86">
        <v>13.1</v>
      </c>
      <c r="Y103" s="86">
        <v>11.5</v>
      </c>
      <c r="Z103" s="86">
        <v>5</v>
      </c>
      <c r="AA103" s="86">
        <v>13.1</v>
      </c>
      <c r="AB103" s="86">
        <v>11.5</v>
      </c>
      <c r="AC103" s="86">
        <v>5</v>
      </c>
      <c r="AD103" s="86">
        <v>38</v>
      </c>
      <c r="AE103" s="86">
        <v>28</v>
      </c>
      <c r="AF103" s="86" t="s">
        <v>731</v>
      </c>
      <c r="AG103" s="87" t="s">
        <v>731</v>
      </c>
      <c r="AH103" s="87" t="s">
        <v>731</v>
      </c>
      <c r="AI103" s="87" t="s">
        <v>731</v>
      </c>
      <c r="AJ103" s="87" t="s">
        <v>731</v>
      </c>
      <c r="AK103" s="87" t="s">
        <v>731</v>
      </c>
      <c r="AL103" s="87" t="s">
        <v>731</v>
      </c>
      <c r="AM103" s="87" t="str">
        <f t="shared" si="17"/>
        <v>NA</v>
      </c>
      <c r="AN103" s="87" t="s">
        <v>1803</v>
      </c>
      <c r="AO103" s="87" t="s">
        <v>731</v>
      </c>
      <c r="AP103" s="87" t="s">
        <v>731</v>
      </c>
    </row>
    <row r="104" customFormat="1" customHeight="1" spans="1:42">
      <c r="A104" s="86" t="s">
        <v>1159</v>
      </c>
      <c r="B104" s="91" t="str">
        <f>_xlfn.XLOOKUP(A104,'Product List'!B:B,'Product List'!A:A)</f>
        <v>RJ183</v>
      </c>
      <c r="C104" s="86" t="str">
        <f>_xlfn.XLOOKUP(A104,'Product List'!B:B,'Product List'!L:L)</f>
        <v>兔用-简约食盆 橙色</v>
      </c>
      <c r="D104" s="86" t="s">
        <v>731</v>
      </c>
      <c r="E104" s="86" t="s">
        <v>1767</v>
      </c>
      <c r="F104" s="92">
        <v>45931</v>
      </c>
      <c r="G104" s="86" t="s">
        <v>731</v>
      </c>
      <c r="H104" s="86" t="s">
        <v>1775</v>
      </c>
      <c r="I104" s="92" t="s">
        <v>731</v>
      </c>
      <c r="J104" s="86" t="s">
        <v>731</v>
      </c>
      <c r="K104" s="92" t="s">
        <v>731</v>
      </c>
      <c r="L104" s="92">
        <v>45931</v>
      </c>
      <c r="M104" s="93" t="s">
        <v>731</v>
      </c>
      <c r="N104" s="86" t="s">
        <v>731</v>
      </c>
      <c r="O104" s="86">
        <v>5.16</v>
      </c>
      <c r="P104" s="86">
        <v>4.53</v>
      </c>
      <c r="Q104" s="86">
        <v>1.97</v>
      </c>
      <c r="R104" s="86">
        <v>5.16</v>
      </c>
      <c r="S104" s="86">
        <v>4.53</v>
      </c>
      <c r="T104" s="86">
        <v>1.97</v>
      </c>
      <c r="U104" s="86">
        <v>14.97</v>
      </c>
      <c r="V104" s="86">
        <v>11.03</v>
      </c>
      <c r="W104" s="86">
        <v>22.45</v>
      </c>
      <c r="X104" s="86">
        <v>13.1</v>
      </c>
      <c r="Y104" s="86">
        <v>11.5</v>
      </c>
      <c r="Z104" s="86">
        <v>5</v>
      </c>
      <c r="AA104" s="86">
        <v>13.1</v>
      </c>
      <c r="AB104" s="86">
        <v>11.5</v>
      </c>
      <c r="AC104" s="86">
        <v>5</v>
      </c>
      <c r="AD104" s="86">
        <v>38</v>
      </c>
      <c r="AE104" s="86">
        <v>28</v>
      </c>
      <c r="AF104" s="86" t="s">
        <v>731</v>
      </c>
      <c r="AG104" s="87" t="s">
        <v>731</v>
      </c>
      <c r="AH104" s="87" t="s">
        <v>731</v>
      </c>
      <c r="AI104" s="87" t="s">
        <v>731</v>
      </c>
      <c r="AJ104" s="87" t="s">
        <v>731</v>
      </c>
      <c r="AK104" s="87" t="s">
        <v>731</v>
      </c>
      <c r="AL104" s="87" t="s">
        <v>731</v>
      </c>
      <c r="AM104" s="87" t="str">
        <f t="shared" si="17"/>
        <v>NA</v>
      </c>
      <c r="AN104" s="87" t="s">
        <v>1803</v>
      </c>
      <c r="AO104" s="87" t="s">
        <v>731</v>
      </c>
      <c r="AP104" s="87" t="s">
        <v>731</v>
      </c>
    </row>
    <row r="105" customFormat="1" customHeight="1" spans="1:42">
      <c r="A105" s="86" t="s">
        <v>609</v>
      </c>
      <c r="B105" s="91" t="str">
        <f>_xlfn.XLOOKUP(A105,'Product List'!B:B,'Product List'!A:A)</f>
        <v>RJ186</v>
      </c>
      <c r="C105" s="86" t="str">
        <f>_xlfn.XLOOKUP(A105,'Product List'!B:B,'Product List'!L:L)</f>
        <v>兔用-大号三角厕所 蓝色</v>
      </c>
      <c r="D105" s="86" t="s">
        <v>731</v>
      </c>
      <c r="E105" s="86" t="s">
        <v>1767</v>
      </c>
      <c r="F105" s="92">
        <v>45931</v>
      </c>
      <c r="G105" s="86" t="s">
        <v>731</v>
      </c>
      <c r="H105" s="86" t="s">
        <v>1775</v>
      </c>
      <c r="I105" s="92" t="s">
        <v>731</v>
      </c>
      <c r="J105" s="86" t="s">
        <v>731</v>
      </c>
      <c r="K105" s="92" t="s">
        <v>731</v>
      </c>
      <c r="L105" s="92">
        <v>45931</v>
      </c>
      <c r="M105" s="93" t="s">
        <v>731</v>
      </c>
      <c r="N105" s="86" t="s">
        <v>731</v>
      </c>
      <c r="O105" s="86">
        <v>14.18</v>
      </c>
      <c r="P105" s="86">
        <v>8.67</v>
      </c>
      <c r="Q105" s="86">
        <v>7.09</v>
      </c>
      <c r="R105" s="86">
        <v>14.18</v>
      </c>
      <c r="S105" s="86">
        <v>8.67</v>
      </c>
      <c r="T105" s="86">
        <v>7.09</v>
      </c>
      <c r="U105" s="86">
        <v>13.39</v>
      </c>
      <c r="V105" s="86">
        <v>13.39</v>
      </c>
      <c r="W105" s="86">
        <v>18.51</v>
      </c>
      <c r="X105" s="86">
        <v>36</v>
      </c>
      <c r="Y105" s="86">
        <v>22</v>
      </c>
      <c r="Z105" s="86">
        <v>18</v>
      </c>
      <c r="AA105" s="86">
        <v>36</v>
      </c>
      <c r="AB105" s="86">
        <v>22</v>
      </c>
      <c r="AC105" s="86">
        <v>18</v>
      </c>
      <c r="AD105" s="86">
        <v>34</v>
      </c>
      <c r="AE105" s="86">
        <v>34</v>
      </c>
      <c r="AF105" s="86" t="s">
        <v>731</v>
      </c>
      <c r="AG105" s="87" t="s">
        <v>731</v>
      </c>
      <c r="AH105" s="87" t="s">
        <v>731</v>
      </c>
      <c r="AI105" s="87" t="s">
        <v>731</v>
      </c>
      <c r="AJ105" s="87" t="s">
        <v>731</v>
      </c>
      <c r="AK105" s="87" t="s">
        <v>731</v>
      </c>
      <c r="AL105" s="87" t="s">
        <v>731</v>
      </c>
      <c r="AM105" s="87" t="str">
        <f t="shared" si="17"/>
        <v>NA</v>
      </c>
      <c r="AN105" s="87" t="s">
        <v>731</v>
      </c>
      <c r="AO105" s="87" t="s">
        <v>731</v>
      </c>
      <c r="AP105" s="87" t="s">
        <v>731</v>
      </c>
    </row>
    <row r="106" customHeight="1" spans="1:42">
      <c r="A106" s="86" t="s">
        <v>615</v>
      </c>
      <c r="B106" s="91" t="str">
        <f>_xlfn.XLOOKUP(A106,'Product List'!B:B,'Product List'!A:A)</f>
        <v>RJ510</v>
      </c>
      <c r="C106" s="86" t="str">
        <f>_xlfn.XLOOKUP(A106,'Product List'!B:B,'Product List'!L:L)</f>
        <v>外出笼-水晶外出笼 粉色</v>
      </c>
      <c r="D106" s="86">
        <v>5</v>
      </c>
      <c r="E106" s="86" t="s">
        <v>1767</v>
      </c>
      <c r="F106" s="92">
        <v>45931</v>
      </c>
      <c r="G106" s="86" t="s">
        <v>1766</v>
      </c>
      <c r="H106" s="86" t="s">
        <v>1775</v>
      </c>
      <c r="I106" s="92" t="s">
        <v>731</v>
      </c>
      <c r="J106" s="86" t="s">
        <v>731</v>
      </c>
      <c r="K106" s="92" t="s">
        <v>731</v>
      </c>
      <c r="L106" s="92">
        <v>45931</v>
      </c>
      <c r="M106" s="93" t="s">
        <v>731</v>
      </c>
      <c r="N106" s="86" t="s">
        <v>731</v>
      </c>
      <c r="O106" s="86">
        <v>10.63</v>
      </c>
      <c r="P106" s="86">
        <v>7.88</v>
      </c>
      <c r="Q106" s="86">
        <v>11.03</v>
      </c>
      <c r="R106" s="86">
        <v>10.95</v>
      </c>
      <c r="S106" s="86">
        <v>8.08</v>
      </c>
      <c r="T106" s="86">
        <v>11.42</v>
      </c>
      <c r="U106" s="86">
        <f t="shared" ref="U106:W106" si="29">IFERROR(ROUNDUP(AD106/2.54,2),"NA")</f>
        <v>24</v>
      </c>
      <c r="V106" s="86">
        <f t="shared" si="29"/>
        <v>20</v>
      </c>
      <c r="W106" s="86">
        <f t="shared" si="29"/>
        <v>14</v>
      </c>
      <c r="X106" s="86">
        <v>85</v>
      </c>
      <c r="Y106" s="86">
        <v>20</v>
      </c>
      <c r="Z106" s="86">
        <v>28</v>
      </c>
      <c r="AA106" s="86">
        <v>27.8</v>
      </c>
      <c r="AB106" s="86">
        <v>20.5</v>
      </c>
      <c r="AC106" s="86">
        <v>29</v>
      </c>
      <c r="AD106" s="86">
        <f>_xlfn.XLOOKUP(G106,'Case Type'!A:A,'Case Type'!E:E)</f>
        <v>60.96</v>
      </c>
      <c r="AE106" s="86">
        <f>_xlfn.XLOOKUP(G106,'Case Type'!A:A,'Case Type'!F:F)</f>
        <v>50.8</v>
      </c>
      <c r="AF106" s="86">
        <f>_xlfn.XLOOKUP(G106,'Case Type'!A:A,'Case Type'!G:G)</f>
        <v>35.56</v>
      </c>
      <c r="AG106" s="87">
        <v>1090</v>
      </c>
      <c r="AH106" s="87">
        <v>38.45</v>
      </c>
      <c r="AI106" s="87" t="s">
        <v>731</v>
      </c>
      <c r="AJ106" s="87" t="s">
        <v>731</v>
      </c>
      <c r="AK106" s="87" t="s">
        <v>731</v>
      </c>
      <c r="AL106" s="87" t="s">
        <v>731</v>
      </c>
      <c r="AM106" s="87">
        <f t="shared" si="17"/>
        <v>0.11012107008</v>
      </c>
      <c r="AN106" s="87" t="s">
        <v>1770</v>
      </c>
      <c r="AO106" s="87" t="s">
        <v>731</v>
      </c>
      <c r="AP106" s="87" t="s">
        <v>731</v>
      </c>
    </row>
    <row r="107" customHeight="1" spans="1:42">
      <c r="A107" s="86" t="s">
        <v>616</v>
      </c>
      <c r="B107" s="91" t="str">
        <f>_xlfn.XLOOKUP(A107,'Product List'!B:B,'Product List'!A:A)</f>
        <v>RJ510</v>
      </c>
      <c r="C107" s="86" t="str">
        <f>_xlfn.XLOOKUP(A107,'Product List'!B:B,'Product List'!L:L)</f>
        <v>外出笼-水晶外出笼 白色</v>
      </c>
      <c r="D107" s="86">
        <v>5</v>
      </c>
      <c r="E107" s="86" t="s">
        <v>1767</v>
      </c>
      <c r="F107" s="92">
        <v>45931</v>
      </c>
      <c r="G107" s="86" t="s">
        <v>1766</v>
      </c>
      <c r="H107" s="86" t="s">
        <v>1775</v>
      </c>
      <c r="I107" s="92" t="s">
        <v>731</v>
      </c>
      <c r="J107" s="86" t="s">
        <v>731</v>
      </c>
      <c r="K107" s="92" t="s">
        <v>731</v>
      </c>
      <c r="L107" s="92">
        <v>45931</v>
      </c>
      <c r="M107" s="93" t="s">
        <v>731</v>
      </c>
      <c r="N107" s="86" t="s">
        <v>731</v>
      </c>
      <c r="O107" s="86">
        <v>10.63</v>
      </c>
      <c r="P107" s="86">
        <v>7.88</v>
      </c>
      <c r="Q107" s="86">
        <v>11.03</v>
      </c>
      <c r="R107" s="86">
        <v>10.95</v>
      </c>
      <c r="S107" s="86">
        <v>8.08</v>
      </c>
      <c r="T107" s="86">
        <v>11.42</v>
      </c>
      <c r="U107" s="86">
        <f t="shared" ref="U107:W107" si="30">IFERROR(ROUNDUP(AD107/2.54,2),"NA")</f>
        <v>24</v>
      </c>
      <c r="V107" s="86">
        <f t="shared" si="30"/>
        <v>20</v>
      </c>
      <c r="W107" s="86">
        <f t="shared" si="30"/>
        <v>14</v>
      </c>
      <c r="X107" s="86">
        <v>85</v>
      </c>
      <c r="Y107" s="86">
        <v>20</v>
      </c>
      <c r="Z107" s="86">
        <v>28</v>
      </c>
      <c r="AA107" s="86">
        <v>27.8</v>
      </c>
      <c r="AB107" s="86">
        <v>20.5</v>
      </c>
      <c r="AC107" s="86">
        <v>29</v>
      </c>
      <c r="AD107" s="86">
        <f>_xlfn.XLOOKUP(G107,'Case Type'!A:A,'Case Type'!E:E)</f>
        <v>60.96</v>
      </c>
      <c r="AE107" s="86">
        <f>_xlfn.XLOOKUP(G107,'Case Type'!A:A,'Case Type'!F:F)</f>
        <v>50.8</v>
      </c>
      <c r="AF107" s="86">
        <f>_xlfn.XLOOKUP(G107,'Case Type'!A:A,'Case Type'!G:G)</f>
        <v>35.56</v>
      </c>
      <c r="AG107" s="87">
        <v>1090</v>
      </c>
      <c r="AH107" s="87">
        <v>38.45</v>
      </c>
      <c r="AI107" s="87" t="s">
        <v>731</v>
      </c>
      <c r="AJ107" s="87" t="s">
        <v>731</v>
      </c>
      <c r="AK107" s="87" t="s">
        <v>731</v>
      </c>
      <c r="AL107" s="87" t="s">
        <v>731</v>
      </c>
      <c r="AM107" s="87">
        <f t="shared" si="17"/>
        <v>0.11012107008</v>
      </c>
      <c r="AN107" s="87" t="s">
        <v>1770</v>
      </c>
      <c r="AO107" s="87" t="s">
        <v>731</v>
      </c>
      <c r="AP107" s="87" t="s">
        <v>731</v>
      </c>
    </row>
    <row r="108" customFormat="1" customHeight="1" spans="1:42">
      <c r="A108" s="86" t="s">
        <v>614</v>
      </c>
      <c r="B108" s="91" t="str">
        <f>_xlfn.XLOOKUP(A108,'Product List'!B:B,'Product List'!A:A)</f>
        <v>RJ714</v>
      </c>
      <c r="C108" s="86" t="str">
        <f>_xlfn.XLOOKUP(A108,'Product List'!B:B,'Product List'!L:L)</f>
        <v>外出笼-XL花园外出笼</v>
      </c>
      <c r="D108" s="86" t="s">
        <v>731</v>
      </c>
      <c r="E108" s="86" t="s">
        <v>1767</v>
      </c>
      <c r="F108" s="92">
        <v>45931</v>
      </c>
      <c r="G108" s="86" t="s">
        <v>731</v>
      </c>
      <c r="H108" s="86" t="s">
        <v>1775</v>
      </c>
      <c r="I108" s="92" t="s">
        <v>731</v>
      </c>
      <c r="J108" s="86" t="s">
        <v>731</v>
      </c>
      <c r="K108" s="92" t="s">
        <v>731</v>
      </c>
      <c r="L108" s="92">
        <v>45931</v>
      </c>
      <c r="M108" s="93" t="s">
        <v>731</v>
      </c>
      <c r="N108" s="86" t="s">
        <v>731</v>
      </c>
      <c r="O108" s="86">
        <v>20.08</v>
      </c>
      <c r="P108" s="86">
        <v>14.18</v>
      </c>
      <c r="Q108" s="86">
        <v>9.45</v>
      </c>
      <c r="R108" s="86">
        <v>14.57</v>
      </c>
      <c r="S108" s="86">
        <v>6.5</v>
      </c>
      <c r="T108" s="86">
        <v>20.08</v>
      </c>
      <c r="U108" s="86">
        <v>20.87</v>
      </c>
      <c r="V108" s="86">
        <v>15.36</v>
      </c>
      <c r="W108" s="86">
        <v>27.56</v>
      </c>
      <c r="X108" s="86">
        <v>51</v>
      </c>
      <c r="Y108" s="86">
        <v>36</v>
      </c>
      <c r="Z108" s="86">
        <v>24</v>
      </c>
      <c r="AA108" s="86">
        <v>37</v>
      </c>
      <c r="AB108" s="86">
        <v>16.5</v>
      </c>
      <c r="AC108" s="86">
        <v>51</v>
      </c>
      <c r="AD108" s="86">
        <v>53</v>
      </c>
      <c r="AE108" s="86">
        <v>39</v>
      </c>
      <c r="AF108" s="86" t="s">
        <v>731</v>
      </c>
      <c r="AG108" s="87">
        <v>2365</v>
      </c>
      <c r="AH108" s="87">
        <v>83.43</v>
      </c>
      <c r="AI108" s="87" t="s">
        <v>731</v>
      </c>
      <c r="AJ108" s="87" t="s">
        <v>731</v>
      </c>
      <c r="AK108" s="87" t="s">
        <v>731</v>
      </c>
      <c r="AL108" s="87" t="s">
        <v>731</v>
      </c>
      <c r="AM108" s="87" t="str">
        <f t="shared" si="17"/>
        <v>NA</v>
      </c>
      <c r="AN108" s="87" t="s">
        <v>1770</v>
      </c>
      <c r="AO108" s="87" t="s">
        <v>731</v>
      </c>
      <c r="AP108" s="87" t="s">
        <v>731</v>
      </c>
    </row>
    <row r="109" customFormat="1" customHeight="1" spans="1:42">
      <c r="A109" s="86" t="s">
        <v>1196</v>
      </c>
      <c r="B109" s="91" t="str">
        <f>_xlfn.XLOOKUP(A109,'Product List'!B:B,'Product List'!A:A)</f>
        <v>RJ714</v>
      </c>
      <c r="C109" s="86" t="str">
        <f>_xlfn.XLOOKUP(A109,'Product List'!B:B,'Product List'!L:L)</f>
        <v>外出笼-XL花园外出笼 蓝色</v>
      </c>
      <c r="D109" s="86" t="s">
        <v>731</v>
      </c>
      <c r="E109" s="86" t="s">
        <v>1767</v>
      </c>
      <c r="F109" s="92">
        <v>45931</v>
      </c>
      <c r="G109" s="86" t="s">
        <v>731</v>
      </c>
      <c r="H109" s="86" t="s">
        <v>1775</v>
      </c>
      <c r="I109" s="92" t="s">
        <v>731</v>
      </c>
      <c r="J109" s="86" t="s">
        <v>731</v>
      </c>
      <c r="K109" s="92" t="s">
        <v>731</v>
      </c>
      <c r="L109" s="92">
        <v>45931</v>
      </c>
      <c r="M109" s="93" t="s">
        <v>731</v>
      </c>
      <c r="N109" s="86" t="s">
        <v>731</v>
      </c>
      <c r="O109" s="86">
        <v>20.08</v>
      </c>
      <c r="P109" s="86">
        <v>14.18</v>
      </c>
      <c r="Q109" s="86">
        <v>9.45</v>
      </c>
      <c r="R109" s="86">
        <v>14.57</v>
      </c>
      <c r="S109" s="86">
        <v>6.5</v>
      </c>
      <c r="T109" s="86">
        <v>20.08</v>
      </c>
      <c r="U109" s="86">
        <v>20.87</v>
      </c>
      <c r="V109" s="86">
        <v>15.36</v>
      </c>
      <c r="W109" s="86">
        <v>27.56</v>
      </c>
      <c r="X109" s="86">
        <v>51</v>
      </c>
      <c r="Y109" s="86">
        <v>36</v>
      </c>
      <c r="Z109" s="86">
        <v>24</v>
      </c>
      <c r="AA109" s="86">
        <v>37</v>
      </c>
      <c r="AB109" s="86">
        <v>16.5</v>
      </c>
      <c r="AC109" s="86">
        <v>51</v>
      </c>
      <c r="AD109" s="86">
        <v>53</v>
      </c>
      <c r="AE109" s="86">
        <v>39</v>
      </c>
      <c r="AF109" s="86" t="s">
        <v>731</v>
      </c>
      <c r="AG109" s="87">
        <v>2365</v>
      </c>
      <c r="AH109" s="87">
        <v>83.43</v>
      </c>
      <c r="AI109" s="87" t="s">
        <v>731</v>
      </c>
      <c r="AJ109" s="87" t="s">
        <v>731</v>
      </c>
      <c r="AK109" s="87" t="s">
        <v>731</v>
      </c>
      <c r="AL109" s="87" t="s">
        <v>731</v>
      </c>
      <c r="AM109" s="87" t="str">
        <f t="shared" si="17"/>
        <v>NA</v>
      </c>
      <c r="AN109" s="87" t="s">
        <v>1770</v>
      </c>
      <c r="AO109" s="87" t="s">
        <v>731</v>
      </c>
      <c r="AP109" s="87" t="s">
        <v>731</v>
      </c>
    </row>
    <row r="110" customFormat="1" customHeight="1" spans="1:42">
      <c r="A110" s="86" t="s">
        <v>612</v>
      </c>
      <c r="B110" s="91" t="str">
        <f>_xlfn.XLOOKUP(A110,'Product List'!B:B,'Product List'!A:A)</f>
        <v>RJ714</v>
      </c>
      <c r="C110" s="86" t="str">
        <f>_xlfn.XLOOKUP(A110,'Product List'!B:B,'Product List'!L:L)</f>
        <v>外出笼-XL花园外出笼 粉色</v>
      </c>
      <c r="D110" s="86" t="s">
        <v>731</v>
      </c>
      <c r="E110" s="86" t="s">
        <v>1767</v>
      </c>
      <c r="F110" s="92">
        <v>45931</v>
      </c>
      <c r="G110" s="86" t="s">
        <v>731</v>
      </c>
      <c r="H110" s="86" t="s">
        <v>1775</v>
      </c>
      <c r="I110" s="92" t="s">
        <v>731</v>
      </c>
      <c r="J110" s="86" t="s">
        <v>731</v>
      </c>
      <c r="K110" s="92" t="s">
        <v>731</v>
      </c>
      <c r="L110" s="92">
        <v>45931</v>
      </c>
      <c r="M110" s="93" t="s">
        <v>731</v>
      </c>
      <c r="N110" s="86" t="s">
        <v>731</v>
      </c>
      <c r="O110" s="86">
        <v>20.08</v>
      </c>
      <c r="P110" s="86">
        <v>14.18</v>
      </c>
      <c r="Q110" s="86">
        <v>9.45</v>
      </c>
      <c r="R110" s="86">
        <v>14.57</v>
      </c>
      <c r="S110" s="86">
        <v>6.5</v>
      </c>
      <c r="T110" s="86">
        <v>20.08</v>
      </c>
      <c r="U110" s="86">
        <v>20.87</v>
      </c>
      <c r="V110" s="86">
        <v>15.36</v>
      </c>
      <c r="W110" s="86">
        <v>27.56</v>
      </c>
      <c r="X110" s="86">
        <v>51</v>
      </c>
      <c r="Y110" s="86">
        <v>36</v>
      </c>
      <c r="Z110" s="86">
        <v>24</v>
      </c>
      <c r="AA110" s="86">
        <v>37</v>
      </c>
      <c r="AB110" s="86">
        <v>16.5</v>
      </c>
      <c r="AC110" s="86">
        <v>51</v>
      </c>
      <c r="AD110" s="86">
        <v>53</v>
      </c>
      <c r="AE110" s="86">
        <v>39</v>
      </c>
      <c r="AF110" s="86" t="s">
        <v>731</v>
      </c>
      <c r="AG110" s="87">
        <v>2365</v>
      </c>
      <c r="AH110" s="87">
        <v>83.43</v>
      </c>
      <c r="AI110" s="87" t="s">
        <v>731</v>
      </c>
      <c r="AJ110" s="87" t="s">
        <v>731</v>
      </c>
      <c r="AK110" s="87" t="s">
        <v>731</v>
      </c>
      <c r="AL110" s="87" t="s">
        <v>731</v>
      </c>
      <c r="AM110" s="87" t="str">
        <f t="shared" si="17"/>
        <v>NA</v>
      </c>
      <c r="AN110" s="87" t="s">
        <v>1770</v>
      </c>
      <c r="AO110" s="87" t="s">
        <v>731</v>
      </c>
      <c r="AP110" s="87" t="s">
        <v>731</v>
      </c>
    </row>
    <row r="111" customFormat="1" customHeight="1" spans="1:42">
      <c r="A111" s="86" t="s">
        <v>613</v>
      </c>
      <c r="B111" s="91" t="str">
        <f>_xlfn.XLOOKUP(A111,'Product List'!B:B,'Product List'!A:A)</f>
        <v>RJ714</v>
      </c>
      <c r="C111" s="86" t="str">
        <f>_xlfn.XLOOKUP(A111,'Product List'!B:B,'Product List'!L:L)</f>
        <v>外出笼-XL花园外出笼 白色</v>
      </c>
      <c r="D111" s="86" t="s">
        <v>731</v>
      </c>
      <c r="E111" s="86" t="s">
        <v>1767</v>
      </c>
      <c r="F111" s="92">
        <v>45931</v>
      </c>
      <c r="G111" s="86" t="s">
        <v>731</v>
      </c>
      <c r="H111" s="86" t="s">
        <v>1775</v>
      </c>
      <c r="I111" s="92" t="s">
        <v>731</v>
      </c>
      <c r="J111" s="86" t="s">
        <v>731</v>
      </c>
      <c r="K111" s="92" t="s">
        <v>731</v>
      </c>
      <c r="L111" s="92">
        <v>45931</v>
      </c>
      <c r="M111" s="93" t="s">
        <v>731</v>
      </c>
      <c r="N111" s="86" t="s">
        <v>731</v>
      </c>
      <c r="O111" s="86">
        <v>20.08</v>
      </c>
      <c r="P111" s="86">
        <v>14.18</v>
      </c>
      <c r="Q111" s="86">
        <v>9.45</v>
      </c>
      <c r="R111" s="86">
        <v>14.57</v>
      </c>
      <c r="S111" s="86">
        <v>6.5</v>
      </c>
      <c r="T111" s="86">
        <v>20.08</v>
      </c>
      <c r="U111" s="86">
        <v>20.87</v>
      </c>
      <c r="V111" s="86">
        <v>15.36</v>
      </c>
      <c r="W111" s="86">
        <v>27.56</v>
      </c>
      <c r="X111" s="86">
        <v>51</v>
      </c>
      <c r="Y111" s="86">
        <v>36</v>
      </c>
      <c r="Z111" s="86">
        <v>24</v>
      </c>
      <c r="AA111" s="86">
        <v>37</v>
      </c>
      <c r="AB111" s="86">
        <v>16.5</v>
      </c>
      <c r="AC111" s="86">
        <v>51</v>
      </c>
      <c r="AD111" s="86">
        <v>53</v>
      </c>
      <c r="AE111" s="86">
        <v>39</v>
      </c>
      <c r="AF111" s="86" t="s">
        <v>731</v>
      </c>
      <c r="AG111" s="87">
        <v>2365</v>
      </c>
      <c r="AH111" s="87">
        <v>83.43</v>
      </c>
      <c r="AI111" s="87" t="s">
        <v>731</v>
      </c>
      <c r="AJ111" s="87" t="s">
        <v>731</v>
      </c>
      <c r="AK111" s="87" t="s">
        <v>731</v>
      </c>
      <c r="AL111" s="87" t="s">
        <v>731</v>
      </c>
      <c r="AM111" s="87" t="str">
        <f t="shared" si="17"/>
        <v>NA</v>
      </c>
      <c r="AN111" s="87" t="s">
        <v>1770</v>
      </c>
      <c r="AO111" s="87" t="s">
        <v>731</v>
      </c>
      <c r="AP111" s="87" t="s">
        <v>731</v>
      </c>
    </row>
    <row r="112" customFormat="1" customHeight="1" spans="1:42">
      <c r="A112" s="86" t="s">
        <v>582</v>
      </c>
      <c r="B112" s="91" t="str">
        <f>_xlfn.XLOOKUP(A112,'Product List'!B:B,'Product List'!A:A)</f>
        <v>RJ722</v>
      </c>
      <c r="C112" s="86" t="str">
        <f>_xlfn.XLOOKUP(A112,'Product List'!B:B,'Product List'!L:L)</f>
        <v>兔用-饮水瓶250ml</v>
      </c>
      <c r="D112" s="86" t="s">
        <v>731</v>
      </c>
      <c r="E112" s="86" t="s">
        <v>1767</v>
      </c>
      <c r="F112" s="92">
        <v>45931</v>
      </c>
      <c r="G112" s="86" t="s">
        <v>731</v>
      </c>
      <c r="H112" s="86" t="s">
        <v>1775</v>
      </c>
      <c r="I112" s="92" t="s">
        <v>731</v>
      </c>
      <c r="J112" s="86" t="s">
        <v>731</v>
      </c>
      <c r="K112" s="92" t="s">
        <v>731</v>
      </c>
      <c r="L112" s="92">
        <v>45931</v>
      </c>
      <c r="M112" s="93" t="s">
        <v>731</v>
      </c>
      <c r="N112" s="86" t="s">
        <v>731</v>
      </c>
      <c r="O112" s="86">
        <v>6.7</v>
      </c>
      <c r="P112" s="86">
        <v>3.55</v>
      </c>
      <c r="Q112" s="86">
        <v>2.56</v>
      </c>
      <c r="R112" s="86">
        <v>6.7</v>
      </c>
      <c r="S112" s="86">
        <v>3.55</v>
      </c>
      <c r="T112" s="86">
        <v>2.56</v>
      </c>
      <c r="U112" s="86">
        <v>22.45</v>
      </c>
      <c r="V112" s="86">
        <v>13.39</v>
      </c>
      <c r="W112" s="86">
        <v>16.74</v>
      </c>
      <c r="X112" s="86">
        <v>17</v>
      </c>
      <c r="Y112" s="86">
        <v>9</v>
      </c>
      <c r="Z112" s="86">
        <v>6.5</v>
      </c>
      <c r="AA112" s="86">
        <v>17</v>
      </c>
      <c r="AB112" s="86">
        <v>9</v>
      </c>
      <c r="AC112" s="86">
        <v>6.5</v>
      </c>
      <c r="AD112" s="86">
        <v>57</v>
      </c>
      <c r="AE112" s="86">
        <v>34</v>
      </c>
      <c r="AF112" s="86" t="s">
        <v>731</v>
      </c>
      <c r="AG112" s="87" t="s">
        <v>731</v>
      </c>
      <c r="AH112" s="87" t="s">
        <v>731</v>
      </c>
      <c r="AI112" s="87" t="s">
        <v>731</v>
      </c>
      <c r="AJ112" s="87" t="s">
        <v>731</v>
      </c>
      <c r="AK112" s="87" t="s">
        <v>731</v>
      </c>
      <c r="AL112" s="87" t="s">
        <v>731</v>
      </c>
      <c r="AM112" s="87" t="str">
        <f t="shared" si="17"/>
        <v>NA</v>
      </c>
      <c r="AN112" s="87" t="s">
        <v>731</v>
      </c>
      <c r="AO112" s="87" t="s">
        <v>731</v>
      </c>
      <c r="AP112" s="87" t="s">
        <v>731</v>
      </c>
    </row>
    <row r="113" customFormat="1" customHeight="1" spans="1:42">
      <c r="A113" s="86" t="s">
        <v>584</v>
      </c>
      <c r="B113" s="91" t="str">
        <f>_xlfn.XLOOKUP(A113,'Product List'!B:B,'Product List'!A:A)</f>
        <v>RJ723</v>
      </c>
      <c r="C113" s="86" t="str">
        <f>_xlfn.XLOOKUP(A113,'Product List'!B:B,'Product List'!L:L)</f>
        <v>兔用-饮水瓶500ml</v>
      </c>
      <c r="D113" s="86" t="s">
        <v>731</v>
      </c>
      <c r="E113" s="86" t="s">
        <v>1767</v>
      </c>
      <c r="F113" s="92">
        <v>45931</v>
      </c>
      <c r="G113" s="86" t="s">
        <v>731</v>
      </c>
      <c r="H113" s="86" t="s">
        <v>1775</v>
      </c>
      <c r="I113" s="92" t="s">
        <v>731</v>
      </c>
      <c r="J113" s="86" t="s">
        <v>731</v>
      </c>
      <c r="K113" s="92" t="s">
        <v>731</v>
      </c>
      <c r="L113" s="92">
        <v>45931</v>
      </c>
      <c r="M113" s="93" t="s">
        <v>731</v>
      </c>
      <c r="N113" s="86" t="s">
        <v>731</v>
      </c>
      <c r="O113" s="86">
        <v>10.04</v>
      </c>
      <c r="P113" s="86">
        <v>3.55</v>
      </c>
      <c r="Q113" s="86">
        <v>2.56</v>
      </c>
      <c r="R113" s="86">
        <v>10.04</v>
      </c>
      <c r="S113" s="86">
        <v>3.55</v>
      </c>
      <c r="T113" s="86">
        <v>2.56</v>
      </c>
      <c r="U113" s="86">
        <v>19.69</v>
      </c>
      <c r="V113" s="86">
        <v>13</v>
      </c>
      <c r="W113" s="86">
        <v>20.87</v>
      </c>
      <c r="X113" s="86">
        <v>25.5</v>
      </c>
      <c r="Y113" s="86">
        <v>9</v>
      </c>
      <c r="Z113" s="86">
        <v>6.5</v>
      </c>
      <c r="AA113" s="86">
        <v>25.5</v>
      </c>
      <c r="AB113" s="86">
        <v>9</v>
      </c>
      <c r="AC113" s="86">
        <v>6.5</v>
      </c>
      <c r="AD113" s="86">
        <v>50</v>
      </c>
      <c r="AE113" s="86">
        <v>33</v>
      </c>
      <c r="AF113" s="86" t="s">
        <v>731</v>
      </c>
      <c r="AG113" s="87" t="s">
        <v>731</v>
      </c>
      <c r="AH113" s="87" t="s">
        <v>731</v>
      </c>
      <c r="AI113" s="87" t="s">
        <v>731</v>
      </c>
      <c r="AJ113" s="87" t="s">
        <v>731</v>
      </c>
      <c r="AK113" s="87" t="s">
        <v>731</v>
      </c>
      <c r="AL113" s="87" t="s">
        <v>731</v>
      </c>
      <c r="AM113" s="87" t="str">
        <f t="shared" si="17"/>
        <v>NA</v>
      </c>
      <c r="AN113" s="87" t="s">
        <v>731</v>
      </c>
      <c r="AO113" s="87" t="s">
        <v>731</v>
      </c>
      <c r="AP113" s="87" t="s">
        <v>731</v>
      </c>
    </row>
    <row r="114" customFormat="1" customHeight="1" spans="1:42">
      <c r="A114" s="86" t="s">
        <v>586</v>
      </c>
      <c r="B114" s="91" t="str">
        <f>_xlfn.XLOOKUP(A114,'Product List'!B:B,'Product List'!A:A)</f>
        <v>RJ724</v>
      </c>
      <c r="C114" s="86" t="str">
        <f>_xlfn.XLOOKUP(A114,'Product List'!B:B,'Product List'!L:L)</f>
        <v>兔用-饮水瓶750ml</v>
      </c>
      <c r="D114" s="86" t="s">
        <v>731</v>
      </c>
      <c r="E114" s="86" t="s">
        <v>1767</v>
      </c>
      <c r="F114" s="92">
        <v>45931</v>
      </c>
      <c r="G114" s="86" t="s">
        <v>731</v>
      </c>
      <c r="H114" s="86" t="s">
        <v>1775</v>
      </c>
      <c r="I114" s="92" t="s">
        <v>731</v>
      </c>
      <c r="J114" s="86" t="s">
        <v>731</v>
      </c>
      <c r="K114" s="92" t="s">
        <v>731</v>
      </c>
      <c r="L114" s="92">
        <v>45931</v>
      </c>
      <c r="M114" s="93" t="s">
        <v>731</v>
      </c>
      <c r="N114" s="86" t="s">
        <v>731</v>
      </c>
      <c r="O114" s="86">
        <v>11.82</v>
      </c>
      <c r="P114" s="86">
        <v>3.94</v>
      </c>
      <c r="Q114" s="86">
        <v>2.96</v>
      </c>
      <c r="R114" s="86">
        <v>11.82</v>
      </c>
      <c r="S114" s="86">
        <v>3.94</v>
      </c>
      <c r="T114" s="86">
        <v>2.96</v>
      </c>
      <c r="U114" s="86">
        <v>22.05</v>
      </c>
      <c r="V114" s="86">
        <v>14.18</v>
      </c>
      <c r="W114" s="86">
        <v>17.33</v>
      </c>
      <c r="X114" s="86">
        <v>30</v>
      </c>
      <c r="Y114" s="86">
        <v>10</v>
      </c>
      <c r="Z114" s="86">
        <v>7.5</v>
      </c>
      <c r="AA114" s="86">
        <v>30</v>
      </c>
      <c r="AB114" s="86">
        <v>10</v>
      </c>
      <c r="AC114" s="86">
        <v>7.5</v>
      </c>
      <c r="AD114" s="86">
        <v>56</v>
      </c>
      <c r="AE114" s="86">
        <v>36</v>
      </c>
      <c r="AF114" s="86" t="s">
        <v>731</v>
      </c>
      <c r="AG114" s="87" t="s">
        <v>731</v>
      </c>
      <c r="AH114" s="87" t="s">
        <v>731</v>
      </c>
      <c r="AI114" s="87" t="s">
        <v>731</v>
      </c>
      <c r="AJ114" s="87" t="s">
        <v>731</v>
      </c>
      <c r="AK114" s="87" t="s">
        <v>731</v>
      </c>
      <c r="AL114" s="87" t="s">
        <v>731</v>
      </c>
      <c r="AM114" s="87" t="str">
        <f t="shared" si="17"/>
        <v>NA</v>
      </c>
      <c r="AN114" s="87" t="s">
        <v>731</v>
      </c>
      <c r="AO114" s="87" t="s">
        <v>731</v>
      </c>
      <c r="AP114" s="87" t="s">
        <v>731</v>
      </c>
    </row>
    <row r="115" customFormat="1" customHeight="1" spans="1:42">
      <c r="A115" s="86" t="s">
        <v>1626</v>
      </c>
      <c r="B115" s="91" t="str">
        <f>_xlfn.XLOOKUP(A115,'Product List'!B:B,'Product List'!A:A)</f>
        <v>S-2</v>
      </c>
      <c r="C115" s="86" t="str">
        <f>_xlfn.XLOOKUP(A115,'Product List'!B:B,'Product List'!L:L)</f>
        <v>浴沙-抖音浴沙1kg(2.2lbs)</v>
      </c>
      <c r="D115" s="86">
        <v>62</v>
      </c>
      <c r="E115" s="86" t="s">
        <v>1767</v>
      </c>
      <c r="F115" s="92">
        <v>45931</v>
      </c>
      <c r="G115" s="86" t="s">
        <v>1764</v>
      </c>
      <c r="H115" s="86" t="s">
        <v>1775</v>
      </c>
      <c r="I115" s="92" t="s">
        <v>731</v>
      </c>
      <c r="J115" s="86" t="s">
        <v>731</v>
      </c>
      <c r="K115" s="92" t="s">
        <v>731</v>
      </c>
      <c r="L115" s="92">
        <v>45931</v>
      </c>
      <c r="M115" s="93" t="s">
        <v>731</v>
      </c>
      <c r="N115" s="86" t="s">
        <v>731</v>
      </c>
      <c r="O115" s="86">
        <v>9.49</v>
      </c>
      <c r="P115" s="86">
        <v>5.44</v>
      </c>
      <c r="Q115" s="86">
        <v>1.38</v>
      </c>
      <c r="R115" s="86">
        <v>9.45</v>
      </c>
      <c r="S115" s="86">
        <v>5.44</v>
      </c>
      <c r="T115" s="86">
        <v>1.58</v>
      </c>
      <c r="U115" s="86">
        <f t="shared" ref="U115:U122" si="31">IFERROR(ROUNDUP(AD115/2.54,2),"NA")</f>
        <v>24</v>
      </c>
      <c r="V115" s="86">
        <f t="shared" ref="V115:V122" si="32">IFERROR(ROUNDUP(AE115/2.54,2),"NA")</f>
        <v>20</v>
      </c>
      <c r="W115" s="86">
        <f t="shared" ref="W115:W122" si="33">IFERROR(ROUNDUP(AF115/2.54,2),"NA")</f>
        <v>11.21</v>
      </c>
      <c r="X115" s="86">
        <v>85</v>
      </c>
      <c r="Y115" s="86">
        <v>13.8</v>
      </c>
      <c r="Z115" s="86">
        <v>3.5</v>
      </c>
      <c r="AA115" s="86">
        <v>24</v>
      </c>
      <c r="AB115" s="86">
        <v>13.8</v>
      </c>
      <c r="AC115" s="86">
        <v>4</v>
      </c>
      <c r="AD115" s="86">
        <f>_xlfn.XLOOKUP(G115,'Case Type'!A:A,'Case Type'!E:E)</f>
        <v>60.96</v>
      </c>
      <c r="AE115" s="86">
        <f>_xlfn.XLOOKUP(G115,'Case Type'!A:A,'Case Type'!F:F)</f>
        <v>50.8</v>
      </c>
      <c r="AF115" s="86">
        <f>_xlfn.XLOOKUP(G115,'Case Type'!A:A,'Case Type'!G:G)</f>
        <v>28.45</v>
      </c>
      <c r="AG115" s="87">
        <v>1000</v>
      </c>
      <c r="AH115" s="87">
        <v>35.28</v>
      </c>
      <c r="AI115" s="87" t="s">
        <v>731</v>
      </c>
      <c r="AJ115" s="87" t="s">
        <v>731</v>
      </c>
      <c r="AK115" s="87" t="s">
        <v>731</v>
      </c>
      <c r="AL115" s="87" t="s">
        <v>731</v>
      </c>
      <c r="AM115" s="87">
        <f t="shared" si="17"/>
        <v>0.0881030496</v>
      </c>
      <c r="AN115" s="87" t="s">
        <v>731</v>
      </c>
      <c r="AO115" s="87" t="s">
        <v>731</v>
      </c>
      <c r="AP115" s="87" t="s">
        <v>731</v>
      </c>
    </row>
    <row r="116" customHeight="1" spans="1:42">
      <c r="A116" s="86" t="s">
        <v>1641</v>
      </c>
      <c r="B116" s="91" t="str">
        <f>_xlfn.XLOOKUP(A116,'Product List'!B:B,'Product List'!A:A)</f>
        <v>WJ-4</v>
      </c>
      <c r="C116" s="86" t="str">
        <f>_xlfn.XLOOKUP(A116,'Product List'!B:B,'Product List'!L:L)</f>
        <v>水壶-气球花水壶</v>
      </c>
      <c r="D116" s="86">
        <v>50</v>
      </c>
      <c r="E116" s="86" t="s">
        <v>1767</v>
      </c>
      <c r="F116" s="92">
        <v>45931</v>
      </c>
      <c r="G116" s="86" t="s">
        <v>1766</v>
      </c>
      <c r="H116" s="86" t="s">
        <v>1775</v>
      </c>
      <c r="I116" s="92" t="s">
        <v>731</v>
      </c>
      <c r="J116" s="86" t="s">
        <v>731</v>
      </c>
      <c r="K116" s="92" t="s">
        <v>731</v>
      </c>
      <c r="L116" s="92">
        <v>45931</v>
      </c>
      <c r="M116" s="93" t="s">
        <v>731</v>
      </c>
      <c r="N116" s="86" t="s">
        <v>731</v>
      </c>
      <c r="O116" s="86">
        <v>7.29</v>
      </c>
      <c r="P116" s="86">
        <v>2.96</v>
      </c>
      <c r="Q116" s="86">
        <v>5.12</v>
      </c>
      <c r="R116" s="86">
        <v>6.03</v>
      </c>
      <c r="S116" s="86">
        <v>9.45</v>
      </c>
      <c r="T116" s="86" t="s">
        <v>130</v>
      </c>
      <c r="U116" s="86">
        <f t="shared" si="31"/>
        <v>24</v>
      </c>
      <c r="V116" s="86">
        <f t="shared" si="32"/>
        <v>20</v>
      </c>
      <c r="W116" s="86">
        <f t="shared" si="33"/>
        <v>14</v>
      </c>
      <c r="X116" s="86">
        <v>85</v>
      </c>
      <c r="Y116" s="86">
        <v>7.5</v>
      </c>
      <c r="Z116" s="86">
        <v>13</v>
      </c>
      <c r="AA116" s="86">
        <v>15.3</v>
      </c>
      <c r="AB116" s="86">
        <v>24</v>
      </c>
      <c r="AC116" s="86" t="s">
        <v>130</v>
      </c>
      <c r="AD116" s="86">
        <f>_xlfn.XLOOKUP(G116,'Case Type'!A:A,'Case Type'!E:E)</f>
        <v>60.96</v>
      </c>
      <c r="AE116" s="86">
        <f>_xlfn.XLOOKUP(G116,'Case Type'!A:A,'Case Type'!F:F)</f>
        <v>50.8</v>
      </c>
      <c r="AF116" s="86">
        <f>_xlfn.XLOOKUP(G116,'Case Type'!A:A,'Case Type'!G:G)</f>
        <v>35.56</v>
      </c>
      <c r="AG116" s="87">
        <v>115</v>
      </c>
      <c r="AH116" s="87">
        <v>4.06</v>
      </c>
      <c r="AI116" s="87">
        <v>7.5</v>
      </c>
      <c r="AJ116" s="87">
        <v>264.56</v>
      </c>
      <c r="AK116" s="87">
        <v>8.1</v>
      </c>
      <c r="AL116" s="87">
        <v>285.72</v>
      </c>
      <c r="AM116" s="87">
        <f t="shared" si="17"/>
        <v>0.11012107008</v>
      </c>
      <c r="AN116" s="87" t="s">
        <v>1777</v>
      </c>
      <c r="AO116" s="87" t="s">
        <v>731</v>
      </c>
      <c r="AP116" s="87" t="s">
        <v>731</v>
      </c>
    </row>
    <row r="117" customHeight="1" spans="1:42">
      <c r="A117" s="86" t="s">
        <v>637</v>
      </c>
      <c r="B117" s="91" t="str">
        <f>_xlfn.XLOOKUP(A117,'Product List'!B:B,'Product List'!A:A)</f>
        <v>WJ-9</v>
      </c>
      <c r="C117" s="86" t="str">
        <f>_xlfn.XLOOKUP(A117,'Product List'!B:B,'Product List'!L:L)</f>
        <v>厕所-森林厕所 白色</v>
      </c>
      <c r="D117" s="86">
        <v>36</v>
      </c>
      <c r="E117" s="86" t="s">
        <v>1767</v>
      </c>
      <c r="F117" s="92">
        <v>45931</v>
      </c>
      <c r="G117" s="86" t="s">
        <v>1761</v>
      </c>
      <c r="H117" s="86" t="s">
        <v>1775</v>
      </c>
      <c r="I117" s="92" t="s">
        <v>731</v>
      </c>
      <c r="J117" s="86" t="s">
        <v>731</v>
      </c>
      <c r="K117" s="92" t="s">
        <v>731</v>
      </c>
      <c r="L117" s="92">
        <v>45931</v>
      </c>
      <c r="M117" s="93" t="s">
        <v>731</v>
      </c>
      <c r="N117" s="86" t="s">
        <v>731</v>
      </c>
      <c r="O117" s="86">
        <v>6.54</v>
      </c>
      <c r="P117" s="86">
        <v>6.15</v>
      </c>
      <c r="Q117" s="86">
        <v>4.41</v>
      </c>
      <c r="R117" s="86">
        <v>6.66</v>
      </c>
      <c r="S117" s="86">
        <v>6.26</v>
      </c>
      <c r="T117" s="86">
        <v>4.93</v>
      </c>
      <c r="U117" s="86">
        <f t="shared" si="31"/>
        <v>24</v>
      </c>
      <c r="V117" s="86">
        <f t="shared" si="32"/>
        <v>20</v>
      </c>
      <c r="W117" s="86">
        <f t="shared" si="33"/>
        <v>20</v>
      </c>
      <c r="X117" s="86">
        <v>85</v>
      </c>
      <c r="Y117" s="86">
        <v>15.6</v>
      </c>
      <c r="Z117" s="86">
        <v>11.2</v>
      </c>
      <c r="AA117" s="86">
        <v>16.9</v>
      </c>
      <c r="AB117" s="86">
        <v>15.9</v>
      </c>
      <c r="AC117" s="86">
        <v>12.5</v>
      </c>
      <c r="AD117" s="86">
        <f>_xlfn.XLOOKUP(G117,'Case Type'!A:A,'Case Type'!E:E)</f>
        <v>60.96</v>
      </c>
      <c r="AE117" s="86">
        <f>_xlfn.XLOOKUP(G117,'Case Type'!A:A,'Case Type'!F:F)</f>
        <v>50.8</v>
      </c>
      <c r="AF117" s="86">
        <f>_xlfn.XLOOKUP(G117,'Case Type'!A:A,'Case Type'!G:G)</f>
        <v>50.8</v>
      </c>
      <c r="AG117" s="87">
        <v>210</v>
      </c>
      <c r="AH117" s="87">
        <v>7.41</v>
      </c>
      <c r="AI117" s="87">
        <v>11.6</v>
      </c>
      <c r="AJ117" s="87">
        <v>409.18</v>
      </c>
      <c r="AK117" s="87">
        <v>12.3</v>
      </c>
      <c r="AL117" s="87">
        <v>433.87</v>
      </c>
      <c r="AM117" s="87">
        <f t="shared" si="17"/>
        <v>0.1573158144</v>
      </c>
      <c r="AN117" s="87" t="s">
        <v>1770</v>
      </c>
      <c r="AO117" s="87" t="s">
        <v>731</v>
      </c>
      <c r="AP117" s="87" t="s">
        <v>731</v>
      </c>
    </row>
    <row r="118" customHeight="1" spans="1:42">
      <c r="A118" s="86" t="s">
        <v>1648</v>
      </c>
      <c r="B118" s="91" t="str">
        <f>_xlfn.XLOOKUP(A118,'Product List'!B:B,'Product List'!A:A)</f>
        <v>WJ-14</v>
      </c>
      <c r="C118" s="86" t="str">
        <f>_xlfn.XLOOKUP(A118,'Product List'!B:B,'Product List'!L:L)</f>
        <v>外出笼-小恶魔外带笼</v>
      </c>
      <c r="D118" s="86">
        <v>18</v>
      </c>
      <c r="E118" s="86" t="s">
        <v>1767</v>
      </c>
      <c r="F118" s="92">
        <v>45931</v>
      </c>
      <c r="G118" s="86" t="s">
        <v>1761</v>
      </c>
      <c r="H118" s="86" t="s">
        <v>1775</v>
      </c>
      <c r="I118" s="92" t="s">
        <v>731</v>
      </c>
      <c r="J118" s="86" t="s">
        <v>731</v>
      </c>
      <c r="K118" s="92" t="s">
        <v>731</v>
      </c>
      <c r="L118" s="92">
        <v>45931</v>
      </c>
      <c r="M118" s="93" t="s">
        <v>731</v>
      </c>
      <c r="N118" s="86" t="s">
        <v>731</v>
      </c>
      <c r="O118" s="86">
        <v>7.17</v>
      </c>
      <c r="P118" s="86">
        <v>7.17</v>
      </c>
      <c r="Q118" s="86">
        <v>6.19</v>
      </c>
      <c r="R118" s="86">
        <v>7.41</v>
      </c>
      <c r="S118" s="86">
        <v>7.41</v>
      </c>
      <c r="T118" s="86">
        <v>7.05</v>
      </c>
      <c r="U118" s="86">
        <f t="shared" si="31"/>
        <v>24</v>
      </c>
      <c r="V118" s="86">
        <f t="shared" si="32"/>
        <v>20</v>
      </c>
      <c r="W118" s="86">
        <f t="shared" si="33"/>
        <v>20</v>
      </c>
      <c r="X118" s="86">
        <v>85</v>
      </c>
      <c r="Y118" s="86">
        <v>18.2</v>
      </c>
      <c r="Z118" s="86">
        <v>15.7</v>
      </c>
      <c r="AA118" s="86">
        <v>18.8</v>
      </c>
      <c r="AB118" s="86">
        <v>18.8</v>
      </c>
      <c r="AC118" s="86">
        <v>17.9</v>
      </c>
      <c r="AD118" s="86">
        <f>_xlfn.XLOOKUP(G118,'Case Type'!A:A,'Case Type'!E:E)</f>
        <v>60.96</v>
      </c>
      <c r="AE118" s="86">
        <f>_xlfn.XLOOKUP(G118,'Case Type'!A:A,'Case Type'!F:F)</f>
        <v>50.8</v>
      </c>
      <c r="AF118" s="86">
        <f>_xlfn.XLOOKUP(G118,'Case Type'!A:A,'Case Type'!G:G)</f>
        <v>50.8</v>
      </c>
      <c r="AG118" s="87">
        <v>366</v>
      </c>
      <c r="AH118" s="87">
        <v>12.92</v>
      </c>
      <c r="AI118" s="87" t="s">
        <v>731</v>
      </c>
      <c r="AJ118" s="87" t="s">
        <v>731</v>
      </c>
      <c r="AK118" s="87" t="s">
        <v>731</v>
      </c>
      <c r="AL118" s="87" t="s">
        <v>731</v>
      </c>
      <c r="AM118" s="87">
        <f t="shared" si="17"/>
        <v>0.1573158144</v>
      </c>
      <c r="AN118" s="87" t="s">
        <v>1770</v>
      </c>
      <c r="AO118" s="87" t="s">
        <v>731</v>
      </c>
      <c r="AP118" s="87" t="s">
        <v>1792</v>
      </c>
    </row>
    <row r="119" customHeight="1" spans="1:42">
      <c r="A119" s="86" t="s">
        <v>588</v>
      </c>
      <c r="B119" s="91" t="str">
        <f>_xlfn.XLOOKUP(A119,'Product List'!B:B,'Product List'!A:A)</f>
        <v>WJ-14</v>
      </c>
      <c r="C119" s="86" t="str">
        <f>_xlfn.XLOOKUP(A119,'Product List'!B:B,'Product List'!L:L)</f>
        <v>外出笼-小精灵外出笼18.2cm 紫色</v>
      </c>
      <c r="D119" s="86">
        <v>18</v>
      </c>
      <c r="E119" s="86" t="s">
        <v>1767</v>
      </c>
      <c r="F119" s="92">
        <v>45931</v>
      </c>
      <c r="G119" s="86" t="s">
        <v>1761</v>
      </c>
      <c r="H119" s="86" t="s">
        <v>1775</v>
      </c>
      <c r="I119" s="92" t="s">
        <v>731</v>
      </c>
      <c r="J119" s="86" t="s">
        <v>731</v>
      </c>
      <c r="K119" s="92" t="s">
        <v>731</v>
      </c>
      <c r="L119" s="92">
        <v>45931</v>
      </c>
      <c r="M119" s="93" t="s">
        <v>731</v>
      </c>
      <c r="N119" s="86" t="s">
        <v>731</v>
      </c>
      <c r="O119" s="86">
        <v>7.17</v>
      </c>
      <c r="P119" s="86">
        <v>7.17</v>
      </c>
      <c r="Q119" s="86">
        <v>6.19</v>
      </c>
      <c r="R119" s="86">
        <v>7.41</v>
      </c>
      <c r="S119" s="86">
        <v>7.41</v>
      </c>
      <c r="T119" s="86">
        <v>7.05</v>
      </c>
      <c r="U119" s="86">
        <f t="shared" si="31"/>
        <v>24</v>
      </c>
      <c r="V119" s="86">
        <f t="shared" si="32"/>
        <v>20</v>
      </c>
      <c r="W119" s="86">
        <f t="shared" si="33"/>
        <v>20</v>
      </c>
      <c r="X119" s="86">
        <v>85</v>
      </c>
      <c r="Y119" s="86">
        <v>18.2</v>
      </c>
      <c r="Z119" s="86">
        <v>15.7</v>
      </c>
      <c r="AA119" s="86">
        <v>18.8</v>
      </c>
      <c r="AB119" s="86">
        <v>18.8</v>
      </c>
      <c r="AC119" s="86">
        <v>17.9</v>
      </c>
      <c r="AD119" s="86">
        <f>_xlfn.XLOOKUP(G119,'Case Type'!A:A,'Case Type'!E:E)</f>
        <v>60.96</v>
      </c>
      <c r="AE119" s="86">
        <f>_xlfn.XLOOKUP(G119,'Case Type'!A:A,'Case Type'!F:F)</f>
        <v>50.8</v>
      </c>
      <c r="AF119" s="86">
        <f>_xlfn.XLOOKUP(G119,'Case Type'!A:A,'Case Type'!G:G)</f>
        <v>50.8</v>
      </c>
      <c r="AG119" s="87">
        <v>366</v>
      </c>
      <c r="AH119" s="87">
        <v>12.92</v>
      </c>
      <c r="AI119" s="87" t="s">
        <v>731</v>
      </c>
      <c r="AJ119" s="87" t="s">
        <v>731</v>
      </c>
      <c r="AK119" s="87" t="s">
        <v>731</v>
      </c>
      <c r="AL119" s="87" t="s">
        <v>731</v>
      </c>
      <c r="AM119" s="87">
        <f t="shared" si="17"/>
        <v>0.1573158144</v>
      </c>
      <c r="AN119" s="87" t="s">
        <v>1770</v>
      </c>
      <c r="AO119" s="87" t="s">
        <v>731</v>
      </c>
      <c r="AP119" s="87" t="s">
        <v>1792</v>
      </c>
    </row>
    <row r="120" customHeight="1" spans="1:42">
      <c r="A120" s="86" t="s">
        <v>628</v>
      </c>
      <c r="B120" s="91" t="str">
        <f>_xlfn.XLOOKUP(A120,'Product List'!B:B,'Product List'!A:A)</f>
        <v>WJ-39</v>
      </c>
      <c r="C120" s="86" t="str">
        <f>_xlfn.XLOOKUP(A120,'Product List'!B:B,'Product List'!L:L)</f>
        <v>跑轮-宽面跑轮 蓝色</v>
      </c>
      <c r="D120" s="86">
        <v>3</v>
      </c>
      <c r="E120" s="86" t="s">
        <v>1767</v>
      </c>
      <c r="F120" s="92">
        <v>45931</v>
      </c>
      <c r="G120" s="86" t="s">
        <v>1761</v>
      </c>
      <c r="H120" s="86" t="s">
        <v>1775</v>
      </c>
      <c r="I120" s="92" t="s">
        <v>731</v>
      </c>
      <c r="J120" s="86" t="s">
        <v>731</v>
      </c>
      <c r="K120" s="92" t="s">
        <v>731</v>
      </c>
      <c r="L120" s="92">
        <v>45931</v>
      </c>
      <c r="M120" s="93" t="s">
        <v>731</v>
      </c>
      <c r="N120" s="86" t="s">
        <v>731</v>
      </c>
      <c r="O120" s="86">
        <v>10.63</v>
      </c>
      <c r="P120" s="86">
        <v>7.33</v>
      </c>
      <c r="Q120" s="86">
        <v>12.05</v>
      </c>
      <c r="R120" s="86">
        <v>14.57</v>
      </c>
      <c r="S120" s="86">
        <v>9.06</v>
      </c>
      <c r="T120" s="86">
        <v>14.57</v>
      </c>
      <c r="U120" s="86">
        <f t="shared" si="31"/>
        <v>24</v>
      </c>
      <c r="V120" s="86">
        <f t="shared" si="32"/>
        <v>20</v>
      </c>
      <c r="W120" s="86">
        <f t="shared" si="33"/>
        <v>20</v>
      </c>
      <c r="X120" s="86">
        <v>85</v>
      </c>
      <c r="Y120" s="86">
        <v>18.6</v>
      </c>
      <c r="Z120" s="86">
        <v>30.6</v>
      </c>
      <c r="AA120" s="86">
        <v>37</v>
      </c>
      <c r="AB120" s="86">
        <v>23</v>
      </c>
      <c r="AC120" s="86">
        <v>37</v>
      </c>
      <c r="AD120" s="86">
        <f>_xlfn.XLOOKUP(G120,'Case Type'!A:A,'Case Type'!E:E)</f>
        <v>60.96</v>
      </c>
      <c r="AE120" s="86">
        <f>_xlfn.XLOOKUP(G120,'Case Type'!A:A,'Case Type'!F:F)</f>
        <v>50.8</v>
      </c>
      <c r="AF120" s="86">
        <f>_xlfn.XLOOKUP(G120,'Case Type'!A:A,'Case Type'!G:G)</f>
        <v>50.8</v>
      </c>
      <c r="AG120" s="87">
        <v>1198</v>
      </c>
      <c r="AH120" s="87">
        <v>42.26</v>
      </c>
      <c r="AI120" s="87">
        <v>6.1</v>
      </c>
      <c r="AJ120" s="87">
        <v>215.18</v>
      </c>
      <c r="AK120" s="87">
        <v>7.15</v>
      </c>
      <c r="AL120" s="87">
        <v>252.21</v>
      </c>
      <c r="AM120" s="87">
        <f t="shared" si="17"/>
        <v>0.1573158144</v>
      </c>
      <c r="AN120" s="87" t="s">
        <v>1770</v>
      </c>
      <c r="AO120" s="87" t="s">
        <v>1773</v>
      </c>
      <c r="AP120" s="87" t="s">
        <v>1774</v>
      </c>
    </row>
    <row r="121" customHeight="1" spans="1:42">
      <c r="A121" s="86" t="s">
        <v>1653</v>
      </c>
      <c r="B121" s="91" t="str">
        <f>_xlfn.XLOOKUP(A121,'Product List'!B:B,'Product List'!A:A)</f>
        <v>WJ-39</v>
      </c>
      <c r="C121" s="86" t="str">
        <f>_xlfn.XLOOKUP(A121,'Product List'!B:B,'Product List'!L:L)</f>
        <v>跑轮-宽面跑轮</v>
      </c>
      <c r="D121" s="86">
        <v>3</v>
      </c>
      <c r="E121" s="86" t="s">
        <v>1767</v>
      </c>
      <c r="F121" s="92">
        <v>45931</v>
      </c>
      <c r="G121" s="86" t="s">
        <v>1761</v>
      </c>
      <c r="H121" s="86" t="s">
        <v>1775</v>
      </c>
      <c r="I121" s="92" t="s">
        <v>731</v>
      </c>
      <c r="J121" s="86" t="s">
        <v>731</v>
      </c>
      <c r="K121" s="92" t="s">
        <v>731</v>
      </c>
      <c r="L121" s="92">
        <v>45931</v>
      </c>
      <c r="M121" s="93" t="s">
        <v>731</v>
      </c>
      <c r="N121" s="86" t="s">
        <v>731</v>
      </c>
      <c r="O121" s="86">
        <v>10.63</v>
      </c>
      <c r="P121" s="86">
        <v>7.33</v>
      </c>
      <c r="Q121" s="86">
        <v>12.05</v>
      </c>
      <c r="R121" s="86">
        <v>14.57</v>
      </c>
      <c r="S121" s="86">
        <v>9.06</v>
      </c>
      <c r="T121" s="86">
        <v>14.57</v>
      </c>
      <c r="U121" s="86">
        <f t="shared" si="31"/>
        <v>24</v>
      </c>
      <c r="V121" s="86">
        <f t="shared" si="32"/>
        <v>20</v>
      </c>
      <c r="W121" s="86">
        <f t="shared" si="33"/>
        <v>20</v>
      </c>
      <c r="X121" s="86">
        <v>85</v>
      </c>
      <c r="Y121" s="86">
        <v>18.6</v>
      </c>
      <c r="Z121" s="86">
        <v>30.6</v>
      </c>
      <c r="AA121" s="86">
        <v>37</v>
      </c>
      <c r="AB121" s="86">
        <v>23</v>
      </c>
      <c r="AC121" s="86">
        <v>37</v>
      </c>
      <c r="AD121" s="86">
        <f>_xlfn.XLOOKUP(G121,'Case Type'!A:A,'Case Type'!E:E)</f>
        <v>60.96</v>
      </c>
      <c r="AE121" s="86">
        <f>_xlfn.XLOOKUP(G121,'Case Type'!A:A,'Case Type'!F:F)</f>
        <v>50.8</v>
      </c>
      <c r="AF121" s="86">
        <f>_xlfn.XLOOKUP(G121,'Case Type'!A:A,'Case Type'!G:G)</f>
        <v>50.8</v>
      </c>
      <c r="AG121" s="87">
        <v>1198</v>
      </c>
      <c r="AH121" s="87">
        <v>42.26</v>
      </c>
      <c r="AI121" s="87">
        <v>6.1</v>
      </c>
      <c r="AJ121" s="87">
        <v>215.18</v>
      </c>
      <c r="AK121" s="87">
        <v>7.15</v>
      </c>
      <c r="AL121" s="87">
        <v>252.21</v>
      </c>
      <c r="AM121" s="87">
        <f t="shared" si="17"/>
        <v>0.1573158144</v>
      </c>
      <c r="AN121" s="87" t="s">
        <v>1770</v>
      </c>
      <c r="AO121" s="87" t="s">
        <v>1773</v>
      </c>
      <c r="AP121" s="87" t="s">
        <v>1774</v>
      </c>
    </row>
    <row r="122" customHeight="1" spans="1:42">
      <c r="A122" s="86" t="s">
        <v>607</v>
      </c>
      <c r="B122" s="91" t="str">
        <f>_xlfn.XLOOKUP(A122,'Product List'!B:B,'Product List'!A:A)</f>
        <v>WJ-39</v>
      </c>
      <c r="C122" s="86" t="str">
        <f>_xlfn.XLOOKUP(A122,'Product List'!B:B,'Product List'!L:L)</f>
        <v>跑轮-宽面跑轮 白色</v>
      </c>
      <c r="D122" s="86">
        <v>3</v>
      </c>
      <c r="E122" s="86" t="s">
        <v>1767</v>
      </c>
      <c r="F122" s="92">
        <v>45931</v>
      </c>
      <c r="G122" s="86" t="s">
        <v>1761</v>
      </c>
      <c r="H122" s="86" t="s">
        <v>1775</v>
      </c>
      <c r="I122" s="92" t="s">
        <v>731</v>
      </c>
      <c r="J122" s="86" t="s">
        <v>731</v>
      </c>
      <c r="K122" s="92" t="s">
        <v>731</v>
      </c>
      <c r="L122" s="92">
        <v>45931</v>
      </c>
      <c r="M122" s="93" t="s">
        <v>731</v>
      </c>
      <c r="N122" s="86" t="s">
        <v>731</v>
      </c>
      <c r="O122" s="86">
        <v>10.63</v>
      </c>
      <c r="P122" s="86">
        <v>7.33</v>
      </c>
      <c r="Q122" s="86">
        <v>12.05</v>
      </c>
      <c r="R122" s="86">
        <v>14.57</v>
      </c>
      <c r="S122" s="86">
        <v>9.06</v>
      </c>
      <c r="T122" s="86">
        <v>14.57</v>
      </c>
      <c r="U122" s="86">
        <f t="shared" si="31"/>
        <v>24</v>
      </c>
      <c r="V122" s="86">
        <f t="shared" si="32"/>
        <v>20</v>
      </c>
      <c r="W122" s="86">
        <f t="shared" si="33"/>
        <v>20</v>
      </c>
      <c r="X122" s="86">
        <v>85</v>
      </c>
      <c r="Y122" s="86">
        <v>18.6</v>
      </c>
      <c r="Z122" s="86">
        <v>30.6</v>
      </c>
      <c r="AA122" s="86">
        <v>37</v>
      </c>
      <c r="AB122" s="86">
        <v>23</v>
      </c>
      <c r="AC122" s="86">
        <v>37</v>
      </c>
      <c r="AD122" s="86">
        <f>_xlfn.XLOOKUP(G122,'Case Type'!A:A,'Case Type'!E:E)</f>
        <v>60.96</v>
      </c>
      <c r="AE122" s="86">
        <f>_xlfn.XLOOKUP(G122,'Case Type'!A:A,'Case Type'!F:F)</f>
        <v>50.8</v>
      </c>
      <c r="AF122" s="86">
        <f>_xlfn.XLOOKUP(G122,'Case Type'!A:A,'Case Type'!G:G)</f>
        <v>50.8</v>
      </c>
      <c r="AG122" s="87">
        <v>1198</v>
      </c>
      <c r="AH122" s="87">
        <v>42.26</v>
      </c>
      <c r="AI122" s="87">
        <v>6.1</v>
      </c>
      <c r="AJ122" s="87">
        <v>215.18</v>
      </c>
      <c r="AK122" s="87">
        <v>7.15</v>
      </c>
      <c r="AL122" s="87">
        <v>252.21</v>
      </c>
      <c r="AM122" s="87">
        <f t="shared" si="17"/>
        <v>0.1573158144</v>
      </c>
      <c r="AN122" s="87" t="s">
        <v>1770</v>
      </c>
      <c r="AO122" s="87" t="s">
        <v>1773</v>
      </c>
      <c r="AP122" s="87" t="s">
        <v>1774</v>
      </c>
    </row>
    <row r="123" customFormat="1" customHeight="1" spans="1:42">
      <c r="A123" s="86" t="s">
        <v>1326</v>
      </c>
      <c r="B123" s="91" t="str">
        <f>_xlfn.XLOOKUP(A123,'Product List'!B:B,'Product List'!A:A)</f>
        <v>WJ-43</v>
      </c>
      <c r="C123" s="86" t="str">
        <f>_xlfn.XLOOKUP(A123,'Product List'!B:B,'Product List'!L:L)</f>
        <v>躲避屋-奶酪商店小号</v>
      </c>
      <c r="D123" s="86" t="s">
        <v>731</v>
      </c>
      <c r="E123" s="86" t="s">
        <v>1767</v>
      </c>
      <c r="F123" s="92">
        <v>45931</v>
      </c>
      <c r="G123" s="86" t="s">
        <v>731</v>
      </c>
      <c r="H123" s="86" t="s">
        <v>1775</v>
      </c>
      <c r="I123" s="92" t="s">
        <v>731</v>
      </c>
      <c r="J123" s="86" t="s">
        <v>731</v>
      </c>
      <c r="K123" s="92" t="s">
        <v>731</v>
      </c>
      <c r="L123" s="92">
        <v>45931</v>
      </c>
      <c r="M123" s="93" t="s">
        <v>731</v>
      </c>
      <c r="N123" s="86" t="s">
        <v>731</v>
      </c>
      <c r="O123" s="86">
        <v>5.52</v>
      </c>
      <c r="P123" s="86">
        <v>5.2</v>
      </c>
      <c r="Q123" s="86">
        <v>3.55</v>
      </c>
      <c r="R123" s="86">
        <v>7.17</v>
      </c>
      <c r="S123" s="86">
        <v>5.2</v>
      </c>
      <c r="T123" s="86">
        <v>6.78</v>
      </c>
      <c r="U123" s="86">
        <v>21.46</v>
      </c>
      <c r="V123" s="86">
        <v>15.16</v>
      </c>
      <c r="W123" s="86">
        <v>14.38</v>
      </c>
      <c r="X123" s="86">
        <v>14</v>
      </c>
      <c r="Y123" s="86">
        <v>13.2</v>
      </c>
      <c r="Z123" s="86">
        <v>9</v>
      </c>
      <c r="AA123" s="86">
        <v>18.2</v>
      </c>
      <c r="AB123" s="86">
        <v>13.2</v>
      </c>
      <c r="AC123" s="86">
        <v>17.2</v>
      </c>
      <c r="AD123" s="86">
        <v>54.5</v>
      </c>
      <c r="AE123" s="86">
        <v>38.5</v>
      </c>
      <c r="AF123" s="86" t="s">
        <v>731</v>
      </c>
      <c r="AG123" s="87" t="s">
        <v>731</v>
      </c>
      <c r="AH123" s="87" t="s">
        <v>731</v>
      </c>
      <c r="AI123" s="87" t="s">
        <v>731</v>
      </c>
      <c r="AJ123" s="87" t="s">
        <v>731</v>
      </c>
      <c r="AK123" s="87" t="s">
        <v>731</v>
      </c>
      <c r="AL123" s="87" t="s">
        <v>731</v>
      </c>
      <c r="AM123" s="87" t="str">
        <f t="shared" ref="AM123:AM149" si="34">IFERROR(AD123*AE123*AF123/1000000,"NA")</f>
        <v>NA</v>
      </c>
      <c r="AN123" s="87" t="s">
        <v>731</v>
      </c>
      <c r="AO123" s="87" t="s">
        <v>731</v>
      </c>
      <c r="AP123" s="87" t="s">
        <v>731</v>
      </c>
    </row>
    <row r="124" customFormat="1" customHeight="1" spans="1:42">
      <c r="A124" s="86" t="s">
        <v>1656</v>
      </c>
      <c r="B124" s="91" t="str">
        <f>_xlfn.XLOOKUP(A124,'Product List'!B:B,'Product List'!A:A)</f>
        <v>CFLS114000GN</v>
      </c>
      <c r="C124" s="86" t="str">
        <f>_xlfn.XLOOKUP(A124,'Product List'!B:B,'Product List'!L:L)</f>
        <v>磨牙玩具-甜品派对磨牙零食</v>
      </c>
      <c r="D124" s="86" t="s">
        <v>731</v>
      </c>
      <c r="E124" s="86" t="s">
        <v>1767</v>
      </c>
      <c r="F124" s="92">
        <v>45931</v>
      </c>
      <c r="G124" s="86" t="s">
        <v>731</v>
      </c>
      <c r="H124" s="86" t="s">
        <v>1775</v>
      </c>
      <c r="I124" s="92" t="s">
        <v>731</v>
      </c>
      <c r="J124" s="86" t="s">
        <v>731</v>
      </c>
      <c r="K124" s="92" t="s">
        <v>731</v>
      </c>
      <c r="L124" s="92">
        <v>45931</v>
      </c>
      <c r="M124" s="93" t="s">
        <v>731</v>
      </c>
      <c r="N124" s="86" t="s">
        <v>731</v>
      </c>
      <c r="O124" s="86">
        <v>3.43</v>
      </c>
      <c r="P124" s="86">
        <v>1.58</v>
      </c>
      <c r="Q124" s="86">
        <v>3.55</v>
      </c>
      <c r="R124" s="86">
        <v>3.43</v>
      </c>
      <c r="S124" s="86">
        <v>1.58</v>
      </c>
      <c r="T124" s="86">
        <v>3.55</v>
      </c>
      <c r="U124" s="86">
        <v>15.99</v>
      </c>
      <c r="V124" s="86">
        <v>20</v>
      </c>
      <c r="W124" s="86">
        <v>14.02</v>
      </c>
      <c r="X124" s="86">
        <v>8.7</v>
      </c>
      <c r="Y124" s="86">
        <v>4</v>
      </c>
      <c r="Z124" s="86">
        <v>9</v>
      </c>
      <c r="AA124" s="86">
        <v>8.7</v>
      </c>
      <c r="AB124" s="86">
        <v>4</v>
      </c>
      <c r="AC124" s="86">
        <v>9</v>
      </c>
      <c r="AD124" s="86">
        <v>40.6</v>
      </c>
      <c r="AE124" s="86">
        <v>50.8</v>
      </c>
      <c r="AF124" s="86" t="s">
        <v>731</v>
      </c>
      <c r="AG124" s="87" t="s">
        <v>731</v>
      </c>
      <c r="AH124" s="87" t="s">
        <v>731</v>
      </c>
      <c r="AI124" s="87" t="s">
        <v>731</v>
      </c>
      <c r="AJ124" s="87" t="s">
        <v>731</v>
      </c>
      <c r="AK124" s="87" t="s">
        <v>731</v>
      </c>
      <c r="AL124" s="87" t="s">
        <v>731</v>
      </c>
      <c r="AM124" s="87" t="str">
        <f t="shared" si="34"/>
        <v>NA</v>
      </c>
      <c r="AN124" s="87" t="s">
        <v>731</v>
      </c>
      <c r="AO124" s="87" t="s">
        <v>731</v>
      </c>
      <c r="AP124" s="87" t="s">
        <v>731</v>
      </c>
    </row>
    <row r="125" customFormat="1" customHeight="1" spans="1:42">
      <c r="A125" s="86" t="s">
        <v>1661</v>
      </c>
      <c r="B125" s="91" t="str">
        <f>_xlfn.XLOOKUP(A125,'Product List'!B:B,'Product List'!A:A)</f>
        <v>CPDB25003YE</v>
      </c>
      <c r="C125" s="86" t="str">
        <f>_xlfn.XLOOKUP(A125,'Product List'!B:B,'Product List'!L:L)</f>
        <v>木制躲避屋-乡间日记-阁楼滑梯房</v>
      </c>
      <c r="D125" s="86" t="s">
        <v>731</v>
      </c>
      <c r="E125" s="86" t="s">
        <v>1767</v>
      </c>
      <c r="F125" s="92">
        <v>45931</v>
      </c>
      <c r="G125" s="86" t="s">
        <v>731</v>
      </c>
      <c r="H125" s="86" t="s">
        <v>1775</v>
      </c>
      <c r="I125" s="92" t="s">
        <v>731</v>
      </c>
      <c r="J125" s="86" t="s">
        <v>731</v>
      </c>
      <c r="K125" s="92" t="s">
        <v>731</v>
      </c>
      <c r="L125" s="92">
        <v>45931</v>
      </c>
      <c r="M125" s="93" t="s">
        <v>731</v>
      </c>
      <c r="N125" s="86" t="s">
        <v>731</v>
      </c>
      <c r="O125" s="86">
        <v>5.12</v>
      </c>
      <c r="P125" s="86">
        <v>5.12</v>
      </c>
      <c r="Q125" s="86">
        <v>8.27</v>
      </c>
      <c r="R125" s="86">
        <v>5.91</v>
      </c>
      <c r="S125" s="86">
        <v>5.91</v>
      </c>
      <c r="T125" s="86">
        <v>8.67</v>
      </c>
      <c r="U125" s="86">
        <v>24.02</v>
      </c>
      <c r="V125" s="86">
        <v>20</v>
      </c>
      <c r="W125" s="86">
        <v>14.02</v>
      </c>
      <c r="X125" s="86">
        <v>13</v>
      </c>
      <c r="Y125" s="86">
        <v>13</v>
      </c>
      <c r="Z125" s="86">
        <v>21</v>
      </c>
      <c r="AA125" s="86">
        <v>15</v>
      </c>
      <c r="AB125" s="86">
        <v>15</v>
      </c>
      <c r="AC125" s="86">
        <v>22</v>
      </c>
      <c r="AD125" s="86">
        <v>61</v>
      </c>
      <c r="AE125" s="86">
        <v>50.8</v>
      </c>
      <c r="AF125" s="86" t="s">
        <v>731</v>
      </c>
      <c r="AG125" s="87" t="s">
        <v>731</v>
      </c>
      <c r="AH125" s="87" t="s">
        <v>731</v>
      </c>
      <c r="AI125" s="87" t="s">
        <v>731</v>
      </c>
      <c r="AJ125" s="87" t="s">
        <v>731</v>
      </c>
      <c r="AK125" s="87" t="s">
        <v>731</v>
      </c>
      <c r="AL125" s="87" t="s">
        <v>731</v>
      </c>
      <c r="AM125" s="87" t="str">
        <f t="shared" si="34"/>
        <v>NA</v>
      </c>
      <c r="AN125" s="87" t="s">
        <v>731</v>
      </c>
      <c r="AO125" s="87" t="s">
        <v>731</v>
      </c>
      <c r="AP125" s="87" t="s">
        <v>731</v>
      </c>
    </row>
    <row r="126" customFormat="1" customHeight="1" spans="1:42">
      <c r="A126" s="86" t="s">
        <v>1665</v>
      </c>
      <c r="B126" s="91" t="str">
        <f>_xlfn.XLOOKUP(A126,'Product List'!B:B,'Product List'!A:A)</f>
        <v>CPDB25005YE</v>
      </c>
      <c r="C126" s="86" t="str">
        <f>_xlfn.XLOOKUP(A126,'Product List'!B:B,'Product List'!L:L)</f>
        <v>木制躲避屋-乡间日记-露营多居室-小号</v>
      </c>
      <c r="D126" s="86" t="s">
        <v>731</v>
      </c>
      <c r="E126" s="86" t="s">
        <v>1767</v>
      </c>
      <c r="F126" s="92">
        <v>45931</v>
      </c>
      <c r="G126" s="86" t="s">
        <v>731</v>
      </c>
      <c r="H126" s="86" t="s">
        <v>1775</v>
      </c>
      <c r="I126" s="92" t="s">
        <v>731</v>
      </c>
      <c r="J126" s="86" t="s">
        <v>731</v>
      </c>
      <c r="K126" s="92" t="s">
        <v>731</v>
      </c>
      <c r="L126" s="92">
        <v>45931</v>
      </c>
      <c r="M126" s="93" t="s">
        <v>731</v>
      </c>
      <c r="N126" s="86" t="s">
        <v>731</v>
      </c>
      <c r="O126" s="86">
        <v>8.67</v>
      </c>
      <c r="P126" s="86">
        <v>7.49</v>
      </c>
      <c r="Q126" s="86">
        <v>3.39</v>
      </c>
      <c r="R126" s="86">
        <v>8.86</v>
      </c>
      <c r="S126" s="86">
        <v>7.68</v>
      </c>
      <c r="T126" s="86">
        <v>3.55</v>
      </c>
      <c r="U126" s="86">
        <v>24.02</v>
      </c>
      <c r="V126" s="86">
        <v>20</v>
      </c>
      <c r="W126" s="86">
        <v>14.02</v>
      </c>
      <c r="X126" s="86">
        <v>22</v>
      </c>
      <c r="Y126" s="86">
        <v>19</v>
      </c>
      <c r="Z126" s="86">
        <v>8.6</v>
      </c>
      <c r="AA126" s="86">
        <v>22.5</v>
      </c>
      <c r="AB126" s="86">
        <v>19.5</v>
      </c>
      <c r="AC126" s="86">
        <v>9</v>
      </c>
      <c r="AD126" s="86">
        <v>61</v>
      </c>
      <c r="AE126" s="86">
        <v>50.8</v>
      </c>
      <c r="AF126" s="86" t="s">
        <v>731</v>
      </c>
      <c r="AG126" s="87" t="s">
        <v>731</v>
      </c>
      <c r="AH126" s="87" t="s">
        <v>731</v>
      </c>
      <c r="AI126" s="87" t="s">
        <v>731</v>
      </c>
      <c r="AJ126" s="87" t="s">
        <v>731</v>
      </c>
      <c r="AK126" s="87" t="s">
        <v>731</v>
      </c>
      <c r="AL126" s="87" t="s">
        <v>731</v>
      </c>
      <c r="AM126" s="87" t="str">
        <f t="shared" si="34"/>
        <v>NA</v>
      </c>
      <c r="AN126" s="87" t="s">
        <v>731</v>
      </c>
      <c r="AO126" s="87" t="s">
        <v>731</v>
      </c>
      <c r="AP126" s="87" t="s">
        <v>731</v>
      </c>
    </row>
    <row r="127" customFormat="1" customHeight="1" spans="1:42">
      <c r="A127" s="86" t="s">
        <v>1669</v>
      </c>
      <c r="B127" s="91" t="str">
        <f>_xlfn.XLOOKUP(A127,'Product List'!B:B,'Product List'!A:A)</f>
        <v>CPWJ149000BN</v>
      </c>
      <c r="C127" s="86" t="str">
        <f>_xlfn.XLOOKUP(A127,'Product List'!B:B,'Product List'!L:L)</f>
        <v>隔板-小森林围栏</v>
      </c>
      <c r="D127" s="86" t="s">
        <v>731</v>
      </c>
      <c r="E127" s="86" t="s">
        <v>1767</v>
      </c>
      <c r="F127" s="92">
        <v>45931</v>
      </c>
      <c r="G127" s="86" t="s">
        <v>731</v>
      </c>
      <c r="H127" s="86" t="s">
        <v>1775</v>
      </c>
      <c r="I127" s="92" t="s">
        <v>731</v>
      </c>
      <c r="J127" s="86" t="s">
        <v>731</v>
      </c>
      <c r="K127" s="92" t="s">
        <v>731</v>
      </c>
      <c r="L127" s="92">
        <v>45931</v>
      </c>
      <c r="M127" s="93" t="s">
        <v>731</v>
      </c>
      <c r="N127" s="86" t="s">
        <v>731</v>
      </c>
      <c r="O127" s="86">
        <v>15.6</v>
      </c>
      <c r="P127" s="86">
        <v>3.55</v>
      </c>
      <c r="Q127" s="86">
        <v>0.79</v>
      </c>
      <c r="R127" s="86">
        <v>7.88</v>
      </c>
      <c r="S127" s="86">
        <v>3.55</v>
      </c>
      <c r="T127" s="86">
        <v>1.58</v>
      </c>
      <c r="U127" s="86">
        <v>24.02</v>
      </c>
      <c r="V127" s="86">
        <v>20</v>
      </c>
      <c r="W127" s="86">
        <v>20</v>
      </c>
      <c r="X127" s="86">
        <v>39.6</v>
      </c>
      <c r="Y127" s="86">
        <v>9</v>
      </c>
      <c r="Z127" s="86">
        <v>2</v>
      </c>
      <c r="AA127" s="86">
        <v>20</v>
      </c>
      <c r="AB127" s="86">
        <v>9</v>
      </c>
      <c r="AC127" s="86">
        <v>4</v>
      </c>
      <c r="AD127" s="86">
        <v>61</v>
      </c>
      <c r="AE127" s="86">
        <v>50.8</v>
      </c>
      <c r="AF127" s="86" t="s">
        <v>731</v>
      </c>
      <c r="AG127" s="87" t="s">
        <v>731</v>
      </c>
      <c r="AH127" s="87" t="s">
        <v>731</v>
      </c>
      <c r="AI127" s="87" t="s">
        <v>731</v>
      </c>
      <c r="AJ127" s="87" t="s">
        <v>731</v>
      </c>
      <c r="AK127" s="87" t="s">
        <v>731</v>
      </c>
      <c r="AL127" s="87" t="s">
        <v>731</v>
      </c>
      <c r="AM127" s="87" t="str">
        <f t="shared" si="34"/>
        <v>NA</v>
      </c>
      <c r="AN127" s="87" t="s">
        <v>731</v>
      </c>
      <c r="AO127" s="87" t="s">
        <v>731</v>
      </c>
      <c r="AP127" s="87" t="s">
        <v>731</v>
      </c>
    </row>
    <row r="128" customFormat="1" customHeight="1" spans="1:42">
      <c r="A128" s="86" t="s">
        <v>1674</v>
      </c>
      <c r="B128" s="91" t="str">
        <f>_xlfn.XLOOKUP(A128,'Product List'!B:B,'Product List'!A:A)</f>
        <v>CPDB61002RD</v>
      </c>
      <c r="C128" s="86" t="str">
        <f>_xlfn.XLOOKUP(A128,'Product List'!B:B,'Product List'!L:L)</f>
        <v>木制躲避屋-红砖小木屋</v>
      </c>
      <c r="D128" s="86" t="s">
        <v>731</v>
      </c>
      <c r="E128" s="86" t="s">
        <v>1767</v>
      </c>
      <c r="F128" s="92">
        <v>45931</v>
      </c>
      <c r="G128" s="86" t="s">
        <v>731</v>
      </c>
      <c r="H128" s="86" t="s">
        <v>1775</v>
      </c>
      <c r="I128" s="92" t="s">
        <v>731</v>
      </c>
      <c r="J128" s="86" t="s">
        <v>731</v>
      </c>
      <c r="K128" s="92" t="s">
        <v>731</v>
      </c>
      <c r="L128" s="92">
        <v>45931</v>
      </c>
      <c r="M128" s="93" t="s">
        <v>731</v>
      </c>
      <c r="N128" s="86" t="s">
        <v>731</v>
      </c>
      <c r="O128" s="86">
        <v>6.15</v>
      </c>
      <c r="P128" s="86">
        <v>5</v>
      </c>
      <c r="Q128" s="86">
        <v>5.12</v>
      </c>
      <c r="R128" s="86">
        <v>6.3</v>
      </c>
      <c r="S128" s="86">
        <v>5.2</v>
      </c>
      <c r="T128" s="86">
        <v>5.32</v>
      </c>
      <c r="U128" s="86">
        <v>15.99</v>
      </c>
      <c r="V128" s="86">
        <v>20</v>
      </c>
      <c r="W128" s="86">
        <v>14.02</v>
      </c>
      <c r="X128" s="86">
        <v>15.6</v>
      </c>
      <c r="Y128" s="86">
        <v>12.7</v>
      </c>
      <c r="Z128" s="86">
        <v>13</v>
      </c>
      <c r="AA128" s="86">
        <v>16</v>
      </c>
      <c r="AB128" s="86">
        <v>13.2</v>
      </c>
      <c r="AC128" s="86">
        <v>13.5</v>
      </c>
      <c r="AD128" s="86">
        <v>40.6</v>
      </c>
      <c r="AE128" s="86">
        <v>50.8</v>
      </c>
      <c r="AF128" s="86" t="s">
        <v>731</v>
      </c>
      <c r="AG128" s="87" t="s">
        <v>731</v>
      </c>
      <c r="AH128" s="87" t="s">
        <v>731</v>
      </c>
      <c r="AI128" s="87" t="s">
        <v>731</v>
      </c>
      <c r="AJ128" s="87" t="s">
        <v>731</v>
      </c>
      <c r="AK128" s="87" t="s">
        <v>731</v>
      </c>
      <c r="AL128" s="87" t="s">
        <v>731</v>
      </c>
      <c r="AM128" s="87" t="str">
        <f t="shared" si="34"/>
        <v>NA</v>
      </c>
      <c r="AN128" s="87" t="s">
        <v>731</v>
      </c>
      <c r="AO128" s="87" t="s">
        <v>731</v>
      </c>
      <c r="AP128" s="87" t="s">
        <v>731</v>
      </c>
    </row>
    <row r="129" customFormat="1" customHeight="1" spans="1:42">
      <c r="A129" s="86" t="s">
        <v>1678</v>
      </c>
      <c r="B129" s="91" t="str">
        <f>_xlfn.XLOOKUP(A129,'Product List'!B:B,'Product List'!A:A)</f>
        <v>CPDB61001RD</v>
      </c>
      <c r="C129" s="86" t="str">
        <f>_xlfn.XLOOKUP(A129,'Product List'!B:B,'Product List'!L:L)</f>
        <v>木制躲避屋-乡间露台</v>
      </c>
      <c r="D129" s="86" t="s">
        <v>731</v>
      </c>
      <c r="E129" s="86" t="s">
        <v>1767</v>
      </c>
      <c r="F129" s="92">
        <v>45931</v>
      </c>
      <c r="G129" s="86" t="s">
        <v>731</v>
      </c>
      <c r="H129" s="86" t="s">
        <v>1775</v>
      </c>
      <c r="I129" s="92" t="s">
        <v>731</v>
      </c>
      <c r="J129" s="86" t="s">
        <v>731</v>
      </c>
      <c r="K129" s="92" t="s">
        <v>731</v>
      </c>
      <c r="L129" s="92">
        <v>45931</v>
      </c>
      <c r="M129" s="93" t="s">
        <v>731</v>
      </c>
      <c r="N129" s="86" t="s">
        <v>731</v>
      </c>
      <c r="O129" s="86">
        <v>11.62</v>
      </c>
      <c r="P129" s="86">
        <v>8.67</v>
      </c>
      <c r="Q129" s="86">
        <v>11.5</v>
      </c>
      <c r="R129" s="86">
        <v>11.82</v>
      </c>
      <c r="S129" s="86">
        <v>8.86</v>
      </c>
      <c r="T129" s="86">
        <v>1.97</v>
      </c>
      <c r="U129" s="86">
        <v>15.99</v>
      </c>
      <c r="V129" s="86">
        <v>20</v>
      </c>
      <c r="W129" s="86">
        <v>14.02</v>
      </c>
      <c r="X129" s="86">
        <v>29.5</v>
      </c>
      <c r="Y129" s="86">
        <v>22</v>
      </c>
      <c r="Z129" s="86">
        <v>29.2</v>
      </c>
      <c r="AA129" s="86">
        <v>30</v>
      </c>
      <c r="AB129" s="86">
        <v>22.5</v>
      </c>
      <c r="AC129" s="86">
        <v>5</v>
      </c>
      <c r="AD129" s="86">
        <v>40.6</v>
      </c>
      <c r="AE129" s="86">
        <v>50.8</v>
      </c>
      <c r="AF129" s="86" t="s">
        <v>731</v>
      </c>
      <c r="AG129" s="87" t="s">
        <v>731</v>
      </c>
      <c r="AH129" s="87" t="s">
        <v>731</v>
      </c>
      <c r="AI129" s="87" t="s">
        <v>731</v>
      </c>
      <c r="AJ129" s="87" t="s">
        <v>731</v>
      </c>
      <c r="AK129" s="87" t="s">
        <v>731</v>
      </c>
      <c r="AL129" s="87" t="s">
        <v>731</v>
      </c>
      <c r="AM129" s="87" t="str">
        <f t="shared" si="34"/>
        <v>NA</v>
      </c>
      <c r="AN129" s="87" t="s">
        <v>731</v>
      </c>
      <c r="AO129" s="87" t="s">
        <v>731</v>
      </c>
      <c r="AP129" s="87" t="s">
        <v>731</v>
      </c>
    </row>
    <row r="130" customFormat="1" customHeight="1" spans="1:42">
      <c r="A130" s="86" t="s">
        <v>1682</v>
      </c>
      <c r="B130" s="91" t="str">
        <f>_xlfn.XLOOKUP(A130,'Product List'!B:B,'Product List'!A:A)</f>
        <v>CPDB61003RD</v>
      </c>
      <c r="C130" s="86" t="str">
        <f>_xlfn.XLOOKUP(A130,'Product List'!B:B,'Product List'!L:L)</f>
        <v>木制躲避屋-树叶爬梯</v>
      </c>
      <c r="D130" s="86" t="s">
        <v>731</v>
      </c>
      <c r="E130" s="86" t="s">
        <v>1767</v>
      </c>
      <c r="F130" s="92">
        <v>45931</v>
      </c>
      <c r="G130" s="86" t="s">
        <v>731</v>
      </c>
      <c r="H130" s="86" t="s">
        <v>1775</v>
      </c>
      <c r="I130" s="92" t="s">
        <v>731</v>
      </c>
      <c r="J130" s="86" t="s">
        <v>731</v>
      </c>
      <c r="K130" s="92" t="s">
        <v>731</v>
      </c>
      <c r="L130" s="92">
        <v>45931</v>
      </c>
      <c r="M130" s="93" t="s">
        <v>731</v>
      </c>
      <c r="N130" s="86" t="s">
        <v>731</v>
      </c>
      <c r="O130" s="86">
        <v>4.14</v>
      </c>
      <c r="P130" s="86">
        <v>4.14</v>
      </c>
      <c r="Q130" s="86">
        <v>4.77</v>
      </c>
      <c r="R130" s="86">
        <v>4.34</v>
      </c>
      <c r="S130" s="86">
        <v>4.34</v>
      </c>
      <c r="T130" s="86">
        <v>4.93</v>
      </c>
      <c r="U130" s="86">
        <v>15.99</v>
      </c>
      <c r="V130" s="86">
        <v>20</v>
      </c>
      <c r="W130" s="86">
        <v>14.02</v>
      </c>
      <c r="X130" s="86">
        <v>10.5</v>
      </c>
      <c r="Y130" s="86">
        <v>10.5</v>
      </c>
      <c r="Z130" s="86">
        <v>12.1</v>
      </c>
      <c r="AA130" s="86">
        <v>11</v>
      </c>
      <c r="AB130" s="86">
        <v>11</v>
      </c>
      <c r="AC130" s="86">
        <v>12.5</v>
      </c>
      <c r="AD130" s="86">
        <v>40.6</v>
      </c>
      <c r="AE130" s="86">
        <v>50.8</v>
      </c>
      <c r="AF130" s="86" t="s">
        <v>731</v>
      </c>
      <c r="AG130" s="87" t="s">
        <v>731</v>
      </c>
      <c r="AH130" s="87" t="s">
        <v>731</v>
      </c>
      <c r="AI130" s="87" t="s">
        <v>731</v>
      </c>
      <c r="AJ130" s="87" t="s">
        <v>731</v>
      </c>
      <c r="AK130" s="87" t="s">
        <v>731</v>
      </c>
      <c r="AL130" s="87" t="s">
        <v>731</v>
      </c>
      <c r="AM130" s="87" t="str">
        <f t="shared" si="34"/>
        <v>NA</v>
      </c>
      <c r="AN130" s="87" t="s">
        <v>731</v>
      </c>
      <c r="AO130" s="87" t="s">
        <v>731</v>
      </c>
      <c r="AP130" s="87" t="s">
        <v>731</v>
      </c>
    </row>
    <row r="131" customFormat="1" customHeight="1" spans="1:42">
      <c r="A131" s="86" t="s">
        <v>1686</v>
      </c>
      <c r="B131" s="91" t="str">
        <f>_xlfn.XLOOKUP(A131,'Product List'!B:B,'Product List'!A:A)</f>
        <v>CPWJ183002WH</v>
      </c>
      <c r="C131" s="86" t="str">
        <f>_xlfn.XLOOKUP(A131,'Product List'!B:B,'Product List'!L:L)</f>
        <v>躲避屋-空间平台-冰川白</v>
      </c>
      <c r="D131" s="86" t="s">
        <v>731</v>
      </c>
      <c r="E131" s="86" t="s">
        <v>1767</v>
      </c>
      <c r="F131" s="92">
        <v>45931</v>
      </c>
      <c r="G131" s="86" t="s">
        <v>731</v>
      </c>
      <c r="H131" s="86" t="s">
        <v>1775</v>
      </c>
      <c r="I131" s="92" t="s">
        <v>731</v>
      </c>
      <c r="J131" s="86" t="s">
        <v>731</v>
      </c>
      <c r="K131" s="92" t="s">
        <v>731</v>
      </c>
      <c r="L131" s="92">
        <v>45931</v>
      </c>
      <c r="M131" s="93" t="s">
        <v>731</v>
      </c>
      <c r="N131" s="86" t="s">
        <v>731</v>
      </c>
      <c r="O131" s="86">
        <v>11.82</v>
      </c>
      <c r="P131" s="86">
        <v>7.29</v>
      </c>
      <c r="Q131" s="86">
        <v>5.71</v>
      </c>
      <c r="R131" s="86">
        <v>12.21</v>
      </c>
      <c r="S131" s="86">
        <v>7.88</v>
      </c>
      <c r="T131" s="86">
        <v>1.58</v>
      </c>
      <c r="U131" s="86">
        <v>15.99</v>
      </c>
      <c r="V131" s="86">
        <v>20</v>
      </c>
      <c r="W131" s="86">
        <v>14.02</v>
      </c>
      <c r="X131" s="86">
        <v>30</v>
      </c>
      <c r="Y131" s="86">
        <v>18.5</v>
      </c>
      <c r="Z131" s="86">
        <v>14.5</v>
      </c>
      <c r="AA131" s="86">
        <v>31</v>
      </c>
      <c r="AB131" s="86">
        <v>20</v>
      </c>
      <c r="AC131" s="86">
        <v>4</v>
      </c>
      <c r="AD131" s="86">
        <v>40.6</v>
      </c>
      <c r="AE131" s="86">
        <v>50.8</v>
      </c>
      <c r="AF131" s="86" t="s">
        <v>731</v>
      </c>
      <c r="AG131" s="87" t="s">
        <v>731</v>
      </c>
      <c r="AH131" s="87" t="s">
        <v>731</v>
      </c>
      <c r="AI131" s="87" t="s">
        <v>731</v>
      </c>
      <c r="AJ131" s="87" t="s">
        <v>731</v>
      </c>
      <c r="AK131" s="87" t="s">
        <v>731</v>
      </c>
      <c r="AL131" s="87" t="s">
        <v>731</v>
      </c>
      <c r="AM131" s="87" t="str">
        <f t="shared" si="34"/>
        <v>NA</v>
      </c>
      <c r="AN131" s="87" t="s">
        <v>731</v>
      </c>
      <c r="AO131" s="87" t="s">
        <v>731</v>
      </c>
      <c r="AP131" s="87" t="s">
        <v>731</v>
      </c>
    </row>
    <row r="132" customHeight="1" spans="1:42">
      <c r="A132" s="86" t="s">
        <v>1691</v>
      </c>
      <c r="B132" s="91" t="str">
        <f>_xlfn.XLOOKUP(A132,'Product List'!B:B,'Product List'!A:A)</f>
        <v>NA</v>
      </c>
      <c r="C132" s="86" t="str">
        <f>_xlfn.XLOOKUP(A132,'Product List'!B:B,'Product List'!L:L)</f>
        <v>水壶-路灯水壶站立款-棕色（普通款）-170ml(5.8fl oz)</v>
      </c>
      <c r="D132" s="86">
        <v>27</v>
      </c>
      <c r="E132" s="86" t="s">
        <v>1767</v>
      </c>
      <c r="F132" s="92">
        <v>45931</v>
      </c>
      <c r="G132" s="86" t="s">
        <v>1761</v>
      </c>
      <c r="H132" s="86" t="s">
        <v>1775</v>
      </c>
      <c r="I132" s="92" t="s">
        <v>731</v>
      </c>
      <c r="J132" s="86" t="s">
        <v>731</v>
      </c>
      <c r="K132" s="92" t="s">
        <v>731</v>
      </c>
      <c r="L132" s="92">
        <v>45931</v>
      </c>
      <c r="M132" s="93" t="s">
        <v>731</v>
      </c>
      <c r="N132" s="86" t="s">
        <v>731</v>
      </c>
      <c r="O132" s="86">
        <v>5.71</v>
      </c>
      <c r="P132" s="86">
        <v>5.28</v>
      </c>
      <c r="Q132" s="86">
        <v>9.3</v>
      </c>
      <c r="R132" s="86">
        <v>6.3</v>
      </c>
      <c r="S132" s="86">
        <v>6.3</v>
      </c>
      <c r="T132" s="86">
        <v>6.11</v>
      </c>
      <c r="U132" s="86">
        <f t="shared" ref="U132:W132" si="35">IFERROR(ROUNDUP(AD132/2.54,2),"NA")</f>
        <v>24</v>
      </c>
      <c r="V132" s="86">
        <f t="shared" si="35"/>
        <v>20</v>
      </c>
      <c r="W132" s="86">
        <f t="shared" si="35"/>
        <v>20</v>
      </c>
      <c r="X132" s="86">
        <v>85</v>
      </c>
      <c r="Y132" s="86">
        <v>13.4</v>
      </c>
      <c r="Z132" s="86">
        <v>23.6</v>
      </c>
      <c r="AA132" s="86">
        <v>16</v>
      </c>
      <c r="AB132" s="86">
        <v>16</v>
      </c>
      <c r="AC132" s="86">
        <v>15.5</v>
      </c>
      <c r="AD132" s="86">
        <f>_xlfn.XLOOKUP(G132,'Case Type'!A:A,'Case Type'!E:E)</f>
        <v>60.96</v>
      </c>
      <c r="AE132" s="86">
        <f>_xlfn.XLOOKUP(G132,'Case Type'!A:A,'Case Type'!F:F)</f>
        <v>50.8</v>
      </c>
      <c r="AF132" s="86">
        <f>_xlfn.XLOOKUP(G132,'Case Type'!A:A,'Case Type'!G:G)</f>
        <v>50.8</v>
      </c>
      <c r="AG132" s="87">
        <v>111</v>
      </c>
      <c r="AH132" s="87">
        <v>3.92</v>
      </c>
      <c r="AI132" s="87" t="s">
        <v>731</v>
      </c>
      <c r="AJ132" s="87" t="s">
        <v>731</v>
      </c>
      <c r="AK132" s="87" t="s">
        <v>731</v>
      </c>
      <c r="AL132" s="87" t="s">
        <v>731</v>
      </c>
      <c r="AM132" s="87">
        <f t="shared" si="34"/>
        <v>0.1573158144</v>
      </c>
      <c r="AN132" s="87" t="s">
        <v>731</v>
      </c>
      <c r="AO132" s="87" t="s">
        <v>731</v>
      </c>
      <c r="AP132" s="87" t="s">
        <v>731</v>
      </c>
    </row>
    <row r="133" customHeight="1" spans="1:42">
      <c r="A133" s="86" t="s">
        <v>1702</v>
      </c>
      <c r="B133" s="91" t="str">
        <f>_xlfn.XLOOKUP(A133,'Product List'!B:B,'Product List'!A:A)</f>
        <v>NA</v>
      </c>
      <c r="C133" s="86" t="str">
        <f>_xlfn.XLOOKUP(A133,'Product List'!B:B,'Product List'!L:L)</f>
        <v>水壶-路灯水壶站立款-棕色（普通款）-170ml(5.8fl oz)</v>
      </c>
      <c r="D133" s="86">
        <v>27</v>
      </c>
      <c r="E133" s="86" t="s">
        <v>1767</v>
      </c>
      <c r="F133" s="92">
        <v>45931</v>
      </c>
      <c r="G133" s="86" t="s">
        <v>1761</v>
      </c>
      <c r="H133" s="86" t="s">
        <v>1775</v>
      </c>
      <c r="I133" s="92" t="s">
        <v>731</v>
      </c>
      <c r="J133" s="86" t="s">
        <v>731</v>
      </c>
      <c r="K133" s="92" t="s">
        <v>731</v>
      </c>
      <c r="L133" s="92">
        <v>45931</v>
      </c>
      <c r="M133" s="93" t="s">
        <v>731</v>
      </c>
      <c r="N133" s="86" t="s">
        <v>731</v>
      </c>
      <c r="O133" s="86">
        <v>5.71</v>
      </c>
      <c r="P133" s="86">
        <v>5.28</v>
      </c>
      <c r="Q133" s="86">
        <v>9.3</v>
      </c>
      <c r="R133" s="86">
        <v>6.3</v>
      </c>
      <c r="S133" s="86">
        <v>6.3</v>
      </c>
      <c r="T133" s="86">
        <v>6.11</v>
      </c>
      <c r="U133" s="86">
        <f t="shared" ref="U133:W133" si="36">IFERROR(ROUNDUP(AD133/2.54,2),"NA")</f>
        <v>24</v>
      </c>
      <c r="V133" s="86">
        <f t="shared" si="36"/>
        <v>20</v>
      </c>
      <c r="W133" s="86">
        <f t="shared" si="36"/>
        <v>20</v>
      </c>
      <c r="X133" s="86">
        <v>85</v>
      </c>
      <c r="Y133" s="86">
        <v>13.4</v>
      </c>
      <c r="Z133" s="86">
        <v>23.6</v>
      </c>
      <c r="AA133" s="86">
        <v>16</v>
      </c>
      <c r="AB133" s="86">
        <v>16</v>
      </c>
      <c r="AC133" s="86">
        <v>15.5</v>
      </c>
      <c r="AD133" s="86">
        <f>_xlfn.XLOOKUP(G133,'Case Type'!A:A,'Case Type'!E:E)</f>
        <v>60.96</v>
      </c>
      <c r="AE133" s="86">
        <f>_xlfn.XLOOKUP(G133,'Case Type'!A:A,'Case Type'!F:F)</f>
        <v>50.8</v>
      </c>
      <c r="AF133" s="86">
        <f>_xlfn.XLOOKUP(G133,'Case Type'!A:A,'Case Type'!G:G)</f>
        <v>50.8</v>
      </c>
      <c r="AG133" s="87">
        <v>111</v>
      </c>
      <c r="AH133" s="87">
        <v>3.92</v>
      </c>
      <c r="AI133" s="87" t="s">
        <v>731</v>
      </c>
      <c r="AJ133" s="87" t="s">
        <v>731</v>
      </c>
      <c r="AK133" s="87" t="s">
        <v>731</v>
      </c>
      <c r="AL133" s="87" t="s">
        <v>731</v>
      </c>
      <c r="AM133" s="87">
        <f t="shared" si="34"/>
        <v>0.1573158144</v>
      </c>
      <c r="AN133" s="87" t="s">
        <v>731</v>
      </c>
      <c r="AO133" s="87" t="s">
        <v>731</v>
      </c>
      <c r="AP133" s="87" t="s">
        <v>731</v>
      </c>
    </row>
    <row r="134" customFormat="1" customHeight="1" spans="1:42">
      <c r="A134" s="86" t="s">
        <v>1703</v>
      </c>
      <c r="B134" s="91" t="str">
        <f>_xlfn.XLOOKUP(A134,'Product List'!B:B,'Product List'!A:A)</f>
        <v>NA</v>
      </c>
      <c r="C134" s="86" t="str">
        <f>_xlfn.XLOOKUP(A134,'Product List'!B:B,'Product List'!L:L)</f>
        <v>笼子-芝士笼Pro-120cm(47in)</v>
      </c>
      <c r="D134" s="86">
        <v>1</v>
      </c>
      <c r="E134" s="86" t="s">
        <v>1767</v>
      </c>
      <c r="F134" s="92">
        <v>45931</v>
      </c>
      <c r="G134" s="86" t="s">
        <v>731</v>
      </c>
      <c r="H134" s="86" t="s">
        <v>1775</v>
      </c>
      <c r="I134" s="92" t="s">
        <v>731</v>
      </c>
      <c r="J134" s="86" t="s">
        <v>731</v>
      </c>
      <c r="K134" s="92" t="s">
        <v>731</v>
      </c>
      <c r="L134" s="92">
        <v>45931</v>
      </c>
      <c r="M134" s="93" t="s">
        <v>731</v>
      </c>
      <c r="N134" s="86" t="s">
        <v>731</v>
      </c>
      <c r="O134" s="86" t="s">
        <v>731</v>
      </c>
      <c r="P134" s="86" t="s">
        <v>731</v>
      </c>
      <c r="Q134" s="86" t="s">
        <v>731</v>
      </c>
      <c r="R134" s="86" t="s">
        <v>731</v>
      </c>
      <c r="S134" s="86" t="s">
        <v>731</v>
      </c>
      <c r="T134" s="86" t="s">
        <v>731</v>
      </c>
      <c r="U134" s="86" t="s">
        <v>731</v>
      </c>
      <c r="V134" s="86" t="s">
        <v>731</v>
      </c>
      <c r="W134" s="86" t="s">
        <v>731</v>
      </c>
      <c r="X134" s="86" t="s">
        <v>731</v>
      </c>
      <c r="Y134" s="86" t="s">
        <v>731</v>
      </c>
      <c r="Z134" s="86" t="s">
        <v>731</v>
      </c>
      <c r="AA134" s="86" t="s">
        <v>731</v>
      </c>
      <c r="AB134" s="86" t="s">
        <v>731</v>
      </c>
      <c r="AC134" s="86" t="s">
        <v>731</v>
      </c>
      <c r="AD134" s="86" t="s">
        <v>731</v>
      </c>
      <c r="AE134" s="86" t="s">
        <v>731</v>
      </c>
      <c r="AF134" s="86" t="s">
        <v>731</v>
      </c>
      <c r="AG134" s="87" t="s">
        <v>731</v>
      </c>
      <c r="AH134" s="87" t="s">
        <v>731</v>
      </c>
      <c r="AI134" s="87" t="s">
        <v>731</v>
      </c>
      <c r="AJ134" s="87" t="s">
        <v>731</v>
      </c>
      <c r="AK134" s="87" t="s">
        <v>731</v>
      </c>
      <c r="AL134" s="87" t="s">
        <v>731</v>
      </c>
      <c r="AM134" s="87" t="str">
        <f t="shared" si="34"/>
        <v>NA</v>
      </c>
      <c r="AN134" s="87" t="s">
        <v>731</v>
      </c>
      <c r="AO134" s="87" t="s">
        <v>731</v>
      </c>
      <c r="AP134" s="87" t="s">
        <v>731</v>
      </c>
    </row>
    <row r="135" customFormat="1" customHeight="1" spans="1:42">
      <c r="A135" s="86" t="s">
        <v>1706</v>
      </c>
      <c r="B135" s="91" t="str">
        <f>_xlfn.XLOOKUP(A135,'Product List'!B:B,'Product List'!A:A)</f>
        <v>NA</v>
      </c>
      <c r="C135" s="86" t="str">
        <f>_xlfn.XLOOKUP(A135,'Product List'!B:B,'Product List'!L:L)</f>
        <v>跑轮-花朵跑轮Pro-26cm(10.2in)</v>
      </c>
      <c r="D135" s="86" t="s">
        <v>731</v>
      </c>
      <c r="E135" s="86" t="s">
        <v>1767</v>
      </c>
      <c r="F135" s="92">
        <v>45931</v>
      </c>
      <c r="G135" s="86" t="s">
        <v>1764</v>
      </c>
      <c r="H135" s="86" t="s">
        <v>1775</v>
      </c>
      <c r="I135" s="92" t="s">
        <v>731</v>
      </c>
      <c r="J135" s="86" t="s">
        <v>731</v>
      </c>
      <c r="K135" s="92" t="s">
        <v>731</v>
      </c>
      <c r="L135" s="92">
        <v>45931</v>
      </c>
      <c r="M135" s="93" t="s">
        <v>731</v>
      </c>
      <c r="N135" s="86" t="s">
        <v>731</v>
      </c>
      <c r="O135" s="86">
        <v>10.24</v>
      </c>
      <c r="P135" s="86">
        <v>5.52</v>
      </c>
      <c r="Q135" s="86">
        <v>10.83</v>
      </c>
      <c r="R135" s="86">
        <v>11.23</v>
      </c>
      <c r="S135" s="86">
        <v>6.5</v>
      </c>
      <c r="T135" s="86">
        <v>11.82</v>
      </c>
      <c r="U135" s="86">
        <f t="shared" ref="U135:W135" si="37">IFERROR(ROUNDUP(AD135/2.54,2),"NA")</f>
        <v>24</v>
      </c>
      <c r="V135" s="86">
        <f t="shared" si="37"/>
        <v>20</v>
      </c>
      <c r="W135" s="86">
        <f t="shared" si="37"/>
        <v>11.21</v>
      </c>
      <c r="X135" s="86">
        <v>85</v>
      </c>
      <c r="Y135" s="86">
        <v>14</v>
      </c>
      <c r="Z135" s="86">
        <v>27.5</v>
      </c>
      <c r="AA135" s="86">
        <v>28.5</v>
      </c>
      <c r="AB135" s="86">
        <v>16.5</v>
      </c>
      <c r="AC135" s="86">
        <v>30</v>
      </c>
      <c r="AD135" s="86">
        <f>_xlfn.XLOOKUP(G135,'Case Type'!A:A,'Case Type'!E:E)</f>
        <v>60.96</v>
      </c>
      <c r="AE135" s="86">
        <f>_xlfn.XLOOKUP(G135,'Case Type'!A:A,'Case Type'!F:F)</f>
        <v>50.8</v>
      </c>
      <c r="AF135" s="86">
        <f>_xlfn.XLOOKUP(G135,'Case Type'!A:A,'Case Type'!G:G)</f>
        <v>28.45</v>
      </c>
      <c r="AG135" s="87">
        <v>2979</v>
      </c>
      <c r="AH135" s="87">
        <v>105.09</v>
      </c>
      <c r="AI135" s="87" t="s">
        <v>731</v>
      </c>
      <c r="AJ135" s="87" t="s">
        <v>731</v>
      </c>
      <c r="AK135" s="87" t="s">
        <v>731</v>
      </c>
      <c r="AL135" s="87" t="s">
        <v>731</v>
      </c>
      <c r="AM135" s="87">
        <f t="shared" si="34"/>
        <v>0.0881030496</v>
      </c>
      <c r="AN135" s="87" t="s">
        <v>1804</v>
      </c>
      <c r="AO135" s="87" t="s">
        <v>731</v>
      </c>
      <c r="AP135" s="87" t="s">
        <v>731</v>
      </c>
    </row>
    <row r="136" customFormat="1" customHeight="1" spans="1:42">
      <c r="A136" s="86" t="s">
        <v>1718</v>
      </c>
      <c r="B136" s="91" t="str">
        <f>_xlfn.XLOOKUP(A136,'Product List'!B:B,'Product List'!A:A)</f>
        <v>NA</v>
      </c>
      <c r="C136" s="86" t="str">
        <f>_xlfn.XLOOKUP(A136,'Product List'!B:B,'Product List'!L:L)</f>
        <v>跑轮-花朵跑轮Pro-26cm(10.2in)</v>
      </c>
      <c r="D136" s="86" t="s">
        <v>731</v>
      </c>
      <c r="E136" s="86" t="s">
        <v>1767</v>
      </c>
      <c r="F136" s="92">
        <v>45931</v>
      </c>
      <c r="G136" s="86" t="s">
        <v>1764</v>
      </c>
      <c r="H136" s="86" t="s">
        <v>1775</v>
      </c>
      <c r="I136" s="92" t="s">
        <v>731</v>
      </c>
      <c r="J136" s="86" t="s">
        <v>731</v>
      </c>
      <c r="K136" s="92" t="s">
        <v>731</v>
      </c>
      <c r="L136" s="92">
        <v>45931</v>
      </c>
      <c r="M136" s="93" t="s">
        <v>731</v>
      </c>
      <c r="N136" s="86" t="s">
        <v>731</v>
      </c>
      <c r="O136" s="86">
        <v>10.24</v>
      </c>
      <c r="P136" s="86">
        <v>5.52</v>
      </c>
      <c r="Q136" s="86">
        <v>10.83</v>
      </c>
      <c r="R136" s="86">
        <v>11.23</v>
      </c>
      <c r="S136" s="86">
        <v>6.5</v>
      </c>
      <c r="T136" s="86">
        <v>11.82</v>
      </c>
      <c r="U136" s="86">
        <f t="shared" ref="U136:W136" si="38">IFERROR(ROUNDUP(AD136/2.54,2),"NA")</f>
        <v>24</v>
      </c>
      <c r="V136" s="86">
        <f t="shared" si="38"/>
        <v>20</v>
      </c>
      <c r="W136" s="86">
        <f t="shared" si="38"/>
        <v>11.21</v>
      </c>
      <c r="X136" s="86">
        <v>85</v>
      </c>
      <c r="Y136" s="86">
        <v>14</v>
      </c>
      <c r="Z136" s="86">
        <v>27.5</v>
      </c>
      <c r="AA136" s="86">
        <v>28.5</v>
      </c>
      <c r="AB136" s="86">
        <v>16.5</v>
      </c>
      <c r="AC136" s="86">
        <v>30</v>
      </c>
      <c r="AD136" s="86">
        <f>_xlfn.XLOOKUP(G136,'Case Type'!A:A,'Case Type'!E:E)</f>
        <v>60.96</v>
      </c>
      <c r="AE136" s="86">
        <f>_xlfn.XLOOKUP(G136,'Case Type'!A:A,'Case Type'!F:F)</f>
        <v>50.8</v>
      </c>
      <c r="AF136" s="86">
        <f>_xlfn.XLOOKUP(G136,'Case Type'!A:A,'Case Type'!G:G)</f>
        <v>28.45</v>
      </c>
      <c r="AG136" s="87">
        <v>2979</v>
      </c>
      <c r="AH136" s="87">
        <v>105.09</v>
      </c>
      <c r="AI136" s="87" t="s">
        <v>731</v>
      </c>
      <c r="AJ136" s="87" t="s">
        <v>731</v>
      </c>
      <c r="AK136" s="87" t="s">
        <v>731</v>
      </c>
      <c r="AL136" s="87" t="s">
        <v>731</v>
      </c>
      <c r="AM136" s="87">
        <f t="shared" si="34"/>
        <v>0.0881030496</v>
      </c>
      <c r="AN136" s="87" t="s">
        <v>1804</v>
      </c>
      <c r="AO136" s="87" t="s">
        <v>731</v>
      </c>
      <c r="AP136" s="87" t="s">
        <v>731</v>
      </c>
    </row>
    <row r="137" customFormat="1" customHeight="1" spans="1:42">
      <c r="A137" s="86" t="s">
        <v>1720</v>
      </c>
      <c r="B137" s="91" t="str">
        <f>_xlfn.XLOOKUP(A137,'Product List'!B:B,'Product List'!A:A)</f>
        <v>NA</v>
      </c>
      <c r="C137" s="86" t="str">
        <f>_xlfn.XLOOKUP(A137,'Product List'!B:B,'Product List'!L:L)</f>
        <v>跑轮-花朵跑轮24cm(9.5in)</v>
      </c>
      <c r="D137" s="86" t="s">
        <v>731</v>
      </c>
      <c r="E137" s="86" t="s">
        <v>1767</v>
      </c>
      <c r="F137" s="92">
        <v>45931</v>
      </c>
      <c r="G137" s="86" t="s">
        <v>731</v>
      </c>
      <c r="H137" s="86" t="s">
        <v>1775</v>
      </c>
      <c r="I137" s="92" t="s">
        <v>731</v>
      </c>
      <c r="J137" s="86" t="s">
        <v>731</v>
      </c>
      <c r="K137" s="92" t="s">
        <v>731</v>
      </c>
      <c r="L137" s="92">
        <v>45931</v>
      </c>
      <c r="M137" s="93" t="s">
        <v>731</v>
      </c>
      <c r="N137" s="86" t="s">
        <v>731</v>
      </c>
      <c r="O137" s="86" t="s">
        <v>731</v>
      </c>
      <c r="P137" s="86" t="s">
        <v>731</v>
      </c>
      <c r="Q137" s="86" t="s">
        <v>731</v>
      </c>
      <c r="R137" s="86" t="s">
        <v>731</v>
      </c>
      <c r="S137" s="86" t="s">
        <v>731</v>
      </c>
      <c r="T137" s="86" t="s">
        <v>731</v>
      </c>
      <c r="U137" s="86" t="s">
        <v>731</v>
      </c>
      <c r="V137" s="86" t="s">
        <v>731</v>
      </c>
      <c r="W137" s="86" t="s">
        <v>731</v>
      </c>
      <c r="X137" s="86" t="s">
        <v>731</v>
      </c>
      <c r="Y137" s="86" t="s">
        <v>731</v>
      </c>
      <c r="Z137" s="86" t="s">
        <v>731</v>
      </c>
      <c r="AA137" s="86" t="s">
        <v>731</v>
      </c>
      <c r="AB137" s="86" t="s">
        <v>731</v>
      </c>
      <c r="AC137" s="86" t="s">
        <v>731</v>
      </c>
      <c r="AD137" s="86" t="s">
        <v>731</v>
      </c>
      <c r="AE137" s="86" t="s">
        <v>731</v>
      </c>
      <c r="AF137" s="86" t="s">
        <v>731</v>
      </c>
      <c r="AG137" s="87" t="s">
        <v>731</v>
      </c>
      <c r="AH137" s="87" t="s">
        <v>731</v>
      </c>
      <c r="AI137" s="87" t="s">
        <v>731</v>
      </c>
      <c r="AJ137" s="87" t="s">
        <v>731</v>
      </c>
      <c r="AK137" s="87" t="s">
        <v>731</v>
      </c>
      <c r="AL137" s="87" t="s">
        <v>731</v>
      </c>
      <c r="AM137" s="87" t="str">
        <f t="shared" si="34"/>
        <v>NA</v>
      </c>
      <c r="AN137" s="87" t="s">
        <v>731</v>
      </c>
      <c r="AO137" s="87" t="s">
        <v>731</v>
      </c>
      <c r="AP137" s="87" t="s">
        <v>731</v>
      </c>
    </row>
    <row r="138" customFormat="1" customHeight="1" spans="1:42">
      <c r="A138" s="86" t="s">
        <v>1723</v>
      </c>
      <c r="B138" s="91" t="str">
        <f>_xlfn.XLOOKUP(A138,'Product List'!B:B,'Product List'!A:A)</f>
        <v>NA</v>
      </c>
      <c r="C138" s="86" t="str">
        <f>_xlfn.XLOOKUP(A138,'Product List'!B:B,'Product List'!L:L)</f>
        <v>跑轮-花朵跑轮26cm(10.2in)</v>
      </c>
      <c r="D138" s="86" t="s">
        <v>731</v>
      </c>
      <c r="E138" s="86" t="s">
        <v>1767</v>
      </c>
      <c r="F138" s="92">
        <v>45931</v>
      </c>
      <c r="G138" s="86" t="s">
        <v>731</v>
      </c>
      <c r="H138" s="86" t="s">
        <v>1775</v>
      </c>
      <c r="I138" s="92" t="s">
        <v>731</v>
      </c>
      <c r="J138" s="86" t="s">
        <v>731</v>
      </c>
      <c r="K138" s="92" t="s">
        <v>731</v>
      </c>
      <c r="L138" s="92">
        <v>45931</v>
      </c>
      <c r="M138" s="93" t="s">
        <v>731</v>
      </c>
      <c r="N138" s="86" t="s">
        <v>731</v>
      </c>
      <c r="O138" s="86" t="s">
        <v>731</v>
      </c>
      <c r="P138" s="86" t="s">
        <v>731</v>
      </c>
      <c r="Q138" s="86" t="s">
        <v>731</v>
      </c>
      <c r="R138" s="86" t="s">
        <v>731</v>
      </c>
      <c r="S138" s="86" t="s">
        <v>731</v>
      </c>
      <c r="T138" s="86" t="s">
        <v>731</v>
      </c>
      <c r="U138" s="86" t="s">
        <v>731</v>
      </c>
      <c r="V138" s="86" t="s">
        <v>731</v>
      </c>
      <c r="W138" s="86" t="s">
        <v>731</v>
      </c>
      <c r="X138" s="86" t="s">
        <v>731</v>
      </c>
      <c r="Y138" s="86" t="s">
        <v>731</v>
      </c>
      <c r="Z138" s="86" t="s">
        <v>731</v>
      </c>
      <c r="AA138" s="86" t="s">
        <v>731</v>
      </c>
      <c r="AB138" s="86" t="s">
        <v>731</v>
      </c>
      <c r="AC138" s="86" t="s">
        <v>731</v>
      </c>
      <c r="AD138" s="86" t="s">
        <v>731</v>
      </c>
      <c r="AE138" s="86" t="s">
        <v>731</v>
      </c>
      <c r="AF138" s="86" t="s">
        <v>731</v>
      </c>
      <c r="AG138" s="87" t="s">
        <v>731</v>
      </c>
      <c r="AH138" s="87" t="s">
        <v>731</v>
      </c>
      <c r="AI138" s="87" t="s">
        <v>731</v>
      </c>
      <c r="AJ138" s="87" t="s">
        <v>731</v>
      </c>
      <c r="AK138" s="87" t="s">
        <v>731</v>
      </c>
      <c r="AL138" s="87" t="s">
        <v>731</v>
      </c>
      <c r="AM138" s="87" t="str">
        <f t="shared" si="34"/>
        <v>NA</v>
      </c>
      <c r="AN138" s="87" t="s">
        <v>731</v>
      </c>
      <c r="AO138" s="87" t="s">
        <v>731</v>
      </c>
      <c r="AP138" s="87" t="s">
        <v>731</v>
      </c>
    </row>
    <row r="139" customFormat="1" customHeight="1" spans="1:42">
      <c r="A139" s="86" t="s">
        <v>596</v>
      </c>
      <c r="B139" s="91">
        <f>_xlfn.XLOOKUP(A139,'Product List'!B:B,'Product List'!A:A)</f>
        <v>0</v>
      </c>
      <c r="C139" s="86" t="str">
        <f>_xlfn.XLOOKUP(A139,'Product List'!B:B,'Product List'!L:L)</f>
        <v>外出笼-小恶魔外出笼 紫色</v>
      </c>
      <c r="D139" s="86" t="s">
        <v>731</v>
      </c>
      <c r="E139" s="86" t="s">
        <v>1767</v>
      </c>
      <c r="F139" s="92">
        <v>45931</v>
      </c>
      <c r="G139" s="86" t="s">
        <v>731</v>
      </c>
      <c r="H139" s="86" t="s">
        <v>1775</v>
      </c>
      <c r="I139" s="92" t="s">
        <v>731</v>
      </c>
      <c r="J139" s="86" t="s">
        <v>731</v>
      </c>
      <c r="K139" s="92" t="s">
        <v>731</v>
      </c>
      <c r="L139" s="92">
        <v>45931</v>
      </c>
      <c r="M139" s="93" t="s">
        <v>731</v>
      </c>
      <c r="N139" s="86" t="s">
        <v>731</v>
      </c>
      <c r="O139" s="86">
        <v>7.17</v>
      </c>
      <c r="P139" s="86">
        <v>7.17</v>
      </c>
      <c r="Q139" s="86">
        <v>6.23</v>
      </c>
      <c r="R139" s="86">
        <v>7.41</v>
      </c>
      <c r="S139" s="86">
        <v>7.41</v>
      </c>
      <c r="T139" s="86">
        <v>7.05</v>
      </c>
      <c r="U139" s="86">
        <v>23</v>
      </c>
      <c r="V139" s="86">
        <v>15.6</v>
      </c>
      <c r="W139" s="86">
        <v>22.05</v>
      </c>
      <c r="X139" s="86">
        <v>18.2</v>
      </c>
      <c r="Y139" s="86">
        <v>18.2</v>
      </c>
      <c r="Z139" s="86">
        <v>15.8</v>
      </c>
      <c r="AA139" s="86">
        <v>18.8</v>
      </c>
      <c r="AB139" s="86">
        <v>18.8</v>
      </c>
      <c r="AC139" s="86">
        <v>17.9</v>
      </c>
      <c r="AD139" s="86">
        <v>58.4</v>
      </c>
      <c r="AE139" s="86">
        <v>39.6</v>
      </c>
      <c r="AF139" s="86" t="s">
        <v>731</v>
      </c>
      <c r="AG139" s="87" t="s">
        <v>731</v>
      </c>
      <c r="AH139" s="87" t="s">
        <v>731</v>
      </c>
      <c r="AI139" s="87" t="s">
        <v>731</v>
      </c>
      <c r="AJ139" s="87" t="s">
        <v>731</v>
      </c>
      <c r="AK139" s="87" t="s">
        <v>731</v>
      </c>
      <c r="AL139" s="87" t="s">
        <v>731</v>
      </c>
      <c r="AM139" s="87" t="str">
        <f t="shared" si="34"/>
        <v>NA</v>
      </c>
      <c r="AN139" s="87" t="s">
        <v>731</v>
      </c>
      <c r="AO139" s="87" t="s">
        <v>731</v>
      </c>
      <c r="AP139" s="87" t="s">
        <v>731</v>
      </c>
    </row>
    <row r="140" customFormat="1" customHeight="1" spans="1:42">
      <c r="A140" s="86" t="s">
        <v>620</v>
      </c>
      <c r="B140" s="91" t="str">
        <f>_xlfn.XLOOKUP(A140,'Product List'!B:B,'Product List'!A:A)</f>
        <v>NA</v>
      </c>
      <c r="C140" s="86" t="str">
        <f>_xlfn.XLOOKUP(A140,'Product List'!B:B,'Product List'!L:L)</f>
        <v>笼子-现代观景笼80cm</v>
      </c>
      <c r="D140" s="86" t="s">
        <v>731</v>
      </c>
      <c r="E140" s="86" t="s">
        <v>1767</v>
      </c>
      <c r="F140" s="92">
        <v>45931</v>
      </c>
      <c r="G140" s="86" t="s">
        <v>731</v>
      </c>
      <c r="H140" s="86" t="s">
        <v>1775</v>
      </c>
      <c r="I140" s="92" t="s">
        <v>731</v>
      </c>
      <c r="J140" s="86" t="s">
        <v>731</v>
      </c>
      <c r="K140" s="92" t="s">
        <v>731</v>
      </c>
      <c r="L140" s="92">
        <v>45931</v>
      </c>
      <c r="M140" s="93" t="s">
        <v>731</v>
      </c>
      <c r="N140" s="86" t="s">
        <v>731</v>
      </c>
      <c r="O140" s="86" t="s">
        <v>731</v>
      </c>
      <c r="P140" s="86" t="s">
        <v>731</v>
      </c>
      <c r="Q140" s="86" t="s">
        <v>731</v>
      </c>
      <c r="R140" s="86" t="s">
        <v>731</v>
      </c>
      <c r="S140" s="86" t="s">
        <v>731</v>
      </c>
      <c r="T140" s="86" t="s">
        <v>731</v>
      </c>
      <c r="U140" s="86" t="s">
        <v>731</v>
      </c>
      <c r="V140" s="86" t="s">
        <v>731</v>
      </c>
      <c r="W140" s="86" t="s">
        <v>731</v>
      </c>
      <c r="X140" s="86" t="s">
        <v>731</v>
      </c>
      <c r="Y140" s="86" t="s">
        <v>731</v>
      </c>
      <c r="Z140" s="86" t="s">
        <v>731</v>
      </c>
      <c r="AA140" s="86" t="s">
        <v>731</v>
      </c>
      <c r="AB140" s="86" t="s">
        <v>731</v>
      </c>
      <c r="AC140" s="86" t="s">
        <v>731</v>
      </c>
      <c r="AD140" s="86" t="s">
        <v>731</v>
      </c>
      <c r="AE140" s="86" t="s">
        <v>731</v>
      </c>
      <c r="AF140" s="86" t="s">
        <v>731</v>
      </c>
      <c r="AG140" s="87" t="s">
        <v>731</v>
      </c>
      <c r="AH140" s="87" t="s">
        <v>731</v>
      </c>
      <c r="AI140" s="87" t="s">
        <v>731</v>
      </c>
      <c r="AJ140" s="87" t="s">
        <v>731</v>
      </c>
      <c r="AK140" s="87" t="s">
        <v>731</v>
      </c>
      <c r="AL140" s="87" t="s">
        <v>731</v>
      </c>
      <c r="AM140" s="87" t="str">
        <f t="shared" si="34"/>
        <v>NA</v>
      </c>
      <c r="AN140" s="87" t="s">
        <v>731</v>
      </c>
      <c r="AO140" s="87" t="s">
        <v>731</v>
      </c>
      <c r="AP140" s="87" t="s">
        <v>731</v>
      </c>
    </row>
    <row r="141" customFormat="1" customHeight="1" spans="1:42">
      <c r="A141" s="86" t="s">
        <v>633</v>
      </c>
      <c r="B141" s="91" t="str">
        <f>_xlfn.XLOOKUP(A141,'Product List'!B:B,'Product List'!A:A)</f>
        <v>NA</v>
      </c>
      <c r="C141" s="86" t="str">
        <f>_xlfn.XLOOKUP(A141,'Product List'!B:B,'Product List'!L:L)</f>
        <v>木制躲避屋-奶酪商店</v>
      </c>
      <c r="D141" s="86" t="s">
        <v>731</v>
      </c>
      <c r="E141" s="86" t="s">
        <v>1767</v>
      </c>
      <c r="F141" s="92">
        <v>45931</v>
      </c>
      <c r="G141" s="86" t="s">
        <v>731</v>
      </c>
      <c r="H141" s="86" t="s">
        <v>1775</v>
      </c>
      <c r="I141" s="92" t="s">
        <v>731</v>
      </c>
      <c r="J141" s="86" t="s">
        <v>731</v>
      </c>
      <c r="K141" s="92" t="s">
        <v>731</v>
      </c>
      <c r="L141" s="92">
        <v>45931</v>
      </c>
      <c r="M141" s="93" t="s">
        <v>731</v>
      </c>
      <c r="N141" s="86" t="s">
        <v>731</v>
      </c>
      <c r="O141" s="86" t="s">
        <v>731</v>
      </c>
      <c r="P141" s="86" t="s">
        <v>731</v>
      </c>
      <c r="Q141" s="86" t="s">
        <v>731</v>
      </c>
      <c r="R141" s="86" t="s">
        <v>731</v>
      </c>
      <c r="S141" s="86" t="s">
        <v>731</v>
      </c>
      <c r="T141" s="86" t="s">
        <v>731</v>
      </c>
      <c r="U141" s="86" t="s">
        <v>731</v>
      </c>
      <c r="V141" s="86" t="s">
        <v>731</v>
      </c>
      <c r="W141" s="86" t="s">
        <v>731</v>
      </c>
      <c r="X141" s="86" t="s">
        <v>731</v>
      </c>
      <c r="Y141" s="86" t="s">
        <v>731</v>
      </c>
      <c r="Z141" s="86" t="s">
        <v>731</v>
      </c>
      <c r="AA141" s="86" t="s">
        <v>731</v>
      </c>
      <c r="AB141" s="86" t="s">
        <v>731</v>
      </c>
      <c r="AC141" s="86" t="s">
        <v>731</v>
      </c>
      <c r="AD141" s="86" t="s">
        <v>731</v>
      </c>
      <c r="AE141" s="86" t="s">
        <v>731</v>
      </c>
      <c r="AF141" s="86" t="s">
        <v>731</v>
      </c>
      <c r="AG141" s="87" t="s">
        <v>731</v>
      </c>
      <c r="AH141" s="87" t="s">
        <v>731</v>
      </c>
      <c r="AI141" s="87" t="s">
        <v>731</v>
      </c>
      <c r="AJ141" s="87" t="s">
        <v>731</v>
      </c>
      <c r="AK141" s="87" t="s">
        <v>731</v>
      </c>
      <c r="AL141" s="87" t="s">
        <v>731</v>
      </c>
      <c r="AM141" s="87" t="str">
        <f t="shared" si="34"/>
        <v>NA</v>
      </c>
      <c r="AN141" s="87" t="s">
        <v>731</v>
      </c>
      <c r="AO141" s="87" t="s">
        <v>731</v>
      </c>
      <c r="AP141" s="87" t="s">
        <v>731</v>
      </c>
    </row>
    <row r="142" customFormat="1" customHeight="1" spans="1:42">
      <c r="A142" s="86" t="s">
        <v>635</v>
      </c>
      <c r="B142" s="91" t="str">
        <f>_xlfn.XLOOKUP(A142,'Product List'!B:B,'Product List'!A:A)</f>
        <v>NA</v>
      </c>
      <c r="C142" s="86" t="str">
        <f>_xlfn.XLOOKUP(A142,'Product List'!B:B,'Product List'!L:L)</f>
        <v>水壶-森林重力饮水碗500ml</v>
      </c>
      <c r="D142" s="86" t="s">
        <v>731</v>
      </c>
      <c r="E142" s="86" t="s">
        <v>1767</v>
      </c>
      <c r="F142" s="92">
        <v>45931</v>
      </c>
      <c r="G142" s="86" t="s">
        <v>731</v>
      </c>
      <c r="H142" s="86" t="s">
        <v>1775</v>
      </c>
      <c r="I142" s="92" t="s">
        <v>731</v>
      </c>
      <c r="J142" s="86" t="s">
        <v>731</v>
      </c>
      <c r="K142" s="92" t="s">
        <v>731</v>
      </c>
      <c r="L142" s="92">
        <v>45931</v>
      </c>
      <c r="M142" s="93" t="s">
        <v>731</v>
      </c>
      <c r="N142" s="86" t="s">
        <v>731</v>
      </c>
      <c r="O142" s="86" t="s">
        <v>731</v>
      </c>
      <c r="P142" s="86" t="s">
        <v>731</v>
      </c>
      <c r="Q142" s="86" t="s">
        <v>731</v>
      </c>
      <c r="R142" s="86" t="s">
        <v>731</v>
      </c>
      <c r="S142" s="86" t="s">
        <v>731</v>
      </c>
      <c r="T142" s="86" t="s">
        <v>731</v>
      </c>
      <c r="U142" s="86" t="s">
        <v>731</v>
      </c>
      <c r="V142" s="86" t="s">
        <v>731</v>
      </c>
      <c r="W142" s="86" t="s">
        <v>731</v>
      </c>
      <c r="X142" s="86" t="s">
        <v>731</v>
      </c>
      <c r="Y142" s="86" t="s">
        <v>731</v>
      </c>
      <c r="Z142" s="86" t="s">
        <v>731</v>
      </c>
      <c r="AA142" s="86" t="s">
        <v>731</v>
      </c>
      <c r="AB142" s="86" t="s">
        <v>731</v>
      </c>
      <c r="AC142" s="86" t="s">
        <v>731</v>
      </c>
      <c r="AD142" s="86" t="s">
        <v>731</v>
      </c>
      <c r="AE142" s="86" t="s">
        <v>731</v>
      </c>
      <c r="AF142" s="86" t="s">
        <v>731</v>
      </c>
      <c r="AG142" s="87" t="s">
        <v>731</v>
      </c>
      <c r="AH142" s="87" t="s">
        <v>731</v>
      </c>
      <c r="AI142" s="87" t="s">
        <v>731</v>
      </c>
      <c r="AJ142" s="87" t="s">
        <v>731</v>
      </c>
      <c r="AK142" s="87" t="s">
        <v>731</v>
      </c>
      <c r="AL142" s="87" t="s">
        <v>731</v>
      </c>
      <c r="AM142" s="87" t="str">
        <f t="shared" si="34"/>
        <v>NA</v>
      </c>
      <c r="AN142" s="87" t="s">
        <v>731</v>
      </c>
      <c r="AO142" s="87" t="s">
        <v>731</v>
      </c>
      <c r="AP142" s="87" t="s">
        <v>731</v>
      </c>
    </row>
    <row r="143" customFormat="1" customHeight="1" spans="1:42">
      <c r="A143" s="86" t="s">
        <v>640</v>
      </c>
      <c r="B143" s="91" t="str">
        <f>_xlfn.XLOOKUP(A143,'Product List'!B:B,'Product List'!A:A)</f>
        <v>NA</v>
      </c>
      <c r="C143" s="86" t="str">
        <f>_xlfn.XLOOKUP(A143,'Product List'!B:B,'Product List'!L:L)</f>
        <v>厕所-经典厕所 粉色</v>
      </c>
      <c r="D143" s="86" t="s">
        <v>731</v>
      </c>
      <c r="E143" s="86" t="s">
        <v>1767</v>
      </c>
      <c r="F143" s="92">
        <v>45931</v>
      </c>
      <c r="G143" s="86" t="s">
        <v>731</v>
      </c>
      <c r="H143" s="86" t="s">
        <v>1775</v>
      </c>
      <c r="I143" s="92" t="s">
        <v>731</v>
      </c>
      <c r="J143" s="86" t="s">
        <v>731</v>
      </c>
      <c r="K143" s="92" t="s">
        <v>731</v>
      </c>
      <c r="L143" s="92">
        <v>45931</v>
      </c>
      <c r="M143" s="93" t="s">
        <v>731</v>
      </c>
      <c r="N143" s="86" t="s">
        <v>731</v>
      </c>
      <c r="O143" s="86" t="s">
        <v>731</v>
      </c>
      <c r="P143" s="86" t="s">
        <v>731</v>
      </c>
      <c r="Q143" s="86" t="s">
        <v>731</v>
      </c>
      <c r="R143" s="86" t="s">
        <v>731</v>
      </c>
      <c r="S143" s="86" t="s">
        <v>731</v>
      </c>
      <c r="T143" s="86" t="s">
        <v>731</v>
      </c>
      <c r="U143" s="86" t="s">
        <v>731</v>
      </c>
      <c r="V143" s="86" t="s">
        <v>731</v>
      </c>
      <c r="W143" s="86" t="s">
        <v>731</v>
      </c>
      <c r="X143" s="86" t="s">
        <v>731</v>
      </c>
      <c r="Y143" s="86" t="s">
        <v>731</v>
      </c>
      <c r="Z143" s="86" t="s">
        <v>731</v>
      </c>
      <c r="AA143" s="86" t="s">
        <v>731</v>
      </c>
      <c r="AB143" s="86" t="s">
        <v>731</v>
      </c>
      <c r="AC143" s="86" t="s">
        <v>731</v>
      </c>
      <c r="AD143" s="86" t="s">
        <v>731</v>
      </c>
      <c r="AE143" s="86" t="s">
        <v>731</v>
      </c>
      <c r="AF143" s="86" t="s">
        <v>731</v>
      </c>
      <c r="AG143" s="87" t="s">
        <v>731</v>
      </c>
      <c r="AH143" s="87" t="s">
        <v>731</v>
      </c>
      <c r="AI143" s="87" t="s">
        <v>731</v>
      </c>
      <c r="AJ143" s="87" t="s">
        <v>731</v>
      </c>
      <c r="AK143" s="87" t="s">
        <v>731</v>
      </c>
      <c r="AL143" s="87" t="s">
        <v>731</v>
      </c>
      <c r="AM143" s="87" t="str">
        <f t="shared" si="34"/>
        <v>NA</v>
      </c>
      <c r="AN143" s="87" t="s">
        <v>731</v>
      </c>
      <c r="AO143" s="87" t="s">
        <v>731</v>
      </c>
      <c r="AP143" s="87" t="s">
        <v>731</v>
      </c>
    </row>
    <row r="144" customFormat="1" customHeight="1" spans="1:42">
      <c r="A144" s="86" t="s">
        <v>646</v>
      </c>
      <c r="B144" s="91" t="str">
        <f>_xlfn.XLOOKUP(A144,'Product List'!B:B,'Product List'!A:A)</f>
        <v>NA</v>
      </c>
      <c r="C144" s="86" t="str">
        <f>_xlfn.XLOOKUP(A144,'Product List'!B:B,'Product List'!L:L)</f>
        <v>木制躲避屋-巧克力山</v>
      </c>
      <c r="D144" s="86" t="s">
        <v>731</v>
      </c>
      <c r="E144" s="86" t="s">
        <v>1767</v>
      </c>
      <c r="F144" s="92">
        <v>45931</v>
      </c>
      <c r="G144" s="86" t="s">
        <v>731</v>
      </c>
      <c r="H144" s="86" t="s">
        <v>1775</v>
      </c>
      <c r="I144" s="92" t="s">
        <v>731</v>
      </c>
      <c r="J144" s="86" t="s">
        <v>731</v>
      </c>
      <c r="K144" s="92" t="s">
        <v>731</v>
      </c>
      <c r="L144" s="92">
        <v>45931</v>
      </c>
      <c r="M144" s="93" t="s">
        <v>731</v>
      </c>
      <c r="N144" s="86" t="s">
        <v>731</v>
      </c>
      <c r="O144" s="86" t="s">
        <v>731</v>
      </c>
      <c r="P144" s="86" t="s">
        <v>731</v>
      </c>
      <c r="Q144" s="86" t="s">
        <v>731</v>
      </c>
      <c r="R144" s="86" t="s">
        <v>731</v>
      </c>
      <c r="S144" s="86" t="s">
        <v>731</v>
      </c>
      <c r="T144" s="86" t="s">
        <v>731</v>
      </c>
      <c r="U144" s="86" t="s">
        <v>731</v>
      </c>
      <c r="V144" s="86" t="s">
        <v>731</v>
      </c>
      <c r="W144" s="86" t="s">
        <v>731</v>
      </c>
      <c r="X144" s="86" t="s">
        <v>731</v>
      </c>
      <c r="Y144" s="86" t="s">
        <v>731</v>
      </c>
      <c r="Z144" s="86" t="s">
        <v>731</v>
      </c>
      <c r="AA144" s="86" t="s">
        <v>731</v>
      </c>
      <c r="AB144" s="86" t="s">
        <v>731</v>
      </c>
      <c r="AC144" s="86" t="s">
        <v>731</v>
      </c>
      <c r="AD144" s="86" t="s">
        <v>731</v>
      </c>
      <c r="AE144" s="86" t="s">
        <v>731</v>
      </c>
      <c r="AF144" s="86" t="s">
        <v>731</v>
      </c>
      <c r="AG144" s="87" t="s">
        <v>731</v>
      </c>
      <c r="AH144" s="87" t="s">
        <v>731</v>
      </c>
      <c r="AI144" s="87" t="s">
        <v>731</v>
      </c>
      <c r="AJ144" s="87" t="s">
        <v>731</v>
      </c>
      <c r="AK144" s="87" t="s">
        <v>731</v>
      </c>
      <c r="AL144" s="87" t="s">
        <v>731</v>
      </c>
      <c r="AM144" s="87" t="str">
        <f t="shared" si="34"/>
        <v>NA</v>
      </c>
      <c r="AN144" s="87" t="s">
        <v>731</v>
      </c>
      <c r="AO144" s="87" t="s">
        <v>731</v>
      </c>
      <c r="AP144" s="87" t="s">
        <v>731</v>
      </c>
    </row>
    <row r="145" customFormat="1" customHeight="1" spans="1:42">
      <c r="A145" s="86" t="s">
        <v>651</v>
      </c>
      <c r="B145" s="91" t="str">
        <f>_xlfn.XLOOKUP(A145,'Product List'!B:B,'Product List'!A:A)</f>
        <v>NA</v>
      </c>
      <c r="C145" s="86" t="str">
        <f>_xlfn.XLOOKUP(A145,'Product List'!B:B,'Product List'!L:L)</f>
        <v>木制躲避屋-饮水桥</v>
      </c>
      <c r="D145" s="86" t="s">
        <v>731</v>
      </c>
      <c r="E145" s="86" t="s">
        <v>1767</v>
      </c>
      <c r="F145" s="92">
        <v>45931</v>
      </c>
      <c r="G145" s="86" t="s">
        <v>731</v>
      </c>
      <c r="H145" s="86" t="s">
        <v>1775</v>
      </c>
      <c r="I145" s="92" t="s">
        <v>731</v>
      </c>
      <c r="J145" s="86" t="s">
        <v>731</v>
      </c>
      <c r="K145" s="92" t="s">
        <v>731</v>
      </c>
      <c r="L145" s="92">
        <v>45931</v>
      </c>
      <c r="M145" s="93" t="s">
        <v>731</v>
      </c>
      <c r="N145" s="86" t="s">
        <v>731</v>
      </c>
      <c r="O145" s="86" t="s">
        <v>731</v>
      </c>
      <c r="P145" s="86" t="s">
        <v>731</v>
      </c>
      <c r="Q145" s="86" t="s">
        <v>731</v>
      </c>
      <c r="R145" s="86" t="s">
        <v>731</v>
      </c>
      <c r="S145" s="86" t="s">
        <v>731</v>
      </c>
      <c r="T145" s="86" t="s">
        <v>731</v>
      </c>
      <c r="U145" s="86" t="s">
        <v>731</v>
      </c>
      <c r="V145" s="86" t="s">
        <v>731</v>
      </c>
      <c r="W145" s="86" t="s">
        <v>731</v>
      </c>
      <c r="X145" s="86" t="s">
        <v>731</v>
      </c>
      <c r="Y145" s="86" t="s">
        <v>731</v>
      </c>
      <c r="Z145" s="86" t="s">
        <v>731</v>
      </c>
      <c r="AA145" s="86" t="s">
        <v>731</v>
      </c>
      <c r="AB145" s="86" t="s">
        <v>731</v>
      </c>
      <c r="AC145" s="86" t="s">
        <v>731</v>
      </c>
      <c r="AD145" s="86" t="s">
        <v>731</v>
      </c>
      <c r="AE145" s="86" t="s">
        <v>731</v>
      </c>
      <c r="AF145" s="86" t="s">
        <v>731</v>
      </c>
      <c r="AG145" s="87" t="s">
        <v>731</v>
      </c>
      <c r="AH145" s="87" t="s">
        <v>731</v>
      </c>
      <c r="AI145" s="87" t="s">
        <v>731</v>
      </c>
      <c r="AJ145" s="87" t="s">
        <v>731</v>
      </c>
      <c r="AK145" s="87" t="s">
        <v>731</v>
      </c>
      <c r="AL145" s="87" t="s">
        <v>731</v>
      </c>
      <c r="AM145" s="87" t="str">
        <f t="shared" si="34"/>
        <v>NA</v>
      </c>
      <c r="AN145" s="87" t="s">
        <v>731</v>
      </c>
      <c r="AO145" s="87" t="s">
        <v>731</v>
      </c>
      <c r="AP145" s="87" t="s">
        <v>731</v>
      </c>
    </row>
    <row r="146" customFormat="1" customHeight="1" spans="1:42">
      <c r="A146" s="86" t="s">
        <v>653</v>
      </c>
      <c r="B146" s="91" t="str">
        <f>_xlfn.XLOOKUP(A146,'Product List'!B:B,'Product List'!A:A)</f>
        <v>NA</v>
      </c>
      <c r="C146" s="86" t="str">
        <f>_xlfn.XLOOKUP(A146,'Product List'!B:B,'Product List'!L:L)</f>
        <v>跑轮-波波跑轮6.7英寸 透明</v>
      </c>
      <c r="D146" s="86" t="s">
        <v>731</v>
      </c>
      <c r="E146" s="86" t="s">
        <v>1767</v>
      </c>
      <c r="F146" s="92">
        <v>45931</v>
      </c>
      <c r="G146" s="86" t="s">
        <v>731</v>
      </c>
      <c r="H146" s="86" t="s">
        <v>1775</v>
      </c>
      <c r="I146" s="92" t="s">
        <v>731</v>
      </c>
      <c r="J146" s="86" t="s">
        <v>731</v>
      </c>
      <c r="K146" s="92" t="s">
        <v>731</v>
      </c>
      <c r="L146" s="92">
        <v>45931</v>
      </c>
      <c r="M146" s="93" t="s">
        <v>731</v>
      </c>
      <c r="N146" s="86" t="s">
        <v>731</v>
      </c>
      <c r="O146" s="86" t="s">
        <v>731</v>
      </c>
      <c r="P146" s="86" t="s">
        <v>731</v>
      </c>
      <c r="Q146" s="86" t="s">
        <v>731</v>
      </c>
      <c r="R146" s="86" t="s">
        <v>731</v>
      </c>
      <c r="S146" s="86" t="s">
        <v>731</v>
      </c>
      <c r="T146" s="86" t="s">
        <v>731</v>
      </c>
      <c r="U146" s="86" t="s">
        <v>731</v>
      </c>
      <c r="V146" s="86" t="s">
        <v>731</v>
      </c>
      <c r="W146" s="86" t="s">
        <v>731</v>
      </c>
      <c r="X146" s="86" t="s">
        <v>731</v>
      </c>
      <c r="Y146" s="86" t="s">
        <v>731</v>
      </c>
      <c r="Z146" s="86" t="s">
        <v>731</v>
      </c>
      <c r="AA146" s="86" t="s">
        <v>731</v>
      </c>
      <c r="AB146" s="86" t="s">
        <v>731</v>
      </c>
      <c r="AC146" s="86" t="s">
        <v>731</v>
      </c>
      <c r="AD146" s="86" t="s">
        <v>731</v>
      </c>
      <c r="AE146" s="86" t="s">
        <v>731</v>
      </c>
      <c r="AF146" s="86" t="s">
        <v>731</v>
      </c>
      <c r="AG146" s="87" t="s">
        <v>731</v>
      </c>
      <c r="AH146" s="87" t="s">
        <v>731</v>
      </c>
      <c r="AI146" s="87" t="s">
        <v>731</v>
      </c>
      <c r="AJ146" s="87" t="s">
        <v>731</v>
      </c>
      <c r="AK146" s="87" t="s">
        <v>731</v>
      </c>
      <c r="AL146" s="87" t="s">
        <v>731</v>
      </c>
      <c r="AM146" s="87" t="str">
        <f t="shared" si="34"/>
        <v>NA</v>
      </c>
      <c r="AN146" s="87" t="s">
        <v>731</v>
      </c>
      <c r="AO146" s="87" t="s">
        <v>731</v>
      </c>
      <c r="AP146" s="87" t="s">
        <v>731</v>
      </c>
    </row>
    <row r="147" customFormat="1" customHeight="1" spans="1:42">
      <c r="A147" s="86" t="s">
        <v>655</v>
      </c>
      <c r="B147" s="91" t="str">
        <f>_xlfn.XLOOKUP(A147,'Product List'!B:B,'Product List'!A:A)</f>
        <v>NA</v>
      </c>
      <c r="C147" s="86" t="str">
        <f>_xlfn.XLOOKUP(A147,'Product List'!B:B,'Product List'!L:L)</f>
        <v>跑轮-波波跑轮6.7英寸 蓝色</v>
      </c>
      <c r="D147" s="86" t="s">
        <v>731</v>
      </c>
      <c r="E147" s="86" t="s">
        <v>1767</v>
      </c>
      <c r="F147" s="92">
        <v>45931</v>
      </c>
      <c r="G147" s="86" t="s">
        <v>731</v>
      </c>
      <c r="H147" s="86" t="s">
        <v>1775</v>
      </c>
      <c r="I147" s="92" t="s">
        <v>731</v>
      </c>
      <c r="J147" s="86" t="s">
        <v>731</v>
      </c>
      <c r="K147" s="92" t="s">
        <v>731</v>
      </c>
      <c r="L147" s="92">
        <v>45931</v>
      </c>
      <c r="M147" s="93" t="s">
        <v>731</v>
      </c>
      <c r="N147" s="86" t="s">
        <v>731</v>
      </c>
      <c r="O147" s="86" t="s">
        <v>731</v>
      </c>
      <c r="P147" s="86" t="s">
        <v>731</v>
      </c>
      <c r="Q147" s="86" t="s">
        <v>731</v>
      </c>
      <c r="R147" s="86" t="s">
        <v>731</v>
      </c>
      <c r="S147" s="86" t="s">
        <v>731</v>
      </c>
      <c r="T147" s="86" t="s">
        <v>731</v>
      </c>
      <c r="U147" s="86" t="s">
        <v>731</v>
      </c>
      <c r="V147" s="86" t="s">
        <v>731</v>
      </c>
      <c r="W147" s="86" t="s">
        <v>731</v>
      </c>
      <c r="X147" s="86" t="s">
        <v>731</v>
      </c>
      <c r="Y147" s="86" t="s">
        <v>731</v>
      </c>
      <c r="Z147" s="86" t="s">
        <v>731</v>
      </c>
      <c r="AA147" s="86" t="s">
        <v>731</v>
      </c>
      <c r="AB147" s="86" t="s">
        <v>731</v>
      </c>
      <c r="AC147" s="86" t="s">
        <v>731</v>
      </c>
      <c r="AD147" s="86" t="s">
        <v>731</v>
      </c>
      <c r="AE147" s="86" t="s">
        <v>731</v>
      </c>
      <c r="AF147" s="86" t="s">
        <v>731</v>
      </c>
      <c r="AG147" s="87" t="s">
        <v>731</v>
      </c>
      <c r="AH147" s="87" t="s">
        <v>731</v>
      </c>
      <c r="AI147" s="87" t="s">
        <v>731</v>
      </c>
      <c r="AJ147" s="87" t="s">
        <v>731</v>
      </c>
      <c r="AK147" s="87" t="s">
        <v>731</v>
      </c>
      <c r="AL147" s="87" t="s">
        <v>731</v>
      </c>
      <c r="AM147" s="87" t="str">
        <f t="shared" si="34"/>
        <v>NA</v>
      </c>
      <c r="AN147" s="87" t="s">
        <v>731</v>
      </c>
      <c r="AO147" s="87" t="s">
        <v>731</v>
      </c>
      <c r="AP147" s="87" t="s">
        <v>731</v>
      </c>
    </row>
    <row r="148" customFormat="1" customHeight="1" spans="1:42">
      <c r="A148" s="86" t="s">
        <v>659</v>
      </c>
      <c r="B148" s="91" t="str">
        <f>_xlfn.XLOOKUP(A148,'Product List'!B:B,'Product List'!A:A)</f>
        <v>NA</v>
      </c>
      <c r="C148" s="86" t="str">
        <f>_xlfn.XLOOKUP(A148,'Product List'!B:B,'Product List'!L:L)</f>
        <v>木制躲避屋-潜水梯</v>
      </c>
      <c r="D148" s="86" t="s">
        <v>731</v>
      </c>
      <c r="E148" s="86" t="s">
        <v>1767</v>
      </c>
      <c r="F148" s="92">
        <v>45931</v>
      </c>
      <c r="G148" s="86" t="s">
        <v>731</v>
      </c>
      <c r="H148" s="86" t="s">
        <v>1775</v>
      </c>
      <c r="I148" s="92" t="s">
        <v>731</v>
      </c>
      <c r="J148" s="86" t="s">
        <v>731</v>
      </c>
      <c r="K148" s="92" t="s">
        <v>731</v>
      </c>
      <c r="L148" s="92">
        <v>45931</v>
      </c>
      <c r="M148" s="93" t="s">
        <v>731</v>
      </c>
      <c r="N148" s="86" t="s">
        <v>731</v>
      </c>
      <c r="O148" s="86" t="s">
        <v>731</v>
      </c>
      <c r="P148" s="86" t="s">
        <v>731</v>
      </c>
      <c r="Q148" s="86" t="s">
        <v>731</v>
      </c>
      <c r="R148" s="86" t="s">
        <v>731</v>
      </c>
      <c r="S148" s="86" t="s">
        <v>731</v>
      </c>
      <c r="T148" s="86" t="s">
        <v>731</v>
      </c>
      <c r="U148" s="86" t="s">
        <v>731</v>
      </c>
      <c r="V148" s="86" t="s">
        <v>731</v>
      </c>
      <c r="W148" s="86" t="s">
        <v>731</v>
      </c>
      <c r="X148" s="86" t="s">
        <v>731</v>
      </c>
      <c r="Y148" s="86" t="s">
        <v>731</v>
      </c>
      <c r="Z148" s="86" t="s">
        <v>731</v>
      </c>
      <c r="AA148" s="86" t="s">
        <v>731</v>
      </c>
      <c r="AB148" s="86" t="s">
        <v>731</v>
      </c>
      <c r="AC148" s="86" t="s">
        <v>731</v>
      </c>
      <c r="AD148" s="86" t="s">
        <v>731</v>
      </c>
      <c r="AE148" s="86" t="s">
        <v>731</v>
      </c>
      <c r="AF148" s="86" t="s">
        <v>731</v>
      </c>
      <c r="AG148" s="87" t="s">
        <v>731</v>
      </c>
      <c r="AH148" s="87" t="s">
        <v>731</v>
      </c>
      <c r="AI148" s="87" t="s">
        <v>731</v>
      </c>
      <c r="AJ148" s="87" t="s">
        <v>731</v>
      </c>
      <c r="AK148" s="87" t="s">
        <v>731</v>
      </c>
      <c r="AL148" s="87" t="s">
        <v>731</v>
      </c>
      <c r="AM148" s="87" t="str">
        <f t="shared" si="34"/>
        <v>NA</v>
      </c>
      <c r="AN148" s="87" t="s">
        <v>731</v>
      </c>
      <c r="AO148" s="87" t="s">
        <v>731</v>
      </c>
      <c r="AP148" s="87" t="s">
        <v>731</v>
      </c>
    </row>
    <row r="149" customFormat="1" customHeight="1" spans="1:42">
      <c r="A149" s="86" t="s">
        <v>661</v>
      </c>
      <c r="B149" s="91" t="str">
        <f>_xlfn.XLOOKUP(A149,'Product List'!B:B,'Product List'!A:A)</f>
        <v>NA</v>
      </c>
      <c r="C149" s="86" t="str">
        <f>_xlfn.XLOOKUP(A149,'Product List'!B:B,'Product List'!L:L)</f>
        <v>木制躲避屋-珊瑚梯</v>
      </c>
      <c r="D149" s="86" t="s">
        <v>731</v>
      </c>
      <c r="E149" s="86" t="s">
        <v>1767</v>
      </c>
      <c r="F149" s="92">
        <v>45931</v>
      </c>
      <c r="G149" s="86" t="s">
        <v>731</v>
      </c>
      <c r="H149" s="86" t="s">
        <v>1775</v>
      </c>
      <c r="I149" s="92" t="s">
        <v>731</v>
      </c>
      <c r="J149" s="86" t="s">
        <v>731</v>
      </c>
      <c r="K149" s="92" t="s">
        <v>731</v>
      </c>
      <c r="L149" s="92">
        <v>45931</v>
      </c>
      <c r="M149" s="93" t="s">
        <v>731</v>
      </c>
      <c r="N149" s="86" t="s">
        <v>731</v>
      </c>
      <c r="O149" s="86" t="s">
        <v>731</v>
      </c>
      <c r="P149" s="86" t="s">
        <v>731</v>
      </c>
      <c r="Q149" s="86" t="s">
        <v>731</v>
      </c>
      <c r="R149" s="86" t="s">
        <v>731</v>
      </c>
      <c r="S149" s="86" t="s">
        <v>731</v>
      </c>
      <c r="T149" s="86" t="s">
        <v>731</v>
      </c>
      <c r="U149" s="86" t="s">
        <v>731</v>
      </c>
      <c r="V149" s="86" t="s">
        <v>731</v>
      </c>
      <c r="W149" s="86" t="s">
        <v>731</v>
      </c>
      <c r="X149" s="86" t="s">
        <v>731</v>
      </c>
      <c r="Y149" s="86" t="s">
        <v>731</v>
      </c>
      <c r="Z149" s="86" t="s">
        <v>731</v>
      </c>
      <c r="AA149" s="86" t="s">
        <v>731</v>
      </c>
      <c r="AB149" s="86" t="s">
        <v>731</v>
      </c>
      <c r="AC149" s="86" t="s">
        <v>731</v>
      </c>
      <c r="AD149" s="86" t="s">
        <v>731</v>
      </c>
      <c r="AE149" s="86" t="s">
        <v>731</v>
      </c>
      <c r="AF149" s="86" t="s">
        <v>731</v>
      </c>
      <c r="AG149" s="87" t="s">
        <v>731</v>
      </c>
      <c r="AH149" s="87" t="s">
        <v>731</v>
      </c>
      <c r="AI149" s="87" t="s">
        <v>731</v>
      </c>
      <c r="AJ149" s="87" t="s">
        <v>731</v>
      </c>
      <c r="AK149" s="87" t="s">
        <v>731</v>
      </c>
      <c r="AL149" s="87" t="s">
        <v>731</v>
      </c>
      <c r="AM149" s="87" t="str">
        <f t="shared" si="34"/>
        <v>NA</v>
      </c>
      <c r="AN149" s="87" t="s">
        <v>731</v>
      </c>
      <c r="AO149" s="87" t="s">
        <v>731</v>
      </c>
      <c r="AP149" s="87" t="s">
        <v>731</v>
      </c>
    </row>
  </sheetData>
  <sheetProtection formatCells="0" formatColumns="0" formatRows="0" insertRows="0" insertColumns="0" insertHyperlinks="0" deleteColumns="0" deleteRows="0" sort="0" autoFilter="0" pivotTables="0"/>
  <autoFilter xmlns:etc="http://www.wps.cn/officeDocument/2017/etCustomData" ref="A1:AP149" etc:filterBottomFollowUsedRange="1">
    <extLst/>
  </autoFilter>
  <conditionalFormatting sqref="A8:A9">
    <cfRule type="duplicateValues" dxfId="0" priority="250"/>
  </conditionalFormatting>
  <conditionalFormatting sqref="A70:A149">
    <cfRule type="duplicateValues" dxfId="0" priority="2"/>
    <cfRule type="duplicateValues" dxfId="0" priority="3"/>
  </conditionalFormatting>
  <conditionalFormatting sqref="H70:H149">
    <cfRule type="cellIs" dxfId="0" priority="1" operator="equal">
      <formula>"pending transition"</formula>
    </cfRule>
  </conditionalFormatting>
  <conditionalFormatting sqref="A1:A69 A150:A1048576">
    <cfRule type="duplicateValues" dxfId="0" priority="249"/>
  </conditionalFormatting>
  <conditionalFormatting sqref="A1:A7 A10:A69 A150:A1048576">
    <cfRule type="duplicateValues" dxfId="0" priority="252"/>
  </conditionalFormatting>
  <conditionalFormatting sqref="H1:H69 H150:H1048576">
    <cfRule type="cellIs" dxfId="0" priority="248" operator="equal">
      <formula>"pending transition"</formula>
    </cfRule>
  </conditionalFormatting>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BE5D6"/>
  </sheetPr>
  <dimension ref="A1:L91"/>
  <sheetViews>
    <sheetView workbookViewId="0">
      <selection activeCell="B6" sqref="B6:D6"/>
    </sheetView>
  </sheetViews>
  <sheetFormatPr defaultColWidth="9.14285714285714" defaultRowHeight="12.75"/>
  <cols>
    <col min="1" max="1" width="9.85714285714286" customWidth="1"/>
    <col min="2" max="2" width="11.7142857142857" customWidth="1"/>
    <col min="3" max="3" width="10.4285714285714" customWidth="1"/>
    <col min="4" max="12" width="11.1428571428571" customWidth="1"/>
  </cols>
  <sheetData>
    <row r="1" spans="1:12">
      <c r="B1" s="81" t="s">
        <v>1805</v>
      </c>
      <c r="C1" s="82"/>
      <c r="D1" s="82"/>
      <c r="E1" s="83" t="s">
        <v>1806</v>
      </c>
      <c r="F1" s="84"/>
      <c r="G1" s="84"/>
    </row>
    <row r="2" spans="1:12">
      <c r="A2" s="85" t="s">
        <v>25</v>
      </c>
      <c r="B2" s="85" t="s">
        <v>1807</v>
      </c>
      <c r="C2" s="85" t="s">
        <v>1808</v>
      </c>
      <c r="D2" s="85" t="s">
        <v>1809</v>
      </c>
      <c r="E2" s="85" t="s">
        <v>1807</v>
      </c>
      <c r="F2" s="85" t="s">
        <v>1808</v>
      </c>
      <c r="G2" s="85" t="s">
        <v>1809</v>
      </c>
      <c r="H2" s="85" t="s">
        <v>27</v>
      </c>
      <c r="I2" s="85" t="s">
        <v>1810</v>
      </c>
      <c r="J2" s="85" t="s">
        <v>1811</v>
      </c>
      <c r="K2" s="85" t="s">
        <v>1812</v>
      </c>
      <c r="L2" s="85" t="s">
        <v>1813</v>
      </c>
    </row>
    <row r="3" spans="1:12">
      <c r="A3" s="86" t="s">
        <v>1766</v>
      </c>
      <c r="B3" s="87">
        <v>24</v>
      </c>
      <c r="C3" s="87">
        <v>20</v>
      </c>
      <c r="D3" s="87">
        <v>14</v>
      </c>
      <c r="E3" s="87">
        <f t="shared" ref="E3:E8" si="0">ROUNDUP(B3*2.54,2)</f>
        <v>60.96</v>
      </c>
      <c r="F3" s="87">
        <f t="shared" ref="F3:F8" si="1">ROUNDUP(C3*2.54,2)</f>
        <v>50.8</v>
      </c>
      <c r="G3" s="87">
        <f t="shared" ref="G3:G8" si="2">ROUNDUP(D3*2.54,2)</f>
        <v>35.56</v>
      </c>
      <c r="H3" s="87">
        <f t="shared" ref="H3:H10" si="3">E3*F3*G3/1000000</f>
        <v>0.11012107008</v>
      </c>
      <c r="I3" s="87">
        <v>12</v>
      </c>
      <c r="J3" s="87">
        <v>4</v>
      </c>
      <c r="K3" s="87">
        <v>3</v>
      </c>
      <c r="L3" s="87">
        <v>47</v>
      </c>
    </row>
    <row r="4" spans="1:12">
      <c r="A4" s="87" t="s">
        <v>1765</v>
      </c>
      <c r="B4" s="87">
        <v>16</v>
      </c>
      <c r="C4" s="87">
        <v>20</v>
      </c>
      <c r="D4" s="87">
        <v>14</v>
      </c>
      <c r="E4" s="87">
        <f t="shared" si="0"/>
        <v>40.64</v>
      </c>
      <c r="F4" s="87">
        <f t="shared" si="1"/>
        <v>50.8</v>
      </c>
      <c r="G4" s="87">
        <f t="shared" si="2"/>
        <v>35.56</v>
      </c>
      <c r="H4" s="87">
        <f t="shared" si="3"/>
        <v>0.07341404672</v>
      </c>
      <c r="I4" s="87">
        <v>18</v>
      </c>
      <c r="J4" s="87">
        <v>6</v>
      </c>
      <c r="K4" s="87">
        <v>3</v>
      </c>
      <c r="L4" s="87">
        <v>47</v>
      </c>
    </row>
    <row r="5" spans="1:12">
      <c r="A5" s="86" t="s">
        <v>1761</v>
      </c>
      <c r="B5" s="87">
        <v>24</v>
      </c>
      <c r="C5" s="87">
        <v>20</v>
      </c>
      <c r="D5" s="87">
        <v>20</v>
      </c>
      <c r="E5" s="87">
        <f t="shared" si="0"/>
        <v>60.96</v>
      </c>
      <c r="F5" s="87">
        <f t="shared" si="1"/>
        <v>50.8</v>
      </c>
      <c r="G5" s="87">
        <f t="shared" si="2"/>
        <v>50.8</v>
      </c>
      <c r="H5" s="87">
        <f t="shared" si="3"/>
        <v>0.1573158144</v>
      </c>
      <c r="I5" s="87">
        <v>8</v>
      </c>
      <c r="J5" s="87">
        <v>4</v>
      </c>
      <c r="K5" s="87">
        <v>2</v>
      </c>
      <c r="L5" s="87">
        <v>45</v>
      </c>
    </row>
    <row r="6" spans="1:12">
      <c r="A6" s="87" t="s">
        <v>1764</v>
      </c>
      <c r="B6" s="87">
        <v>24</v>
      </c>
      <c r="C6" s="87">
        <v>20</v>
      </c>
      <c r="D6" s="87">
        <v>11.2</v>
      </c>
      <c r="E6" s="87">
        <f t="shared" si="0"/>
        <v>60.96</v>
      </c>
      <c r="F6" s="87">
        <f t="shared" si="1"/>
        <v>50.8</v>
      </c>
      <c r="G6" s="87">
        <f t="shared" si="2"/>
        <v>28.45</v>
      </c>
      <c r="H6" s="87">
        <f t="shared" si="3"/>
        <v>0.0881030496</v>
      </c>
      <c r="I6" s="87">
        <v>36</v>
      </c>
      <c r="J6" s="87">
        <v>6</v>
      </c>
      <c r="K6" s="87">
        <v>6</v>
      </c>
      <c r="L6" s="87">
        <v>47</v>
      </c>
    </row>
    <row r="7" spans="1:12">
      <c r="A7" s="87" t="s">
        <v>1787</v>
      </c>
      <c r="B7" s="87">
        <v>16</v>
      </c>
      <c r="C7" s="87">
        <v>20</v>
      </c>
      <c r="D7" s="87">
        <v>7</v>
      </c>
      <c r="E7" s="87">
        <f t="shared" si="0"/>
        <v>40.64</v>
      </c>
      <c r="F7" s="87">
        <f t="shared" si="1"/>
        <v>50.8</v>
      </c>
      <c r="G7" s="87">
        <f t="shared" si="2"/>
        <v>17.78</v>
      </c>
      <c r="H7" s="87">
        <f t="shared" si="3"/>
        <v>0.03670702336</v>
      </c>
      <c r="I7" s="87">
        <v>12</v>
      </c>
      <c r="J7" s="87">
        <v>4</v>
      </c>
      <c r="K7" s="87">
        <v>3</v>
      </c>
      <c r="L7" s="87">
        <v>38.6</v>
      </c>
    </row>
    <row r="8" spans="1:12">
      <c r="A8" s="86" t="s">
        <v>1783</v>
      </c>
      <c r="B8" s="87">
        <v>25.2</v>
      </c>
      <c r="C8" s="87">
        <v>16.9</v>
      </c>
      <c r="D8" s="87">
        <v>10.6</v>
      </c>
      <c r="E8" s="87">
        <f t="shared" si="0"/>
        <v>64.01</v>
      </c>
      <c r="F8" s="87">
        <f t="shared" si="1"/>
        <v>42.93</v>
      </c>
      <c r="G8" s="87">
        <f t="shared" si="2"/>
        <v>26.93</v>
      </c>
      <c r="H8" s="87">
        <f t="shared" si="3"/>
        <v>0.074002274649</v>
      </c>
      <c r="I8" s="87">
        <v>12</v>
      </c>
      <c r="J8" s="87">
        <v>6</v>
      </c>
      <c r="K8" s="87">
        <v>2</v>
      </c>
      <c r="L8" s="87">
        <v>26.2</v>
      </c>
    </row>
    <row r="9" spans="1:12">
      <c r="A9" s="86" t="s">
        <v>1785</v>
      </c>
      <c r="B9" s="87">
        <f>ROUNDUP(E9/2.54,2)</f>
        <v>18.31</v>
      </c>
      <c r="C9" s="87">
        <f>ROUNDUP(F9/2.54,2)</f>
        <v>13.39</v>
      </c>
      <c r="D9" s="87">
        <f>ROUNDUP(G9/2.54,2)</f>
        <v>8.86</v>
      </c>
      <c r="E9" s="87">
        <v>46.5</v>
      </c>
      <c r="F9" s="87">
        <v>34</v>
      </c>
      <c r="G9" s="87">
        <v>22.5</v>
      </c>
      <c r="H9" s="87">
        <f t="shared" si="3"/>
        <v>0.0355725</v>
      </c>
      <c r="I9" s="87">
        <v>24</v>
      </c>
      <c r="J9" s="87">
        <v>6</v>
      </c>
      <c r="K9" s="87">
        <v>4</v>
      </c>
      <c r="L9" s="87">
        <v>44.36</v>
      </c>
    </row>
    <row r="10" spans="1:12">
      <c r="A10" s="86" t="s">
        <v>1789</v>
      </c>
      <c r="B10" s="87">
        <v>27.76</v>
      </c>
      <c r="C10" s="87">
        <v>18.9</v>
      </c>
      <c r="D10" s="87">
        <v>16.54</v>
      </c>
      <c r="E10" s="87">
        <f>ROUNDUP(B10*2.54,2)</f>
        <v>70.52</v>
      </c>
      <c r="F10" s="87">
        <f>ROUNDUP(C10*2.54,2)</f>
        <v>48.01</v>
      </c>
      <c r="G10" s="87">
        <f>ROUNDUP(D10*2.54,2)</f>
        <v>42.02</v>
      </c>
      <c r="H10" s="87">
        <f t="shared" si="3"/>
        <v>0.142265651704</v>
      </c>
      <c r="I10" s="87">
        <v>6</v>
      </c>
      <c r="J10" s="87">
        <v>3</v>
      </c>
      <c r="K10" s="87">
        <v>2</v>
      </c>
      <c r="L10" s="87">
        <v>38.08</v>
      </c>
    </row>
    <row r="16" ht="73.95" spans="1:12">
      <c r="F16" t="str">
        <f>_xlfn.DISPIMG("ID_D1C32D996DE64517BAC2EA3820F58E62",1)</f>
        <v>=DISPIMG("ID_D1C32D996DE64517BAC2EA3820F58E62",1)</v>
      </c>
    </row>
    <row r="56" s="80" customFormat="1"/>
    <row r="57" s="80" customFormat="1"/>
    <row r="58" s="80" customFormat="1"/>
    <row r="59" s="80" customFormat="1"/>
    <row r="60" s="80" customFormat="1"/>
    <row r="61" s="80" customFormat="1"/>
    <row r="62" s="80" customFormat="1" spans="1:12">
      <c r="A62" s="88"/>
      <c r="B62" s="88"/>
      <c r="C62" s="88"/>
      <c r="D62" s="88"/>
      <c r="E62" s="88"/>
      <c r="F62" s="88"/>
      <c r="G62" s="88"/>
      <c r="H62" s="88"/>
      <c r="I62" s="88"/>
      <c r="J62" s="88"/>
      <c r="K62" s="88"/>
      <c r="L62" s="88"/>
    </row>
    <row r="63" s="80" customFormat="1" spans="1:12">
      <c r="A63" s="88"/>
      <c r="B63" s="88"/>
      <c r="C63" s="88"/>
      <c r="D63" s="88"/>
      <c r="E63" s="88"/>
      <c r="F63" s="88"/>
      <c r="G63" s="88"/>
      <c r="H63" s="88"/>
      <c r="I63" s="88"/>
      <c r="J63" s="88"/>
      <c r="K63" s="88"/>
      <c r="L63" s="88"/>
    </row>
    <row r="64" s="80" customFormat="1" spans="1:12">
      <c r="A64" s="88"/>
      <c r="B64" s="88"/>
      <c r="C64" s="88"/>
      <c r="D64" s="88"/>
      <c r="E64" s="88"/>
      <c r="F64" s="88"/>
      <c r="G64" s="88"/>
      <c r="H64" s="88"/>
      <c r="I64" s="88"/>
      <c r="J64" s="88"/>
      <c r="K64" s="88"/>
      <c r="L64" s="88"/>
    </row>
    <row r="65" s="80" customFormat="1" spans="1:12">
      <c r="A65" s="89"/>
      <c r="B65" s="89"/>
      <c r="C65" s="89"/>
      <c r="D65" s="89"/>
      <c r="E65" s="89"/>
      <c r="F65" s="89"/>
      <c r="G65" s="89"/>
      <c r="H65" s="89"/>
      <c r="I65" s="89"/>
      <c r="J65" s="89"/>
      <c r="K65" s="89"/>
      <c r="L65" s="89"/>
    </row>
    <row r="66" s="80" customFormat="1" spans="1:12">
      <c r="A66" s="88"/>
      <c r="B66" s="88"/>
      <c r="C66" s="88"/>
      <c r="D66" s="88"/>
      <c r="E66" s="88"/>
      <c r="F66" s="88"/>
      <c r="G66" s="88"/>
      <c r="H66" s="88"/>
      <c r="I66" s="88"/>
      <c r="J66" s="88"/>
      <c r="K66" s="88"/>
      <c r="L66" s="88"/>
    </row>
    <row r="67" s="80" customFormat="1" spans="1:12">
      <c r="A67" s="88"/>
      <c r="B67" s="88"/>
      <c r="C67" s="88"/>
      <c r="D67" s="88"/>
      <c r="E67" s="88"/>
      <c r="F67" s="88"/>
      <c r="G67" s="88"/>
      <c r="H67" s="88"/>
      <c r="I67" s="88"/>
      <c r="J67" s="88"/>
      <c r="K67" s="88"/>
      <c r="L67" s="88"/>
    </row>
    <row r="68" s="80" customFormat="1" spans="1:12">
      <c r="A68" s="88"/>
      <c r="B68" s="88"/>
      <c r="C68" s="88"/>
      <c r="D68" s="88"/>
      <c r="E68" s="88"/>
      <c r="F68" s="88"/>
      <c r="G68" s="88"/>
      <c r="H68" s="88"/>
      <c r="I68" s="88"/>
      <c r="J68" s="88"/>
      <c r="K68" s="88"/>
      <c r="L68" s="88"/>
    </row>
    <row r="69" s="80" customFormat="1" spans="1:12">
      <c r="A69" s="88"/>
      <c r="B69" s="88"/>
      <c r="C69" s="88"/>
      <c r="D69" s="88"/>
      <c r="E69" s="88"/>
      <c r="F69" s="88"/>
      <c r="G69" s="88"/>
      <c r="H69" s="88"/>
      <c r="I69" s="88"/>
      <c r="J69" s="88"/>
      <c r="K69" s="88"/>
      <c r="L69" s="88"/>
    </row>
    <row r="70" s="80" customFormat="1" spans="1:12">
      <c r="A70" s="88"/>
      <c r="B70" s="88"/>
      <c r="C70" s="88"/>
      <c r="D70" s="88"/>
      <c r="E70" s="88"/>
      <c r="F70" s="88"/>
      <c r="G70" s="88"/>
      <c r="H70" s="88"/>
      <c r="I70" s="88"/>
      <c r="J70" s="88"/>
      <c r="K70" s="88"/>
      <c r="L70" s="88"/>
    </row>
    <row r="71" s="80" customFormat="1" spans="1:12">
      <c r="A71" s="89"/>
      <c r="B71" s="88"/>
      <c r="C71" s="88"/>
      <c r="D71" s="88"/>
      <c r="E71" s="88"/>
      <c r="F71" s="88"/>
      <c r="G71" s="88"/>
      <c r="H71" s="88"/>
      <c r="I71" s="88"/>
      <c r="J71" s="88"/>
      <c r="K71" s="88"/>
      <c r="L71" s="88"/>
    </row>
    <row r="72" s="80" customFormat="1" spans="1:12">
      <c r="A72" s="88"/>
      <c r="B72" s="88"/>
      <c r="C72" s="88"/>
      <c r="D72" s="88"/>
      <c r="E72" s="88"/>
      <c r="F72" s="88"/>
      <c r="G72" s="88"/>
      <c r="H72" s="88"/>
      <c r="I72" s="88"/>
      <c r="J72" s="88"/>
      <c r="K72" s="88"/>
      <c r="L72" s="88"/>
    </row>
    <row r="73" s="80" customFormat="1" spans="1:12">
      <c r="A73" s="89"/>
      <c r="B73" s="88"/>
      <c r="C73" s="88"/>
      <c r="D73" s="88"/>
      <c r="E73" s="88"/>
      <c r="F73" s="88"/>
      <c r="G73" s="88"/>
      <c r="H73" s="88"/>
      <c r="I73" s="88"/>
      <c r="J73" s="88"/>
      <c r="K73" s="88"/>
      <c r="L73" s="88"/>
    </row>
    <row r="74" s="80" customFormat="1" spans="1:12">
      <c r="A74" s="88"/>
      <c r="B74" s="88"/>
      <c r="C74" s="88"/>
      <c r="D74" s="88"/>
      <c r="E74" s="88"/>
      <c r="F74" s="88"/>
      <c r="G74" s="88"/>
      <c r="H74" s="88"/>
      <c r="I74" s="88"/>
      <c r="J74" s="88"/>
      <c r="K74" s="88"/>
      <c r="L74" s="88"/>
    </row>
    <row r="75" s="80" customFormat="1" spans="1:12">
      <c r="A75" s="88"/>
      <c r="B75" s="88"/>
      <c r="C75" s="88"/>
      <c r="D75" s="88"/>
      <c r="E75" s="88"/>
      <c r="F75" s="88"/>
      <c r="G75" s="88"/>
      <c r="H75" s="88"/>
      <c r="I75" s="88"/>
      <c r="J75" s="88"/>
      <c r="K75" s="88"/>
      <c r="L75" s="88"/>
    </row>
    <row r="76" s="80" customFormat="1" spans="1:12">
      <c r="A76" s="89"/>
      <c r="B76" s="89"/>
      <c r="C76" s="89"/>
      <c r="D76" s="89"/>
      <c r="E76" s="89"/>
      <c r="F76" s="89"/>
      <c r="G76" s="89"/>
      <c r="H76" s="89"/>
      <c r="I76" s="89"/>
      <c r="J76" s="89"/>
      <c r="K76" s="89"/>
      <c r="L76" s="89"/>
    </row>
    <row r="77" s="80" customFormat="1" spans="1:12">
      <c r="A77" s="89"/>
      <c r="B77" s="89"/>
      <c r="C77" s="89"/>
      <c r="D77" s="89"/>
      <c r="E77" s="89"/>
      <c r="F77" s="89"/>
      <c r="G77" s="89"/>
      <c r="H77" s="89"/>
      <c r="I77" s="89"/>
      <c r="J77" s="89"/>
      <c r="K77" s="89"/>
      <c r="L77" s="89"/>
    </row>
    <row r="78" s="80" customFormat="1" spans="1:12">
      <c r="A78" s="88"/>
      <c r="B78" s="88"/>
      <c r="C78" s="88"/>
      <c r="D78" s="88"/>
      <c r="E78" s="88"/>
      <c r="F78" s="88"/>
      <c r="G78" s="88"/>
      <c r="H78" s="88"/>
      <c r="I78" s="88"/>
      <c r="J78" s="88"/>
      <c r="K78" s="88"/>
      <c r="L78" s="88"/>
    </row>
    <row r="79" s="80" customFormat="1" spans="1:12">
      <c r="A79" s="88"/>
      <c r="B79" s="88"/>
      <c r="C79" s="88"/>
      <c r="D79" s="88"/>
      <c r="E79" s="88"/>
      <c r="F79" s="88"/>
      <c r="G79" s="88"/>
      <c r="H79" s="88"/>
      <c r="I79" s="88"/>
      <c r="J79" s="88"/>
      <c r="K79" s="88"/>
      <c r="L79" s="88"/>
    </row>
    <row r="80" s="80" customFormat="1" spans="1:12">
      <c r="A80" s="88"/>
      <c r="B80" s="88"/>
      <c r="C80" s="88"/>
      <c r="D80" s="88"/>
      <c r="E80" s="88"/>
      <c r="F80" s="88"/>
      <c r="G80" s="88"/>
      <c r="H80" s="88"/>
      <c r="I80" s="88"/>
      <c r="J80" s="88"/>
      <c r="K80" s="88"/>
      <c r="L80" s="88"/>
    </row>
    <row r="81" s="80" customFormat="1" spans="1:12">
      <c r="A81" s="88"/>
      <c r="B81" s="88"/>
      <c r="C81" s="88"/>
      <c r="D81" s="88"/>
      <c r="E81" s="88"/>
      <c r="F81" s="88"/>
      <c r="G81" s="88"/>
      <c r="H81" s="88"/>
      <c r="I81" s="88"/>
      <c r="J81" s="88"/>
      <c r="K81" s="88"/>
      <c r="L81" s="88"/>
    </row>
    <row r="82" s="80" customFormat="1" spans="1:12">
      <c r="A82" s="88"/>
      <c r="B82" s="88"/>
      <c r="C82" s="88"/>
      <c r="D82" s="88"/>
      <c r="E82" s="88"/>
      <c r="F82" s="88"/>
      <c r="G82" s="88"/>
      <c r="H82" s="88"/>
      <c r="I82" s="88"/>
      <c r="J82" s="88"/>
      <c r="K82" s="88"/>
      <c r="L82" s="88"/>
    </row>
    <row r="83" s="80" customFormat="1" spans="1:12">
      <c r="A83" s="88"/>
      <c r="B83" s="88"/>
      <c r="C83" s="88"/>
      <c r="D83" s="88"/>
      <c r="E83" s="88"/>
      <c r="F83" s="88"/>
      <c r="G83" s="88"/>
      <c r="H83" s="88"/>
      <c r="I83" s="88"/>
      <c r="J83" s="88"/>
      <c r="K83" s="88"/>
      <c r="L83" s="88"/>
    </row>
    <row r="84" s="80" customFormat="1" spans="1:12">
      <c r="A84" s="88"/>
      <c r="B84" s="88"/>
      <c r="C84" s="88"/>
      <c r="D84" s="88"/>
      <c r="E84" s="88"/>
      <c r="F84" s="88"/>
      <c r="G84" s="88"/>
      <c r="H84" s="88"/>
      <c r="I84" s="88"/>
      <c r="J84" s="88"/>
      <c r="K84" s="88"/>
      <c r="L84" s="88"/>
    </row>
    <row r="85" s="80" customFormat="1" spans="1:12">
      <c r="A85" s="89"/>
      <c r="B85" s="89"/>
      <c r="C85" s="89"/>
      <c r="D85" s="89"/>
      <c r="E85" s="89"/>
      <c r="F85" s="89"/>
      <c r="G85" s="89"/>
      <c r="H85" s="89"/>
      <c r="I85" s="89"/>
      <c r="J85" s="89"/>
      <c r="K85" s="89"/>
      <c r="L85" s="89"/>
    </row>
    <row r="86" s="80" customFormat="1" spans="1:12">
      <c r="A86" s="89"/>
      <c r="B86" s="89"/>
      <c r="C86" s="89"/>
      <c r="D86" s="89"/>
      <c r="E86" s="89"/>
      <c r="F86" s="89"/>
      <c r="G86" s="89"/>
      <c r="H86" s="89"/>
      <c r="I86" s="89"/>
      <c r="J86" s="89"/>
      <c r="K86" s="89"/>
      <c r="L86" s="89"/>
    </row>
    <row r="87" s="80" customFormat="1" spans="1:12">
      <c r="A87" s="88"/>
      <c r="B87" s="88"/>
      <c r="C87" s="88"/>
      <c r="D87" s="88"/>
      <c r="E87" s="88"/>
      <c r="F87" s="88"/>
      <c r="G87" s="88"/>
      <c r="H87" s="88"/>
      <c r="I87" s="88"/>
      <c r="J87" s="88"/>
      <c r="K87" s="88"/>
      <c r="L87" s="88"/>
    </row>
    <row r="88" s="80" customFormat="1" spans="1:12">
      <c r="A88" s="89"/>
      <c r="B88" s="89"/>
      <c r="C88" s="89"/>
      <c r="D88" s="89"/>
      <c r="E88" s="89"/>
      <c r="F88" s="89"/>
      <c r="G88" s="89"/>
      <c r="H88" s="89"/>
      <c r="I88" s="89"/>
      <c r="J88" s="89"/>
      <c r="K88" s="89"/>
      <c r="L88" s="89"/>
    </row>
    <row r="89" s="80" customFormat="1" spans="1:12">
      <c r="A89" s="89"/>
      <c r="B89" s="89"/>
      <c r="C89" s="89"/>
      <c r="D89" s="89"/>
      <c r="E89" s="89"/>
      <c r="F89" s="89"/>
      <c r="G89" s="89"/>
      <c r="H89" s="89"/>
      <c r="I89" s="89"/>
      <c r="J89" s="89"/>
      <c r="K89" s="89"/>
      <c r="L89" s="89"/>
    </row>
    <row r="90" s="80" customFormat="1" spans="1:12">
      <c r="A90" s="89"/>
      <c r="B90" s="89"/>
      <c r="C90" s="89"/>
      <c r="D90" s="89"/>
      <c r="E90" s="89"/>
      <c r="F90" s="89"/>
      <c r="G90" s="89"/>
      <c r="H90" s="89"/>
      <c r="I90" s="89"/>
      <c r="J90" s="89"/>
      <c r="K90" s="89"/>
      <c r="L90" s="89"/>
    </row>
    <row r="91" s="80" customFormat="1"/>
  </sheetData>
  <sheetProtection formatCells="0" formatColumns="0" formatRows="0" insertRows="0" insertColumns="0" insertHyperlinks="0" deleteColumns="0" deleteRows="0" sort="0" autoFilter="0" pivotTables="0"/>
  <autoFilter xmlns:etc="http://www.wps.cn/officeDocument/2017/etCustomData" ref="A2:D90" etc:filterBottomFollowUsedRange="1">
    <sortState ref="A2:D90">
      <sortCondition ref="A1"/>
    </sortState>
    <extLst/>
  </autoFilter>
  <mergeCells count="2">
    <mergeCell ref="B1:D1"/>
    <mergeCell ref="E1:G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7"/>
  <sheetViews>
    <sheetView zoomScale="70" zoomScaleNormal="70" topLeftCell="C9" workbookViewId="0">
      <selection activeCell="C9" sqref="C9"/>
    </sheetView>
  </sheetViews>
  <sheetFormatPr defaultColWidth="9.14285714285714" defaultRowHeight="12.75"/>
  <cols>
    <col min="1" max="1" width="24.9619047619048" customWidth="1"/>
    <col min="2" max="2" width="32.4285714285714" customWidth="1"/>
    <col min="3" max="3" width="14.2190476190476" customWidth="1"/>
    <col min="4" max="4" width="15" customWidth="1"/>
    <col min="6" max="6" width="10.2857142857143"/>
    <col min="7" max="7" width="9.71428571428571"/>
    <col min="8" max="8" width="23.8857142857143" customWidth="1"/>
    <col min="9" max="9" width="35.4285714285714" customWidth="1"/>
    <col min="10" max="11" width="9.71428571428571"/>
    <col min="12" max="12" width="14.0095238095238" customWidth="1"/>
  </cols>
  <sheetData>
    <row r="1" ht="30" spans="1:13">
      <c r="A1" s="8" t="s">
        <v>1814</v>
      </c>
      <c r="B1" s="9" t="s">
        <v>1815</v>
      </c>
      <c r="C1" s="9" t="s">
        <v>1816</v>
      </c>
      <c r="D1" s="9" t="s">
        <v>1817</v>
      </c>
      <c r="E1" s="9" t="s">
        <v>1818</v>
      </c>
      <c r="F1" s="9" t="s">
        <v>1819</v>
      </c>
      <c r="G1" s="9" t="s">
        <v>1820</v>
      </c>
      <c r="H1" s="10"/>
      <c r="I1" s="11"/>
      <c r="J1" s="11"/>
      <c r="K1" s="11"/>
      <c r="L1" s="11"/>
      <c r="M1" s="11"/>
    </row>
    <row r="2" ht="15" spans="1:13">
      <c r="A2" s="8" t="s">
        <v>1814</v>
      </c>
      <c r="B2" s="12" t="s">
        <v>1821</v>
      </c>
      <c r="C2" s="12" t="s">
        <v>1822</v>
      </c>
      <c r="D2" s="13" t="s">
        <v>1823</v>
      </c>
      <c r="E2" s="12" t="s">
        <v>1824</v>
      </c>
      <c r="F2" s="14">
        <v>46551.23</v>
      </c>
      <c r="G2" s="15">
        <v>995.74</v>
      </c>
      <c r="H2" s="16"/>
      <c r="I2" s="11"/>
      <c r="J2" s="11"/>
      <c r="K2" s="11"/>
      <c r="L2" s="11"/>
      <c r="M2" s="11"/>
    </row>
    <row r="3" ht="15.75" spans="1:13">
      <c r="A3" s="8" t="s">
        <v>1814</v>
      </c>
      <c r="B3" s="17"/>
      <c r="C3" s="18" t="s">
        <v>1825</v>
      </c>
      <c r="D3" s="19"/>
      <c r="E3" s="19"/>
      <c r="F3" s="19"/>
      <c r="G3" s="19"/>
      <c r="H3" s="20"/>
      <c r="I3" s="20"/>
      <c r="J3" s="20"/>
      <c r="K3" s="20"/>
      <c r="L3" s="20"/>
      <c r="M3" s="20"/>
    </row>
    <row r="4" ht="60" spans="1:13">
      <c r="A4" s="8" t="s">
        <v>1814</v>
      </c>
      <c r="B4" s="21"/>
      <c r="C4" s="22" t="s">
        <v>1816</v>
      </c>
      <c r="D4" s="22" t="s">
        <v>1817</v>
      </c>
      <c r="E4" s="22" t="s">
        <v>1826</v>
      </c>
      <c r="F4" s="22" t="s">
        <v>1819</v>
      </c>
      <c r="G4" s="22" t="s">
        <v>1820</v>
      </c>
      <c r="H4" s="22" t="s">
        <v>1827</v>
      </c>
      <c r="I4" s="22" t="s">
        <v>1828</v>
      </c>
      <c r="J4" s="22" t="s">
        <v>1829</v>
      </c>
      <c r="K4" s="22" t="s">
        <v>1830</v>
      </c>
      <c r="L4" s="23" t="s">
        <v>1831</v>
      </c>
      <c r="M4" s="23" t="s">
        <v>1832</v>
      </c>
    </row>
    <row r="5" ht="15" spans="1:13">
      <c r="A5" s="8" t="s">
        <v>1814</v>
      </c>
      <c r="B5" s="21"/>
      <c r="C5" s="12" t="s">
        <v>1822</v>
      </c>
      <c r="D5" s="13" t="s">
        <v>1823</v>
      </c>
      <c r="E5" s="12" t="s">
        <v>1824</v>
      </c>
      <c r="F5" s="15">
        <v>10085.28</v>
      </c>
      <c r="G5" s="15">
        <v>205.82</v>
      </c>
      <c r="H5" s="12" t="s">
        <v>423</v>
      </c>
      <c r="I5" s="12" t="s">
        <v>1833</v>
      </c>
      <c r="J5" s="15">
        <v>10291.1</v>
      </c>
      <c r="K5" s="15">
        <v>0</v>
      </c>
      <c r="L5" s="12" t="s">
        <v>1834</v>
      </c>
      <c r="M5" s="24"/>
    </row>
    <row r="6" ht="15" spans="1:13">
      <c r="A6" s="8" t="s">
        <v>1814</v>
      </c>
      <c r="B6" s="21"/>
      <c r="C6" s="12" t="s">
        <v>1822</v>
      </c>
      <c r="D6" s="13" t="s">
        <v>1823</v>
      </c>
      <c r="E6" s="12" t="s">
        <v>1824</v>
      </c>
      <c r="F6" s="15">
        <v>-311.86</v>
      </c>
      <c r="G6" s="15">
        <v>0</v>
      </c>
      <c r="H6" s="12" t="s">
        <v>1835</v>
      </c>
      <c r="I6" s="12" t="s">
        <v>1836</v>
      </c>
      <c r="J6" s="15">
        <v>-311.86</v>
      </c>
      <c r="K6" s="15">
        <v>0</v>
      </c>
      <c r="L6" s="12" t="s">
        <v>1834</v>
      </c>
      <c r="M6" s="24"/>
    </row>
    <row r="7" ht="15" spans="1:13">
      <c r="A7" s="8" t="s">
        <v>1814</v>
      </c>
      <c r="B7" s="21"/>
      <c r="C7" s="12" t="s">
        <v>1822</v>
      </c>
      <c r="D7" s="13" t="s">
        <v>1823</v>
      </c>
      <c r="E7" s="12" t="s">
        <v>1824</v>
      </c>
      <c r="F7" s="15">
        <v>5444.96</v>
      </c>
      <c r="G7" s="15">
        <v>111.12</v>
      </c>
      <c r="H7" s="12" t="s">
        <v>424</v>
      </c>
      <c r="I7" s="12" t="s">
        <v>1833</v>
      </c>
      <c r="J7" s="15">
        <v>5556.08</v>
      </c>
      <c r="K7" s="15">
        <v>0</v>
      </c>
      <c r="L7" s="12" t="s">
        <v>1834</v>
      </c>
      <c r="M7" s="24"/>
    </row>
    <row r="8" ht="15" spans="1:13">
      <c r="A8" s="8" t="s">
        <v>1814</v>
      </c>
      <c r="B8" s="21"/>
      <c r="C8" s="12" t="s">
        <v>1822</v>
      </c>
      <c r="D8" s="13" t="s">
        <v>1823</v>
      </c>
      <c r="E8" s="12" t="s">
        <v>1824</v>
      </c>
      <c r="F8" s="15">
        <v>6037.27</v>
      </c>
      <c r="G8" s="15">
        <v>123.21</v>
      </c>
      <c r="H8" s="12" t="s">
        <v>425</v>
      </c>
      <c r="I8" s="12" t="s">
        <v>1833</v>
      </c>
      <c r="J8" s="15">
        <v>6160.48</v>
      </c>
      <c r="K8" s="15">
        <v>0</v>
      </c>
      <c r="L8" s="12" t="s">
        <v>1834</v>
      </c>
      <c r="M8" s="24"/>
    </row>
    <row r="9" ht="15" spans="1:13">
      <c r="A9" s="8" t="s">
        <v>1814</v>
      </c>
      <c r="B9" s="21"/>
      <c r="C9" s="12" t="s">
        <v>1822</v>
      </c>
      <c r="D9" s="13" t="s">
        <v>1823</v>
      </c>
      <c r="E9" s="12" t="s">
        <v>1824</v>
      </c>
      <c r="F9" s="15">
        <v>7499.69</v>
      </c>
      <c r="G9" s="15">
        <v>153.05</v>
      </c>
      <c r="H9" s="12" t="s">
        <v>426</v>
      </c>
      <c r="I9" s="12" t="s">
        <v>1833</v>
      </c>
      <c r="J9" s="15">
        <v>7652.74</v>
      </c>
      <c r="K9" s="15">
        <v>0</v>
      </c>
      <c r="L9" s="12" t="s">
        <v>1834</v>
      </c>
      <c r="M9" s="24"/>
    </row>
    <row r="10" ht="15" spans="1:13">
      <c r="A10" s="8" t="s">
        <v>1814</v>
      </c>
      <c r="B10" s="21"/>
      <c r="C10" s="12" t="s">
        <v>1822</v>
      </c>
      <c r="D10" s="13" t="s">
        <v>1823</v>
      </c>
      <c r="E10" s="12" t="s">
        <v>1824</v>
      </c>
      <c r="F10" s="15">
        <v>12224.77</v>
      </c>
      <c r="G10" s="15">
        <v>249.49</v>
      </c>
      <c r="H10" s="12" t="s">
        <v>427</v>
      </c>
      <c r="I10" s="12" t="s">
        <v>1833</v>
      </c>
      <c r="J10" s="15">
        <v>12474.26</v>
      </c>
      <c r="K10" s="15">
        <v>0</v>
      </c>
      <c r="L10" s="12" t="s">
        <v>1834</v>
      </c>
      <c r="M10" s="24"/>
    </row>
    <row r="11" ht="15" spans="1:13">
      <c r="A11" s="8" t="s">
        <v>1814</v>
      </c>
      <c r="B11" s="21"/>
      <c r="C11" s="12" t="s">
        <v>1822</v>
      </c>
      <c r="D11" s="13" t="s">
        <v>1823</v>
      </c>
      <c r="E11" s="12" t="s">
        <v>1824</v>
      </c>
      <c r="F11" s="15">
        <v>-205.82</v>
      </c>
      <c r="G11" s="15">
        <v>0</v>
      </c>
      <c r="H11" s="12" t="s">
        <v>1837</v>
      </c>
      <c r="I11" s="12" t="s">
        <v>1836</v>
      </c>
      <c r="J11" s="15">
        <v>-205.82</v>
      </c>
      <c r="K11" s="15">
        <v>0</v>
      </c>
      <c r="L11" s="12" t="s">
        <v>1834</v>
      </c>
      <c r="M11" s="24"/>
    </row>
    <row r="12" ht="15" spans="1:13">
      <c r="A12" s="8" t="s">
        <v>1814</v>
      </c>
      <c r="B12" s="21"/>
      <c r="C12" s="12" t="s">
        <v>1822</v>
      </c>
      <c r="D12" s="13" t="s">
        <v>1823</v>
      </c>
      <c r="E12" s="12" t="s">
        <v>1824</v>
      </c>
      <c r="F12" s="15">
        <v>-257.28</v>
      </c>
      <c r="G12" s="15">
        <v>0</v>
      </c>
      <c r="H12" s="12" t="s">
        <v>1838</v>
      </c>
      <c r="I12" s="12" t="s">
        <v>1836</v>
      </c>
      <c r="J12" s="15">
        <v>-257.28</v>
      </c>
      <c r="K12" s="15">
        <v>0</v>
      </c>
      <c r="L12" s="12" t="s">
        <v>1834</v>
      </c>
      <c r="M12" s="24"/>
    </row>
    <row r="13" ht="15" spans="1:13">
      <c r="A13" s="8" t="s">
        <v>1814</v>
      </c>
      <c r="B13" s="21"/>
      <c r="C13" s="12" t="s">
        <v>1822</v>
      </c>
      <c r="D13" s="13" t="s">
        <v>1823</v>
      </c>
      <c r="E13" s="12" t="s">
        <v>1824</v>
      </c>
      <c r="F13" s="15">
        <v>-153.05</v>
      </c>
      <c r="G13" s="15">
        <v>0</v>
      </c>
      <c r="H13" s="12" t="s">
        <v>1839</v>
      </c>
      <c r="I13" s="12" t="s">
        <v>1836</v>
      </c>
      <c r="J13" s="15">
        <v>-153.05</v>
      </c>
      <c r="K13" s="15">
        <v>0</v>
      </c>
      <c r="L13" s="12" t="s">
        <v>1834</v>
      </c>
      <c r="M13" s="24"/>
    </row>
    <row r="14" ht="15" spans="1:13">
      <c r="A14" s="8" t="s">
        <v>1814</v>
      </c>
      <c r="B14" s="21"/>
      <c r="C14" s="12" t="s">
        <v>1822</v>
      </c>
      <c r="D14" s="13" t="s">
        <v>1823</v>
      </c>
      <c r="E14" s="12" t="s">
        <v>1824</v>
      </c>
      <c r="F14" s="15">
        <v>-191.32</v>
      </c>
      <c r="G14" s="15">
        <v>0</v>
      </c>
      <c r="H14" s="12" t="s">
        <v>1840</v>
      </c>
      <c r="I14" s="12" t="s">
        <v>1836</v>
      </c>
      <c r="J14" s="15">
        <v>-191.32</v>
      </c>
      <c r="K14" s="15">
        <v>0</v>
      </c>
      <c r="L14" s="12" t="s">
        <v>1834</v>
      </c>
      <c r="M14" s="24"/>
    </row>
    <row r="15" ht="15" spans="1:13">
      <c r="A15" s="8" t="s">
        <v>1814</v>
      </c>
      <c r="B15" s="21"/>
      <c r="C15" s="12" t="s">
        <v>1822</v>
      </c>
      <c r="D15" s="13" t="s">
        <v>1823</v>
      </c>
      <c r="E15" s="12" t="s">
        <v>1824</v>
      </c>
      <c r="F15" s="15">
        <v>-111.12</v>
      </c>
      <c r="G15" s="15">
        <v>0</v>
      </c>
      <c r="H15" s="12" t="s">
        <v>1841</v>
      </c>
      <c r="I15" s="12" t="s">
        <v>1836</v>
      </c>
      <c r="J15" s="15">
        <v>-111.12</v>
      </c>
      <c r="K15" s="15">
        <v>0</v>
      </c>
      <c r="L15" s="12" t="s">
        <v>1834</v>
      </c>
      <c r="M15" s="24"/>
    </row>
    <row r="16" ht="15" spans="1:13">
      <c r="A16" s="8" t="s">
        <v>1814</v>
      </c>
      <c r="B16" s="21"/>
      <c r="C16" s="12" t="s">
        <v>1822</v>
      </c>
      <c r="D16" s="13" t="s">
        <v>1823</v>
      </c>
      <c r="E16" s="12" t="s">
        <v>1824</v>
      </c>
      <c r="F16" s="15">
        <v>-138.9</v>
      </c>
      <c r="G16" s="15">
        <v>0</v>
      </c>
      <c r="H16" s="12" t="s">
        <v>1842</v>
      </c>
      <c r="I16" s="12" t="s">
        <v>1836</v>
      </c>
      <c r="J16" s="15">
        <v>-138.9</v>
      </c>
      <c r="K16" s="15">
        <v>0</v>
      </c>
      <c r="L16" s="12" t="s">
        <v>1834</v>
      </c>
      <c r="M16" s="24"/>
    </row>
    <row r="17" ht="15" spans="1:13">
      <c r="A17" s="8" t="s">
        <v>1814</v>
      </c>
      <c r="B17" s="21"/>
      <c r="C17" s="12" t="s">
        <v>1822</v>
      </c>
      <c r="D17" s="13" t="s">
        <v>1823</v>
      </c>
      <c r="E17" s="12" t="s">
        <v>1824</v>
      </c>
      <c r="F17" s="15">
        <v>-123.21</v>
      </c>
      <c r="G17" s="15">
        <v>0</v>
      </c>
      <c r="H17" s="12" t="s">
        <v>1843</v>
      </c>
      <c r="I17" s="12" t="s">
        <v>1836</v>
      </c>
      <c r="J17" s="15">
        <v>-123.21</v>
      </c>
      <c r="K17" s="15">
        <v>0</v>
      </c>
      <c r="L17" s="12" t="s">
        <v>1834</v>
      </c>
      <c r="M17" s="24"/>
    </row>
    <row r="18" ht="15" spans="1:13">
      <c r="A18" s="8" t="s">
        <v>1814</v>
      </c>
      <c r="B18" s="21"/>
      <c r="C18" s="12" t="s">
        <v>1822</v>
      </c>
      <c r="D18" s="13" t="s">
        <v>1823</v>
      </c>
      <c r="E18" s="12" t="s">
        <v>1824</v>
      </c>
      <c r="F18" s="15">
        <v>-154.01</v>
      </c>
      <c r="G18" s="15">
        <v>0</v>
      </c>
      <c r="H18" s="12" t="s">
        <v>1844</v>
      </c>
      <c r="I18" s="12" t="s">
        <v>1836</v>
      </c>
      <c r="J18" s="15">
        <v>-154.01</v>
      </c>
      <c r="K18" s="15">
        <v>0</v>
      </c>
      <c r="L18" s="12" t="s">
        <v>1834</v>
      </c>
      <c r="M18" s="24"/>
    </row>
    <row r="19" ht="15" spans="1:13">
      <c r="A19" s="8" t="s">
        <v>1814</v>
      </c>
      <c r="B19" s="21"/>
      <c r="C19" s="12" t="s">
        <v>1822</v>
      </c>
      <c r="D19" s="13" t="s">
        <v>1823</v>
      </c>
      <c r="E19" s="12" t="s">
        <v>1824</v>
      </c>
      <c r="F19" s="15">
        <v>-153.05</v>
      </c>
      <c r="G19" s="15">
        <v>0</v>
      </c>
      <c r="H19" s="12" t="s">
        <v>1845</v>
      </c>
      <c r="I19" s="12" t="s">
        <v>1836</v>
      </c>
      <c r="J19" s="15">
        <v>-153.05</v>
      </c>
      <c r="K19" s="15">
        <v>0</v>
      </c>
      <c r="L19" s="12" t="s">
        <v>1834</v>
      </c>
      <c r="M19" s="24"/>
    </row>
    <row r="20" ht="15" spans="1:13">
      <c r="A20" s="8" t="s">
        <v>1814</v>
      </c>
      <c r="B20" s="21"/>
      <c r="C20" s="12" t="s">
        <v>1822</v>
      </c>
      <c r="D20" s="13" t="s">
        <v>1823</v>
      </c>
      <c r="E20" s="12" t="s">
        <v>1824</v>
      </c>
      <c r="F20" s="15">
        <v>-191.32</v>
      </c>
      <c r="G20" s="15">
        <v>0</v>
      </c>
      <c r="H20" s="12" t="s">
        <v>1846</v>
      </c>
      <c r="I20" s="12" t="s">
        <v>1836</v>
      </c>
      <c r="J20" s="15">
        <v>-191.32</v>
      </c>
      <c r="K20" s="15">
        <v>0</v>
      </c>
      <c r="L20" s="12" t="s">
        <v>1834</v>
      </c>
      <c r="M20" s="24"/>
    </row>
    <row r="21" ht="15" spans="1:13">
      <c r="A21" s="8" t="s">
        <v>1814</v>
      </c>
      <c r="B21" s="21"/>
      <c r="C21" s="12" t="s">
        <v>1822</v>
      </c>
      <c r="D21" s="13" t="s">
        <v>1823</v>
      </c>
      <c r="E21" s="12" t="s">
        <v>1824</v>
      </c>
      <c r="F21" s="15">
        <v>-249.49</v>
      </c>
      <c r="G21" s="15">
        <v>0</v>
      </c>
      <c r="H21" s="12" t="s">
        <v>1847</v>
      </c>
      <c r="I21" s="12" t="s">
        <v>1836</v>
      </c>
      <c r="J21" s="15">
        <v>-249.49</v>
      </c>
      <c r="K21" s="15">
        <v>0</v>
      </c>
      <c r="L21" s="12" t="s">
        <v>1834</v>
      </c>
      <c r="M21" s="24"/>
    </row>
    <row r="22" ht="15" spans="1:13">
      <c r="A22" s="8" t="s">
        <v>1814</v>
      </c>
      <c r="B22" s="21"/>
      <c r="C22" s="12" t="s">
        <v>1822</v>
      </c>
      <c r="D22" s="13" t="s">
        <v>1823</v>
      </c>
      <c r="E22" s="12" t="s">
        <v>1824</v>
      </c>
      <c r="F22" s="15">
        <v>7499.69</v>
      </c>
      <c r="G22" s="15">
        <v>153.05</v>
      </c>
      <c r="H22" s="12" t="s">
        <v>428</v>
      </c>
      <c r="I22" s="12" t="s">
        <v>1833</v>
      </c>
      <c r="J22" s="15">
        <v>7652.74</v>
      </c>
      <c r="K22" s="15">
        <v>0</v>
      </c>
      <c r="L22" s="12" t="s">
        <v>1834</v>
      </c>
      <c r="M22" s="24"/>
    </row>
    <row r="23" ht="15" spans="1:13">
      <c r="A23" s="8" t="s">
        <v>1848</v>
      </c>
      <c r="B23" s="25"/>
      <c r="C23" s="26"/>
      <c r="D23" s="26"/>
      <c r="E23" s="26"/>
      <c r="F23" s="26"/>
      <c r="G23" s="26"/>
      <c r="H23" s="26"/>
      <c r="I23" s="26"/>
      <c r="J23" s="26"/>
      <c r="K23" s="26"/>
      <c r="L23" s="26"/>
      <c r="M23" s="26"/>
    </row>
    <row r="24" ht="15" spans="1:13">
      <c r="A24" s="8" t="s">
        <v>1848</v>
      </c>
      <c r="B24" s="25"/>
      <c r="C24" s="26"/>
      <c r="D24" s="26"/>
      <c r="E24" s="26"/>
      <c r="F24" s="26"/>
      <c r="G24" s="26"/>
      <c r="H24" s="26"/>
      <c r="I24" s="26"/>
      <c r="J24" s="26"/>
      <c r="K24" s="26"/>
      <c r="L24" s="26"/>
      <c r="M24" s="26"/>
    </row>
    <row r="25" ht="36" spans="1:13">
      <c r="A25" s="8" t="s">
        <v>1848</v>
      </c>
      <c r="B25" s="11" t="s">
        <v>1849</v>
      </c>
      <c r="C25" s="27" t="s">
        <v>1821</v>
      </c>
      <c r="D25" s="11"/>
      <c r="E25" s="11"/>
      <c r="F25" s="11"/>
      <c r="G25" s="11"/>
      <c r="H25" s="11"/>
      <c r="I25" s="11"/>
      <c r="J25" s="11"/>
      <c r="K25" s="11"/>
      <c r="L25" s="11"/>
      <c r="M25" s="11"/>
    </row>
    <row r="26" ht="15.75" spans="1:13">
      <c r="A26" s="8" t="s">
        <v>1848</v>
      </c>
      <c r="B26" s="28" t="s">
        <v>1850</v>
      </c>
      <c r="C26" s="20"/>
      <c r="D26" s="20"/>
      <c r="E26" s="20"/>
      <c r="F26" s="20"/>
      <c r="G26" s="20"/>
      <c r="H26" s="11"/>
      <c r="I26" s="11"/>
      <c r="J26" s="11"/>
      <c r="K26" s="11"/>
      <c r="L26" s="11"/>
      <c r="M26" s="11"/>
    </row>
    <row r="27" ht="30" spans="1:13">
      <c r="A27" s="8" t="s">
        <v>1848</v>
      </c>
      <c r="B27" s="9" t="s">
        <v>1815</v>
      </c>
      <c r="C27" s="9" t="s">
        <v>1816</v>
      </c>
      <c r="D27" s="9" t="s">
        <v>1817</v>
      </c>
      <c r="E27" s="9" t="s">
        <v>1818</v>
      </c>
      <c r="F27" s="9" t="s">
        <v>1819</v>
      </c>
      <c r="G27" s="9" t="s">
        <v>1820</v>
      </c>
      <c r="H27" s="10"/>
      <c r="I27" s="11"/>
      <c r="J27" s="11"/>
      <c r="K27" s="11"/>
      <c r="L27" s="11"/>
      <c r="M27" s="11"/>
    </row>
    <row r="28" ht="15" spans="1:13">
      <c r="A28" s="8" t="s">
        <v>1848</v>
      </c>
      <c r="B28" s="12" t="s">
        <v>1821</v>
      </c>
      <c r="C28" s="12" t="s">
        <v>1851</v>
      </c>
      <c r="D28" s="13" t="s">
        <v>1852</v>
      </c>
      <c r="E28" s="12" t="s">
        <v>1824</v>
      </c>
      <c r="F28" s="14">
        <v>10897.42</v>
      </c>
      <c r="G28" s="15">
        <v>233.1</v>
      </c>
      <c r="H28" s="16"/>
      <c r="I28" s="11"/>
      <c r="J28" s="11"/>
      <c r="K28" s="11"/>
      <c r="L28" s="11"/>
      <c r="M28" s="11"/>
    </row>
    <row r="29" ht="15.75" spans="1:13">
      <c r="A29" s="8" t="s">
        <v>1848</v>
      </c>
      <c r="B29" s="17"/>
      <c r="C29" s="18" t="s">
        <v>1825</v>
      </c>
      <c r="D29" s="19"/>
      <c r="E29" s="19"/>
      <c r="F29" s="19"/>
      <c r="G29" s="19"/>
      <c r="H29" s="20"/>
      <c r="I29" s="20"/>
      <c r="J29" s="20"/>
      <c r="K29" s="20"/>
      <c r="L29" s="20"/>
      <c r="M29" s="20"/>
    </row>
    <row r="30" ht="60" spans="1:13">
      <c r="A30" s="8" t="s">
        <v>1848</v>
      </c>
      <c r="B30" s="21"/>
      <c r="C30" s="22" t="s">
        <v>1816</v>
      </c>
      <c r="D30" s="22" t="s">
        <v>1817</v>
      </c>
      <c r="E30" s="22" t="s">
        <v>1826</v>
      </c>
      <c r="F30" s="22" t="s">
        <v>1819</v>
      </c>
      <c r="G30" s="22" t="s">
        <v>1820</v>
      </c>
      <c r="H30" s="22" t="s">
        <v>1827</v>
      </c>
      <c r="I30" s="22" t="s">
        <v>1828</v>
      </c>
      <c r="J30" s="22" t="s">
        <v>1829</v>
      </c>
      <c r="K30" s="22" t="s">
        <v>1830</v>
      </c>
      <c r="L30" s="23" t="s">
        <v>1831</v>
      </c>
      <c r="M30" s="23" t="s">
        <v>1832</v>
      </c>
    </row>
    <row r="31" ht="15" spans="1:13">
      <c r="A31" s="8" t="s">
        <v>1848</v>
      </c>
      <c r="B31" s="21"/>
      <c r="C31" s="12" t="s">
        <v>1851</v>
      </c>
      <c r="D31" s="13" t="s">
        <v>1852</v>
      </c>
      <c r="E31" s="12" t="s">
        <v>1824</v>
      </c>
      <c r="F31" s="15">
        <v>10234.14</v>
      </c>
      <c r="G31" s="15">
        <v>208.86</v>
      </c>
      <c r="H31" s="12" t="s">
        <v>422</v>
      </c>
      <c r="I31" s="12" t="s">
        <v>1833</v>
      </c>
      <c r="J31" s="15">
        <v>10443</v>
      </c>
      <c r="K31" s="15">
        <v>0</v>
      </c>
      <c r="L31" s="12" t="s">
        <v>1834</v>
      </c>
      <c r="M31" s="24"/>
    </row>
    <row r="32" ht="15" spans="1:13">
      <c r="A32" s="8" t="s">
        <v>1848</v>
      </c>
      <c r="B32" s="21"/>
      <c r="C32" s="12" t="s">
        <v>1851</v>
      </c>
      <c r="D32" s="13" t="s">
        <v>1852</v>
      </c>
      <c r="E32" s="12" t="s">
        <v>1824</v>
      </c>
      <c r="F32" s="15">
        <v>1187.76</v>
      </c>
      <c r="G32" s="15">
        <v>24.24</v>
      </c>
      <c r="H32" s="12" t="s">
        <v>433</v>
      </c>
      <c r="I32" s="12" t="s">
        <v>1833</v>
      </c>
      <c r="J32" s="15">
        <v>1212</v>
      </c>
      <c r="K32" s="15">
        <v>0</v>
      </c>
      <c r="L32" s="12" t="s">
        <v>1834</v>
      </c>
      <c r="M32" s="24"/>
    </row>
    <row r="33" ht="15" spans="1:13">
      <c r="A33" s="8" t="s">
        <v>1848</v>
      </c>
      <c r="B33" s="21"/>
      <c r="C33" s="12" t="s">
        <v>1851</v>
      </c>
      <c r="D33" s="13" t="s">
        <v>1852</v>
      </c>
      <c r="E33" s="12" t="s">
        <v>1824</v>
      </c>
      <c r="F33" s="15">
        <v>-261.08</v>
      </c>
      <c r="G33" s="15">
        <v>0</v>
      </c>
      <c r="H33" s="12" t="s">
        <v>1853</v>
      </c>
      <c r="I33" s="12" t="s">
        <v>1836</v>
      </c>
      <c r="J33" s="15">
        <v>-261.08</v>
      </c>
      <c r="K33" s="15">
        <v>0</v>
      </c>
      <c r="L33" s="12" t="s">
        <v>1834</v>
      </c>
      <c r="M33" s="24"/>
    </row>
    <row r="34" ht="15" spans="1:13">
      <c r="A34" s="8" t="s">
        <v>1848</v>
      </c>
      <c r="B34" s="21"/>
      <c r="C34" s="12" t="s">
        <v>1851</v>
      </c>
      <c r="D34" s="13" t="s">
        <v>1852</v>
      </c>
      <c r="E34" s="12" t="s">
        <v>1824</v>
      </c>
      <c r="F34" s="15">
        <v>-30.3</v>
      </c>
      <c r="G34" s="15">
        <v>0</v>
      </c>
      <c r="H34" s="12" t="s">
        <v>1854</v>
      </c>
      <c r="I34" s="12" t="s">
        <v>1836</v>
      </c>
      <c r="J34" s="15">
        <v>-30.3</v>
      </c>
      <c r="K34" s="15">
        <v>0</v>
      </c>
      <c r="L34" s="12" t="s">
        <v>1834</v>
      </c>
      <c r="M34" s="24"/>
    </row>
    <row r="35" ht="15" spans="1:13">
      <c r="A35" s="8" t="s">
        <v>1848</v>
      </c>
      <c r="B35" s="21"/>
      <c r="C35" s="12" t="s">
        <v>1851</v>
      </c>
      <c r="D35" s="13" t="s">
        <v>1852</v>
      </c>
      <c r="E35" s="12" t="s">
        <v>1824</v>
      </c>
      <c r="F35" s="15">
        <v>-208.86</v>
      </c>
      <c r="G35" s="15">
        <v>0</v>
      </c>
      <c r="H35" s="12" t="s">
        <v>1855</v>
      </c>
      <c r="I35" s="12" t="s">
        <v>1836</v>
      </c>
      <c r="J35" s="15">
        <v>-208.86</v>
      </c>
      <c r="K35" s="15">
        <v>0</v>
      </c>
      <c r="L35" s="12" t="s">
        <v>1834</v>
      </c>
      <c r="M35" s="24"/>
    </row>
    <row r="36" ht="15" spans="1:13">
      <c r="A36" s="8" t="s">
        <v>1848</v>
      </c>
      <c r="B36" s="21"/>
      <c r="C36" s="12" t="s">
        <v>1851</v>
      </c>
      <c r="D36" s="13" t="s">
        <v>1852</v>
      </c>
      <c r="E36" s="12" t="s">
        <v>1824</v>
      </c>
      <c r="F36" s="15">
        <v>-24.24</v>
      </c>
      <c r="G36" s="15">
        <v>0</v>
      </c>
      <c r="H36" s="12" t="s">
        <v>1856</v>
      </c>
      <c r="I36" s="12" t="s">
        <v>1836</v>
      </c>
      <c r="J36" s="15">
        <v>-24.24</v>
      </c>
      <c r="K36" s="15">
        <v>0</v>
      </c>
      <c r="L36" s="12" t="s">
        <v>1834</v>
      </c>
      <c r="M36" s="24"/>
    </row>
    <row r="37" ht="15" spans="1:13">
      <c r="A37" s="8" t="s">
        <v>1857</v>
      </c>
      <c r="B37" s="25"/>
      <c r="C37" s="26"/>
      <c r="D37" s="26"/>
      <c r="E37" s="26"/>
      <c r="F37" s="26"/>
      <c r="G37" s="26"/>
      <c r="H37" s="26"/>
      <c r="I37" s="26"/>
      <c r="J37" s="26"/>
      <c r="K37" s="26"/>
      <c r="L37" s="26"/>
      <c r="M37" s="26"/>
    </row>
    <row r="38" ht="15" spans="1:13">
      <c r="A38" s="8" t="s">
        <v>1857</v>
      </c>
      <c r="B38" s="25"/>
      <c r="C38" s="26"/>
      <c r="D38" s="26"/>
      <c r="E38" s="26"/>
      <c r="F38" s="26"/>
      <c r="G38" s="26"/>
      <c r="H38" s="26"/>
      <c r="I38" s="26"/>
      <c r="J38" s="26"/>
      <c r="K38" s="26"/>
      <c r="L38" s="26"/>
      <c r="M38" s="26"/>
    </row>
    <row r="39" ht="36" spans="1:13">
      <c r="A39" s="8" t="s">
        <v>1857</v>
      </c>
      <c r="B39" s="11" t="s">
        <v>1849</v>
      </c>
      <c r="C39" s="27" t="s">
        <v>1821</v>
      </c>
      <c r="D39" s="11"/>
      <c r="E39" s="11"/>
      <c r="F39" s="11"/>
      <c r="G39" s="11"/>
      <c r="H39" s="11"/>
      <c r="I39" s="11"/>
      <c r="J39" s="11"/>
      <c r="K39" s="11"/>
      <c r="L39" s="11"/>
      <c r="M39" s="11"/>
    </row>
    <row r="40" ht="15.75" spans="1:13">
      <c r="A40" s="8" t="s">
        <v>1857</v>
      </c>
      <c r="B40" s="28" t="s">
        <v>1850</v>
      </c>
      <c r="C40" s="20"/>
      <c r="D40" s="20"/>
      <c r="E40" s="20"/>
      <c r="F40" s="20"/>
      <c r="G40" s="20"/>
      <c r="H40" s="11"/>
      <c r="I40" s="11"/>
      <c r="J40" s="11"/>
      <c r="K40" s="11"/>
      <c r="L40" s="11"/>
      <c r="M40" s="11"/>
    </row>
    <row r="41" ht="30" spans="1:13">
      <c r="A41" s="8" t="s">
        <v>1857</v>
      </c>
      <c r="B41" s="9" t="s">
        <v>1815</v>
      </c>
      <c r="C41" s="9" t="s">
        <v>1816</v>
      </c>
      <c r="D41" s="9" t="s">
        <v>1817</v>
      </c>
      <c r="E41" s="9" t="s">
        <v>1818</v>
      </c>
      <c r="F41" s="9" t="s">
        <v>1819</v>
      </c>
      <c r="G41" s="9" t="s">
        <v>1820</v>
      </c>
      <c r="H41" s="10"/>
      <c r="I41" s="11"/>
      <c r="J41" s="11"/>
      <c r="K41" s="11"/>
      <c r="L41" s="11"/>
      <c r="M41" s="11"/>
    </row>
    <row r="42" ht="15" spans="1:13">
      <c r="A42" s="8" t="s">
        <v>1857</v>
      </c>
      <c r="B42" s="12" t="s">
        <v>1821</v>
      </c>
      <c r="C42" s="12" t="s">
        <v>1858</v>
      </c>
      <c r="D42" s="13" t="s">
        <v>1859</v>
      </c>
      <c r="E42" s="12" t="s">
        <v>1860</v>
      </c>
      <c r="F42" s="14">
        <v>1802.84</v>
      </c>
      <c r="G42" s="15">
        <v>36.79</v>
      </c>
      <c r="H42" s="16"/>
      <c r="I42" s="11"/>
      <c r="J42" s="11"/>
      <c r="K42" s="11"/>
      <c r="L42" s="11"/>
      <c r="M42" s="11"/>
    </row>
    <row r="43" ht="15.75" spans="1:13">
      <c r="A43" s="8" t="s">
        <v>1857</v>
      </c>
      <c r="B43" s="17"/>
      <c r="C43" s="18" t="s">
        <v>1825</v>
      </c>
      <c r="D43" s="19"/>
      <c r="E43" s="19"/>
      <c r="F43" s="19"/>
      <c r="G43" s="19"/>
      <c r="H43" s="20"/>
      <c r="I43" s="20"/>
      <c r="J43" s="20"/>
      <c r="K43" s="20"/>
      <c r="L43" s="20"/>
      <c r="M43" s="20"/>
    </row>
    <row r="44" ht="60" spans="1:13">
      <c r="A44" s="8" t="s">
        <v>1857</v>
      </c>
      <c r="B44" s="21"/>
      <c r="C44" s="22" t="s">
        <v>1816</v>
      </c>
      <c r="D44" s="22" t="s">
        <v>1817</v>
      </c>
      <c r="E44" s="22" t="s">
        <v>1826</v>
      </c>
      <c r="F44" s="22" t="s">
        <v>1819</v>
      </c>
      <c r="G44" s="22" t="s">
        <v>1820</v>
      </c>
      <c r="H44" s="22" t="s">
        <v>1827</v>
      </c>
      <c r="I44" s="22" t="s">
        <v>1828</v>
      </c>
      <c r="J44" s="22" t="s">
        <v>1829</v>
      </c>
      <c r="K44" s="22" t="s">
        <v>1830</v>
      </c>
      <c r="L44" s="23" t="s">
        <v>1831</v>
      </c>
      <c r="M44" s="23" t="s">
        <v>1832</v>
      </c>
    </row>
    <row r="45" ht="15" spans="1:13">
      <c r="A45" s="8" t="s">
        <v>1857</v>
      </c>
      <c r="B45" s="21"/>
      <c r="C45" s="12" t="s">
        <v>1858</v>
      </c>
      <c r="D45" s="13" t="s">
        <v>1859</v>
      </c>
      <c r="E45" s="12" t="s">
        <v>1860</v>
      </c>
      <c r="F45" s="15">
        <v>1802.84</v>
      </c>
      <c r="G45" s="15">
        <v>36.79</v>
      </c>
      <c r="H45" s="12" t="s">
        <v>440</v>
      </c>
      <c r="I45" s="12" t="s">
        <v>1833</v>
      </c>
      <c r="J45" s="15">
        <v>7452.92</v>
      </c>
      <c r="K45" s="15">
        <v>5613.29</v>
      </c>
      <c r="L45" s="12" t="s">
        <v>1834</v>
      </c>
      <c r="M45" s="12" t="s">
        <v>1861</v>
      </c>
    </row>
    <row r="46" ht="31.5" spans="1:13">
      <c r="A46" s="8" t="s">
        <v>1857</v>
      </c>
      <c r="B46" s="11"/>
      <c r="C46" s="18" t="s">
        <v>1862</v>
      </c>
      <c r="D46" s="19"/>
      <c r="E46" s="19"/>
      <c r="F46" s="19"/>
      <c r="G46" s="19"/>
      <c r="H46" s="19"/>
      <c r="I46" s="19"/>
      <c r="J46" s="19"/>
      <c r="K46" s="19"/>
      <c r="L46" s="19"/>
      <c r="M46" s="17"/>
    </row>
    <row r="47" ht="45" spans="1:13">
      <c r="A47" s="8" t="s">
        <v>1857</v>
      </c>
      <c r="B47" s="21"/>
      <c r="C47" s="29" t="s">
        <v>1832</v>
      </c>
      <c r="D47" s="29" t="s">
        <v>1863</v>
      </c>
      <c r="E47" s="29" t="s">
        <v>1864</v>
      </c>
      <c r="F47" s="29" t="s">
        <v>1865</v>
      </c>
      <c r="G47" s="29" t="s">
        <v>1827</v>
      </c>
      <c r="H47" s="29" t="s">
        <v>1866</v>
      </c>
      <c r="I47" s="29" t="s">
        <v>1867</v>
      </c>
      <c r="J47" s="29" t="s">
        <v>1868</v>
      </c>
      <c r="K47" s="29" t="s">
        <v>1869</v>
      </c>
      <c r="L47" s="29" t="s">
        <v>1870</v>
      </c>
      <c r="M47" s="16"/>
    </row>
    <row r="48" ht="36" spans="1:13">
      <c r="A48" s="8" t="s">
        <v>1857</v>
      </c>
      <c r="B48" s="21"/>
      <c r="C48" s="12" t="s">
        <v>1861</v>
      </c>
      <c r="D48" s="12" t="s">
        <v>1834</v>
      </c>
      <c r="E48" s="14">
        <v>1802.84</v>
      </c>
      <c r="F48" s="12" t="s">
        <v>1871</v>
      </c>
      <c r="G48" s="13" t="s">
        <v>440</v>
      </c>
      <c r="H48" s="15">
        <v>7452.92</v>
      </c>
      <c r="I48" s="30" t="s">
        <v>1872</v>
      </c>
      <c r="J48" s="15">
        <v>36.79</v>
      </c>
      <c r="K48" s="12" t="s">
        <v>1858</v>
      </c>
      <c r="L48" s="12" t="s">
        <v>1821</v>
      </c>
      <c r="M48" s="31"/>
    </row>
    <row r="49" ht="36" spans="1:13">
      <c r="A49" s="8" t="s">
        <v>1857</v>
      </c>
      <c r="B49" s="21"/>
      <c r="C49" s="12" t="s">
        <v>1861</v>
      </c>
      <c r="D49" s="12" t="s">
        <v>1834</v>
      </c>
      <c r="E49" s="14">
        <v>1802.84</v>
      </c>
      <c r="F49" s="12" t="s">
        <v>1873</v>
      </c>
      <c r="G49" s="13" t="s">
        <v>1874</v>
      </c>
      <c r="H49" s="15">
        <v>1802.84</v>
      </c>
      <c r="I49" s="30" t="s">
        <v>1875</v>
      </c>
      <c r="J49" s="15">
        <v>0</v>
      </c>
      <c r="K49" s="12" t="s">
        <v>1876</v>
      </c>
      <c r="L49" s="12" t="s">
        <v>1821</v>
      </c>
      <c r="M49" s="31"/>
    </row>
    <row r="50" ht="15" spans="1:13">
      <c r="A50" s="8" t="s">
        <v>1877</v>
      </c>
      <c r="B50" s="25"/>
      <c r="C50" s="26"/>
      <c r="D50" s="26"/>
      <c r="E50" s="26"/>
      <c r="F50" s="26"/>
      <c r="G50" s="26"/>
      <c r="H50" s="26"/>
      <c r="I50" s="26"/>
      <c r="J50" s="26"/>
      <c r="K50" s="26"/>
      <c r="L50" s="26"/>
      <c r="M50" s="26"/>
    </row>
    <row r="51" ht="15" spans="1:13">
      <c r="A51" s="8" t="s">
        <v>1877</v>
      </c>
      <c r="B51" s="25"/>
      <c r="C51" s="26"/>
      <c r="D51" s="26"/>
      <c r="E51" s="26"/>
      <c r="F51" s="26"/>
      <c r="G51" s="26"/>
      <c r="H51" s="26"/>
      <c r="I51" s="26"/>
      <c r="J51" s="26"/>
      <c r="K51" s="26"/>
      <c r="L51" s="26"/>
      <c r="M51" s="26"/>
    </row>
    <row r="52" ht="36" spans="1:13">
      <c r="A52" s="8" t="s">
        <v>1877</v>
      </c>
      <c r="B52" s="11" t="s">
        <v>1849</v>
      </c>
      <c r="C52" s="27" t="s">
        <v>1821</v>
      </c>
      <c r="D52" s="11"/>
      <c r="E52" s="11"/>
      <c r="F52" s="11"/>
      <c r="G52" s="11"/>
      <c r="H52" s="11"/>
      <c r="I52" s="11"/>
      <c r="J52" s="11"/>
      <c r="K52" s="11"/>
      <c r="L52" s="11"/>
      <c r="M52" s="11"/>
    </row>
    <row r="53" ht="15.75" spans="1:13">
      <c r="A53" s="8" t="s">
        <v>1877</v>
      </c>
      <c r="B53" s="28" t="s">
        <v>1850</v>
      </c>
      <c r="C53" s="20"/>
      <c r="D53" s="20"/>
      <c r="E53" s="20"/>
      <c r="F53" s="20"/>
      <c r="G53" s="20"/>
      <c r="H53" s="11"/>
      <c r="I53" s="11"/>
      <c r="J53" s="11"/>
      <c r="K53" s="11"/>
      <c r="L53" s="11"/>
      <c r="M53" s="11"/>
    </row>
    <row r="54" ht="30" spans="1:13">
      <c r="A54" s="8" t="s">
        <v>1877</v>
      </c>
      <c r="B54" s="9" t="s">
        <v>1815</v>
      </c>
      <c r="C54" s="9" t="s">
        <v>1816</v>
      </c>
      <c r="D54" s="9" t="s">
        <v>1817</v>
      </c>
      <c r="E54" s="9" t="s">
        <v>1818</v>
      </c>
      <c r="F54" s="9" t="s">
        <v>1819</v>
      </c>
      <c r="G54" s="9" t="s">
        <v>1820</v>
      </c>
      <c r="H54" s="10"/>
      <c r="I54" s="11"/>
      <c r="J54" s="11"/>
      <c r="K54" s="11"/>
      <c r="L54" s="11"/>
      <c r="M54" s="11"/>
    </row>
    <row r="55" ht="15" spans="1:13">
      <c r="A55" s="8" t="s">
        <v>1877</v>
      </c>
      <c r="B55" s="12" t="s">
        <v>1821</v>
      </c>
      <c r="C55" s="12" t="s">
        <v>1878</v>
      </c>
      <c r="D55" s="13" t="s">
        <v>1879</v>
      </c>
      <c r="E55" s="12" t="s">
        <v>1824</v>
      </c>
      <c r="F55" s="14">
        <v>1710.93</v>
      </c>
      <c r="G55" s="15">
        <v>39.91</v>
      </c>
      <c r="H55" s="16"/>
      <c r="I55" s="11"/>
      <c r="J55" s="11"/>
      <c r="K55" s="11"/>
      <c r="L55" s="11"/>
      <c r="M55" s="11"/>
    </row>
    <row r="56" ht="15.75" spans="1:13">
      <c r="A56" s="8" t="s">
        <v>1877</v>
      </c>
      <c r="B56" s="17"/>
      <c r="C56" s="18" t="s">
        <v>1825</v>
      </c>
      <c r="D56" s="19"/>
      <c r="E56" s="19"/>
      <c r="F56" s="19"/>
      <c r="G56" s="19"/>
      <c r="H56" s="20"/>
      <c r="I56" s="20"/>
      <c r="J56" s="20"/>
      <c r="K56" s="20"/>
      <c r="L56" s="20"/>
      <c r="M56" s="20"/>
    </row>
    <row r="57" ht="60" spans="1:13">
      <c r="A57" s="8" t="s">
        <v>1877</v>
      </c>
      <c r="B57" s="21"/>
      <c r="C57" s="22" t="s">
        <v>1816</v>
      </c>
      <c r="D57" s="22" t="s">
        <v>1817</v>
      </c>
      <c r="E57" s="22" t="s">
        <v>1826</v>
      </c>
      <c r="F57" s="22" t="s">
        <v>1819</v>
      </c>
      <c r="G57" s="22" t="s">
        <v>1820</v>
      </c>
      <c r="H57" s="22" t="s">
        <v>1827</v>
      </c>
      <c r="I57" s="22" t="s">
        <v>1828</v>
      </c>
      <c r="J57" s="22" t="s">
        <v>1829</v>
      </c>
      <c r="K57" s="22" t="s">
        <v>1830</v>
      </c>
      <c r="L57" s="23" t="s">
        <v>1831</v>
      </c>
      <c r="M57" s="23" t="s">
        <v>1832</v>
      </c>
    </row>
    <row r="58" ht="15" spans="1:13">
      <c r="A58" s="8" t="s">
        <v>1877</v>
      </c>
      <c r="B58" s="21"/>
      <c r="C58" s="12" t="s">
        <v>1878</v>
      </c>
      <c r="D58" s="13" t="s">
        <v>1879</v>
      </c>
      <c r="E58" s="12" t="s">
        <v>1824</v>
      </c>
      <c r="F58" s="15">
        <v>-39.91</v>
      </c>
      <c r="G58" s="15">
        <v>0</v>
      </c>
      <c r="H58" s="12" t="s">
        <v>1880</v>
      </c>
      <c r="I58" s="12" t="s">
        <v>1836</v>
      </c>
      <c r="J58" s="15">
        <v>-39.91</v>
      </c>
      <c r="K58" s="15">
        <v>0</v>
      </c>
      <c r="L58" s="12" t="s">
        <v>1834</v>
      </c>
      <c r="M58" s="24"/>
    </row>
    <row r="59" ht="15" spans="1:13">
      <c r="A59" s="8" t="s">
        <v>1877</v>
      </c>
      <c r="B59" s="21"/>
      <c r="C59" s="12" t="s">
        <v>1878</v>
      </c>
      <c r="D59" s="13" t="s">
        <v>1879</v>
      </c>
      <c r="E59" s="12" t="s">
        <v>1824</v>
      </c>
      <c r="F59" s="15">
        <v>1955.61</v>
      </c>
      <c r="G59" s="15">
        <v>39.91</v>
      </c>
      <c r="H59" s="12" t="s">
        <v>434</v>
      </c>
      <c r="I59" s="12" t="s">
        <v>1833</v>
      </c>
      <c r="J59" s="15">
        <v>1995.52</v>
      </c>
      <c r="K59" s="15">
        <v>0</v>
      </c>
      <c r="L59" s="12" t="s">
        <v>1834</v>
      </c>
      <c r="M59" s="24"/>
    </row>
    <row r="60" ht="15" spans="1:13">
      <c r="A60" s="8" t="s">
        <v>1877</v>
      </c>
      <c r="B60" s="21"/>
      <c r="C60" s="12" t="s">
        <v>1878</v>
      </c>
      <c r="D60" s="13" t="s">
        <v>1879</v>
      </c>
      <c r="E60" s="12" t="s">
        <v>1824</v>
      </c>
      <c r="F60" s="15">
        <v>-154.88</v>
      </c>
      <c r="G60" s="15">
        <v>0</v>
      </c>
      <c r="H60" s="12" t="s">
        <v>1881</v>
      </c>
      <c r="I60" s="12" t="s">
        <v>1836</v>
      </c>
      <c r="J60" s="15">
        <v>-154.88</v>
      </c>
      <c r="K60" s="15">
        <v>0</v>
      </c>
      <c r="L60" s="12" t="s">
        <v>1834</v>
      </c>
      <c r="M60" s="24"/>
    </row>
    <row r="61" ht="15" spans="1:13">
      <c r="A61" s="8" t="s">
        <v>1877</v>
      </c>
      <c r="B61" s="21"/>
      <c r="C61" s="12" t="s">
        <v>1878</v>
      </c>
      <c r="D61" s="13" t="s">
        <v>1879</v>
      </c>
      <c r="E61" s="12" t="s">
        <v>1824</v>
      </c>
      <c r="F61" s="15">
        <v>-49.89</v>
      </c>
      <c r="G61" s="15">
        <v>0</v>
      </c>
      <c r="H61" s="12" t="s">
        <v>1882</v>
      </c>
      <c r="I61" s="12" t="s">
        <v>1836</v>
      </c>
      <c r="J61" s="15">
        <v>-49.89</v>
      </c>
      <c r="K61" s="15">
        <v>0</v>
      </c>
      <c r="L61" s="12" t="s">
        <v>1834</v>
      </c>
      <c r="M61" s="24"/>
    </row>
    <row r="62" ht="15" spans="1:13">
      <c r="A62" s="8" t="s">
        <v>1883</v>
      </c>
      <c r="B62" s="25"/>
      <c r="C62" s="26"/>
      <c r="D62" s="26"/>
      <c r="E62" s="26"/>
      <c r="F62" s="26"/>
      <c r="G62" s="26"/>
      <c r="H62" s="26"/>
      <c r="I62" s="26"/>
      <c r="J62" s="26"/>
      <c r="K62" s="26"/>
      <c r="L62" s="26"/>
      <c r="M62" s="26"/>
    </row>
    <row r="63" ht="15" spans="1:13">
      <c r="A63" s="8" t="s">
        <v>1883</v>
      </c>
      <c r="B63" s="25"/>
      <c r="C63" s="26"/>
      <c r="D63" s="26"/>
      <c r="E63" s="26"/>
      <c r="F63" s="26"/>
      <c r="G63" s="26"/>
      <c r="H63" s="26"/>
      <c r="I63" s="26"/>
      <c r="J63" s="26"/>
      <c r="K63" s="26"/>
      <c r="L63" s="26"/>
      <c r="M63" s="26"/>
    </row>
    <row r="64" ht="60" customHeight="1" spans="1:13">
      <c r="A64" s="8" t="s">
        <v>1883</v>
      </c>
      <c r="B64" s="11" t="s">
        <v>1849</v>
      </c>
      <c r="C64" s="27" t="s">
        <v>1821</v>
      </c>
      <c r="D64" s="11"/>
      <c r="E64" s="11"/>
      <c r="F64" s="11"/>
      <c r="G64" s="11"/>
      <c r="H64" s="11"/>
      <c r="I64" s="11"/>
      <c r="J64" s="11"/>
      <c r="K64" s="11"/>
      <c r="L64" s="11"/>
      <c r="M64" s="11"/>
    </row>
    <row r="65" ht="15.75" customHeight="1" spans="1:13">
      <c r="A65" s="8" t="s">
        <v>1883</v>
      </c>
      <c r="B65" s="28" t="s">
        <v>1850</v>
      </c>
      <c r="C65" s="20"/>
      <c r="D65" s="20"/>
      <c r="E65" s="20"/>
      <c r="F65" s="20"/>
      <c r="G65" s="20"/>
      <c r="H65" s="11"/>
      <c r="I65" s="11"/>
      <c r="J65" s="11"/>
      <c r="K65" s="11"/>
      <c r="L65" s="11"/>
      <c r="M65" s="11"/>
    </row>
    <row r="66" ht="30" spans="1:13">
      <c r="A66" s="8" t="s">
        <v>1883</v>
      </c>
      <c r="B66" s="9" t="s">
        <v>1815</v>
      </c>
      <c r="C66" s="9" t="s">
        <v>1816</v>
      </c>
      <c r="D66" s="9" t="s">
        <v>1817</v>
      </c>
      <c r="E66" s="9" t="s">
        <v>1818</v>
      </c>
      <c r="F66" s="9" t="s">
        <v>1819</v>
      </c>
      <c r="G66" s="9" t="s">
        <v>1820</v>
      </c>
      <c r="H66" s="10"/>
      <c r="I66" s="11"/>
      <c r="J66" s="11"/>
      <c r="K66" s="11"/>
      <c r="L66" s="11"/>
      <c r="M66" s="11"/>
    </row>
    <row r="67" ht="15" spans="1:13">
      <c r="A67" s="8" t="s">
        <v>1883</v>
      </c>
      <c r="B67" s="12" t="s">
        <v>1821</v>
      </c>
      <c r="C67" s="12" t="s">
        <v>1884</v>
      </c>
      <c r="D67" s="13" t="s">
        <v>1885</v>
      </c>
      <c r="E67" s="12" t="s">
        <v>1824</v>
      </c>
      <c r="F67" s="14">
        <v>18972.85</v>
      </c>
      <c r="G67" s="15">
        <v>407.62</v>
      </c>
      <c r="H67" s="16"/>
      <c r="I67" s="11"/>
      <c r="J67" s="11"/>
      <c r="K67" s="11"/>
      <c r="L67" s="11"/>
      <c r="M67" s="11"/>
    </row>
    <row r="68" ht="31.5" customHeight="1" spans="1:13">
      <c r="A68" s="8" t="s">
        <v>1883</v>
      </c>
      <c r="B68" s="17"/>
      <c r="C68" s="18" t="s">
        <v>1825</v>
      </c>
      <c r="D68" s="19"/>
      <c r="E68" s="19"/>
      <c r="F68" s="19"/>
      <c r="G68" s="19"/>
      <c r="H68" s="20"/>
      <c r="I68" s="20"/>
      <c r="J68" s="20"/>
      <c r="K68" s="20"/>
      <c r="L68" s="20"/>
      <c r="M68" s="20"/>
    </row>
    <row r="69" ht="60" customHeight="1" spans="1:13">
      <c r="A69" s="8" t="s">
        <v>1883</v>
      </c>
      <c r="B69" s="21"/>
      <c r="C69" s="22" t="s">
        <v>1816</v>
      </c>
      <c r="D69" s="22" t="s">
        <v>1817</v>
      </c>
      <c r="E69" s="22" t="s">
        <v>1826</v>
      </c>
      <c r="F69" s="22" t="s">
        <v>1819</v>
      </c>
      <c r="G69" s="22" t="s">
        <v>1820</v>
      </c>
      <c r="H69" s="22" t="s">
        <v>1827</v>
      </c>
      <c r="I69" s="22" t="s">
        <v>1828</v>
      </c>
      <c r="J69" s="22" t="s">
        <v>1829</v>
      </c>
      <c r="K69" s="22" t="s">
        <v>1830</v>
      </c>
      <c r="L69" s="23" t="s">
        <v>1831</v>
      </c>
      <c r="M69" s="23" t="s">
        <v>1832</v>
      </c>
    </row>
    <row r="70" ht="15" customHeight="1" spans="1:13">
      <c r="A70" s="8" t="s">
        <v>1883</v>
      </c>
      <c r="B70" s="21"/>
      <c r="C70" s="12" t="s">
        <v>1884</v>
      </c>
      <c r="D70" s="13" t="s">
        <v>1885</v>
      </c>
      <c r="E70" s="12" t="s">
        <v>1824</v>
      </c>
      <c r="F70" s="15">
        <v>5501.02</v>
      </c>
      <c r="G70" s="15">
        <v>112.27</v>
      </c>
      <c r="H70" s="12" t="s">
        <v>440</v>
      </c>
      <c r="I70" s="12" t="s">
        <v>1833</v>
      </c>
      <c r="J70" s="15">
        <v>7452.92</v>
      </c>
      <c r="K70" s="15">
        <v>0</v>
      </c>
      <c r="L70" s="12" t="s">
        <v>1834</v>
      </c>
      <c r="M70" s="24"/>
    </row>
    <row r="71" ht="15" spans="1:13">
      <c r="A71" s="8" t="s">
        <v>1883</v>
      </c>
      <c r="B71" s="21"/>
      <c r="C71" s="12" t="s">
        <v>1884</v>
      </c>
      <c r="D71" s="13" t="s">
        <v>1885</v>
      </c>
      <c r="E71" s="12" t="s">
        <v>1824</v>
      </c>
      <c r="F71" s="15">
        <v>-78.02</v>
      </c>
      <c r="G71" s="15">
        <v>0</v>
      </c>
      <c r="H71" s="12" t="s">
        <v>1886</v>
      </c>
      <c r="I71" s="12" t="s">
        <v>1836</v>
      </c>
      <c r="J71" s="15">
        <v>-78.02</v>
      </c>
      <c r="K71" s="15">
        <v>0</v>
      </c>
      <c r="L71" s="12" t="s">
        <v>1834</v>
      </c>
      <c r="M71" s="24"/>
    </row>
    <row r="72" ht="15" spans="1:13">
      <c r="A72" s="8" t="s">
        <v>1883</v>
      </c>
      <c r="B72" s="21"/>
      <c r="C72" s="12" t="s">
        <v>1884</v>
      </c>
      <c r="D72" s="13" t="s">
        <v>1885</v>
      </c>
      <c r="E72" s="12" t="s">
        <v>1824</v>
      </c>
      <c r="F72" s="15">
        <v>3561.21</v>
      </c>
      <c r="G72" s="15">
        <v>72.68</v>
      </c>
      <c r="H72" s="12" t="s">
        <v>446</v>
      </c>
      <c r="I72" s="12" t="s">
        <v>1833</v>
      </c>
      <c r="J72" s="15">
        <v>3633.89</v>
      </c>
      <c r="K72" s="15">
        <v>0</v>
      </c>
      <c r="L72" s="12" t="s">
        <v>1834</v>
      </c>
      <c r="M72" s="24"/>
    </row>
    <row r="73" ht="15" customHeight="1" spans="1:13">
      <c r="A73" s="8" t="s">
        <v>1883</v>
      </c>
      <c r="B73" s="21"/>
      <c r="C73" s="12" t="s">
        <v>1884</v>
      </c>
      <c r="D73" s="13" t="s">
        <v>1885</v>
      </c>
      <c r="E73" s="12" t="s">
        <v>1824</v>
      </c>
      <c r="F73" s="15">
        <v>-149.06</v>
      </c>
      <c r="G73" s="15">
        <v>0</v>
      </c>
      <c r="H73" s="12" t="s">
        <v>1887</v>
      </c>
      <c r="I73" s="12" t="s">
        <v>1836</v>
      </c>
      <c r="J73" s="15">
        <v>-149.06</v>
      </c>
      <c r="K73" s="15">
        <v>0</v>
      </c>
      <c r="L73" s="12" t="s">
        <v>1834</v>
      </c>
      <c r="M73" s="24"/>
    </row>
    <row r="74" ht="15" customHeight="1" spans="1:13">
      <c r="A74" s="8" t="s">
        <v>1883</v>
      </c>
      <c r="B74" s="21"/>
      <c r="C74" s="12" t="s">
        <v>1884</v>
      </c>
      <c r="D74" s="13" t="s">
        <v>1885</v>
      </c>
      <c r="E74" s="12" t="s">
        <v>1824</v>
      </c>
      <c r="F74" s="15">
        <v>-186.32</v>
      </c>
      <c r="G74" s="15">
        <v>0</v>
      </c>
      <c r="H74" s="12" t="s">
        <v>1888</v>
      </c>
      <c r="I74" s="12" t="s">
        <v>1836</v>
      </c>
      <c r="J74" s="15">
        <v>-186.32</v>
      </c>
      <c r="K74" s="15">
        <v>0</v>
      </c>
      <c r="L74" s="12" t="s">
        <v>1834</v>
      </c>
      <c r="M74" s="24"/>
    </row>
    <row r="75" ht="15" customHeight="1" spans="1:13">
      <c r="A75" s="8" t="s">
        <v>1883</v>
      </c>
      <c r="B75" s="21"/>
      <c r="C75" s="12" t="s">
        <v>1884</v>
      </c>
      <c r="D75" s="13" t="s">
        <v>1885</v>
      </c>
      <c r="E75" s="12" t="s">
        <v>1824</v>
      </c>
      <c r="F75" s="15">
        <v>-72.68</v>
      </c>
      <c r="G75" s="15">
        <v>0</v>
      </c>
      <c r="H75" s="12" t="s">
        <v>1889</v>
      </c>
      <c r="I75" s="12" t="s">
        <v>1836</v>
      </c>
      <c r="J75" s="15">
        <v>-72.68</v>
      </c>
      <c r="K75" s="15">
        <v>0</v>
      </c>
      <c r="L75" s="12" t="s">
        <v>1834</v>
      </c>
      <c r="M75" s="24"/>
    </row>
    <row r="76" ht="15" spans="1:13">
      <c r="A76" s="8" t="s">
        <v>1883</v>
      </c>
      <c r="B76" s="21"/>
      <c r="C76" s="12" t="s">
        <v>1884</v>
      </c>
      <c r="D76" s="13" t="s">
        <v>1885</v>
      </c>
      <c r="E76" s="12" t="s">
        <v>1824</v>
      </c>
      <c r="F76" s="15">
        <v>-90.85</v>
      </c>
      <c r="G76" s="15">
        <v>0</v>
      </c>
      <c r="H76" s="12" t="s">
        <v>1890</v>
      </c>
      <c r="I76" s="12" t="s">
        <v>1836</v>
      </c>
      <c r="J76" s="15">
        <v>-90.85</v>
      </c>
      <c r="K76" s="15">
        <v>0</v>
      </c>
      <c r="L76" s="12" t="s">
        <v>1834</v>
      </c>
      <c r="M76" s="24"/>
    </row>
    <row r="77" ht="15" customHeight="1" spans="1:13">
      <c r="A77" s="8" t="s">
        <v>1883</v>
      </c>
      <c r="B77" s="21"/>
      <c r="C77" s="12" t="s">
        <v>1884</v>
      </c>
      <c r="D77" s="13" t="s">
        <v>1885</v>
      </c>
      <c r="E77" s="12" t="s">
        <v>1824</v>
      </c>
      <c r="F77" s="15">
        <v>3237.78</v>
      </c>
      <c r="G77" s="15">
        <v>66.08</v>
      </c>
      <c r="H77" s="12" t="s">
        <v>448</v>
      </c>
      <c r="I77" s="12" t="s">
        <v>1833</v>
      </c>
      <c r="J77" s="15">
        <v>3303.86</v>
      </c>
      <c r="K77" s="15">
        <v>0</v>
      </c>
      <c r="L77" s="12" t="s">
        <v>1834</v>
      </c>
      <c r="M77" s="24"/>
    </row>
    <row r="78" ht="15" spans="1:13">
      <c r="A78" s="8" t="s">
        <v>1883</v>
      </c>
      <c r="B78" s="21"/>
      <c r="C78" s="12" t="s">
        <v>1884</v>
      </c>
      <c r="D78" s="13" t="s">
        <v>1885</v>
      </c>
      <c r="E78" s="12" t="s">
        <v>1824</v>
      </c>
      <c r="F78" s="15">
        <v>-97.52</v>
      </c>
      <c r="G78" s="15">
        <v>0</v>
      </c>
      <c r="H78" s="12" t="s">
        <v>1891</v>
      </c>
      <c r="I78" s="12" t="s">
        <v>1836</v>
      </c>
      <c r="J78" s="15">
        <v>-97.52</v>
      </c>
      <c r="K78" s="15">
        <v>0</v>
      </c>
      <c r="L78" s="12" t="s">
        <v>1834</v>
      </c>
      <c r="M78" s="24"/>
    </row>
    <row r="79" ht="15" spans="1:13">
      <c r="A79" s="8" t="s">
        <v>1883</v>
      </c>
      <c r="B79" s="21"/>
      <c r="C79" s="12" t="s">
        <v>1884</v>
      </c>
      <c r="D79" s="13" t="s">
        <v>1885</v>
      </c>
      <c r="E79" s="12" t="s">
        <v>1824</v>
      </c>
      <c r="F79" s="15">
        <v>-78.57</v>
      </c>
      <c r="G79" s="15">
        <v>0</v>
      </c>
      <c r="H79" s="12" t="s">
        <v>1892</v>
      </c>
      <c r="I79" s="12" t="s">
        <v>1836</v>
      </c>
      <c r="J79" s="15">
        <v>-78.57</v>
      </c>
      <c r="K79" s="15">
        <v>0</v>
      </c>
      <c r="L79" s="12" t="s">
        <v>1834</v>
      </c>
      <c r="M79" s="24"/>
    </row>
    <row r="80" ht="15" customHeight="1" spans="1:13">
      <c r="A80" s="8" t="s">
        <v>1883</v>
      </c>
      <c r="B80" s="21"/>
      <c r="C80" s="12" t="s">
        <v>1884</v>
      </c>
      <c r="D80" s="13" t="s">
        <v>1885</v>
      </c>
      <c r="E80" s="12" t="s">
        <v>1824</v>
      </c>
      <c r="F80" s="15">
        <v>-98.21</v>
      </c>
      <c r="G80" s="15">
        <v>0</v>
      </c>
      <c r="H80" s="12" t="s">
        <v>1893</v>
      </c>
      <c r="I80" s="12" t="s">
        <v>1836</v>
      </c>
      <c r="J80" s="15">
        <v>-98.21</v>
      </c>
      <c r="K80" s="15">
        <v>0</v>
      </c>
      <c r="L80" s="12" t="s">
        <v>1834</v>
      </c>
      <c r="M80" s="24"/>
    </row>
    <row r="81" ht="15" customHeight="1" spans="1:13">
      <c r="A81" s="8" t="s">
        <v>1883</v>
      </c>
      <c r="B81" s="21"/>
      <c r="C81" s="12" t="s">
        <v>1884</v>
      </c>
      <c r="D81" s="13" t="s">
        <v>1885</v>
      </c>
      <c r="E81" s="12" t="s">
        <v>1824</v>
      </c>
      <c r="F81" s="15">
        <v>-66.08</v>
      </c>
      <c r="G81" s="15">
        <v>0</v>
      </c>
      <c r="H81" s="12" t="s">
        <v>1894</v>
      </c>
      <c r="I81" s="12" t="s">
        <v>1836</v>
      </c>
      <c r="J81" s="15">
        <v>-66.08</v>
      </c>
      <c r="K81" s="15">
        <v>0</v>
      </c>
      <c r="L81" s="12" t="s">
        <v>1834</v>
      </c>
      <c r="M81" s="24"/>
    </row>
    <row r="82" ht="15" customHeight="1" spans="1:13">
      <c r="A82" s="8" t="s">
        <v>1883</v>
      </c>
      <c r="B82" s="21"/>
      <c r="C82" s="12" t="s">
        <v>1884</v>
      </c>
      <c r="D82" s="13" t="s">
        <v>1885</v>
      </c>
      <c r="E82" s="12" t="s">
        <v>1824</v>
      </c>
      <c r="F82" s="15">
        <v>-82.6</v>
      </c>
      <c r="G82" s="15">
        <v>0</v>
      </c>
      <c r="H82" s="12" t="s">
        <v>1895</v>
      </c>
      <c r="I82" s="12" t="s">
        <v>1836</v>
      </c>
      <c r="J82" s="15">
        <v>-82.6</v>
      </c>
      <c r="K82" s="15">
        <v>0</v>
      </c>
      <c r="L82" s="12" t="s">
        <v>1834</v>
      </c>
      <c r="M82" s="24"/>
    </row>
    <row r="83" ht="15" spans="1:13">
      <c r="A83" s="8" t="s">
        <v>1883</v>
      </c>
      <c r="B83" s="21"/>
      <c r="C83" s="12" t="s">
        <v>1884</v>
      </c>
      <c r="D83" s="13" t="s">
        <v>1885</v>
      </c>
      <c r="E83" s="12" t="s">
        <v>1824</v>
      </c>
      <c r="F83" s="15">
        <v>3822.9</v>
      </c>
      <c r="G83" s="15">
        <v>78.02</v>
      </c>
      <c r="H83" s="12" t="s">
        <v>450</v>
      </c>
      <c r="I83" s="12" t="s">
        <v>1833</v>
      </c>
      <c r="J83" s="15">
        <v>3900.92</v>
      </c>
      <c r="K83" s="15">
        <v>0</v>
      </c>
      <c r="L83" s="12" t="s">
        <v>1834</v>
      </c>
      <c r="M83" s="24"/>
    </row>
    <row r="84" ht="15" spans="1:13">
      <c r="A84" s="8" t="s">
        <v>1883</v>
      </c>
      <c r="B84" s="21"/>
      <c r="C84" s="12" t="s">
        <v>1884</v>
      </c>
      <c r="D84" s="13" t="s">
        <v>1885</v>
      </c>
      <c r="E84" s="12" t="s">
        <v>1824</v>
      </c>
      <c r="F84" s="15">
        <v>3849.85</v>
      </c>
      <c r="G84" s="15">
        <v>78.57</v>
      </c>
      <c r="H84" s="12" t="s">
        <v>443</v>
      </c>
      <c r="I84" s="12" t="s">
        <v>1833</v>
      </c>
      <c r="J84" s="15">
        <v>3928.42</v>
      </c>
      <c r="K84" s="15">
        <v>0</v>
      </c>
      <c r="L84" s="12" t="s">
        <v>1834</v>
      </c>
      <c r="M84" s="24"/>
    </row>
    <row r="85" ht="15" spans="1:13">
      <c r="A85" s="8" t="s">
        <v>1883</v>
      </c>
      <c r="B85" s="21"/>
      <c r="C85" s="12" t="s">
        <v>1858</v>
      </c>
      <c r="D85" s="13" t="s">
        <v>1859</v>
      </c>
      <c r="E85" s="12" t="s">
        <v>1860</v>
      </c>
      <c r="F85" s="15">
        <v>1802.84</v>
      </c>
      <c r="G85" s="15">
        <v>36.79</v>
      </c>
      <c r="H85" s="12" t="s">
        <v>440</v>
      </c>
      <c r="I85" s="12" t="s">
        <v>1833</v>
      </c>
      <c r="J85" s="15">
        <v>7452.92</v>
      </c>
      <c r="K85" s="15">
        <v>0</v>
      </c>
      <c r="L85" s="12" t="s">
        <v>1834</v>
      </c>
      <c r="M85" s="12" t="s">
        <v>1861</v>
      </c>
    </row>
    <row r="86" ht="31.5" spans="1:13">
      <c r="A86" s="8" t="s">
        <v>1883</v>
      </c>
      <c r="B86" s="11"/>
      <c r="C86" s="18" t="s">
        <v>1862</v>
      </c>
      <c r="D86" s="19"/>
      <c r="E86" s="19"/>
      <c r="F86" s="19"/>
      <c r="G86" s="19"/>
      <c r="H86" s="19"/>
      <c r="I86" s="19"/>
      <c r="J86" s="19"/>
      <c r="K86" s="19"/>
      <c r="L86" s="19"/>
      <c r="M86" s="17"/>
    </row>
    <row r="87" ht="45" spans="1:13">
      <c r="A87" s="8" t="s">
        <v>1883</v>
      </c>
      <c r="B87" s="21"/>
      <c r="C87" s="29" t="s">
        <v>1832</v>
      </c>
      <c r="D87" s="29" t="s">
        <v>1863</v>
      </c>
      <c r="E87" s="29" t="s">
        <v>1864</v>
      </c>
      <c r="F87" s="29" t="s">
        <v>1865</v>
      </c>
      <c r="G87" s="29" t="s">
        <v>1827</v>
      </c>
      <c r="H87" s="29" t="s">
        <v>1866</v>
      </c>
      <c r="I87" s="29" t="s">
        <v>1867</v>
      </c>
      <c r="J87" s="29" t="s">
        <v>1868</v>
      </c>
      <c r="K87" s="29" t="s">
        <v>1869</v>
      </c>
      <c r="L87" s="29" t="s">
        <v>1870</v>
      </c>
      <c r="M87" s="16"/>
    </row>
    <row r="88" ht="36" spans="1:13">
      <c r="A88" s="8" t="s">
        <v>1883</v>
      </c>
      <c r="B88" s="21"/>
      <c r="C88" s="12" t="s">
        <v>1861</v>
      </c>
      <c r="D88" s="12" t="s">
        <v>1834</v>
      </c>
      <c r="E88" s="14">
        <v>1802.84</v>
      </c>
      <c r="F88" s="12" t="s">
        <v>1871</v>
      </c>
      <c r="G88" s="13" t="s">
        <v>440</v>
      </c>
      <c r="H88" s="15">
        <v>7452.92</v>
      </c>
      <c r="I88" s="30" t="s">
        <v>1872</v>
      </c>
      <c r="J88" s="15">
        <v>36.79</v>
      </c>
      <c r="K88" s="12" t="s">
        <v>1858</v>
      </c>
      <c r="L88" s="12" t="s">
        <v>1821</v>
      </c>
      <c r="M88" s="31"/>
    </row>
    <row r="89" ht="36" spans="1:13">
      <c r="A89" s="8" t="s">
        <v>1883</v>
      </c>
      <c r="B89" s="21"/>
      <c r="C89" s="12" t="s">
        <v>1861</v>
      </c>
      <c r="D89" s="12" t="s">
        <v>1834</v>
      </c>
      <c r="E89" s="14">
        <v>1802.84</v>
      </c>
      <c r="F89" s="12" t="s">
        <v>1873</v>
      </c>
      <c r="G89" s="13" t="s">
        <v>1874</v>
      </c>
      <c r="H89" s="15">
        <v>1802.84</v>
      </c>
      <c r="I89" s="30" t="s">
        <v>1875</v>
      </c>
      <c r="J89" s="15">
        <v>0</v>
      </c>
      <c r="K89" s="12" t="s">
        <v>1876</v>
      </c>
      <c r="L89" s="12" t="s">
        <v>1821</v>
      </c>
      <c r="M89" s="31"/>
    </row>
    <row r="90" ht="15" spans="1:13">
      <c r="A90" s="8" t="s">
        <v>1896</v>
      </c>
      <c r="B90" s="25"/>
      <c r="C90" s="26"/>
      <c r="D90" s="26"/>
      <c r="E90" s="26"/>
      <c r="F90" s="26"/>
      <c r="G90" s="26"/>
      <c r="H90" s="26"/>
      <c r="I90" s="26"/>
      <c r="J90" s="26"/>
      <c r="K90" s="26"/>
      <c r="L90" s="26"/>
      <c r="M90" s="26"/>
    </row>
    <row r="91" ht="15" spans="1:13">
      <c r="A91" s="8" t="s">
        <v>1896</v>
      </c>
      <c r="B91" s="25"/>
      <c r="C91" s="26"/>
      <c r="D91" s="26"/>
      <c r="E91" s="26"/>
      <c r="F91" s="26"/>
      <c r="G91" s="26"/>
      <c r="H91" s="26"/>
      <c r="I91" s="26"/>
      <c r="J91" s="26"/>
      <c r="K91" s="26"/>
      <c r="L91" s="26"/>
      <c r="M91" s="26"/>
    </row>
    <row r="92" ht="36" spans="1:13">
      <c r="A92" s="8" t="s">
        <v>1896</v>
      </c>
      <c r="B92" s="11" t="s">
        <v>1849</v>
      </c>
      <c r="C92" s="27" t="s">
        <v>1821</v>
      </c>
      <c r="D92" s="11"/>
      <c r="E92" s="11"/>
      <c r="F92" s="11"/>
      <c r="G92" s="11"/>
      <c r="H92" s="11"/>
      <c r="I92" s="11"/>
      <c r="J92" s="11"/>
      <c r="K92" s="11"/>
      <c r="L92" s="11"/>
      <c r="M92" s="11"/>
    </row>
    <row r="93" ht="15.75" spans="1:13">
      <c r="A93" s="8" t="s">
        <v>1896</v>
      </c>
      <c r="B93" s="28" t="s">
        <v>1850</v>
      </c>
      <c r="C93" s="20"/>
      <c r="D93" s="20"/>
      <c r="E93" s="20"/>
      <c r="F93" s="20"/>
      <c r="G93" s="20"/>
      <c r="H93" s="11"/>
      <c r="I93" s="11"/>
      <c r="J93" s="11"/>
      <c r="K93" s="11"/>
      <c r="L93" s="11"/>
      <c r="M93" s="11"/>
    </row>
    <row r="94" ht="30" spans="1:13">
      <c r="A94" s="8" t="s">
        <v>1896</v>
      </c>
      <c r="B94" s="9" t="s">
        <v>1815</v>
      </c>
      <c r="C94" s="9" t="s">
        <v>1816</v>
      </c>
      <c r="D94" s="9" t="s">
        <v>1817</v>
      </c>
      <c r="E94" s="9" t="s">
        <v>1818</v>
      </c>
      <c r="F94" s="9" t="s">
        <v>1819</v>
      </c>
      <c r="G94" s="9" t="s">
        <v>1820</v>
      </c>
      <c r="H94" s="10"/>
      <c r="I94" s="11"/>
      <c r="J94" s="11"/>
      <c r="K94" s="11"/>
      <c r="L94" s="11"/>
      <c r="M94" s="11"/>
    </row>
    <row r="95" ht="15" spans="1:13">
      <c r="A95" s="8" t="s">
        <v>1896</v>
      </c>
      <c r="B95" s="12" t="s">
        <v>1821</v>
      </c>
      <c r="C95" s="12" t="s">
        <v>1897</v>
      </c>
      <c r="D95" s="13" t="s">
        <v>1898</v>
      </c>
      <c r="E95" s="12" t="s">
        <v>1824</v>
      </c>
      <c r="F95" s="14">
        <v>6914.47</v>
      </c>
      <c r="G95" s="15">
        <v>147.9</v>
      </c>
      <c r="H95" s="16"/>
      <c r="I95" s="11"/>
      <c r="J95" s="11"/>
      <c r="K95" s="11"/>
      <c r="L95" s="11"/>
      <c r="M95" s="11"/>
    </row>
    <row r="96" ht="15.75" spans="1:13">
      <c r="A96" s="8" t="s">
        <v>1896</v>
      </c>
      <c r="B96" s="17"/>
      <c r="C96" s="18" t="s">
        <v>1825</v>
      </c>
      <c r="D96" s="19"/>
      <c r="E96" s="19"/>
      <c r="F96" s="19"/>
      <c r="G96" s="19"/>
      <c r="H96" s="20"/>
      <c r="I96" s="20"/>
      <c r="J96" s="20"/>
      <c r="K96" s="20"/>
      <c r="L96" s="20"/>
      <c r="M96" s="20"/>
    </row>
    <row r="97" ht="60" spans="1:13">
      <c r="A97" s="8" t="s">
        <v>1896</v>
      </c>
      <c r="B97" s="21"/>
      <c r="C97" s="22" t="s">
        <v>1816</v>
      </c>
      <c r="D97" s="22" t="s">
        <v>1817</v>
      </c>
      <c r="E97" s="22" t="s">
        <v>1826</v>
      </c>
      <c r="F97" s="22" t="s">
        <v>1819</v>
      </c>
      <c r="G97" s="22" t="s">
        <v>1820</v>
      </c>
      <c r="H97" s="22" t="s">
        <v>1827</v>
      </c>
      <c r="I97" s="22" t="s">
        <v>1828</v>
      </c>
      <c r="J97" s="22" t="s">
        <v>1829</v>
      </c>
      <c r="K97" s="22" t="s">
        <v>1830</v>
      </c>
      <c r="L97" s="23" t="s">
        <v>1831</v>
      </c>
      <c r="M97" s="23" t="s">
        <v>1832</v>
      </c>
    </row>
    <row r="98" ht="15" spans="1:13">
      <c r="A98" s="8" t="s">
        <v>1896</v>
      </c>
      <c r="B98" s="21"/>
      <c r="C98" s="12" t="s">
        <v>1897</v>
      </c>
      <c r="D98" s="13" t="s">
        <v>1898</v>
      </c>
      <c r="E98" s="12" t="s">
        <v>1824</v>
      </c>
      <c r="F98" s="15">
        <v>7247.25</v>
      </c>
      <c r="G98" s="15">
        <v>147.9</v>
      </c>
      <c r="H98" s="12" t="s">
        <v>452</v>
      </c>
      <c r="I98" s="12" t="s">
        <v>1833</v>
      </c>
      <c r="J98" s="15">
        <v>7395.15</v>
      </c>
      <c r="K98" s="15">
        <v>0</v>
      </c>
      <c r="L98" s="12" t="s">
        <v>1834</v>
      </c>
      <c r="M98" s="24"/>
    </row>
    <row r="99" ht="15" spans="1:13">
      <c r="A99" s="8" t="s">
        <v>1896</v>
      </c>
      <c r="B99" s="21"/>
      <c r="C99" s="12" t="s">
        <v>1897</v>
      </c>
      <c r="D99" s="13" t="s">
        <v>1898</v>
      </c>
      <c r="E99" s="12" t="s">
        <v>1824</v>
      </c>
      <c r="F99" s="15">
        <v>-184.88</v>
      </c>
      <c r="G99" s="15">
        <v>0</v>
      </c>
      <c r="H99" s="12" t="s">
        <v>1899</v>
      </c>
      <c r="I99" s="12" t="s">
        <v>1836</v>
      </c>
      <c r="J99" s="15">
        <v>-184.88</v>
      </c>
      <c r="K99" s="15">
        <v>0</v>
      </c>
      <c r="L99" s="12" t="s">
        <v>1834</v>
      </c>
      <c r="M99" s="24"/>
    </row>
    <row r="100" ht="15" spans="1:13">
      <c r="A100" s="8" t="s">
        <v>1896</v>
      </c>
      <c r="B100" s="21"/>
      <c r="C100" s="12" t="s">
        <v>1897</v>
      </c>
      <c r="D100" s="13" t="s">
        <v>1898</v>
      </c>
      <c r="E100" s="12" t="s">
        <v>1824</v>
      </c>
      <c r="F100" s="15">
        <v>-147.9</v>
      </c>
      <c r="G100" s="15">
        <v>0</v>
      </c>
      <c r="H100" s="12" t="s">
        <v>1900</v>
      </c>
      <c r="I100" s="12" t="s">
        <v>1836</v>
      </c>
      <c r="J100" s="15">
        <v>-147.9</v>
      </c>
      <c r="K100" s="15">
        <v>0</v>
      </c>
      <c r="L100" s="12" t="s">
        <v>1834</v>
      </c>
      <c r="M100" s="24"/>
    </row>
    <row r="101" ht="15" spans="1:13">
      <c r="A101" s="8" t="s">
        <v>1901</v>
      </c>
      <c r="B101" s="25"/>
      <c r="C101" s="26"/>
      <c r="D101" s="26"/>
      <c r="E101" s="26"/>
      <c r="F101" s="26"/>
      <c r="G101" s="26"/>
      <c r="H101" s="26"/>
      <c r="I101" s="26"/>
      <c r="J101" s="26"/>
      <c r="K101" s="26"/>
      <c r="L101" s="26"/>
      <c r="M101" s="26"/>
    </row>
    <row r="102" ht="15" spans="1:13">
      <c r="A102" s="8" t="s">
        <v>1901</v>
      </c>
      <c r="B102" s="25"/>
      <c r="C102" s="26"/>
      <c r="D102" s="26"/>
      <c r="E102" s="26"/>
      <c r="F102" s="26"/>
      <c r="G102" s="26"/>
      <c r="H102" s="26"/>
      <c r="I102" s="26"/>
      <c r="J102" s="26"/>
      <c r="K102" s="26"/>
      <c r="L102" s="26"/>
      <c r="M102" s="26"/>
    </row>
    <row r="103" ht="36" spans="1:13">
      <c r="A103" s="8" t="s">
        <v>1901</v>
      </c>
      <c r="B103" s="11" t="s">
        <v>1849</v>
      </c>
      <c r="C103" s="27" t="s">
        <v>1821</v>
      </c>
      <c r="D103" s="11"/>
      <c r="E103" s="11"/>
      <c r="F103" s="11"/>
      <c r="G103" s="11"/>
      <c r="H103" s="11"/>
      <c r="I103" s="11"/>
      <c r="J103" s="11"/>
      <c r="K103" s="11"/>
      <c r="L103" s="11"/>
      <c r="M103" s="11"/>
    </row>
    <row r="104" ht="15.75" spans="1:13">
      <c r="A104" s="8" t="s">
        <v>1901</v>
      </c>
      <c r="B104" s="28" t="s">
        <v>1850</v>
      </c>
      <c r="C104" s="20"/>
      <c r="D104" s="20"/>
      <c r="E104" s="20"/>
      <c r="F104" s="20"/>
      <c r="G104" s="20"/>
      <c r="H104" s="11"/>
      <c r="I104" s="11"/>
      <c r="J104" s="11"/>
      <c r="K104" s="11"/>
      <c r="L104" s="11"/>
      <c r="M104" s="11"/>
    </row>
    <row r="105" ht="30" spans="1:13">
      <c r="A105" s="8" t="s">
        <v>1901</v>
      </c>
      <c r="B105" s="9" t="s">
        <v>1815</v>
      </c>
      <c r="C105" s="9" t="s">
        <v>1816</v>
      </c>
      <c r="D105" s="9" t="s">
        <v>1817</v>
      </c>
      <c r="E105" s="9" t="s">
        <v>1818</v>
      </c>
      <c r="F105" s="9" t="s">
        <v>1819</v>
      </c>
      <c r="G105" s="9" t="s">
        <v>1820</v>
      </c>
      <c r="H105" s="10"/>
      <c r="I105" s="11"/>
      <c r="J105" s="11"/>
      <c r="K105" s="11"/>
      <c r="L105" s="11"/>
      <c r="M105" s="11"/>
    </row>
    <row r="106" ht="15" spans="1:13">
      <c r="A106" s="8" t="s">
        <v>1901</v>
      </c>
      <c r="B106" s="12" t="s">
        <v>1821</v>
      </c>
      <c r="C106" s="12" t="s">
        <v>1902</v>
      </c>
      <c r="D106" s="13" t="s">
        <v>1903</v>
      </c>
      <c r="E106" s="12" t="s">
        <v>1824</v>
      </c>
      <c r="F106" s="14">
        <v>5317.1</v>
      </c>
      <c r="G106" s="15">
        <v>127.54</v>
      </c>
      <c r="H106" s="16"/>
      <c r="I106" s="11"/>
      <c r="J106" s="11"/>
      <c r="K106" s="11"/>
      <c r="L106" s="11"/>
      <c r="M106" s="11"/>
    </row>
    <row r="107" ht="15.75" spans="1:13">
      <c r="A107" s="8" t="s">
        <v>1901</v>
      </c>
      <c r="B107" s="17"/>
      <c r="C107" s="18" t="s">
        <v>1825</v>
      </c>
      <c r="D107" s="19"/>
      <c r="E107" s="19"/>
      <c r="F107" s="19"/>
      <c r="G107" s="19"/>
      <c r="H107" s="20"/>
      <c r="I107" s="20"/>
      <c r="J107" s="20"/>
      <c r="K107" s="20"/>
      <c r="L107" s="20"/>
      <c r="M107" s="20"/>
    </row>
    <row r="108" ht="60" spans="1:13">
      <c r="A108" s="8" t="s">
        <v>1901</v>
      </c>
      <c r="B108" s="21"/>
      <c r="C108" s="22" t="s">
        <v>1816</v>
      </c>
      <c r="D108" s="22" t="s">
        <v>1817</v>
      </c>
      <c r="E108" s="22" t="s">
        <v>1826</v>
      </c>
      <c r="F108" s="22" t="s">
        <v>1819</v>
      </c>
      <c r="G108" s="22" t="s">
        <v>1820</v>
      </c>
      <c r="H108" s="22" t="s">
        <v>1827</v>
      </c>
      <c r="I108" s="22" t="s">
        <v>1828</v>
      </c>
      <c r="J108" s="22" t="s">
        <v>1829</v>
      </c>
      <c r="K108" s="22" t="s">
        <v>1830</v>
      </c>
      <c r="L108" s="23" t="s">
        <v>1831</v>
      </c>
      <c r="M108" s="23" t="s">
        <v>1832</v>
      </c>
    </row>
    <row r="109" ht="15" spans="1:13">
      <c r="A109" s="8" t="s">
        <v>1901</v>
      </c>
      <c r="B109" s="21"/>
      <c r="C109" s="12" t="s">
        <v>1902</v>
      </c>
      <c r="D109" s="13" t="s">
        <v>1903</v>
      </c>
      <c r="E109" s="12" t="s">
        <v>1824</v>
      </c>
      <c r="F109" s="15">
        <v>-645.35</v>
      </c>
      <c r="G109" s="15">
        <v>0</v>
      </c>
      <c r="H109" s="12" t="s">
        <v>1904</v>
      </c>
      <c r="I109" s="12" t="s">
        <v>1836</v>
      </c>
      <c r="J109" s="15">
        <v>-645.35</v>
      </c>
      <c r="K109" s="15">
        <v>0</v>
      </c>
      <c r="L109" s="12" t="s">
        <v>1834</v>
      </c>
      <c r="M109" s="24"/>
    </row>
    <row r="110" ht="15" spans="1:13">
      <c r="A110" s="8" t="s">
        <v>1901</v>
      </c>
      <c r="B110" s="21"/>
      <c r="C110" s="12" t="s">
        <v>1902</v>
      </c>
      <c r="D110" s="13" t="s">
        <v>1903</v>
      </c>
      <c r="E110" s="12" t="s">
        <v>1824</v>
      </c>
      <c r="F110" s="15">
        <v>-159.42</v>
      </c>
      <c r="G110" s="15">
        <v>0</v>
      </c>
      <c r="H110" s="12" t="s">
        <v>1905</v>
      </c>
      <c r="I110" s="12" t="s">
        <v>1836</v>
      </c>
      <c r="J110" s="15">
        <v>-159.42</v>
      </c>
      <c r="K110" s="15">
        <v>0</v>
      </c>
      <c r="L110" s="12" t="s">
        <v>1834</v>
      </c>
      <c r="M110" s="24"/>
    </row>
    <row r="111" ht="15" spans="1:13">
      <c r="A111" s="8" t="s">
        <v>1901</v>
      </c>
      <c r="B111" s="21"/>
      <c r="C111" s="12" t="s">
        <v>1902</v>
      </c>
      <c r="D111" s="13" t="s">
        <v>1903</v>
      </c>
      <c r="E111" s="12" t="s">
        <v>1824</v>
      </c>
      <c r="F111" s="15">
        <v>-127.54</v>
      </c>
      <c r="G111" s="15">
        <v>0</v>
      </c>
      <c r="H111" s="12" t="s">
        <v>1906</v>
      </c>
      <c r="I111" s="12" t="s">
        <v>1836</v>
      </c>
      <c r="J111" s="15">
        <v>-127.54</v>
      </c>
      <c r="K111" s="15">
        <v>0</v>
      </c>
      <c r="L111" s="12" t="s">
        <v>1834</v>
      </c>
      <c r="M111" s="24"/>
    </row>
    <row r="112" ht="15" spans="1:13">
      <c r="A112" s="8" t="s">
        <v>1901</v>
      </c>
      <c r="B112" s="21"/>
      <c r="C112" s="12" t="s">
        <v>1902</v>
      </c>
      <c r="D112" s="13" t="s">
        <v>1903</v>
      </c>
      <c r="E112" s="12" t="s">
        <v>1824</v>
      </c>
      <c r="F112" s="15">
        <v>6249.41</v>
      </c>
      <c r="G112" s="15">
        <v>127.54</v>
      </c>
      <c r="H112" s="12" t="s">
        <v>451</v>
      </c>
      <c r="I112" s="12" t="s">
        <v>1833</v>
      </c>
      <c r="J112" s="15">
        <v>6376.95</v>
      </c>
      <c r="K112" s="15">
        <v>0</v>
      </c>
      <c r="L112" s="12" t="s">
        <v>1834</v>
      </c>
      <c r="M112" s="24"/>
    </row>
    <row r="113" ht="15" spans="1:13">
      <c r="A113" s="8" t="s">
        <v>1907</v>
      </c>
      <c r="B113" s="25"/>
      <c r="C113" s="26"/>
      <c r="D113" s="26"/>
      <c r="E113" s="26"/>
      <c r="F113" s="26"/>
      <c r="G113" s="26"/>
      <c r="H113" s="26"/>
      <c r="I113" s="26"/>
      <c r="J113" s="26"/>
      <c r="K113" s="26"/>
      <c r="L113" s="26"/>
      <c r="M113" s="26"/>
    </row>
    <row r="114" ht="15" spans="1:13">
      <c r="A114" s="8" t="s">
        <v>1907</v>
      </c>
      <c r="B114" s="25"/>
      <c r="C114" s="26"/>
      <c r="D114" s="26"/>
      <c r="E114" s="26"/>
      <c r="F114" s="26"/>
      <c r="G114" s="26"/>
      <c r="H114" s="26"/>
      <c r="I114" s="26"/>
      <c r="J114" s="26"/>
      <c r="K114" s="26"/>
      <c r="L114" s="26"/>
      <c r="M114" s="26"/>
    </row>
    <row r="115" ht="36" spans="1:13">
      <c r="A115" s="8" t="s">
        <v>1907</v>
      </c>
      <c r="B115" s="11" t="s">
        <v>1849</v>
      </c>
      <c r="C115" s="27" t="s">
        <v>1821</v>
      </c>
      <c r="D115" s="11"/>
      <c r="E115" s="11"/>
      <c r="F115" s="11"/>
      <c r="G115" s="11"/>
      <c r="H115" s="11"/>
      <c r="I115" s="11"/>
      <c r="J115" s="11"/>
      <c r="K115" s="11"/>
      <c r="L115" s="11"/>
      <c r="M115" s="11"/>
    </row>
    <row r="116" ht="15.75" spans="1:13">
      <c r="A116" s="8" t="s">
        <v>1907</v>
      </c>
      <c r="B116" s="28" t="s">
        <v>1850</v>
      </c>
      <c r="C116" s="20"/>
      <c r="D116" s="20"/>
      <c r="E116" s="20"/>
      <c r="F116" s="20"/>
      <c r="G116" s="20"/>
      <c r="H116" s="11"/>
      <c r="I116" s="11"/>
      <c r="J116" s="11"/>
      <c r="K116" s="11"/>
      <c r="L116" s="11"/>
      <c r="M116" s="11"/>
    </row>
    <row r="117" ht="30" spans="1:13">
      <c r="A117" s="8" t="s">
        <v>1907</v>
      </c>
      <c r="B117" s="9" t="s">
        <v>1815</v>
      </c>
      <c r="C117" s="9" t="s">
        <v>1816</v>
      </c>
      <c r="D117" s="9" t="s">
        <v>1817</v>
      </c>
      <c r="E117" s="9" t="s">
        <v>1818</v>
      </c>
      <c r="F117" s="9" t="s">
        <v>1819</v>
      </c>
      <c r="G117" s="9" t="s">
        <v>1820</v>
      </c>
      <c r="H117" s="10"/>
      <c r="I117" s="11"/>
      <c r="J117" s="11"/>
      <c r="K117" s="11"/>
      <c r="L117" s="11"/>
      <c r="M117" s="11"/>
    </row>
    <row r="118" ht="15" spans="1:13">
      <c r="A118" s="8" t="s">
        <v>1907</v>
      </c>
      <c r="B118" s="12" t="s">
        <v>1821</v>
      </c>
      <c r="C118" s="12" t="s">
        <v>1908</v>
      </c>
      <c r="D118" s="13" t="s">
        <v>1909</v>
      </c>
      <c r="E118" s="12" t="s">
        <v>1824</v>
      </c>
      <c r="F118" s="14">
        <v>12286.75</v>
      </c>
      <c r="G118" s="15">
        <v>262.82</v>
      </c>
      <c r="H118" s="16"/>
      <c r="I118" s="11"/>
      <c r="J118" s="11"/>
      <c r="K118" s="11"/>
      <c r="L118" s="11"/>
      <c r="M118" s="11"/>
    </row>
    <row r="119" ht="15.75" spans="1:13">
      <c r="A119" s="8" t="s">
        <v>1907</v>
      </c>
      <c r="B119" s="17"/>
      <c r="C119" s="18" t="s">
        <v>1825</v>
      </c>
      <c r="D119" s="19"/>
      <c r="E119" s="19"/>
      <c r="F119" s="19"/>
      <c r="G119" s="19"/>
      <c r="H119" s="20"/>
      <c r="I119" s="20"/>
      <c r="J119" s="20"/>
      <c r="K119" s="20"/>
      <c r="L119" s="20"/>
      <c r="M119" s="20"/>
    </row>
    <row r="120" ht="60" spans="1:13">
      <c r="A120" s="8" t="s">
        <v>1907</v>
      </c>
      <c r="B120" s="21"/>
      <c r="C120" s="22" t="s">
        <v>1816</v>
      </c>
      <c r="D120" s="22" t="s">
        <v>1817</v>
      </c>
      <c r="E120" s="22" t="s">
        <v>1826</v>
      </c>
      <c r="F120" s="22" t="s">
        <v>1819</v>
      </c>
      <c r="G120" s="22" t="s">
        <v>1820</v>
      </c>
      <c r="H120" s="22" t="s">
        <v>1827</v>
      </c>
      <c r="I120" s="22" t="s">
        <v>1828</v>
      </c>
      <c r="J120" s="22" t="s">
        <v>1829</v>
      </c>
      <c r="K120" s="22" t="s">
        <v>1830</v>
      </c>
      <c r="L120" s="23" t="s">
        <v>1831</v>
      </c>
      <c r="M120" s="23" t="s">
        <v>1832</v>
      </c>
    </row>
    <row r="121" ht="15" spans="1:13">
      <c r="A121" s="8" t="s">
        <v>1907</v>
      </c>
      <c r="B121" s="21"/>
      <c r="C121" s="12" t="s">
        <v>1908</v>
      </c>
      <c r="D121" s="13" t="s">
        <v>1909</v>
      </c>
      <c r="E121" s="12" t="s">
        <v>1824</v>
      </c>
      <c r="F121" s="15">
        <v>5850.93</v>
      </c>
      <c r="G121" s="15">
        <v>119.41</v>
      </c>
      <c r="H121" s="12" t="s">
        <v>449</v>
      </c>
      <c r="I121" s="12" t="s">
        <v>1833</v>
      </c>
      <c r="J121" s="15">
        <v>5970.34</v>
      </c>
      <c r="K121" s="15">
        <v>0</v>
      </c>
      <c r="L121" s="12" t="s">
        <v>1834</v>
      </c>
      <c r="M121" s="24"/>
    </row>
    <row r="122" ht="15" spans="1:13">
      <c r="A122" s="8" t="s">
        <v>1907</v>
      </c>
      <c r="B122" s="21"/>
      <c r="C122" s="12" t="s">
        <v>1908</v>
      </c>
      <c r="D122" s="13" t="s">
        <v>1909</v>
      </c>
      <c r="E122" s="12" t="s">
        <v>1824</v>
      </c>
      <c r="F122" s="15">
        <v>-143.41</v>
      </c>
      <c r="G122" s="15">
        <v>0</v>
      </c>
      <c r="H122" s="12" t="s">
        <v>1910</v>
      </c>
      <c r="I122" s="12" t="s">
        <v>1836</v>
      </c>
      <c r="J122" s="15">
        <v>-143.41</v>
      </c>
      <c r="K122" s="15">
        <v>0</v>
      </c>
      <c r="L122" s="12" t="s">
        <v>1834</v>
      </c>
      <c r="M122" s="24"/>
    </row>
    <row r="123" ht="15" spans="1:13">
      <c r="A123" s="8" t="s">
        <v>1907</v>
      </c>
      <c r="B123" s="21"/>
      <c r="C123" s="12" t="s">
        <v>1908</v>
      </c>
      <c r="D123" s="13" t="s">
        <v>1909</v>
      </c>
      <c r="E123" s="12" t="s">
        <v>1824</v>
      </c>
      <c r="F123" s="15">
        <v>7027.16</v>
      </c>
      <c r="G123" s="15">
        <v>143.41</v>
      </c>
      <c r="H123" s="12" t="s">
        <v>444</v>
      </c>
      <c r="I123" s="12" t="s">
        <v>1833</v>
      </c>
      <c r="J123" s="15">
        <v>7170.57</v>
      </c>
      <c r="K123" s="15">
        <v>0</v>
      </c>
      <c r="L123" s="12" t="s">
        <v>1834</v>
      </c>
      <c r="M123" s="24"/>
    </row>
    <row r="124" ht="15" spans="1:13">
      <c r="A124" s="8" t="s">
        <v>1907</v>
      </c>
      <c r="B124" s="21"/>
      <c r="C124" s="12" t="s">
        <v>1908</v>
      </c>
      <c r="D124" s="13" t="s">
        <v>1909</v>
      </c>
      <c r="E124" s="12" t="s">
        <v>1824</v>
      </c>
      <c r="F124" s="15">
        <v>-119.41</v>
      </c>
      <c r="G124" s="15">
        <v>0</v>
      </c>
      <c r="H124" s="12" t="s">
        <v>1911</v>
      </c>
      <c r="I124" s="12" t="s">
        <v>1836</v>
      </c>
      <c r="J124" s="15">
        <v>-119.41</v>
      </c>
      <c r="K124" s="15">
        <v>0</v>
      </c>
      <c r="L124" s="12" t="s">
        <v>1834</v>
      </c>
      <c r="M124" s="24"/>
    </row>
    <row r="125" ht="15" spans="1:13">
      <c r="A125" s="8" t="s">
        <v>1907</v>
      </c>
      <c r="B125" s="21"/>
      <c r="C125" s="12" t="s">
        <v>1908</v>
      </c>
      <c r="D125" s="13" t="s">
        <v>1909</v>
      </c>
      <c r="E125" s="12" t="s">
        <v>1824</v>
      </c>
      <c r="F125" s="15">
        <v>-149.26</v>
      </c>
      <c r="G125" s="15">
        <v>0</v>
      </c>
      <c r="H125" s="12" t="s">
        <v>1912</v>
      </c>
      <c r="I125" s="12" t="s">
        <v>1836</v>
      </c>
      <c r="J125" s="15">
        <v>-149.26</v>
      </c>
      <c r="K125" s="15">
        <v>0</v>
      </c>
      <c r="L125" s="12" t="s">
        <v>1834</v>
      </c>
      <c r="M125" s="24"/>
    </row>
    <row r="126" ht="15" spans="1:13">
      <c r="A126" s="8" t="s">
        <v>1907</v>
      </c>
      <c r="B126" s="21"/>
      <c r="C126" s="12" t="s">
        <v>1908</v>
      </c>
      <c r="D126" s="13" t="s">
        <v>1909</v>
      </c>
      <c r="E126" s="12" t="s">
        <v>1824</v>
      </c>
      <c r="F126" s="15">
        <v>-179.26</v>
      </c>
      <c r="G126" s="15">
        <v>0</v>
      </c>
      <c r="H126" s="12" t="s">
        <v>1913</v>
      </c>
      <c r="I126" s="12" t="s">
        <v>1836</v>
      </c>
      <c r="J126" s="15">
        <v>-179.26</v>
      </c>
      <c r="K126" s="15">
        <v>0</v>
      </c>
      <c r="L126" s="12" t="s">
        <v>1834</v>
      </c>
      <c r="M126" s="24"/>
    </row>
    <row r="127" ht="15" spans="1:13">
      <c r="A127" s="8" t="s">
        <v>1914</v>
      </c>
      <c r="B127" s="25"/>
      <c r="C127" s="26"/>
      <c r="D127" s="26"/>
      <c r="E127" s="26"/>
      <c r="F127" s="26"/>
      <c r="G127" s="26"/>
      <c r="H127" s="26"/>
      <c r="I127" s="26"/>
      <c r="J127" s="26"/>
      <c r="K127" s="26"/>
      <c r="L127" s="26"/>
      <c r="M127" s="26"/>
    </row>
    <row r="128" ht="15" spans="1:13">
      <c r="A128" s="8" t="s">
        <v>1914</v>
      </c>
      <c r="B128" s="25"/>
      <c r="C128" s="26"/>
      <c r="D128" s="26"/>
      <c r="E128" s="26"/>
      <c r="F128" s="26"/>
      <c r="G128" s="26"/>
      <c r="H128" s="26"/>
      <c r="I128" s="26"/>
      <c r="J128" s="26"/>
      <c r="K128" s="26"/>
      <c r="L128" s="26"/>
      <c r="M128" s="26"/>
    </row>
    <row r="129" ht="36" spans="1:13">
      <c r="A129" s="8" t="s">
        <v>1914</v>
      </c>
      <c r="B129" s="11" t="s">
        <v>1849</v>
      </c>
      <c r="C129" s="27" t="s">
        <v>1821</v>
      </c>
      <c r="D129" s="11"/>
      <c r="E129" s="11"/>
      <c r="F129" s="11"/>
      <c r="G129" s="11"/>
      <c r="H129" s="11"/>
      <c r="I129" s="11"/>
      <c r="J129" s="11"/>
      <c r="K129" s="11"/>
      <c r="L129" s="11"/>
      <c r="M129" s="11"/>
    </row>
    <row r="130" ht="15.75" spans="1:13">
      <c r="A130" s="8" t="s">
        <v>1914</v>
      </c>
      <c r="B130" s="28" t="s">
        <v>1850</v>
      </c>
      <c r="C130" s="20"/>
      <c r="D130" s="20"/>
      <c r="E130" s="20"/>
      <c r="F130" s="20"/>
      <c r="G130" s="20"/>
      <c r="H130" s="11"/>
      <c r="I130" s="11"/>
      <c r="J130" s="11"/>
      <c r="K130" s="11"/>
      <c r="L130" s="11"/>
      <c r="M130" s="11"/>
    </row>
    <row r="131" ht="30" spans="1:13">
      <c r="A131" s="8" t="s">
        <v>1914</v>
      </c>
      <c r="B131" s="9" t="s">
        <v>1815</v>
      </c>
      <c r="C131" s="9" t="s">
        <v>1816</v>
      </c>
      <c r="D131" s="9" t="s">
        <v>1817</v>
      </c>
      <c r="E131" s="9" t="s">
        <v>1818</v>
      </c>
      <c r="F131" s="9" t="s">
        <v>1819</v>
      </c>
      <c r="G131" s="9" t="s">
        <v>1820</v>
      </c>
      <c r="H131" s="10"/>
      <c r="I131" s="11"/>
      <c r="J131" s="11"/>
      <c r="K131" s="11"/>
      <c r="L131" s="11"/>
      <c r="M131" s="11"/>
    </row>
    <row r="132" ht="15" spans="1:13">
      <c r="A132" s="8" t="s">
        <v>1914</v>
      </c>
      <c r="B132" s="12" t="s">
        <v>1821</v>
      </c>
      <c r="C132" s="12" t="s">
        <v>1915</v>
      </c>
      <c r="D132" s="13" t="s">
        <v>1916</v>
      </c>
      <c r="E132" s="12" t="s">
        <v>1824</v>
      </c>
      <c r="F132" s="14">
        <v>12589.32</v>
      </c>
      <c r="G132" s="15">
        <v>269.29</v>
      </c>
      <c r="H132" s="16"/>
      <c r="I132" s="11"/>
      <c r="J132" s="11"/>
      <c r="K132" s="11"/>
      <c r="L132" s="11"/>
      <c r="M132" s="11"/>
    </row>
    <row r="133" ht="15.75" spans="1:13">
      <c r="A133" s="8" t="s">
        <v>1914</v>
      </c>
      <c r="B133" s="17"/>
      <c r="C133" s="18" t="s">
        <v>1825</v>
      </c>
      <c r="D133" s="19"/>
      <c r="E133" s="19"/>
      <c r="F133" s="19"/>
      <c r="G133" s="19"/>
      <c r="H133" s="20"/>
      <c r="I133" s="20"/>
      <c r="J133" s="20"/>
      <c r="K133" s="20"/>
      <c r="L133" s="20"/>
      <c r="M133" s="20"/>
    </row>
    <row r="134" ht="60" spans="1:13">
      <c r="A134" s="8" t="s">
        <v>1914</v>
      </c>
      <c r="B134" s="21"/>
      <c r="C134" s="22" t="s">
        <v>1816</v>
      </c>
      <c r="D134" s="22" t="s">
        <v>1817</v>
      </c>
      <c r="E134" s="22" t="s">
        <v>1826</v>
      </c>
      <c r="F134" s="22" t="s">
        <v>1819</v>
      </c>
      <c r="G134" s="22" t="s">
        <v>1820</v>
      </c>
      <c r="H134" s="22" t="s">
        <v>1827</v>
      </c>
      <c r="I134" s="22" t="s">
        <v>1828</v>
      </c>
      <c r="J134" s="22" t="s">
        <v>1829</v>
      </c>
      <c r="K134" s="22" t="s">
        <v>1830</v>
      </c>
      <c r="L134" s="23" t="s">
        <v>1831</v>
      </c>
      <c r="M134" s="23" t="s">
        <v>1832</v>
      </c>
    </row>
    <row r="135" ht="15" spans="1:13">
      <c r="A135" s="8" t="s">
        <v>1914</v>
      </c>
      <c r="B135" s="21"/>
      <c r="C135" s="12" t="s">
        <v>1915</v>
      </c>
      <c r="D135" s="13" t="s">
        <v>1916</v>
      </c>
      <c r="E135" s="12" t="s">
        <v>1824</v>
      </c>
      <c r="F135" s="15">
        <v>2838.51</v>
      </c>
      <c r="G135" s="15">
        <v>57.93</v>
      </c>
      <c r="H135" s="12" t="s">
        <v>447</v>
      </c>
      <c r="I135" s="12" t="s">
        <v>1833</v>
      </c>
      <c r="J135" s="15">
        <v>2896.44</v>
      </c>
      <c r="K135" s="15">
        <v>0</v>
      </c>
      <c r="L135" s="12" t="s">
        <v>1834</v>
      </c>
      <c r="M135" s="24"/>
    </row>
    <row r="136" ht="15" spans="1:13">
      <c r="A136" s="8" t="s">
        <v>1914</v>
      </c>
      <c r="B136" s="21"/>
      <c r="C136" s="12" t="s">
        <v>1915</v>
      </c>
      <c r="D136" s="13" t="s">
        <v>1916</v>
      </c>
      <c r="E136" s="12" t="s">
        <v>1824</v>
      </c>
      <c r="F136" s="15">
        <v>10356.71</v>
      </c>
      <c r="G136" s="15">
        <v>211.36</v>
      </c>
      <c r="H136" s="12" t="s">
        <v>453</v>
      </c>
      <c r="I136" s="12" t="s">
        <v>1833</v>
      </c>
      <c r="J136" s="15">
        <v>10568.07</v>
      </c>
      <c r="K136" s="15">
        <v>0</v>
      </c>
      <c r="L136" s="12" t="s">
        <v>1834</v>
      </c>
      <c r="M136" s="24"/>
    </row>
    <row r="137" ht="15" spans="1:13">
      <c r="A137" s="8" t="s">
        <v>1914</v>
      </c>
      <c r="B137" s="21"/>
      <c r="C137" s="12" t="s">
        <v>1915</v>
      </c>
      <c r="D137" s="13" t="s">
        <v>1916</v>
      </c>
      <c r="E137" s="12" t="s">
        <v>1824</v>
      </c>
      <c r="F137" s="15">
        <v>-264.2</v>
      </c>
      <c r="G137" s="15">
        <v>0</v>
      </c>
      <c r="H137" s="12" t="s">
        <v>1917</v>
      </c>
      <c r="I137" s="12" t="s">
        <v>1836</v>
      </c>
      <c r="J137" s="15">
        <v>-264.2</v>
      </c>
      <c r="K137" s="15">
        <v>0</v>
      </c>
      <c r="L137" s="12" t="s">
        <v>1834</v>
      </c>
      <c r="M137" s="24"/>
    </row>
    <row r="138" ht="15" spans="1:13">
      <c r="A138" s="8" t="s">
        <v>1914</v>
      </c>
      <c r="B138" s="21"/>
      <c r="C138" s="12" t="s">
        <v>1915</v>
      </c>
      <c r="D138" s="13" t="s">
        <v>1916</v>
      </c>
      <c r="E138" s="12" t="s">
        <v>1824</v>
      </c>
      <c r="F138" s="15">
        <v>-72.41</v>
      </c>
      <c r="G138" s="15">
        <v>0</v>
      </c>
      <c r="H138" s="12" t="s">
        <v>1918</v>
      </c>
      <c r="I138" s="12" t="s">
        <v>1836</v>
      </c>
      <c r="J138" s="15">
        <v>-72.41</v>
      </c>
      <c r="K138" s="15">
        <v>0</v>
      </c>
      <c r="L138" s="12" t="s">
        <v>1834</v>
      </c>
      <c r="M138" s="24"/>
    </row>
    <row r="139" ht="15" spans="1:13">
      <c r="A139" s="8" t="s">
        <v>1914</v>
      </c>
      <c r="B139" s="21"/>
      <c r="C139" s="12" t="s">
        <v>1915</v>
      </c>
      <c r="D139" s="13" t="s">
        <v>1916</v>
      </c>
      <c r="E139" s="12" t="s">
        <v>1824</v>
      </c>
      <c r="F139" s="15">
        <v>-211.36</v>
      </c>
      <c r="G139" s="15">
        <v>0</v>
      </c>
      <c r="H139" s="12" t="s">
        <v>1919</v>
      </c>
      <c r="I139" s="12" t="s">
        <v>1836</v>
      </c>
      <c r="J139" s="15">
        <v>-211.36</v>
      </c>
      <c r="K139" s="15">
        <v>0</v>
      </c>
      <c r="L139" s="12" t="s">
        <v>1834</v>
      </c>
      <c r="M139" s="24"/>
    </row>
    <row r="140" ht="15" spans="1:13">
      <c r="A140" s="8" t="s">
        <v>1914</v>
      </c>
      <c r="B140" s="21"/>
      <c r="C140" s="12" t="s">
        <v>1915</v>
      </c>
      <c r="D140" s="13" t="s">
        <v>1916</v>
      </c>
      <c r="E140" s="12" t="s">
        <v>1824</v>
      </c>
      <c r="F140" s="15">
        <v>-57.93</v>
      </c>
      <c r="G140" s="15">
        <v>0</v>
      </c>
      <c r="H140" s="12" t="s">
        <v>1920</v>
      </c>
      <c r="I140" s="12" t="s">
        <v>1836</v>
      </c>
      <c r="J140" s="15">
        <v>-57.93</v>
      </c>
      <c r="K140" s="15">
        <v>0</v>
      </c>
      <c r="L140" s="12" t="s">
        <v>1834</v>
      </c>
      <c r="M140" s="24"/>
    </row>
    <row r="141" ht="15" spans="1:13">
      <c r="A141" s="8" t="s">
        <v>1921</v>
      </c>
      <c r="B141" s="25"/>
      <c r="C141" s="26"/>
      <c r="D141" s="26"/>
      <c r="E141" s="26"/>
      <c r="F141" s="26"/>
      <c r="G141" s="26"/>
      <c r="H141" s="26"/>
      <c r="I141" s="26"/>
      <c r="J141" s="26"/>
      <c r="K141" s="26"/>
      <c r="L141" s="26"/>
      <c r="M141" s="26"/>
    </row>
    <row r="142" ht="15" spans="1:13">
      <c r="A142" s="8" t="s">
        <v>1921</v>
      </c>
      <c r="B142" s="25"/>
      <c r="C142" s="26"/>
      <c r="D142" s="26"/>
      <c r="E142" s="26"/>
      <c r="F142" s="26"/>
      <c r="G142" s="26"/>
      <c r="H142" s="26"/>
      <c r="I142" s="26"/>
      <c r="J142" s="26"/>
      <c r="K142" s="26"/>
      <c r="L142" s="26"/>
      <c r="M142" s="26"/>
    </row>
    <row r="143" ht="36" spans="1:13">
      <c r="A143" s="8" t="s">
        <v>1921</v>
      </c>
      <c r="B143" s="11" t="s">
        <v>1849</v>
      </c>
      <c r="C143" s="27" t="s">
        <v>1821</v>
      </c>
      <c r="D143" s="11"/>
      <c r="E143" s="11"/>
      <c r="F143" s="11"/>
      <c r="G143" s="11"/>
      <c r="H143" s="11"/>
      <c r="I143" s="11"/>
      <c r="J143" s="11"/>
      <c r="K143" s="11"/>
      <c r="L143" s="11"/>
      <c r="M143" s="11"/>
    </row>
    <row r="144" ht="15.75" spans="1:13">
      <c r="A144" s="8" t="s">
        <v>1921</v>
      </c>
      <c r="B144" s="28" t="s">
        <v>1850</v>
      </c>
      <c r="C144" s="20"/>
      <c r="D144" s="20"/>
      <c r="E144" s="20"/>
      <c r="F144" s="20"/>
      <c r="G144" s="20"/>
      <c r="H144" s="11"/>
      <c r="I144" s="11"/>
      <c r="J144" s="11"/>
      <c r="K144" s="11"/>
      <c r="L144" s="11"/>
      <c r="M144" s="11"/>
    </row>
    <row r="145" ht="30" spans="1:13">
      <c r="A145" s="8" t="s">
        <v>1921</v>
      </c>
      <c r="B145" s="9" t="s">
        <v>1815</v>
      </c>
      <c r="C145" s="9" t="s">
        <v>1816</v>
      </c>
      <c r="D145" s="9" t="s">
        <v>1817</v>
      </c>
      <c r="E145" s="9" t="s">
        <v>1818</v>
      </c>
      <c r="F145" s="9" t="s">
        <v>1819</v>
      </c>
      <c r="G145" s="9" t="s">
        <v>1820</v>
      </c>
      <c r="H145" s="10"/>
      <c r="I145" s="11"/>
      <c r="J145" s="11"/>
      <c r="K145" s="11"/>
      <c r="L145" s="11"/>
      <c r="M145" s="11"/>
    </row>
    <row r="146" ht="15" spans="1:13">
      <c r="A146" s="8" t="s">
        <v>1921</v>
      </c>
      <c r="B146" s="12" t="s">
        <v>1821</v>
      </c>
      <c r="C146" s="12" t="s">
        <v>1922</v>
      </c>
      <c r="D146" s="13" t="s">
        <v>1923</v>
      </c>
      <c r="E146" s="12" t="s">
        <v>1860</v>
      </c>
      <c r="F146" s="14">
        <v>1480.66</v>
      </c>
      <c r="G146" s="15">
        <v>30.22</v>
      </c>
      <c r="H146" s="16"/>
      <c r="I146" s="11"/>
      <c r="J146" s="11"/>
      <c r="K146" s="11"/>
      <c r="L146" s="11"/>
      <c r="M146" s="11"/>
    </row>
    <row r="147" ht="15.75" spans="1:13">
      <c r="A147" s="8" t="s">
        <v>1921</v>
      </c>
      <c r="B147" s="17"/>
      <c r="C147" s="18" t="s">
        <v>1825</v>
      </c>
      <c r="D147" s="19"/>
      <c r="E147" s="19"/>
      <c r="F147" s="19"/>
      <c r="G147" s="19"/>
      <c r="H147" s="20"/>
      <c r="I147" s="20"/>
      <c r="J147" s="20"/>
      <c r="K147" s="20"/>
      <c r="L147" s="20"/>
      <c r="M147" s="20"/>
    </row>
    <row r="148" ht="60" spans="1:13">
      <c r="A148" s="8" t="s">
        <v>1921</v>
      </c>
      <c r="B148" s="21"/>
      <c r="C148" s="22" t="s">
        <v>1816</v>
      </c>
      <c r="D148" s="22" t="s">
        <v>1817</v>
      </c>
      <c r="E148" s="22" t="s">
        <v>1826</v>
      </c>
      <c r="F148" s="22" t="s">
        <v>1819</v>
      </c>
      <c r="G148" s="22" t="s">
        <v>1820</v>
      </c>
      <c r="H148" s="22" t="s">
        <v>1827</v>
      </c>
      <c r="I148" s="22" t="s">
        <v>1828</v>
      </c>
      <c r="J148" s="22" t="s">
        <v>1829</v>
      </c>
      <c r="K148" s="22" t="s">
        <v>1830</v>
      </c>
      <c r="L148" s="23" t="s">
        <v>1831</v>
      </c>
      <c r="M148" s="23" t="s">
        <v>1832</v>
      </c>
    </row>
    <row r="149" ht="15" spans="1:13">
      <c r="A149" s="8" t="s">
        <v>1921</v>
      </c>
      <c r="B149" s="21"/>
      <c r="C149" s="12" t="s">
        <v>1922</v>
      </c>
      <c r="D149" s="13" t="s">
        <v>1923</v>
      </c>
      <c r="E149" s="12" t="s">
        <v>1860</v>
      </c>
      <c r="F149" s="15">
        <v>1480.66</v>
      </c>
      <c r="G149" s="15">
        <v>30.22</v>
      </c>
      <c r="H149" s="12" t="s">
        <v>460</v>
      </c>
      <c r="I149" s="12" t="s">
        <v>1833</v>
      </c>
      <c r="J149" s="15">
        <v>3001.66</v>
      </c>
      <c r="K149" s="15">
        <v>1490.78</v>
      </c>
      <c r="L149" s="12" t="s">
        <v>1834</v>
      </c>
      <c r="M149" s="12" t="s">
        <v>1924</v>
      </c>
    </row>
    <row r="150" ht="31.5" spans="1:13">
      <c r="A150" s="8" t="s">
        <v>1921</v>
      </c>
      <c r="B150" s="11"/>
      <c r="C150" s="18" t="s">
        <v>1862</v>
      </c>
      <c r="D150" s="19"/>
      <c r="E150" s="19"/>
      <c r="F150" s="19"/>
      <c r="G150" s="19"/>
      <c r="H150" s="19"/>
      <c r="I150" s="19"/>
      <c r="J150" s="19"/>
      <c r="K150" s="19"/>
      <c r="L150" s="19"/>
      <c r="M150" s="17"/>
    </row>
    <row r="151" ht="45" spans="1:13">
      <c r="A151" s="8" t="s">
        <v>1921</v>
      </c>
      <c r="B151" s="21"/>
      <c r="C151" s="29" t="s">
        <v>1832</v>
      </c>
      <c r="D151" s="29" t="s">
        <v>1863</v>
      </c>
      <c r="E151" s="29" t="s">
        <v>1864</v>
      </c>
      <c r="F151" s="29" t="s">
        <v>1865</v>
      </c>
      <c r="G151" s="29" t="s">
        <v>1827</v>
      </c>
      <c r="H151" s="29" t="s">
        <v>1866</v>
      </c>
      <c r="I151" s="29" t="s">
        <v>1867</v>
      </c>
      <c r="J151" s="29" t="s">
        <v>1868</v>
      </c>
      <c r="K151" s="29" t="s">
        <v>1869</v>
      </c>
      <c r="L151" s="29" t="s">
        <v>1870</v>
      </c>
      <c r="M151" s="16"/>
    </row>
    <row r="152" ht="36" spans="1:13">
      <c r="A152" s="8" t="s">
        <v>1921</v>
      </c>
      <c r="B152" s="21"/>
      <c r="C152" s="12" t="s">
        <v>1924</v>
      </c>
      <c r="D152" s="12" t="s">
        <v>1834</v>
      </c>
      <c r="E152" s="14">
        <v>1480.66</v>
      </c>
      <c r="F152" s="12" t="s">
        <v>1871</v>
      </c>
      <c r="G152" s="13" t="s">
        <v>460</v>
      </c>
      <c r="H152" s="15">
        <v>3001.66</v>
      </c>
      <c r="I152" s="30" t="s">
        <v>1925</v>
      </c>
      <c r="J152" s="15">
        <v>30.22</v>
      </c>
      <c r="K152" s="12" t="s">
        <v>1922</v>
      </c>
      <c r="L152" s="12" t="s">
        <v>1821</v>
      </c>
      <c r="M152" s="31"/>
    </row>
    <row r="153" ht="36" spans="1:13">
      <c r="A153" s="8" t="s">
        <v>1921</v>
      </c>
      <c r="B153" s="21"/>
      <c r="C153" s="12" t="s">
        <v>1924</v>
      </c>
      <c r="D153" s="12" t="s">
        <v>1834</v>
      </c>
      <c r="E153" s="14">
        <v>1480.66</v>
      </c>
      <c r="F153" s="12" t="s">
        <v>1873</v>
      </c>
      <c r="G153" s="13" t="s">
        <v>1926</v>
      </c>
      <c r="H153" s="15">
        <v>1480.66</v>
      </c>
      <c r="I153" s="30" t="s">
        <v>1927</v>
      </c>
      <c r="J153" s="15">
        <v>0</v>
      </c>
      <c r="K153" s="12" t="s">
        <v>1928</v>
      </c>
      <c r="L153" s="12" t="s">
        <v>1821</v>
      </c>
      <c r="M153" s="31"/>
    </row>
    <row r="154" ht="15" spans="1:13">
      <c r="A154" s="8" t="s">
        <v>1929</v>
      </c>
      <c r="B154" s="25"/>
      <c r="C154" s="26"/>
      <c r="D154" s="26"/>
      <c r="E154" s="26"/>
      <c r="F154" s="26"/>
      <c r="G154" s="26"/>
      <c r="H154" s="26"/>
      <c r="I154" s="26"/>
      <c r="J154" s="26"/>
      <c r="K154" s="26"/>
      <c r="L154" s="26"/>
      <c r="M154" s="26"/>
    </row>
    <row r="155" ht="15" spans="1:13">
      <c r="A155" s="8" t="s">
        <v>1929</v>
      </c>
      <c r="B155" s="25"/>
      <c r="C155" s="26"/>
      <c r="D155" s="26"/>
      <c r="E155" s="26"/>
      <c r="F155" s="26"/>
      <c r="G155" s="26"/>
      <c r="H155" s="26"/>
      <c r="I155" s="26"/>
      <c r="J155" s="26"/>
      <c r="K155" s="26"/>
      <c r="L155" s="26"/>
      <c r="M155" s="26"/>
    </row>
    <row r="156" ht="36" spans="1:13">
      <c r="A156" s="8" t="s">
        <v>1929</v>
      </c>
      <c r="B156" s="11" t="s">
        <v>1849</v>
      </c>
      <c r="C156" s="27" t="s">
        <v>1821</v>
      </c>
      <c r="D156" s="11"/>
      <c r="E156" s="11"/>
      <c r="F156" s="11"/>
      <c r="G156" s="11"/>
      <c r="H156" s="11"/>
      <c r="I156" s="11"/>
      <c r="J156" s="11"/>
      <c r="K156" s="11"/>
      <c r="L156" s="11"/>
      <c r="M156" s="11"/>
    </row>
    <row r="157" ht="15.75" spans="1:13">
      <c r="A157" s="8" t="s">
        <v>1929</v>
      </c>
      <c r="B157" s="28" t="s">
        <v>1850</v>
      </c>
      <c r="C157" s="20"/>
      <c r="D157" s="20"/>
      <c r="E157" s="20"/>
      <c r="F157" s="20"/>
      <c r="G157" s="20"/>
      <c r="H157" s="11"/>
      <c r="I157" s="11"/>
      <c r="J157" s="11"/>
      <c r="K157" s="11"/>
      <c r="L157" s="11"/>
      <c r="M157" s="11"/>
    </row>
    <row r="158" ht="30" spans="1:13">
      <c r="A158" s="8" t="s">
        <v>1929</v>
      </c>
      <c r="B158" s="9" t="s">
        <v>1815</v>
      </c>
      <c r="C158" s="9" t="s">
        <v>1816</v>
      </c>
      <c r="D158" s="9" t="s">
        <v>1817</v>
      </c>
      <c r="E158" s="9" t="s">
        <v>1818</v>
      </c>
      <c r="F158" s="9" t="s">
        <v>1819</v>
      </c>
      <c r="G158" s="9" t="s">
        <v>1820</v>
      </c>
      <c r="H158" s="10"/>
      <c r="I158" s="11"/>
      <c r="J158" s="11"/>
      <c r="K158" s="11"/>
      <c r="L158" s="11"/>
      <c r="M158" s="11"/>
    </row>
    <row r="159" ht="15" spans="1:13">
      <c r="A159" s="8" t="s">
        <v>1929</v>
      </c>
      <c r="B159" s="12" t="s">
        <v>1821</v>
      </c>
      <c r="C159" s="12" t="s">
        <v>1930</v>
      </c>
      <c r="D159" s="13" t="s">
        <v>1931</v>
      </c>
      <c r="E159" s="12" t="s">
        <v>1824</v>
      </c>
      <c r="F159" s="14">
        <v>10273.27</v>
      </c>
      <c r="G159" s="15">
        <v>219.75</v>
      </c>
      <c r="H159" s="16"/>
      <c r="I159" s="11"/>
      <c r="J159" s="11"/>
      <c r="K159" s="11"/>
      <c r="L159" s="11"/>
      <c r="M159" s="11"/>
    </row>
    <row r="160" ht="15.75" spans="1:13">
      <c r="A160" s="8" t="s">
        <v>1929</v>
      </c>
      <c r="B160" s="17"/>
      <c r="C160" s="18" t="s">
        <v>1825</v>
      </c>
      <c r="D160" s="19"/>
      <c r="E160" s="19"/>
      <c r="F160" s="19"/>
      <c r="G160" s="19"/>
      <c r="H160" s="20"/>
      <c r="I160" s="20"/>
      <c r="J160" s="20"/>
      <c r="K160" s="20"/>
      <c r="L160" s="20"/>
      <c r="M160" s="20"/>
    </row>
    <row r="161" ht="60" spans="1:13">
      <c r="A161" s="8" t="s">
        <v>1929</v>
      </c>
      <c r="B161" s="21"/>
      <c r="C161" s="22" t="s">
        <v>1816</v>
      </c>
      <c r="D161" s="22" t="s">
        <v>1817</v>
      </c>
      <c r="E161" s="22" t="s">
        <v>1826</v>
      </c>
      <c r="F161" s="22" t="s">
        <v>1819</v>
      </c>
      <c r="G161" s="22" t="s">
        <v>1820</v>
      </c>
      <c r="H161" s="22" t="s">
        <v>1827</v>
      </c>
      <c r="I161" s="22" t="s">
        <v>1828</v>
      </c>
      <c r="J161" s="22" t="s">
        <v>1829</v>
      </c>
      <c r="K161" s="22" t="s">
        <v>1830</v>
      </c>
      <c r="L161" s="23" t="s">
        <v>1831</v>
      </c>
      <c r="M161" s="23" t="s">
        <v>1832</v>
      </c>
    </row>
    <row r="162" ht="15" spans="1:13">
      <c r="A162" s="8" t="s">
        <v>1929</v>
      </c>
      <c r="B162" s="21"/>
      <c r="C162" s="12" t="s">
        <v>1930</v>
      </c>
      <c r="D162" s="13" t="s">
        <v>1931</v>
      </c>
      <c r="E162" s="12" t="s">
        <v>1824</v>
      </c>
      <c r="F162" s="15">
        <v>10767.71</v>
      </c>
      <c r="G162" s="15">
        <v>219.75</v>
      </c>
      <c r="H162" s="12" t="s">
        <v>441</v>
      </c>
      <c r="I162" s="12" t="s">
        <v>1833</v>
      </c>
      <c r="J162" s="15">
        <v>10987.46</v>
      </c>
      <c r="K162" s="15">
        <v>0</v>
      </c>
      <c r="L162" s="12" t="s">
        <v>1834</v>
      </c>
      <c r="M162" s="24"/>
    </row>
    <row r="163" ht="15" spans="1:13">
      <c r="A163" s="8" t="s">
        <v>1929</v>
      </c>
      <c r="B163" s="21"/>
      <c r="C163" s="12" t="s">
        <v>1930</v>
      </c>
      <c r="D163" s="13" t="s">
        <v>1931</v>
      </c>
      <c r="E163" s="12" t="s">
        <v>1824</v>
      </c>
      <c r="F163" s="15">
        <v>-274.69</v>
      </c>
      <c r="G163" s="15">
        <v>0</v>
      </c>
      <c r="H163" s="12" t="s">
        <v>1932</v>
      </c>
      <c r="I163" s="12" t="s">
        <v>1836</v>
      </c>
      <c r="J163" s="15">
        <v>-274.69</v>
      </c>
      <c r="K163" s="15">
        <v>0</v>
      </c>
      <c r="L163" s="12" t="s">
        <v>1834</v>
      </c>
      <c r="M163" s="24"/>
    </row>
    <row r="164" ht="15" spans="1:13">
      <c r="A164" s="8" t="s">
        <v>1929</v>
      </c>
      <c r="B164" s="21"/>
      <c r="C164" s="12" t="s">
        <v>1930</v>
      </c>
      <c r="D164" s="13" t="s">
        <v>1931</v>
      </c>
      <c r="E164" s="12" t="s">
        <v>1824</v>
      </c>
      <c r="F164" s="15">
        <v>-219.75</v>
      </c>
      <c r="G164" s="15">
        <v>0</v>
      </c>
      <c r="H164" s="12" t="s">
        <v>1933</v>
      </c>
      <c r="I164" s="12" t="s">
        <v>1836</v>
      </c>
      <c r="J164" s="15">
        <v>-219.75</v>
      </c>
      <c r="K164" s="15">
        <v>0</v>
      </c>
      <c r="L164" s="12" t="s">
        <v>1834</v>
      </c>
      <c r="M164" s="24"/>
    </row>
    <row r="165" ht="15" spans="1:13">
      <c r="A165" s="8" t="s">
        <v>1934</v>
      </c>
      <c r="B165" s="25"/>
      <c r="C165" s="26"/>
      <c r="D165" s="26"/>
      <c r="E165" s="26"/>
      <c r="F165" s="26"/>
      <c r="G165" s="26"/>
      <c r="H165" s="26"/>
      <c r="I165" s="26"/>
      <c r="J165" s="26"/>
      <c r="K165" s="26"/>
      <c r="L165" s="26"/>
      <c r="M165" s="26"/>
    </row>
    <row r="166" ht="15" spans="1:13">
      <c r="A166" s="8" t="s">
        <v>1934</v>
      </c>
      <c r="B166" s="25"/>
      <c r="C166" s="26"/>
      <c r="D166" s="26"/>
      <c r="E166" s="26"/>
      <c r="F166" s="26"/>
      <c r="G166" s="26"/>
      <c r="H166" s="26"/>
      <c r="I166" s="26"/>
      <c r="J166" s="26"/>
      <c r="K166" s="26"/>
      <c r="L166" s="26"/>
      <c r="M166" s="26"/>
    </row>
    <row r="167" ht="36" spans="1:13">
      <c r="A167" s="8" t="s">
        <v>1934</v>
      </c>
      <c r="B167" s="11" t="s">
        <v>1849</v>
      </c>
      <c r="C167" s="27" t="s">
        <v>1821</v>
      </c>
      <c r="D167" s="11"/>
      <c r="E167" s="11"/>
      <c r="F167" s="11"/>
      <c r="G167" s="11"/>
      <c r="H167" s="11"/>
      <c r="I167" s="11"/>
      <c r="J167" s="11"/>
      <c r="K167" s="11"/>
      <c r="L167" s="11"/>
      <c r="M167" s="11"/>
    </row>
    <row r="168" ht="15.75" spans="1:13">
      <c r="A168" s="8" t="s">
        <v>1934</v>
      </c>
      <c r="B168" s="28" t="s">
        <v>1850</v>
      </c>
      <c r="C168" s="20"/>
      <c r="D168" s="20"/>
      <c r="E168" s="20"/>
      <c r="F168" s="20"/>
      <c r="G168" s="20"/>
      <c r="H168" s="11"/>
      <c r="I168" s="11"/>
      <c r="J168" s="11"/>
      <c r="K168" s="11"/>
      <c r="L168" s="11"/>
      <c r="M168" s="11"/>
    </row>
    <row r="169" ht="30" spans="1:13">
      <c r="A169" s="8" t="s">
        <v>1934</v>
      </c>
      <c r="B169" s="9" t="s">
        <v>1815</v>
      </c>
      <c r="C169" s="9" t="s">
        <v>1816</v>
      </c>
      <c r="D169" s="9" t="s">
        <v>1817</v>
      </c>
      <c r="E169" s="9" t="s">
        <v>1818</v>
      </c>
      <c r="F169" s="9" t="s">
        <v>1819</v>
      </c>
      <c r="G169" s="9" t="s">
        <v>1820</v>
      </c>
      <c r="H169" s="10"/>
      <c r="I169" s="11"/>
      <c r="J169" s="11"/>
      <c r="K169" s="11"/>
      <c r="L169" s="11"/>
      <c r="M169" s="11"/>
    </row>
    <row r="170" ht="15" spans="1:13">
      <c r="A170" s="8" t="s">
        <v>1934</v>
      </c>
      <c r="B170" s="12" t="s">
        <v>1821</v>
      </c>
      <c r="C170" s="12" t="s">
        <v>1935</v>
      </c>
      <c r="D170" s="13" t="s">
        <v>1936</v>
      </c>
      <c r="E170" s="12" t="s">
        <v>1824</v>
      </c>
      <c r="F170" s="14">
        <v>1325.9</v>
      </c>
      <c r="G170" s="15">
        <v>29.81</v>
      </c>
      <c r="H170" s="16"/>
      <c r="I170" s="11"/>
      <c r="J170" s="11"/>
      <c r="K170" s="11"/>
      <c r="L170" s="11"/>
      <c r="M170" s="11"/>
    </row>
    <row r="171" ht="15.75" spans="1:13">
      <c r="A171" s="8" t="s">
        <v>1934</v>
      </c>
      <c r="B171" s="17"/>
      <c r="C171" s="18" t="s">
        <v>1825</v>
      </c>
      <c r="D171" s="19"/>
      <c r="E171" s="19"/>
      <c r="F171" s="19"/>
      <c r="G171" s="19"/>
      <c r="H171" s="20"/>
      <c r="I171" s="20"/>
      <c r="J171" s="20"/>
      <c r="K171" s="20"/>
      <c r="L171" s="20"/>
      <c r="M171" s="20"/>
    </row>
    <row r="172" ht="60" spans="1:13">
      <c r="A172" s="8" t="s">
        <v>1934</v>
      </c>
      <c r="B172" s="21"/>
      <c r="C172" s="22" t="s">
        <v>1816</v>
      </c>
      <c r="D172" s="22" t="s">
        <v>1817</v>
      </c>
      <c r="E172" s="22" t="s">
        <v>1826</v>
      </c>
      <c r="F172" s="22" t="s">
        <v>1819</v>
      </c>
      <c r="G172" s="22" t="s">
        <v>1820</v>
      </c>
      <c r="H172" s="22" t="s">
        <v>1827</v>
      </c>
      <c r="I172" s="22" t="s">
        <v>1828</v>
      </c>
      <c r="J172" s="22" t="s">
        <v>1829</v>
      </c>
      <c r="K172" s="22" t="s">
        <v>1830</v>
      </c>
      <c r="L172" s="23" t="s">
        <v>1831</v>
      </c>
      <c r="M172" s="23" t="s">
        <v>1832</v>
      </c>
    </row>
    <row r="173" ht="15" spans="1:13">
      <c r="A173" s="8" t="s">
        <v>1934</v>
      </c>
      <c r="B173" s="21"/>
      <c r="C173" s="12" t="s">
        <v>1935</v>
      </c>
      <c r="D173" s="13" t="s">
        <v>1936</v>
      </c>
      <c r="E173" s="12" t="s">
        <v>1824</v>
      </c>
      <c r="F173" s="15">
        <v>1460.97</v>
      </c>
      <c r="G173" s="15">
        <v>29.81</v>
      </c>
      <c r="H173" s="12" t="s">
        <v>460</v>
      </c>
      <c r="I173" s="12" t="s">
        <v>1833</v>
      </c>
      <c r="J173" s="15">
        <v>3001.66</v>
      </c>
      <c r="K173" s="15">
        <v>0</v>
      </c>
      <c r="L173" s="12" t="s">
        <v>1834</v>
      </c>
      <c r="M173" s="24"/>
    </row>
    <row r="174" ht="15" spans="1:13">
      <c r="A174" s="8" t="s">
        <v>1934</v>
      </c>
      <c r="B174" s="21"/>
      <c r="C174" s="12" t="s">
        <v>1935</v>
      </c>
      <c r="D174" s="13" t="s">
        <v>1936</v>
      </c>
      <c r="E174" s="12" t="s">
        <v>1824</v>
      </c>
      <c r="F174" s="15">
        <v>-75.04</v>
      </c>
      <c r="G174" s="15">
        <v>0</v>
      </c>
      <c r="H174" s="12" t="s">
        <v>1937</v>
      </c>
      <c r="I174" s="12" t="s">
        <v>1836</v>
      </c>
      <c r="J174" s="15">
        <v>-75.04</v>
      </c>
      <c r="K174" s="15">
        <v>0</v>
      </c>
      <c r="L174" s="12" t="s">
        <v>1834</v>
      </c>
      <c r="M174" s="24"/>
    </row>
    <row r="175" ht="15" spans="1:13">
      <c r="A175" s="8" t="s">
        <v>1934</v>
      </c>
      <c r="B175" s="21"/>
      <c r="C175" s="12" t="s">
        <v>1935</v>
      </c>
      <c r="D175" s="13" t="s">
        <v>1936</v>
      </c>
      <c r="E175" s="12" t="s">
        <v>1824</v>
      </c>
      <c r="F175" s="15">
        <v>-60.03</v>
      </c>
      <c r="G175" s="15">
        <v>0</v>
      </c>
      <c r="H175" s="12" t="s">
        <v>1938</v>
      </c>
      <c r="I175" s="12" t="s">
        <v>1836</v>
      </c>
      <c r="J175" s="15">
        <v>-60.03</v>
      </c>
      <c r="K175" s="15">
        <v>0</v>
      </c>
      <c r="L175" s="12" t="s">
        <v>1834</v>
      </c>
      <c r="M175" s="24"/>
    </row>
    <row r="176" ht="15" spans="1:13">
      <c r="A176" s="8" t="s">
        <v>1934</v>
      </c>
      <c r="B176" s="21"/>
      <c r="C176" s="12" t="s">
        <v>1922</v>
      </c>
      <c r="D176" s="13" t="s">
        <v>1923</v>
      </c>
      <c r="E176" s="12" t="s">
        <v>1860</v>
      </c>
      <c r="F176" s="15">
        <v>1480.66</v>
      </c>
      <c r="G176" s="15">
        <v>30.22</v>
      </c>
      <c r="H176" s="12" t="s">
        <v>460</v>
      </c>
      <c r="I176" s="12" t="s">
        <v>1833</v>
      </c>
      <c r="J176" s="15">
        <v>3001.66</v>
      </c>
      <c r="K176" s="15">
        <v>0</v>
      </c>
      <c r="L176" s="12" t="s">
        <v>1834</v>
      </c>
      <c r="M176" s="12" t="s">
        <v>1924</v>
      </c>
    </row>
    <row r="177" ht="31.5" spans="1:13">
      <c r="A177" s="8" t="s">
        <v>1934</v>
      </c>
      <c r="B177" s="11"/>
      <c r="C177" s="18" t="s">
        <v>1862</v>
      </c>
      <c r="D177" s="19"/>
      <c r="E177" s="19"/>
      <c r="F177" s="19"/>
      <c r="G177" s="19"/>
      <c r="H177" s="19"/>
      <c r="I177" s="19"/>
      <c r="J177" s="19"/>
      <c r="K177" s="19"/>
      <c r="L177" s="19"/>
      <c r="M177" s="17"/>
    </row>
    <row r="178" ht="45" spans="1:13">
      <c r="A178" s="8" t="s">
        <v>1934</v>
      </c>
      <c r="B178" s="21"/>
      <c r="C178" s="29" t="s">
        <v>1832</v>
      </c>
      <c r="D178" s="29" t="s">
        <v>1863</v>
      </c>
      <c r="E178" s="29" t="s">
        <v>1864</v>
      </c>
      <c r="F178" s="29" t="s">
        <v>1865</v>
      </c>
      <c r="G178" s="29" t="s">
        <v>1827</v>
      </c>
      <c r="H178" s="29" t="s">
        <v>1866</v>
      </c>
      <c r="I178" s="29" t="s">
        <v>1867</v>
      </c>
      <c r="J178" s="29" t="s">
        <v>1868</v>
      </c>
      <c r="K178" s="29" t="s">
        <v>1869</v>
      </c>
      <c r="L178" s="29" t="s">
        <v>1870</v>
      </c>
      <c r="M178" s="16"/>
    </row>
    <row r="179" ht="36" spans="1:13">
      <c r="A179" s="8" t="s">
        <v>1934</v>
      </c>
      <c r="B179" s="21"/>
      <c r="C179" s="12" t="s">
        <v>1924</v>
      </c>
      <c r="D179" s="12" t="s">
        <v>1834</v>
      </c>
      <c r="E179" s="14">
        <v>1480.66</v>
      </c>
      <c r="F179" s="12" t="s">
        <v>1871</v>
      </c>
      <c r="G179" s="13" t="s">
        <v>460</v>
      </c>
      <c r="H179" s="15">
        <v>3001.66</v>
      </c>
      <c r="I179" s="30" t="s">
        <v>1925</v>
      </c>
      <c r="J179" s="15">
        <v>30.22</v>
      </c>
      <c r="K179" s="12" t="s">
        <v>1922</v>
      </c>
      <c r="L179" s="12" t="s">
        <v>1821</v>
      </c>
      <c r="M179" s="31"/>
    </row>
    <row r="180" ht="36" spans="1:13">
      <c r="A180" s="8" t="s">
        <v>1934</v>
      </c>
      <c r="B180" s="21"/>
      <c r="C180" s="12" t="s">
        <v>1924</v>
      </c>
      <c r="D180" s="12" t="s">
        <v>1834</v>
      </c>
      <c r="E180" s="14">
        <v>1480.66</v>
      </c>
      <c r="F180" s="12" t="s">
        <v>1873</v>
      </c>
      <c r="G180" s="13" t="s">
        <v>1926</v>
      </c>
      <c r="H180" s="15">
        <v>1480.66</v>
      </c>
      <c r="I180" s="30" t="s">
        <v>1927</v>
      </c>
      <c r="J180" s="15">
        <v>0</v>
      </c>
      <c r="K180" s="12" t="s">
        <v>1928</v>
      </c>
      <c r="L180" s="12" t="s">
        <v>1821</v>
      </c>
      <c r="M180" s="31"/>
    </row>
    <row r="181" ht="15" spans="1:13">
      <c r="A181" s="8" t="s">
        <v>1939</v>
      </c>
      <c r="B181" s="25"/>
      <c r="C181" s="26"/>
      <c r="D181" s="26"/>
      <c r="E181" s="26"/>
      <c r="F181" s="26"/>
      <c r="G181" s="26"/>
      <c r="H181" s="26"/>
      <c r="I181" s="26"/>
      <c r="J181" s="26"/>
      <c r="K181" s="26"/>
      <c r="L181" s="26"/>
      <c r="M181" s="26"/>
    </row>
    <row r="182" ht="15" spans="1:13">
      <c r="A182" s="8" t="s">
        <v>1939</v>
      </c>
      <c r="B182" s="25"/>
      <c r="C182" s="26"/>
      <c r="D182" s="26"/>
      <c r="E182" s="26"/>
      <c r="F182" s="26"/>
      <c r="G182" s="26"/>
      <c r="H182" s="26"/>
      <c r="I182" s="26"/>
      <c r="J182" s="26"/>
      <c r="K182" s="26"/>
      <c r="L182" s="26"/>
      <c r="M182" s="26"/>
    </row>
    <row r="183" ht="36" spans="1:13">
      <c r="A183" s="8" t="s">
        <v>1939</v>
      </c>
      <c r="B183" s="11" t="s">
        <v>1849</v>
      </c>
      <c r="C183" s="27" t="s">
        <v>1821</v>
      </c>
      <c r="D183" s="11"/>
      <c r="E183" s="11"/>
      <c r="F183" s="11"/>
      <c r="G183" s="11"/>
      <c r="H183" s="11"/>
      <c r="I183" s="11"/>
      <c r="J183" s="11"/>
      <c r="K183" s="11"/>
      <c r="L183" s="11"/>
      <c r="M183" s="11"/>
    </row>
    <row r="184" ht="15.75" spans="1:13">
      <c r="A184" s="8" t="s">
        <v>1939</v>
      </c>
      <c r="B184" s="28" t="s">
        <v>1850</v>
      </c>
      <c r="C184" s="20"/>
      <c r="D184" s="20"/>
      <c r="E184" s="20"/>
      <c r="F184" s="20"/>
      <c r="G184" s="20"/>
      <c r="H184" s="11"/>
      <c r="I184" s="11"/>
      <c r="J184" s="11"/>
      <c r="K184" s="11"/>
      <c r="L184" s="11"/>
      <c r="M184" s="11"/>
    </row>
    <row r="185" ht="30" spans="1:13">
      <c r="A185" s="8" t="s">
        <v>1939</v>
      </c>
      <c r="B185" s="9" t="s">
        <v>1815</v>
      </c>
      <c r="C185" s="9" t="s">
        <v>1816</v>
      </c>
      <c r="D185" s="9" t="s">
        <v>1817</v>
      </c>
      <c r="E185" s="9" t="s">
        <v>1818</v>
      </c>
      <c r="F185" s="9" t="s">
        <v>1819</v>
      </c>
      <c r="G185" s="9" t="s">
        <v>1820</v>
      </c>
      <c r="H185" s="10"/>
      <c r="I185" s="11"/>
      <c r="J185" s="11"/>
      <c r="K185" s="11"/>
      <c r="L185" s="11"/>
      <c r="M185" s="11"/>
    </row>
    <row r="186" ht="15" spans="1:13">
      <c r="A186" s="8" t="s">
        <v>1939</v>
      </c>
      <c r="B186" s="12" t="s">
        <v>1821</v>
      </c>
      <c r="C186" s="12" t="s">
        <v>1940</v>
      </c>
      <c r="D186" s="13" t="s">
        <v>1941</v>
      </c>
      <c r="E186" s="12" t="s">
        <v>1860</v>
      </c>
      <c r="F186" s="14">
        <v>2000</v>
      </c>
      <c r="G186" s="15">
        <v>40.82</v>
      </c>
      <c r="H186" s="16"/>
      <c r="I186" s="11"/>
      <c r="J186" s="11"/>
      <c r="K186" s="11"/>
      <c r="L186" s="11"/>
      <c r="M186" s="11"/>
    </row>
    <row r="187" ht="15.75" spans="1:13">
      <c r="A187" s="8" t="s">
        <v>1939</v>
      </c>
      <c r="B187" s="17"/>
      <c r="C187" s="18" t="s">
        <v>1825</v>
      </c>
      <c r="D187" s="19"/>
      <c r="E187" s="19"/>
      <c r="F187" s="19"/>
      <c r="G187" s="19"/>
      <c r="H187" s="20"/>
      <c r="I187" s="20"/>
      <c r="J187" s="20"/>
      <c r="K187" s="20"/>
      <c r="L187" s="20"/>
      <c r="M187" s="20"/>
    </row>
    <row r="188" ht="60" spans="1:13">
      <c r="A188" s="8" t="s">
        <v>1939</v>
      </c>
      <c r="B188" s="21"/>
      <c r="C188" s="22" t="s">
        <v>1816</v>
      </c>
      <c r="D188" s="22" t="s">
        <v>1817</v>
      </c>
      <c r="E188" s="22" t="s">
        <v>1826</v>
      </c>
      <c r="F188" s="22" t="s">
        <v>1819</v>
      </c>
      <c r="G188" s="22" t="s">
        <v>1820</v>
      </c>
      <c r="H188" s="22" t="s">
        <v>1827</v>
      </c>
      <c r="I188" s="22" t="s">
        <v>1828</v>
      </c>
      <c r="J188" s="22" t="s">
        <v>1829</v>
      </c>
      <c r="K188" s="22" t="s">
        <v>1830</v>
      </c>
      <c r="L188" s="23" t="s">
        <v>1831</v>
      </c>
      <c r="M188" s="23" t="s">
        <v>1832</v>
      </c>
    </row>
    <row r="189" ht="15" spans="1:13">
      <c r="A189" s="8" t="s">
        <v>1939</v>
      </c>
      <c r="B189" s="21"/>
      <c r="C189" s="12" t="s">
        <v>1940</v>
      </c>
      <c r="D189" s="13" t="s">
        <v>1941</v>
      </c>
      <c r="E189" s="12" t="s">
        <v>1860</v>
      </c>
      <c r="F189" s="15">
        <v>2000</v>
      </c>
      <c r="G189" s="15">
        <v>40.82</v>
      </c>
      <c r="H189" s="12" t="s">
        <v>462</v>
      </c>
      <c r="I189" s="12" t="s">
        <v>1833</v>
      </c>
      <c r="J189" s="15">
        <v>3022</v>
      </c>
      <c r="K189" s="15">
        <v>981.18</v>
      </c>
      <c r="L189" s="12" t="s">
        <v>1834</v>
      </c>
      <c r="M189" s="12" t="s">
        <v>1942</v>
      </c>
    </row>
    <row r="190" ht="31.5" spans="1:13">
      <c r="A190" s="8" t="s">
        <v>1939</v>
      </c>
      <c r="B190" s="11"/>
      <c r="C190" s="18" t="s">
        <v>1862</v>
      </c>
      <c r="D190" s="19"/>
      <c r="E190" s="19"/>
      <c r="F190" s="19"/>
      <c r="G190" s="19"/>
      <c r="H190" s="19"/>
      <c r="I190" s="19"/>
      <c r="J190" s="19"/>
      <c r="K190" s="19"/>
      <c r="L190" s="19"/>
      <c r="M190" s="17"/>
    </row>
    <row r="191" ht="45" spans="1:13">
      <c r="A191" s="8" t="s">
        <v>1939</v>
      </c>
      <c r="B191" s="21"/>
      <c r="C191" s="29" t="s">
        <v>1832</v>
      </c>
      <c r="D191" s="29" t="s">
        <v>1863</v>
      </c>
      <c r="E191" s="29" t="s">
        <v>1864</v>
      </c>
      <c r="F191" s="29" t="s">
        <v>1865</v>
      </c>
      <c r="G191" s="29" t="s">
        <v>1827</v>
      </c>
      <c r="H191" s="29" t="s">
        <v>1866</v>
      </c>
      <c r="I191" s="29" t="s">
        <v>1867</v>
      </c>
      <c r="J191" s="29" t="s">
        <v>1868</v>
      </c>
      <c r="K191" s="29" t="s">
        <v>1869</v>
      </c>
      <c r="L191" s="29" t="s">
        <v>1870</v>
      </c>
      <c r="M191" s="16"/>
    </row>
    <row r="192" ht="36" spans="1:13">
      <c r="A192" s="8" t="s">
        <v>1939</v>
      </c>
      <c r="B192" s="21"/>
      <c r="C192" s="12" t="s">
        <v>1942</v>
      </c>
      <c r="D192" s="12" t="s">
        <v>1834</v>
      </c>
      <c r="E192" s="14">
        <v>2000</v>
      </c>
      <c r="F192" s="12" t="s">
        <v>1871</v>
      </c>
      <c r="G192" s="13" t="s">
        <v>462</v>
      </c>
      <c r="H192" s="15">
        <v>3022</v>
      </c>
      <c r="I192" s="30" t="s">
        <v>1943</v>
      </c>
      <c r="J192" s="15">
        <v>40.82</v>
      </c>
      <c r="K192" s="12" t="s">
        <v>1940</v>
      </c>
      <c r="L192" s="12" t="s">
        <v>1821</v>
      </c>
      <c r="M192" s="31"/>
    </row>
    <row r="193" ht="36" spans="1:13">
      <c r="A193" s="8" t="s">
        <v>1939</v>
      </c>
      <c r="B193" s="21"/>
      <c r="C193" s="12" t="s">
        <v>1942</v>
      </c>
      <c r="D193" s="12" t="s">
        <v>1834</v>
      </c>
      <c r="E193" s="14">
        <v>2000</v>
      </c>
      <c r="F193" s="12" t="s">
        <v>1873</v>
      </c>
      <c r="G193" s="13" t="s">
        <v>1944</v>
      </c>
      <c r="H193" s="15">
        <v>2000</v>
      </c>
      <c r="I193" s="30" t="s">
        <v>1945</v>
      </c>
      <c r="J193" s="15">
        <v>0</v>
      </c>
      <c r="K193" s="12" t="s">
        <v>1946</v>
      </c>
      <c r="L193" s="12" t="s">
        <v>1821</v>
      </c>
      <c r="M193" s="31"/>
    </row>
    <row r="194" ht="15" spans="1:13">
      <c r="A194" s="8" t="s">
        <v>1947</v>
      </c>
      <c r="B194" s="25"/>
      <c r="C194" s="26"/>
      <c r="D194" s="26"/>
      <c r="E194" s="26"/>
      <c r="F194" s="26"/>
      <c r="G194" s="26"/>
      <c r="H194" s="26"/>
      <c r="I194" s="26"/>
      <c r="J194" s="26"/>
      <c r="K194" s="26"/>
      <c r="L194" s="26"/>
      <c r="M194" s="26"/>
    </row>
    <row r="195" ht="15" spans="1:13">
      <c r="A195" s="8" t="s">
        <v>1947</v>
      </c>
      <c r="B195" s="25"/>
      <c r="C195" s="26"/>
      <c r="D195" s="26"/>
      <c r="E195" s="26"/>
      <c r="F195" s="26"/>
      <c r="G195" s="26"/>
      <c r="H195" s="26"/>
      <c r="I195" s="26"/>
      <c r="J195" s="26"/>
      <c r="K195" s="26"/>
      <c r="L195" s="26"/>
      <c r="M195" s="26"/>
    </row>
    <row r="196" ht="36" spans="1:13">
      <c r="A196" s="8" t="s">
        <v>1947</v>
      </c>
      <c r="B196" s="11" t="s">
        <v>1849</v>
      </c>
      <c r="C196" s="27" t="s">
        <v>1821</v>
      </c>
      <c r="D196" s="11"/>
      <c r="E196" s="11"/>
      <c r="F196" s="11"/>
      <c r="G196" s="11"/>
      <c r="H196" s="11"/>
      <c r="I196" s="11"/>
      <c r="J196" s="11"/>
      <c r="K196" s="11"/>
      <c r="L196" s="11"/>
      <c r="M196" s="11"/>
    </row>
    <row r="197" ht="15.75" spans="1:13">
      <c r="A197" s="8" t="s">
        <v>1947</v>
      </c>
      <c r="B197" s="28" t="s">
        <v>1850</v>
      </c>
      <c r="C197" s="20"/>
      <c r="D197" s="20"/>
      <c r="E197" s="20"/>
      <c r="F197" s="20"/>
      <c r="G197" s="20"/>
      <c r="H197" s="11"/>
      <c r="I197" s="11"/>
      <c r="J197" s="11"/>
      <c r="K197" s="11"/>
      <c r="L197" s="11"/>
      <c r="M197" s="11"/>
    </row>
    <row r="198" ht="30" spans="1:13">
      <c r="A198" s="8" t="s">
        <v>1947</v>
      </c>
      <c r="B198" s="9" t="s">
        <v>1815</v>
      </c>
      <c r="C198" s="9" t="s">
        <v>1816</v>
      </c>
      <c r="D198" s="9" t="s">
        <v>1817</v>
      </c>
      <c r="E198" s="9" t="s">
        <v>1818</v>
      </c>
      <c r="F198" s="9" t="s">
        <v>1819</v>
      </c>
      <c r="G198" s="9" t="s">
        <v>1820</v>
      </c>
      <c r="H198" s="10"/>
      <c r="I198" s="11"/>
      <c r="J198" s="11"/>
      <c r="K198" s="11"/>
      <c r="L198" s="11"/>
      <c r="M198" s="11"/>
    </row>
    <row r="199" ht="15" spans="1:13">
      <c r="A199" s="8" t="s">
        <v>1947</v>
      </c>
      <c r="B199" s="12" t="s">
        <v>1821</v>
      </c>
      <c r="C199" s="12" t="s">
        <v>1948</v>
      </c>
      <c r="D199" s="13" t="s">
        <v>1949</v>
      </c>
      <c r="E199" s="12" t="s">
        <v>1824</v>
      </c>
      <c r="F199" s="14">
        <v>825.57</v>
      </c>
      <c r="G199" s="15">
        <v>19.62</v>
      </c>
      <c r="H199" s="16"/>
      <c r="I199" s="11"/>
      <c r="J199" s="11"/>
      <c r="K199" s="11"/>
      <c r="L199" s="11"/>
      <c r="M199" s="11"/>
    </row>
    <row r="200" ht="15.75" spans="1:13">
      <c r="A200" s="8" t="s">
        <v>1947</v>
      </c>
      <c r="B200" s="17"/>
      <c r="C200" s="18" t="s">
        <v>1825</v>
      </c>
      <c r="D200" s="19"/>
      <c r="E200" s="19"/>
      <c r="F200" s="19"/>
      <c r="G200" s="19"/>
      <c r="H200" s="20"/>
      <c r="I200" s="20"/>
      <c r="J200" s="20"/>
      <c r="K200" s="20"/>
      <c r="L200" s="20"/>
      <c r="M200" s="20"/>
    </row>
    <row r="201" ht="60" spans="1:13">
      <c r="A201" s="8" t="s">
        <v>1947</v>
      </c>
      <c r="B201" s="21"/>
      <c r="C201" s="22" t="s">
        <v>1816</v>
      </c>
      <c r="D201" s="22" t="s">
        <v>1817</v>
      </c>
      <c r="E201" s="22" t="s">
        <v>1826</v>
      </c>
      <c r="F201" s="22" t="s">
        <v>1819</v>
      </c>
      <c r="G201" s="22" t="s">
        <v>1820</v>
      </c>
      <c r="H201" s="22" t="s">
        <v>1827</v>
      </c>
      <c r="I201" s="22" t="s">
        <v>1828</v>
      </c>
      <c r="J201" s="22" t="s">
        <v>1829</v>
      </c>
      <c r="K201" s="22" t="s">
        <v>1830</v>
      </c>
      <c r="L201" s="23" t="s">
        <v>1831</v>
      </c>
      <c r="M201" s="23" t="s">
        <v>1832</v>
      </c>
    </row>
    <row r="202" ht="15" spans="1:13">
      <c r="A202" s="8" t="s">
        <v>1947</v>
      </c>
      <c r="B202" s="21"/>
      <c r="C202" s="12" t="s">
        <v>1948</v>
      </c>
      <c r="D202" s="13" t="s">
        <v>1949</v>
      </c>
      <c r="E202" s="12" t="s">
        <v>1824</v>
      </c>
      <c r="F202" s="15">
        <v>961.56</v>
      </c>
      <c r="G202" s="15">
        <v>19.62</v>
      </c>
      <c r="H202" s="12" t="s">
        <v>462</v>
      </c>
      <c r="I202" s="12" t="s">
        <v>1833</v>
      </c>
      <c r="J202" s="15">
        <v>3022</v>
      </c>
      <c r="K202" s="15">
        <v>0</v>
      </c>
      <c r="L202" s="12" t="s">
        <v>1834</v>
      </c>
      <c r="M202" s="24"/>
    </row>
    <row r="203" ht="15" spans="1:13">
      <c r="A203" s="8" t="s">
        <v>1947</v>
      </c>
      <c r="B203" s="21"/>
      <c r="C203" s="12" t="s">
        <v>1948</v>
      </c>
      <c r="D203" s="13" t="s">
        <v>1949</v>
      </c>
      <c r="E203" s="12" t="s">
        <v>1824</v>
      </c>
      <c r="F203" s="15">
        <v>-75.55</v>
      </c>
      <c r="G203" s="15">
        <v>0</v>
      </c>
      <c r="H203" s="12" t="s">
        <v>1950</v>
      </c>
      <c r="I203" s="12" t="s">
        <v>1836</v>
      </c>
      <c r="J203" s="15">
        <v>-75.55</v>
      </c>
      <c r="K203" s="15">
        <v>0</v>
      </c>
      <c r="L203" s="12" t="s">
        <v>1834</v>
      </c>
      <c r="M203" s="24"/>
    </row>
    <row r="204" ht="15" spans="1:13">
      <c r="A204" s="8" t="s">
        <v>1947</v>
      </c>
      <c r="B204" s="21"/>
      <c r="C204" s="12" t="s">
        <v>1948</v>
      </c>
      <c r="D204" s="13" t="s">
        <v>1949</v>
      </c>
      <c r="E204" s="12" t="s">
        <v>1824</v>
      </c>
      <c r="F204" s="15">
        <v>-60.44</v>
      </c>
      <c r="G204" s="15">
        <v>0</v>
      </c>
      <c r="H204" s="12" t="s">
        <v>1951</v>
      </c>
      <c r="I204" s="12" t="s">
        <v>1836</v>
      </c>
      <c r="J204" s="15">
        <v>-60.44</v>
      </c>
      <c r="K204" s="15">
        <v>0</v>
      </c>
      <c r="L204" s="12" t="s">
        <v>1834</v>
      </c>
      <c r="M204" s="24"/>
    </row>
    <row r="205" ht="15" spans="1:13">
      <c r="A205" s="8" t="s">
        <v>1947</v>
      </c>
      <c r="B205" s="21"/>
      <c r="C205" s="12" t="s">
        <v>1940</v>
      </c>
      <c r="D205" s="13" t="s">
        <v>1941</v>
      </c>
      <c r="E205" s="12" t="s">
        <v>1860</v>
      </c>
      <c r="F205" s="15">
        <v>2000</v>
      </c>
      <c r="G205" s="15">
        <v>40.82</v>
      </c>
      <c r="H205" s="12" t="s">
        <v>462</v>
      </c>
      <c r="I205" s="12" t="s">
        <v>1833</v>
      </c>
      <c r="J205" s="15">
        <v>3022</v>
      </c>
      <c r="K205" s="15">
        <v>0</v>
      </c>
      <c r="L205" s="12" t="s">
        <v>1834</v>
      </c>
      <c r="M205" s="12" t="s">
        <v>1942</v>
      </c>
    </row>
    <row r="206" ht="31.5" spans="1:13">
      <c r="A206" s="8" t="s">
        <v>1947</v>
      </c>
      <c r="B206" s="11"/>
      <c r="C206" s="18" t="s">
        <v>1862</v>
      </c>
      <c r="D206" s="19"/>
      <c r="E206" s="19"/>
      <c r="F206" s="19"/>
      <c r="G206" s="19"/>
      <c r="H206" s="19"/>
      <c r="I206" s="19"/>
      <c r="J206" s="19"/>
      <c r="K206" s="19"/>
      <c r="L206" s="19"/>
      <c r="M206" s="17"/>
    </row>
    <row r="207" ht="45" spans="1:13">
      <c r="A207" s="8" t="s">
        <v>1947</v>
      </c>
      <c r="B207" s="21"/>
      <c r="C207" s="29" t="s">
        <v>1832</v>
      </c>
      <c r="D207" s="29" t="s">
        <v>1863</v>
      </c>
      <c r="E207" s="29" t="s">
        <v>1864</v>
      </c>
      <c r="F207" s="29" t="s">
        <v>1865</v>
      </c>
      <c r="G207" s="29" t="s">
        <v>1827</v>
      </c>
      <c r="H207" s="29" t="s">
        <v>1866</v>
      </c>
      <c r="I207" s="29" t="s">
        <v>1867</v>
      </c>
      <c r="J207" s="29" t="s">
        <v>1868</v>
      </c>
      <c r="K207" s="29" t="s">
        <v>1869</v>
      </c>
      <c r="L207" s="29" t="s">
        <v>1870</v>
      </c>
      <c r="M207" s="16"/>
    </row>
    <row r="208" ht="36" spans="1:13">
      <c r="A208" s="8" t="s">
        <v>1947</v>
      </c>
      <c r="B208" s="21"/>
      <c r="C208" s="12" t="s">
        <v>1942</v>
      </c>
      <c r="D208" s="12" t="s">
        <v>1834</v>
      </c>
      <c r="E208" s="14">
        <v>2000</v>
      </c>
      <c r="F208" s="12" t="s">
        <v>1871</v>
      </c>
      <c r="G208" s="13" t="s">
        <v>462</v>
      </c>
      <c r="H208" s="15">
        <v>3022</v>
      </c>
      <c r="I208" s="30" t="s">
        <v>1943</v>
      </c>
      <c r="J208" s="15">
        <v>40.82</v>
      </c>
      <c r="K208" s="12" t="s">
        <v>1940</v>
      </c>
      <c r="L208" s="12" t="s">
        <v>1821</v>
      </c>
      <c r="M208" s="31"/>
    </row>
    <row r="209" ht="36" spans="1:13">
      <c r="A209" s="8" t="s">
        <v>1947</v>
      </c>
      <c r="B209" s="21"/>
      <c r="C209" s="12" t="s">
        <v>1942</v>
      </c>
      <c r="D209" s="12" t="s">
        <v>1834</v>
      </c>
      <c r="E209" s="14">
        <v>2000</v>
      </c>
      <c r="F209" s="12" t="s">
        <v>1873</v>
      </c>
      <c r="G209" s="13" t="s">
        <v>1944</v>
      </c>
      <c r="H209" s="15">
        <v>2000</v>
      </c>
      <c r="I209" s="30" t="s">
        <v>1945</v>
      </c>
      <c r="J209" s="15">
        <v>0</v>
      </c>
      <c r="K209" s="12" t="s">
        <v>1946</v>
      </c>
      <c r="L209" s="12" t="s">
        <v>1821</v>
      </c>
      <c r="M209" s="31"/>
    </row>
    <row r="210" ht="15" spans="1:13">
      <c r="A210" s="8" t="s">
        <v>1952</v>
      </c>
      <c r="B210" s="25"/>
      <c r="C210" s="26"/>
      <c r="D210" s="26"/>
      <c r="E210" s="26"/>
      <c r="F210" s="26"/>
      <c r="G210" s="26"/>
      <c r="H210" s="26"/>
      <c r="I210" s="26"/>
      <c r="J210" s="26"/>
      <c r="K210" s="26"/>
      <c r="L210" s="26"/>
      <c r="M210" s="26"/>
    </row>
    <row r="211" ht="15" spans="1:13">
      <c r="A211" s="8" t="s">
        <v>1952</v>
      </c>
      <c r="B211" s="25"/>
      <c r="C211" s="26"/>
      <c r="D211" s="26"/>
      <c r="E211" s="26"/>
      <c r="F211" s="26"/>
      <c r="G211" s="26"/>
      <c r="H211" s="26"/>
      <c r="I211" s="26"/>
      <c r="J211" s="26"/>
      <c r="K211" s="26"/>
      <c r="L211" s="26"/>
      <c r="M211" s="26"/>
    </row>
    <row r="212" ht="36" spans="1:13">
      <c r="A212" s="8" t="s">
        <v>1952</v>
      </c>
      <c r="B212" s="11" t="s">
        <v>1849</v>
      </c>
      <c r="C212" s="27" t="s">
        <v>1821</v>
      </c>
      <c r="D212" s="11"/>
      <c r="E212" s="11"/>
      <c r="F212" s="11"/>
      <c r="G212" s="11"/>
      <c r="H212" s="11"/>
      <c r="I212" s="11"/>
      <c r="J212" s="11"/>
      <c r="K212" s="11"/>
      <c r="L212" s="11"/>
      <c r="M212" s="11"/>
    </row>
    <row r="213" ht="15.75" spans="1:13">
      <c r="A213" s="8" t="s">
        <v>1952</v>
      </c>
      <c r="B213" s="28" t="s">
        <v>1850</v>
      </c>
      <c r="C213" s="20"/>
      <c r="D213" s="20"/>
      <c r="E213" s="20"/>
      <c r="F213" s="20"/>
      <c r="G213" s="20"/>
      <c r="H213" s="11"/>
      <c r="I213" s="11"/>
      <c r="J213" s="11"/>
      <c r="K213" s="11"/>
      <c r="L213" s="11"/>
      <c r="M213" s="11"/>
    </row>
    <row r="214" ht="30" spans="1:13">
      <c r="A214" s="8" t="s">
        <v>1952</v>
      </c>
      <c r="B214" s="9" t="s">
        <v>1815</v>
      </c>
      <c r="C214" s="9" t="s">
        <v>1816</v>
      </c>
      <c r="D214" s="9" t="s">
        <v>1817</v>
      </c>
      <c r="E214" s="9" t="s">
        <v>1818</v>
      </c>
      <c r="F214" s="9" t="s">
        <v>1819</v>
      </c>
      <c r="G214" s="9" t="s">
        <v>1820</v>
      </c>
      <c r="H214" s="10"/>
      <c r="I214" s="11"/>
      <c r="J214" s="11"/>
      <c r="K214" s="11"/>
      <c r="L214" s="11"/>
      <c r="M214" s="11"/>
    </row>
    <row r="215" ht="15" spans="1:13">
      <c r="A215" s="8" t="s">
        <v>1952</v>
      </c>
      <c r="B215" s="12" t="s">
        <v>1821</v>
      </c>
      <c r="C215" s="12" t="s">
        <v>1953</v>
      </c>
      <c r="D215" s="13" t="s">
        <v>1954</v>
      </c>
      <c r="E215" s="12" t="s">
        <v>1860</v>
      </c>
      <c r="F215" s="14">
        <v>969.25</v>
      </c>
      <c r="G215" s="15">
        <v>19.78</v>
      </c>
      <c r="H215" s="16"/>
      <c r="I215" s="11"/>
      <c r="J215" s="11"/>
      <c r="K215" s="11"/>
      <c r="L215" s="11"/>
      <c r="M215" s="11"/>
    </row>
    <row r="216" ht="15.75" spans="1:13">
      <c r="A216" s="8" t="s">
        <v>1952</v>
      </c>
      <c r="B216" s="17"/>
      <c r="C216" s="18" t="s">
        <v>1825</v>
      </c>
      <c r="D216" s="19"/>
      <c r="E216" s="19"/>
      <c r="F216" s="19"/>
      <c r="G216" s="19"/>
      <c r="H216" s="20"/>
      <c r="I216" s="20"/>
      <c r="J216" s="20"/>
      <c r="K216" s="20"/>
      <c r="L216" s="20"/>
      <c r="M216" s="20"/>
    </row>
    <row r="217" ht="60" spans="1:13">
      <c r="A217" s="8" t="s">
        <v>1952</v>
      </c>
      <c r="B217" s="21"/>
      <c r="C217" s="22" t="s">
        <v>1816</v>
      </c>
      <c r="D217" s="22" t="s">
        <v>1817</v>
      </c>
      <c r="E217" s="22" t="s">
        <v>1826</v>
      </c>
      <c r="F217" s="22" t="s">
        <v>1819</v>
      </c>
      <c r="G217" s="22" t="s">
        <v>1820</v>
      </c>
      <c r="H217" s="22" t="s">
        <v>1827</v>
      </c>
      <c r="I217" s="22" t="s">
        <v>1828</v>
      </c>
      <c r="J217" s="22" t="s">
        <v>1829</v>
      </c>
      <c r="K217" s="22" t="s">
        <v>1830</v>
      </c>
      <c r="L217" s="23" t="s">
        <v>1831</v>
      </c>
      <c r="M217" s="23" t="s">
        <v>1832</v>
      </c>
    </row>
    <row r="218" ht="15" spans="1:13">
      <c r="A218" s="8" t="s">
        <v>1952</v>
      </c>
      <c r="B218" s="21"/>
      <c r="C218" s="12" t="s">
        <v>1953</v>
      </c>
      <c r="D218" s="13" t="s">
        <v>1954</v>
      </c>
      <c r="E218" s="12" t="s">
        <v>1860</v>
      </c>
      <c r="F218" s="15">
        <v>969.25</v>
      </c>
      <c r="G218" s="15">
        <v>19.78</v>
      </c>
      <c r="H218" s="12" t="s">
        <v>464</v>
      </c>
      <c r="I218" s="12" t="s">
        <v>1833</v>
      </c>
      <c r="J218" s="15">
        <v>3722.13</v>
      </c>
      <c r="K218" s="15">
        <v>2733.1</v>
      </c>
      <c r="L218" s="12" t="s">
        <v>1834</v>
      </c>
      <c r="M218" s="12" t="s">
        <v>1955</v>
      </c>
    </row>
    <row r="219" ht="31.5" spans="1:13">
      <c r="A219" s="8" t="s">
        <v>1952</v>
      </c>
      <c r="B219" s="11"/>
      <c r="C219" s="18" t="s">
        <v>1862</v>
      </c>
      <c r="D219" s="19"/>
      <c r="E219" s="19"/>
      <c r="F219" s="19"/>
      <c r="G219" s="19"/>
      <c r="H219" s="19"/>
      <c r="I219" s="19"/>
      <c r="J219" s="19"/>
      <c r="K219" s="19"/>
      <c r="L219" s="19"/>
      <c r="M219" s="17"/>
    </row>
    <row r="220" ht="45" spans="1:13">
      <c r="A220" s="8" t="s">
        <v>1952</v>
      </c>
      <c r="B220" s="21"/>
      <c r="C220" s="29" t="s">
        <v>1832</v>
      </c>
      <c r="D220" s="29" t="s">
        <v>1863</v>
      </c>
      <c r="E220" s="29" t="s">
        <v>1864</v>
      </c>
      <c r="F220" s="29" t="s">
        <v>1865</v>
      </c>
      <c r="G220" s="29" t="s">
        <v>1827</v>
      </c>
      <c r="H220" s="29" t="s">
        <v>1866</v>
      </c>
      <c r="I220" s="29" t="s">
        <v>1867</v>
      </c>
      <c r="J220" s="29" t="s">
        <v>1868</v>
      </c>
      <c r="K220" s="29" t="s">
        <v>1869</v>
      </c>
      <c r="L220" s="29" t="s">
        <v>1870</v>
      </c>
      <c r="M220" s="16"/>
    </row>
    <row r="221" ht="36" spans="1:13">
      <c r="A221" s="8" t="s">
        <v>1952</v>
      </c>
      <c r="B221" s="21"/>
      <c r="C221" s="12" t="s">
        <v>1955</v>
      </c>
      <c r="D221" s="12" t="s">
        <v>1834</v>
      </c>
      <c r="E221" s="14">
        <v>969.25</v>
      </c>
      <c r="F221" s="12" t="s">
        <v>1871</v>
      </c>
      <c r="G221" s="13" t="s">
        <v>464</v>
      </c>
      <c r="H221" s="15">
        <v>3722.13</v>
      </c>
      <c r="I221" s="30" t="s">
        <v>1956</v>
      </c>
      <c r="J221" s="15">
        <v>19.78</v>
      </c>
      <c r="K221" s="12" t="s">
        <v>1953</v>
      </c>
      <c r="L221" s="12" t="s">
        <v>1821</v>
      </c>
      <c r="M221" s="31"/>
    </row>
    <row r="222" ht="36" spans="1:13">
      <c r="A222" s="8" t="s">
        <v>1952</v>
      </c>
      <c r="B222" s="21"/>
      <c r="C222" s="12" t="s">
        <v>1955</v>
      </c>
      <c r="D222" s="12" t="s">
        <v>1834</v>
      </c>
      <c r="E222" s="14">
        <v>969.25</v>
      </c>
      <c r="F222" s="12" t="s">
        <v>1873</v>
      </c>
      <c r="G222" s="13" t="s">
        <v>1957</v>
      </c>
      <c r="H222" s="15">
        <v>725.54</v>
      </c>
      <c r="I222" s="30" t="s">
        <v>1958</v>
      </c>
      <c r="J222" s="15">
        <v>0</v>
      </c>
      <c r="K222" s="12" t="s">
        <v>1959</v>
      </c>
      <c r="L222" s="12" t="s">
        <v>1821</v>
      </c>
      <c r="M222" s="31"/>
    </row>
    <row r="223" ht="36" spans="1:13">
      <c r="A223" s="8" t="s">
        <v>1952</v>
      </c>
      <c r="B223" s="21"/>
      <c r="C223" s="12" t="s">
        <v>1955</v>
      </c>
      <c r="D223" s="12" t="s">
        <v>1834</v>
      </c>
      <c r="E223" s="14">
        <v>969.25</v>
      </c>
      <c r="F223" s="12" t="s">
        <v>1873</v>
      </c>
      <c r="G223" s="13" t="s">
        <v>1960</v>
      </c>
      <c r="H223" s="15">
        <v>243.71</v>
      </c>
      <c r="I223" s="30" t="s">
        <v>1961</v>
      </c>
      <c r="J223" s="15">
        <v>0</v>
      </c>
      <c r="K223" s="12" t="s">
        <v>1959</v>
      </c>
      <c r="L223" s="12" t="s">
        <v>1821</v>
      </c>
      <c r="M223" s="31"/>
    </row>
    <row r="224" ht="15" spans="1:13">
      <c r="A224" s="8" t="s">
        <v>1962</v>
      </c>
      <c r="B224" s="25"/>
      <c r="C224" s="26"/>
      <c r="D224" s="26"/>
      <c r="E224" s="26"/>
      <c r="F224" s="26"/>
      <c r="G224" s="26"/>
      <c r="H224" s="26"/>
      <c r="I224" s="26"/>
      <c r="J224" s="26"/>
      <c r="K224" s="26"/>
      <c r="L224" s="26"/>
      <c r="M224" s="26"/>
    </row>
    <row r="225" ht="15" spans="1:13">
      <c r="A225" s="8" t="s">
        <v>1962</v>
      </c>
      <c r="B225" s="25"/>
      <c r="C225" s="26"/>
      <c r="D225" s="26"/>
      <c r="E225" s="26"/>
      <c r="F225" s="26"/>
      <c r="G225" s="26"/>
      <c r="H225" s="26"/>
      <c r="I225" s="26"/>
      <c r="J225" s="26"/>
      <c r="K225" s="26"/>
      <c r="L225" s="26"/>
      <c r="M225" s="26"/>
    </row>
    <row r="226" ht="36" spans="1:13">
      <c r="A226" s="8" t="s">
        <v>1962</v>
      </c>
      <c r="B226" s="11" t="s">
        <v>1849</v>
      </c>
      <c r="C226" s="27" t="s">
        <v>1821</v>
      </c>
      <c r="D226" s="11"/>
      <c r="E226" s="11"/>
      <c r="F226" s="11"/>
      <c r="G226" s="11"/>
      <c r="H226" s="11"/>
      <c r="I226" s="11"/>
      <c r="J226" s="11"/>
      <c r="K226" s="11"/>
      <c r="L226" s="11"/>
      <c r="M226" s="11"/>
    </row>
    <row r="227" ht="15.75" spans="1:13">
      <c r="A227" s="8" t="s">
        <v>1962</v>
      </c>
      <c r="B227" s="28" t="s">
        <v>1850</v>
      </c>
      <c r="C227" s="20"/>
      <c r="D227" s="20"/>
      <c r="E227" s="20"/>
      <c r="F227" s="20"/>
      <c r="G227" s="20"/>
      <c r="H227" s="11"/>
      <c r="I227" s="11"/>
      <c r="J227" s="11"/>
      <c r="K227" s="11"/>
      <c r="L227" s="11"/>
      <c r="M227" s="11"/>
    </row>
    <row r="228" ht="30" spans="1:13">
      <c r="A228" s="8" t="s">
        <v>1962</v>
      </c>
      <c r="B228" s="9" t="s">
        <v>1815</v>
      </c>
      <c r="C228" s="9" t="s">
        <v>1816</v>
      </c>
      <c r="D228" s="9" t="s">
        <v>1817</v>
      </c>
      <c r="E228" s="9" t="s">
        <v>1818</v>
      </c>
      <c r="F228" s="9" t="s">
        <v>1819</v>
      </c>
      <c r="G228" s="9" t="s">
        <v>1820</v>
      </c>
      <c r="H228" s="10"/>
      <c r="I228" s="11"/>
      <c r="J228" s="11"/>
      <c r="K228" s="11"/>
      <c r="L228" s="11"/>
      <c r="M228" s="11"/>
    </row>
    <row r="229" ht="15" spans="1:13">
      <c r="A229" s="8" t="s">
        <v>1962</v>
      </c>
      <c r="B229" s="12" t="s">
        <v>1821</v>
      </c>
      <c r="C229" s="12" t="s">
        <v>1963</v>
      </c>
      <c r="D229" s="13" t="s">
        <v>1964</v>
      </c>
      <c r="E229" s="12" t="s">
        <v>1824</v>
      </c>
      <c r="F229" s="14">
        <v>2989.43</v>
      </c>
      <c r="G229" s="15">
        <v>63.95</v>
      </c>
      <c r="H229" s="16"/>
      <c r="I229" s="11"/>
      <c r="J229" s="11"/>
      <c r="K229" s="11"/>
      <c r="L229" s="11"/>
      <c r="M229" s="11"/>
    </row>
    <row r="230" ht="15.75" spans="1:13">
      <c r="A230" s="8" t="s">
        <v>1962</v>
      </c>
      <c r="B230" s="17"/>
      <c r="C230" s="18" t="s">
        <v>1825</v>
      </c>
      <c r="D230" s="19"/>
      <c r="E230" s="19"/>
      <c r="F230" s="19"/>
      <c r="G230" s="19"/>
      <c r="H230" s="20"/>
      <c r="I230" s="20"/>
      <c r="J230" s="20"/>
      <c r="K230" s="20"/>
      <c r="L230" s="20"/>
      <c r="M230" s="20"/>
    </row>
    <row r="231" ht="60" spans="1:13">
      <c r="A231" s="8" t="s">
        <v>1962</v>
      </c>
      <c r="B231" s="21"/>
      <c r="C231" s="22" t="s">
        <v>1816</v>
      </c>
      <c r="D231" s="22" t="s">
        <v>1817</v>
      </c>
      <c r="E231" s="22" t="s">
        <v>1826</v>
      </c>
      <c r="F231" s="22" t="s">
        <v>1819</v>
      </c>
      <c r="G231" s="22" t="s">
        <v>1820</v>
      </c>
      <c r="H231" s="22" t="s">
        <v>1827</v>
      </c>
      <c r="I231" s="22" t="s">
        <v>1828</v>
      </c>
      <c r="J231" s="22" t="s">
        <v>1829</v>
      </c>
      <c r="K231" s="22" t="s">
        <v>1830</v>
      </c>
      <c r="L231" s="23" t="s">
        <v>1831</v>
      </c>
      <c r="M231" s="23" t="s">
        <v>1832</v>
      </c>
    </row>
    <row r="232" ht="15" spans="1:13">
      <c r="A232" s="8" t="s">
        <v>1962</v>
      </c>
      <c r="B232" s="21"/>
      <c r="C232" s="12" t="s">
        <v>1963</v>
      </c>
      <c r="D232" s="13" t="s">
        <v>1964</v>
      </c>
      <c r="E232" s="12" t="s">
        <v>1824</v>
      </c>
      <c r="F232" s="15">
        <v>3133.31</v>
      </c>
      <c r="G232" s="15">
        <v>63.95</v>
      </c>
      <c r="H232" s="12" t="s">
        <v>461</v>
      </c>
      <c r="I232" s="12" t="s">
        <v>1833</v>
      </c>
      <c r="J232" s="15">
        <v>3197.26</v>
      </c>
      <c r="K232" s="15">
        <v>0</v>
      </c>
      <c r="L232" s="12" t="s">
        <v>1834</v>
      </c>
      <c r="M232" s="24"/>
    </row>
    <row r="233" ht="15" spans="1:13">
      <c r="A233" s="8" t="s">
        <v>1962</v>
      </c>
      <c r="B233" s="21"/>
      <c r="C233" s="12" t="s">
        <v>1963</v>
      </c>
      <c r="D233" s="13" t="s">
        <v>1964</v>
      </c>
      <c r="E233" s="12" t="s">
        <v>1824</v>
      </c>
      <c r="F233" s="15">
        <v>-79.93</v>
      </c>
      <c r="G233" s="15">
        <v>0</v>
      </c>
      <c r="H233" s="12" t="s">
        <v>1965</v>
      </c>
      <c r="I233" s="12" t="s">
        <v>1836</v>
      </c>
      <c r="J233" s="15">
        <v>-79.93</v>
      </c>
      <c r="K233" s="15">
        <v>0</v>
      </c>
      <c r="L233" s="12" t="s">
        <v>1834</v>
      </c>
      <c r="M233" s="24"/>
    </row>
    <row r="234" ht="15" spans="1:13">
      <c r="A234" s="8" t="s">
        <v>1962</v>
      </c>
      <c r="B234" s="21"/>
      <c r="C234" s="12" t="s">
        <v>1963</v>
      </c>
      <c r="D234" s="13" t="s">
        <v>1964</v>
      </c>
      <c r="E234" s="12" t="s">
        <v>1824</v>
      </c>
      <c r="F234" s="15">
        <v>-63.95</v>
      </c>
      <c r="G234" s="15">
        <v>0</v>
      </c>
      <c r="H234" s="12" t="s">
        <v>1966</v>
      </c>
      <c r="I234" s="12" t="s">
        <v>1836</v>
      </c>
      <c r="J234" s="15">
        <v>-63.95</v>
      </c>
      <c r="K234" s="15">
        <v>0</v>
      </c>
      <c r="L234" s="12" t="s">
        <v>1834</v>
      </c>
      <c r="M234" s="24"/>
    </row>
    <row r="235" ht="15" spans="1:13">
      <c r="A235" s="8" t="s">
        <v>1967</v>
      </c>
      <c r="B235" s="25"/>
      <c r="C235" s="26"/>
      <c r="D235" s="26"/>
      <c r="E235" s="26"/>
      <c r="F235" s="26"/>
      <c r="G235" s="26"/>
      <c r="H235" s="26"/>
      <c r="I235" s="26"/>
      <c r="J235" s="26"/>
      <c r="K235" s="26"/>
      <c r="L235" s="26"/>
      <c r="M235" s="26"/>
    </row>
    <row r="236" ht="15" spans="1:13">
      <c r="A236" s="8" t="s">
        <v>1967</v>
      </c>
      <c r="B236" s="25"/>
      <c r="C236" s="26"/>
      <c r="D236" s="26"/>
      <c r="E236" s="26"/>
      <c r="F236" s="26"/>
      <c r="G236" s="26"/>
      <c r="H236" s="26"/>
      <c r="I236" s="26"/>
      <c r="J236" s="26"/>
      <c r="K236" s="26"/>
      <c r="L236" s="26"/>
      <c r="M236" s="26"/>
    </row>
    <row r="237" ht="36" spans="1:13">
      <c r="A237" s="8" t="s">
        <v>1967</v>
      </c>
      <c r="B237" s="11" t="s">
        <v>1849</v>
      </c>
      <c r="C237" s="27" t="s">
        <v>1821</v>
      </c>
      <c r="D237" s="11"/>
      <c r="E237" s="11"/>
      <c r="F237" s="11"/>
      <c r="G237" s="11"/>
      <c r="H237" s="11"/>
      <c r="I237" s="11"/>
      <c r="J237" s="11"/>
      <c r="K237" s="11"/>
      <c r="L237" s="11"/>
      <c r="M237" s="11"/>
    </row>
    <row r="238" ht="15.75" spans="1:13">
      <c r="A238" s="8" t="s">
        <v>1967</v>
      </c>
      <c r="B238" s="28" t="s">
        <v>1850</v>
      </c>
      <c r="C238" s="20"/>
      <c r="D238" s="20"/>
      <c r="E238" s="20"/>
      <c r="F238" s="20"/>
      <c r="G238" s="20"/>
      <c r="H238" s="11"/>
      <c r="I238" s="11"/>
      <c r="J238" s="11"/>
      <c r="K238" s="11"/>
      <c r="L238" s="11"/>
      <c r="M238" s="11"/>
    </row>
    <row r="239" ht="30" spans="1:13">
      <c r="A239" s="8" t="s">
        <v>1967</v>
      </c>
      <c r="B239" s="9" t="s">
        <v>1815</v>
      </c>
      <c r="C239" s="9" t="s">
        <v>1816</v>
      </c>
      <c r="D239" s="9" t="s">
        <v>1817</v>
      </c>
      <c r="E239" s="9" t="s">
        <v>1818</v>
      </c>
      <c r="F239" s="9" t="s">
        <v>1819</v>
      </c>
      <c r="G239" s="9" t="s">
        <v>1820</v>
      </c>
      <c r="H239" s="10"/>
      <c r="I239" s="11"/>
      <c r="J239" s="11"/>
      <c r="K239" s="11"/>
      <c r="L239" s="11"/>
      <c r="M239" s="11"/>
    </row>
    <row r="240" ht="15" spans="1:13">
      <c r="A240" s="8" t="s">
        <v>1967</v>
      </c>
      <c r="B240" s="12" t="s">
        <v>1821</v>
      </c>
      <c r="C240" s="12" t="s">
        <v>1968</v>
      </c>
      <c r="D240" s="13" t="s">
        <v>1969</v>
      </c>
      <c r="E240" s="12" t="s">
        <v>1824</v>
      </c>
      <c r="F240" s="14">
        <v>5252.97</v>
      </c>
      <c r="G240" s="15">
        <v>117.13</v>
      </c>
      <c r="H240" s="16"/>
      <c r="I240" s="11"/>
      <c r="J240" s="11"/>
      <c r="K240" s="11"/>
      <c r="L240" s="11"/>
      <c r="M240" s="11"/>
    </row>
    <row r="241" ht="15.75" spans="1:13">
      <c r="A241" s="8" t="s">
        <v>1967</v>
      </c>
      <c r="B241" s="17"/>
      <c r="C241" s="18" t="s">
        <v>1825</v>
      </c>
      <c r="D241" s="19"/>
      <c r="E241" s="19"/>
      <c r="F241" s="19"/>
      <c r="G241" s="19"/>
      <c r="H241" s="20"/>
      <c r="I241" s="20"/>
      <c r="J241" s="20"/>
      <c r="K241" s="20"/>
      <c r="L241" s="20"/>
      <c r="M241" s="20"/>
    </row>
    <row r="242" ht="60" spans="1:13">
      <c r="A242" s="8" t="s">
        <v>1967</v>
      </c>
      <c r="B242" s="21"/>
      <c r="C242" s="22" t="s">
        <v>1816</v>
      </c>
      <c r="D242" s="22" t="s">
        <v>1817</v>
      </c>
      <c r="E242" s="22" t="s">
        <v>1826</v>
      </c>
      <c r="F242" s="22" t="s">
        <v>1819</v>
      </c>
      <c r="G242" s="22" t="s">
        <v>1820</v>
      </c>
      <c r="H242" s="22" t="s">
        <v>1827</v>
      </c>
      <c r="I242" s="22" t="s">
        <v>1828</v>
      </c>
      <c r="J242" s="22" t="s">
        <v>1829</v>
      </c>
      <c r="K242" s="22" t="s">
        <v>1830</v>
      </c>
      <c r="L242" s="23" t="s">
        <v>1831</v>
      </c>
      <c r="M242" s="23" t="s">
        <v>1832</v>
      </c>
    </row>
    <row r="243" ht="15" spans="1:13">
      <c r="A243" s="8" t="s">
        <v>1967</v>
      </c>
      <c r="B243" s="21"/>
      <c r="C243" s="12" t="s">
        <v>1968</v>
      </c>
      <c r="D243" s="13" t="s">
        <v>1969</v>
      </c>
      <c r="E243" s="12" t="s">
        <v>1824</v>
      </c>
      <c r="F243" s="15">
        <v>-74.44</v>
      </c>
      <c r="G243" s="15">
        <v>0</v>
      </c>
      <c r="H243" s="12" t="s">
        <v>1970</v>
      </c>
      <c r="I243" s="12" t="s">
        <v>1836</v>
      </c>
      <c r="J243" s="15">
        <v>-74.44</v>
      </c>
      <c r="K243" s="15">
        <v>0</v>
      </c>
      <c r="L243" s="12" t="s">
        <v>1834</v>
      </c>
      <c r="M243" s="24"/>
    </row>
    <row r="244" ht="15" spans="1:13">
      <c r="A244" s="8" t="s">
        <v>1967</v>
      </c>
      <c r="B244" s="21"/>
      <c r="C244" s="12" t="s">
        <v>1968</v>
      </c>
      <c r="D244" s="13" t="s">
        <v>1969</v>
      </c>
      <c r="E244" s="12" t="s">
        <v>1824</v>
      </c>
      <c r="F244" s="15">
        <v>-93.05</v>
      </c>
      <c r="G244" s="15">
        <v>0</v>
      </c>
      <c r="H244" s="12" t="s">
        <v>1971</v>
      </c>
      <c r="I244" s="12" t="s">
        <v>1836</v>
      </c>
      <c r="J244" s="15">
        <v>-93.05</v>
      </c>
      <c r="K244" s="15">
        <v>0</v>
      </c>
      <c r="L244" s="12" t="s">
        <v>1834</v>
      </c>
      <c r="M244" s="24"/>
    </row>
    <row r="245" ht="15" spans="1:13">
      <c r="A245" s="8" t="s">
        <v>1967</v>
      </c>
      <c r="B245" s="21"/>
      <c r="C245" s="12" t="s">
        <v>1968</v>
      </c>
      <c r="D245" s="13" t="s">
        <v>1969</v>
      </c>
      <c r="E245" s="12" t="s">
        <v>1824</v>
      </c>
      <c r="F245" s="15">
        <v>-62.47</v>
      </c>
      <c r="G245" s="15">
        <v>0</v>
      </c>
      <c r="H245" s="12" t="s">
        <v>1972</v>
      </c>
      <c r="I245" s="12" t="s">
        <v>1836</v>
      </c>
      <c r="J245" s="15">
        <v>-62.47</v>
      </c>
      <c r="K245" s="15">
        <v>0</v>
      </c>
      <c r="L245" s="12" t="s">
        <v>1834</v>
      </c>
      <c r="M245" s="24"/>
    </row>
    <row r="246" ht="15" spans="1:13">
      <c r="A246" s="8" t="s">
        <v>1967</v>
      </c>
      <c r="B246" s="21"/>
      <c r="C246" s="12" t="s">
        <v>1968</v>
      </c>
      <c r="D246" s="13" t="s">
        <v>1969</v>
      </c>
      <c r="E246" s="12" t="s">
        <v>1824</v>
      </c>
      <c r="F246" s="15">
        <v>-178.56</v>
      </c>
      <c r="G246" s="15">
        <v>0</v>
      </c>
      <c r="H246" s="12" t="s">
        <v>1973</v>
      </c>
      <c r="I246" s="12" t="s">
        <v>1836</v>
      </c>
      <c r="J246" s="15">
        <v>-178.56</v>
      </c>
      <c r="K246" s="15">
        <v>0</v>
      </c>
      <c r="L246" s="12" t="s">
        <v>1834</v>
      </c>
      <c r="M246" s="24"/>
    </row>
    <row r="247" ht="15" spans="1:13">
      <c r="A247" s="8" t="s">
        <v>1967</v>
      </c>
      <c r="B247" s="21"/>
      <c r="C247" s="12" t="s">
        <v>1968</v>
      </c>
      <c r="D247" s="13" t="s">
        <v>1969</v>
      </c>
      <c r="E247" s="12" t="s">
        <v>1824</v>
      </c>
      <c r="F247" s="15">
        <v>2678.44</v>
      </c>
      <c r="G247" s="15">
        <v>54.66</v>
      </c>
      <c r="H247" s="12" t="s">
        <v>464</v>
      </c>
      <c r="I247" s="12" t="s">
        <v>1833</v>
      </c>
      <c r="J247" s="15">
        <v>3722.13</v>
      </c>
      <c r="K247" s="15">
        <v>0</v>
      </c>
      <c r="L247" s="12" t="s">
        <v>1834</v>
      </c>
      <c r="M247" s="24"/>
    </row>
    <row r="248" ht="15" spans="1:13">
      <c r="A248" s="8" t="s">
        <v>1967</v>
      </c>
      <c r="B248" s="21"/>
      <c r="C248" s="12" t="s">
        <v>1968</v>
      </c>
      <c r="D248" s="13" t="s">
        <v>1969</v>
      </c>
      <c r="E248" s="12" t="s">
        <v>1824</v>
      </c>
      <c r="F248" s="15">
        <v>-78.09</v>
      </c>
      <c r="G248" s="15">
        <v>0</v>
      </c>
      <c r="H248" s="12" t="s">
        <v>1974</v>
      </c>
      <c r="I248" s="12" t="s">
        <v>1836</v>
      </c>
      <c r="J248" s="15">
        <v>-78.09</v>
      </c>
      <c r="K248" s="15">
        <v>0</v>
      </c>
      <c r="L248" s="12" t="s">
        <v>1834</v>
      </c>
      <c r="M248" s="24"/>
    </row>
    <row r="249" ht="15" spans="1:13">
      <c r="A249" s="8" t="s">
        <v>1967</v>
      </c>
      <c r="B249" s="21"/>
      <c r="C249" s="12" t="s">
        <v>1968</v>
      </c>
      <c r="D249" s="13" t="s">
        <v>1969</v>
      </c>
      <c r="E249" s="12" t="s">
        <v>1824</v>
      </c>
      <c r="F249" s="15">
        <v>3061.14</v>
      </c>
      <c r="G249" s="15">
        <v>62.47</v>
      </c>
      <c r="H249" s="12" t="s">
        <v>463</v>
      </c>
      <c r="I249" s="12" t="s">
        <v>1833</v>
      </c>
      <c r="J249" s="15">
        <v>3123.61</v>
      </c>
      <c r="K249" s="15">
        <v>0</v>
      </c>
      <c r="L249" s="12" t="s">
        <v>1834</v>
      </c>
      <c r="M249" s="24"/>
    </row>
    <row r="250" ht="15" spans="1:13">
      <c r="A250" s="8" t="s">
        <v>1967</v>
      </c>
      <c r="B250" s="21"/>
      <c r="C250" s="12" t="s">
        <v>1953</v>
      </c>
      <c r="D250" s="13" t="s">
        <v>1954</v>
      </c>
      <c r="E250" s="12" t="s">
        <v>1860</v>
      </c>
      <c r="F250" s="15">
        <v>969.25</v>
      </c>
      <c r="G250" s="15">
        <v>19.78</v>
      </c>
      <c r="H250" s="12" t="s">
        <v>464</v>
      </c>
      <c r="I250" s="12" t="s">
        <v>1833</v>
      </c>
      <c r="J250" s="15">
        <v>3722.13</v>
      </c>
      <c r="K250" s="15">
        <v>0</v>
      </c>
      <c r="L250" s="12" t="s">
        <v>1834</v>
      </c>
      <c r="M250" s="12" t="s">
        <v>1955</v>
      </c>
    </row>
    <row r="251" ht="31.5" spans="1:13">
      <c r="A251" s="8" t="s">
        <v>1967</v>
      </c>
      <c r="B251" s="11"/>
      <c r="C251" s="18" t="s">
        <v>1862</v>
      </c>
      <c r="D251" s="19"/>
      <c r="E251" s="19"/>
      <c r="F251" s="19"/>
      <c r="G251" s="19"/>
      <c r="H251" s="19"/>
      <c r="I251" s="19"/>
      <c r="J251" s="19"/>
      <c r="K251" s="19"/>
      <c r="L251" s="19"/>
      <c r="M251" s="17"/>
    </row>
    <row r="252" ht="45" spans="1:13">
      <c r="A252" s="8" t="s">
        <v>1967</v>
      </c>
      <c r="B252" s="21"/>
      <c r="C252" s="29" t="s">
        <v>1832</v>
      </c>
      <c r="D252" s="29" t="s">
        <v>1863</v>
      </c>
      <c r="E252" s="29" t="s">
        <v>1864</v>
      </c>
      <c r="F252" s="29" t="s">
        <v>1865</v>
      </c>
      <c r="G252" s="29" t="s">
        <v>1827</v>
      </c>
      <c r="H252" s="29" t="s">
        <v>1866</v>
      </c>
      <c r="I252" s="29" t="s">
        <v>1867</v>
      </c>
      <c r="J252" s="29" t="s">
        <v>1868</v>
      </c>
      <c r="K252" s="29" t="s">
        <v>1869</v>
      </c>
      <c r="L252" s="29" t="s">
        <v>1870</v>
      </c>
      <c r="M252" s="16"/>
    </row>
    <row r="253" ht="36" spans="1:13">
      <c r="A253" s="8" t="s">
        <v>1967</v>
      </c>
      <c r="B253" s="21"/>
      <c r="C253" s="12" t="s">
        <v>1955</v>
      </c>
      <c r="D253" s="12" t="s">
        <v>1834</v>
      </c>
      <c r="E253" s="14">
        <v>969.25</v>
      </c>
      <c r="F253" s="12" t="s">
        <v>1871</v>
      </c>
      <c r="G253" s="13" t="s">
        <v>464</v>
      </c>
      <c r="H253" s="15">
        <v>3722.13</v>
      </c>
      <c r="I253" s="30" t="s">
        <v>1956</v>
      </c>
      <c r="J253" s="15">
        <v>19.78</v>
      </c>
      <c r="K253" s="12" t="s">
        <v>1953</v>
      </c>
      <c r="L253" s="12" t="s">
        <v>1821</v>
      </c>
      <c r="M253" s="31"/>
    </row>
    <row r="254" ht="36" spans="1:13">
      <c r="A254" s="8" t="s">
        <v>1967</v>
      </c>
      <c r="B254" s="21"/>
      <c r="C254" s="12" t="s">
        <v>1955</v>
      </c>
      <c r="D254" s="12" t="s">
        <v>1834</v>
      </c>
      <c r="E254" s="14">
        <v>969.25</v>
      </c>
      <c r="F254" s="12" t="s">
        <v>1873</v>
      </c>
      <c r="G254" s="13" t="s">
        <v>1957</v>
      </c>
      <c r="H254" s="15">
        <v>725.54</v>
      </c>
      <c r="I254" s="30" t="s">
        <v>1958</v>
      </c>
      <c r="J254" s="15">
        <v>0</v>
      </c>
      <c r="K254" s="12" t="s">
        <v>1959</v>
      </c>
      <c r="L254" s="12" t="s">
        <v>1821</v>
      </c>
      <c r="M254" s="31"/>
    </row>
    <row r="255" ht="36" spans="1:13">
      <c r="A255" s="8" t="s">
        <v>1967</v>
      </c>
      <c r="B255" s="21"/>
      <c r="C255" s="12" t="s">
        <v>1955</v>
      </c>
      <c r="D255" s="12" t="s">
        <v>1834</v>
      </c>
      <c r="E255" s="14">
        <v>969.25</v>
      </c>
      <c r="F255" s="12" t="s">
        <v>1873</v>
      </c>
      <c r="G255" s="13" t="s">
        <v>1960</v>
      </c>
      <c r="H255" s="15">
        <v>243.71</v>
      </c>
      <c r="I255" s="30" t="s">
        <v>1961</v>
      </c>
      <c r="J255" s="15">
        <v>0</v>
      </c>
      <c r="K255" s="12" t="s">
        <v>1959</v>
      </c>
      <c r="L255" s="12" t="s">
        <v>1821</v>
      </c>
      <c r="M255" s="31"/>
    </row>
    <row r="256" ht="15" spans="1:13">
      <c r="A256" s="8" t="s">
        <v>1975</v>
      </c>
      <c r="B256" s="25"/>
      <c r="C256" s="26"/>
      <c r="D256" s="26"/>
      <c r="E256" s="26"/>
      <c r="F256" s="26"/>
      <c r="G256" s="26"/>
      <c r="H256" s="26"/>
      <c r="I256" s="26"/>
      <c r="J256" s="26"/>
      <c r="K256" s="26"/>
      <c r="L256" s="26"/>
      <c r="M256" s="26"/>
    </row>
    <row r="257" ht="15" spans="1:13">
      <c r="A257" s="8" t="s">
        <v>1975</v>
      </c>
      <c r="B257" s="25"/>
      <c r="C257" s="26"/>
      <c r="D257" s="26"/>
      <c r="E257" s="26"/>
      <c r="F257" s="26"/>
      <c r="G257" s="26"/>
      <c r="H257" s="26"/>
      <c r="I257" s="26"/>
      <c r="J257" s="26"/>
      <c r="K257" s="26"/>
      <c r="L257" s="26"/>
      <c r="M257" s="26"/>
    </row>
    <row r="258" ht="36" spans="1:13">
      <c r="A258" s="8" t="s">
        <v>1975</v>
      </c>
      <c r="B258" s="11" t="s">
        <v>1849</v>
      </c>
      <c r="C258" s="27" t="s">
        <v>1821</v>
      </c>
      <c r="D258" s="11"/>
      <c r="E258" s="11"/>
      <c r="F258" s="11"/>
      <c r="G258" s="11"/>
      <c r="H258" s="11"/>
      <c r="I258" s="11"/>
      <c r="J258" s="11"/>
      <c r="K258" s="11"/>
      <c r="L258" s="11"/>
      <c r="M258" s="11"/>
    </row>
    <row r="259" ht="15.75" spans="1:13">
      <c r="A259" s="8" t="s">
        <v>1975</v>
      </c>
      <c r="B259" s="28" t="s">
        <v>1850</v>
      </c>
      <c r="C259" s="20"/>
      <c r="D259" s="20"/>
      <c r="E259" s="20"/>
      <c r="F259" s="20"/>
      <c r="G259" s="20"/>
      <c r="H259" s="11"/>
      <c r="I259" s="11"/>
      <c r="J259" s="11"/>
      <c r="K259" s="11"/>
      <c r="L259" s="11"/>
      <c r="M259" s="11"/>
    </row>
    <row r="260" ht="30" spans="1:13">
      <c r="A260" s="8" t="s">
        <v>1975</v>
      </c>
      <c r="B260" s="9" t="s">
        <v>1815</v>
      </c>
      <c r="C260" s="9" t="s">
        <v>1816</v>
      </c>
      <c r="D260" s="9" t="s">
        <v>1817</v>
      </c>
      <c r="E260" s="9" t="s">
        <v>1818</v>
      </c>
      <c r="F260" s="9" t="s">
        <v>1819</v>
      </c>
      <c r="G260" s="9" t="s">
        <v>1820</v>
      </c>
      <c r="H260" s="10"/>
      <c r="I260" s="11"/>
      <c r="J260" s="11"/>
      <c r="K260" s="11"/>
      <c r="L260" s="11"/>
      <c r="M260" s="11"/>
    </row>
    <row r="261" ht="15" spans="1:13">
      <c r="A261" s="8" t="s">
        <v>1975</v>
      </c>
      <c r="B261" s="12" t="s">
        <v>1821</v>
      </c>
      <c r="C261" s="12" t="s">
        <v>1976</v>
      </c>
      <c r="D261" s="13" t="s">
        <v>1977</v>
      </c>
      <c r="E261" s="12" t="s">
        <v>1824</v>
      </c>
      <c r="F261" s="14">
        <v>2207.07</v>
      </c>
      <c r="G261" s="15">
        <v>60.97</v>
      </c>
      <c r="H261" s="16"/>
      <c r="I261" s="11"/>
      <c r="J261" s="11"/>
      <c r="K261" s="11"/>
      <c r="L261" s="11"/>
      <c r="M261" s="11"/>
    </row>
    <row r="262" ht="15.75" spans="1:13">
      <c r="A262" s="8" t="s">
        <v>1975</v>
      </c>
      <c r="B262" s="17"/>
      <c r="C262" s="18" t="s">
        <v>1825</v>
      </c>
      <c r="D262" s="19"/>
      <c r="E262" s="19"/>
      <c r="F262" s="19"/>
      <c r="G262" s="19"/>
      <c r="H262" s="20"/>
      <c r="I262" s="20"/>
      <c r="J262" s="20"/>
      <c r="K262" s="20"/>
      <c r="L262" s="20"/>
      <c r="M262" s="20"/>
    </row>
    <row r="263" ht="60" spans="1:13">
      <c r="A263" s="8" t="s">
        <v>1975</v>
      </c>
      <c r="B263" s="21"/>
      <c r="C263" s="22" t="s">
        <v>1816</v>
      </c>
      <c r="D263" s="22" t="s">
        <v>1817</v>
      </c>
      <c r="E263" s="22" t="s">
        <v>1826</v>
      </c>
      <c r="F263" s="22" t="s">
        <v>1819</v>
      </c>
      <c r="G263" s="22" t="s">
        <v>1820</v>
      </c>
      <c r="H263" s="22" t="s">
        <v>1827</v>
      </c>
      <c r="I263" s="22" t="s">
        <v>1828</v>
      </c>
      <c r="J263" s="22" t="s">
        <v>1829</v>
      </c>
      <c r="K263" s="22" t="s">
        <v>1830</v>
      </c>
      <c r="L263" s="23" t="s">
        <v>1831</v>
      </c>
      <c r="M263" s="23" t="s">
        <v>1832</v>
      </c>
    </row>
    <row r="264" ht="15" spans="1:13">
      <c r="A264" s="8" t="s">
        <v>1975</v>
      </c>
      <c r="B264" s="21"/>
      <c r="C264" s="12" t="s">
        <v>1976</v>
      </c>
      <c r="D264" s="13" t="s">
        <v>1977</v>
      </c>
      <c r="E264" s="12" t="s">
        <v>1824</v>
      </c>
      <c r="F264" s="15">
        <v>-198</v>
      </c>
      <c r="G264" s="15">
        <v>0</v>
      </c>
      <c r="H264" s="12" t="s">
        <v>1978</v>
      </c>
      <c r="I264" s="12" t="s">
        <v>1836</v>
      </c>
      <c r="J264" s="15">
        <v>-198</v>
      </c>
      <c r="K264" s="15">
        <v>0</v>
      </c>
      <c r="L264" s="12" t="s">
        <v>1834</v>
      </c>
      <c r="M264" s="24"/>
    </row>
    <row r="265" s="7" customFormat="1" ht="15" spans="1:13">
      <c r="A265" s="32" t="s">
        <v>1975</v>
      </c>
      <c r="B265" s="33"/>
      <c r="C265" s="34" t="s">
        <v>1976</v>
      </c>
      <c r="D265" s="35" t="s">
        <v>1977</v>
      </c>
      <c r="E265" s="34" t="s">
        <v>1824</v>
      </c>
      <c r="F265" s="36">
        <v>-211.52</v>
      </c>
      <c r="G265" s="36">
        <v>0</v>
      </c>
      <c r="H265" s="34" t="s">
        <v>1979</v>
      </c>
      <c r="I265" s="34" t="s">
        <v>1836</v>
      </c>
      <c r="J265" s="36">
        <v>-211.52</v>
      </c>
      <c r="K265" s="36">
        <v>0</v>
      </c>
      <c r="L265" s="34" t="s">
        <v>1834</v>
      </c>
      <c r="M265" s="37"/>
    </row>
    <row r="266" ht="15" spans="1:13">
      <c r="A266" s="8" t="s">
        <v>1975</v>
      </c>
      <c r="B266" s="21"/>
      <c r="C266" s="12" t="s">
        <v>1976</v>
      </c>
      <c r="D266" s="13" t="s">
        <v>1977</v>
      </c>
      <c r="E266" s="12" t="s">
        <v>1824</v>
      </c>
      <c r="F266" s="38">
        <v>2987.35</v>
      </c>
      <c r="G266" s="38">
        <v>60.97</v>
      </c>
      <c r="H266" s="39" t="s">
        <v>471</v>
      </c>
      <c r="I266" s="39" t="s">
        <v>1833</v>
      </c>
      <c r="J266" s="15">
        <v>3048.32</v>
      </c>
      <c r="K266" s="15">
        <v>0</v>
      </c>
      <c r="L266" s="12" t="s">
        <v>1834</v>
      </c>
      <c r="M266" s="24"/>
    </row>
    <row r="267" ht="15" spans="1:13">
      <c r="A267" s="8" t="s">
        <v>1975</v>
      </c>
      <c r="B267" s="21"/>
      <c r="C267" s="12" t="s">
        <v>1976</v>
      </c>
      <c r="D267" s="13" t="s">
        <v>1977</v>
      </c>
      <c r="E267" s="12" t="s">
        <v>1824</v>
      </c>
      <c r="F267" s="38">
        <v>-60.97</v>
      </c>
      <c r="G267" s="38">
        <v>0</v>
      </c>
      <c r="H267" s="39" t="s">
        <v>1980</v>
      </c>
      <c r="I267" s="39" t="s">
        <v>1836</v>
      </c>
      <c r="J267" s="15">
        <v>-60.97</v>
      </c>
      <c r="K267" s="15">
        <v>0</v>
      </c>
      <c r="L267" s="12" t="s">
        <v>1834</v>
      </c>
      <c r="M267" s="24"/>
    </row>
    <row r="268" ht="15" spans="1:13">
      <c r="A268" s="8" t="s">
        <v>1975</v>
      </c>
      <c r="B268" s="21"/>
      <c r="C268" s="12" t="s">
        <v>1976</v>
      </c>
      <c r="D268" s="13" t="s">
        <v>1977</v>
      </c>
      <c r="E268" s="12" t="s">
        <v>1824</v>
      </c>
      <c r="F268" s="38">
        <v>-76.21</v>
      </c>
      <c r="G268" s="38">
        <v>0</v>
      </c>
      <c r="H268" s="39" t="s">
        <v>1981</v>
      </c>
      <c r="I268" s="39" t="s">
        <v>1836</v>
      </c>
      <c r="J268" s="15">
        <v>-76.21</v>
      </c>
      <c r="K268" s="15">
        <v>0</v>
      </c>
      <c r="L268" s="12" t="s">
        <v>1834</v>
      </c>
      <c r="M268" s="24"/>
    </row>
    <row r="269" ht="15" spans="1:13">
      <c r="A269" s="8" t="s">
        <v>1975</v>
      </c>
      <c r="B269" s="21"/>
      <c r="C269" s="12" t="s">
        <v>1976</v>
      </c>
      <c r="D269" s="13" t="s">
        <v>1977</v>
      </c>
      <c r="E269" s="12" t="s">
        <v>1824</v>
      </c>
      <c r="F269" s="15">
        <v>-233.58</v>
      </c>
      <c r="G269" s="15">
        <v>0</v>
      </c>
      <c r="H269" s="12" t="s">
        <v>1982</v>
      </c>
      <c r="I269" s="12" t="s">
        <v>1836</v>
      </c>
      <c r="J269" s="15">
        <v>-233.58</v>
      </c>
      <c r="K269" s="15">
        <v>0</v>
      </c>
      <c r="L269" s="12" t="s">
        <v>1834</v>
      </c>
      <c r="M269" s="24"/>
    </row>
    <row r="270" ht="15" spans="1:13">
      <c r="A270" s="8" t="s">
        <v>1983</v>
      </c>
      <c r="B270" s="25"/>
      <c r="C270" s="26"/>
      <c r="D270" s="26"/>
      <c r="E270" s="26"/>
      <c r="F270" s="26"/>
      <c r="G270" s="26"/>
      <c r="H270" s="26"/>
      <c r="I270" s="26"/>
      <c r="J270" s="26"/>
      <c r="K270" s="26"/>
      <c r="L270" s="26"/>
      <c r="M270" s="26"/>
    </row>
    <row r="271" ht="15" spans="1:13">
      <c r="A271" s="8" t="s">
        <v>1983</v>
      </c>
      <c r="B271" s="25"/>
      <c r="C271" s="26"/>
      <c r="D271" s="26"/>
      <c r="E271" s="26"/>
      <c r="F271" s="26"/>
      <c r="G271" s="26"/>
      <c r="H271" s="26"/>
      <c r="I271" s="26"/>
      <c r="J271" s="26"/>
      <c r="K271" s="26"/>
      <c r="L271" s="26"/>
      <c r="M271" s="26"/>
    </row>
    <row r="272" ht="36" spans="1:13">
      <c r="A272" s="8" t="s">
        <v>1983</v>
      </c>
      <c r="B272" s="11" t="s">
        <v>1849</v>
      </c>
      <c r="C272" s="27" t="s">
        <v>1821</v>
      </c>
      <c r="D272" s="11"/>
      <c r="E272" s="11"/>
      <c r="F272" s="11"/>
      <c r="G272" s="11"/>
      <c r="H272" s="11"/>
      <c r="I272" s="11"/>
      <c r="J272" s="11"/>
      <c r="K272" s="11"/>
      <c r="L272" s="11"/>
      <c r="M272" s="11"/>
    </row>
    <row r="273" ht="15.75" spans="1:13">
      <c r="A273" s="8" t="s">
        <v>1983</v>
      </c>
      <c r="B273" s="28" t="s">
        <v>1850</v>
      </c>
      <c r="C273" s="20"/>
      <c r="D273" s="20"/>
      <c r="E273" s="20"/>
      <c r="F273" s="20"/>
      <c r="G273" s="20"/>
      <c r="H273" s="11"/>
      <c r="I273" s="11"/>
      <c r="J273" s="11"/>
      <c r="K273" s="11"/>
      <c r="L273" s="11"/>
      <c r="M273" s="11"/>
    </row>
    <row r="274" ht="30" spans="1:13">
      <c r="A274" s="8" t="s">
        <v>1983</v>
      </c>
      <c r="B274" s="9" t="s">
        <v>1815</v>
      </c>
      <c r="C274" s="9" t="s">
        <v>1816</v>
      </c>
      <c r="D274" s="9" t="s">
        <v>1817</v>
      </c>
      <c r="E274" s="9" t="s">
        <v>1818</v>
      </c>
      <c r="F274" s="9" t="s">
        <v>1819</v>
      </c>
      <c r="G274" s="9" t="s">
        <v>1820</v>
      </c>
      <c r="H274" s="10"/>
      <c r="I274" s="11"/>
      <c r="J274" s="11"/>
      <c r="K274" s="11"/>
      <c r="L274" s="11"/>
      <c r="M274" s="11"/>
    </row>
    <row r="275" ht="15" spans="1:13">
      <c r="A275" s="8" t="s">
        <v>1983</v>
      </c>
      <c r="B275" s="12" t="s">
        <v>1821</v>
      </c>
      <c r="C275" s="12" t="s">
        <v>1984</v>
      </c>
      <c r="D275" s="13" t="s">
        <v>1985</v>
      </c>
      <c r="E275" s="12" t="s">
        <v>1824</v>
      </c>
      <c r="F275" s="14">
        <v>11494.63</v>
      </c>
      <c r="G275" s="15">
        <v>245.87</v>
      </c>
      <c r="H275" s="16"/>
      <c r="I275" s="11"/>
      <c r="J275" s="11"/>
      <c r="K275" s="11"/>
      <c r="L275" s="11"/>
      <c r="M275" s="11"/>
    </row>
    <row r="276" ht="15.75" spans="1:13">
      <c r="A276" s="8" t="s">
        <v>1983</v>
      </c>
      <c r="B276" s="17"/>
      <c r="C276" s="18" t="s">
        <v>1825</v>
      </c>
      <c r="D276" s="19"/>
      <c r="E276" s="19"/>
      <c r="F276" s="19"/>
      <c r="G276" s="19"/>
      <c r="H276" s="20"/>
      <c r="I276" s="20"/>
      <c r="J276" s="20"/>
      <c r="K276" s="20"/>
      <c r="L276" s="20"/>
      <c r="M276" s="20"/>
    </row>
    <row r="277" ht="60" spans="1:13">
      <c r="A277" s="8" t="s">
        <v>1983</v>
      </c>
      <c r="B277" s="21"/>
      <c r="C277" s="22" t="s">
        <v>1816</v>
      </c>
      <c r="D277" s="22" t="s">
        <v>1817</v>
      </c>
      <c r="E277" s="22" t="s">
        <v>1826</v>
      </c>
      <c r="F277" s="22" t="s">
        <v>1819</v>
      </c>
      <c r="G277" s="22" t="s">
        <v>1820</v>
      </c>
      <c r="H277" s="22" t="s">
        <v>1827</v>
      </c>
      <c r="I277" s="22" t="s">
        <v>1828</v>
      </c>
      <c r="J277" s="22" t="s">
        <v>1829</v>
      </c>
      <c r="K277" s="22" t="s">
        <v>1830</v>
      </c>
      <c r="L277" s="23" t="s">
        <v>1831</v>
      </c>
      <c r="M277" s="23" t="s">
        <v>1832</v>
      </c>
    </row>
    <row r="278" ht="15" spans="1:13">
      <c r="A278" s="8" t="s">
        <v>1983</v>
      </c>
      <c r="B278" s="21"/>
      <c r="C278" s="12" t="s">
        <v>1984</v>
      </c>
      <c r="D278" s="13" t="s">
        <v>1985</v>
      </c>
      <c r="E278" s="12" t="s">
        <v>1824</v>
      </c>
      <c r="F278" s="15">
        <v>7631.34</v>
      </c>
      <c r="G278" s="15">
        <v>155.74</v>
      </c>
      <c r="H278" s="12" t="s">
        <v>473</v>
      </c>
      <c r="I278" s="12" t="s">
        <v>1833</v>
      </c>
      <c r="J278" s="15">
        <v>7787.08</v>
      </c>
      <c r="K278" s="15">
        <v>0</v>
      </c>
      <c r="L278" s="12" t="s">
        <v>1834</v>
      </c>
      <c r="M278" s="24"/>
    </row>
    <row r="279" ht="15" spans="1:13">
      <c r="A279" s="8" t="s">
        <v>1983</v>
      </c>
      <c r="B279" s="21"/>
      <c r="C279" s="12" t="s">
        <v>1984</v>
      </c>
      <c r="D279" s="13" t="s">
        <v>1985</v>
      </c>
      <c r="E279" s="12" t="s">
        <v>1824</v>
      </c>
      <c r="F279" s="15">
        <v>-155.74</v>
      </c>
      <c r="G279" s="15">
        <v>0</v>
      </c>
      <c r="H279" s="12" t="s">
        <v>1986</v>
      </c>
      <c r="I279" s="12" t="s">
        <v>1836</v>
      </c>
      <c r="J279" s="15">
        <v>-155.74</v>
      </c>
      <c r="K279" s="15">
        <v>0</v>
      </c>
      <c r="L279" s="12" t="s">
        <v>1834</v>
      </c>
      <c r="M279" s="24"/>
    </row>
    <row r="280" ht="15" spans="1:13">
      <c r="A280" s="8" t="s">
        <v>1983</v>
      </c>
      <c r="B280" s="21"/>
      <c r="C280" s="12" t="s">
        <v>1984</v>
      </c>
      <c r="D280" s="13" t="s">
        <v>1985</v>
      </c>
      <c r="E280" s="12" t="s">
        <v>1824</v>
      </c>
      <c r="F280" s="15">
        <v>4416.51</v>
      </c>
      <c r="G280" s="15">
        <v>90.13</v>
      </c>
      <c r="H280" s="12" t="s">
        <v>472</v>
      </c>
      <c r="I280" s="12" t="s">
        <v>1833</v>
      </c>
      <c r="J280" s="15">
        <v>4506.64</v>
      </c>
      <c r="K280" s="15">
        <v>0</v>
      </c>
      <c r="L280" s="12" t="s">
        <v>1834</v>
      </c>
      <c r="M280" s="24"/>
    </row>
    <row r="281" ht="15" spans="1:13">
      <c r="A281" s="8" t="s">
        <v>1983</v>
      </c>
      <c r="B281" s="21"/>
      <c r="C281" s="12" t="s">
        <v>1984</v>
      </c>
      <c r="D281" s="13" t="s">
        <v>1985</v>
      </c>
      <c r="E281" s="12" t="s">
        <v>1824</v>
      </c>
      <c r="F281" s="15">
        <v>-90.13</v>
      </c>
      <c r="G281" s="15">
        <v>0</v>
      </c>
      <c r="H281" s="12" t="s">
        <v>1987</v>
      </c>
      <c r="I281" s="12" t="s">
        <v>1836</v>
      </c>
      <c r="J281" s="15">
        <v>-90.13</v>
      </c>
      <c r="K281" s="15">
        <v>0</v>
      </c>
      <c r="L281" s="12" t="s">
        <v>1834</v>
      </c>
      <c r="M281" s="24"/>
    </row>
    <row r="282" ht="15" spans="1:13">
      <c r="A282" s="8" t="s">
        <v>1983</v>
      </c>
      <c r="B282" s="21"/>
      <c r="C282" s="12" t="s">
        <v>1984</v>
      </c>
      <c r="D282" s="13" t="s">
        <v>1985</v>
      </c>
      <c r="E282" s="12" t="s">
        <v>1824</v>
      </c>
      <c r="F282" s="15">
        <v>-112.67</v>
      </c>
      <c r="G282" s="15">
        <v>0</v>
      </c>
      <c r="H282" s="12" t="s">
        <v>1988</v>
      </c>
      <c r="I282" s="12" t="s">
        <v>1836</v>
      </c>
      <c r="J282" s="15">
        <v>-112.67</v>
      </c>
      <c r="K282" s="15">
        <v>0</v>
      </c>
      <c r="L282" s="12" t="s">
        <v>1834</v>
      </c>
      <c r="M282" s="24"/>
    </row>
    <row r="283" ht="15" spans="1:13">
      <c r="A283" s="8" t="s">
        <v>1983</v>
      </c>
      <c r="B283" s="21"/>
      <c r="C283" s="12" t="s">
        <v>1984</v>
      </c>
      <c r="D283" s="13" t="s">
        <v>1985</v>
      </c>
      <c r="E283" s="12" t="s">
        <v>1824</v>
      </c>
      <c r="F283" s="15">
        <v>-194.68</v>
      </c>
      <c r="G283" s="15">
        <v>0</v>
      </c>
      <c r="H283" s="12" t="s">
        <v>1989</v>
      </c>
      <c r="I283" s="12" t="s">
        <v>1836</v>
      </c>
      <c r="J283" s="15">
        <v>-194.68</v>
      </c>
      <c r="K283" s="15">
        <v>0</v>
      </c>
      <c r="L283" s="12" t="s">
        <v>1834</v>
      </c>
      <c r="M283" s="24"/>
    </row>
    <row r="284" ht="15" spans="1:13">
      <c r="A284" s="8" t="s">
        <v>1990</v>
      </c>
      <c r="B284" s="25"/>
      <c r="C284" s="26"/>
      <c r="D284" s="26"/>
      <c r="E284" s="26"/>
      <c r="F284" s="26"/>
      <c r="G284" s="26"/>
      <c r="H284" s="26"/>
      <c r="I284" s="26"/>
      <c r="J284" s="26"/>
      <c r="K284" s="26"/>
      <c r="L284" s="26"/>
      <c r="M284" s="26"/>
    </row>
    <row r="285" ht="15" spans="1:13">
      <c r="A285" s="8" t="s">
        <v>1990</v>
      </c>
      <c r="B285" s="25"/>
      <c r="C285" s="26"/>
      <c r="D285" s="26"/>
      <c r="E285" s="26"/>
      <c r="F285" s="26"/>
      <c r="G285" s="26"/>
      <c r="H285" s="26"/>
      <c r="I285" s="26"/>
      <c r="J285" s="26"/>
      <c r="K285" s="26"/>
      <c r="L285" s="26"/>
      <c r="M285" s="26"/>
    </row>
    <row r="286" ht="36" spans="1:13">
      <c r="A286" s="8" t="s">
        <v>1990</v>
      </c>
      <c r="B286" s="11" t="s">
        <v>1849</v>
      </c>
      <c r="C286" s="27" t="s">
        <v>1821</v>
      </c>
      <c r="D286" s="11"/>
      <c r="E286" s="11"/>
      <c r="F286" s="11"/>
      <c r="G286" s="11"/>
      <c r="H286" s="11"/>
      <c r="I286" s="11"/>
      <c r="J286" s="11"/>
      <c r="K286" s="11"/>
      <c r="L286" s="11"/>
      <c r="M286" s="11"/>
    </row>
    <row r="287" ht="15.75" spans="1:13">
      <c r="A287" s="8" t="s">
        <v>1990</v>
      </c>
      <c r="B287" s="28" t="s">
        <v>1850</v>
      </c>
      <c r="C287" s="20"/>
      <c r="D287" s="20"/>
      <c r="E287" s="20"/>
      <c r="F287" s="20"/>
      <c r="G287" s="20"/>
      <c r="H287" s="11"/>
      <c r="I287" s="11"/>
      <c r="J287" s="11"/>
      <c r="K287" s="11"/>
      <c r="L287" s="11"/>
      <c r="M287" s="11"/>
    </row>
    <row r="288" ht="30" spans="1:13">
      <c r="A288" s="8" t="s">
        <v>1990</v>
      </c>
      <c r="B288" s="9" t="s">
        <v>1815</v>
      </c>
      <c r="C288" s="9" t="s">
        <v>1816</v>
      </c>
      <c r="D288" s="9" t="s">
        <v>1817</v>
      </c>
      <c r="E288" s="9" t="s">
        <v>1818</v>
      </c>
      <c r="F288" s="9" t="s">
        <v>1819</v>
      </c>
      <c r="G288" s="9" t="s">
        <v>1820</v>
      </c>
      <c r="H288" s="10"/>
      <c r="I288" s="11"/>
      <c r="J288" s="11"/>
      <c r="K288" s="11"/>
      <c r="L288" s="11"/>
      <c r="M288" s="11"/>
    </row>
    <row r="289" ht="15" spans="1:13">
      <c r="A289" s="8" t="s">
        <v>1990</v>
      </c>
      <c r="B289" s="12" t="s">
        <v>1821</v>
      </c>
      <c r="C289" s="12" t="s">
        <v>1991</v>
      </c>
      <c r="D289" s="13" t="s">
        <v>1992</v>
      </c>
      <c r="E289" s="12" t="s">
        <v>1860</v>
      </c>
      <c r="F289" s="14">
        <v>1518.73</v>
      </c>
      <c r="G289" s="15">
        <v>30.99</v>
      </c>
      <c r="H289" s="16"/>
      <c r="I289" s="11"/>
      <c r="J289" s="11"/>
      <c r="K289" s="11"/>
      <c r="L289" s="11"/>
      <c r="M289" s="11"/>
    </row>
    <row r="290" ht="15.75" spans="1:13">
      <c r="A290" s="8" t="s">
        <v>1990</v>
      </c>
      <c r="B290" s="17"/>
      <c r="C290" s="18" t="s">
        <v>1825</v>
      </c>
      <c r="D290" s="19"/>
      <c r="E290" s="19"/>
      <c r="F290" s="19"/>
      <c r="G290" s="19"/>
      <c r="H290" s="20"/>
      <c r="I290" s="20"/>
      <c r="J290" s="20"/>
      <c r="K290" s="20"/>
      <c r="L290" s="20"/>
      <c r="M290" s="20"/>
    </row>
    <row r="291" ht="60" spans="1:13">
      <c r="A291" s="8" t="s">
        <v>1990</v>
      </c>
      <c r="B291" s="21"/>
      <c r="C291" s="22" t="s">
        <v>1816</v>
      </c>
      <c r="D291" s="22" t="s">
        <v>1817</v>
      </c>
      <c r="E291" s="22" t="s">
        <v>1826</v>
      </c>
      <c r="F291" s="22" t="s">
        <v>1819</v>
      </c>
      <c r="G291" s="22" t="s">
        <v>1820</v>
      </c>
      <c r="H291" s="22" t="s">
        <v>1827</v>
      </c>
      <c r="I291" s="22" t="s">
        <v>1828</v>
      </c>
      <c r="J291" s="22" t="s">
        <v>1829</v>
      </c>
      <c r="K291" s="22" t="s">
        <v>1830</v>
      </c>
      <c r="L291" s="23" t="s">
        <v>1831</v>
      </c>
      <c r="M291" s="23" t="s">
        <v>1832</v>
      </c>
    </row>
    <row r="292" s="7" customFormat="1" ht="15" spans="1:13">
      <c r="A292" s="32" t="s">
        <v>1990</v>
      </c>
      <c r="B292" s="33"/>
      <c r="C292" s="34" t="s">
        <v>1991</v>
      </c>
      <c r="D292" s="35" t="s">
        <v>1992</v>
      </c>
      <c r="E292" s="34" t="s">
        <v>1860</v>
      </c>
      <c r="F292" s="36">
        <v>1518.73</v>
      </c>
      <c r="G292" s="36">
        <v>30.99</v>
      </c>
      <c r="H292" s="34" t="s">
        <v>476</v>
      </c>
      <c r="I292" s="34" t="s">
        <v>1833</v>
      </c>
      <c r="J292" s="36">
        <v>13270.97</v>
      </c>
      <c r="K292" s="36">
        <v>11721.25</v>
      </c>
      <c r="L292" s="34" t="s">
        <v>1834</v>
      </c>
      <c r="M292" s="34" t="s">
        <v>1993</v>
      </c>
    </row>
    <row r="293" ht="31.5" spans="1:13">
      <c r="A293" s="8" t="s">
        <v>1990</v>
      </c>
      <c r="B293" s="11"/>
      <c r="C293" s="18" t="s">
        <v>1862</v>
      </c>
      <c r="D293" s="19"/>
      <c r="E293" s="19"/>
      <c r="F293" s="19"/>
      <c r="G293" s="19"/>
      <c r="H293" s="19"/>
      <c r="I293" s="19"/>
      <c r="J293" s="19"/>
      <c r="K293" s="19"/>
      <c r="L293" s="19"/>
      <c r="M293" s="17"/>
    </row>
    <row r="294" ht="45" spans="1:13">
      <c r="A294" s="8" t="s">
        <v>1990</v>
      </c>
      <c r="B294" s="21"/>
      <c r="C294" s="29" t="s">
        <v>1832</v>
      </c>
      <c r="D294" s="29" t="s">
        <v>1863</v>
      </c>
      <c r="E294" s="29" t="s">
        <v>1864</v>
      </c>
      <c r="F294" s="29" t="s">
        <v>1865</v>
      </c>
      <c r="G294" s="29" t="s">
        <v>1827</v>
      </c>
      <c r="H294" s="29" t="s">
        <v>1866</v>
      </c>
      <c r="I294" s="29" t="s">
        <v>1867</v>
      </c>
      <c r="J294" s="29" t="s">
        <v>1868</v>
      </c>
      <c r="K294" s="29" t="s">
        <v>1869</v>
      </c>
      <c r="L294" s="29" t="s">
        <v>1870</v>
      </c>
      <c r="M294" s="16"/>
    </row>
    <row r="295" ht="36" spans="1:13">
      <c r="A295" s="8" t="s">
        <v>1990</v>
      </c>
      <c r="B295" s="21"/>
      <c r="C295" s="12" t="s">
        <v>1993</v>
      </c>
      <c r="D295" s="12" t="s">
        <v>1834</v>
      </c>
      <c r="E295" s="14">
        <v>1518.73</v>
      </c>
      <c r="F295" s="12" t="s">
        <v>1871</v>
      </c>
      <c r="G295" s="13" t="s">
        <v>476</v>
      </c>
      <c r="H295" s="15">
        <v>13270.97</v>
      </c>
      <c r="I295" s="30" t="s">
        <v>1994</v>
      </c>
      <c r="J295" s="15">
        <v>30.99</v>
      </c>
      <c r="K295" s="12" t="s">
        <v>1991</v>
      </c>
      <c r="L295" s="12" t="s">
        <v>1821</v>
      </c>
      <c r="M295" s="31"/>
    </row>
    <row r="296" ht="36" spans="1:13">
      <c r="A296" s="8" t="s">
        <v>1990</v>
      </c>
      <c r="B296" s="21"/>
      <c r="C296" s="12" t="s">
        <v>1993</v>
      </c>
      <c r="D296" s="12" t="s">
        <v>1834</v>
      </c>
      <c r="E296" s="14">
        <v>1518.73</v>
      </c>
      <c r="F296" s="12" t="s">
        <v>1873</v>
      </c>
      <c r="G296" s="13" t="s">
        <v>1995</v>
      </c>
      <c r="H296" s="15">
        <v>1518.73</v>
      </c>
      <c r="I296" s="30" t="s">
        <v>1996</v>
      </c>
      <c r="J296" s="15">
        <v>0</v>
      </c>
      <c r="K296" s="12" t="s">
        <v>1997</v>
      </c>
      <c r="L296" s="12" t="s">
        <v>1821</v>
      </c>
      <c r="M296" s="31"/>
    </row>
    <row r="297" ht="15" spans="1:13">
      <c r="A297" s="8" t="s">
        <v>1998</v>
      </c>
      <c r="B297" s="25"/>
      <c r="C297" s="26"/>
      <c r="D297" s="26"/>
      <c r="E297" s="26"/>
      <c r="F297" s="26"/>
      <c r="G297" s="26"/>
      <c r="H297" s="26"/>
      <c r="I297" s="26"/>
      <c r="J297" s="26"/>
      <c r="K297" s="26"/>
      <c r="L297" s="26"/>
      <c r="M297" s="26"/>
    </row>
    <row r="298" ht="15" spans="1:13">
      <c r="A298" s="8" t="s">
        <v>1998</v>
      </c>
      <c r="B298" s="25"/>
      <c r="C298" s="26"/>
      <c r="D298" s="26"/>
      <c r="E298" s="26"/>
      <c r="F298" s="26"/>
      <c r="G298" s="26"/>
      <c r="H298" s="26"/>
      <c r="I298" s="26"/>
      <c r="J298" s="26"/>
      <c r="K298" s="26"/>
      <c r="L298" s="26"/>
      <c r="M298" s="26"/>
    </row>
    <row r="299" ht="36" spans="1:13">
      <c r="A299" s="8" t="s">
        <v>1998</v>
      </c>
      <c r="B299" s="11" t="s">
        <v>1849</v>
      </c>
      <c r="C299" s="27" t="s">
        <v>1821</v>
      </c>
      <c r="D299" s="11"/>
      <c r="E299" s="11"/>
      <c r="F299" s="11"/>
      <c r="G299" s="11"/>
      <c r="H299" s="11"/>
      <c r="I299" s="11"/>
      <c r="J299" s="11"/>
      <c r="K299" s="11"/>
      <c r="L299" s="11"/>
      <c r="M299" s="11"/>
    </row>
    <row r="300" ht="15.75" spans="1:13">
      <c r="A300" s="8" t="s">
        <v>1998</v>
      </c>
      <c r="B300" s="28" t="s">
        <v>1850</v>
      </c>
      <c r="C300" s="20"/>
      <c r="D300" s="20"/>
      <c r="E300" s="20"/>
      <c r="F300" s="20"/>
      <c r="G300" s="20"/>
      <c r="H300" s="11"/>
      <c r="I300" s="11"/>
      <c r="J300" s="11"/>
      <c r="K300" s="11"/>
      <c r="L300" s="11"/>
      <c r="M300" s="11"/>
    </row>
    <row r="301" ht="30" spans="1:13">
      <c r="A301" s="8" t="s">
        <v>1998</v>
      </c>
      <c r="B301" s="9" t="s">
        <v>1815</v>
      </c>
      <c r="C301" s="9" t="s">
        <v>1816</v>
      </c>
      <c r="D301" s="9" t="s">
        <v>1817</v>
      </c>
      <c r="E301" s="9" t="s">
        <v>1818</v>
      </c>
      <c r="F301" s="9" t="s">
        <v>1819</v>
      </c>
      <c r="G301" s="9" t="s">
        <v>1820</v>
      </c>
      <c r="H301" s="10"/>
      <c r="I301" s="11"/>
      <c r="J301" s="11"/>
      <c r="K301" s="11"/>
      <c r="L301" s="11"/>
      <c r="M301" s="11"/>
    </row>
    <row r="302" ht="15" spans="1:13">
      <c r="A302" s="8" t="s">
        <v>1998</v>
      </c>
      <c r="B302" s="12" t="s">
        <v>1821</v>
      </c>
      <c r="C302" s="12" t="s">
        <v>1999</v>
      </c>
      <c r="D302" s="13" t="s">
        <v>2000</v>
      </c>
      <c r="E302" s="12" t="s">
        <v>1824</v>
      </c>
      <c r="F302" s="14">
        <v>79144.03</v>
      </c>
      <c r="G302" s="15">
        <v>1694.41</v>
      </c>
      <c r="H302" s="16"/>
      <c r="I302" s="11"/>
      <c r="J302" s="11"/>
      <c r="K302" s="11"/>
      <c r="L302" s="11"/>
      <c r="M302" s="11"/>
    </row>
    <row r="303" ht="15.75" spans="1:13">
      <c r="A303" s="8" t="s">
        <v>1998</v>
      </c>
      <c r="B303" s="17"/>
      <c r="C303" s="18" t="s">
        <v>1825</v>
      </c>
      <c r="D303" s="19"/>
      <c r="E303" s="19"/>
      <c r="F303" s="19"/>
      <c r="G303" s="19"/>
      <c r="H303" s="20"/>
      <c r="I303" s="20"/>
      <c r="J303" s="20"/>
      <c r="K303" s="20"/>
      <c r="L303" s="20"/>
      <c r="M303" s="20"/>
    </row>
    <row r="304" ht="60" spans="1:13">
      <c r="A304" s="8" t="s">
        <v>1998</v>
      </c>
      <c r="B304" s="21"/>
      <c r="C304" s="22" t="s">
        <v>1816</v>
      </c>
      <c r="D304" s="22" t="s">
        <v>1817</v>
      </c>
      <c r="E304" s="22" t="s">
        <v>1826</v>
      </c>
      <c r="F304" s="22" t="s">
        <v>1819</v>
      </c>
      <c r="G304" s="22" t="s">
        <v>1820</v>
      </c>
      <c r="H304" s="22" t="s">
        <v>1827</v>
      </c>
      <c r="I304" s="22" t="s">
        <v>1828</v>
      </c>
      <c r="J304" s="22" t="s">
        <v>1829</v>
      </c>
      <c r="K304" s="22" t="s">
        <v>1830</v>
      </c>
      <c r="L304" s="23" t="s">
        <v>1831</v>
      </c>
      <c r="M304" s="23" t="s">
        <v>1832</v>
      </c>
    </row>
    <row r="305" ht="15" spans="1:13">
      <c r="A305" s="8" t="s">
        <v>1998</v>
      </c>
      <c r="B305" s="21"/>
      <c r="C305" s="12" t="s">
        <v>1999</v>
      </c>
      <c r="D305" s="13" t="s">
        <v>2000</v>
      </c>
      <c r="E305" s="12" t="s">
        <v>1824</v>
      </c>
      <c r="F305" s="15">
        <v>2987.21</v>
      </c>
      <c r="G305" s="15">
        <v>60.96</v>
      </c>
      <c r="H305" s="12" t="s">
        <v>474</v>
      </c>
      <c r="I305" s="12" t="s">
        <v>1833</v>
      </c>
      <c r="J305" s="15">
        <v>3048.17</v>
      </c>
      <c r="K305" s="15">
        <v>0</v>
      </c>
      <c r="L305" s="12" t="s">
        <v>1834</v>
      </c>
      <c r="M305" s="24"/>
    </row>
    <row r="306" ht="15" spans="1:13">
      <c r="A306" s="8" t="s">
        <v>1998</v>
      </c>
      <c r="B306" s="21"/>
      <c r="C306" s="12" t="s">
        <v>1999</v>
      </c>
      <c r="D306" s="13" t="s">
        <v>2000</v>
      </c>
      <c r="E306" s="12" t="s">
        <v>1824</v>
      </c>
      <c r="F306" s="15">
        <v>-78.08</v>
      </c>
      <c r="G306" s="15">
        <v>0</v>
      </c>
      <c r="H306" s="12" t="s">
        <v>2001</v>
      </c>
      <c r="I306" s="12" t="s">
        <v>1836</v>
      </c>
      <c r="J306" s="15">
        <v>-78.08</v>
      </c>
      <c r="K306" s="15">
        <v>0</v>
      </c>
      <c r="L306" s="12" t="s">
        <v>1834</v>
      </c>
      <c r="M306" s="24"/>
    </row>
    <row r="307" ht="15" spans="1:13">
      <c r="A307" s="8" t="s">
        <v>1998</v>
      </c>
      <c r="B307" s="21"/>
      <c r="C307" s="12" t="s">
        <v>1999</v>
      </c>
      <c r="D307" s="13" t="s">
        <v>2000</v>
      </c>
      <c r="E307" s="12" t="s">
        <v>1824</v>
      </c>
      <c r="F307" s="15">
        <v>12245.21</v>
      </c>
      <c r="G307" s="15">
        <v>249.9</v>
      </c>
      <c r="H307" s="12" t="s">
        <v>475</v>
      </c>
      <c r="I307" s="12" t="s">
        <v>1833</v>
      </c>
      <c r="J307" s="15">
        <v>12495.11</v>
      </c>
      <c r="K307" s="15">
        <v>0</v>
      </c>
      <c r="L307" s="12" t="s">
        <v>1834</v>
      </c>
      <c r="M307" s="24"/>
    </row>
    <row r="308" s="7" customFormat="1" ht="15" spans="1:13">
      <c r="A308" s="32" t="s">
        <v>1998</v>
      </c>
      <c r="B308" s="33"/>
      <c r="C308" s="34" t="s">
        <v>1999</v>
      </c>
      <c r="D308" s="35" t="s">
        <v>2000</v>
      </c>
      <c r="E308" s="34" t="s">
        <v>1824</v>
      </c>
      <c r="F308" s="36">
        <v>11486.82</v>
      </c>
      <c r="G308" s="36">
        <v>234.43</v>
      </c>
      <c r="H308" s="34" t="s">
        <v>476</v>
      </c>
      <c r="I308" s="34" t="s">
        <v>1833</v>
      </c>
      <c r="J308" s="36">
        <v>13270.97</v>
      </c>
      <c r="K308" s="36">
        <v>0</v>
      </c>
      <c r="L308" s="34" t="s">
        <v>1834</v>
      </c>
      <c r="M308" s="37"/>
    </row>
    <row r="309" ht="15" spans="1:13">
      <c r="A309" s="8" t="s">
        <v>1998</v>
      </c>
      <c r="B309" s="21"/>
      <c r="C309" s="12" t="s">
        <v>1999</v>
      </c>
      <c r="D309" s="13" t="s">
        <v>2000</v>
      </c>
      <c r="E309" s="12" t="s">
        <v>1824</v>
      </c>
      <c r="F309" s="15">
        <v>21590.07</v>
      </c>
      <c r="G309" s="15">
        <v>440.61</v>
      </c>
      <c r="H309" s="12" t="s">
        <v>478</v>
      </c>
      <c r="I309" s="12" t="s">
        <v>1833</v>
      </c>
      <c r="J309" s="15">
        <v>22030.68</v>
      </c>
      <c r="K309" s="15">
        <v>0</v>
      </c>
      <c r="L309" s="12" t="s">
        <v>1834</v>
      </c>
      <c r="M309" s="24"/>
    </row>
    <row r="310" ht="15" spans="1:13">
      <c r="A310" s="8" t="s">
        <v>1998</v>
      </c>
      <c r="B310" s="21"/>
      <c r="C310" s="12" t="s">
        <v>1999</v>
      </c>
      <c r="D310" s="13" t="s">
        <v>2000</v>
      </c>
      <c r="E310" s="12" t="s">
        <v>1824</v>
      </c>
      <c r="F310" s="15">
        <v>7389.38</v>
      </c>
      <c r="G310" s="15">
        <v>150.8</v>
      </c>
      <c r="H310" s="12" t="s">
        <v>479</v>
      </c>
      <c r="I310" s="12" t="s">
        <v>1833</v>
      </c>
      <c r="J310" s="15">
        <v>7540.18</v>
      </c>
      <c r="K310" s="15">
        <v>0</v>
      </c>
      <c r="L310" s="12" t="s">
        <v>1834</v>
      </c>
      <c r="M310" s="24"/>
    </row>
    <row r="311" ht="15" spans="1:13">
      <c r="A311" s="8" t="s">
        <v>1998</v>
      </c>
      <c r="B311" s="21"/>
      <c r="C311" s="12" t="s">
        <v>1999</v>
      </c>
      <c r="D311" s="13" t="s">
        <v>2000</v>
      </c>
      <c r="E311" s="12" t="s">
        <v>1824</v>
      </c>
      <c r="F311" s="15">
        <v>3973.94</v>
      </c>
      <c r="G311" s="15">
        <v>81.1</v>
      </c>
      <c r="H311" s="12" t="s">
        <v>480</v>
      </c>
      <c r="I311" s="12" t="s">
        <v>1833</v>
      </c>
      <c r="J311" s="15">
        <v>4055.04</v>
      </c>
      <c r="K311" s="15">
        <v>0</v>
      </c>
      <c r="L311" s="12" t="s">
        <v>1834</v>
      </c>
      <c r="M311" s="24"/>
    </row>
    <row r="312" ht="15" spans="1:13">
      <c r="A312" s="8" t="s">
        <v>1998</v>
      </c>
      <c r="B312" s="21"/>
      <c r="C312" s="12" t="s">
        <v>1999</v>
      </c>
      <c r="D312" s="13" t="s">
        <v>2000</v>
      </c>
      <c r="E312" s="12" t="s">
        <v>1824</v>
      </c>
      <c r="F312" s="15">
        <v>5815.11</v>
      </c>
      <c r="G312" s="15">
        <v>118.68</v>
      </c>
      <c r="H312" s="12" t="s">
        <v>481</v>
      </c>
      <c r="I312" s="12" t="s">
        <v>1833</v>
      </c>
      <c r="J312" s="15">
        <v>5933.79</v>
      </c>
      <c r="K312" s="15">
        <v>0</v>
      </c>
      <c r="L312" s="12" t="s">
        <v>1834</v>
      </c>
      <c r="M312" s="24"/>
    </row>
    <row r="313" ht="15" spans="1:13">
      <c r="A313" s="8" t="s">
        <v>1998</v>
      </c>
      <c r="B313" s="21"/>
      <c r="C313" s="12" t="s">
        <v>1999</v>
      </c>
      <c r="D313" s="13" t="s">
        <v>2000</v>
      </c>
      <c r="E313" s="12" t="s">
        <v>1824</v>
      </c>
      <c r="F313" s="15">
        <v>14477.53</v>
      </c>
      <c r="G313" s="15">
        <v>295.46</v>
      </c>
      <c r="H313" s="12" t="s">
        <v>482</v>
      </c>
      <c r="I313" s="12" t="s">
        <v>1833</v>
      </c>
      <c r="J313" s="15">
        <v>14772.99</v>
      </c>
      <c r="K313" s="15">
        <v>0</v>
      </c>
      <c r="L313" s="12" t="s">
        <v>1834</v>
      </c>
      <c r="M313" s="24"/>
    </row>
    <row r="314" ht="15" spans="1:13">
      <c r="A314" s="8" t="s">
        <v>1998</v>
      </c>
      <c r="B314" s="21"/>
      <c r="C314" s="12" t="s">
        <v>1999</v>
      </c>
      <c r="D314" s="13" t="s">
        <v>2000</v>
      </c>
      <c r="E314" s="12" t="s">
        <v>1824</v>
      </c>
      <c r="F314" s="15">
        <v>3060.9</v>
      </c>
      <c r="G314" s="15">
        <v>62.47</v>
      </c>
      <c r="H314" s="12" t="s">
        <v>483</v>
      </c>
      <c r="I314" s="12" t="s">
        <v>1833</v>
      </c>
      <c r="J314" s="15">
        <v>3123.37</v>
      </c>
      <c r="K314" s="15">
        <v>0</v>
      </c>
      <c r="L314" s="12" t="s">
        <v>1834</v>
      </c>
      <c r="M314" s="24"/>
    </row>
    <row r="315" ht="15" spans="1:13">
      <c r="A315" s="8" t="s">
        <v>1998</v>
      </c>
      <c r="B315" s="21"/>
      <c r="C315" s="12" t="s">
        <v>1999</v>
      </c>
      <c r="D315" s="13" t="s">
        <v>2000</v>
      </c>
      <c r="E315" s="12" t="s">
        <v>1824</v>
      </c>
      <c r="F315" s="15">
        <v>-60.96</v>
      </c>
      <c r="G315" s="15">
        <v>0</v>
      </c>
      <c r="H315" s="12" t="s">
        <v>2002</v>
      </c>
      <c r="I315" s="12" t="s">
        <v>1836</v>
      </c>
      <c r="J315" s="15">
        <v>-60.96</v>
      </c>
      <c r="K315" s="15">
        <v>0</v>
      </c>
      <c r="L315" s="12" t="s">
        <v>1834</v>
      </c>
      <c r="M315" s="24"/>
    </row>
    <row r="316" ht="15" spans="1:13">
      <c r="A316" s="8" t="s">
        <v>1998</v>
      </c>
      <c r="B316" s="21"/>
      <c r="C316" s="12" t="s">
        <v>1999</v>
      </c>
      <c r="D316" s="13" t="s">
        <v>2000</v>
      </c>
      <c r="E316" s="12" t="s">
        <v>1824</v>
      </c>
      <c r="F316" s="15">
        <v>-76.2</v>
      </c>
      <c r="G316" s="15">
        <v>0</v>
      </c>
      <c r="H316" s="12" t="s">
        <v>2003</v>
      </c>
      <c r="I316" s="12" t="s">
        <v>1836</v>
      </c>
      <c r="J316" s="15">
        <v>-76.2</v>
      </c>
      <c r="K316" s="15">
        <v>0</v>
      </c>
      <c r="L316" s="12" t="s">
        <v>1834</v>
      </c>
      <c r="M316" s="24"/>
    </row>
    <row r="317" ht="15" spans="1:13">
      <c r="A317" s="8" t="s">
        <v>1998</v>
      </c>
      <c r="B317" s="21"/>
      <c r="C317" s="12" t="s">
        <v>1999</v>
      </c>
      <c r="D317" s="13" t="s">
        <v>2000</v>
      </c>
      <c r="E317" s="12" t="s">
        <v>1824</v>
      </c>
      <c r="F317" s="15">
        <v>-249.9</v>
      </c>
      <c r="G317" s="15">
        <v>0</v>
      </c>
      <c r="H317" s="12" t="s">
        <v>2004</v>
      </c>
      <c r="I317" s="12" t="s">
        <v>1836</v>
      </c>
      <c r="J317" s="15">
        <v>-249.9</v>
      </c>
      <c r="K317" s="15">
        <v>0</v>
      </c>
      <c r="L317" s="12" t="s">
        <v>1834</v>
      </c>
      <c r="M317" s="24"/>
    </row>
    <row r="318" ht="15" spans="1:13">
      <c r="A318" s="8" t="s">
        <v>1998</v>
      </c>
      <c r="B318" s="21"/>
      <c r="C318" s="12" t="s">
        <v>1999</v>
      </c>
      <c r="D318" s="13" t="s">
        <v>2000</v>
      </c>
      <c r="E318" s="12" t="s">
        <v>1824</v>
      </c>
      <c r="F318" s="15">
        <v>-312.38</v>
      </c>
      <c r="G318" s="15">
        <v>0</v>
      </c>
      <c r="H318" s="12" t="s">
        <v>2005</v>
      </c>
      <c r="I318" s="12" t="s">
        <v>1836</v>
      </c>
      <c r="J318" s="15">
        <v>-312.38</v>
      </c>
      <c r="K318" s="15">
        <v>0</v>
      </c>
      <c r="L318" s="12" t="s">
        <v>1834</v>
      </c>
      <c r="M318" s="24"/>
    </row>
    <row r="319" s="7" customFormat="1" ht="15" spans="1:13">
      <c r="A319" s="32" t="s">
        <v>1998</v>
      </c>
      <c r="B319" s="33"/>
      <c r="C319" s="34" t="s">
        <v>1999</v>
      </c>
      <c r="D319" s="35" t="s">
        <v>2000</v>
      </c>
      <c r="E319" s="34" t="s">
        <v>1824</v>
      </c>
      <c r="F319" s="36">
        <v>-265.42</v>
      </c>
      <c r="G319" s="36">
        <v>0</v>
      </c>
      <c r="H319" s="34" t="s">
        <v>2006</v>
      </c>
      <c r="I319" s="34" t="s">
        <v>1836</v>
      </c>
      <c r="J319" s="36">
        <v>-265.42</v>
      </c>
      <c r="K319" s="36">
        <v>0</v>
      </c>
      <c r="L319" s="34" t="s">
        <v>1834</v>
      </c>
      <c r="M319" s="37"/>
    </row>
    <row r="320" s="7" customFormat="1" ht="15" spans="1:13">
      <c r="A320" s="32" t="s">
        <v>1998</v>
      </c>
      <c r="B320" s="33"/>
      <c r="C320" s="34" t="s">
        <v>1999</v>
      </c>
      <c r="D320" s="35" t="s">
        <v>2000</v>
      </c>
      <c r="E320" s="34" t="s">
        <v>1824</v>
      </c>
      <c r="F320" s="36">
        <v>-331.77</v>
      </c>
      <c r="G320" s="36">
        <v>0</v>
      </c>
      <c r="H320" s="34" t="s">
        <v>2007</v>
      </c>
      <c r="I320" s="34" t="s">
        <v>1836</v>
      </c>
      <c r="J320" s="36">
        <v>-331.77</v>
      </c>
      <c r="K320" s="36">
        <v>0</v>
      </c>
      <c r="L320" s="34" t="s">
        <v>1834</v>
      </c>
      <c r="M320" s="37"/>
    </row>
    <row r="321" ht="15" spans="1:13">
      <c r="A321" s="8" t="s">
        <v>1998</v>
      </c>
      <c r="B321" s="21"/>
      <c r="C321" s="12" t="s">
        <v>1999</v>
      </c>
      <c r="D321" s="13" t="s">
        <v>2000</v>
      </c>
      <c r="E321" s="12" t="s">
        <v>1824</v>
      </c>
      <c r="F321" s="15">
        <v>-440.61</v>
      </c>
      <c r="G321" s="15">
        <v>0</v>
      </c>
      <c r="H321" s="12" t="s">
        <v>2008</v>
      </c>
      <c r="I321" s="12" t="s">
        <v>1836</v>
      </c>
      <c r="J321" s="15">
        <v>-440.61</v>
      </c>
      <c r="K321" s="15">
        <v>0</v>
      </c>
      <c r="L321" s="12" t="s">
        <v>1834</v>
      </c>
      <c r="M321" s="24"/>
    </row>
    <row r="322" ht="15" spans="1:13">
      <c r="A322" s="8" t="s">
        <v>1998</v>
      </c>
      <c r="B322" s="21"/>
      <c r="C322" s="12" t="s">
        <v>1999</v>
      </c>
      <c r="D322" s="13" t="s">
        <v>2000</v>
      </c>
      <c r="E322" s="12" t="s">
        <v>1824</v>
      </c>
      <c r="F322" s="15">
        <v>-550.77</v>
      </c>
      <c r="G322" s="15">
        <v>0</v>
      </c>
      <c r="H322" s="12" t="s">
        <v>2009</v>
      </c>
      <c r="I322" s="12" t="s">
        <v>1836</v>
      </c>
      <c r="J322" s="15">
        <v>-550.77</v>
      </c>
      <c r="K322" s="15">
        <v>0</v>
      </c>
      <c r="L322" s="12" t="s">
        <v>1834</v>
      </c>
      <c r="M322" s="24"/>
    </row>
    <row r="323" ht="15" spans="1:13">
      <c r="A323" s="8" t="s">
        <v>1998</v>
      </c>
      <c r="B323" s="21"/>
      <c r="C323" s="12" t="s">
        <v>1999</v>
      </c>
      <c r="D323" s="13" t="s">
        <v>2000</v>
      </c>
      <c r="E323" s="12" t="s">
        <v>1824</v>
      </c>
      <c r="F323" s="15">
        <v>-150.8</v>
      </c>
      <c r="G323" s="15">
        <v>0</v>
      </c>
      <c r="H323" s="12" t="s">
        <v>2010</v>
      </c>
      <c r="I323" s="12" t="s">
        <v>1836</v>
      </c>
      <c r="J323" s="15">
        <v>-150.8</v>
      </c>
      <c r="K323" s="15">
        <v>0</v>
      </c>
      <c r="L323" s="12" t="s">
        <v>1834</v>
      </c>
      <c r="M323" s="24"/>
    </row>
    <row r="324" ht="15" spans="1:13">
      <c r="A324" s="8" t="s">
        <v>1998</v>
      </c>
      <c r="B324" s="21"/>
      <c r="C324" s="12" t="s">
        <v>1999</v>
      </c>
      <c r="D324" s="13" t="s">
        <v>2000</v>
      </c>
      <c r="E324" s="12" t="s">
        <v>1824</v>
      </c>
      <c r="F324" s="15">
        <v>-188.5</v>
      </c>
      <c r="G324" s="15">
        <v>0</v>
      </c>
      <c r="H324" s="12" t="s">
        <v>2011</v>
      </c>
      <c r="I324" s="12" t="s">
        <v>1836</v>
      </c>
      <c r="J324" s="15">
        <v>-188.5</v>
      </c>
      <c r="K324" s="15">
        <v>0</v>
      </c>
      <c r="L324" s="12" t="s">
        <v>1834</v>
      </c>
      <c r="M324" s="24"/>
    </row>
    <row r="325" ht="15" spans="1:13">
      <c r="A325" s="8" t="s">
        <v>1998</v>
      </c>
      <c r="B325" s="21"/>
      <c r="C325" s="12" t="s">
        <v>1999</v>
      </c>
      <c r="D325" s="13" t="s">
        <v>2000</v>
      </c>
      <c r="E325" s="12" t="s">
        <v>1824</v>
      </c>
      <c r="F325" s="15">
        <v>-81.1</v>
      </c>
      <c r="G325" s="15">
        <v>0</v>
      </c>
      <c r="H325" s="12" t="s">
        <v>2012</v>
      </c>
      <c r="I325" s="12" t="s">
        <v>1836</v>
      </c>
      <c r="J325" s="15">
        <v>-81.1</v>
      </c>
      <c r="K325" s="15">
        <v>0</v>
      </c>
      <c r="L325" s="12" t="s">
        <v>1834</v>
      </c>
      <c r="M325" s="24"/>
    </row>
    <row r="326" ht="15" spans="1:13">
      <c r="A326" s="8" t="s">
        <v>1998</v>
      </c>
      <c r="B326" s="21"/>
      <c r="C326" s="12" t="s">
        <v>1999</v>
      </c>
      <c r="D326" s="13" t="s">
        <v>2000</v>
      </c>
      <c r="E326" s="12" t="s">
        <v>1824</v>
      </c>
      <c r="F326" s="15">
        <v>-101.38</v>
      </c>
      <c r="G326" s="15">
        <v>0</v>
      </c>
      <c r="H326" s="12" t="s">
        <v>2013</v>
      </c>
      <c r="I326" s="12" t="s">
        <v>1836</v>
      </c>
      <c r="J326" s="15">
        <v>-101.38</v>
      </c>
      <c r="K326" s="15">
        <v>0</v>
      </c>
      <c r="L326" s="12" t="s">
        <v>1834</v>
      </c>
      <c r="M326" s="24"/>
    </row>
    <row r="327" ht="15" spans="1:13">
      <c r="A327" s="8" t="s">
        <v>1998</v>
      </c>
      <c r="B327" s="21"/>
      <c r="C327" s="12" t="s">
        <v>1999</v>
      </c>
      <c r="D327" s="13" t="s">
        <v>2000</v>
      </c>
      <c r="E327" s="12" t="s">
        <v>1824</v>
      </c>
      <c r="F327" s="15">
        <v>-118.68</v>
      </c>
      <c r="G327" s="15">
        <v>0</v>
      </c>
      <c r="H327" s="12" t="s">
        <v>2014</v>
      </c>
      <c r="I327" s="12" t="s">
        <v>1836</v>
      </c>
      <c r="J327" s="15">
        <v>-118.68</v>
      </c>
      <c r="K327" s="15">
        <v>0</v>
      </c>
      <c r="L327" s="12" t="s">
        <v>1834</v>
      </c>
      <c r="M327" s="24"/>
    </row>
    <row r="328" ht="15" spans="1:13">
      <c r="A328" s="8" t="s">
        <v>1998</v>
      </c>
      <c r="B328" s="21"/>
      <c r="C328" s="12" t="s">
        <v>1999</v>
      </c>
      <c r="D328" s="13" t="s">
        <v>2000</v>
      </c>
      <c r="E328" s="12" t="s">
        <v>1824</v>
      </c>
      <c r="F328" s="15">
        <v>-148.34</v>
      </c>
      <c r="G328" s="15">
        <v>0</v>
      </c>
      <c r="H328" s="12" t="s">
        <v>2015</v>
      </c>
      <c r="I328" s="12" t="s">
        <v>1836</v>
      </c>
      <c r="J328" s="15">
        <v>-148.34</v>
      </c>
      <c r="K328" s="15">
        <v>0</v>
      </c>
      <c r="L328" s="12" t="s">
        <v>1834</v>
      </c>
      <c r="M328" s="24"/>
    </row>
    <row r="329" ht="15" spans="1:13">
      <c r="A329" s="8" t="s">
        <v>1998</v>
      </c>
      <c r="B329" s="21"/>
      <c r="C329" s="12" t="s">
        <v>1999</v>
      </c>
      <c r="D329" s="13" t="s">
        <v>2000</v>
      </c>
      <c r="E329" s="12" t="s">
        <v>1824</v>
      </c>
      <c r="F329" s="15">
        <v>-295.46</v>
      </c>
      <c r="G329" s="15">
        <v>0</v>
      </c>
      <c r="H329" s="12" t="s">
        <v>2016</v>
      </c>
      <c r="I329" s="12" t="s">
        <v>1836</v>
      </c>
      <c r="J329" s="15">
        <v>-295.46</v>
      </c>
      <c r="K329" s="15">
        <v>0</v>
      </c>
      <c r="L329" s="12" t="s">
        <v>1834</v>
      </c>
      <c r="M329" s="24"/>
    </row>
    <row r="330" ht="15" spans="1:13">
      <c r="A330" s="8" t="s">
        <v>1998</v>
      </c>
      <c r="B330" s="21"/>
      <c r="C330" s="12" t="s">
        <v>1999</v>
      </c>
      <c r="D330" s="13" t="s">
        <v>2000</v>
      </c>
      <c r="E330" s="12" t="s">
        <v>1824</v>
      </c>
      <c r="F330" s="15">
        <v>-369.32</v>
      </c>
      <c r="G330" s="15">
        <v>0</v>
      </c>
      <c r="H330" s="12" t="s">
        <v>2017</v>
      </c>
      <c r="I330" s="12" t="s">
        <v>1836</v>
      </c>
      <c r="J330" s="15">
        <v>-369.32</v>
      </c>
      <c r="K330" s="15">
        <v>0</v>
      </c>
      <c r="L330" s="12" t="s">
        <v>1834</v>
      </c>
      <c r="M330" s="24"/>
    </row>
    <row r="331" ht="15" spans="1:13">
      <c r="A331" s="8" t="s">
        <v>1998</v>
      </c>
      <c r="B331" s="21"/>
      <c r="C331" s="12" t="s">
        <v>1999</v>
      </c>
      <c r="D331" s="13" t="s">
        <v>2000</v>
      </c>
      <c r="E331" s="12" t="s">
        <v>1824</v>
      </c>
      <c r="F331" s="15">
        <v>-62.47</v>
      </c>
      <c r="G331" s="15">
        <v>0</v>
      </c>
      <c r="H331" s="12" t="s">
        <v>2018</v>
      </c>
      <c r="I331" s="12" t="s">
        <v>1836</v>
      </c>
      <c r="J331" s="15">
        <v>-62.47</v>
      </c>
      <c r="K331" s="15">
        <v>0</v>
      </c>
      <c r="L331" s="12" t="s">
        <v>1834</v>
      </c>
      <c r="M331" s="24"/>
    </row>
    <row r="332" s="7" customFormat="1" ht="15" spans="1:13">
      <c r="A332" s="32" t="s">
        <v>1998</v>
      </c>
      <c r="B332" s="33"/>
      <c r="C332" s="34" t="s">
        <v>1991</v>
      </c>
      <c r="D332" s="35" t="s">
        <v>1992</v>
      </c>
      <c r="E332" s="34" t="s">
        <v>1860</v>
      </c>
      <c r="F332" s="36">
        <v>1518.73</v>
      </c>
      <c r="G332" s="36">
        <v>30.99</v>
      </c>
      <c r="H332" s="34" t="s">
        <v>2019</v>
      </c>
      <c r="I332" s="34" t="s">
        <v>1833</v>
      </c>
      <c r="J332" s="36">
        <v>13270.97</v>
      </c>
      <c r="K332" s="36">
        <v>0</v>
      </c>
      <c r="L332" s="34" t="s">
        <v>1834</v>
      </c>
      <c r="M332" s="34" t="s">
        <v>1993</v>
      </c>
    </row>
    <row r="333" ht="31.5" spans="1:13">
      <c r="A333" s="8" t="s">
        <v>1998</v>
      </c>
      <c r="B333" s="11"/>
      <c r="C333" s="18" t="s">
        <v>1862</v>
      </c>
      <c r="D333" s="19"/>
      <c r="E333" s="19"/>
      <c r="F333" s="19"/>
      <c r="G333" s="19"/>
      <c r="H333" s="19"/>
      <c r="I333" s="19"/>
      <c r="J333" s="19"/>
      <c r="K333" s="19"/>
      <c r="L333" s="19"/>
      <c r="M333" s="17"/>
    </row>
    <row r="334" ht="45" spans="1:13">
      <c r="A334" s="8" t="s">
        <v>1998</v>
      </c>
      <c r="B334" s="21"/>
      <c r="C334" s="29" t="s">
        <v>1832</v>
      </c>
      <c r="D334" s="29" t="s">
        <v>1863</v>
      </c>
      <c r="E334" s="29" t="s">
        <v>1864</v>
      </c>
      <c r="F334" s="29" t="s">
        <v>1865</v>
      </c>
      <c r="G334" s="29" t="s">
        <v>1827</v>
      </c>
      <c r="H334" s="29" t="s">
        <v>1866</v>
      </c>
      <c r="I334" s="29" t="s">
        <v>1867</v>
      </c>
      <c r="J334" s="29" t="s">
        <v>1868</v>
      </c>
      <c r="K334" s="29" t="s">
        <v>1869</v>
      </c>
      <c r="L334" s="29" t="s">
        <v>1870</v>
      </c>
      <c r="M334" s="16"/>
    </row>
    <row r="335" ht="36" spans="1:13">
      <c r="A335" s="8" t="s">
        <v>1998</v>
      </c>
      <c r="B335" s="21"/>
      <c r="C335" s="12" t="s">
        <v>1993</v>
      </c>
      <c r="D335" s="12" t="s">
        <v>1834</v>
      </c>
      <c r="E335" s="14">
        <v>1518.73</v>
      </c>
      <c r="F335" s="12" t="s">
        <v>1871</v>
      </c>
      <c r="G335" s="13" t="s">
        <v>476</v>
      </c>
      <c r="H335" s="15">
        <v>13270.97</v>
      </c>
      <c r="I335" s="30" t="s">
        <v>1994</v>
      </c>
      <c r="J335" s="15">
        <v>30.99</v>
      </c>
      <c r="K335" s="12" t="s">
        <v>1991</v>
      </c>
      <c r="L335" s="12" t="s">
        <v>1821</v>
      </c>
      <c r="M335" s="31"/>
    </row>
    <row r="336" ht="36" spans="1:13">
      <c r="A336" s="8" t="s">
        <v>1998</v>
      </c>
      <c r="B336" s="21"/>
      <c r="C336" s="12" t="s">
        <v>1993</v>
      </c>
      <c r="D336" s="12" t="s">
        <v>1834</v>
      </c>
      <c r="E336" s="14">
        <v>1518.73</v>
      </c>
      <c r="F336" s="12" t="s">
        <v>1873</v>
      </c>
      <c r="G336" s="13" t="s">
        <v>1995</v>
      </c>
      <c r="H336" s="15">
        <v>1518.73</v>
      </c>
      <c r="I336" s="30" t="s">
        <v>1996</v>
      </c>
      <c r="J336" s="15">
        <v>0</v>
      </c>
      <c r="K336" s="12" t="s">
        <v>1997</v>
      </c>
      <c r="L336" s="12" t="s">
        <v>1821</v>
      </c>
      <c r="M336" s="31"/>
    </row>
    <row r="337" ht="15" spans="1:13">
      <c r="A337" s="8" t="s">
        <v>2020</v>
      </c>
      <c r="B337" s="25"/>
      <c r="C337" s="26"/>
      <c r="D337" s="26"/>
      <c r="E337" s="26"/>
      <c r="F337" s="26"/>
      <c r="G337" s="26"/>
      <c r="H337" s="26"/>
      <c r="I337" s="26"/>
      <c r="J337" s="26"/>
      <c r="K337" s="26"/>
      <c r="L337" s="26"/>
      <c r="M337" s="26"/>
    </row>
    <row r="338" ht="15" spans="1:13">
      <c r="A338" s="8" t="s">
        <v>2020</v>
      </c>
      <c r="B338" s="25"/>
      <c r="C338" s="26"/>
      <c r="D338" s="26"/>
      <c r="E338" s="26"/>
      <c r="F338" s="26"/>
      <c r="G338" s="26"/>
      <c r="H338" s="26"/>
      <c r="I338" s="26"/>
      <c r="J338" s="26"/>
      <c r="K338" s="26"/>
      <c r="L338" s="26"/>
      <c r="M338" s="26"/>
    </row>
    <row r="339" ht="36" spans="1:13">
      <c r="A339" s="8" t="s">
        <v>2020</v>
      </c>
      <c r="B339" s="11" t="s">
        <v>1849</v>
      </c>
      <c r="C339" s="27" t="s">
        <v>1821</v>
      </c>
      <c r="D339" s="11"/>
      <c r="E339" s="11"/>
      <c r="F339" s="11"/>
      <c r="G339" s="11"/>
      <c r="H339" s="11"/>
      <c r="I339" s="11"/>
      <c r="J339" s="11"/>
      <c r="K339" s="11"/>
      <c r="L339" s="11"/>
      <c r="M339" s="11"/>
    </row>
    <row r="340" ht="15.75" spans="1:13">
      <c r="A340" s="8" t="s">
        <v>2020</v>
      </c>
      <c r="B340" s="28" t="s">
        <v>1850</v>
      </c>
      <c r="C340" s="20"/>
      <c r="D340" s="20"/>
      <c r="E340" s="20"/>
      <c r="F340" s="20"/>
      <c r="G340" s="20"/>
      <c r="H340" s="11"/>
      <c r="I340" s="11"/>
      <c r="J340" s="11"/>
      <c r="K340" s="11"/>
      <c r="L340" s="11"/>
      <c r="M340" s="11"/>
    </row>
    <row r="341" ht="30" spans="1:13">
      <c r="A341" s="8" t="s">
        <v>2020</v>
      </c>
      <c r="B341" s="9" t="s">
        <v>1815</v>
      </c>
      <c r="C341" s="9" t="s">
        <v>1816</v>
      </c>
      <c r="D341" s="9" t="s">
        <v>1817</v>
      </c>
      <c r="E341" s="9" t="s">
        <v>1818</v>
      </c>
      <c r="F341" s="9" t="s">
        <v>1819</v>
      </c>
      <c r="G341" s="9" t="s">
        <v>1820</v>
      </c>
      <c r="H341" s="10"/>
      <c r="I341" s="11"/>
      <c r="J341" s="11"/>
      <c r="K341" s="11"/>
      <c r="L341" s="11"/>
      <c r="M341" s="11"/>
    </row>
    <row r="342" ht="15" spans="1:13">
      <c r="A342" s="8" t="s">
        <v>2020</v>
      </c>
      <c r="B342" s="12" t="s">
        <v>1821</v>
      </c>
      <c r="C342" s="12" t="s">
        <v>2021</v>
      </c>
      <c r="D342" s="13" t="s">
        <v>2022</v>
      </c>
      <c r="E342" s="12" t="s">
        <v>1824</v>
      </c>
      <c r="F342" s="14">
        <v>14543.91</v>
      </c>
      <c r="G342" s="15">
        <v>311.1</v>
      </c>
      <c r="H342" s="16"/>
      <c r="I342" s="11"/>
      <c r="J342" s="11"/>
      <c r="K342" s="11"/>
      <c r="L342" s="11"/>
      <c r="M342" s="11"/>
    </row>
    <row r="343" ht="15.75" spans="1:13">
      <c r="A343" s="8" t="s">
        <v>2020</v>
      </c>
      <c r="B343" s="17"/>
      <c r="C343" s="18" t="s">
        <v>1825</v>
      </c>
      <c r="D343" s="19"/>
      <c r="E343" s="19"/>
      <c r="F343" s="19"/>
      <c r="G343" s="19"/>
      <c r="H343" s="20"/>
      <c r="I343" s="20"/>
      <c r="J343" s="20"/>
      <c r="K343" s="20"/>
      <c r="L343" s="20"/>
      <c r="M343" s="20"/>
    </row>
    <row r="344" ht="60" spans="1:13">
      <c r="A344" s="8" t="s">
        <v>2020</v>
      </c>
      <c r="B344" s="21"/>
      <c r="C344" s="22" t="s">
        <v>1816</v>
      </c>
      <c r="D344" s="22" t="s">
        <v>1817</v>
      </c>
      <c r="E344" s="22" t="s">
        <v>1826</v>
      </c>
      <c r="F344" s="22" t="s">
        <v>1819</v>
      </c>
      <c r="G344" s="22" t="s">
        <v>1820</v>
      </c>
      <c r="H344" s="22" t="s">
        <v>1827</v>
      </c>
      <c r="I344" s="22" t="s">
        <v>1828</v>
      </c>
      <c r="J344" s="22" t="s">
        <v>1829</v>
      </c>
      <c r="K344" s="22" t="s">
        <v>1830</v>
      </c>
      <c r="L344" s="23" t="s">
        <v>1831</v>
      </c>
      <c r="M344" s="23" t="s">
        <v>1832</v>
      </c>
    </row>
    <row r="345" ht="15" spans="1:13">
      <c r="A345" s="8" t="s">
        <v>2020</v>
      </c>
      <c r="B345" s="21"/>
      <c r="C345" s="12" t="s">
        <v>2021</v>
      </c>
      <c r="D345" s="13" t="s">
        <v>2022</v>
      </c>
      <c r="E345" s="12" t="s">
        <v>1824</v>
      </c>
      <c r="F345" s="15">
        <v>-251.05</v>
      </c>
      <c r="G345" s="15">
        <v>0</v>
      </c>
      <c r="H345" s="12" t="s">
        <v>2023</v>
      </c>
      <c r="I345" s="12" t="s">
        <v>1836</v>
      </c>
      <c r="J345" s="15">
        <v>-251.05</v>
      </c>
      <c r="K345" s="15">
        <v>0</v>
      </c>
      <c r="L345" s="12" t="s">
        <v>1834</v>
      </c>
      <c r="M345" s="24"/>
    </row>
    <row r="346" ht="15" spans="1:13">
      <c r="A346" s="8" t="s">
        <v>2020</v>
      </c>
      <c r="B346" s="21"/>
      <c r="C346" s="12" t="s">
        <v>2021</v>
      </c>
      <c r="D346" s="13" t="s">
        <v>2022</v>
      </c>
      <c r="E346" s="12" t="s">
        <v>1824</v>
      </c>
      <c r="F346" s="15">
        <v>-313.81</v>
      </c>
      <c r="G346" s="15">
        <v>0</v>
      </c>
      <c r="H346" s="12" t="s">
        <v>2024</v>
      </c>
      <c r="I346" s="12" t="s">
        <v>1836</v>
      </c>
      <c r="J346" s="15">
        <v>-313.81</v>
      </c>
      <c r="K346" s="15">
        <v>0</v>
      </c>
      <c r="L346" s="12" t="s">
        <v>1834</v>
      </c>
      <c r="M346" s="24"/>
    </row>
    <row r="347" ht="15" spans="1:13">
      <c r="A347" s="8" t="s">
        <v>2020</v>
      </c>
      <c r="B347" s="21"/>
      <c r="C347" s="12" t="s">
        <v>2021</v>
      </c>
      <c r="D347" s="13" t="s">
        <v>2022</v>
      </c>
      <c r="E347" s="12" t="s">
        <v>1824</v>
      </c>
      <c r="F347" s="15">
        <v>2942.46</v>
      </c>
      <c r="G347" s="15">
        <v>60.05</v>
      </c>
      <c r="H347" s="12" t="s">
        <v>488</v>
      </c>
      <c r="I347" s="12" t="s">
        <v>1833</v>
      </c>
      <c r="J347" s="15">
        <v>3002.51</v>
      </c>
      <c r="K347" s="15">
        <v>0</v>
      </c>
      <c r="L347" s="12" t="s">
        <v>1834</v>
      </c>
      <c r="M347" s="24"/>
    </row>
    <row r="348" ht="15" spans="1:13">
      <c r="A348" s="8" t="s">
        <v>2020</v>
      </c>
      <c r="B348" s="21"/>
      <c r="C348" s="12" t="s">
        <v>2021</v>
      </c>
      <c r="D348" s="13" t="s">
        <v>2022</v>
      </c>
      <c r="E348" s="12" t="s">
        <v>1824</v>
      </c>
      <c r="F348" s="15">
        <v>-75.06</v>
      </c>
      <c r="G348" s="15">
        <v>0</v>
      </c>
      <c r="H348" s="12" t="s">
        <v>2025</v>
      </c>
      <c r="I348" s="12" t="s">
        <v>1836</v>
      </c>
      <c r="J348" s="15">
        <v>-75.06</v>
      </c>
      <c r="K348" s="15">
        <v>0</v>
      </c>
      <c r="L348" s="12" t="s">
        <v>1834</v>
      </c>
      <c r="M348" s="24"/>
    </row>
    <row r="349" ht="15" spans="1:13">
      <c r="A349" s="8" t="s">
        <v>2020</v>
      </c>
      <c r="B349" s="21"/>
      <c r="C349" s="12" t="s">
        <v>2021</v>
      </c>
      <c r="D349" s="13" t="s">
        <v>2022</v>
      </c>
      <c r="E349" s="12" t="s">
        <v>1824</v>
      </c>
      <c r="F349" s="15">
        <v>12301.42</v>
      </c>
      <c r="G349" s="15">
        <v>251.05</v>
      </c>
      <c r="H349" s="12" t="s">
        <v>491</v>
      </c>
      <c r="I349" s="12" t="s">
        <v>1833</v>
      </c>
      <c r="J349" s="15">
        <v>12552.47</v>
      </c>
      <c r="K349" s="15">
        <v>0</v>
      </c>
      <c r="L349" s="12" t="s">
        <v>1834</v>
      </c>
      <c r="M349" s="24"/>
    </row>
    <row r="350" ht="15" spans="1:13">
      <c r="A350" s="8" t="s">
        <v>2020</v>
      </c>
      <c r="B350" s="21"/>
      <c r="C350" s="12" t="s">
        <v>2021</v>
      </c>
      <c r="D350" s="13" t="s">
        <v>2022</v>
      </c>
      <c r="E350" s="12" t="s">
        <v>1824</v>
      </c>
      <c r="F350" s="15">
        <v>-60.05</v>
      </c>
      <c r="G350" s="15">
        <v>0</v>
      </c>
      <c r="H350" s="12" t="s">
        <v>2026</v>
      </c>
      <c r="I350" s="12" t="s">
        <v>1836</v>
      </c>
      <c r="J350" s="15">
        <v>-60.05</v>
      </c>
      <c r="K350" s="15">
        <v>0</v>
      </c>
      <c r="L350" s="12" t="s">
        <v>1834</v>
      </c>
      <c r="M350" s="24"/>
    </row>
    <row r="352" spans="1:13">
      <c r="A352" s="378" t="s">
        <v>2027</v>
      </c>
      <c r="B352" t="s">
        <v>2028</v>
      </c>
      <c r="C352" t="s">
        <v>1821</v>
      </c>
    </row>
    <row r="353" spans="1:13">
      <c r="A353" s="378" t="s">
        <v>2027</v>
      </c>
      <c r="B353" t="s">
        <v>1850</v>
      </c>
    </row>
    <row r="354" ht="30" spans="1:13">
      <c r="A354" s="378" t="s">
        <v>2027</v>
      </c>
      <c r="B354" s="9" t="s">
        <v>1815</v>
      </c>
      <c r="C354" s="9" t="s">
        <v>1816</v>
      </c>
      <c r="D354" s="9" t="s">
        <v>1817</v>
      </c>
      <c r="E354" s="9" t="s">
        <v>2029</v>
      </c>
      <c r="F354" s="9" t="s">
        <v>1819</v>
      </c>
      <c r="G354" s="9" t="s">
        <v>1820</v>
      </c>
    </row>
    <row r="355" spans="1:13">
      <c r="A355" s="378" t="s">
        <v>2027</v>
      </c>
      <c r="B355" s="12" t="s">
        <v>1821</v>
      </c>
      <c r="C355" s="12">
        <v>743354</v>
      </c>
      <c r="D355" s="13" t="s">
        <v>2030</v>
      </c>
      <c r="E355" s="12" t="s">
        <v>1824</v>
      </c>
      <c r="F355" s="14">
        <v>5383.7</v>
      </c>
      <c r="G355" s="15">
        <v>115.16</v>
      </c>
    </row>
    <row r="356" spans="1:13">
      <c r="A356" s="378" t="s">
        <v>2027</v>
      </c>
      <c r="C356" t="s">
        <v>1825</v>
      </c>
    </row>
    <row r="357" ht="60" spans="1:13">
      <c r="A357" s="378" t="s">
        <v>2027</v>
      </c>
      <c r="C357" s="22" t="s">
        <v>1816</v>
      </c>
      <c r="D357" s="22" t="s">
        <v>1817</v>
      </c>
      <c r="E357" s="22" t="s">
        <v>1826</v>
      </c>
      <c r="F357" s="22" t="s">
        <v>1819</v>
      </c>
      <c r="G357" s="22" t="s">
        <v>1820</v>
      </c>
      <c r="H357" s="22" t="s">
        <v>1827</v>
      </c>
      <c r="I357" s="22" t="s">
        <v>1828</v>
      </c>
      <c r="J357" s="22" t="s">
        <v>1829</v>
      </c>
      <c r="K357" s="22" t="s">
        <v>1830</v>
      </c>
      <c r="L357" s="23" t="s">
        <v>1831</v>
      </c>
      <c r="M357" s="23" t="s">
        <v>1832</v>
      </c>
    </row>
    <row r="358" ht="15" spans="1:13">
      <c r="A358" s="378" t="s">
        <v>2027</v>
      </c>
      <c r="C358" s="12">
        <v>743354</v>
      </c>
      <c r="D358" s="13" t="s">
        <v>2030</v>
      </c>
      <c r="E358" s="12" t="s">
        <v>1824</v>
      </c>
      <c r="F358" s="15">
        <v>5642.81</v>
      </c>
      <c r="G358" s="15">
        <v>115.16</v>
      </c>
      <c r="H358" s="12" t="s">
        <v>477</v>
      </c>
      <c r="I358" s="12" t="s">
        <v>1833</v>
      </c>
      <c r="J358" s="15">
        <v>5757.97</v>
      </c>
      <c r="K358" s="15">
        <v>0</v>
      </c>
      <c r="L358" s="12" t="s">
        <v>1834</v>
      </c>
      <c r="M358" s="24"/>
    </row>
    <row r="359" ht="15" spans="1:13">
      <c r="A359" s="378" t="s">
        <v>2027</v>
      </c>
      <c r="C359" s="12">
        <v>743354</v>
      </c>
      <c r="D359" s="13" t="s">
        <v>2030</v>
      </c>
      <c r="E359" s="12" t="s">
        <v>1824</v>
      </c>
      <c r="F359" s="15">
        <v>-143.95</v>
      </c>
      <c r="G359" s="15">
        <v>0</v>
      </c>
      <c r="H359" s="12" t="s">
        <v>2031</v>
      </c>
      <c r="I359" s="12" t="s">
        <v>1836</v>
      </c>
      <c r="J359" s="15">
        <v>-143.95</v>
      </c>
      <c r="K359" s="15">
        <v>0</v>
      </c>
      <c r="L359" s="12" t="s">
        <v>1834</v>
      </c>
      <c r="M359" s="24"/>
    </row>
    <row r="360" ht="15" spans="1:13">
      <c r="A360" s="378" t="s">
        <v>2027</v>
      </c>
      <c r="C360" s="12">
        <v>743354</v>
      </c>
      <c r="D360" s="13" t="s">
        <v>2030</v>
      </c>
      <c r="E360" s="12" t="s">
        <v>1824</v>
      </c>
      <c r="F360" s="15">
        <v>-115.16</v>
      </c>
      <c r="G360" s="15">
        <v>0</v>
      </c>
      <c r="H360" s="12" t="s">
        <v>2032</v>
      </c>
      <c r="I360" s="12" t="s">
        <v>1836</v>
      </c>
      <c r="J360" s="15">
        <v>-115.16</v>
      </c>
      <c r="K360" s="15">
        <v>0</v>
      </c>
      <c r="L360" s="12" t="s">
        <v>1834</v>
      </c>
      <c r="M360" s="24"/>
    </row>
    <row r="361" spans="1:13">
      <c r="D361" s="40"/>
      <c r="F361" t="s">
        <v>2033</v>
      </c>
      <c r="H361" t="s">
        <v>2034</v>
      </c>
      <c r="I361" t="s">
        <v>2035</v>
      </c>
      <c r="J361" t="s">
        <v>2036</v>
      </c>
      <c r="K361" t="s">
        <v>2037</v>
      </c>
    </row>
    <row r="362" ht="15" spans="1:13">
      <c r="A362" s="8" t="s">
        <v>2038</v>
      </c>
      <c r="B362" s="25"/>
      <c r="C362" s="26"/>
      <c r="D362" s="26"/>
      <c r="E362" s="26"/>
      <c r="F362" s="26"/>
      <c r="G362" s="26"/>
      <c r="H362" s="26"/>
      <c r="I362" s="26"/>
      <c r="J362" s="26"/>
      <c r="K362" s="26"/>
      <c r="L362" s="26"/>
      <c r="M362" s="26"/>
    </row>
    <row r="363" ht="15" spans="1:13">
      <c r="A363" s="8" t="s">
        <v>2038</v>
      </c>
      <c r="B363" s="25"/>
      <c r="C363" s="26"/>
      <c r="D363" s="26"/>
      <c r="E363" s="26"/>
      <c r="F363" s="26"/>
      <c r="G363" s="26"/>
      <c r="H363" s="26"/>
      <c r="I363" s="26"/>
      <c r="J363" s="26"/>
      <c r="K363" s="26"/>
      <c r="L363" s="26"/>
      <c r="M363" s="26"/>
    </row>
    <row r="364" ht="36" spans="1:13">
      <c r="A364" s="8" t="s">
        <v>2038</v>
      </c>
      <c r="B364" s="11" t="s">
        <v>1849</v>
      </c>
      <c r="C364" s="41" t="s">
        <v>1821</v>
      </c>
      <c r="D364" s="11"/>
      <c r="E364" s="11"/>
      <c r="F364" s="11"/>
      <c r="G364" s="11"/>
      <c r="H364" s="11"/>
      <c r="I364" s="11"/>
      <c r="J364" s="11"/>
      <c r="K364" s="11"/>
      <c r="L364" s="11"/>
      <c r="M364" s="11"/>
    </row>
    <row r="365" ht="15.75" spans="1:13">
      <c r="A365" s="8" t="s">
        <v>2038</v>
      </c>
      <c r="B365" s="28" t="s">
        <v>1850</v>
      </c>
      <c r="C365" s="20"/>
      <c r="D365" s="20"/>
      <c r="E365" s="20"/>
      <c r="F365" s="20"/>
      <c r="G365" s="20"/>
      <c r="H365" s="11"/>
      <c r="I365" s="11"/>
      <c r="J365" s="11"/>
      <c r="K365" s="11"/>
      <c r="L365" s="11"/>
      <c r="M365" s="11"/>
    </row>
    <row r="366" ht="30" spans="1:13">
      <c r="A366" s="8" t="s">
        <v>2038</v>
      </c>
      <c r="B366" s="9" t="s">
        <v>1815</v>
      </c>
      <c r="C366" s="9" t="s">
        <v>1816</v>
      </c>
      <c r="D366" s="9" t="s">
        <v>1817</v>
      </c>
      <c r="E366" s="9" t="s">
        <v>1818</v>
      </c>
      <c r="F366" s="9" t="s">
        <v>1819</v>
      </c>
      <c r="G366" s="9" t="s">
        <v>1820</v>
      </c>
      <c r="H366" s="10"/>
      <c r="I366" s="11"/>
      <c r="J366" s="11"/>
      <c r="K366" s="11"/>
      <c r="L366" s="11"/>
      <c r="M366" s="11"/>
    </row>
    <row r="367" ht="24" spans="1:13">
      <c r="A367" s="8" t="s">
        <v>2038</v>
      </c>
      <c r="B367" s="42" t="s">
        <v>1821</v>
      </c>
      <c r="C367" s="42" t="s">
        <v>2039</v>
      </c>
      <c r="D367" s="43" t="s">
        <v>2040</v>
      </c>
      <c r="E367" s="42" t="s">
        <v>1824</v>
      </c>
      <c r="F367" s="44">
        <v>6279.35</v>
      </c>
      <c r="G367" s="45">
        <v>134.32</v>
      </c>
      <c r="H367" s="46"/>
      <c r="I367" s="11"/>
      <c r="J367" s="11"/>
      <c r="K367" s="11"/>
      <c r="L367" s="11"/>
      <c r="M367" s="11"/>
    </row>
    <row r="368" ht="15.75" spans="1:13">
      <c r="A368" s="8" t="s">
        <v>2038</v>
      </c>
      <c r="B368" s="17"/>
      <c r="C368" s="18" t="s">
        <v>1825</v>
      </c>
      <c r="D368" s="19"/>
      <c r="E368" s="19"/>
      <c r="F368" s="19"/>
      <c r="G368" s="19"/>
      <c r="H368" s="20"/>
      <c r="I368" s="20"/>
      <c r="J368" s="20"/>
      <c r="K368" s="20"/>
      <c r="L368" s="20"/>
      <c r="M368" s="20"/>
    </row>
    <row r="369" ht="60" spans="1:13">
      <c r="A369" s="8" t="s">
        <v>2038</v>
      </c>
      <c r="B369" s="21"/>
      <c r="C369" s="22" t="s">
        <v>1816</v>
      </c>
      <c r="D369" s="22" t="s">
        <v>1817</v>
      </c>
      <c r="E369" s="22" t="s">
        <v>1826</v>
      </c>
      <c r="F369" s="22" t="s">
        <v>1819</v>
      </c>
      <c r="G369" s="22" t="s">
        <v>1820</v>
      </c>
      <c r="H369" s="22" t="s">
        <v>1827</v>
      </c>
      <c r="I369" s="22" t="s">
        <v>1828</v>
      </c>
      <c r="J369" s="22" t="s">
        <v>1829</v>
      </c>
      <c r="K369" s="22" t="s">
        <v>1830</v>
      </c>
      <c r="L369" s="23" t="s">
        <v>1831</v>
      </c>
      <c r="M369" s="23" t="s">
        <v>1832</v>
      </c>
    </row>
    <row r="370" ht="24" spans="1:13">
      <c r="A370" s="8" t="s">
        <v>2038</v>
      </c>
      <c r="B370" s="21"/>
      <c r="C370" s="42" t="s">
        <v>2039</v>
      </c>
      <c r="D370" s="43" t="s">
        <v>2040</v>
      </c>
      <c r="E370" s="42" t="s">
        <v>1824</v>
      </c>
      <c r="F370" s="45">
        <v>6581.57</v>
      </c>
      <c r="G370" s="45">
        <v>134.32</v>
      </c>
      <c r="H370" s="42" t="s">
        <v>496</v>
      </c>
      <c r="I370" s="42" t="s">
        <v>1833</v>
      </c>
      <c r="J370" s="45">
        <v>6715.89</v>
      </c>
      <c r="K370" s="45">
        <v>0</v>
      </c>
      <c r="L370" s="42" t="s">
        <v>1834</v>
      </c>
      <c r="M370" s="24"/>
    </row>
    <row r="371" ht="24" spans="1:13">
      <c r="A371" s="8" t="s">
        <v>2038</v>
      </c>
      <c r="B371" s="21"/>
      <c r="C371" s="42" t="s">
        <v>2039</v>
      </c>
      <c r="D371" s="43" t="s">
        <v>2040</v>
      </c>
      <c r="E371" s="42" t="s">
        <v>1824</v>
      </c>
      <c r="F371" s="45">
        <v>-167.9</v>
      </c>
      <c r="G371" s="45">
        <v>0</v>
      </c>
      <c r="H371" s="42" t="s">
        <v>2041</v>
      </c>
      <c r="I371" s="42" t="s">
        <v>1836</v>
      </c>
      <c r="J371" s="45">
        <v>-167.9</v>
      </c>
      <c r="K371" s="45">
        <v>0</v>
      </c>
      <c r="L371" s="42" t="s">
        <v>1834</v>
      </c>
      <c r="M371" s="24"/>
    </row>
    <row r="372" ht="24" spans="1:13">
      <c r="A372" s="8" t="s">
        <v>2038</v>
      </c>
      <c r="B372" s="21"/>
      <c r="C372" s="42" t="s">
        <v>2039</v>
      </c>
      <c r="D372" s="43" t="s">
        <v>2040</v>
      </c>
      <c r="E372" s="42" t="s">
        <v>1824</v>
      </c>
      <c r="F372" s="45">
        <v>-134.32</v>
      </c>
      <c r="G372" s="45">
        <v>0</v>
      </c>
      <c r="H372" s="42" t="s">
        <v>2042</v>
      </c>
      <c r="I372" s="42" t="s">
        <v>1836</v>
      </c>
      <c r="J372" s="45">
        <v>-134.32</v>
      </c>
      <c r="K372" s="45">
        <v>0</v>
      </c>
      <c r="L372" s="42" t="s">
        <v>1834</v>
      </c>
      <c r="M372" s="24"/>
    </row>
    <row r="373" ht="15" spans="1:13">
      <c r="A373" s="8" t="s">
        <v>2043</v>
      </c>
      <c r="B373" s="25"/>
      <c r="C373" s="26"/>
      <c r="D373" s="26"/>
      <c r="E373" s="26"/>
      <c r="F373" s="26"/>
      <c r="G373" s="26"/>
      <c r="H373" s="26"/>
      <c r="I373" s="26"/>
      <c r="J373" s="26"/>
      <c r="K373" s="26"/>
      <c r="L373" s="26"/>
      <c r="M373" s="26"/>
    </row>
    <row r="374" ht="15" spans="1:13">
      <c r="A374" s="8" t="s">
        <v>2043</v>
      </c>
      <c r="B374" s="25"/>
      <c r="C374" s="26"/>
      <c r="D374" s="26"/>
      <c r="E374" s="26"/>
      <c r="F374" s="26"/>
      <c r="G374" s="26"/>
      <c r="H374" s="26"/>
      <c r="I374" s="26"/>
      <c r="J374" s="26"/>
      <c r="K374" s="26"/>
      <c r="L374" s="26"/>
      <c r="M374" s="26"/>
    </row>
    <row r="375" ht="36" spans="1:13">
      <c r="A375" s="8" t="s">
        <v>2043</v>
      </c>
      <c r="B375" s="11" t="s">
        <v>1849</v>
      </c>
      <c r="C375" s="41" t="s">
        <v>1821</v>
      </c>
      <c r="D375" s="11"/>
      <c r="E375" s="11"/>
      <c r="F375" s="11"/>
      <c r="G375" s="11"/>
      <c r="H375" s="11"/>
      <c r="I375" s="11"/>
      <c r="J375" s="11"/>
      <c r="K375" s="11"/>
      <c r="L375" s="11"/>
      <c r="M375" s="11"/>
    </row>
    <row r="376" ht="15.75" spans="1:13">
      <c r="A376" s="8" t="s">
        <v>2043</v>
      </c>
      <c r="B376" s="28" t="s">
        <v>1850</v>
      </c>
      <c r="C376" s="20"/>
      <c r="D376" s="20"/>
      <c r="E376" s="20"/>
      <c r="F376" s="20"/>
      <c r="G376" s="20"/>
      <c r="H376" s="11"/>
      <c r="I376" s="11"/>
      <c r="J376" s="11"/>
      <c r="K376" s="11"/>
      <c r="L376" s="11"/>
      <c r="M376" s="11"/>
    </row>
    <row r="377" ht="30" spans="1:13">
      <c r="A377" s="8" t="s">
        <v>2043</v>
      </c>
      <c r="B377" s="9" t="s">
        <v>1815</v>
      </c>
      <c r="C377" s="9" t="s">
        <v>1816</v>
      </c>
      <c r="D377" s="9" t="s">
        <v>1817</v>
      </c>
      <c r="E377" s="9" t="s">
        <v>1818</v>
      </c>
      <c r="F377" s="9" t="s">
        <v>1819</v>
      </c>
      <c r="G377" s="9" t="s">
        <v>1820</v>
      </c>
      <c r="H377" s="10"/>
      <c r="I377" s="11"/>
      <c r="J377" s="11"/>
      <c r="K377" s="11"/>
      <c r="L377" s="11"/>
      <c r="M377" s="11"/>
    </row>
    <row r="378" ht="24" spans="1:13">
      <c r="A378" s="8" t="s">
        <v>2043</v>
      </c>
      <c r="B378" s="42" t="s">
        <v>1821</v>
      </c>
      <c r="C378" s="42" t="s">
        <v>2044</v>
      </c>
      <c r="D378" s="43" t="s">
        <v>2045</v>
      </c>
      <c r="E378" s="42" t="s">
        <v>1824</v>
      </c>
      <c r="F378" s="44">
        <v>4705.03</v>
      </c>
      <c r="G378" s="45">
        <v>100.64</v>
      </c>
      <c r="H378" s="46"/>
      <c r="I378" s="11"/>
      <c r="J378" s="11"/>
      <c r="K378" s="11"/>
      <c r="L378" s="11"/>
      <c r="M378" s="11"/>
    </row>
    <row r="379" ht="15.75" spans="1:13">
      <c r="A379" s="8" t="s">
        <v>2043</v>
      </c>
      <c r="B379" s="17"/>
      <c r="C379" s="18" t="s">
        <v>1825</v>
      </c>
      <c r="D379" s="19"/>
      <c r="E379" s="19"/>
      <c r="F379" s="19"/>
      <c r="G379" s="19"/>
      <c r="H379" s="20"/>
      <c r="I379" s="20"/>
      <c r="J379" s="20"/>
      <c r="K379" s="20"/>
      <c r="L379" s="20"/>
      <c r="M379" s="20"/>
    </row>
    <row r="380" ht="60" spans="1:13">
      <c r="A380" s="8" t="s">
        <v>2043</v>
      </c>
      <c r="B380" s="21"/>
      <c r="C380" s="22" t="s">
        <v>1816</v>
      </c>
      <c r="D380" s="22" t="s">
        <v>1817</v>
      </c>
      <c r="E380" s="22" t="s">
        <v>1826</v>
      </c>
      <c r="F380" s="22" t="s">
        <v>1819</v>
      </c>
      <c r="G380" s="22" t="s">
        <v>1820</v>
      </c>
      <c r="H380" s="22" t="s">
        <v>1827</v>
      </c>
      <c r="I380" s="22" t="s">
        <v>1828</v>
      </c>
      <c r="J380" s="22" t="s">
        <v>1829</v>
      </c>
      <c r="K380" s="22" t="s">
        <v>1830</v>
      </c>
      <c r="L380" s="23" t="s">
        <v>1831</v>
      </c>
      <c r="M380" s="23" t="s">
        <v>1832</v>
      </c>
    </row>
    <row r="381" ht="24" spans="1:13">
      <c r="A381" s="8" t="s">
        <v>2043</v>
      </c>
      <c r="B381" s="21"/>
      <c r="C381" s="42" t="s">
        <v>2044</v>
      </c>
      <c r="D381" s="43" t="s">
        <v>2045</v>
      </c>
      <c r="E381" s="42" t="s">
        <v>1824</v>
      </c>
      <c r="F381" s="45">
        <v>-100.64</v>
      </c>
      <c r="G381" s="45">
        <v>0</v>
      </c>
      <c r="H381" s="42" t="s">
        <v>2046</v>
      </c>
      <c r="I381" s="42" t="s">
        <v>1836</v>
      </c>
      <c r="J381" s="45">
        <v>-100.64</v>
      </c>
      <c r="K381" s="45">
        <v>0</v>
      </c>
      <c r="L381" s="42" t="s">
        <v>1834</v>
      </c>
      <c r="M381" s="24"/>
    </row>
    <row r="382" ht="24" spans="1:13">
      <c r="A382" s="8" t="s">
        <v>2043</v>
      </c>
      <c r="B382" s="21"/>
      <c r="C382" s="42" t="s">
        <v>2044</v>
      </c>
      <c r="D382" s="43" t="s">
        <v>2045</v>
      </c>
      <c r="E382" s="42" t="s">
        <v>1824</v>
      </c>
      <c r="F382" s="45">
        <v>4931.47</v>
      </c>
      <c r="G382" s="45">
        <v>100.64</v>
      </c>
      <c r="H382" s="42" t="s">
        <v>498</v>
      </c>
      <c r="I382" s="42" t="s">
        <v>1833</v>
      </c>
      <c r="J382" s="45">
        <v>5032.11</v>
      </c>
      <c r="K382" s="45">
        <v>0</v>
      </c>
      <c r="L382" s="42" t="s">
        <v>1834</v>
      </c>
      <c r="M382" s="24"/>
    </row>
    <row r="383" ht="24" spans="1:13">
      <c r="A383" s="8" t="s">
        <v>2043</v>
      </c>
      <c r="B383" s="21"/>
      <c r="C383" s="42" t="s">
        <v>2044</v>
      </c>
      <c r="D383" s="43" t="s">
        <v>2045</v>
      </c>
      <c r="E383" s="42" t="s">
        <v>1824</v>
      </c>
      <c r="F383" s="45">
        <v>-125.8</v>
      </c>
      <c r="G383" s="45">
        <v>0</v>
      </c>
      <c r="H383" s="42" t="s">
        <v>2047</v>
      </c>
      <c r="I383" s="42" t="s">
        <v>1836</v>
      </c>
      <c r="J383" s="45">
        <v>-125.8</v>
      </c>
      <c r="K383" s="45">
        <v>0</v>
      </c>
      <c r="L383" s="42" t="s">
        <v>1834</v>
      </c>
      <c r="M383" s="24"/>
    </row>
    <row r="384" ht="15" spans="1:13">
      <c r="A384" s="8" t="s">
        <v>2048</v>
      </c>
      <c r="B384" s="25"/>
      <c r="C384" s="26"/>
      <c r="D384" s="26"/>
      <c r="E384" s="26"/>
      <c r="F384" s="26"/>
      <c r="G384" s="26"/>
      <c r="H384" s="26"/>
      <c r="I384" s="26"/>
      <c r="J384" s="26"/>
      <c r="K384" s="26"/>
      <c r="L384" s="26"/>
      <c r="M384" s="26"/>
    </row>
    <row r="385" ht="15" spans="1:13">
      <c r="A385" s="8" t="s">
        <v>2048</v>
      </c>
      <c r="B385" s="25"/>
      <c r="C385" s="26"/>
      <c r="D385" s="26"/>
      <c r="E385" s="26"/>
      <c r="F385" s="26"/>
      <c r="G385" s="26"/>
      <c r="H385" s="26"/>
      <c r="I385" s="26"/>
      <c r="J385" s="26"/>
      <c r="K385" s="26"/>
      <c r="L385" s="26"/>
      <c r="M385" s="26"/>
    </row>
    <row r="386" ht="36" spans="1:13">
      <c r="A386" s="8" t="s">
        <v>2048</v>
      </c>
      <c r="B386" s="11" t="s">
        <v>1849</v>
      </c>
      <c r="C386" s="41" t="s">
        <v>1821</v>
      </c>
      <c r="D386" s="11"/>
      <c r="E386" s="11"/>
      <c r="F386" s="11"/>
      <c r="G386" s="11"/>
      <c r="H386" s="11"/>
      <c r="I386" s="11"/>
      <c r="J386" s="11"/>
      <c r="K386" s="11"/>
      <c r="L386" s="11"/>
      <c r="M386" s="11"/>
    </row>
    <row r="387" ht="15.75" spans="1:13">
      <c r="A387" s="8" t="s">
        <v>2048</v>
      </c>
      <c r="B387" s="28" t="s">
        <v>1850</v>
      </c>
      <c r="C387" s="20"/>
      <c r="D387" s="20"/>
      <c r="E387" s="20"/>
      <c r="F387" s="20"/>
      <c r="G387" s="20"/>
      <c r="H387" s="11"/>
      <c r="I387" s="11"/>
      <c r="J387" s="11"/>
      <c r="K387" s="11"/>
      <c r="L387" s="11"/>
      <c r="M387" s="11"/>
    </row>
    <row r="388" ht="30" spans="1:13">
      <c r="A388" s="8" t="s">
        <v>2048</v>
      </c>
      <c r="B388" s="9" t="s">
        <v>1815</v>
      </c>
      <c r="C388" s="9" t="s">
        <v>1816</v>
      </c>
      <c r="D388" s="9" t="s">
        <v>1817</v>
      </c>
      <c r="E388" s="9" t="s">
        <v>1818</v>
      </c>
      <c r="F388" s="9" t="s">
        <v>1819</v>
      </c>
      <c r="G388" s="9" t="s">
        <v>1820</v>
      </c>
      <c r="H388" s="10"/>
      <c r="I388" s="11"/>
      <c r="J388" s="11"/>
      <c r="K388" s="11"/>
      <c r="L388" s="11"/>
      <c r="M388" s="11"/>
    </row>
    <row r="389" ht="24" spans="1:13">
      <c r="A389" s="8" t="s">
        <v>2048</v>
      </c>
      <c r="B389" s="42" t="s">
        <v>1821</v>
      </c>
      <c r="C389" s="42" t="s">
        <v>2049</v>
      </c>
      <c r="D389" s="43" t="s">
        <v>2050</v>
      </c>
      <c r="E389" s="42" t="s">
        <v>1824</v>
      </c>
      <c r="F389" s="44">
        <v>9545.7</v>
      </c>
      <c r="G389" s="45">
        <v>204.19</v>
      </c>
      <c r="H389" s="46"/>
      <c r="I389" s="11"/>
      <c r="J389" s="11"/>
      <c r="K389" s="11"/>
      <c r="L389" s="11"/>
      <c r="M389" s="11"/>
    </row>
    <row r="390" ht="15.75" spans="1:13">
      <c r="A390" s="8" t="s">
        <v>2048</v>
      </c>
      <c r="B390" s="17"/>
      <c r="C390" s="18" t="s">
        <v>1825</v>
      </c>
      <c r="D390" s="19"/>
      <c r="E390" s="19"/>
      <c r="F390" s="19"/>
      <c r="G390" s="19"/>
      <c r="H390" s="20"/>
      <c r="I390" s="20"/>
      <c r="J390" s="20"/>
      <c r="K390" s="20"/>
      <c r="L390" s="20"/>
      <c r="M390" s="20"/>
    </row>
    <row r="391" ht="60" spans="1:13">
      <c r="A391" s="8" t="s">
        <v>2048</v>
      </c>
      <c r="B391" s="21"/>
      <c r="C391" s="22" t="s">
        <v>1816</v>
      </c>
      <c r="D391" s="22" t="s">
        <v>1817</v>
      </c>
      <c r="E391" s="22" t="s">
        <v>1826</v>
      </c>
      <c r="F391" s="22" t="s">
        <v>1819</v>
      </c>
      <c r="G391" s="22" t="s">
        <v>1820</v>
      </c>
      <c r="H391" s="22" t="s">
        <v>1827</v>
      </c>
      <c r="I391" s="22" t="s">
        <v>1828</v>
      </c>
      <c r="J391" s="22" t="s">
        <v>1829</v>
      </c>
      <c r="K391" s="22" t="s">
        <v>1830</v>
      </c>
      <c r="L391" s="23" t="s">
        <v>1831</v>
      </c>
      <c r="M391" s="23" t="s">
        <v>1832</v>
      </c>
    </row>
    <row r="392" ht="24" spans="1:13">
      <c r="A392" s="8" t="s">
        <v>2048</v>
      </c>
      <c r="B392" s="21"/>
      <c r="C392" s="42" t="s">
        <v>2049</v>
      </c>
      <c r="D392" s="43" t="s">
        <v>2050</v>
      </c>
      <c r="E392" s="42" t="s">
        <v>1824</v>
      </c>
      <c r="F392" s="45">
        <v>10005.12</v>
      </c>
      <c r="G392" s="45">
        <v>204.19</v>
      </c>
      <c r="H392" s="42" t="s">
        <v>497</v>
      </c>
      <c r="I392" s="42" t="s">
        <v>1833</v>
      </c>
      <c r="J392" s="45">
        <v>10209.31</v>
      </c>
      <c r="K392" s="45">
        <v>0</v>
      </c>
      <c r="L392" s="42" t="s">
        <v>1834</v>
      </c>
      <c r="M392" s="24"/>
    </row>
    <row r="393" ht="24" spans="1:13">
      <c r="A393" s="8" t="s">
        <v>2048</v>
      </c>
      <c r="B393" s="21"/>
      <c r="C393" s="42" t="s">
        <v>2049</v>
      </c>
      <c r="D393" s="43" t="s">
        <v>2050</v>
      </c>
      <c r="E393" s="42" t="s">
        <v>1824</v>
      </c>
      <c r="F393" s="45">
        <v>-255.23</v>
      </c>
      <c r="G393" s="45">
        <v>0</v>
      </c>
      <c r="H393" s="42" t="s">
        <v>2051</v>
      </c>
      <c r="I393" s="42" t="s">
        <v>1836</v>
      </c>
      <c r="J393" s="45">
        <v>-255.23</v>
      </c>
      <c r="K393" s="45">
        <v>0</v>
      </c>
      <c r="L393" s="42" t="s">
        <v>1834</v>
      </c>
      <c r="M393" s="24"/>
    </row>
    <row r="394" ht="24" spans="1:13">
      <c r="A394" s="8" t="s">
        <v>2048</v>
      </c>
      <c r="B394" s="21"/>
      <c r="C394" s="42" t="s">
        <v>2049</v>
      </c>
      <c r="D394" s="43" t="s">
        <v>2050</v>
      </c>
      <c r="E394" s="42" t="s">
        <v>1824</v>
      </c>
      <c r="F394" s="45">
        <v>-204.19</v>
      </c>
      <c r="G394" s="45">
        <v>0</v>
      </c>
      <c r="H394" s="42" t="s">
        <v>2052</v>
      </c>
      <c r="I394" s="42" t="s">
        <v>1836</v>
      </c>
      <c r="J394" s="45">
        <v>-204.19</v>
      </c>
      <c r="K394" s="45">
        <v>0</v>
      </c>
      <c r="L394" s="42" t="s">
        <v>1834</v>
      </c>
      <c r="M394" s="24"/>
    </row>
    <row r="395" ht="15" spans="1:13">
      <c r="A395" s="8" t="s">
        <v>2053</v>
      </c>
      <c r="B395" s="25"/>
      <c r="C395" s="26"/>
      <c r="D395" s="26"/>
      <c r="E395" s="26"/>
      <c r="F395" s="26"/>
      <c r="G395" s="26"/>
      <c r="H395" s="26"/>
      <c r="I395" s="26"/>
      <c r="J395" s="26"/>
      <c r="K395" s="26"/>
      <c r="L395" s="26"/>
      <c r="M395" s="26"/>
    </row>
    <row r="396" ht="15" spans="1:13">
      <c r="A396" s="8" t="s">
        <v>2053</v>
      </c>
      <c r="B396" s="25"/>
      <c r="C396" s="26"/>
      <c r="D396" s="26"/>
      <c r="E396" s="26"/>
      <c r="F396" s="26"/>
      <c r="G396" s="26"/>
      <c r="H396" s="26"/>
      <c r="I396" s="26"/>
      <c r="J396" s="26"/>
      <c r="K396" s="26"/>
      <c r="L396" s="26"/>
      <c r="M396" s="26"/>
    </row>
    <row r="397" ht="36" spans="1:13">
      <c r="A397" s="8" t="s">
        <v>2053</v>
      </c>
      <c r="B397" s="11" t="s">
        <v>1849</v>
      </c>
      <c r="C397" s="41" t="s">
        <v>1821</v>
      </c>
      <c r="D397" s="11"/>
      <c r="E397" s="11"/>
      <c r="F397" s="11"/>
      <c r="G397" s="11"/>
      <c r="H397" s="11"/>
      <c r="I397" s="11"/>
      <c r="J397" s="11"/>
      <c r="K397" s="11"/>
      <c r="L397" s="11"/>
      <c r="M397" s="11"/>
    </row>
    <row r="398" ht="15.75" spans="1:13">
      <c r="A398" s="8" t="s">
        <v>2053</v>
      </c>
      <c r="B398" s="28" t="s">
        <v>1850</v>
      </c>
      <c r="C398" s="20"/>
      <c r="D398" s="20"/>
      <c r="E398" s="20"/>
      <c r="F398" s="20"/>
      <c r="G398" s="20"/>
      <c r="H398" s="11"/>
      <c r="I398" s="11"/>
      <c r="J398" s="11"/>
      <c r="K398" s="11"/>
      <c r="L398" s="11"/>
      <c r="M398" s="11"/>
    </row>
    <row r="399" ht="30" spans="1:13">
      <c r="A399" s="8" t="s">
        <v>2053</v>
      </c>
      <c r="B399" s="9" t="s">
        <v>1815</v>
      </c>
      <c r="C399" s="9" t="s">
        <v>1816</v>
      </c>
      <c r="D399" s="9" t="s">
        <v>1817</v>
      </c>
      <c r="E399" s="9" t="s">
        <v>1818</v>
      </c>
      <c r="F399" s="9" t="s">
        <v>1819</v>
      </c>
      <c r="G399" s="9" t="s">
        <v>1820</v>
      </c>
      <c r="H399" s="10"/>
      <c r="I399" s="11"/>
      <c r="J399" s="11"/>
      <c r="K399" s="11"/>
      <c r="L399" s="11"/>
      <c r="M399" s="11"/>
    </row>
    <row r="400" ht="24" spans="1:13">
      <c r="A400" s="8" t="s">
        <v>2053</v>
      </c>
      <c r="B400" s="42" t="s">
        <v>1821</v>
      </c>
      <c r="C400" s="42" t="s">
        <v>2054</v>
      </c>
      <c r="D400" s="43" t="s">
        <v>2055</v>
      </c>
      <c r="E400" s="42" t="s">
        <v>1824</v>
      </c>
      <c r="F400" s="44">
        <v>3987.49</v>
      </c>
      <c r="G400" s="45">
        <v>85.29</v>
      </c>
      <c r="H400" s="46"/>
      <c r="I400" s="11"/>
      <c r="J400" s="11"/>
      <c r="K400" s="11"/>
      <c r="L400" s="11"/>
      <c r="M400" s="11"/>
    </row>
    <row r="401" ht="15.75" spans="1:13">
      <c r="A401" s="8" t="s">
        <v>2053</v>
      </c>
      <c r="B401" s="17"/>
      <c r="C401" s="18" t="s">
        <v>1825</v>
      </c>
      <c r="D401" s="19"/>
      <c r="E401" s="19"/>
      <c r="F401" s="19"/>
      <c r="G401" s="19"/>
      <c r="H401" s="20"/>
      <c r="I401" s="20"/>
      <c r="J401" s="20"/>
      <c r="K401" s="20"/>
      <c r="L401" s="20"/>
      <c r="M401" s="20"/>
    </row>
    <row r="402" ht="60" spans="1:13">
      <c r="A402" s="8" t="s">
        <v>2053</v>
      </c>
      <c r="B402" s="21"/>
      <c r="C402" s="22" t="s">
        <v>1816</v>
      </c>
      <c r="D402" s="22" t="s">
        <v>1817</v>
      </c>
      <c r="E402" s="22" t="s">
        <v>1826</v>
      </c>
      <c r="F402" s="22" t="s">
        <v>1819</v>
      </c>
      <c r="G402" s="22" t="s">
        <v>1820</v>
      </c>
      <c r="H402" s="22" t="s">
        <v>1827</v>
      </c>
      <c r="I402" s="22" t="s">
        <v>1828</v>
      </c>
      <c r="J402" s="22" t="s">
        <v>1829</v>
      </c>
      <c r="K402" s="22" t="s">
        <v>1830</v>
      </c>
      <c r="L402" s="23" t="s">
        <v>1831</v>
      </c>
      <c r="M402" s="23" t="s">
        <v>1832</v>
      </c>
    </row>
    <row r="403" ht="24" spans="1:13">
      <c r="A403" s="8" t="s">
        <v>2053</v>
      </c>
      <c r="B403" s="21"/>
      <c r="C403" s="42" t="s">
        <v>2054</v>
      </c>
      <c r="D403" s="43" t="s">
        <v>2055</v>
      </c>
      <c r="E403" s="42" t="s">
        <v>1824</v>
      </c>
      <c r="F403" s="45">
        <v>4179.4</v>
      </c>
      <c r="G403" s="45">
        <v>85.29</v>
      </c>
      <c r="H403" s="42" t="s">
        <v>499</v>
      </c>
      <c r="I403" s="42" t="s">
        <v>1833</v>
      </c>
      <c r="J403" s="45">
        <v>4264.69</v>
      </c>
      <c r="K403" s="45">
        <v>0</v>
      </c>
      <c r="L403" s="42" t="s">
        <v>1834</v>
      </c>
      <c r="M403" s="24"/>
    </row>
    <row r="404" ht="24" spans="1:13">
      <c r="A404" s="8" t="s">
        <v>2053</v>
      </c>
      <c r="B404" s="21"/>
      <c r="C404" s="42" t="s">
        <v>2054</v>
      </c>
      <c r="D404" s="43" t="s">
        <v>2055</v>
      </c>
      <c r="E404" s="42" t="s">
        <v>1824</v>
      </c>
      <c r="F404" s="45">
        <v>-106.62</v>
      </c>
      <c r="G404" s="45">
        <v>0</v>
      </c>
      <c r="H404" s="42" t="s">
        <v>2056</v>
      </c>
      <c r="I404" s="42" t="s">
        <v>1836</v>
      </c>
      <c r="J404" s="45">
        <v>-106.62</v>
      </c>
      <c r="K404" s="45">
        <v>0</v>
      </c>
      <c r="L404" s="42" t="s">
        <v>1834</v>
      </c>
      <c r="M404" s="24"/>
    </row>
    <row r="405" ht="24" spans="1:13">
      <c r="A405" s="8" t="s">
        <v>2053</v>
      </c>
      <c r="B405" s="21"/>
      <c r="C405" s="42" t="s">
        <v>2054</v>
      </c>
      <c r="D405" s="43" t="s">
        <v>2055</v>
      </c>
      <c r="E405" s="42" t="s">
        <v>1824</v>
      </c>
      <c r="F405" s="45">
        <v>-85.29</v>
      </c>
      <c r="G405" s="45">
        <v>0</v>
      </c>
      <c r="H405" s="42" t="s">
        <v>2057</v>
      </c>
      <c r="I405" s="42" t="s">
        <v>1836</v>
      </c>
      <c r="J405" s="45">
        <v>-85.29</v>
      </c>
      <c r="K405" s="45">
        <v>0</v>
      </c>
      <c r="L405" s="42" t="s">
        <v>1834</v>
      </c>
      <c r="M405" s="24"/>
    </row>
    <row r="406" ht="15" spans="1:13">
      <c r="A406" s="8" t="s">
        <v>2058</v>
      </c>
      <c r="B406" s="25"/>
      <c r="C406" s="26"/>
      <c r="D406" s="26"/>
      <c r="E406" s="26"/>
      <c r="F406" s="26"/>
      <c r="G406" s="26"/>
      <c r="H406" s="26"/>
      <c r="I406" s="26"/>
      <c r="J406" s="26"/>
      <c r="K406" s="26"/>
      <c r="L406" s="26"/>
      <c r="M406" s="26"/>
    </row>
    <row r="407" ht="15" spans="1:13">
      <c r="A407" s="8" t="s">
        <v>2058</v>
      </c>
      <c r="B407" s="25"/>
      <c r="C407" s="26"/>
      <c r="D407" s="26"/>
      <c r="E407" s="26"/>
      <c r="F407" s="26"/>
      <c r="G407" s="26"/>
      <c r="H407" s="26"/>
      <c r="I407" s="26"/>
      <c r="J407" s="26"/>
      <c r="K407" s="26"/>
      <c r="L407" s="26"/>
      <c r="M407" s="26"/>
    </row>
    <row r="408" ht="36" spans="1:13">
      <c r="A408" s="8" t="s">
        <v>2058</v>
      </c>
      <c r="B408" s="11" t="s">
        <v>1849</v>
      </c>
      <c r="C408" s="41" t="s">
        <v>1821</v>
      </c>
      <c r="D408" s="11"/>
      <c r="E408" s="11"/>
      <c r="F408" s="11"/>
      <c r="G408" s="11"/>
      <c r="H408" s="11"/>
      <c r="I408" s="11"/>
      <c r="J408" s="11"/>
      <c r="K408" s="11"/>
      <c r="L408" s="11"/>
      <c r="M408" s="11"/>
    </row>
    <row r="409" ht="15.75" spans="1:13">
      <c r="A409" s="8" t="s">
        <v>2058</v>
      </c>
      <c r="B409" s="28" t="s">
        <v>1850</v>
      </c>
      <c r="C409" s="20"/>
      <c r="D409" s="20"/>
      <c r="E409" s="20"/>
      <c r="F409" s="20"/>
      <c r="G409" s="20"/>
      <c r="H409" s="11"/>
      <c r="I409" s="11"/>
      <c r="J409" s="11"/>
      <c r="K409" s="11"/>
      <c r="L409" s="11"/>
      <c r="M409" s="11"/>
    </row>
    <row r="410" ht="30" spans="1:13">
      <c r="A410" s="8" t="s">
        <v>2058</v>
      </c>
      <c r="B410" s="9" t="s">
        <v>1815</v>
      </c>
      <c r="C410" s="9" t="s">
        <v>1816</v>
      </c>
      <c r="D410" s="9" t="s">
        <v>1817</v>
      </c>
      <c r="E410" s="9" t="s">
        <v>1818</v>
      </c>
      <c r="F410" s="9" t="s">
        <v>1819</v>
      </c>
      <c r="G410" s="9" t="s">
        <v>1820</v>
      </c>
      <c r="H410" s="10"/>
      <c r="I410" s="11"/>
      <c r="J410" s="11"/>
      <c r="K410" s="11"/>
      <c r="L410" s="11"/>
      <c r="M410" s="11"/>
    </row>
    <row r="411" ht="24" spans="1:13">
      <c r="A411" s="8" t="s">
        <v>2058</v>
      </c>
      <c r="B411" s="42" t="s">
        <v>1821</v>
      </c>
      <c r="C411" s="42" t="s">
        <v>2059</v>
      </c>
      <c r="D411" s="43" t="s">
        <v>439</v>
      </c>
      <c r="E411" s="42" t="s">
        <v>1824</v>
      </c>
      <c r="F411" s="44">
        <v>5109.01</v>
      </c>
      <c r="G411" s="45">
        <v>109.28</v>
      </c>
      <c r="H411" s="46"/>
      <c r="I411" s="11"/>
      <c r="J411" s="11"/>
      <c r="K411" s="11"/>
      <c r="L411" s="11"/>
      <c r="M411" s="11"/>
    </row>
    <row r="412" ht="15.75" spans="1:13">
      <c r="A412" s="8" t="s">
        <v>2058</v>
      </c>
      <c r="B412" s="17"/>
      <c r="C412" s="18" t="s">
        <v>1825</v>
      </c>
      <c r="D412" s="19"/>
      <c r="E412" s="19"/>
      <c r="F412" s="19"/>
      <c r="G412" s="19"/>
      <c r="H412" s="20"/>
      <c r="I412" s="20"/>
      <c r="J412" s="20"/>
      <c r="K412" s="20"/>
      <c r="L412" s="20"/>
      <c r="M412" s="20"/>
    </row>
    <row r="413" ht="60" spans="1:13">
      <c r="A413" s="8" t="s">
        <v>2058</v>
      </c>
      <c r="B413" s="21"/>
      <c r="C413" s="22" t="s">
        <v>1816</v>
      </c>
      <c r="D413" s="22" t="s">
        <v>1817</v>
      </c>
      <c r="E413" s="22" t="s">
        <v>1826</v>
      </c>
      <c r="F413" s="22" t="s">
        <v>1819</v>
      </c>
      <c r="G413" s="22" t="s">
        <v>1820</v>
      </c>
      <c r="H413" s="22" t="s">
        <v>1827</v>
      </c>
      <c r="I413" s="22" t="s">
        <v>1828</v>
      </c>
      <c r="J413" s="22" t="s">
        <v>1829</v>
      </c>
      <c r="K413" s="22" t="s">
        <v>1830</v>
      </c>
      <c r="L413" s="23" t="s">
        <v>1831</v>
      </c>
      <c r="M413" s="23" t="s">
        <v>1832</v>
      </c>
    </row>
    <row r="414" ht="24" spans="1:13">
      <c r="A414" s="8" t="s">
        <v>2058</v>
      </c>
      <c r="B414" s="21"/>
      <c r="C414" s="42" t="s">
        <v>2059</v>
      </c>
      <c r="D414" s="43" t="s">
        <v>439</v>
      </c>
      <c r="E414" s="42" t="s">
        <v>1824</v>
      </c>
      <c r="F414" s="45">
        <v>-109.28</v>
      </c>
      <c r="G414" s="45">
        <v>0</v>
      </c>
      <c r="H414" s="42" t="s">
        <v>2060</v>
      </c>
      <c r="I414" s="42" t="s">
        <v>1836</v>
      </c>
      <c r="J414" s="45">
        <v>-109.28</v>
      </c>
      <c r="K414" s="45">
        <v>0</v>
      </c>
      <c r="L414" s="42" t="s">
        <v>1834</v>
      </c>
      <c r="M414" s="24"/>
    </row>
    <row r="415" ht="24" spans="1:13">
      <c r="A415" s="8" t="s">
        <v>2058</v>
      </c>
      <c r="B415" s="21"/>
      <c r="C415" s="42" t="s">
        <v>2059</v>
      </c>
      <c r="D415" s="43" t="s">
        <v>439</v>
      </c>
      <c r="E415" s="42" t="s">
        <v>1824</v>
      </c>
      <c r="F415" s="45">
        <v>5354.89</v>
      </c>
      <c r="G415" s="45">
        <v>109.28</v>
      </c>
      <c r="H415" s="42" t="s">
        <v>494</v>
      </c>
      <c r="I415" s="42" t="s">
        <v>1833</v>
      </c>
      <c r="J415" s="45">
        <v>5464.17</v>
      </c>
      <c r="K415" s="45">
        <v>0</v>
      </c>
      <c r="L415" s="42" t="s">
        <v>1834</v>
      </c>
      <c r="M415" s="24"/>
    </row>
    <row r="416" ht="24" spans="1:13">
      <c r="A416" s="8" t="s">
        <v>2058</v>
      </c>
      <c r="B416" s="21"/>
      <c r="C416" s="42" t="s">
        <v>2059</v>
      </c>
      <c r="D416" s="43" t="s">
        <v>439</v>
      </c>
      <c r="E416" s="42" t="s">
        <v>1824</v>
      </c>
      <c r="F416" s="45">
        <v>-136.6</v>
      </c>
      <c r="G416" s="45">
        <v>0</v>
      </c>
      <c r="H416" s="42" t="s">
        <v>2061</v>
      </c>
      <c r="I416" s="42" t="s">
        <v>1836</v>
      </c>
      <c r="J416" s="45">
        <v>-136.6</v>
      </c>
      <c r="K416" s="45">
        <v>0</v>
      </c>
      <c r="L416" s="42" t="s">
        <v>1834</v>
      </c>
      <c r="M416" s="24"/>
    </row>
    <row r="417" ht="15" spans="1:13">
      <c r="A417" s="8" t="s">
        <v>2062</v>
      </c>
      <c r="B417" s="25"/>
      <c r="C417" s="26"/>
      <c r="D417" s="26"/>
      <c r="E417" s="26"/>
      <c r="F417" s="26"/>
      <c r="G417" s="26"/>
      <c r="H417" s="26"/>
      <c r="I417" s="26"/>
      <c r="J417" s="26"/>
      <c r="K417" s="26"/>
      <c r="L417" s="26"/>
      <c r="M417" s="26"/>
    </row>
    <row r="418" ht="15" spans="1:13">
      <c r="A418" s="8" t="s">
        <v>2062</v>
      </c>
      <c r="B418" s="25"/>
      <c r="C418" s="26"/>
      <c r="D418" s="26"/>
      <c r="E418" s="26"/>
      <c r="F418" s="26"/>
      <c r="G418" s="26"/>
      <c r="H418" s="26"/>
      <c r="I418" s="26"/>
      <c r="J418" s="26"/>
      <c r="K418" s="26"/>
      <c r="L418" s="26"/>
      <c r="M418" s="26"/>
    </row>
    <row r="419" ht="36" spans="1:13">
      <c r="A419" s="8" t="s">
        <v>2062</v>
      </c>
      <c r="B419" s="11" t="s">
        <v>1849</v>
      </c>
      <c r="C419" s="41" t="s">
        <v>1821</v>
      </c>
      <c r="D419" s="11"/>
      <c r="E419" s="11"/>
      <c r="F419" s="11"/>
      <c r="G419" s="11"/>
      <c r="H419" s="11"/>
      <c r="I419" s="11"/>
      <c r="J419" s="11"/>
      <c r="K419" s="11"/>
      <c r="L419" s="11"/>
      <c r="M419" s="11"/>
    </row>
    <row r="420" ht="15.75" spans="1:13">
      <c r="A420" s="8" t="s">
        <v>2062</v>
      </c>
      <c r="B420" s="28" t="s">
        <v>1850</v>
      </c>
      <c r="C420" s="20"/>
      <c r="D420" s="20"/>
      <c r="E420" s="20"/>
      <c r="F420" s="20"/>
      <c r="G420" s="20"/>
      <c r="H420" s="11"/>
      <c r="I420" s="11"/>
      <c r="J420" s="11"/>
      <c r="K420" s="11"/>
      <c r="L420" s="11"/>
      <c r="M420" s="11"/>
    </row>
    <row r="421" ht="30" spans="1:13">
      <c r="A421" s="8" t="s">
        <v>2062</v>
      </c>
      <c r="B421" s="9" t="s">
        <v>1815</v>
      </c>
      <c r="C421" s="9" t="s">
        <v>1816</v>
      </c>
      <c r="D421" s="9" t="s">
        <v>1817</v>
      </c>
      <c r="E421" s="9" t="s">
        <v>1818</v>
      </c>
      <c r="F421" s="9" t="s">
        <v>1819</v>
      </c>
      <c r="G421" s="9" t="s">
        <v>1820</v>
      </c>
      <c r="H421" s="10"/>
      <c r="I421" s="11"/>
      <c r="J421" s="11"/>
      <c r="K421" s="11"/>
      <c r="L421" s="11"/>
      <c r="M421" s="11"/>
    </row>
    <row r="422" ht="24" spans="1:13">
      <c r="A422" s="8" t="s">
        <v>2062</v>
      </c>
      <c r="B422" s="42" t="s">
        <v>1821</v>
      </c>
      <c r="C422" s="42" t="s">
        <v>2063</v>
      </c>
      <c r="D422" s="43" t="s">
        <v>2064</v>
      </c>
      <c r="E422" s="42" t="s">
        <v>1824</v>
      </c>
      <c r="F422" s="44">
        <v>2816.44</v>
      </c>
      <c r="G422" s="45">
        <v>60.24</v>
      </c>
      <c r="H422" s="46"/>
      <c r="I422" s="11"/>
      <c r="J422" s="11"/>
      <c r="K422" s="11"/>
      <c r="L422" s="11"/>
      <c r="M422" s="11"/>
    </row>
    <row r="423" ht="15.75" spans="1:13">
      <c r="A423" s="8" t="s">
        <v>2062</v>
      </c>
      <c r="B423" s="17"/>
      <c r="C423" s="18" t="s">
        <v>1825</v>
      </c>
      <c r="D423" s="19"/>
      <c r="E423" s="19"/>
      <c r="F423" s="19"/>
      <c r="G423" s="19"/>
      <c r="H423" s="20"/>
      <c r="I423" s="20"/>
      <c r="J423" s="20"/>
      <c r="K423" s="20"/>
      <c r="L423" s="20"/>
      <c r="M423" s="20"/>
    </row>
    <row r="424" ht="60" spans="1:13">
      <c r="A424" s="8" t="s">
        <v>2062</v>
      </c>
      <c r="B424" s="21"/>
      <c r="C424" s="22" t="s">
        <v>1816</v>
      </c>
      <c r="D424" s="22" t="s">
        <v>1817</v>
      </c>
      <c r="E424" s="22" t="s">
        <v>1826</v>
      </c>
      <c r="F424" s="22" t="s">
        <v>1819</v>
      </c>
      <c r="G424" s="22" t="s">
        <v>1820</v>
      </c>
      <c r="H424" s="22" t="s">
        <v>1827</v>
      </c>
      <c r="I424" s="22" t="s">
        <v>1828</v>
      </c>
      <c r="J424" s="22" t="s">
        <v>1829</v>
      </c>
      <c r="K424" s="22" t="s">
        <v>1830</v>
      </c>
      <c r="L424" s="23" t="s">
        <v>1831</v>
      </c>
      <c r="M424" s="23" t="s">
        <v>1832</v>
      </c>
    </row>
    <row r="425" ht="24" spans="1:13">
      <c r="A425" s="8" t="s">
        <v>2062</v>
      </c>
      <c r="B425" s="21"/>
      <c r="C425" s="42" t="s">
        <v>2063</v>
      </c>
      <c r="D425" s="43" t="s">
        <v>2064</v>
      </c>
      <c r="E425" s="42" t="s">
        <v>1824</v>
      </c>
      <c r="F425" s="45">
        <v>2951.99</v>
      </c>
      <c r="G425" s="45">
        <v>60.24</v>
      </c>
      <c r="H425" s="42" t="s">
        <v>500</v>
      </c>
      <c r="I425" s="42" t="s">
        <v>1833</v>
      </c>
      <c r="J425" s="45">
        <v>3012.23</v>
      </c>
      <c r="K425" s="45">
        <v>0</v>
      </c>
      <c r="L425" s="42" t="s">
        <v>1834</v>
      </c>
      <c r="M425" s="24"/>
    </row>
    <row r="426" ht="24" spans="1:13">
      <c r="A426" s="8" t="s">
        <v>2062</v>
      </c>
      <c r="B426" s="21"/>
      <c r="C426" s="42" t="s">
        <v>2063</v>
      </c>
      <c r="D426" s="43" t="s">
        <v>2064</v>
      </c>
      <c r="E426" s="42" t="s">
        <v>1824</v>
      </c>
      <c r="F426" s="45">
        <v>-75.31</v>
      </c>
      <c r="G426" s="45">
        <v>0</v>
      </c>
      <c r="H426" s="42" t="s">
        <v>2065</v>
      </c>
      <c r="I426" s="42" t="s">
        <v>1836</v>
      </c>
      <c r="J426" s="45">
        <v>-75.31</v>
      </c>
      <c r="K426" s="45">
        <v>0</v>
      </c>
      <c r="L426" s="42" t="s">
        <v>1834</v>
      </c>
      <c r="M426" s="24"/>
    </row>
    <row r="427" ht="24" spans="1:13">
      <c r="A427" s="8" t="s">
        <v>2062</v>
      </c>
      <c r="B427" s="21"/>
      <c r="C427" s="42" t="s">
        <v>2063</v>
      </c>
      <c r="D427" s="43" t="s">
        <v>2064</v>
      </c>
      <c r="E427" s="42" t="s">
        <v>1824</v>
      </c>
      <c r="F427" s="45">
        <v>-60.24</v>
      </c>
      <c r="G427" s="45">
        <v>0</v>
      </c>
      <c r="H427" s="42" t="s">
        <v>2066</v>
      </c>
      <c r="I427" s="42" t="s">
        <v>1836</v>
      </c>
      <c r="J427" s="45">
        <v>-60.24</v>
      </c>
      <c r="K427" s="45">
        <v>0</v>
      </c>
      <c r="L427" s="42" t="s">
        <v>1834</v>
      </c>
      <c r="M427" s="24"/>
    </row>
    <row r="428" ht="13.5" spans="1:13">
      <c r="A428" s="8" t="s">
        <v>2067</v>
      </c>
      <c r="B428" s="47"/>
      <c r="C428" s="47"/>
      <c r="D428" s="47"/>
      <c r="E428" s="47"/>
      <c r="F428" s="47"/>
      <c r="G428" s="47"/>
      <c r="H428" s="47"/>
      <c r="I428" s="47"/>
      <c r="J428" s="47"/>
      <c r="K428" s="47"/>
      <c r="L428" s="47"/>
      <c r="M428" s="47"/>
    </row>
    <row r="429" ht="30" spans="1:13">
      <c r="A429" s="8" t="s">
        <v>2067</v>
      </c>
      <c r="B429" s="9" t="s">
        <v>1815</v>
      </c>
      <c r="C429" s="9" t="s">
        <v>1816</v>
      </c>
      <c r="D429" s="9" t="s">
        <v>1817</v>
      </c>
      <c r="E429" s="9" t="s">
        <v>1818</v>
      </c>
      <c r="F429" s="9" t="s">
        <v>1819</v>
      </c>
      <c r="G429" s="9" t="s">
        <v>1820</v>
      </c>
      <c r="H429" s="10"/>
      <c r="I429" s="11"/>
      <c r="J429" s="11"/>
      <c r="K429" s="11"/>
      <c r="L429" s="11"/>
      <c r="M429" s="11"/>
    </row>
    <row r="430" ht="24" spans="1:13">
      <c r="A430" s="8" t="s">
        <v>2067</v>
      </c>
      <c r="B430" s="42" t="s">
        <v>1821</v>
      </c>
      <c r="C430" s="42" t="s">
        <v>2068</v>
      </c>
      <c r="D430" s="43" t="s">
        <v>2069</v>
      </c>
      <c r="E430" s="42" t="s">
        <v>1824</v>
      </c>
      <c r="F430" s="48">
        <v>28812.74</v>
      </c>
      <c r="G430" s="45">
        <v>616.31</v>
      </c>
      <c r="H430" s="16"/>
      <c r="I430" s="11"/>
      <c r="J430" s="11"/>
      <c r="K430" s="11"/>
      <c r="L430" s="11"/>
      <c r="M430" s="11"/>
    </row>
    <row r="431" ht="15.75" spans="1:13">
      <c r="A431" s="8" t="s">
        <v>2067</v>
      </c>
      <c r="B431" s="17"/>
      <c r="C431" s="18" t="s">
        <v>1825</v>
      </c>
      <c r="D431" s="19"/>
      <c r="E431" s="19"/>
      <c r="F431" s="19"/>
      <c r="G431" s="19"/>
      <c r="H431" s="20"/>
      <c r="I431" s="20"/>
      <c r="J431" s="20"/>
      <c r="K431" s="20"/>
      <c r="L431" s="20"/>
      <c r="M431" s="20"/>
    </row>
    <row r="432" ht="60" spans="1:13">
      <c r="A432" s="8" t="s">
        <v>2067</v>
      </c>
      <c r="B432" s="21"/>
      <c r="C432" s="22" t="s">
        <v>1816</v>
      </c>
      <c r="D432" s="22" t="s">
        <v>1817</v>
      </c>
      <c r="E432" s="22" t="s">
        <v>1826</v>
      </c>
      <c r="F432" s="22" t="s">
        <v>1819</v>
      </c>
      <c r="G432" s="22" t="s">
        <v>1820</v>
      </c>
      <c r="H432" s="22" t="s">
        <v>1827</v>
      </c>
      <c r="I432" s="22" t="s">
        <v>1828</v>
      </c>
      <c r="J432" s="22" t="s">
        <v>1829</v>
      </c>
      <c r="K432" s="22" t="s">
        <v>1830</v>
      </c>
      <c r="L432" s="23" t="s">
        <v>1831</v>
      </c>
      <c r="M432" s="23" t="s">
        <v>1832</v>
      </c>
    </row>
    <row r="433" ht="24" spans="1:13">
      <c r="A433" s="8" t="s">
        <v>2067</v>
      </c>
      <c r="B433" s="21"/>
      <c r="C433" s="42" t="s">
        <v>2068</v>
      </c>
      <c r="D433" s="43" t="s">
        <v>2069</v>
      </c>
      <c r="E433" s="42" t="s">
        <v>1824</v>
      </c>
      <c r="F433" s="45">
        <v>11882.22</v>
      </c>
      <c r="G433" s="45">
        <v>242.49</v>
      </c>
      <c r="H433" s="42" t="s">
        <v>490</v>
      </c>
      <c r="I433" s="42" t="s">
        <v>1833</v>
      </c>
      <c r="J433" s="45">
        <v>12124.71</v>
      </c>
      <c r="K433" s="45">
        <v>0</v>
      </c>
      <c r="L433" s="42" t="s">
        <v>1834</v>
      </c>
      <c r="M433" s="24"/>
    </row>
    <row r="434" ht="24" spans="1:13">
      <c r="A434" s="8" t="s">
        <v>2067</v>
      </c>
      <c r="B434" s="21"/>
      <c r="C434" s="42" t="s">
        <v>2068</v>
      </c>
      <c r="D434" s="43" t="s">
        <v>2069</v>
      </c>
      <c r="E434" s="42" t="s">
        <v>1824</v>
      </c>
      <c r="F434" s="45">
        <v>-242.49</v>
      </c>
      <c r="G434" s="45">
        <v>0</v>
      </c>
      <c r="H434" s="42" t="s">
        <v>2070</v>
      </c>
      <c r="I434" s="42" t="s">
        <v>1836</v>
      </c>
      <c r="J434" s="45">
        <v>-242.49</v>
      </c>
      <c r="K434" s="45">
        <v>0</v>
      </c>
      <c r="L434" s="42" t="s">
        <v>1834</v>
      </c>
      <c r="M434" s="24"/>
    </row>
    <row r="435" ht="24" spans="1:13">
      <c r="A435" s="8" t="s">
        <v>2067</v>
      </c>
      <c r="B435" s="21"/>
      <c r="C435" s="42" t="s">
        <v>2068</v>
      </c>
      <c r="D435" s="43" t="s">
        <v>2069</v>
      </c>
      <c r="E435" s="42" t="s">
        <v>1824</v>
      </c>
      <c r="F435" s="45">
        <v>-303.12</v>
      </c>
      <c r="G435" s="45">
        <v>0</v>
      </c>
      <c r="H435" s="42" t="s">
        <v>2071</v>
      </c>
      <c r="I435" s="42" t="s">
        <v>1836</v>
      </c>
      <c r="J435" s="45">
        <v>-303.12</v>
      </c>
      <c r="K435" s="45">
        <v>0</v>
      </c>
      <c r="L435" s="42" t="s">
        <v>1834</v>
      </c>
      <c r="M435" s="24"/>
    </row>
    <row r="436" ht="24" spans="1:13">
      <c r="A436" s="8" t="s">
        <v>2067</v>
      </c>
      <c r="B436" s="21"/>
      <c r="C436" s="42" t="s">
        <v>2068</v>
      </c>
      <c r="D436" s="43" t="s">
        <v>2069</v>
      </c>
      <c r="E436" s="42" t="s">
        <v>1824</v>
      </c>
      <c r="F436" s="45">
        <v>4096.97</v>
      </c>
      <c r="G436" s="45">
        <v>83.61</v>
      </c>
      <c r="H436" s="42" t="s">
        <v>493</v>
      </c>
      <c r="I436" s="42" t="s">
        <v>1833</v>
      </c>
      <c r="J436" s="45">
        <v>4180.58</v>
      </c>
      <c r="K436" s="45">
        <v>0</v>
      </c>
      <c r="L436" s="42" t="s">
        <v>1834</v>
      </c>
      <c r="M436" s="24"/>
    </row>
    <row r="437" ht="24" spans="1:13">
      <c r="A437" s="8" t="s">
        <v>2067</v>
      </c>
      <c r="B437" s="21"/>
      <c r="C437" s="42" t="s">
        <v>2068</v>
      </c>
      <c r="D437" s="43" t="s">
        <v>2069</v>
      </c>
      <c r="E437" s="42" t="s">
        <v>1824</v>
      </c>
      <c r="F437" s="45">
        <v>-362.76</v>
      </c>
      <c r="G437" s="45">
        <v>0</v>
      </c>
      <c r="H437" s="42" t="s">
        <v>2072</v>
      </c>
      <c r="I437" s="42" t="s">
        <v>1836</v>
      </c>
      <c r="J437" s="45">
        <v>-362.76</v>
      </c>
      <c r="K437" s="45">
        <v>0</v>
      </c>
      <c r="L437" s="42" t="s">
        <v>1834</v>
      </c>
      <c r="M437" s="24"/>
    </row>
    <row r="438" ht="24" spans="1:13">
      <c r="A438" s="8" t="s">
        <v>2067</v>
      </c>
      <c r="B438" s="21"/>
      <c r="C438" s="42" t="s">
        <v>2068</v>
      </c>
      <c r="D438" s="43" t="s">
        <v>2069</v>
      </c>
      <c r="E438" s="42" t="s">
        <v>1824</v>
      </c>
      <c r="F438" s="45">
        <v>-104.51</v>
      </c>
      <c r="G438" s="45">
        <v>0</v>
      </c>
      <c r="H438" s="42" t="s">
        <v>2073</v>
      </c>
      <c r="I438" s="42" t="s">
        <v>1836</v>
      </c>
      <c r="J438" s="45">
        <v>-104.51</v>
      </c>
      <c r="K438" s="45">
        <v>0</v>
      </c>
      <c r="L438" s="42" t="s">
        <v>1834</v>
      </c>
      <c r="M438" s="24"/>
    </row>
    <row r="439" ht="24" spans="1:13">
      <c r="A439" s="8" t="s">
        <v>2067</v>
      </c>
      <c r="B439" s="21"/>
      <c r="C439" s="42" t="s">
        <v>2068</v>
      </c>
      <c r="D439" s="43" t="s">
        <v>2069</v>
      </c>
      <c r="E439" s="42" t="s">
        <v>1824</v>
      </c>
      <c r="F439" s="45">
        <v>14220.25</v>
      </c>
      <c r="G439" s="45">
        <v>290.21</v>
      </c>
      <c r="H439" s="42" t="s">
        <v>492</v>
      </c>
      <c r="I439" s="42" t="s">
        <v>1833</v>
      </c>
      <c r="J439" s="45">
        <v>14510.46</v>
      </c>
      <c r="K439" s="45">
        <v>0</v>
      </c>
      <c r="L439" s="42" t="s">
        <v>1834</v>
      </c>
      <c r="M439" s="24"/>
    </row>
    <row r="440" ht="24" spans="1:13">
      <c r="A440" s="8" t="s">
        <v>2067</v>
      </c>
      <c r="B440" s="21"/>
      <c r="C440" s="42" t="s">
        <v>2068</v>
      </c>
      <c r="D440" s="43" t="s">
        <v>2069</v>
      </c>
      <c r="E440" s="42" t="s">
        <v>1824</v>
      </c>
      <c r="F440" s="45">
        <v>-290.21</v>
      </c>
      <c r="G440" s="45">
        <v>0</v>
      </c>
      <c r="H440" s="42" t="s">
        <v>2074</v>
      </c>
      <c r="I440" s="42" t="s">
        <v>1836</v>
      </c>
      <c r="J440" s="45">
        <v>-290.21</v>
      </c>
      <c r="K440" s="45">
        <v>0</v>
      </c>
      <c r="L440" s="42" t="s">
        <v>1834</v>
      </c>
      <c r="M440" s="24"/>
    </row>
    <row r="441" ht="24" spans="1:13">
      <c r="A441" s="8" t="s">
        <v>2067</v>
      </c>
      <c r="B441" s="21"/>
      <c r="C441" s="42" t="s">
        <v>2068</v>
      </c>
      <c r="D441" s="43" t="s">
        <v>2069</v>
      </c>
      <c r="E441" s="42" t="s">
        <v>1824</v>
      </c>
      <c r="F441" s="45">
        <v>-83.61</v>
      </c>
      <c r="G441" s="45">
        <v>0</v>
      </c>
      <c r="H441" s="42" t="s">
        <v>2075</v>
      </c>
      <c r="I441" s="42" t="s">
        <v>1836</v>
      </c>
      <c r="J441" s="45">
        <v>-83.61</v>
      </c>
      <c r="K441" s="45">
        <v>0</v>
      </c>
      <c r="L441" s="42" t="s">
        <v>1834</v>
      </c>
      <c r="M441" s="24"/>
    </row>
    <row r="442" ht="13.5" spans="1:13">
      <c r="A442" s="8" t="s">
        <v>2067</v>
      </c>
      <c r="B442" s="49"/>
      <c r="C442" s="49"/>
      <c r="D442" s="47"/>
      <c r="E442" s="47"/>
      <c r="F442" s="49"/>
      <c r="G442" s="49"/>
      <c r="H442" s="49"/>
      <c r="I442" s="49"/>
      <c r="J442" s="49"/>
      <c r="K442" s="49"/>
      <c r="L442" s="49"/>
      <c r="M442" s="49"/>
    </row>
    <row r="443" ht="13.5" spans="1:13">
      <c r="A443" s="8" t="s">
        <v>2067</v>
      </c>
      <c r="B443" s="49"/>
      <c r="C443" s="49"/>
      <c r="D443" s="47"/>
      <c r="E443" s="47"/>
      <c r="F443" s="47"/>
      <c r="G443" s="47"/>
      <c r="H443" s="47"/>
      <c r="I443" s="47"/>
      <c r="J443" s="47"/>
      <c r="K443" s="47"/>
      <c r="L443" s="47"/>
      <c r="M443" s="47"/>
    </row>
    <row r="444" ht="13.5" spans="1:13">
      <c r="A444" s="8" t="s">
        <v>2067</v>
      </c>
      <c r="B444" s="47"/>
      <c r="C444" s="47"/>
      <c r="D444" s="47"/>
      <c r="E444" s="47"/>
      <c r="F444" s="47"/>
      <c r="G444" s="47"/>
      <c r="H444" s="47"/>
      <c r="I444" s="47"/>
      <c r="J444" s="47"/>
      <c r="K444" s="47"/>
      <c r="L444" s="47"/>
      <c r="M444" s="47"/>
    </row>
    <row r="445" ht="13.5" spans="1:13">
      <c r="A445" s="8" t="s">
        <v>2067</v>
      </c>
      <c r="B445" s="50"/>
      <c r="C445" s="50"/>
      <c r="D445" s="50"/>
      <c r="E445" s="50"/>
      <c r="F445" s="50"/>
      <c r="G445" s="50"/>
      <c r="H445" s="51"/>
      <c r="I445" s="51"/>
      <c r="J445" s="51"/>
      <c r="K445" s="51"/>
      <c r="L445" s="51"/>
      <c r="M445" s="51"/>
    </row>
    <row r="446" ht="13.5" spans="1:13">
      <c r="A446" s="8" t="s">
        <v>2067</v>
      </c>
      <c r="B446" s="49"/>
      <c r="C446" s="49"/>
      <c r="D446" s="49"/>
      <c r="E446" s="49"/>
      <c r="F446" s="49"/>
      <c r="G446" s="52"/>
      <c r="H446" s="53"/>
      <c r="I446" s="53"/>
      <c r="J446" s="53"/>
      <c r="K446" s="53"/>
      <c r="L446" s="53"/>
      <c r="M446" s="53"/>
    </row>
    <row r="447" ht="13.5" spans="1:13">
      <c r="A447" s="8" t="s">
        <v>2076</v>
      </c>
      <c r="B447" s="54"/>
      <c r="C447" s="54"/>
      <c r="D447" s="54"/>
      <c r="E447" s="54"/>
      <c r="F447" s="54"/>
      <c r="G447" s="54"/>
      <c r="H447" s="54"/>
      <c r="I447" s="54"/>
      <c r="J447" s="54"/>
      <c r="K447" s="54"/>
      <c r="L447" s="55"/>
      <c r="M447" s="56"/>
    </row>
    <row r="448" ht="15" spans="1:13">
      <c r="A448" s="8" t="s">
        <v>2077</v>
      </c>
      <c r="B448" s="25"/>
      <c r="C448" s="26"/>
      <c r="D448" s="26"/>
      <c r="E448" s="26"/>
      <c r="F448" s="26"/>
      <c r="G448" s="26"/>
      <c r="H448" s="26"/>
      <c r="I448" s="26"/>
      <c r="J448" s="26"/>
      <c r="K448" s="26"/>
      <c r="L448" s="26"/>
      <c r="M448" s="26"/>
    </row>
    <row r="449" ht="15" spans="1:13">
      <c r="A449" s="8" t="s">
        <v>2077</v>
      </c>
      <c r="B449" s="25"/>
      <c r="C449" s="26"/>
      <c r="D449" s="26"/>
      <c r="E449" s="26"/>
      <c r="F449" s="26"/>
      <c r="G449" s="26"/>
      <c r="H449" s="26"/>
      <c r="I449" s="26"/>
      <c r="J449" s="26"/>
      <c r="K449" s="26"/>
      <c r="L449" s="26"/>
      <c r="M449" s="26"/>
    </row>
    <row r="450" ht="36" spans="1:13">
      <c r="A450" s="8" t="s">
        <v>2077</v>
      </c>
      <c r="B450" s="11" t="s">
        <v>1849</v>
      </c>
      <c r="C450" s="41" t="s">
        <v>1821</v>
      </c>
      <c r="D450" s="11"/>
      <c r="E450" s="11"/>
      <c r="F450" s="11"/>
      <c r="G450" s="11"/>
      <c r="H450" s="11"/>
      <c r="I450" s="11"/>
      <c r="J450" s="11"/>
      <c r="K450" s="11"/>
      <c r="L450" s="11"/>
      <c r="M450" s="11"/>
    </row>
    <row r="451" ht="15.75" spans="1:13">
      <c r="A451" s="8" t="s">
        <v>2077</v>
      </c>
      <c r="B451" s="28" t="s">
        <v>1850</v>
      </c>
      <c r="C451" s="20"/>
      <c r="D451" s="20"/>
      <c r="E451" s="20"/>
      <c r="F451" s="20"/>
      <c r="G451" s="20"/>
      <c r="H451" s="11"/>
      <c r="I451" s="11"/>
      <c r="J451" s="11"/>
      <c r="K451" s="11"/>
      <c r="L451" s="11"/>
      <c r="M451" s="11"/>
    </row>
    <row r="452" ht="30" spans="1:13">
      <c r="A452" s="8" t="s">
        <v>2077</v>
      </c>
      <c r="B452" s="9" t="s">
        <v>1815</v>
      </c>
      <c r="C452" s="9" t="s">
        <v>1816</v>
      </c>
      <c r="D452" s="9" t="s">
        <v>1817</v>
      </c>
      <c r="E452" s="9" t="s">
        <v>1818</v>
      </c>
      <c r="F452" s="9" t="s">
        <v>1819</v>
      </c>
      <c r="G452" s="9" t="s">
        <v>1820</v>
      </c>
      <c r="H452" s="10"/>
      <c r="I452" s="11"/>
      <c r="J452" s="11"/>
      <c r="K452" s="11"/>
      <c r="L452" s="11"/>
      <c r="M452" s="11"/>
    </row>
    <row r="453" ht="24" spans="1:13">
      <c r="A453" s="8" t="s">
        <v>2077</v>
      </c>
      <c r="B453" s="42" t="s">
        <v>1821</v>
      </c>
      <c r="C453" s="42" t="s">
        <v>2078</v>
      </c>
      <c r="D453" s="43" t="s">
        <v>2079</v>
      </c>
      <c r="E453" s="42" t="s">
        <v>1860</v>
      </c>
      <c r="F453" s="44">
        <v>759.76</v>
      </c>
      <c r="G453" s="45">
        <v>15.51</v>
      </c>
      <c r="H453" s="46">
        <v>30.3904</v>
      </c>
      <c r="I453" s="11"/>
      <c r="J453" s="11"/>
      <c r="K453" s="11"/>
      <c r="L453" s="11"/>
      <c r="M453" s="11"/>
    </row>
    <row r="454" ht="15.75" spans="1:13">
      <c r="A454" s="8" t="s">
        <v>2077</v>
      </c>
      <c r="B454" s="17"/>
      <c r="C454" s="18" t="s">
        <v>1825</v>
      </c>
      <c r="D454" s="19"/>
      <c r="E454" s="19"/>
      <c r="F454" s="19"/>
      <c r="G454" s="19"/>
      <c r="H454" s="20"/>
      <c r="I454" s="20"/>
      <c r="J454" s="20"/>
      <c r="K454" s="20"/>
      <c r="L454" s="20"/>
      <c r="M454" s="20"/>
    </row>
    <row r="455" ht="60" spans="1:13">
      <c r="A455" s="8" t="s">
        <v>2077</v>
      </c>
      <c r="B455" s="21"/>
      <c r="C455" s="22" t="s">
        <v>1816</v>
      </c>
      <c r="D455" s="22" t="s">
        <v>1817</v>
      </c>
      <c r="E455" s="22" t="s">
        <v>1826</v>
      </c>
      <c r="F455" s="22" t="s">
        <v>1819</v>
      </c>
      <c r="G455" s="22" t="s">
        <v>1820</v>
      </c>
      <c r="H455" s="22" t="s">
        <v>1827</v>
      </c>
      <c r="I455" s="22" t="s">
        <v>1828</v>
      </c>
      <c r="J455" s="22" t="s">
        <v>1829</v>
      </c>
      <c r="K455" s="22" t="s">
        <v>1830</v>
      </c>
      <c r="L455" s="23" t="s">
        <v>1831</v>
      </c>
      <c r="M455" s="23" t="s">
        <v>1832</v>
      </c>
    </row>
    <row r="456" ht="24" spans="1:13">
      <c r="A456" s="8" t="s">
        <v>2077</v>
      </c>
      <c r="B456" s="21"/>
      <c r="C456" s="42" t="s">
        <v>2080</v>
      </c>
      <c r="D456" s="43" t="s">
        <v>2081</v>
      </c>
      <c r="E456" s="42" t="s">
        <v>1824</v>
      </c>
      <c r="F456" s="45"/>
      <c r="G456" s="45"/>
      <c r="H456" s="57" t="s">
        <v>489</v>
      </c>
      <c r="I456" s="42" t="s">
        <v>1833</v>
      </c>
      <c r="J456" s="45">
        <v>14163.7</v>
      </c>
      <c r="K456" s="45">
        <v>0</v>
      </c>
      <c r="L456" s="42" t="s">
        <v>1834</v>
      </c>
      <c r="M456" s="24"/>
    </row>
    <row r="457" ht="15" spans="1:13">
      <c r="A457" s="8" t="s">
        <v>2077</v>
      </c>
      <c r="B457" s="21"/>
      <c r="C457" s="42" t="s">
        <v>2078</v>
      </c>
      <c r="D457" s="43" t="s">
        <v>2079</v>
      </c>
      <c r="E457" s="42" t="s">
        <v>1860</v>
      </c>
      <c r="F457" s="45"/>
      <c r="G457" s="45"/>
      <c r="H457" s="57" t="s">
        <v>489</v>
      </c>
      <c r="I457" s="42" t="s">
        <v>1833</v>
      </c>
      <c r="J457" s="45">
        <v>14163.7</v>
      </c>
      <c r="K457" s="45">
        <v>0</v>
      </c>
      <c r="L457" s="42" t="s">
        <v>1834</v>
      </c>
      <c r="M457" s="42" t="s">
        <v>2082</v>
      </c>
    </row>
    <row r="458" ht="31.5" spans="1:13">
      <c r="A458" s="8" t="s">
        <v>2077</v>
      </c>
      <c r="B458" s="11"/>
      <c r="C458" s="18" t="s">
        <v>1862</v>
      </c>
      <c r="D458" s="19"/>
      <c r="E458" s="19"/>
      <c r="F458" s="19"/>
      <c r="G458" s="19"/>
      <c r="H458" s="19"/>
      <c r="I458" s="19"/>
      <c r="J458" s="19"/>
      <c r="K458" s="19"/>
      <c r="L458" s="19"/>
      <c r="M458" s="17"/>
    </row>
    <row r="459" ht="45" spans="1:13">
      <c r="A459" s="8" t="s">
        <v>2077</v>
      </c>
      <c r="B459" s="21"/>
      <c r="C459" s="29" t="s">
        <v>1832</v>
      </c>
      <c r="D459" s="29" t="s">
        <v>1863</v>
      </c>
      <c r="E459" s="29" t="s">
        <v>1864</v>
      </c>
      <c r="F459" s="29" t="s">
        <v>1865</v>
      </c>
      <c r="G459" s="29" t="s">
        <v>1827</v>
      </c>
      <c r="H459" s="29" t="s">
        <v>1866</v>
      </c>
      <c r="I459" s="29" t="s">
        <v>1867</v>
      </c>
      <c r="J459" s="29" t="s">
        <v>1868</v>
      </c>
      <c r="K459" s="29" t="s">
        <v>1869</v>
      </c>
      <c r="L459" s="29" t="s">
        <v>1870</v>
      </c>
      <c r="M459" s="16"/>
    </row>
    <row r="460" ht="36" spans="1:13">
      <c r="A460" s="8" t="s">
        <v>2077</v>
      </c>
      <c r="B460" s="21"/>
      <c r="C460" s="42" t="s">
        <v>2082</v>
      </c>
      <c r="D460" s="42" t="s">
        <v>1834</v>
      </c>
      <c r="E460" s="48">
        <v>759.76</v>
      </c>
      <c r="F460" s="42" t="s">
        <v>1871</v>
      </c>
      <c r="G460" s="43" t="s">
        <v>489</v>
      </c>
      <c r="H460" s="45">
        <v>14163.7</v>
      </c>
      <c r="I460" s="30" t="s">
        <v>2083</v>
      </c>
      <c r="J460" s="45">
        <v>15.51</v>
      </c>
      <c r="K460" s="42" t="s">
        <v>2078</v>
      </c>
      <c r="L460" s="42" t="s">
        <v>1821</v>
      </c>
      <c r="M460" s="31"/>
    </row>
    <row r="461" ht="36" spans="1:13">
      <c r="A461" s="8" t="s">
        <v>2077</v>
      </c>
      <c r="B461" s="21"/>
      <c r="C461" s="42" t="s">
        <v>2082</v>
      </c>
      <c r="D461" s="42" t="s">
        <v>1834</v>
      </c>
      <c r="E461" s="48">
        <v>759.76</v>
      </c>
      <c r="F461" s="42" t="s">
        <v>1873</v>
      </c>
      <c r="G461" s="43" t="s">
        <v>2084</v>
      </c>
      <c r="H461" s="45">
        <v>759.76</v>
      </c>
      <c r="I461" s="30" t="s">
        <v>2085</v>
      </c>
      <c r="J461" s="45">
        <v>0</v>
      </c>
      <c r="K461" s="42" t="s">
        <v>2086</v>
      </c>
      <c r="L461" s="42" t="s">
        <v>1821</v>
      </c>
      <c r="M461" s="31"/>
    </row>
    <row r="462" ht="15" spans="1:13">
      <c r="A462" s="8" t="s">
        <v>2087</v>
      </c>
      <c r="B462" s="25"/>
      <c r="C462" s="26"/>
      <c r="D462" s="26"/>
      <c r="E462" s="26"/>
      <c r="F462" s="26"/>
      <c r="G462" s="26"/>
      <c r="H462" s="26"/>
      <c r="I462" s="26"/>
      <c r="J462" s="26"/>
      <c r="K462" s="26"/>
      <c r="L462" s="26"/>
      <c r="M462" s="26"/>
    </row>
    <row r="463" ht="15" spans="1:13">
      <c r="A463" s="8" t="s">
        <v>2087</v>
      </c>
      <c r="B463" s="25"/>
      <c r="C463" s="26"/>
      <c r="D463" s="26"/>
      <c r="E463" s="26"/>
      <c r="F463" s="26"/>
      <c r="G463" s="26"/>
      <c r="H463" s="26"/>
      <c r="I463" s="26"/>
      <c r="J463" s="26"/>
      <c r="K463" s="26"/>
      <c r="L463" s="26"/>
      <c r="M463" s="26"/>
    </row>
    <row r="464" ht="36" spans="1:13">
      <c r="A464" s="8" t="s">
        <v>2087</v>
      </c>
      <c r="B464" s="11" t="s">
        <v>1849</v>
      </c>
      <c r="C464" s="41" t="s">
        <v>1821</v>
      </c>
      <c r="D464" s="11"/>
      <c r="E464" s="11"/>
      <c r="F464" s="11"/>
      <c r="G464" s="11"/>
      <c r="H464" s="11"/>
      <c r="I464" s="11"/>
      <c r="J464" s="11"/>
      <c r="K464" s="11"/>
      <c r="L464" s="11"/>
      <c r="M464" s="11"/>
    </row>
    <row r="465" ht="15.75" spans="1:13">
      <c r="A465" s="8" t="s">
        <v>2087</v>
      </c>
      <c r="B465" s="28" t="s">
        <v>1850</v>
      </c>
      <c r="C465" s="20"/>
      <c r="D465" s="20"/>
      <c r="E465" s="20"/>
      <c r="F465" s="20"/>
      <c r="G465" s="20"/>
      <c r="H465" s="11"/>
      <c r="I465" s="11"/>
      <c r="J465" s="11"/>
      <c r="K465" s="11"/>
      <c r="L465" s="11"/>
      <c r="M465" s="11"/>
    </row>
    <row r="466" ht="30" spans="1:13">
      <c r="A466" s="8" t="s">
        <v>2087</v>
      </c>
      <c r="B466" s="9" t="s">
        <v>1815</v>
      </c>
      <c r="C466" s="9" t="s">
        <v>1816</v>
      </c>
      <c r="D466" s="9" t="s">
        <v>1817</v>
      </c>
      <c r="E466" s="9" t="s">
        <v>1818</v>
      </c>
      <c r="F466" s="9" t="s">
        <v>1819</v>
      </c>
      <c r="G466" s="9" t="s">
        <v>1820</v>
      </c>
      <c r="H466" s="10"/>
      <c r="I466" s="11"/>
      <c r="J466" s="11"/>
      <c r="K466" s="11"/>
      <c r="L466" s="11"/>
      <c r="M466" s="11"/>
    </row>
    <row r="467" ht="24" spans="1:13">
      <c r="A467" s="8" t="s">
        <v>2087</v>
      </c>
      <c r="B467" s="42" t="s">
        <v>1821</v>
      </c>
      <c r="C467" s="42" t="s">
        <v>2080</v>
      </c>
      <c r="D467" s="43" t="s">
        <v>2081</v>
      </c>
      <c r="E467" s="42" t="s">
        <v>1824</v>
      </c>
      <c r="F467" s="44">
        <v>12483.31</v>
      </c>
      <c r="G467" s="45">
        <v>267.76</v>
      </c>
      <c r="H467" s="46">
        <v>499.3324</v>
      </c>
      <c r="I467" s="11"/>
      <c r="J467" s="11"/>
      <c r="K467" s="11"/>
      <c r="L467" s="11"/>
      <c r="M467" s="11"/>
    </row>
    <row r="468" ht="15.75" spans="1:13">
      <c r="A468" s="8" t="s">
        <v>2087</v>
      </c>
      <c r="B468" s="17"/>
      <c r="C468" s="18" t="s">
        <v>1825</v>
      </c>
      <c r="D468" s="19"/>
      <c r="E468" s="19"/>
      <c r="F468" s="19"/>
      <c r="G468" s="19"/>
      <c r="H468" s="20"/>
      <c r="I468" s="20"/>
      <c r="J468" s="20"/>
      <c r="K468" s="20"/>
      <c r="L468" s="20"/>
      <c r="M468" s="20"/>
    </row>
    <row r="469" ht="60" spans="1:13">
      <c r="A469" s="8" t="s">
        <v>2087</v>
      </c>
      <c r="B469" s="21"/>
      <c r="C469" s="22" t="s">
        <v>1816</v>
      </c>
      <c r="D469" s="22" t="s">
        <v>1817</v>
      </c>
      <c r="E469" s="22" t="s">
        <v>1826</v>
      </c>
      <c r="F469" s="22" t="s">
        <v>1819</v>
      </c>
      <c r="G469" s="22" t="s">
        <v>1820</v>
      </c>
      <c r="H469" s="22" t="s">
        <v>1827</v>
      </c>
      <c r="I469" s="22" t="s">
        <v>1828</v>
      </c>
      <c r="J469" s="22" t="s">
        <v>1829</v>
      </c>
      <c r="K469" s="22" t="s">
        <v>1830</v>
      </c>
      <c r="L469" s="23" t="s">
        <v>1831</v>
      </c>
      <c r="M469" s="23" t="s">
        <v>1832</v>
      </c>
    </row>
    <row r="470" ht="24" spans="1:13">
      <c r="A470" s="8" t="s">
        <v>2087</v>
      </c>
      <c r="B470" s="21"/>
      <c r="C470" s="42" t="s">
        <v>2080</v>
      </c>
      <c r="D470" s="43" t="s">
        <v>2081</v>
      </c>
      <c r="E470" s="42" t="s">
        <v>1824</v>
      </c>
      <c r="F470" s="45">
        <v>-283.27</v>
      </c>
      <c r="G470" s="45">
        <v>0</v>
      </c>
      <c r="H470" s="42" t="s">
        <v>2088</v>
      </c>
      <c r="I470" s="42" t="s">
        <v>1836</v>
      </c>
      <c r="J470" s="45">
        <v>-283.27</v>
      </c>
      <c r="K470" s="45">
        <v>0</v>
      </c>
      <c r="L470" s="42" t="s">
        <v>1834</v>
      </c>
      <c r="M470" s="24"/>
    </row>
    <row r="471" ht="24" spans="1:13">
      <c r="A471" s="8" t="s">
        <v>2087</v>
      </c>
      <c r="B471" s="21"/>
      <c r="C471" s="42" t="s">
        <v>2080</v>
      </c>
      <c r="D471" s="43" t="s">
        <v>2081</v>
      </c>
      <c r="E471" s="42" t="s">
        <v>1824</v>
      </c>
      <c r="F471" s="45">
        <v>13120.67</v>
      </c>
      <c r="G471" s="45">
        <v>267.76</v>
      </c>
      <c r="H471" s="42" t="s">
        <v>489</v>
      </c>
      <c r="I471" s="42" t="s">
        <v>1833</v>
      </c>
      <c r="J471" s="45">
        <v>14163.7</v>
      </c>
      <c r="K471" s="45">
        <v>0</v>
      </c>
      <c r="L471" s="42" t="s">
        <v>1834</v>
      </c>
      <c r="M471" s="24"/>
    </row>
    <row r="472" ht="24" spans="1:13">
      <c r="A472" s="8" t="s">
        <v>2087</v>
      </c>
      <c r="B472" s="21"/>
      <c r="C472" s="42" t="s">
        <v>2080</v>
      </c>
      <c r="D472" s="43" t="s">
        <v>2081</v>
      </c>
      <c r="E472" s="42" t="s">
        <v>1824</v>
      </c>
      <c r="F472" s="45">
        <v>-354.09</v>
      </c>
      <c r="G472" s="45">
        <v>0</v>
      </c>
      <c r="H472" s="42" t="s">
        <v>2089</v>
      </c>
      <c r="I472" s="42" t="s">
        <v>1836</v>
      </c>
      <c r="J472" s="45">
        <v>-354.09</v>
      </c>
      <c r="K472" s="45">
        <v>0</v>
      </c>
      <c r="L472" s="42" t="s">
        <v>1834</v>
      </c>
      <c r="M472" s="24"/>
    </row>
    <row r="473" ht="15" spans="1:13">
      <c r="A473" s="8" t="s">
        <v>2087</v>
      </c>
      <c r="B473" s="21"/>
      <c r="C473" s="42" t="s">
        <v>2078</v>
      </c>
      <c r="D473" s="43" t="s">
        <v>2079</v>
      </c>
      <c r="E473" s="42" t="s">
        <v>1860</v>
      </c>
      <c r="F473" s="45">
        <v>759.76</v>
      </c>
      <c r="G473" s="45">
        <v>15.51</v>
      </c>
      <c r="H473" s="42" t="s">
        <v>489</v>
      </c>
      <c r="I473" s="42" t="s">
        <v>1833</v>
      </c>
      <c r="J473" s="45">
        <v>14163.7</v>
      </c>
      <c r="K473" s="45">
        <v>0</v>
      </c>
      <c r="L473" s="42" t="s">
        <v>1834</v>
      </c>
      <c r="M473" s="42" t="s">
        <v>2082</v>
      </c>
    </row>
    <row r="474" ht="31.5" spans="1:13">
      <c r="A474" s="8" t="s">
        <v>2087</v>
      </c>
      <c r="B474" s="11"/>
      <c r="C474" s="18" t="s">
        <v>1862</v>
      </c>
      <c r="D474" s="19"/>
      <c r="E474" s="19"/>
      <c r="F474" s="19"/>
      <c r="G474" s="19"/>
      <c r="H474" s="19"/>
      <c r="I474" s="19"/>
      <c r="J474" s="19"/>
      <c r="K474" s="19"/>
      <c r="L474" s="19"/>
      <c r="M474" s="17"/>
    </row>
    <row r="475" ht="45" spans="1:13">
      <c r="A475" s="8" t="s">
        <v>2087</v>
      </c>
      <c r="B475" s="21"/>
      <c r="C475" s="29" t="s">
        <v>1832</v>
      </c>
      <c r="D475" s="29" t="s">
        <v>1863</v>
      </c>
      <c r="E475" s="29" t="s">
        <v>1864</v>
      </c>
      <c r="F475" s="29" t="s">
        <v>1865</v>
      </c>
      <c r="G475" s="29" t="s">
        <v>1827</v>
      </c>
      <c r="H475" s="29" t="s">
        <v>1866</v>
      </c>
      <c r="I475" s="29" t="s">
        <v>1867</v>
      </c>
      <c r="J475" s="29" t="s">
        <v>1868</v>
      </c>
      <c r="K475" s="29" t="s">
        <v>1869</v>
      </c>
      <c r="L475" s="29" t="s">
        <v>1870</v>
      </c>
      <c r="M475" s="16"/>
    </row>
    <row r="476" ht="36" spans="1:13">
      <c r="A476" s="8" t="s">
        <v>2087</v>
      </c>
      <c r="B476" s="21"/>
      <c r="C476" s="42" t="s">
        <v>2082</v>
      </c>
      <c r="D476" s="42" t="s">
        <v>1834</v>
      </c>
      <c r="E476" s="48">
        <v>759.76</v>
      </c>
      <c r="F476" s="42" t="s">
        <v>1871</v>
      </c>
      <c r="G476" s="43" t="s">
        <v>489</v>
      </c>
      <c r="H476" s="45">
        <v>14163.7</v>
      </c>
      <c r="I476" s="30" t="s">
        <v>2083</v>
      </c>
      <c r="J476" s="45">
        <v>15.51</v>
      </c>
      <c r="K476" s="42" t="s">
        <v>2078</v>
      </c>
      <c r="L476" s="42" t="s">
        <v>1821</v>
      </c>
      <c r="M476" s="31"/>
    </row>
    <row r="477" ht="36" spans="1:13">
      <c r="A477" s="8" t="s">
        <v>2087</v>
      </c>
      <c r="B477" s="21"/>
      <c r="C477" s="42" t="s">
        <v>2082</v>
      </c>
      <c r="D477" s="42" t="s">
        <v>1834</v>
      </c>
      <c r="E477" s="48">
        <v>759.76</v>
      </c>
      <c r="F477" s="42" t="s">
        <v>1873</v>
      </c>
      <c r="G477" s="43" t="s">
        <v>2084</v>
      </c>
      <c r="H477" s="45">
        <v>759.76</v>
      </c>
      <c r="I477" s="30" t="s">
        <v>2085</v>
      </c>
      <c r="J477" s="45">
        <v>0</v>
      </c>
      <c r="K477" s="42" t="s">
        <v>2086</v>
      </c>
      <c r="L477" s="42" t="s">
        <v>1821</v>
      </c>
      <c r="M477" s="31"/>
    </row>
    <row r="478" ht="30" spans="1:13">
      <c r="A478" s="8"/>
      <c r="B478" s="9" t="s">
        <v>1815</v>
      </c>
      <c r="C478" s="9" t="s">
        <v>1816</v>
      </c>
      <c r="D478" s="9" t="s">
        <v>1817</v>
      </c>
      <c r="E478" s="9" t="s">
        <v>1818</v>
      </c>
      <c r="F478" s="9" t="s">
        <v>1819</v>
      </c>
      <c r="G478" s="9" t="s">
        <v>1820</v>
      </c>
      <c r="H478" s="10"/>
      <c r="I478" s="11"/>
      <c r="J478" s="11"/>
      <c r="K478" s="11"/>
      <c r="L478" s="11"/>
      <c r="M478" s="11"/>
    </row>
    <row r="479" ht="24" spans="1:13">
      <c r="A479" s="8" t="s">
        <v>2090</v>
      </c>
      <c r="B479" s="42" t="s">
        <v>1821</v>
      </c>
      <c r="C479" s="42" t="s">
        <v>2078</v>
      </c>
      <c r="D479" s="43" t="s">
        <v>2079</v>
      </c>
      <c r="E479" s="42" t="s">
        <v>1860</v>
      </c>
      <c r="F479" s="48">
        <v>759.76</v>
      </c>
      <c r="G479" s="45">
        <v>15.51</v>
      </c>
      <c r="H479" s="16"/>
      <c r="I479" s="11"/>
      <c r="J479" s="11"/>
      <c r="K479" s="11"/>
      <c r="L479" s="11"/>
      <c r="M479" s="11"/>
    </row>
    <row r="480" ht="15.75" spans="1:13">
      <c r="A480" s="8" t="s">
        <v>2090</v>
      </c>
      <c r="B480" s="17"/>
      <c r="C480" s="18" t="s">
        <v>1825</v>
      </c>
      <c r="D480" s="19"/>
      <c r="E480" s="19"/>
      <c r="F480" s="19"/>
      <c r="G480" s="19"/>
      <c r="H480" s="20"/>
      <c r="I480" s="20"/>
      <c r="J480" s="20"/>
      <c r="K480" s="20"/>
      <c r="L480" s="20"/>
      <c r="M480" s="20"/>
    </row>
    <row r="481" ht="60" spans="1:13">
      <c r="A481" s="8" t="s">
        <v>2090</v>
      </c>
      <c r="B481" s="21"/>
      <c r="C481" s="22" t="s">
        <v>1816</v>
      </c>
      <c r="D481" s="22" t="s">
        <v>1817</v>
      </c>
      <c r="E481" s="22" t="s">
        <v>1826</v>
      </c>
      <c r="F481" s="22" t="s">
        <v>1819</v>
      </c>
      <c r="G481" s="22" t="s">
        <v>1820</v>
      </c>
      <c r="H481" s="22" t="s">
        <v>1827</v>
      </c>
      <c r="I481" s="22" t="s">
        <v>1828</v>
      </c>
      <c r="J481" s="22" t="s">
        <v>1829</v>
      </c>
      <c r="K481" s="22" t="s">
        <v>1830</v>
      </c>
      <c r="L481" s="23" t="s">
        <v>1831</v>
      </c>
      <c r="M481" s="23" t="s">
        <v>1832</v>
      </c>
    </row>
    <row r="482" ht="24" spans="1:13">
      <c r="A482" s="8" t="s">
        <v>2090</v>
      </c>
      <c r="B482" s="21"/>
      <c r="C482" s="42" t="s">
        <v>2080</v>
      </c>
      <c r="D482" s="43" t="s">
        <v>2081</v>
      </c>
      <c r="E482" s="42" t="s">
        <v>1824</v>
      </c>
      <c r="F482" s="45"/>
      <c r="G482" s="58" t="s">
        <v>2091</v>
      </c>
      <c r="H482" s="42" t="s">
        <v>489</v>
      </c>
      <c r="I482" s="42" t="s">
        <v>1833</v>
      </c>
      <c r="J482" s="45">
        <v>14163.7</v>
      </c>
      <c r="K482" s="45">
        <v>0</v>
      </c>
      <c r="L482" s="42" t="s">
        <v>1834</v>
      </c>
      <c r="M482" s="24"/>
    </row>
    <row r="483" ht="15" spans="1:13">
      <c r="A483" s="8" t="s">
        <v>2090</v>
      </c>
      <c r="B483" s="21"/>
      <c r="C483" s="42" t="s">
        <v>2078</v>
      </c>
      <c r="D483" s="43" t="s">
        <v>2079</v>
      </c>
      <c r="E483" s="42" t="s">
        <v>1860</v>
      </c>
      <c r="F483" s="45"/>
      <c r="G483" s="45">
        <v>15.51</v>
      </c>
      <c r="H483" s="42" t="s">
        <v>489</v>
      </c>
      <c r="I483" s="42" t="s">
        <v>1833</v>
      </c>
      <c r="J483" s="45">
        <v>14163.7</v>
      </c>
      <c r="K483" s="45">
        <v>0</v>
      </c>
      <c r="L483" s="42" t="s">
        <v>1834</v>
      </c>
      <c r="M483" s="42" t="s">
        <v>2082</v>
      </c>
    </row>
    <row r="484" ht="31.5" spans="1:13">
      <c r="A484" s="8" t="s">
        <v>2090</v>
      </c>
      <c r="B484" s="11"/>
      <c r="C484" s="18" t="s">
        <v>1862</v>
      </c>
      <c r="D484" s="19"/>
      <c r="E484" s="19"/>
      <c r="F484" s="19"/>
      <c r="G484" s="19"/>
      <c r="H484" s="19"/>
      <c r="I484" s="19"/>
      <c r="J484" s="19"/>
      <c r="K484" s="19"/>
      <c r="L484" s="19"/>
      <c r="M484" s="17"/>
    </row>
    <row r="485" ht="45" spans="1:13">
      <c r="A485" s="8" t="s">
        <v>2090</v>
      </c>
      <c r="B485" s="21"/>
      <c r="C485" s="29" t="s">
        <v>1832</v>
      </c>
      <c r="D485" s="29" t="s">
        <v>1863</v>
      </c>
      <c r="E485" s="29" t="s">
        <v>1864</v>
      </c>
      <c r="F485" s="29" t="s">
        <v>1865</v>
      </c>
      <c r="G485" s="29" t="s">
        <v>1827</v>
      </c>
      <c r="H485" s="29" t="s">
        <v>1866</v>
      </c>
      <c r="I485" s="29" t="s">
        <v>1867</v>
      </c>
      <c r="J485" s="29" t="s">
        <v>1868</v>
      </c>
      <c r="K485" s="29" t="s">
        <v>1869</v>
      </c>
      <c r="L485" s="29" t="s">
        <v>1870</v>
      </c>
      <c r="M485" s="16"/>
    </row>
    <row r="486" ht="36" spans="1:13">
      <c r="A486" s="8" t="s">
        <v>2090</v>
      </c>
      <c r="B486" s="21"/>
      <c r="C486" s="42" t="s">
        <v>2082</v>
      </c>
      <c r="D486" s="42" t="s">
        <v>1834</v>
      </c>
      <c r="E486" s="48">
        <v>759.76</v>
      </c>
      <c r="F486" s="42" t="s">
        <v>1871</v>
      </c>
      <c r="G486" s="43" t="s">
        <v>489</v>
      </c>
      <c r="H486" s="45">
        <v>14163.7</v>
      </c>
      <c r="I486" s="43" t="s">
        <v>2092</v>
      </c>
      <c r="J486" s="45">
        <v>15.51</v>
      </c>
      <c r="K486" s="42" t="s">
        <v>2078</v>
      </c>
      <c r="L486" s="42" t="s">
        <v>1821</v>
      </c>
      <c r="M486" s="31"/>
    </row>
    <row r="487" ht="36" spans="1:13">
      <c r="A487" s="8" t="s">
        <v>2090</v>
      </c>
      <c r="B487" s="21"/>
      <c r="C487" s="42" t="s">
        <v>2082</v>
      </c>
      <c r="D487" s="42" t="s">
        <v>1834</v>
      </c>
      <c r="E487" s="48">
        <v>759.76</v>
      </c>
      <c r="F487" s="42" t="s">
        <v>1873</v>
      </c>
      <c r="G487" s="43" t="s">
        <v>2084</v>
      </c>
      <c r="H487" s="45">
        <v>759.76</v>
      </c>
      <c r="I487" s="43" t="s">
        <v>2093</v>
      </c>
      <c r="J487" s="45">
        <v>0</v>
      </c>
      <c r="K487" s="42" t="s">
        <v>2086</v>
      </c>
      <c r="L487" s="42" t="s">
        <v>1821</v>
      </c>
      <c r="M487" s="31"/>
    </row>
    <row r="488" ht="15" spans="1:13">
      <c r="A488" s="8" t="s">
        <v>2090</v>
      </c>
      <c r="B488" s="59"/>
      <c r="C488" s="60"/>
      <c r="D488" s="60"/>
      <c r="E488" s="61"/>
      <c r="F488" s="62"/>
      <c r="G488" s="63"/>
      <c r="H488" s="64"/>
      <c r="I488" s="65"/>
      <c r="J488" s="62"/>
      <c r="K488" s="66"/>
      <c r="L488" s="60"/>
      <c r="M488" s="67"/>
    </row>
    <row r="489" ht="15" spans="1:13">
      <c r="A489" s="8"/>
      <c r="B489" s="59"/>
      <c r="C489" s="60"/>
      <c r="D489" s="60"/>
      <c r="E489" s="61"/>
      <c r="F489" s="62"/>
      <c r="G489" s="63"/>
      <c r="H489" s="64"/>
      <c r="I489" s="65"/>
      <c r="J489" s="62"/>
      <c r="K489" s="66"/>
      <c r="L489" s="60"/>
      <c r="M489" s="67"/>
    </row>
    <row r="490" ht="15" spans="1:13">
      <c r="A490" s="8"/>
      <c r="B490" s="59"/>
      <c r="C490" s="60"/>
      <c r="D490" s="60"/>
      <c r="E490" s="61"/>
      <c r="F490" s="62"/>
      <c r="G490" s="63"/>
      <c r="H490" s="64"/>
      <c r="I490" s="65"/>
      <c r="J490" s="62"/>
      <c r="K490" s="66"/>
      <c r="L490" s="60"/>
      <c r="M490" s="67"/>
    </row>
    <row r="491" ht="15" spans="1:13">
      <c r="A491" s="8"/>
      <c r="B491" s="59"/>
      <c r="C491" s="60"/>
      <c r="D491" s="60"/>
      <c r="E491" s="61"/>
      <c r="F491" s="62"/>
      <c r="G491" s="63"/>
      <c r="H491" s="64"/>
      <c r="I491" s="65"/>
      <c r="J491" s="62"/>
      <c r="K491" s="66"/>
      <c r="L491" s="60"/>
      <c r="M491" s="67"/>
    </row>
    <row r="492" ht="15" spans="1:13">
      <c r="A492" s="8"/>
      <c r="B492" s="59"/>
      <c r="C492" s="60"/>
      <c r="D492" s="60"/>
      <c r="E492" s="61"/>
      <c r="F492" s="62"/>
      <c r="G492" s="63"/>
      <c r="H492" s="64"/>
      <c r="I492" s="65"/>
      <c r="J492" s="62"/>
      <c r="K492" s="66"/>
      <c r="L492" s="60"/>
      <c r="M492" s="67"/>
    </row>
    <row r="493" ht="15" spans="1:13">
      <c r="A493" s="8"/>
      <c r="B493" s="59"/>
      <c r="C493" s="60"/>
      <c r="D493" s="60"/>
      <c r="E493" s="61"/>
      <c r="F493" s="62"/>
      <c r="G493" s="63"/>
      <c r="H493" s="64"/>
      <c r="I493" s="65"/>
      <c r="J493" s="62"/>
      <c r="K493" s="66"/>
      <c r="L493" s="60"/>
      <c r="M493" s="67"/>
    </row>
    <row r="494" ht="15" spans="1:13">
      <c r="A494" s="8"/>
      <c r="B494" s="59"/>
      <c r="C494" s="60"/>
      <c r="D494" s="60"/>
      <c r="E494" s="61"/>
      <c r="F494" s="62"/>
      <c r="G494" s="63"/>
      <c r="H494" s="64"/>
      <c r="I494" s="65"/>
      <c r="J494" s="62"/>
      <c r="K494" s="66"/>
      <c r="L494" s="60"/>
      <c r="M494" s="67"/>
    </row>
    <row r="495" ht="15" spans="1:13">
      <c r="A495" s="8"/>
      <c r="B495" s="59"/>
      <c r="C495" s="60"/>
      <c r="D495" s="60"/>
      <c r="E495" s="61"/>
      <c r="F495" s="62"/>
      <c r="G495" s="63"/>
      <c r="H495" s="64"/>
      <c r="I495" s="65"/>
      <c r="J495" s="62"/>
      <c r="K495" s="66"/>
      <c r="L495" s="60"/>
      <c r="M495" s="67"/>
    </row>
    <row r="496" ht="15" spans="1:13">
      <c r="A496" s="8"/>
      <c r="B496" s="59"/>
      <c r="C496" s="60"/>
      <c r="D496" s="60"/>
      <c r="E496" s="61"/>
      <c r="F496" s="62"/>
      <c r="G496" s="63"/>
      <c r="H496" s="64"/>
      <c r="I496" s="65"/>
      <c r="J496" s="62"/>
      <c r="K496" s="66"/>
      <c r="L496" s="60"/>
      <c r="M496" s="67"/>
    </row>
    <row r="497" ht="15" spans="1:13">
      <c r="A497" s="8"/>
      <c r="B497" s="59"/>
      <c r="C497" s="60"/>
      <c r="D497" s="60"/>
      <c r="E497" s="61"/>
      <c r="F497" s="62"/>
      <c r="G497" s="63"/>
      <c r="H497" s="64"/>
      <c r="I497" s="65"/>
      <c r="J497" s="62"/>
      <c r="K497" s="66"/>
      <c r="L497" s="60"/>
      <c r="M497" s="67"/>
    </row>
    <row r="498" ht="15" spans="1:13">
      <c r="A498" s="8"/>
      <c r="B498" s="59"/>
      <c r="C498" s="60"/>
      <c r="D498" s="60"/>
      <c r="E498" s="61"/>
      <c r="F498" s="62"/>
      <c r="G498" s="63"/>
      <c r="H498" s="64"/>
      <c r="I498" s="65"/>
      <c r="J498" s="62"/>
      <c r="K498" s="66"/>
      <c r="L498" s="60"/>
      <c r="M498" s="67"/>
    </row>
    <row r="499" ht="15" spans="1:13">
      <c r="A499" s="8"/>
      <c r="B499" s="59"/>
      <c r="C499" s="60"/>
      <c r="D499" s="60"/>
      <c r="E499" s="61"/>
      <c r="F499" s="62"/>
      <c r="G499" s="63"/>
      <c r="H499" s="64"/>
      <c r="I499" s="65"/>
      <c r="J499" s="62"/>
      <c r="K499" s="66"/>
      <c r="L499" s="60"/>
      <c r="M499" s="67"/>
    </row>
    <row r="500" ht="20.35" customHeight="1" spans="1:13">
      <c r="A500" s="40" t="s">
        <v>306</v>
      </c>
      <c r="D500" t="s">
        <v>2094</v>
      </c>
      <c r="F500" s="68">
        <v>-6060</v>
      </c>
      <c r="H500" t="s">
        <v>2095</v>
      </c>
      <c r="I500" t="s">
        <v>2096</v>
      </c>
      <c r="J500" s="68">
        <v>-6060</v>
      </c>
      <c r="K500">
        <v>0</v>
      </c>
    </row>
    <row r="501" spans="1:13">
      <c r="A501" s="40" t="s">
        <v>306</v>
      </c>
      <c r="D501" t="s">
        <v>2094</v>
      </c>
      <c r="F501" s="68">
        <v>12351.91</v>
      </c>
      <c r="H501" t="s">
        <v>402</v>
      </c>
      <c r="J501" s="68">
        <v>12351.91</v>
      </c>
      <c r="K501">
        <v>0</v>
      </c>
    </row>
    <row r="502" spans="1:13">
      <c r="A502" s="40" t="s">
        <v>306</v>
      </c>
      <c r="D502" t="s">
        <v>2094</v>
      </c>
      <c r="F502" s="68">
        <v>19098.75</v>
      </c>
      <c r="H502" t="s">
        <v>400</v>
      </c>
      <c r="J502" s="68">
        <v>19098.75</v>
      </c>
      <c r="K502">
        <v>0</v>
      </c>
    </row>
    <row r="503" spans="1:13">
      <c r="A503" s="40" t="s">
        <v>306</v>
      </c>
      <c r="D503" t="s">
        <v>2094</v>
      </c>
      <c r="F503" s="68">
        <v>20413.33</v>
      </c>
      <c r="H503" t="s">
        <v>401</v>
      </c>
      <c r="J503" s="68">
        <v>20413.33</v>
      </c>
      <c r="K503">
        <v>0</v>
      </c>
    </row>
    <row r="504" spans="1:13">
      <c r="A504" s="40" t="s">
        <v>306</v>
      </c>
      <c r="D504" t="s">
        <v>2094</v>
      </c>
      <c r="F504" s="68">
        <v>24794.78</v>
      </c>
      <c r="H504" t="s">
        <v>396</v>
      </c>
      <c r="J504" s="68">
        <v>24794.78</v>
      </c>
      <c r="K504">
        <v>0</v>
      </c>
    </row>
    <row r="505" spans="1:13">
      <c r="A505" s="40" t="s">
        <v>306</v>
      </c>
      <c r="D505" t="s">
        <v>2094</v>
      </c>
      <c r="F505" s="68">
        <v>25882.48</v>
      </c>
      <c r="H505" t="s">
        <v>397</v>
      </c>
      <c r="J505" s="68">
        <v>25882.48</v>
      </c>
      <c r="K505">
        <v>0</v>
      </c>
    </row>
    <row r="506" spans="1:13">
      <c r="A506" s="40" t="s">
        <v>306</v>
      </c>
      <c r="D506" t="s">
        <v>2094</v>
      </c>
      <c r="F506" s="68">
        <v>27364.93</v>
      </c>
      <c r="H506" t="s">
        <v>395</v>
      </c>
      <c r="J506" s="68">
        <v>27364.93</v>
      </c>
      <c r="K506">
        <v>0</v>
      </c>
    </row>
    <row r="507" spans="1:13">
      <c r="A507" s="40" t="s">
        <v>306</v>
      </c>
      <c r="D507" t="s">
        <v>2094</v>
      </c>
      <c r="F507" s="68">
        <v>34596.96</v>
      </c>
      <c r="H507" t="s">
        <v>398</v>
      </c>
      <c r="J507" s="68">
        <v>34596.96</v>
      </c>
      <c r="K507">
        <v>0</v>
      </c>
    </row>
    <row r="508" spans="1:13">
      <c r="A508" s="40" t="s">
        <v>306</v>
      </c>
      <c r="D508" t="s">
        <v>2094</v>
      </c>
      <c r="F508" s="68">
        <v>37496.59</v>
      </c>
      <c r="H508" t="s">
        <v>399</v>
      </c>
      <c r="J508" s="68">
        <v>37496.59</v>
      </c>
      <c r="K508">
        <v>0</v>
      </c>
    </row>
    <row r="509" spans="1:13">
      <c r="A509" s="40" t="s">
        <v>306</v>
      </c>
      <c r="D509" t="s">
        <v>2094</v>
      </c>
      <c r="F509">
        <v>-1.37</v>
      </c>
      <c r="H509" t="s">
        <v>2097</v>
      </c>
      <c r="I509" t="s">
        <v>2098</v>
      </c>
      <c r="J509">
        <v>-1.37</v>
      </c>
      <c r="K509">
        <v>0</v>
      </c>
    </row>
    <row r="510" spans="1:13">
      <c r="A510" s="40" t="s">
        <v>306</v>
      </c>
      <c r="D510" t="s">
        <v>2099</v>
      </c>
      <c r="F510" s="68">
        <v>2095.41</v>
      </c>
      <c r="H510" t="s">
        <v>454</v>
      </c>
      <c r="J510" s="68">
        <v>2095.41</v>
      </c>
      <c r="K510">
        <v>0</v>
      </c>
    </row>
    <row r="511" spans="1:13">
      <c r="A511" s="40" t="s">
        <v>306</v>
      </c>
      <c r="D511" t="s">
        <v>2099</v>
      </c>
      <c r="F511" s="68">
        <v>6917.99</v>
      </c>
      <c r="H511" t="s">
        <v>2100</v>
      </c>
      <c r="J511" s="68">
        <v>6917.99</v>
      </c>
      <c r="K511">
        <v>0</v>
      </c>
    </row>
    <row r="512" spans="1:13">
      <c r="A512" s="40" t="s">
        <v>306</v>
      </c>
      <c r="D512" t="s">
        <v>2101</v>
      </c>
      <c r="F512">
        <v>-500</v>
      </c>
      <c r="H512" t="s">
        <v>2102</v>
      </c>
      <c r="I512" t="s">
        <v>2103</v>
      </c>
      <c r="J512">
        <v>-500</v>
      </c>
      <c r="K512">
        <v>0</v>
      </c>
    </row>
    <row r="513" spans="1:11">
      <c r="A513" s="40" t="s">
        <v>306</v>
      </c>
      <c r="D513" t="s">
        <v>2101</v>
      </c>
      <c r="F513">
        <v>810.93</v>
      </c>
      <c r="H513" t="s">
        <v>459</v>
      </c>
      <c r="J513">
        <v>831.72</v>
      </c>
      <c r="K513">
        <v>-20.79</v>
      </c>
    </row>
    <row r="514" spans="1:11">
      <c r="A514" s="40" t="s">
        <v>306</v>
      </c>
      <c r="D514" t="s">
        <v>2101</v>
      </c>
      <c r="F514" s="68">
        <v>1171.32</v>
      </c>
      <c r="H514" t="s">
        <v>457</v>
      </c>
      <c r="J514" s="68">
        <v>1201.35</v>
      </c>
      <c r="K514">
        <v>-30.03</v>
      </c>
    </row>
    <row r="515" spans="1:11">
      <c r="A515" s="40" t="s">
        <v>306</v>
      </c>
      <c r="D515" t="s">
        <v>2101</v>
      </c>
      <c r="F515" s="68">
        <v>2171.98</v>
      </c>
      <c r="H515" t="s">
        <v>458</v>
      </c>
      <c r="J515" s="68">
        <v>2227.67</v>
      </c>
      <c r="K515">
        <v>-55.69</v>
      </c>
    </row>
    <row r="516" spans="1:11">
      <c r="A516" s="40" t="s">
        <v>306</v>
      </c>
      <c r="D516" t="s">
        <v>2104</v>
      </c>
      <c r="F516" s="68">
        <v>9697.64</v>
      </c>
      <c r="H516" t="s">
        <v>485</v>
      </c>
      <c r="J516" s="68">
        <v>9946.3</v>
      </c>
      <c r="K516">
        <v>-248.66</v>
      </c>
    </row>
    <row r="517" spans="1:11">
      <c r="A517" s="40" t="s">
        <v>306</v>
      </c>
      <c r="D517" t="s">
        <v>2104</v>
      </c>
      <c r="F517" s="68">
        <v>2232.01</v>
      </c>
      <c r="H517" s="40" t="s">
        <v>459</v>
      </c>
      <c r="J517" s="68">
        <v>2232.01</v>
      </c>
      <c r="K517">
        <v>0</v>
      </c>
    </row>
    <row r="518" spans="1:11">
      <c r="A518" s="40" t="s">
        <v>306</v>
      </c>
      <c r="D518" t="s">
        <v>2105</v>
      </c>
      <c r="F518" s="68">
        <v>29231.51</v>
      </c>
      <c r="H518" t="s">
        <v>484</v>
      </c>
      <c r="J518" s="68">
        <v>29981.04</v>
      </c>
      <c r="K518">
        <v>-749.53</v>
      </c>
    </row>
    <row r="519" spans="1:11">
      <c r="A519" s="40" t="s">
        <v>306</v>
      </c>
      <c r="D519" t="s">
        <v>2105</v>
      </c>
      <c r="F519" s="68">
        <v>6197.11</v>
      </c>
      <c r="H519" s="40" t="s">
        <v>458</v>
      </c>
      <c r="J519" s="68">
        <v>6197.11</v>
      </c>
      <c r="K519">
        <v>0</v>
      </c>
    </row>
    <row r="520" spans="1:11">
      <c r="A520" s="40" t="s">
        <v>306</v>
      </c>
      <c r="D520" t="s">
        <v>2045</v>
      </c>
      <c r="E520" t="s">
        <v>2106</v>
      </c>
      <c r="F520" s="68">
        <v>1567.54</v>
      </c>
      <c r="H520" t="s">
        <v>509</v>
      </c>
      <c r="J520" s="68">
        <v>1567.54</v>
      </c>
      <c r="K520">
        <v>0</v>
      </c>
    </row>
    <row r="521" spans="1:11">
      <c r="A521" s="40" t="s">
        <v>306</v>
      </c>
      <c r="D521" t="s">
        <v>2045</v>
      </c>
      <c r="E521" t="s">
        <v>2106</v>
      </c>
      <c r="F521">
        <v>360.31</v>
      </c>
      <c r="H521" t="s">
        <v>510</v>
      </c>
      <c r="J521">
        <v>360.31</v>
      </c>
      <c r="K521">
        <v>0</v>
      </c>
    </row>
    <row r="522" spans="1:11">
      <c r="A522" s="40" t="s">
        <v>306</v>
      </c>
      <c r="D522" t="s">
        <v>2045</v>
      </c>
      <c r="E522" t="s">
        <v>2104</v>
      </c>
      <c r="F522" s="68">
        <v>1445.58</v>
      </c>
      <c r="H522" t="s">
        <v>511</v>
      </c>
      <c r="J522" s="68">
        <v>1482.65</v>
      </c>
      <c r="K522">
        <v>-37.07</v>
      </c>
    </row>
    <row r="523" spans="1:11">
      <c r="A523" s="40" t="s">
        <v>306</v>
      </c>
      <c r="D523" s="40" t="s">
        <v>2045</v>
      </c>
      <c r="E523" t="s">
        <v>2107</v>
      </c>
      <c r="F523" s="68">
        <v>3684.32</v>
      </c>
      <c r="H523" t="s">
        <v>512</v>
      </c>
      <c r="J523" s="68">
        <v>3778.79</v>
      </c>
      <c r="K523">
        <v>-94.47</v>
      </c>
    </row>
    <row r="524" spans="1:11">
      <c r="A524" s="40" t="s">
        <v>306</v>
      </c>
      <c r="D524" s="40" t="s">
        <v>2045</v>
      </c>
      <c r="E524" t="s">
        <v>2107</v>
      </c>
      <c r="F524" s="68">
        <v>7216.41</v>
      </c>
      <c r="H524" t="s">
        <v>514</v>
      </c>
      <c r="J524" s="68">
        <v>7401.45</v>
      </c>
      <c r="K524">
        <v>-185.04</v>
      </c>
    </row>
    <row r="525" spans="1:11">
      <c r="A525" s="40" t="s">
        <v>306</v>
      </c>
      <c r="D525" s="40" t="s">
        <v>2045</v>
      </c>
      <c r="E525" t="s">
        <v>2107</v>
      </c>
      <c r="F525" s="68">
        <v>1861.56</v>
      </c>
      <c r="H525" t="s">
        <v>513</v>
      </c>
      <c r="J525" s="68">
        <v>1909.29</v>
      </c>
      <c r="K525">
        <v>-47.73</v>
      </c>
    </row>
    <row r="526" spans="1:11">
      <c r="A526" s="40" t="s">
        <v>306</v>
      </c>
      <c r="D526" s="40" t="s">
        <v>2045</v>
      </c>
      <c r="E526" t="s">
        <v>2107</v>
      </c>
      <c r="F526" s="68">
        <v>6162.5</v>
      </c>
      <c r="H526" s="40" t="s">
        <v>512</v>
      </c>
      <c r="J526" s="68">
        <v>6320.51</v>
      </c>
      <c r="K526">
        <v>-158.01</v>
      </c>
    </row>
    <row r="527" spans="1:11">
      <c r="A527" s="40" t="s">
        <v>306</v>
      </c>
      <c r="D527" s="40" t="s">
        <v>2045</v>
      </c>
      <c r="E527" t="s">
        <v>2107</v>
      </c>
      <c r="F527">
        <v>274.93</v>
      </c>
      <c r="H527" s="40" t="s">
        <v>514</v>
      </c>
      <c r="J527">
        <v>281.98</v>
      </c>
      <c r="K527">
        <v>-7.05</v>
      </c>
    </row>
    <row r="528" spans="1:11">
      <c r="A528" s="40" t="s">
        <v>306</v>
      </c>
      <c r="D528" s="40" t="s">
        <v>2045</v>
      </c>
      <c r="E528" t="s">
        <v>2107</v>
      </c>
      <c r="F528">
        <v>55.02</v>
      </c>
      <c r="H528" s="40" t="s">
        <v>513</v>
      </c>
      <c r="J528">
        <v>56.43</v>
      </c>
      <c r="K528">
        <v>-1.41</v>
      </c>
    </row>
    <row r="529" spans="1:12">
      <c r="A529" s="40" t="s">
        <v>306</v>
      </c>
      <c r="B529" t="s">
        <v>2108</v>
      </c>
      <c r="D529" s="40" t="s">
        <v>2045</v>
      </c>
      <c r="E529" t="s">
        <v>2109</v>
      </c>
      <c r="F529" s="68">
        <v>-6000</v>
      </c>
      <c r="H529" t="s">
        <v>2110</v>
      </c>
      <c r="J529" s="68">
        <v>-6000</v>
      </c>
      <c r="K529">
        <v>0</v>
      </c>
    </row>
    <row r="530" spans="1:12">
      <c r="A530" s="40" t="s">
        <v>306</v>
      </c>
      <c r="B530" t="s">
        <v>2111</v>
      </c>
      <c r="D530" s="40" t="s">
        <v>2045</v>
      </c>
      <c r="E530" t="s">
        <v>2109</v>
      </c>
      <c r="F530">
        <v>-0.84</v>
      </c>
      <c r="H530" t="s">
        <v>2112</v>
      </c>
      <c r="J530">
        <v>-0.84</v>
      </c>
      <c r="K530">
        <v>0</v>
      </c>
    </row>
    <row r="531" spans="1:12">
      <c r="A531" s="40" t="s">
        <v>306</v>
      </c>
      <c r="B531" t="s">
        <v>2113</v>
      </c>
      <c r="D531" s="40" t="s">
        <v>2045</v>
      </c>
      <c r="E531" t="s">
        <v>2109</v>
      </c>
      <c r="F531">
        <v>-31.06</v>
      </c>
      <c r="H531" t="s">
        <v>2114</v>
      </c>
      <c r="J531">
        <v>-31.06</v>
      </c>
      <c r="K531">
        <v>0</v>
      </c>
    </row>
    <row r="532" spans="1:12">
      <c r="A532" s="40" t="s">
        <v>306</v>
      </c>
      <c r="B532" t="s">
        <v>2115</v>
      </c>
      <c r="D532" s="40" t="s">
        <v>2045</v>
      </c>
      <c r="E532" t="s">
        <v>544</v>
      </c>
      <c r="F532" s="68">
        <v>-8940.59</v>
      </c>
      <c r="H532" t="s">
        <v>2116</v>
      </c>
      <c r="J532" s="68">
        <v>-8940.59</v>
      </c>
      <c r="K532">
        <v>0</v>
      </c>
    </row>
    <row r="533" spans="1:12">
      <c r="A533" s="40" t="s">
        <v>306</v>
      </c>
      <c r="D533" s="69" t="s">
        <v>2117</v>
      </c>
      <c r="E533" s="52">
        <v>46265</v>
      </c>
      <c r="F533" s="53">
        <v>17877.2</v>
      </c>
      <c r="H533" s="49" t="s">
        <v>516</v>
      </c>
      <c r="J533" s="55">
        <v>18335.59</v>
      </c>
      <c r="K533" s="53">
        <v>-458.39</v>
      </c>
    </row>
    <row r="534" spans="1:12">
      <c r="A534" s="40" t="s">
        <v>306</v>
      </c>
      <c r="D534" s="69" t="s">
        <v>2117</v>
      </c>
      <c r="E534" s="52">
        <v>46265</v>
      </c>
      <c r="F534" s="53">
        <v>20288.36</v>
      </c>
      <c r="H534" s="49" t="s">
        <v>515</v>
      </c>
      <c r="J534" s="55">
        <v>20808.57</v>
      </c>
      <c r="K534" s="53">
        <v>-520.21</v>
      </c>
    </row>
    <row r="535" spans="1:12">
      <c r="A535" s="40" t="s">
        <v>306</v>
      </c>
      <c r="D535" s="69" t="s">
        <v>2117</v>
      </c>
      <c r="E535" s="52">
        <v>46267</v>
      </c>
      <c r="F535" s="53">
        <v>1156.46</v>
      </c>
      <c r="H535" s="49" t="s">
        <v>517</v>
      </c>
      <c r="J535" s="55">
        <v>1186.11</v>
      </c>
      <c r="K535" s="53">
        <v>-29.65</v>
      </c>
    </row>
    <row r="536" spans="1:12">
      <c r="A536" s="40" t="s">
        <v>306</v>
      </c>
      <c r="D536" s="69" t="s">
        <v>2117</v>
      </c>
      <c r="E536" s="52">
        <v>46267</v>
      </c>
      <c r="F536" s="53">
        <v>1650.67</v>
      </c>
      <c r="H536" s="49" t="s">
        <v>517</v>
      </c>
      <c r="J536" s="55">
        <v>1692.99</v>
      </c>
      <c r="K536" s="53">
        <v>-42.32</v>
      </c>
    </row>
    <row r="537" spans="1:12">
      <c r="A537" s="40" t="s">
        <v>306</v>
      </c>
      <c r="D537" s="69" t="s">
        <v>2117</v>
      </c>
      <c r="E537" s="52">
        <v>46265</v>
      </c>
      <c r="F537" s="53">
        <v>1779.26</v>
      </c>
      <c r="H537" s="49" t="s">
        <v>515</v>
      </c>
      <c r="J537" s="55">
        <v>1824.88</v>
      </c>
      <c r="K537" s="53">
        <v>-45.62</v>
      </c>
    </row>
    <row r="538" spans="1:12">
      <c r="A538" s="40" t="s">
        <v>306</v>
      </c>
      <c r="D538" s="69" t="s">
        <v>2117</v>
      </c>
      <c r="E538" s="52">
        <v>46265</v>
      </c>
      <c r="F538" s="53">
        <v>21083.35</v>
      </c>
      <c r="H538" s="49" t="s">
        <v>487</v>
      </c>
      <c r="J538" s="55">
        <v>21623.95</v>
      </c>
      <c r="K538" s="53">
        <v>-540.6</v>
      </c>
    </row>
    <row r="539" spans="1:12">
      <c r="A539" s="40" t="s">
        <v>306</v>
      </c>
      <c r="D539" s="69" t="s">
        <v>2118</v>
      </c>
      <c r="E539" s="52">
        <v>46280</v>
      </c>
      <c r="F539" s="53">
        <v>11113.15</v>
      </c>
      <c r="H539" s="49" t="s">
        <v>523</v>
      </c>
      <c r="J539">
        <v>11398.1</v>
      </c>
      <c r="K539" s="53">
        <v>-284.95</v>
      </c>
    </row>
    <row r="540" spans="1:12">
      <c r="D540" s="69" t="s">
        <v>2119</v>
      </c>
      <c r="E540" s="52">
        <v>46271</v>
      </c>
      <c r="F540" s="53">
        <v>32122.29</v>
      </c>
      <c r="H540" s="49" t="s">
        <v>486</v>
      </c>
      <c r="J540">
        <v>32945.94</v>
      </c>
      <c r="K540" s="53">
        <v>-823.65</v>
      </c>
    </row>
    <row r="541" ht="13.5" spans="1:12">
      <c r="H541" s="49"/>
    </row>
    <row r="542" ht="38.25" spans="1:12">
      <c r="A542" s="40" t="s">
        <v>2120</v>
      </c>
      <c r="D542" s="13" t="s">
        <v>2121</v>
      </c>
      <c r="F542" s="70" t="s">
        <v>2122</v>
      </c>
      <c r="G542" s="70" t="s">
        <v>2123</v>
      </c>
      <c r="H542" s="70" t="s">
        <v>2124</v>
      </c>
      <c r="I542" s="70" t="s">
        <v>2125</v>
      </c>
      <c r="J542" s="70" t="s">
        <v>2126</v>
      </c>
      <c r="K542" s="70" t="s">
        <v>2127</v>
      </c>
      <c r="L542" s="70" t="s">
        <v>2122</v>
      </c>
    </row>
    <row r="543" ht="13.5" spans="1:12">
      <c r="A543" s="40" t="s">
        <v>2120</v>
      </c>
      <c r="D543" s="13" t="s">
        <v>2121</v>
      </c>
      <c r="F543" s="71" t="s">
        <v>2128</v>
      </c>
      <c r="G543" s="71" t="s">
        <v>2129</v>
      </c>
      <c r="H543" s="71" t="s">
        <v>2130</v>
      </c>
      <c r="I543" s="71" t="s">
        <v>2131</v>
      </c>
      <c r="J543" s="71" t="s">
        <v>2132</v>
      </c>
      <c r="K543" s="71" t="s">
        <v>2133</v>
      </c>
      <c r="L543" s="71" t="s">
        <v>2128</v>
      </c>
    </row>
    <row r="544" ht="13.5" spans="1:12">
      <c r="A544" s="40" t="s">
        <v>2120</v>
      </c>
      <c r="D544" s="13" t="s">
        <v>2121</v>
      </c>
      <c r="F544" s="72">
        <v>32775.69</v>
      </c>
      <c r="G544" s="73">
        <v>46232</v>
      </c>
      <c r="H544" s="74" t="s">
        <v>470</v>
      </c>
      <c r="I544" s="379" t="s">
        <v>2134</v>
      </c>
      <c r="J544" s="72">
        <v>33444.58</v>
      </c>
      <c r="K544" s="74">
        <v>668.89</v>
      </c>
      <c r="L544" s="72">
        <v>32775.69</v>
      </c>
    </row>
    <row r="545" ht="13.5" spans="1:12">
      <c r="A545" s="40" t="s">
        <v>2120</v>
      </c>
      <c r="D545" s="13" t="s">
        <v>2121</v>
      </c>
      <c r="F545" s="72">
        <v>31422</v>
      </c>
      <c r="G545" s="73">
        <v>46232</v>
      </c>
      <c r="H545" s="74" t="s">
        <v>504</v>
      </c>
      <c r="I545" s="379" t="s">
        <v>2134</v>
      </c>
      <c r="J545" s="72">
        <v>32063.27</v>
      </c>
      <c r="K545" s="74">
        <v>641.27</v>
      </c>
      <c r="L545" s="72">
        <v>31422</v>
      </c>
    </row>
    <row r="546" ht="13.5" spans="1:12">
      <c r="A546" s="40" t="s">
        <v>2120</v>
      </c>
      <c r="D546" s="13" t="s">
        <v>2121</v>
      </c>
      <c r="F546" s="72">
        <v>28455.12</v>
      </c>
      <c r="G546" s="73">
        <v>46232</v>
      </c>
      <c r="H546" s="74" t="s">
        <v>506</v>
      </c>
      <c r="I546" s="379" t="s">
        <v>2134</v>
      </c>
      <c r="J546" s="72">
        <v>29035.84</v>
      </c>
      <c r="K546" s="74">
        <v>580.72</v>
      </c>
      <c r="L546" s="72">
        <v>28455.12</v>
      </c>
    </row>
    <row r="547" ht="13.5" spans="1:12">
      <c r="A547" s="40" t="s">
        <v>2120</v>
      </c>
      <c r="D547" s="13" t="s">
        <v>2121</v>
      </c>
      <c r="F547" s="72">
        <v>32775.69</v>
      </c>
      <c r="G547" s="73">
        <v>46232</v>
      </c>
      <c r="H547" s="74" t="s">
        <v>467</v>
      </c>
      <c r="I547" s="379" t="s">
        <v>2134</v>
      </c>
      <c r="J547" s="72">
        <v>33444.58</v>
      </c>
      <c r="K547" s="74">
        <v>668.89</v>
      </c>
      <c r="L547" s="72">
        <v>32775.69</v>
      </c>
    </row>
    <row r="548" ht="13.5" spans="1:12">
      <c r="A548" s="40" t="s">
        <v>2120</v>
      </c>
      <c r="D548" s="13" t="s">
        <v>2121</v>
      </c>
      <c r="F548" s="72">
        <v>25537.72</v>
      </c>
      <c r="G548" s="73">
        <v>46234</v>
      </c>
      <c r="H548" s="74" t="s">
        <v>465</v>
      </c>
      <c r="I548" s="379" t="s">
        <v>2134</v>
      </c>
      <c r="J548" s="72">
        <v>26058.9</v>
      </c>
      <c r="K548" s="74">
        <v>521.18</v>
      </c>
      <c r="L548" s="72">
        <v>25537.72</v>
      </c>
    </row>
    <row r="549" ht="13.5" spans="1:12">
      <c r="A549" s="40" t="s">
        <v>2120</v>
      </c>
      <c r="D549" s="13" t="s">
        <v>2121</v>
      </c>
      <c r="F549" s="72">
        <v>27045.42</v>
      </c>
      <c r="G549" s="73">
        <v>46234</v>
      </c>
      <c r="H549" s="74" t="s">
        <v>505</v>
      </c>
      <c r="I549" s="379" t="s">
        <v>2134</v>
      </c>
      <c r="J549" s="72">
        <v>27597.37</v>
      </c>
      <c r="K549" s="74">
        <v>551.95</v>
      </c>
      <c r="L549" s="72">
        <v>27045.42</v>
      </c>
    </row>
    <row r="550" ht="13.5" spans="1:12">
      <c r="A550" s="40" t="s">
        <v>2120</v>
      </c>
      <c r="D550" s="13" t="s">
        <v>2121</v>
      </c>
      <c r="F550" s="72">
        <v>44384.08</v>
      </c>
      <c r="G550" s="73">
        <v>46236</v>
      </c>
      <c r="H550" s="74" t="s">
        <v>503</v>
      </c>
      <c r="I550" s="379" t="s">
        <v>2134</v>
      </c>
      <c r="J550" s="72">
        <v>45289.88</v>
      </c>
      <c r="K550" s="74">
        <v>905.8</v>
      </c>
      <c r="L550" s="72">
        <v>44384.08</v>
      </c>
    </row>
    <row r="551" ht="13.5" spans="1:12">
      <c r="A551" s="40" t="s">
        <v>2120</v>
      </c>
      <c r="D551" s="13" t="s">
        <v>2121</v>
      </c>
      <c r="F551" s="72">
        <v>29543.64</v>
      </c>
      <c r="G551" s="73">
        <v>46239</v>
      </c>
      <c r="H551" s="74" t="s">
        <v>469</v>
      </c>
      <c r="I551" s="379" t="s">
        <v>2134</v>
      </c>
      <c r="J551" s="72">
        <v>30146.57</v>
      </c>
      <c r="K551" s="74">
        <v>602.93</v>
      </c>
      <c r="L551" s="72">
        <v>29543.64</v>
      </c>
    </row>
    <row r="552" ht="13.5" spans="1:12">
      <c r="A552" s="40" t="s">
        <v>2120</v>
      </c>
      <c r="D552" s="13" t="s">
        <v>2121</v>
      </c>
      <c r="F552" s="72">
        <v>20526.29</v>
      </c>
      <c r="G552" s="73">
        <v>46240</v>
      </c>
      <c r="H552" s="74" t="s">
        <v>501</v>
      </c>
      <c r="I552" s="379" t="s">
        <v>2134</v>
      </c>
      <c r="J552" s="72">
        <v>20945.19</v>
      </c>
      <c r="K552" s="74">
        <v>418.9</v>
      </c>
      <c r="L552" s="72">
        <v>20526.29</v>
      </c>
    </row>
    <row r="553" ht="13.5" spans="1:12">
      <c r="A553" s="40" t="s">
        <v>2120</v>
      </c>
      <c r="D553" s="13" t="s">
        <v>2121</v>
      </c>
      <c r="F553" s="72">
        <v>27045.42</v>
      </c>
      <c r="G553" s="73">
        <v>46240</v>
      </c>
      <c r="H553" s="74" t="s">
        <v>507</v>
      </c>
      <c r="I553" s="379" t="s">
        <v>2134</v>
      </c>
      <c r="J553" s="72">
        <v>27597.37</v>
      </c>
      <c r="K553" s="74">
        <v>551.95</v>
      </c>
      <c r="L553" s="72">
        <v>27045.42</v>
      </c>
    </row>
    <row r="554" ht="13.5" spans="1:12">
      <c r="A554" s="40" t="s">
        <v>2120</v>
      </c>
      <c r="D554" s="13" t="s">
        <v>2121</v>
      </c>
      <c r="F554" s="72">
        <v>12432.84</v>
      </c>
      <c r="G554" s="73">
        <v>46246</v>
      </c>
      <c r="H554" s="74" t="s">
        <v>508</v>
      </c>
      <c r="I554" s="379" t="s">
        <v>2134</v>
      </c>
      <c r="J554" s="72">
        <v>12686.57</v>
      </c>
      <c r="K554" s="74">
        <v>253.73</v>
      </c>
      <c r="L554" s="72">
        <v>12432.84</v>
      </c>
    </row>
    <row r="555" ht="13.5" spans="1:12">
      <c r="A555" s="40" t="s">
        <v>2120</v>
      </c>
      <c r="D555" s="13" t="s">
        <v>2121</v>
      </c>
      <c r="F555" s="72">
        <v>12857.2</v>
      </c>
      <c r="G555" s="73">
        <v>46246</v>
      </c>
      <c r="H555" s="74" t="s">
        <v>502</v>
      </c>
      <c r="I555" s="379" t="s">
        <v>2134</v>
      </c>
      <c r="J555" s="72">
        <v>13119.59</v>
      </c>
      <c r="K555" s="74">
        <v>262.39</v>
      </c>
      <c r="L555" s="72">
        <v>12857.2</v>
      </c>
    </row>
    <row r="556" customFormat="1" ht="13.5" spans="1:12">
      <c r="A556" s="40" t="s">
        <v>2120</v>
      </c>
      <c r="D556" s="13" t="s">
        <v>2121</v>
      </c>
      <c r="F556" s="75">
        <v>-67500</v>
      </c>
      <c r="G556" s="76">
        <v>46285</v>
      </c>
      <c r="H556" s="77" t="s">
        <v>2135</v>
      </c>
      <c r="I556" s="380" t="s">
        <v>2134</v>
      </c>
      <c r="J556" s="75">
        <v>67500</v>
      </c>
      <c r="K556" s="75">
        <v>67500</v>
      </c>
      <c r="L556" s="75">
        <v>-67500</v>
      </c>
    </row>
    <row r="557" ht="13.5" spans="1:12">
      <c r="F557" s="74"/>
      <c r="G557" s="74"/>
      <c r="H557" s="74"/>
      <c r="I557" s="78"/>
      <c r="J557" s="79"/>
      <c r="K557" s="79"/>
      <c r="L557" s="79"/>
    </row>
  </sheetData>
  <sheetProtection formatCells="0" formatColumns="0" formatRows="0" insertRows="0" insertColumns="0" insertHyperlinks="0" deleteColumns="0" deleteRows="0" sort="0" autoFilter="0" pivotTables="0"/>
  <autoFilter xmlns:etc="http://www.wps.cn/officeDocument/2017/etCustomData" ref="A4:M557" etc:filterBottomFollowUsedRange="1">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167"/>
  <sheetViews>
    <sheetView workbookViewId="0">
      <selection activeCell="A1" sqref="A1"/>
    </sheetView>
  </sheetViews>
  <sheetFormatPr defaultColWidth="9.14285714285714" defaultRowHeight="12.75"/>
  <sheetData>
    <row r="2" ht="48" spans="1:15">
      <c r="A2" s="5" t="s">
        <v>2136</v>
      </c>
      <c r="B2" s="5" t="s">
        <v>1816</v>
      </c>
      <c r="C2" s="5" t="s">
        <v>1817</v>
      </c>
      <c r="D2" s="5" t="s">
        <v>1826</v>
      </c>
      <c r="E2" s="5" t="s">
        <v>1819</v>
      </c>
      <c r="F2" s="5" t="s">
        <v>1820</v>
      </c>
      <c r="G2" s="5" t="s">
        <v>1827</v>
      </c>
      <c r="H2" s="5" t="s">
        <v>1828</v>
      </c>
      <c r="I2" s="5" t="s">
        <v>1829</v>
      </c>
      <c r="J2" s="5" t="s">
        <v>1830</v>
      </c>
      <c r="K2" s="5" t="s">
        <v>1831</v>
      </c>
      <c r="L2" s="5" t="s">
        <v>1832</v>
      </c>
      <c r="M2" s="5" t="s">
        <v>2137</v>
      </c>
      <c r="N2" s="5" t="s">
        <v>2138</v>
      </c>
      <c r="O2" s="5" t="s">
        <v>2139</v>
      </c>
    </row>
    <row r="3" spans="1:15">
      <c r="A3" s="2">
        <v>46090</v>
      </c>
      <c r="B3" s="3" t="s">
        <v>1822</v>
      </c>
      <c r="C3" s="2">
        <v>46090</v>
      </c>
      <c r="D3" s="3" t="s">
        <v>1824</v>
      </c>
      <c r="E3" s="4">
        <v>10085.28</v>
      </c>
      <c r="F3" s="4">
        <v>205.82</v>
      </c>
      <c r="G3" s="3" t="s">
        <v>423</v>
      </c>
      <c r="H3" s="3" t="s">
        <v>1833</v>
      </c>
      <c r="I3" s="4">
        <v>10291.1</v>
      </c>
      <c r="J3" s="4">
        <v>0</v>
      </c>
      <c r="K3" s="3" t="s">
        <v>1834</v>
      </c>
      <c r="L3" s="3"/>
      <c r="M3" s="6" t="s">
        <v>2140</v>
      </c>
      <c r="N3" s="3" t="s">
        <v>2141</v>
      </c>
      <c r="O3" s="3">
        <v>9</v>
      </c>
    </row>
    <row r="4" spans="1:15">
      <c r="A4" s="2">
        <v>46090</v>
      </c>
      <c r="B4" s="3" t="s">
        <v>1822</v>
      </c>
      <c r="C4" s="2">
        <v>46090</v>
      </c>
      <c r="D4" s="3" t="s">
        <v>1824</v>
      </c>
      <c r="E4" s="4">
        <v>-311.86</v>
      </c>
      <c r="F4" s="4">
        <v>0</v>
      </c>
      <c r="G4" s="3" t="s">
        <v>1835</v>
      </c>
      <c r="H4" s="3" t="s">
        <v>1836</v>
      </c>
      <c r="I4" s="4">
        <v>-311.86</v>
      </c>
      <c r="J4" s="4">
        <v>0</v>
      </c>
      <c r="K4" s="3" t="s">
        <v>1834</v>
      </c>
      <c r="L4" s="3"/>
      <c r="M4" s="6" t="s">
        <v>2142</v>
      </c>
      <c r="N4" s="3" t="s">
        <v>2141</v>
      </c>
      <c r="O4" s="3">
        <v>10</v>
      </c>
    </row>
    <row r="5" spans="1:15">
      <c r="A5" s="2">
        <v>46090</v>
      </c>
      <c r="B5" s="3" t="s">
        <v>1822</v>
      </c>
      <c r="C5" s="2">
        <v>46090</v>
      </c>
      <c r="D5" s="3" t="s">
        <v>1824</v>
      </c>
      <c r="E5" s="4">
        <v>5444.96</v>
      </c>
      <c r="F5" s="4">
        <v>111.12</v>
      </c>
      <c r="G5" s="3" t="s">
        <v>424</v>
      </c>
      <c r="H5" s="3" t="s">
        <v>1833</v>
      </c>
      <c r="I5" s="4">
        <v>5556.08</v>
      </c>
      <c r="J5" s="4">
        <v>0</v>
      </c>
      <c r="K5" s="3" t="s">
        <v>1834</v>
      </c>
      <c r="L5" s="3"/>
      <c r="M5" s="6" t="s">
        <v>2143</v>
      </c>
      <c r="N5" s="3" t="s">
        <v>2141</v>
      </c>
      <c r="O5" s="3">
        <v>11</v>
      </c>
    </row>
    <row r="6" spans="1:15">
      <c r="A6" s="2">
        <v>46090</v>
      </c>
      <c r="B6" s="3" t="s">
        <v>1822</v>
      </c>
      <c r="C6" s="2">
        <v>46090</v>
      </c>
      <c r="D6" s="3" t="s">
        <v>1824</v>
      </c>
      <c r="E6" s="4">
        <v>6037.27</v>
      </c>
      <c r="F6" s="4">
        <v>123.21</v>
      </c>
      <c r="G6" s="3" t="s">
        <v>425</v>
      </c>
      <c r="H6" s="3" t="s">
        <v>1833</v>
      </c>
      <c r="I6" s="4">
        <v>6160.48</v>
      </c>
      <c r="J6" s="4">
        <v>0</v>
      </c>
      <c r="K6" s="3" t="s">
        <v>1834</v>
      </c>
      <c r="L6" s="3"/>
      <c r="M6" s="6" t="s">
        <v>2144</v>
      </c>
      <c r="N6" s="3" t="s">
        <v>2141</v>
      </c>
      <c r="O6" s="3">
        <v>12</v>
      </c>
    </row>
    <row r="7" spans="1:15">
      <c r="A7" s="2">
        <v>46090</v>
      </c>
      <c r="B7" s="3" t="s">
        <v>1822</v>
      </c>
      <c r="C7" s="2">
        <v>46090</v>
      </c>
      <c r="D7" s="3" t="s">
        <v>1824</v>
      </c>
      <c r="E7" s="4">
        <v>7499.69</v>
      </c>
      <c r="F7" s="4">
        <v>153.05</v>
      </c>
      <c r="G7" s="3" t="s">
        <v>426</v>
      </c>
      <c r="H7" s="3" t="s">
        <v>1833</v>
      </c>
      <c r="I7" s="4">
        <v>7652.74</v>
      </c>
      <c r="J7" s="4">
        <v>0</v>
      </c>
      <c r="K7" s="3" t="s">
        <v>1834</v>
      </c>
      <c r="L7" s="3"/>
      <c r="M7" s="6" t="s">
        <v>2145</v>
      </c>
      <c r="N7" s="3" t="s">
        <v>2141</v>
      </c>
      <c r="O7" s="3">
        <v>13</v>
      </c>
    </row>
    <row r="8" spans="1:15">
      <c r="A8" s="2">
        <v>46090</v>
      </c>
      <c r="B8" s="3" t="s">
        <v>1822</v>
      </c>
      <c r="C8" s="2">
        <v>46090</v>
      </c>
      <c r="D8" s="3" t="s">
        <v>1824</v>
      </c>
      <c r="E8" s="4">
        <v>12224.77</v>
      </c>
      <c r="F8" s="4">
        <v>249.49</v>
      </c>
      <c r="G8" s="3" t="s">
        <v>427</v>
      </c>
      <c r="H8" s="3" t="s">
        <v>1833</v>
      </c>
      <c r="I8" s="4">
        <v>12474.26</v>
      </c>
      <c r="J8" s="4">
        <v>0</v>
      </c>
      <c r="K8" s="3" t="s">
        <v>1834</v>
      </c>
      <c r="L8" s="3"/>
      <c r="M8" s="6" t="s">
        <v>2142</v>
      </c>
      <c r="N8" s="3" t="s">
        <v>2141</v>
      </c>
      <c r="O8" s="3">
        <v>14</v>
      </c>
    </row>
    <row r="9" spans="1:15">
      <c r="A9" s="2">
        <v>46090</v>
      </c>
      <c r="B9" s="3" t="s">
        <v>1822</v>
      </c>
      <c r="C9" s="2">
        <v>46090</v>
      </c>
      <c r="D9" s="3" t="s">
        <v>1824</v>
      </c>
      <c r="E9" s="4">
        <v>-205.82</v>
      </c>
      <c r="F9" s="4">
        <v>0</v>
      </c>
      <c r="G9" s="3" t="s">
        <v>1837</v>
      </c>
      <c r="H9" s="3" t="s">
        <v>1836</v>
      </c>
      <c r="I9" s="4">
        <v>-205.82</v>
      </c>
      <c r="J9" s="4">
        <v>0</v>
      </c>
      <c r="K9" s="3" t="s">
        <v>1834</v>
      </c>
      <c r="L9" s="3"/>
      <c r="M9" s="6" t="s">
        <v>2140</v>
      </c>
      <c r="N9" s="3" t="s">
        <v>2141</v>
      </c>
      <c r="O9" s="3">
        <v>15</v>
      </c>
    </row>
    <row r="10" spans="1:15">
      <c r="A10" s="2">
        <v>46090</v>
      </c>
      <c r="B10" s="3" t="s">
        <v>1822</v>
      </c>
      <c r="C10" s="2">
        <v>46090</v>
      </c>
      <c r="D10" s="3" t="s">
        <v>1824</v>
      </c>
      <c r="E10" s="4">
        <v>-257.28</v>
      </c>
      <c r="F10" s="4">
        <v>0</v>
      </c>
      <c r="G10" s="3" t="s">
        <v>1838</v>
      </c>
      <c r="H10" s="3" t="s">
        <v>1836</v>
      </c>
      <c r="I10" s="4">
        <v>-257.28</v>
      </c>
      <c r="J10" s="4">
        <v>0</v>
      </c>
      <c r="K10" s="3" t="s">
        <v>1834</v>
      </c>
      <c r="L10" s="3"/>
      <c r="M10" s="6" t="s">
        <v>2140</v>
      </c>
      <c r="N10" s="3" t="s">
        <v>2141</v>
      </c>
      <c r="O10" s="3">
        <v>16</v>
      </c>
    </row>
    <row r="11" spans="1:15">
      <c r="A11" s="2">
        <v>46090</v>
      </c>
      <c r="B11" s="3" t="s">
        <v>1822</v>
      </c>
      <c r="C11" s="2">
        <v>46090</v>
      </c>
      <c r="D11" s="3" t="s">
        <v>1824</v>
      </c>
      <c r="E11" s="4">
        <v>-153.05</v>
      </c>
      <c r="F11" s="4">
        <v>0</v>
      </c>
      <c r="G11" s="3" t="s">
        <v>1839</v>
      </c>
      <c r="H11" s="3" t="s">
        <v>1836</v>
      </c>
      <c r="I11" s="4">
        <v>-153.05</v>
      </c>
      <c r="J11" s="4">
        <v>0</v>
      </c>
      <c r="K11" s="3" t="s">
        <v>1834</v>
      </c>
      <c r="L11" s="3"/>
      <c r="M11" s="6" t="s">
        <v>2146</v>
      </c>
      <c r="N11" s="3" t="s">
        <v>2141</v>
      </c>
      <c r="O11" s="3">
        <v>17</v>
      </c>
    </row>
    <row r="12" spans="1:15">
      <c r="A12" s="2">
        <v>46090</v>
      </c>
      <c r="B12" s="3" t="s">
        <v>1822</v>
      </c>
      <c r="C12" s="2">
        <v>46090</v>
      </c>
      <c r="D12" s="3" t="s">
        <v>1824</v>
      </c>
      <c r="E12" s="4">
        <v>-191.32</v>
      </c>
      <c r="F12" s="4">
        <v>0</v>
      </c>
      <c r="G12" s="3" t="s">
        <v>1840</v>
      </c>
      <c r="H12" s="3" t="s">
        <v>1836</v>
      </c>
      <c r="I12" s="4">
        <v>-191.32</v>
      </c>
      <c r="J12" s="4">
        <v>0</v>
      </c>
      <c r="K12" s="3" t="s">
        <v>1834</v>
      </c>
      <c r="L12" s="3"/>
      <c r="M12" s="6" t="s">
        <v>2146</v>
      </c>
      <c r="N12" s="3" t="s">
        <v>2141</v>
      </c>
      <c r="O12" s="3">
        <v>18</v>
      </c>
    </row>
    <row r="13" spans="1:15">
      <c r="A13" s="2">
        <v>46090</v>
      </c>
      <c r="B13" s="3" t="s">
        <v>1822</v>
      </c>
      <c r="C13" s="2">
        <v>46090</v>
      </c>
      <c r="D13" s="3" t="s">
        <v>1824</v>
      </c>
      <c r="E13" s="4">
        <v>-111.12</v>
      </c>
      <c r="F13" s="4">
        <v>0</v>
      </c>
      <c r="G13" s="3" t="s">
        <v>1841</v>
      </c>
      <c r="H13" s="3" t="s">
        <v>1836</v>
      </c>
      <c r="I13" s="4">
        <v>-111.12</v>
      </c>
      <c r="J13" s="4">
        <v>0</v>
      </c>
      <c r="K13" s="3" t="s">
        <v>1834</v>
      </c>
      <c r="L13" s="3"/>
      <c r="M13" s="6" t="s">
        <v>2143</v>
      </c>
      <c r="N13" s="3" t="s">
        <v>2141</v>
      </c>
      <c r="O13" s="3">
        <v>19</v>
      </c>
    </row>
    <row r="14" spans="1:15">
      <c r="A14" s="2">
        <v>46090</v>
      </c>
      <c r="B14" s="3" t="s">
        <v>1822</v>
      </c>
      <c r="C14" s="2">
        <v>46090</v>
      </c>
      <c r="D14" s="3" t="s">
        <v>1824</v>
      </c>
      <c r="E14" s="4">
        <v>-138.9</v>
      </c>
      <c r="F14" s="4">
        <v>0</v>
      </c>
      <c r="G14" s="3" t="s">
        <v>1842</v>
      </c>
      <c r="H14" s="3" t="s">
        <v>1836</v>
      </c>
      <c r="I14" s="4">
        <v>-138.9</v>
      </c>
      <c r="J14" s="4">
        <v>0</v>
      </c>
      <c r="K14" s="3" t="s">
        <v>1834</v>
      </c>
      <c r="L14" s="3"/>
      <c r="M14" s="6" t="s">
        <v>2143</v>
      </c>
      <c r="N14" s="3" t="s">
        <v>2141</v>
      </c>
      <c r="O14" s="3">
        <v>20</v>
      </c>
    </row>
    <row r="15" spans="1:15">
      <c r="A15" s="2">
        <v>46090</v>
      </c>
      <c r="B15" s="3" t="s">
        <v>1822</v>
      </c>
      <c r="C15" s="2">
        <v>46090</v>
      </c>
      <c r="D15" s="3" t="s">
        <v>1824</v>
      </c>
      <c r="E15" s="4">
        <v>-123.21</v>
      </c>
      <c r="F15" s="4">
        <v>0</v>
      </c>
      <c r="G15" s="3" t="s">
        <v>1843</v>
      </c>
      <c r="H15" s="3" t="s">
        <v>1836</v>
      </c>
      <c r="I15" s="4">
        <v>-123.21</v>
      </c>
      <c r="J15" s="4">
        <v>0</v>
      </c>
      <c r="K15" s="3" t="s">
        <v>1834</v>
      </c>
      <c r="L15" s="3"/>
      <c r="M15" s="6" t="s">
        <v>2144</v>
      </c>
      <c r="N15" s="3" t="s">
        <v>2141</v>
      </c>
      <c r="O15" s="3">
        <v>21</v>
      </c>
    </row>
    <row r="16" spans="1:15">
      <c r="A16" s="2">
        <v>46090</v>
      </c>
      <c r="B16" s="3" t="s">
        <v>1822</v>
      </c>
      <c r="C16" s="2">
        <v>46090</v>
      </c>
      <c r="D16" s="3" t="s">
        <v>1824</v>
      </c>
      <c r="E16" s="4">
        <v>-154.01</v>
      </c>
      <c r="F16" s="4">
        <v>0</v>
      </c>
      <c r="G16" s="3" t="s">
        <v>1844</v>
      </c>
      <c r="H16" s="3" t="s">
        <v>1836</v>
      </c>
      <c r="I16" s="4">
        <v>-154.01</v>
      </c>
      <c r="J16" s="4">
        <v>0</v>
      </c>
      <c r="K16" s="3" t="s">
        <v>1834</v>
      </c>
      <c r="L16" s="3"/>
      <c r="M16" s="6" t="s">
        <v>2144</v>
      </c>
      <c r="N16" s="3" t="s">
        <v>2141</v>
      </c>
      <c r="O16" s="3">
        <v>22</v>
      </c>
    </row>
    <row r="17" spans="1:15">
      <c r="A17" s="2">
        <v>46090</v>
      </c>
      <c r="B17" s="3" t="s">
        <v>1822</v>
      </c>
      <c r="C17" s="2">
        <v>46090</v>
      </c>
      <c r="D17" s="3" t="s">
        <v>1824</v>
      </c>
      <c r="E17" s="4">
        <v>-153.05</v>
      </c>
      <c r="F17" s="4">
        <v>0</v>
      </c>
      <c r="G17" s="3" t="s">
        <v>1845</v>
      </c>
      <c r="H17" s="3" t="s">
        <v>1836</v>
      </c>
      <c r="I17" s="4">
        <v>-153.05</v>
      </c>
      <c r="J17" s="4">
        <v>0</v>
      </c>
      <c r="K17" s="3" t="s">
        <v>1834</v>
      </c>
      <c r="L17" s="3"/>
      <c r="M17" s="6" t="s">
        <v>2145</v>
      </c>
      <c r="N17" s="3" t="s">
        <v>2141</v>
      </c>
      <c r="O17" s="3">
        <v>23</v>
      </c>
    </row>
    <row r="18" spans="1:15">
      <c r="A18" s="2">
        <v>46090</v>
      </c>
      <c r="B18" s="3" t="s">
        <v>1822</v>
      </c>
      <c r="C18" s="2">
        <v>46090</v>
      </c>
      <c r="D18" s="3" t="s">
        <v>1824</v>
      </c>
      <c r="E18" s="4">
        <v>-191.32</v>
      </c>
      <c r="F18" s="4">
        <v>0</v>
      </c>
      <c r="G18" s="3" t="s">
        <v>1846</v>
      </c>
      <c r="H18" s="3" t="s">
        <v>1836</v>
      </c>
      <c r="I18" s="4">
        <v>-191.32</v>
      </c>
      <c r="J18" s="4">
        <v>0</v>
      </c>
      <c r="K18" s="3" t="s">
        <v>1834</v>
      </c>
      <c r="L18" s="3"/>
      <c r="M18" s="6" t="s">
        <v>2145</v>
      </c>
      <c r="N18" s="3" t="s">
        <v>2141</v>
      </c>
      <c r="O18" s="3">
        <v>24</v>
      </c>
    </row>
    <row r="19" spans="1:15">
      <c r="A19" s="2">
        <v>46090</v>
      </c>
      <c r="B19" s="3" t="s">
        <v>1822</v>
      </c>
      <c r="C19" s="2">
        <v>46090</v>
      </c>
      <c r="D19" s="3" t="s">
        <v>1824</v>
      </c>
      <c r="E19" s="4">
        <v>-249.49</v>
      </c>
      <c r="F19" s="4">
        <v>0</v>
      </c>
      <c r="G19" s="3" t="s">
        <v>1847</v>
      </c>
      <c r="H19" s="3" t="s">
        <v>1836</v>
      </c>
      <c r="I19" s="4">
        <v>-249.49</v>
      </c>
      <c r="J19" s="4">
        <v>0</v>
      </c>
      <c r="K19" s="3" t="s">
        <v>1834</v>
      </c>
      <c r="L19" s="3"/>
      <c r="M19" s="6" t="s">
        <v>2142</v>
      </c>
      <c r="N19" s="3" t="s">
        <v>2141</v>
      </c>
      <c r="O19" s="3">
        <v>25</v>
      </c>
    </row>
    <row r="20" spans="1:15">
      <c r="A20" s="2">
        <v>46090</v>
      </c>
      <c r="B20" s="3" t="s">
        <v>1822</v>
      </c>
      <c r="C20" s="2">
        <v>46090</v>
      </c>
      <c r="D20" s="3" t="s">
        <v>1824</v>
      </c>
      <c r="E20" s="4">
        <v>7499.69</v>
      </c>
      <c r="F20" s="4">
        <v>153.05</v>
      </c>
      <c r="G20" s="3" t="s">
        <v>428</v>
      </c>
      <c r="H20" s="3" t="s">
        <v>1833</v>
      </c>
      <c r="I20" s="4">
        <v>7652.74</v>
      </c>
      <c r="J20" s="4">
        <v>0</v>
      </c>
      <c r="K20" s="3" t="s">
        <v>1834</v>
      </c>
      <c r="L20" s="3"/>
      <c r="M20" s="6" t="s">
        <v>2146</v>
      </c>
      <c r="N20" s="3" t="s">
        <v>2141</v>
      </c>
      <c r="O20" s="3">
        <v>26</v>
      </c>
    </row>
    <row r="21" spans="1:15">
      <c r="A21" s="2">
        <v>46174</v>
      </c>
      <c r="B21" s="3" t="s">
        <v>1851</v>
      </c>
      <c r="C21" s="2">
        <v>46174</v>
      </c>
      <c r="D21" s="3" t="s">
        <v>1824</v>
      </c>
      <c r="E21" s="4">
        <v>10234.14</v>
      </c>
      <c r="F21" s="4">
        <v>208.86</v>
      </c>
      <c r="G21" s="3" t="s">
        <v>422</v>
      </c>
      <c r="H21" s="3" t="s">
        <v>1833</v>
      </c>
      <c r="I21" s="4">
        <v>10443</v>
      </c>
      <c r="J21" s="4">
        <v>0</v>
      </c>
      <c r="K21" s="3" t="s">
        <v>1834</v>
      </c>
      <c r="L21" s="3"/>
      <c r="M21" s="6" t="s">
        <v>2147</v>
      </c>
      <c r="N21" s="3" t="s">
        <v>2148</v>
      </c>
      <c r="O21" s="3">
        <v>9</v>
      </c>
    </row>
    <row r="22" spans="1:15">
      <c r="A22" s="2">
        <v>46174</v>
      </c>
      <c r="B22" s="3" t="s">
        <v>1851</v>
      </c>
      <c r="C22" s="2">
        <v>46174</v>
      </c>
      <c r="D22" s="3" t="s">
        <v>1824</v>
      </c>
      <c r="E22" s="4">
        <v>1187.76</v>
      </c>
      <c r="F22" s="4">
        <v>24.24</v>
      </c>
      <c r="G22" s="3" t="s">
        <v>433</v>
      </c>
      <c r="H22" s="3" t="s">
        <v>1833</v>
      </c>
      <c r="I22" s="4">
        <v>1212</v>
      </c>
      <c r="J22" s="4">
        <v>0</v>
      </c>
      <c r="K22" s="3" t="s">
        <v>1834</v>
      </c>
      <c r="L22" s="3"/>
      <c r="M22" s="6" t="s">
        <v>2149</v>
      </c>
      <c r="N22" s="3" t="s">
        <v>2148</v>
      </c>
      <c r="O22" s="3">
        <v>10</v>
      </c>
    </row>
    <row r="23" spans="1:15">
      <c r="A23" s="2">
        <v>46174</v>
      </c>
      <c r="B23" s="3" t="s">
        <v>1851</v>
      </c>
      <c r="C23" s="2">
        <v>46174</v>
      </c>
      <c r="D23" s="3" t="s">
        <v>1824</v>
      </c>
      <c r="E23" s="4">
        <v>-261.08</v>
      </c>
      <c r="F23" s="4">
        <v>0</v>
      </c>
      <c r="G23" s="3" t="s">
        <v>1853</v>
      </c>
      <c r="H23" s="3" t="s">
        <v>1836</v>
      </c>
      <c r="I23" s="4">
        <v>-261.08</v>
      </c>
      <c r="J23" s="4">
        <v>0</v>
      </c>
      <c r="K23" s="3" t="s">
        <v>1834</v>
      </c>
      <c r="L23" s="3"/>
      <c r="M23" s="6" t="s">
        <v>2147</v>
      </c>
      <c r="N23" s="3" t="s">
        <v>2148</v>
      </c>
      <c r="O23" s="3">
        <v>11</v>
      </c>
    </row>
    <row r="24" spans="1:15">
      <c r="A24" s="2">
        <v>46174</v>
      </c>
      <c r="B24" s="3" t="s">
        <v>1851</v>
      </c>
      <c r="C24" s="2">
        <v>46174</v>
      </c>
      <c r="D24" s="3" t="s">
        <v>1824</v>
      </c>
      <c r="E24" s="4">
        <v>-30.3</v>
      </c>
      <c r="F24" s="4">
        <v>0</v>
      </c>
      <c r="G24" s="3" t="s">
        <v>1854</v>
      </c>
      <c r="H24" s="3" t="s">
        <v>1836</v>
      </c>
      <c r="I24" s="4">
        <v>-30.3</v>
      </c>
      <c r="J24" s="4">
        <v>0</v>
      </c>
      <c r="K24" s="3" t="s">
        <v>1834</v>
      </c>
      <c r="L24" s="3"/>
      <c r="M24" s="6" t="s">
        <v>2149</v>
      </c>
      <c r="N24" s="3" t="s">
        <v>2148</v>
      </c>
      <c r="O24" s="3">
        <v>12</v>
      </c>
    </row>
    <row r="25" spans="1:15">
      <c r="A25" s="2">
        <v>46174</v>
      </c>
      <c r="B25" s="3" t="s">
        <v>1851</v>
      </c>
      <c r="C25" s="2">
        <v>46174</v>
      </c>
      <c r="D25" s="3" t="s">
        <v>1824</v>
      </c>
      <c r="E25" s="4">
        <v>-208.86</v>
      </c>
      <c r="F25" s="4">
        <v>0</v>
      </c>
      <c r="G25" s="3" t="s">
        <v>1855</v>
      </c>
      <c r="H25" s="3" t="s">
        <v>1836</v>
      </c>
      <c r="I25" s="4">
        <v>-208.86</v>
      </c>
      <c r="J25" s="4">
        <v>0</v>
      </c>
      <c r="K25" s="3" t="s">
        <v>1834</v>
      </c>
      <c r="L25" s="3"/>
      <c r="M25" s="6" t="s">
        <v>2147</v>
      </c>
      <c r="N25" s="3" t="s">
        <v>2148</v>
      </c>
      <c r="O25" s="3">
        <v>13</v>
      </c>
    </row>
    <row r="26" spans="1:15">
      <c r="A26" s="2">
        <v>46174</v>
      </c>
      <c r="B26" s="3" t="s">
        <v>1851</v>
      </c>
      <c r="C26" s="2">
        <v>46174</v>
      </c>
      <c r="D26" s="3" t="s">
        <v>1824</v>
      </c>
      <c r="E26" s="4">
        <v>-24.24</v>
      </c>
      <c r="F26" s="4">
        <v>0</v>
      </c>
      <c r="G26" s="3" t="s">
        <v>1856</v>
      </c>
      <c r="H26" s="3" t="s">
        <v>1836</v>
      </c>
      <c r="I26" s="4">
        <v>-24.24</v>
      </c>
      <c r="J26" s="4">
        <v>0</v>
      </c>
      <c r="K26" s="3" t="s">
        <v>1834</v>
      </c>
      <c r="L26" s="3"/>
      <c r="M26" s="6" t="s">
        <v>2149</v>
      </c>
      <c r="N26" s="3" t="s">
        <v>2148</v>
      </c>
      <c r="O26" s="3">
        <v>14</v>
      </c>
    </row>
    <row r="27" spans="1:15">
      <c r="A27" s="2">
        <v>46175</v>
      </c>
      <c r="B27" s="3" t="s">
        <v>1858</v>
      </c>
      <c r="C27" s="2">
        <v>46175</v>
      </c>
      <c r="D27" s="3" t="s">
        <v>1860</v>
      </c>
      <c r="E27" s="4">
        <v>1802.84</v>
      </c>
      <c r="F27" s="4">
        <v>36.79</v>
      </c>
      <c r="G27" s="3" t="s">
        <v>440</v>
      </c>
      <c r="H27" s="3" t="s">
        <v>1833</v>
      </c>
      <c r="I27" s="4">
        <v>7452.92</v>
      </c>
      <c r="J27" s="4">
        <v>5613.29</v>
      </c>
      <c r="K27" s="3" t="s">
        <v>1834</v>
      </c>
      <c r="L27" s="3" t="s">
        <v>1861</v>
      </c>
      <c r="M27" s="6" t="s">
        <v>440</v>
      </c>
      <c r="N27" s="3" t="s">
        <v>2150</v>
      </c>
      <c r="O27" s="3">
        <v>9</v>
      </c>
    </row>
    <row r="28" spans="1:15">
      <c r="A28" s="2">
        <v>46176</v>
      </c>
      <c r="B28" s="3" t="s">
        <v>1878</v>
      </c>
      <c r="C28" s="2">
        <v>46176</v>
      </c>
      <c r="D28" s="3" t="s">
        <v>1824</v>
      </c>
      <c r="E28" s="4">
        <v>-39.91</v>
      </c>
      <c r="F28" s="4">
        <v>0</v>
      </c>
      <c r="G28" s="3" t="s">
        <v>1880</v>
      </c>
      <c r="H28" s="3" t="s">
        <v>1836</v>
      </c>
      <c r="I28" s="4">
        <v>-39.91</v>
      </c>
      <c r="J28" s="4">
        <v>0</v>
      </c>
      <c r="K28" s="3" t="s">
        <v>1834</v>
      </c>
      <c r="L28" s="3"/>
      <c r="M28" s="6" t="s">
        <v>2151</v>
      </c>
      <c r="N28" s="3" t="s">
        <v>2152</v>
      </c>
      <c r="O28" s="3">
        <v>9</v>
      </c>
    </row>
    <row r="29" spans="1:15">
      <c r="A29" s="2">
        <v>46176</v>
      </c>
      <c r="B29" s="3" t="s">
        <v>1878</v>
      </c>
      <c r="C29" s="2">
        <v>46176</v>
      </c>
      <c r="D29" s="3" t="s">
        <v>1824</v>
      </c>
      <c r="E29" s="4">
        <v>1955.61</v>
      </c>
      <c r="F29" s="4">
        <v>39.91</v>
      </c>
      <c r="G29" s="3" t="s">
        <v>434</v>
      </c>
      <c r="H29" s="3" t="s">
        <v>1833</v>
      </c>
      <c r="I29" s="4">
        <v>1995.52</v>
      </c>
      <c r="J29" s="4">
        <v>0</v>
      </c>
      <c r="K29" s="3" t="s">
        <v>1834</v>
      </c>
      <c r="L29" s="3"/>
      <c r="M29" s="6" t="s">
        <v>2151</v>
      </c>
      <c r="N29" s="3" t="s">
        <v>2152</v>
      </c>
      <c r="O29" s="3">
        <v>10</v>
      </c>
    </row>
    <row r="30" spans="1:15">
      <c r="A30" s="2">
        <v>46176</v>
      </c>
      <c r="B30" s="3" t="s">
        <v>1878</v>
      </c>
      <c r="C30" s="2">
        <v>46176</v>
      </c>
      <c r="D30" s="3" t="s">
        <v>1824</v>
      </c>
      <c r="E30" s="4">
        <v>-154.88</v>
      </c>
      <c r="F30" s="4">
        <v>0</v>
      </c>
      <c r="G30" s="3" t="s">
        <v>1881</v>
      </c>
      <c r="H30" s="3" t="s">
        <v>1836</v>
      </c>
      <c r="I30" s="4">
        <v>-154.88</v>
      </c>
      <c r="J30" s="4">
        <v>0</v>
      </c>
      <c r="K30" s="3" t="s">
        <v>1834</v>
      </c>
      <c r="L30" s="3"/>
      <c r="M30" s="6" t="s">
        <v>446</v>
      </c>
      <c r="N30" s="3" t="s">
        <v>2152</v>
      </c>
      <c r="O30" s="3">
        <v>11</v>
      </c>
    </row>
    <row r="31" spans="1:15">
      <c r="A31" s="2">
        <v>46176</v>
      </c>
      <c r="B31" s="3" t="s">
        <v>1878</v>
      </c>
      <c r="C31" s="2">
        <v>46176</v>
      </c>
      <c r="D31" s="3" t="s">
        <v>1824</v>
      </c>
      <c r="E31" s="4">
        <v>-49.89</v>
      </c>
      <c r="F31" s="4">
        <v>0</v>
      </c>
      <c r="G31" s="3" t="s">
        <v>1882</v>
      </c>
      <c r="H31" s="3" t="s">
        <v>1836</v>
      </c>
      <c r="I31" s="4">
        <v>-49.89</v>
      </c>
      <c r="J31" s="4">
        <v>0</v>
      </c>
      <c r="K31" s="3" t="s">
        <v>1834</v>
      </c>
      <c r="L31" s="3"/>
      <c r="M31" s="6" t="s">
        <v>2151</v>
      </c>
      <c r="N31" s="3" t="s">
        <v>2152</v>
      </c>
      <c r="O31" s="3">
        <v>12</v>
      </c>
    </row>
    <row r="32" spans="1:15">
      <c r="A32" s="2">
        <v>46190</v>
      </c>
      <c r="B32" s="3" t="s">
        <v>1884</v>
      </c>
      <c r="C32" s="2">
        <v>46190</v>
      </c>
      <c r="D32" s="3" t="s">
        <v>1824</v>
      </c>
      <c r="E32" s="4">
        <v>5501.02</v>
      </c>
      <c r="F32" s="4">
        <v>112.27</v>
      </c>
      <c r="G32" s="3" t="s">
        <v>440</v>
      </c>
      <c r="H32" s="3" t="s">
        <v>1833</v>
      </c>
      <c r="I32" s="4">
        <v>7452.92</v>
      </c>
      <c r="J32" s="4">
        <v>0</v>
      </c>
      <c r="K32" s="3" t="s">
        <v>1834</v>
      </c>
      <c r="L32" s="3"/>
      <c r="M32" s="6" t="s">
        <v>440</v>
      </c>
      <c r="N32" s="3" t="s">
        <v>2153</v>
      </c>
      <c r="O32" s="3">
        <v>9</v>
      </c>
    </row>
    <row r="33" spans="1:15">
      <c r="A33" s="2">
        <v>46190</v>
      </c>
      <c r="B33" s="3" t="s">
        <v>1884</v>
      </c>
      <c r="C33" s="2">
        <v>46190</v>
      </c>
      <c r="D33" s="3" t="s">
        <v>1824</v>
      </c>
      <c r="E33" s="4">
        <v>-78.02</v>
      </c>
      <c r="F33" s="4">
        <v>0</v>
      </c>
      <c r="G33" s="3" t="s">
        <v>1886</v>
      </c>
      <c r="H33" s="3" t="s">
        <v>1836</v>
      </c>
      <c r="I33" s="4">
        <v>-78.02</v>
      </c>
      <c r="J33" s="4">
        <v>0</v>
      </c>
      <c r="K33" s="3" t="s">
        <v>1834</v>
      </c>
      <c r="L33" s="3"/>
      <c r="M33" s="6" t="s">
        <v>450</v>
      </c>
      <c r="N33" s="3" t="s">
        <v>2153</v>
      </c>
      <c r="O33" s="3">
        <v>10</v>
      </c>
    </row>
    <row r="34" spans="1:15">
      <c r="A34" s="2">
        <v>46190</v>
      </c>
      <c r="B34" s="3" t="s">
        <v>1884</v>
      </c>
      <c r="C34" s="2">
        <v>46190</v>
      </c>
      <c r="D34" s="3" t="s">
        <v>1824</v>
      </c>
      <c r="E34" s="4">
        <v>3561.21</v>
      </c>
      <c r="F34" s="4">
        <v>72.68</v>
      </c>
      <c r="G34" s="3" t="s">
        <v>446</v>
      </c>
      <c r="H34" s="3" t="s">
        <v>1833</v>
      </c>
      <c r="I34" s="4">
        <v>3633.89</v>
      </c>
      <c r="J34" s="4">
        <v>0</v>
      </c>
      <c r="K34" s="3" t="s">
        <v>1834</v>
      </c>
      <c r="L34" s="3"/>
      <c r="M34" s="6" t="s">
        <v>446</v>
      </c>
      <c r="N34" s="3" t="s">
        <v>2153</v>
      </c>
      <c r="O34" s="3">
        <v>11</v>
      </c>
    </row>
    <row r="35" spans="1:15">
      <c r="A35" s="2">
        <v>46190</v>
      </c>
      <c r="B35" s="3" t="s">
        <v>1884</v>
      </c>
      <c r="C35" s="2">
        <v>46190</v>
      </c>
      <c r="D35" s="3" t="s">
        <v>1824</v>
      </c>
      <c r="E35" s="4">
        <v>-149.06</v>
      </c>
      <c r="F35" s="4">
        <v>0</v>
      </c>
      <c r="G35" s="3" t="s">
        <v>1887</v>
      </c>
      <c r="H35" s="3" t="s">
        <v>1836</v>
      </c>
      <c r="I35" s="4">
        <v>-149.06</v>
      </c>
      <c r="J35" s="4">
        <v>0</v>
      </c>
      <c r="K35" s="3" t="s">
        <v>1834</v>
      </c>
      <c r="L35" s="3"/>
      <c r="M35" s="6" t="s">
        <v>440</v>
      </c>
      <c r="N35" s="3" t="s">
        <v>2153</v>
      </c>
      <c r="O35" s="3">
        <v>12</v>
      </c>
    </row>
    <row r="36" spans="1:15">
      <c r="A36" s="2">
        <v>46190</v>
      </c>
      <c r="B36" s="3" t="s">
        <v>1884</v>
      </c>
      <c r="C36" s="2">
        <v>46190</v>
      </c>
      <c r="D36" s="3" t="s">
        <v>1824</v>
      </c>
      <c r="E36" s="4">
        <v>-186.32</v>
      </c>
      <c r="F36" s="4">
        <v>0</v>
      </c>
      <c r="G36" s="3" t="s">
        <v>1888</v>
      </c>
      <c r="H36" s="3" t="s">
        <v>1836</v>
      </c>
      <c r="I36" s="4">
        <v>-186.32</v>
      </c>
      <c r="J36" s="4">
        <v>0</v>
      </c>
      <c r="K36" s="3" t="s">
        <v>1834</v>
      </c>
      <c r="L36" s="3"/>
      <c r="M36" s="6" t="s">
        <v>440</v>
      </c>
      <c r="N36" s="3" t="s">
        <v>2153</v>
      </c>
      <c r="O36" s="3">
        <v>13</v>
      </c>
    </row>
    <row r="37" spans="1:15">
      <c r="A37" s="2">
        <v>46190</v>
      </c>
      <c r="B37" s="3" t="s">
        <v>1884</v>
      </c>
      <c r="C37" s="2">
        <v>46190</v>
      </c>
      <c r="D37" s="3" t="s">
        <v>1824</v>
      </c>
      <c r="E37" s="4">
        <v>-72.68</v>
      </c>
      <c r="F37" s="4">
        <v>0</v>
      </c>
      <c r="G37" s="3" t="s">
        <v>1889</v>
      </c>
      <c r="H37" s="3" t="s">
        <v>1836</v>
      </c>
      <c r="I37" s="4">
        <v>-72.68</v>
      </c>
      <c r="J37" s="4">
        <v>0</v>
      </c>
      <c r="K37" s="3" t="s">
        <v>1834</v>
      </c>
      <c r="L37" s="3"/>
      <c r="M37" s="6" t="s">
        <v>446</v>
      </c>
      <c r="N37" s="3" t="s">
        <v>2153</v>
      </c>
      <c r="O37" s="3">
        <v>14</v>
      </c>
    </row>
    <row r="38" spans="1:15">
      <c r="A38" s="2">
        <v>46190</v>
      </c>
      <c r="B38" s="3" t="s">
        <v>1884</v>
      </c>
      <c r="C38" s="2">
        <v>46190</v>
      </c>
      <c r="D38" s="3" t="s">
        <v>1824</v>
      </c>
      <c r="E38" s="4">
        <v>-90.85</v>
      </c>
      <c r="F38" s="4">
        <v>0</v>
      </c>
      <c r="G38" s="3" t="s">
        <v>1890</v>
      </c>
      <c r="H38" s="3" t="s">
        <v>1836</v>
      </c>
      <c r="I38" s="4">
        <v>-90.85</v>
      </c>
      <c r="J38" s="4">
        <v>0</v>
      </c>
      <c r="K38" s="3" t="s">
        <v>1834</v>
      </c>
      <c r="L38" s="3"/>
      <c r="M38" s="6" t="s">
        <v>446</v>
      </c>
      <c r="N38" s="3" t="s">
        <v>2153</v>
      </c>
      <c r="O38" s="3">
        <v>15</v>
      </c>
    </row>
    <row r="39" spans="1:15">
      <c r="A39" s="2">
        <v>46190</v>
      </c>
      <c r="B39" s="3" t="s">
        <v>1884</v>
      </c>
      <c r="C39" s="2">
        <v>46190</v>
      </c>
      <c r="D39" s="3" t="s">
        <v>1824</v>
      </c>
      <c r="E39" s="4">
        <v>3237.78</v>
      </c>
      <c r="F39" s="4">
        <v>66.08</v>
      </c>
      <c r="G39" s="3" t="s">
        <v>448</v>
      </c>
      <c r="H39" s="3" t="s">
        <v>1833</v>
      </c>
      <c r="I39" s="4">
        <v>3303.86</v>
      </c>
      <c r="J39" s="4">
        <v>0</v>
      </c>
      <c r="K39" s="3" t="s">
        <v>1834</v>
      </c>
      <c r="L39" s="3"/>
      <c r="M39" s="6" t="s">
        <v>448</v>
      </c>
      <c r="N39" s="3" t="s">
        <v>2153</v>
      </c>
      <c r="O39" s="3">
        <v>16</v>
      </c>
    </row>
    <row r="40" spans="1:15">
      <c r="A40" s="2">
        <v>46190</v>
      </c>
      <c r="B40" s="3" t="s">
        <v>1884</v>
      </c>
      <c r="C40" s="2">
        <v>46190</v>
      </c>
      <c r="D40" s="3" t="s">
        <v>1824</v>
      </c>
      <c r="E40" s="4">
        <v>-97.52</v>
      </c>
      <c r="F40" s="4">
        <v>0</v>
      </c>
      <c r="G40" s="3" t="s">
        <v>1891</v>
      </c>
      <c r="H40" s="3" t="s">
        <v>1836</v>
      </c>
      <c r="I40" s="4">
        <v>-97.52</v>
      </c>
      <c r="J40" s="4">
        <v>0</v>
      </c>
      <c r="K40" s="3" t="s">
        <v>1834</v>
      </c>
      <c r="L40" s="3"/>
      <c r="M40" s="6" t="s">
        <v>450</v>
      </c>
      <c r="N40" s="3" t="s">
        <v>2153</v>
      </c>
      <c r="O40" s="3">
        <v>17</v>
      </c>
    </row>
    <row r="41" spans="1:15">
      <c r="A41" s="2">
        <v>46190</v>
      </c>
      <c r="B41" s="3" t="s">
        <v>1884</v>
      </c>
      <c r="C41" s="2">
        <v>46190</v>
      </c>
      <c r="D41" s="3" t="s">
        <v>1824</v>
      </c>
      <c r="E41" s="4">
        <v>-78.57</v>
      </c>
      <c r="F41" s="4">
        <v>0</v>
      </c>
      <c r="G41" s="3" t="s">
        <v>1892</v>
      </c>
      <c r="H41" s="3" t="s">
        <v>1836</v>
      </c>
      <c r="I41" s="4">
        <v>-78.57</v>
      </c>
      <c r="J41" s="4">
        <v>0</v>
      </c>
      <c r="K41" s="3" t="s">
        <v>1834</v>
      </c>
      <c r="L41" s="3"/>
      <c r="M41" s="6" t="s">
        <v>443</v>
      </c>
      <c r="N41" s="3" t="s">
        <v>2153</v>
      </c>
      <c r="O41" s="3">
        <v>18</v>
      </c>
    </row>
    <row r="42" spans="1:15">
      <c r="A42" s="2">
        <v>46190</v>
      </c>
      <c r="B42" s="3" t="s">
        <v>1884</v>
      </c>
      <c r="C42" s="2">
        <v>46190</v>
      </c>
      <c r="D42" s="3" t="s">
        <v>1824</v>
      </c>
      <c r="E42" s="4">
        <v>-98.21</v>
      </c>
      <c r="F42" s="4">
        <v>0</v>
      </c>
      <c r="G42" s="3" t="s">
        <v>1893</v>
      </c>
      <c r="H42" s="3" t="s">
        <v>1836</v>
      </c>
      <c r="I42" s="4">
        <v>-98.21</v>
      </c>
      <c r="J42" s="4">
        <v>0</v>
      </c>
      <c r="K42" s="3" t="s">
        <v>1834</v>
      </c>
      <c r="L42" s="3"/>
      <c r="M42" s="6" t="s">
        <v>443</v>
      </c>
      <c r="N42" s="3" t="s">
        <v>2153</v>
      </c>
      <c r="O42" s="3">
        <v>19</v>
      </c>
    </row>
    <row r="43" spans="1:15">
      <c r="A43" s="2">
        <v>46190</v>
      </c>
      <c r="B43" s="3" t="s">
        <v>1884</v>
      </c>
      <c r="C43" s="2">
        <v>46190</v>
      </c>
      <c r="D43" s="3" t="s">
        <v>1824</v>
      </c>
      <c r="E43" s="4">
        <v>-66.08</v>
      </c>
      <c r="F43" s="4">
        <v>0</v>
      </c>
      <c r="G43" s="3" t="s">
        <v>1894</v>
      </c>
      <c r="H43" s="3" t="s">
        <v>1836</v>
      </c>
      <c r="I43" s="4">
        <v>-66.08</v>
      </c>
      <c r="J43" s="4">
        <v>0</v>
      </c>
      <c r="K43" s="3" t="s">
        <v>1834</v>
      </c>
      <c r="L43" s="3"/>
      <c r="M43" s="6" t="s">
        <v>448</v>
      </c>
      <c r="N43" s="3" t="s">
        <v>2153</v>
      </c>
      <c r="O43" s="3">
        <v>20</v>
      </c>
    </row>
    <row r="44" spans="1:15">
      <c r="A44" s="2">
        <v>46190</v>
      </c>
      <c r="B44" s="3" t="s">
        <v>1884</v>
      </c>
      <c r="C44" s="2">
        <v>46190</v>
      </c>
      <c r="D44" s="3" t="s">
        <v>1824</v>
      </c>
      <c r="E44" s="4">
        <v>-82.6</v>
      </c>
      <c r="F44" s="4">
        <v>0</v>
      </c>
      <c r="G44" s="3" t="s">
        <v>1895</v>
      </c>
      <c r="H44" s="3" t="s">
        <v>1836</v>
      </c>
      <c r="I44" s="4">
        <v>-82.6</v>
      </c>
      <c r="J44" s="4">
        <v>0</v>
      </c>
      <c r="K44" s="3" t="s">
        <v>1834</v>
      </c>
      <c r="L44" s="3"/>
      <c r="M44" s="6" t="s">
        <v>448</v>
      </c>
      <c r="N44" s="3" t="s">
        <v>2153</v>
      </c>
      <c r="O44" s="3">
        <v>21</v>
      </c>
    </row>
    <row r="45" spans="1:15">
      <c r="A45" s="2">
        <v>46190</v>
      </c>
      <c r="B45" s="3" t="s">
        <v>1884</v>
      </c>
      <c r="C45" s="2">
        <v>46190</v>
      </c>
      <c r="D45" s="3" t="s">
        <v>1824</v>
      </c>
      <c r="E45" s="4">
        <v>3822.9</v>
      </c>
      <c r="F45" s="4">
        <v>78.02</v>
      </c>
      <c r="G45" s="3" t="s">
        <v>450</v>
      </c>
      <c r="H45" s="3" t="s">
        <v>1833</v>
      </c>
      <c r="I45" s="4">
        <v>3900.92</v>
      </c>
      <c r="J45" s="4">
        <v>0</v>
      </c>
      <c r="K45" s="3" t="s">
        <v>1834</v>
      </c>
      <c r="L45" s="3"/>
      <c r="M45" s="6" t="s">
        <v>450</v>
      </c>
      <c r="N45" s="3" t="s">
        <v>2153</v>
      </c>
      <c r="O45" s="3">
        <v>22</v>
      </c>
    </row>
    <row r="46" spans="1:15">
      <c r="A46" s="2">
        <v>46190</v>
      </c>
      <c r="B46" s="3" t="s">
        <v>1884</v>
      </c>
      <c r="C46" s="2">
        <v>46190</v>
      </c>
      <c r="D46" s="3" t="s">
        <v>1824</v>
      </c>
      <c r="E46" s="4">
        <v>3849.85</v>
      </c>
      <c r="F46" s="4">
        <v>78.57</v>
      </c>
      <c r="G46" s="3" t="s">
        <v>443</v>
      </c>
      <c r="H46" s="3" t="s">
        <v>1833</v>
      </c>
      <c r="I46" s="4">
        <v>3928.42</v>
      </c>
      <c r="J46" s="4">
        <v>0</v>
      </c>
      <c r="K46" s="3" t="s">
        <v>1834</v>
      </c>
      <c r="L46" s="3"/>
      <c r="M46" s="6" t="s">
        <v>443</v>
      </c>
      <c r="N46" s="3" t="s">
        <v>2153</v>
      </c>
      <c r="O46" s="3">
        <v>23</v>
      </c>
    </row>
    <row r="47" spans="1:15">
      <c r="A47" s="2">
        <v>46195</v>
      </c>
      <c r="B47" s="3" t="s">
        <v>1897</v>
      </c>
      <c r="C47" s="2">
        <v>46195</v>
      </c>
      <c r="D47" s="3" t="s">
        <v>1824</v>
      </c>
      <c r="E47" s="4">
        <v>7247.25</v>
      </c>
      <c r="F47" s="4">
        <v>147.9</v>
      </c>
      <c r="G47" s="3" t="s">
        <v>452</v>
      </c>
      <c r="H47" s="3" t="s">
        <v>1833</v>
      </c>
      <c r="I47" s="4">
        <v>7395.15</v>
      </c>
      <c r="J47" s="4">
        <v>0</v>
      </c>
      <c r="K47" s="3" t="s">
        <v>1834</v>
      </c>
      <c r="L47" s="3"/>
      <c r="M47" s="6" t="s">
        <v>452</v>
      </c>
      <c r="N47" s="3" t="s">
        <v>2154</v>
      </c>
      <c r="O47" s="3">
        <v>9</v>
      </c>
    </row>
    <row r="48" spans="1:15">
      <c r="A48" s="2">
        <v>46195</v>
      </c>
      <c r="B48" s="3" t="s">
        <v>1897</v>
      </c>
      <c r="C48" s="2">
        <v>46195</v>
      </c>
      <c r="D48" s="3" t="s">
        <v>1824</v>
      </c>
      <c r="E48" s="4">
        <v>-184.88</v>
      </c>
      <c r="F48" s="4">
        <v>0</v>
      </c>
      <c r="G48" s="3" t="s">
        <v>1899</v>
      </c>
      <c r="H48" s="3" t="s">
        <v>1836</v>
      </c>
      <c r="I48" s="4">
        <v>-184.88</v>
      </c>
      <c r="J48" s="4">
        <v>0</v>
      </c>
      <c r="K48" s="3" t="s">
        <v>1834</v>
      </c>
      <c r="L48" s="3"/>
      <c r="M48" s="6" t="s">
        <v>452</v>
      </c>
      <c r="N48" s="3" t="s">
        <v>2154</v>
      </c>
      <c r="O48" s="3">
        <v>10</v>
      </c>
    </row>
    <row r="49" spans="1:15">
      <c r="A49" s="2">
        <v>46195</v>
      </c>
      <c r="B49" s="3" t="s">
        <v>1897</v>
      </c>
      <c r="C49" s="2">
        <v>46195</v>
      </c>
      <c r="D49" s="3" t="s">
        <v>1824</v>
      </c>
      <c r="E49" s="4">
        <v>-147.9</v>
      </c>
      <c r="F49" s="4">
        <v>0</v>
      </c>
      <c r="G49" s="3" t="s">
        <v>1900</v>
      </c>
      <c r="H49" s="3" t="s">
        <v>1836</v>
      </c>
      <c r="I49" s="4">
        <v>-147.9</v>
      </c>
      <c r="J49" s="4">
        <v>0</v>
      </c>
      <c r="K49" s="3" t="s">
        <v>1834</v>
      </c>
      <c r="L49" s="3"/>
      <c r="M49" s="6" t="s">
        <v>452</v>
      </c>
      <c r="N49" s="3" t="s">
        <v>2154</v>
      </c>
      <c r="O49" s="3">
        <v>11</v>
      </c>
    </row>
    <row r="50" spans="1:15">
      <c r="A50" s="2">
        <v>46204</v>
      </c>
      <c r="B50" s="3" t="s">
        <v>1902</v>
      </c>
      <c r="C50" s="2">
        <v>46204</v>
      </c>
      <c r="D50" s="3" t="s">
        <v>1824</v>
      </c>
      <c r="E50" s="4">
        <v>-645.35</v>
      </c>
      <c r="F50" s="4">
        <v>0</v>
      </c>
      <c r="G50" s="3" t="s">
        <v>1904</v>
      </c>
      <c r="H50" s="3" t="s">
        <v>1836</v>
      </c>
      <c r="I50" s="4">
        <v>-645.35</v>
      </c>
      <c r="J50" s="4">
        <v>0</v>
      </c>
      <c r="K50" s="3" t="s">
        <v>1834</v>
      </c>
      <c r="L50" s="3"/>
      <c r="M50" s="6" t="s">
        <v>440</v>
      </c>
      <c r="N50" s="3" t="s">
        <v>2155</v>
      </c>
      <c r="O50" s="3">
        <v>9</v>
      </c>
    </row>
    <row r="51" spans="1:15">
      <c r="A51" s="2">
        <v>46204</v>
      </c>
      <c r="B51" s="3" t="s">
        <v>1902</v>
      </c>
      <c r="C51" s="2">
        <v>46204</v>
      </c>
      <c r="D51" s="3" t="s">
        <v>1824</v>
      </c>
      <c r="E51" s="4">
        <v>-159.42</v>
      </c>
      <c r="F51" s="4">
        <v>0</v>
      </c>
      <c r="G51" s="3" t="s">
        <v>1905</v>
      </c>
      <c r="H51" s="3" t="s">
        <v>1836</v>
      </c>
      <c r="I51" s="4">
        <v>-159.42</v>
      </c>
      <c r="J51" s="4">
        <v>0</v>
      </c>
      <c r="K51" s="3" t="s">
        <v>1834</v>
      </c>
      <c r="L51" s="3"/>
      <c r="M51" s="6" t="s">
        <v>451</v>
      </c>
      <c r="N51" s="3" t="s">
        <v>2155</v>
      </c>
      <c r="O51" s="3">
        <v>10</v>
      </c>
    </row>
    <row r="52" spans="1:15">
      <c r="A52" s="2">
        <v>46204</v>
      </c>
      <c r="B52" s="3" t="s">
        <v>1902</v>
      </c>
      <c r="C52" s="2">
        <v>46204</v>
      </c>
      <c r="D52" s="3" t="s">
        <v>1824</v>
      </c>
      <c r="E52" s="4">
        <v>-127.54</v>
      </c>
      <c r="F52" s="4">
        <v>0</v>
      </c>
      <c r="G52" s="3" t="s">
        <v>1906</v>
      </c>
      <c r="H52" s="3" t="s">
        <v>1836</v>
      </c>
      <c r="I52" s="4">
        <v>-127.54</v>
      </c>
      <c r="J52" s="4">
        <v>0</v>
      </c>
      <c r="K52" s="3" t="s">
        <v>1834</v>
      </c>
      <c r="L52" s="3"/>
      <c r="M52" s="6" t="s">
        <v>451</v>
      </c>
      <c r="N52" s="3" t="s">
        <v>2155</v>
      </c>
      <c r="O52" s="3">
        <v>11</v>
      </c>
    </row>
    <row r="53" spans="1:15">
      <c r="A53" s="2">
        <v>46204</v>
      </c>
      <c r="B53" s="3" t="s">
        <v>1902</v>
      </c>
      <c r="C53" s="2">
        <v>46204</v>
      </c>
      <c r="D53" s="3" t="s">
        <v>1824</v>
      </c>
      <c r="E53" s="4">
        <v>6249.41</v>
      </c>
      <c r="F53" s="4">
        <v>127.54</v>
      </c>
      <c r="G53" s="3" t="s">
        <v>451</v>
      </c>
      <c r="H53" s="3" t="s">
        <v>1833</v>
      </c>
      <c r="I53" s="4">
        <v>6376.95</v>
      </c>
      <c r="J53" s="4">
        <v>0</v>
      </c>
      <c r="K53" s="3" t="s">
        <v>1834</v>
      </c>
      <c r="L53" s="3"/>
      <c r="M53" s="6" t="s">
        <v>451</v>
      </c>
      <c r="N53" s="3" t="s">
        <v>2155</v>
      </c>
      <c r="O53" s="3">
        <v>12</v>
      </c>
    </row>
    <row r="54" spans="1:15">
      <c r="A54" s="2">
        <v>46209</v>
      </c>
      <c r="B54" s="3" t="s">
        <v>1908</v>
      </c>
      <c r="C54" s="2">
        <v>46209</v>
      </c>
      <c r="D54" s="3" t="s">
        <v>1824</v>
      </c>
      <c r="E54" s="4">
        <v>5850.93</v>
      </c>
      <c r="F54" s="4">
        <v>119.41</v>
      </c>
      <c r="G54" s="3" t="s">
        <v>449</v>
      </c>
      <c r="H54" s="3" t="s">
        <v>1833</v>
      </c>
      <c r="I54" s="4">
        <v>5970.34</v>
      </c>
      <c r="J54" s="4">
        <v>0</v>
      </c>
      <c r="K54" s="3" t="s">
        <v>1834</v>
      </c>
      <c r="L54" s="3"/>
      <c r="M54" s="6" t="s">
        <v>449</v>
      </c>
      <c r="N54" s="3" t="s">
        <v>2156</v>
      </c>
      <c r="O54" s="3">
        <v>9</v>
      </c>
    </row>
    <row r="55" spans="1:15">
      <c r="A55" s="2">
        <v>46209</v>
      </c>
      <c r="B55" s="3" t="s">
        <v>1908</v>
      </c>
      <c r="C55" s="2">
        <v>46209</v>
      </c>
      <c r="D55" s="3" t="s">
        <v>1824</v>
      </c>
      <c r="E55" s="4">
        <v>-143.41</v>
      </c>
      <c r="F55" s="4">
        <v>0</v>
      </c>
      <c r="G55" s="3" t="s">
        <v>1910</v>
      </c>
      <c r="H55" s="3" t="s">
        <v>1836</v>
      </c>
      <c r="I55" s="4">
        <v>-143.41</v>
      </c>
      <c r="J55" s="4">
        <v>0</v>
      </c>
      <c r="K55" s="3" t="s">
        <v>1834</v>
      </c>
      <c r="L55" s="3"/>
      <c r="M55" s="6" t="s">
        <v>444</v>
      </c>
      <c r="N55" s="3" t="s">
        <v>2156</v>
      </c>
      <c r="O55" s="3">
        <v>10</v>
      </c>
    </row>
    <row r="56" spans="1:15">
      <c r="A56" s="2">
        <v>46209</v>
      </c>
      <c r="B56" s="3" t="s">
        <v>1908</v>
      </c>
      <c r="C56" s="2">
        <v>46209</v>
      </c>
      <c r="D56" s="3" t="s">
        <v>1824</v>
      </c>
      <c r="E56" s="4">
        <v>7027.16</v>
      </c>
      <c r="F56" s="4">
        <v>143.41</v>
      </c>
      <c r="G56" s="3" t="s">
        <v>444</v>
      </c>
      <c r="H56" s="3" t="s">
        <v>1833</v>
      </c>
      <c r="I56" s="4">
        <v>7170.57</v>
      </c>
      <c r="J56" s="4">
        <v>0</v>
      </c>
      <c r="K56" s="3" t="s">
        <v>1834</v>
      </c>
      <c r="L56" s="3"/>
      <c r="M56" s="6" t="s">
        <v>444</v>
      </c>
      <c r="N56" s="3" t="s">
        <v>2156</v>
      </c>
      <c r="O56" s="3">
        <v>11</v>
      </c>
    </row>
    <row r="57" spans="1:15">
      <c r="A57" s="2">
        <v>46209</v>
      </c>
      <c r="B57" s="3" t="s">
        <v>1908</v>
      </c>
      <c r="C57" s="2">
        <v>46209</v>
      </c>
      <c r="D57" s="3" t="s">
        <v>1824</v>
      </c>
      <c r="E57" s="4">
        <v>-119.41</v>
      </c>
      <c r="F57" s="4">
        <v>0</v>
      </c>
      <c r="G57" s="3" t="s">
        <v>1911</v>
      </c>
      <c r="H57" s="3" t="s">
        <v>1836</v>
      </c>
      <c r="I57" s="4">
        <v>-119.41</v>
      </c>
      <c r="J57" s="4">
        <v>0</v>
      </c>
      <c r="K57" s="3" t="s">
        <v>1834</v>
      </c>
      <c r="L57" s="3"/>
      <c r="M57" s="6" t="s">
        <v>449</v>
      </c>
      <c r="N57" s="3" t="s">
        <v>2156</v>
      </c>
      <c r="O57" s="3">
        <v>12</v>
      </c>
    </row>
    <row r="58" spans="1:15">
      <c r="A58" s="2">
        <v>46209</v>
      </c>
      <c r="B58" s="3" t="s">
        <v>1908</v>
      </c>
      <c r="C58" s="2">
        <v>46209</v>
      </c>
      <c r="D58" s="3" t="s">
        <v>1824</v>
      </c>
      <c r="E58" s="4">
        <v>-149.26</v>
      </c>
      <c r="F58" s="4">
        <v>0</v>
      </c>
      <c r="G58" s="3" t="s">
        <v>1912</v>
      </c>
      <c r="H58" s="3" t="s">
        <v>1836</v>
      </c>
      <c r="I58" s="4">
        <v>-149.26</v>
      </c>
      <c r="J58" s="4">
        <v>0</v>
      </c>
      <c r="K58" s="3" t="s">
        <v>1834</v>
      </c>
      <c r="L58" s="3"/>
      <c r="M58" s="6" t="s">
        <v>449</v>
      </c>
      <c r="N58" s="3" t="s">
        <v>2156</v>
      </c>
      <c r="O58" s="3">
        <v>13</v>
      </c>
    </row>
    <row r="59" spans="1:15">
      <c r="A59" s="2">
        <v>46209</v>
      </c>
      <c r="B59" s="3" t="s">
        <v>1908</v>
      </c>
      <c r="C59" s="2">
        <v>46209</v>
      </c>
      <c r="D59" s="3" t="s">
        <v>1824</v>
      </c>
      <c r="E59" s="4">
        <v>-179.26</v>
      </c>
      <c r="F59" s="4">
        <v>0</v>
      </c>
      <c r="G59" s="3" t="s">
        <v>1913</v>
      </c>
      <c r="H59" s="3" t="s">
        <v>1836</v>
      </c>
      <c r="I59" s="4">
        <v>-179.26</v>
      </c>
      <c r="J59" s="4">
        <v>0</v>
      </c>
      <c r="K59" s="3" t="s">
        <v>1834</v>
      </c>
      <c r="L59" s="3"/>
      <c r="M59" s="6" t="s">
        <v>444</v>
      </c>
      <c r="N59" s="3" t="s">
        <v>2156</v>
      </c>
      <c r="O59" s="3">
        <v>14</v>
      </c>
    </row>
    <row r="60" spans="1:15">
      <c r="A60" s="2">
        <v>46210</v>
      </c>
      <c r="B60" s="3" t="s">
        <v>1915</v>
      </c>
      <c r="C60" s="2">
        <v>46210</v>
      </c>
      <c r="D60" s="3" t="s">
        <v>1824</v>
      </c>
      <c r="E60" s="4">
        <v>2838.51</v>
      </c>
      <c r="F60" s="4">
        <v>57.93</v>
      </c>
      <c r="G60" s="3" t="s">
        <v>447</v>
      </c>
      <c r="H60" s="3" t="s">
        <v>1833</v>
      </c>
      <c r="I60" s="4">
        <v>2896.44</v>
      </c>
      <c r="J60" s="4">
        <v>0</v>
      </c>
      <c r="K60" s="3" t="s">
        <v>1834</v>
      </c>
      <c r="L60" s="3"/>
      <c r="M60" s="6" t="s">
        <v>2157</v>
      </c>
      <c r="N60" s="3" t="s">
        <v>2158</v>
      </c>
      <c r="O60" s="3">
        <v>9</v>
      </c>
    </row>
    <row r="61" spans="1:15">
      <c r="A61" s="2">
        <v>46210</v>
      </c>
      <c r="B61" s="3" t="s">
        <v>1915</v>
      </c>
      <c r="C61" s="2">
        <v>46210</v>
      </c>
      <c r="D61" s="3" t="s">
        <v>1824</v>
      </c>
      <c r="E61" s="4">
        <v>10356.71</v>
      </c>
      <c r="F61" s="4">
        <v>211.36</v>
      </c>
      <c r="G61" s="3" t="s">
        <v>453</v>
      </c>
      <c r="H61" s="3" t="s">
        <v>1833</v>
      </c>
      <c r="I61" s="4">
        <v>10568.07</v>
      </c>
      <c r="J61" s="4">
        <v>0</v>
      </c>
      <c r="K61" s="3" t="s">
        <v>1834</v>
      </c>
      <c r="L61" s="3"/>
      <c r="M61" s="6" t="s">
        <v>453</v>
      </c>
      <c r="N61" s="3" t="s">
        <v>2158</v>
      </c>
      <c r="O61" s="3">
        <v>10</v>
      </c>
    </row>
    <row r="62" spans="1:15">
      <c r="A62" s="2">
        <v>46210</v>
      </c>
      <c r="B62" s="3" t="s">
        <v>1915</v>
      </c>
      <c r="C62" s="2">
        <v>46210</v>
      </c>
      <c r="D62" s="3" t="s">
        <v>1824</v>
      </c>
      <c r="E62" s="4">
        <v>-264.2</v>
      </c>
      <c r="F62" s="4">
        <v>0</v>
      </c>
      <c r="G62" s="3" t="s">
        <v>1917</v>
      </c>
      <c r="H62" s="3" t="s">
        <v>1836</v>
      </c>
      <c r="I62" s="4">
        <v>-264.2</v>
      </c>
      <c r="J62" s="4">
        <v>0</v>
      </c>
      <c r="K62" s="3" t="s">
        <v>1834</v>
      </c>
      <c r="L62" s="3"/>
      <c r="M62" s="6" t="s">
        <v>453</v>
      </c>
      <c r="N62" s="3" t="s">
        <v>2158</v>
      </c>
      <c r="O62" s="3">
        <v>11</v>
      </c>
    </row>
    <row r="63" spans="1:15">
      <c r="A63" s="2">
        <v>46210</v>
      </c>
      <c r="B63" s="3" t="s">
        <v>1915</v>
      </c>
      <c r="C63" s="2">
        <v>46210</v>
      </c>
      <c r="D63" s="3" t="s">
        <v>1824</v>
      </c>
      <c r="E63" s="4">
        <v>-72.41</v>
      </c>
      <c r="F63" s="4">
        <v>0</v>
      </c>
      <c r="G63" s="3" t="s">
        <v>1918</v>
      </c>
      <c r="H63" s="3" t="s">
        <v>1836</v>
      </c>
      <c r="I63" s="4">
        <v>-72.41</v>
      </c>
      <c r="J63" s="4">
        <v>0</v>
      </c>
      <c r="K63" s="3" t="s">
        <v>1834</v>
      </c>
      <c r="L63" s="3"/>
      <c r="M63" s="6" t="s">
        <v>2157</v>
      </c>
      <c r="N63" s="3" t="s">
        <v>2158</v>
      </c>
      <c r="O63" s="3">
        <v>12</v>
      </c>
    </row>
    <row r="64" spans="1:15">
      <c r="A64" s="2">
        <v>46210</v>
      </c>
      <c r="B64" s="3" t="s">
        <v>1915</v>
      </c>
      <c r="C64" s="2">
        <v>46210</v>
      </c>
      <c r="D64" s="3" t="s">
        <v>1824</v>
      </c>
      <c r="E64" s="4">
        <v>-211.36</v>
      </c>
      <c r="F64" s="4">
        <v>0</v>
      </c>
      <c r="G64" s="3" t="s">
        <v>1919</v>
      </c>
      <c r="H64" s="3" t="s">
        <v>1836</v>
      </c>
      <c r="I64" s="4">
        <v>-211.36</v>
      </c>
      <c r="J64" s="4">
        <v>0</v>
      </c>
      <c r="K64" s="3" t="s">
        <v>1834</v>
      </c>
      <c r="L64" s="3"/>
      <c r="M64" s="6" t="s">
        <v>453</v>
      </c>
      <c r="N64" s="3" t="s">
        <v>2158</v>
      </c>
      <c r="O64" s="3">
        <v>13</v>
      </c>
    </row>
    <row r="65" spans="1:15">
      <c r="A65" s="2">
        <v>46210</v>
      </c>
      <c r="B65" s="3" t="s">
        <v>1915</v>
      </c>
      <c r="C65" s="2">
        <v>46210</v>
      </c>
      <c r="D65" s="3" t="s">
        <v>1824</v>
      </c>
      <c r="E65" s="4">
        <v>-57.93</v>
      </c>
      <c r="F65" s="4">
        <v>0</v>
      </c>
      <c r="G65" s="3" t="s">
        <v>1920</v>
      </c>
      <c r="H65" s="3" t="s">
        <v>1836</v>
      </c>
      <c r="I65" s="4">
        <v>-57.93</v>
      </c>
      <c r="J65" s="4">
        <v>0</v>
      </c>
      <c r="K65" s="3" t="s">
        <v>1834</v>
      </c>
      <c r="L65" s="3"/>
      <c r="M65" s="6" t="s">
        <v>2157</v>
      </c>
      <c r="N65" s="3" t="s">
        <v>2158</v>
      </c>
      <c r="O65" s="3">
        <v>14</v>
      </c>
    </row>
    <row r="66" spans="1:15">
      <c r="A66" s="2">
        <v>46213</v>
      </c>
      <c r="B66" s="3" t="s">
        <v>1922</v>
      </c>
      <c r="C66" s="2">
        <v>46213</v>
      </c>
      <c r="D66" s="3" t="s">
        <v>1860</v>
      </c>
      <c r="E66" s="4">
        <v>1480.66</v>
      </c>
      <c r="F66" s="4">
        <v>30.22</v>
      </c>
      <c r="G66" s="3" t="s">
        <v>460</v>
      </c>
      <c r="H66" s="3" t="s">
        <v>1833</v>
      </c>
      <c r="I66" s="4">
        <v>3001.66</v>
      </c>
      <c r="J66" s="4">
        <v>1490.78</v>
      </c>
      <c r="K66" s="3" t="s">
        <v>1834</v>
      </c>
      <c r="L66" s="3" t="s">
        <v>1924</v>
      </c>
      <c r="M66" s="6" t="s">
        <v>460</v>
      </c>
      <c r="N66" s="3" t="s">
        <v>2159</v>
      </c>
      <c r="O66" s="3">
        <v>9</v>
      </c>
    </row>
    <row r="67" spans="1:15">
      <c r="A67" s="2">
        <v>46216</v>
      </c>
      <c r="B67" s="3" t="s">
        <v>1930</v>
      </c>
      <c r="C67" s="2">
        <v>46216</v>
      </c>
      <c r="D67" s="3" t="s">
        <v>1824</v>
      </c>
      <c r="E67" s="4">
        <v>10767.71</v>
      </c>
      <c r="F67" s="4">
        <v>219.75</v>
      </c>
      <c r="G67" s="3" t="s">
        <v>441</v>
      </c>
      <c r="H67" s="3" t="s">
        <v>1833</v>
      </c>
      <c r="I67" s="4">
        <v>10987.46</v>
      </c>
      <c r="J67" s="4">
        <v>0</v>
      </c>
      <c r="K67" s="3" t="s">
        <v>1834</v>
      </c>
      <c r="L67" s="3"/>
      <c r="M67" s="6" t="s">
        <v>2160</v>
      </c>
      <c r="N67" s="3" t="s">
        <v>2161</v>
      </c>
      <c r="O67" s="3">
        <v>9</v>
      </c>
    </row>
    <row r="68" spans="1:15">
      <c r="A68" s="2">
        <v>46216</v>
      </c>
      <c r="B68" s="3" t="s">
        <v>1930</v>
      </c>
      <c r="C68" s="2">
        <v>46216</v>
      </c>
      <c r="D68" s="3" t="s">
        <v>1824</v>
      </c>
      <c r="E68" s="4">
        <v>-274.69</v>
      </c>
      <c r="F68" s="4">
        <v>0</v>
      </c>
      <c r="G68" s="3" t="s">
        <v>1932</v>
      </c>
      <c r="H68" s="3" t="s">
        <v>1836</v>
      </c>
      <c r="I68" s="4">
        <v>-274.69</v>
      </c>
      <c r="J68" s="4">
        <v>0</v>
      </c>
      <c r="K68" s="3" t="s">
        <v>1834</v>
      </c>
      <c r="L68" s="3"/>
      <c r="M68" s="6" t="s">
        <v>2160</v>
      </c>
      <c r="N68" s="3" t="s">
        <v>2161</v>
      </c>
      <c r="O68" s="3">
        <v>10</v>
      </c>
    </row>
    <row r="69" spans="1:15">
      <c r="A69" s="2">
        <v>46216</v>
      </c>
      <c r="B69" s="3" t="s">
        <v>1930</v>
      </c>
      <c r="C69" s="2">
        <v>46216</v>
      </c>
      <c r="D69" s="3" t="s">
        <v>1824</v>
      </c>
      <c r="E69" s="4">
        <v>-219.75</v>
      </c>
      <c r="F69" s="4">
        <v>0</v>
      </c>
      <c r="G69" s="3" t="s">
        <v>1933</v>
      </c>
      <c r="H69" s="3" t="s">
        <v>1836</v>
      </c>
      <c r="I69" s="4">
        <v>-219.75</v>
      </c>
      <c r="J69" s="4">
        <v>0</v>
      </c>
      <c r="K69" s="3" t="s">
        <v>1834</v>
      </c>
      <c r="L69" s="3"/>
      <c r="M69" s="6" t="s">
        <v>2160</v>
      </c>
      <c r="N69" s="3" t="s">
        <v>2161</v>
      </c>
      <c r="O69" s="3">
        <v>11</v>
      </c>
    </row>
    <row r="70" spans="1:15">
      <c r="A70" s="2">
        <v>46225</v>
      </c>
      <c r="B70" s="3" t="s">
        <v>1935</v>
      </c>
      <c r="C70" s="2">
        <v>46225</v>
      </c>
      <c r="D70" s="3" t="s">
        <v>1824</v>
      </c>
      <c r="E70" s="4">
        <v>1460.97</v>
      </c>
      <c r="F70" s="4">
        <v>29.81</v>
      </c>
      <c r="G70" s="3" t="s">
        <v>460</v>
      </c>
      <c r="H70" s="3" t="s">
        <v>1833</v>
      </c>
      <c r="I70" s="4">
        <v>3001.66</v>
      </c>
      <c r="J70" s="4">
        <v>0</v>
      </c>
      <c r="K70" s="3" t="s">
        <v>1834</v>
      </c>
      <c r="L70" s="3"/>
      <c r="M70" s="6" t="s">
        <v>460</v>
      </c>
      <c r="N70" s="3" t="s">
        <v>2162</v>
      </c>
      <c r="O70" s="3">
        <v>9</v>
      </c>
    </row>
    <row r="71" spans="1:15">
      <c r="A71" s="2">
        <v>46225</v>
      </c>
      <c r="B71" s="3" t="s">
        <v>1935</v>
      </c>
      <c r="C71" s="2">
        <v>46225</v>
      </c>
      <c r="D71" s="3" t="s">
        <v>1824</v>
      </c>
      <c r="E71" s="4">
        <v>-75.04</v>
      </c>
      <c r="F71" s="4">
        <v>0</v>
      </c>
      <c r="G71" s="3" t="s">
        <v>1937</v>
      </c>
      <c r="H71" s="3" t="s">
        <v>1836</v>
      </c>
      <c r="I71" s="4">
        <v>-75.04</v>
      </c>
      <c r="J71" s="4">
        <v>0</v>
      </c>
      <c r="K71" s="3" t="s">
        <v>1834</v>
      </c>
      <c r="L71" s="3"/>
      <c r="M71" s="6" t="s">
        <v>460</v>
      </c>
      <c r="N71" s="3" t="s">
        <v>2162</v>
      </c>
      <c r="O71" s="3">
        <v>10</v>
      </c>
    </row>
    <row r="72" spans="1:15">
      <c r="A72" s="2">
        <v>46225</v>
      </c>
      <c r="B72" s="3" t="s">
        <v>1935</v>
      </c>
      <c r="C72" s="2">
        <v>46225</v>
      </c>
      <c r="D72" s="3" t="s">
        <v>1824</v>
      </c>
      <c r="E72" s="4">
        <v>-60.03</v>
      </c>
      <c r="F72" s="4">
        <v>0</v>
      </c>
      <c r="G72" s="3" t="s">
        <v>1938</v>
      </c>
      <c r="H72" s="3" t="s">
        <v>1836</v>
      </c>
      <c r="I72" s="4">
        <v>-60.03</v>
      </c>
      <c r="J72" s="4">
        <v>0</v>
      </c>
      <c r="K72" s="3" t="s">
        <v>1834</v>
      </c>
      <c r="L72" s="3"/>
      <c r="M72" s="6" t="s">
        <v>460</v>
      </c>
      <c r="N72" s="3" t="s">
        <v>2162</v>
      </c>
      <c r="O72" s="3">
        <v>11</v>
      </c>
    </row>
    <row r="73" spans="1:15">
      <c r="A73" s="2">
        <v>46227</v>
      </c>
      <c r="B73" s="3" t="s">
        <v>1940</v>
      </c>
      <c r="C73" s="2">
        <v>46227</v>
      </c>
      <c r="D73" s="3" t="s">
        <v>1860</v>
      </c>
      <c r="E73" s="4">
        <v>2000</v>
      </c>
      <c r="F73" s="4">
        <v>40.82</v>
      </c>
      <c r="G73" s="3" t="s">
        <v>462</v>
      </c>
      <c r="H73" s="3" t="s">
        <v>1833</v>
      </c>
      <c r="I73" s="4">
        <v>3022</v>
      </c>
      <c r="J73" s="4">
        <v>981.18</v>
      </c>
      <c r="K73" s="3" t="s">
        <v>1834</v>
      </c>
      <c r="L73" s="3" t="s">
        <v>1942</v>
      </c>
      <c r="M73" s="6" t="s">
        <v>462</v>
      </c>
      <c r="N73" s="3" t="s">
        <v>2163</v>
      </c>
      <c r="O73" s="3">
        <v>9</v>
      </c>
    </row>
    <row r="74" spans="1:15">
      <c r="A74" s="2">
        <v>46237</v>
      </c>
      <c r="B74" s="3" t="s">
        <v>1948</v>
      </c>
      <c r="C74" s="2">
        <v>46237</v>
      </c>
      <c r="D74" s="3" t="s">
        <v>1824</v>
      </c>
      <c r="E74" s="4">
        <v>961.56</v>
      </c>
      <c r="F74" s="4">
        <v>19.62</v>
      </c>
      <c r="G74" s="3" t="s">
        <v>462</v>
      </c>
      <c r="H74" s="3" t="s">
        <v>1833</v>
      </c>
      <c r="I74" s="4">
        <v>3022</v>
      </c>
      <c r="J74" s="4">
        <v>0</v>
      </c>
      <c r="K74" s="3" t="s">
        <v>1834</v>
      </c>
      <c r="L74" s="3"/>
      <c r="M74" s="6" t="s">
        <v>462</v>
      </c>
      <c r="N74" s="3" t="s">
        <v>2164</v>
      </c>
      <c r="O74" s="3">
        <v>9</v>
      </c>
    </row>
    <row r="75" spans="1:15">
      <c r="A75" s="2">
        <v>46237</v>
      </c>
      <c r="B75" s="3" t="s">
        <v>1948</v>
      </c>
      <c r="C75" s="2">
        <v>46237</v>
      </c>
      <c r="D75" s="3" t="s">
        <v>1824</v>
      </c>
      <c r="E75" s="4">
        <v>-75.55</v>
      </c>
      <c r="F75" s="4">
        <v>0</v>
      </c>
      <c r="G75" s="3" t="s">
        <v>1950</v>
      </c>
      <c r="H75" s="3" t="s">
        <v>1836</v>
      </c>
      <c r="I75" s="4">
        <v>-75.55</v>
      </c>
      <c r="J75" s="4">
        <v>0</v>
      </c>
      <c r="K75" s="3" t="s">
        <v>1834</v>
      </c>
      <c r="L75" s="3"/>
      <c r="M75" s="6" t="s">
        <v>462</v>
      </c>
      <c r="N75" s="3" t="s">
        <v>2164</v>
      </c>
      <c r="O75" s="3">
        <v>10</v>
      </c>
    </row>
    <row r="76" spans="1:15">
      <c r="A76" s="2">
        <v>46237</v>
      </c>
      <c r="B76" s="3" t="s">
        <v>1948</v>
      </c>
      <c r="C76" s="2">
        <v>46237</v>
      </c>
      <c r="D76" s="3" t="s">
        <v>1824</v>
      </c>
      <c r="E76" s="4">
        <v>-60.44</v>
      </c>
      <c r="F76" s="4">
        <v>0</v>
      </c>
      <c r="G76" s="3" t="s">
        <v>1951</v>
      </c>
      <c r="H76" s="3" t="s">
        <v>1836</v>
      </c>
      <c r="I76" s="4">
        <v>-60.44</v>
      </c>
      <c r="J76" s="4">
        <v>0</v>
      </c>
      <c r="K76" s="3" t="s">
        <v>1834</v>
      </c>
      <c r="L76" s="3"/>
      <c r="M76" s="6" t="s">
        <v>462</v>
      </c>
      <c r="N76" s="3" t="s">
        <v>2164</v>
      </c>
      <c r="O76" s="3">
        <v>11</v>
      </c>
    </row>
    <row r="77" spans="1:15">
      <c r="A77" s="2">
        <v>46238</v>
      </c>
      <c r="B77" s="3" t="s">
        <v>1953</v>
      </c>
      <c r="C77" s="2">
        <v>46238</v>
      </c>
      <c r="D77" s="3" t="s">
        <v>1860</v>
      </c>
      <c r="E77" s="4">
        <v>969.25</v>
      </c>
      <c r="F77" s="4">
        <v>19.78</v>
      </c>
      <c r="G77" s="3" t="s">
        <v>464</v>
      </c>
      <c r="H77" s="3" t="s">
        <v>1833</v>
      </c>
      <c r="I77" s="4">
        <v>3722.13</v>
      </c>
      <c r="J77" s="4">
        <v>2733.1</v>
      </c>
      <c r="K77" s="3" t="s">
        <v>1834</v>
      </c>
      <c r="L77" s="3" t="s">
        <v>1955</v>
      </c>
      <c r="M77" s="6" t="s">
        <v>464</v>
      </c>
      <c r="N77" s="3" t="s">
        <v>2165</v>
      </c>
      <c r="O77" s="3">
        <v>9</v>
      </c>
    </row>
    <row r="78" spans="1:15">
      <c r="A78" s="2">
        <v>46239</v>
      </c>
      <c r="B78" s="3" t="s">
        <v>1963</v>
      </c>
      <c r="C78" s="2">
        <v>46239</v>
      </c>
      <c r="D78" s="3" t="s">
        <v>1824</v>
      </c>
      <c r="E78" s="4">
        <v>3133.31</v>
      </c>
      <c r="F78" s="4">
        <v>63.95</v>
      </c>
      <c r="G78" s="3" t="s">
        <v>461</v>
      </c>
      <c r="H78" s="3" t="s">
        <v>1833</v>
      </c>
      <c r="I78" s="4">
        <v>3197.26</v>
      </c>
      <c r="J78" s="4">
        <v>0</v>
      </c>
      <c r="K78" s="3" t="s">
        <v>1834</v>
      </c>
      <c r="L78" s="3"/>
      <c r="M78" s="6" t="s">
        <v>461</v>
      </c>
      <c r="N78" s="3" t="s">
        <v>2166</v>
      </c>
      <c r="O78" s="3">
        <v>9</v>
      </c>
    </row>
    <row r="79" spans="1:15">
      <c r="A79" s="2">
        <v>46239</v>
      </c>
      <c r="B79" s="3" t="s">
        <v>1963</v>
      </c>
      <c r="C79" s="2">
        <v>46239</v>
      </c>
      <c r="D79" s="3" t="s">
        <v>1824</v>
      </c>
      <c r="E79" s="4">
        <v>-79.93</v>
      </c>
      <c r="F79" s="4">
        <v>0</v>
      </c>
      <c r="G79" s="3" t="s">
        <v>1965</v>
      </c>
      <c r="H79" s="3" t="s">
        <v>1836</v>
      </c>
      <c r="I79" s="4">
        <v>-79.93</v>
      </c>
      <c r="J79" s="4">
        <v>0</v>
      </c>
      <c r="K79" s="3" t="s">
        <v>1834</v>
      </c>
      <c r="L79" s="3"/>
      <c r="M79" s="6" t="s">
        <v>461</v>
      </c>
      <c r="N79" s="3" t="s">
        <v>2166</v>
      </c>
      <c r="O79" s="3">
        <v>10</v>
      </c>
    </row>
    <row r="80" spans="1:15">
      <c r="A80" s="2">
        <v>46239</v>
      </c>
      <c r="B80" s="3" t="s">
        <v>1963</v>
      </c>
      <c r="C80" s="2">
        <v>46239</v>
      </c>
      <c r="D80" s="3" t="s">
        <v>1824</v>
      </c>
      <c r="E80" s="4">
        <v>-63.95</v>
      </c>
      <c r="F80" s="4">
        <v>0</v>
      </c>
      <c r="G80" s="3" t="s">
        <v>1966</v>
      </c>
      <c r="H80" s="3" t="s">
        <v>1836</v>
      </c>
      <c r="I80" s="4">
        <v>-63.95</v>
      </c>
      <c r="J80" s="4">
        <v>0</v>
      </c>
      <c r="K80" s="3" t="s">
        <v>1834</v>
      </c>
      <c r="L80" s="3"/>
      <c r="M80" s="6" t="s">
        <v>461</v>
      </c>
      <c r="N80" s="3" t="s">
        <v>2166</v>
      </c>
      <c r="O80" s="3">
        <v>11</v>
      </c>
    </row>
    <row r="81" spans="1:15">
      <c r="A81" s="2">
        <v>46244</v>
      </c>
      <c r="B81" s="3" t="s">
        <v>1968</v>
      </c>
      <c r="C81" s="2">
        <v>46244</v>
      </c>
      <c r="D81" s="3" t="s">
        <v>1824</v>
      </c>
      <c r="E81" s="4">
        <v>-74.44</v>
      </c>
      <c r="F81" s="4">
        <v>0</v>
      </c>
      <c r="G81" s="3" t="s">
        <v>1970</v>
      </c>
      <c r="H81" s="3" t="s">
        <v>1836</v>
      </c>
      <c r="I81" s="4">
        <v>-74.44</v>
      </c>
      <c r="J81" s="4">
        <v>0</v>
      </c>
      <c r="K81" s="3" t="s">
        <v>1834</v>
      </c>
      <c r="L81" s="3"/>
      <c r="M81" s="6" t="s">
        <v>464</v>
      </c>
      <c r="N81" s="3" t="s">
        <v>2167</v>
      </c>
      <c r="O81" s="3">
        <v>9</v>
      </c>
    </row>
    <row r="82" spans="1:15">
      <c r="A82" s="2">
        <v>46244</v>
      </c>
      <c r="B82" s="3" t="s">
        <v>1968</v>
      </c>
      <c r="C82" s="2">
        <v>46244</v>
      </c>
      <c r="D82" s="3" t="s">
        <v>1824</v>
      </c>
      <c r="E82" s="4">
        <v>-93.05</v>
      </c>
      <c r="F82" s="4">
        <v>0</v>
      </c>
      <c r="G82" s="3" t="s">
        <v>1971</v>
      </c>
      <c r="H82" s="3" t="s">
        <v>1836</v>
      </c>
      <c r="I82" s="4">
        <v>-93.05</v>
      </c>
      <c r="J82" s="4">
        <v>0</v>
      </c>
      <c r="K82" s="3" t="s">
        <v>1834</v>
      </c>
      <c r="L82" s="3"/>
      <c r="M82" s="6" t="s">
        <v>464</v>
      </c>
      <c r="N82" s="3" t="s">
        <v>2167</v>
      </c>
      <c r="O82" s="3">
        <v>10</v>
      </c>
    </row>
    <row r="83" spans="1:15">
      <c r="A83" s="2">
        <v>46244</v>
      </c>
      <c r="B83" s="3" t="s">
        <v>1968</v>
      </c>
      <c r="C83" s="2">
        <v>46244</v>
      </c>
      <c r="D83" s="3" t="s">
        <v>1824</v>
      </c>
      <c r="E83" s="4">
        <v>-62.47</v>
      </c>
      <c r="F83" s="4">
        <v>0</v>
      </c>
      <c r="G83" s="3" t="s">
        <v>1972</v>
      </c>
      <c r="H83" s="3" t="s">
        <v>1836</v>
      </c>
      <c r="I83" s="4">
        <v>-62.47</v>
      </c>
      <c r="J83" s="4">
        <v>0</v>
      </c>
      <c r="K83" s="3" t="s">
        <v>1834</v>
      </c>
      <c r="L83" s="3"/>
      <c r="M83" s="6" t="s">
        <v>463</v>
      </c>
      <c r="N83" s="3" t="s">
        <v>2167</v>
      </c>
      <c r="O83" s="3">
        <v>11</v>
      </c>
    </row>
    <row r="84" spans="1:15">
      <c r="A84" s="2">
        <v>46244</v>
      </c>
      <c r="B84" s="3" t="s">
        <v>1968</v>
      </c>
      <c r="C84" s="2">
        <v>46244</v>
      </c>
      <c r="D84" s="3" t="s">
        <v>1824</v>
      </c>
      <c r="E84" s="4">
        <v>-178.56</v>
      </c>
      <c r="F84" s="4">
        <v>0</v>
      </c>
      <c r="G84" s="3" t="s">
        <v>1973</v>
      </c>
      <c r="H84" s="3" t="s">
        <v>1836</v>
      </c>
      <c r="I84" s="4">
        <v>-178.56</v>
      </c>
      <c r="J84" s="4">
        <v>0</v>
      </c>
      <c r="K84" s="3" t="s">
        <v>1834</v>
      </c>
      <c r="L84" s="3"/>
      <c r="M84" s="6" t="s">
        <v>472</v>
      </c>
      <c r="N84" s="3" t="s">
        <v>2167</v>
      </c>
      <c r="O84" s="3">
        <v>12</v>
      </c>
    </row>
    <row r="85" spans="1:15">
      <c r="A85" s="2">
        <v>46244</v>
      </c>
      <c r="B85" s="3" t="s">
        <v>1968</v>
      </c>
      <c r="C85" s="2">
        <v>46244</v>
      </c>
      <c r="D85" s="3" t="s">
        <v>1824</v>
      </c>
      <c r="E85" s="4">
        <v>2678.44</v>
      </c>
      <c r="F85" s="4">
        <v>54.66</v>
      </c>
      <c r="G85" s="3" t="s">
        <v>464</v>
      </c>
      <c r="H85" s="3" t="s">
        <v>1833</v>
      </c>
      <c r="I85" s="4">
        <v>3722.13</v>
      </c>
      <c r="J85" s="4">
        <v>0</v>
      </c>
      <c r="K85" s="3" t="s">
        <v>1834</v>
      </c>
      <c r="L85" s="3"/>
      <c r="M85" s="6" t="s">
        <v>464</v>
      </c>
      <c r="N85" s="3" t="s">
        <v>2167</v>
      </c>
      <c r="O85" s="3">
        <v>13</v>
      </c>
    </row>
    <row r="86" spans="1:15">
      <c r="A86" s="2">
        <v>46244</v>
      </c>
      <c r="B86" s="3" t="s">
        <v>1968</v>
      </c>
      <c r="C86" s="2">
        <v>46244</v>
      </c>
      <c r="D86" s="3" t="s">
        <v>1824</v>
      </c>
      <c r="E86" s="4">
        <v>-78.09</v>
      </c>
      <c r="F86" s="4">
        <v>0</v>
      </c>
      <c r="G86" s="3" t="s">
        <v>1974</v>
      </c>
      <c r="H86" s="3" t="s">
        <v>1836</v>
      </c>
      <c r="I86" s="4">
        <v>-78.09</v>
      </c>
      <c r="J86" s="4">
        <v>0</v>
      </c>
      <c r="K86" s="3" t="s">
        <v>1834</v>
      </c>
      <c r="L86" s="3"/>
      <c r="M86" s="6" t="s">
        <v>463</v>
      </c>
      <c r="N86" s="3" t="s">
        <v>2167</v>
      </c>
      <c r="O86" s="3">
        <v>14</v>
      </c>
    </row>
    <row r="87" spans="1:15">
      <c r="A87" s="2">
        <v>46244</v>
      </c>
      <c r="B87" s="3" t="s">
        <v>1968</v>
      </c>
      <c r="C87" s="2">
        <v>46244</v>
      </c>
      <c r="D87" s="3" t="s">
        <v>1824</v>
      </c>
      <c r="E87" s="4">
        <v>3061.14</v>
      </c>
      <c r="F87" s="4">
        <v>62.47</v>
      </c>
      <c r="G87" s="3" t="s">
        <v>463</v>
      </c>
      <c r="H87" s="3" t="s">
        <v>1833</v>
      </c>
      <c r="I87" s="4">
        <v>3123.61</v>
      </c>
      <c r="J87" s="4">
        <v>0</v>
      </c>
      <c r="K87" s="3" t="s">
        <v>1834</v>
      </c>
      <c r="L87" s="3"/>
      <c r="M87" s="6" t="s">
        <v>463</v>
      </c>
      <c r="N87" s="3" t="s">
        <v>2167</v>
      </c>
      <c r="O87" s="3">
        <v>15</v>
      </c>
    </row>
    <row r="88" spans="1:15">
      <c r="A88" s="2">
        <v>46258</v>
      </c>
      <c r="B88" s="3" t="s">
        <v>1976</v>
      </c>
      <c r="C88" s="2">
        <v>46258</v>
      </c>
      <c r="D88" s="3" t="s">
        <v>1824</v>
      </c>
      <c r="E88" s="4">
        <v>-198</v>
      </c>
      <c r="F88" s="4">
        <v>0</v>
      </c>
      <c r="G88" s="3" t="s">
        <v>1978</v>
      </c>
      <c r="H88" s="3" t="s">
        <v>1836</v>
      </c>
      <c r="I88" s="4">
        <v>-198</v>
      </c>
      <c r="J88" s="4">
        <v>0</v>
      </c>
      <c r="K88" s="3" t="s">
        <v>1834</v>
      </c>
      <c r="L88" s="3"/>
      <c r="M88" s="6" t="s">
        <v>475</v>
      </c>
      <c r="N88" s="3" t="s">
        <v>2168</v>
      </c>
      <c r="O88" s="3">
        <v>9</v>
      </c>
    </row>
    <row r="89" spans="1:15">
      <c r="A89" s="2">
        <v>46258</v>
      </c>
      <c r="B89" s="3" t="s">
        <v>1976</v>
      </c>
      <c r="C89" s="2">
        <v>46258</v>
      </c>
      <c r="D89" s="3" t="s">
        <v>1824</v>
      </c>
      <c r="E89" s="4">
        <v>-211.52</v>
      </c>
      <c r="F89" s="4">
        <v>0</v>
      </c>
      <c r="G89" s="3" t="s">
        <v>1979</v>
      </c>
      <c r="H89" s="3" t="s">
        <v>1836</v>
      </c>
      <c r="I89" s="4">
        <v>-211.52</v>
      </c>
      <c r="J89" s="4">
        <v>0</v>
      </c>
      <c r="K89" s="3" t="s">
        <v>1834</v>
      </c>
      <c r="L89" s="3"/>
      <c r="M89" s="6" t="s">
        <v>476</v>
      </c>
      <c r="N89" s="3" t="s">
        <v>2168</v>
      </c>
      <c r="O89" s="3">
        <v>10</v>
      </c>
    </row>
    <row r="90" spans="1:15">
      <c r="A90" s="2">
        <v>46258</v>
      </c>
      <c r="B90" s="3" t="s">
        <v>1976</v>
      </c>
      <c r="C90" s="2">
        <v>46258</v>
      </c>
      <c r="D90" s="3" t="s">
        <v>1824</v>
      </c>
      <c r="E90" s="4">
        <v>2987.35</v>
      </c>
      <c r="F90" s="4">
        <v>60.97</v>
      </c>
      <c r="G90" s="3" t="s">
        <v>471</v>
      </c>
      <c r="H90" s="3" t="s">
        <v>1833</v>
      </c>
      <c r="I90" s="4">
        <v>3048.32</v>
      </c>
      <c r="J90" s="4">
        <v>0</v>
      </c>
      <c r="K90" s="3" t="s">
        <v>1834</v>
      </c>
      <c r="L90" s="3"/>
      <c r="M90" s="6" t="s">
        <v>471</v>
      </c>
      <c r="N90" s="3" t="s">
        <v>2168</v>
      </c>
      <c r="O90" s="3">
        <v>11</v>
      </c>
    </row>
    <row r="91" spans="1:15">
      <c r="A91" s="2">
        <v>46258</v>
      </c>
      <c r="B91" s="3" t="s">
        <v>1976</v>
      </c>
      <c r="C91" s="2">
        <v>46258</v>
      </c>
      <c r="D91" s="3" t="s">
        <v>1824</v>
      </c>
      <c r="E91" s="4">
        <v>-60.97</v>
      </c>
      <c r="F91" s="4">
        <v>0</v>
      </c>
      <c r="G91" s="3" t="s">
        <v>1980</v>
      </c>
      <c r="H91" s="3" t="s">
        <v>1836</v>
      </c>
      <c r="I91" s="4">
        <v>-60.97</v>
      </c>
      <c r="J91" s="4">
        <v>0</v>
      </c>
      <c r="K91" s="3" t="s">
        <v>1834</v>
      </c>
      <c r="L91" s="3"/>
      <c r="M91" s="6" t="s">
        <v>471</v>
      </c>
      <c r="N91" s="3" t="s">
        <v>2168</v>
      </c>
      <c r="O91" s="3">
        <v>12</v>
      </c>
    </row>
    <row r="92" spans="1:15">
      <c r="A92" s="2">
        <v>46258</v>
      </c>
      <c r="B92" s="3" t="s">
        <v>1976</v>
      </c>
      <c r="C92" s="2">
        <v>46258</v>
      </c>
      <c r="D92" s="3" t="s">
        <v>1824</v>
      </c>
      <c r="E92" s="4">
        <v>-76.21</v>
      </c>
      <c r="F92" s="4">
        <v>0</v>
      </c>
      <c r="G92" s="3" t="s">
        <v>1981</v>
      </c>
      <c r="H92" s="3" t="s">
        <v>1836</v>
      </c>
      <c r="I92" s="4">
        <v>-76.21</v>
      </c>
      <c r="J92" s="4">
        <v>0</v>
      </c>
      <c r="K92" s="3" t="s">
        <v>1834</v>
      </c>
      <c r="L92" s="3"/>
      <c r="M92" s="6" t="s">
        <v>471</v>
      </c>
      <c r="N92" s="3" t="s">
        <v>2168</v>
      </c>
      <c r="O92" s="3">
        <v>13</v>
      </c>
    </row>
    <row r="93" spans="1:15">
      <c r="A93" s="2">
        <v>46258</v>
      </c>
      <c r="B93" s="3" t="s">
        <v>1976</v>
      </c>
      <c r="C93" s="2">
        <v>46258</v>
      </c>
      <c r="D93" s="3" t="s">
        <v>1824</v>
      </c>
      <c r="E93" s="4">
        <v>-233.58</v>
      </c>
      <c r="F93" s="4">
        <v>0</v>
      </c>
      <c r="G93" s="3" t="s">
        <v>1982</v>
      </c>
      <c r="H93" s="3" t="s">
        <v>1836</v>
      </c>
      <c r="I93" s="4">
        <v>-233.58</v>
      </c>
      <c r="J93" s="4">
        <v>0</v>
      </c>
      <c r="K93" s="3" t="s">
        <v>1834</v>
      </c>
      <c r="L93" s="3"/>
      <c r="M93" s="6" t="s">
        <v>481</v>
      </c>
      <c r="N93" s="3" t="s">
        <v>2168</v>
      </c>
      <c r="O93" s="3">
        <v>14</v>
      </c>
    </row>
    <row r="94" spans="1:15">
      <c r="A94" s="2">
        <v>46265</v>
      </c>
      <c r="B94" s="3" t="s">
        <v>1984</v>
      </c>
      <c r="C94" s="2">
        <v>46265</v>
      </c>
      <c r="D94" s="3" t="s">
        <v>1824</v>
      </c>
      <c r="E94" s="4">
        <v>7631.34</v>
      </c>
      <c r="F94" s="4">
        <v>155.74</v>
      </c>
      <c r="G94" s="3" t="s">
        <v>473</v>
      </c>
      <c r="H94" s="3" t="s">
        <v>1833</v>
      </c>
      <c r="I94" s="4">
        <v>7787.08</v>
      </c>
      <c r="J94" s="4">
        <v>0</v>
      </c>
      <c r="K94" s="3" t="s">
        <v>1834</v>
      </c>
      <c r="L94" s="3"/>
      <c r="M94" s="6" t="s">
        <v>473</v>
      </c>
      <c r="N94" s="3" t="s">
        <v>2169</v>
      </c>
      <c r="O94" s="3">
        <v>9</v>
      </c>
    </row>
    <row r="95" spans="1:15">
      <c r="A95" s="2">
        <v>46265</v>
      </c>
      <c r="B95" s="3" t="s">
        <v>1984</v>
      </c>
      <c r="C95" s="2">
        <v>46265</v>
      </c>
      <c r="D95" s="3" t="s">
        <v>1824</v>
      </c>
      <c r="E95" s="4">
        <v>-155.74</v>
      </c>
      <c r="F95" s="4">
        <v>0</v>
      </c>
      <c r="G95" s="3" t="s">
        <v>1986</v>
      </c>
      <c r="H95" s="3" t="s">
        <v>1836</v>
      </c>
      <c r="I95" s="4">
        <v>-155.74</v>
      </c>
      <c r="J95" s="4">
        <v>0</v>
      </c>
      <c r="K95" s="3" t="s">
        <v>1834</v>
      </c>
      <c r="L95" s="3"/>
      <c r="M95" s="6" t="s">
        <v>473</v>
      </c>
      <c r="N95" s="3" t="s">
        <v>2169</v>
      </c>
      <c r="O95" s="3">
        <v>10</v>
      </c>
    </row>
    <row r="96" spans="1:15">
      <c r="A96" s="2">
        <v>46265</v>
      </c>
      <c r="B96" s="3" t="s">
        <v>1984</v>
      </c>
      <c r="C96" s="2">
        <v>46265</v>
      </c>
      <c r="D96" s="3" t="s">
        <v>1824</v>
      </c>
      <c r="E96" s="4">
        <v>4416.51</v>
      </c>
      <c r="F96" s="4">
        <v>90.13</v>
      </c>
      <c r="G96" s="3" t="s">
        <v>472</v>
      </c>
      <c r="H96" s="3" t="s">
        <v>1833</v>
      </c>
      <c r="I96" s="4">
        <v>4506.64</v>
      </c>
      <c r="J96" s="4">
        <v>0</v>
      </c>
      <c r="K96" s="3" t="s">
        <v>1834</v>
      </c>
      <c r="L96" s="3"/>
      <c r="M96" s="6" t="s">
        <v>472</v>
      </c>
      <c r="N96" s="3" t="s">
        <v>2169</v>
      </c>
      <c r="O96" s="3">
        <v>11</v>
      </c>
    </row>
    <row r="97" spans="1:15">
      <c r="A97" s="2">
        <v>46265</v>
      </c>
      <c r="B97" s="3" t="s">
        <v>1984</v>
      </c>
      <c r="C97" s="2">
        <v>46265</v>
      </c>
      <c r="D97" s="3" t="s">
        <v>1824</v>
      </c>
      <c r="E97" s="4">
        <v>-90.13</v>
      </c>
      <c r="F97" s="4">
        <v>0</v>
      </c>
      <c r="G97" s="3" t="s">
        <v>1987</v>
      </c>
      <c r="H97" s="3" t="s">
        <v>1836</v>
      </c>
      <c r="I97" s="4">
        <v>-90.13</v>
      </c>
      <c r="J97" s="4">
        <v>0</v>
      </c>
      <c r="K97" s="3" t="s">
        <v>1834</v>
      </c>
      <c r="L97" s="3"/>
      <c r="M97" s="6" t="s">
        <v>472</v>
      </c>
      <c r="N97" s="3" t="s">
        <v>2169</v>
      </c>
      <c r="O97" s="3">
        <v>12</v>
      </c>
    </row>
    <row r="98" spans="1:15">
      <c r="A98" s="2">
        <v>46265</v>
      </c>
      <c r="B98" s="3" t="s">
        <v>1984</v>
      </c>
      <c r="C98" s="2">
        <v>46265</v>
      </c>
      <c r="D98" s="3" t="s">
        <v>1824</v>
      </c>
      <c r="E98" s="4">
        <v>-112.67</v>
      </c>
      <c r="F98" s="4">
        <v>0</v>
      </c>
      <c r="G98" s="3" t="s">
        <v>1988</v>
      </c>
      <c r="H98" s="3" t="s">
        <v>1836</v>
      </c>
      <c r="I98" s="4">
        <v>-112.67</v>
      </c>
      <c r="J98" s="4">
        <v>0</v>
      </c>
      <c r="K98" s="3" t="s">
        <v>1834</v>
      </c>
      <c r="L98" s="3"/>
      <c r="M98" s="6" t="s">
        <v>472</v>
      </c>
      <c r="N98" s="3" t="s">
        <v>2169</v>
      </c>
      <c r="O98" s="3">
        <v>13</v>
      </c>
    </row>
    <row r="99" spans="1:15">
      <c r="A99" s="2">
        <v>46265</v>
      </c>
      <c r="B99" s="3" t="s">
        <v>1984</v>
      </c>
      <c r="C99" s="2">
        <v>46265</v>
      </c>
      <c r="D99" s="3" t="s">
        <v>1824</v>
      </c>
      <c r="E99" s="4">
        <v>-194.68</v>
      </c>
      <c r="F99" s="4">
        <v>0</v>
      </c>
      <c r="G99" s="3" t="s">
        <v>1989</v>
      </c>
      <c r="H99" s="3" t="s">
        <v>1836</v>
      </c>
      <c r="I99" s="4">
        <v>-194.68</v>
      </c>
      <c r="J99" s="4">
        <v>0</v>
      </c>
      <c r="K99" s="3" t="s">
        <v>1834</v>
      </c>
      <c r="L99" s="3"/>
      <c r="M99" s="6" t="s">
        <v>473</v>
      </c>
      <c r="N99" s="3" t="s">
        <v>2169</v>
      </c>
      <c r="O99" s="3">
        <v>14</v>
      </c>
    </row>
    <row r="100" spans="1:15">
      <c r="A100" s="2">
        <v>46266</v>
      </c>
      <c r="B100" s="3" t="s">
        <v>1991</v>
      </c>
      <c r="C100" s="2">
        <v>46266</v>
      </c>
      <c r="D100" s="3" t="s">
        <v>1860</v>
      </c>
      <c r="E100" s="4">
        <v>1518.73</v>
      </c>
      <c r="F100" s="4">
        <v>30.99</v>
      </c>
      <c r="G100" s="3" t="s">
        <v>476</v>
      </c>
      <c r="H100" s="3" t="s">
        <v>1833</v>
      </c>
      <c r="I100" s="4">
        <v>13270.97</v>
      </c>
      <c r="J100" s="4">
        <v>11721.25</v>
      </c>
      <c r="K100" s="3" t="s">
        <v>1834</v>
      </c>
      <c r="L100" s="3" t="s">
        <v>1993</v>
      </c>
      <c r="M100" s="6" t="s">
        <v>476</v>
      </c>
      <c r="N100" s="3" t="s">
        <v>2170</v>
      </c>
      <c r="O100" s="3">
        <v>9</v>
      </c>
    </row>
    <row r="101" spans="1:15">
      <c r="A101" s="2">
        <v>46267</v>
      </c>
      <c r="B101" s="3" t="s">
        <v>2171</v>
      </c>
      <c r="C101" s="2">
        <v>46267</v>
      </c>
      <c r="D101" s="3" t="s">
        <v>1824</v>
      </c>
      <c r="E101" s="4">
        <v>5642.81</v>
      </c>
      <c r="F101" s="4">
        <v>115.16</v>
      </c>
      <c r="G101" s="3" t="s">
        <v>477</v>
      </c>
      <c r="H101" s="3" t="s">
        <v>1833</v>
      </c>
      <c r="I101" s="4">
        <v>5757.97</v>
      </c>
      <c r="J101" s="4">
        <v>0</v>
      </c>
      <c r="K101" s="3" t="s">
        <v>1834</v>
      </c>
      <c r="L101" s="3"/>
      <c r="M101" s="6" t="s">
        <v>477</v>
      </c>
      <c r="N101" s="3" t="s">
        <v>2172</v>
      </c>
      <c r="O101" s="3">
        <v>9</v>
      </c>
    </row>
    <row r="102" spans="1:15">
      <c r="A102" s="2">
        <v>46267</v>
      </c>
      <c r="B102" s="3" t="s">
        <v>2171</v>
      </c>
      <c r="C102" s="2">
        <v>46267</v>
      </c>
      <c r="D102" s="3" t="s">
        <v>1824</v>
      </c>
      <c r="E102" s="4">
        <v>-143.95</v>
      </c>
      <c r="F102" s="4">
        <v>0</v>
      </c>
      <c r="G102" s="3" t="s">
        <v>2031</v>
      </c>
      <c r="H102" s="3" t="s">
        <v>1836</v>
      </c>
      <c r="I102" s="4">
        <v>-143.95</v>
      </c>
      <c r="J102" s="4">
        <v>0</v>
      </c>
      <c r="K102" s="3" t="s">
        <v>1834</v>
      </c>
      <c r="L102" s="3"/>
      <c r="M102" s="6" t="s">
        <v>477</v>
      </c>
      <c r="N102" s="3" t="s">
        <v>2172</v>
      </c>
      <c r="O102" s="3">
        <v>10</v>
      </c>
    </row>
    <row r="103" spans="1:15">
      <c r="A103" s="2">
        <v>46267</v>
      </c>
      <c r="B103" s="3" t="s">
        <v>2171</v>
      </c>
      <c r="C103" s="2">
        <v>46267</v>
      </c>
      <c r="D103" s="3" t="s">
        <v>1824</v>
      </c>
      <c r="E103" s="4">
        <v>-115.16</v>
      </c>
      <c r="F103" s="4">
        <v>0</v>
      </c>
      <c r="G103" s="3" t="s">
        <v>2032</v>
      </c>
      <c r="H103" s="3" t="s">
        <v>1836</v>
      </c>
      <c r="I103" s="4">
        <v>-115.16</v>
      </c>
      <c r="J103" s="4">
        <v>0</v>
      </c>
      <c r="K103" s="3" t="s">
        <v>1834</v>
      </c>
      <c r="L103" s="3"/>
      <c r="M103" s="6" t="s">
        <v>477</v>
      </c>
      <c r="N103" s="3" t="s">
        <v>2172</v>
      </c>
      <c r="O103" s="3">
        <v>11</v>
      </c>
    </row>
    <row r="104" spans="1:15">
      <c r="A104" s="2">
        <v>46273</v>
      </c>
      <c r="B104" s="3" t="s">
        <v>1999</v>
      </c>
      <c r="C104" s="2">
        <v>46273</v>
      </c>
      <c r="D104" s="3" t="s">
        <v>1824</v>
      </c>
      <c r="E104" s="4">
        <v>2987.21</v>
      </c>
      <c r="F104" s="4">
        <v>60.96</v>
      </c>
      <c r="G104" s="3" t="s">
        <v>474</v>
      </c>
      <c r="H104" s="3" t="s">
        <v>1833</v>
      </c>
      <c r="I104" s="4">
        <v>3048.17</v>
      </c>
      <c r="J104" s="4">
        <v>0</v>
      </c>
      <c r="K104" s="3" t="s">
        <v>1834</v>
      </c>
      <c r="L104" s="3"/>
      <c r="M104" s="6" t="s">
        <v>474</v>
      </c>
      <c r="N104" s="3" t="s">
        <v>2173</v>
      </c>
      <c r="O104" s="3">
        <v>9</v>
      </c>
    </row>
    <row r="105" spans="1:15">
      <c r="A105" s="2">
        <v>46273</v>
      </c>
      <c r="B105" s="3" t="s">
        <v>1999</v>
      </c>
      <c r="C105" s="2">
        <v>46273</v>
      </c>
      <c r="D105" s="3" t="s">
        <v>1824</v>
      </c>
      <c r="E105" s="4">
        <v>-78.08</v>
      </c>
      <c r="F105" s="4">
        <v>0</v>
      </c>
      <c r="G105" s="3" t="s">
        <v>2001</v>
      </c>
      <c r="H105" s="3" t="s">
        <v>1836</v>
      </c>
      <c r="I105" s="4">
        <v>-78.08</v>
      </c>
      <c r="J105" s="4">
        <v>0</v>
      </c>
      <c r="K105" s="3" t="s">
        <v>1834</v>
      </c>
      <c r="L105" s="3"/>
      <c r="M105" s="6" t="s">
        <v>483</v>
      </c>
      <c r="N105" s="3" t="s">
        <v>2173</v>
      </c>
      <c r="O105" s="3">
        <v>10</v>
      </c>
    </row>
    <row r="106" spans="1:15">
      <c r="A106" s="2">
        <v>46273</v>
      </c>
      <c r="B106" s="3" t="s">
        <v>1999</v>
      </c>
      <c r="C106" s="2">
        <v>46273</v>
      </c>
      <c r="D106" s="3" t="s">
        <v>1824</v>
      </c>
      <c r="E106" s="4">
        <v>12245.21</v>
      </c>
      <c r="F106" s="4">
        <v>249.9</v>
      </c>
      <c r="G106" s="3" t="s">
        <v>475</v>
      </c>
      <c r="H106" s="3" t="s">
        <v>1833</v>
      </c>
      <c r="I106" s="4">
        <v>12495.11</v>
      </c>
      <c r="J106" s="4">
        <v>0</v>
      </c>
      <c r="K106" s="3" t="s">
        <v>1834</v>
      </c>
      <c r="L106" s="3"/>
      <c r="M106" s="6" t="s">
        <v>475</v>
      </c>
      <c r="N106" s="3" t="s">
        <v>2173</v>
      </c>
      <c r="O106" s="3">
        <v>11</v>
      </c>
    </row>
    <row r="107" spans="1:15">
      <c r="A107" s="2">
        <v>46273</v>
      </c>
      <c r="B107" s="3" t="s">
        <v>1999</v>
      </c>
      <c r="C107" s="2">
        <v>46273</v>
      </c>
      <c r="D107" s="3" t="s">
        <v>1824</v>
      </c>
      <c r="E107" s="4">
        <v>11486.82</v>
      </c>
      <c r="F107" s="4">
        <v>234.43</v>
      </c>
      <c r="G107" s="3" t="s">
        <v>476</v>
      </c>
      <c r="H107" s="3" t="s">
        <v>1833</v>
      </c>
      <c r="I107" s="4">
        <v>13270.97</v>
      </c>
      <c r="J107" s="4">
        <v>0</v>
      </c>
      <c r="K107" s="3" t="s">
        <v>1834</v>
      </c>
      <c r="L107" s="3"/>
      <c r="M107" s="6" t="s">
        <v>476</v>
      </c>
      <c r="N107" s="3" t="s">
        <v>2173</v>
      </c>
      <c r="O107" s="3">
        <v>12</v>
      </c>
    </row>
    <row r="108" spans="1:15">
      <c r="A108" s="2">
        <v>46273</v>
      </c>
      <c r="B108" s="3" t="s">
        <v>1999</v>
      </c>
      <c r="C108" s="2">
        <v>46273</v>
      </c>
      <c r="D108" s="3" t="s">
        <v>1824</v>
      </c>
      <c r="E108" s="4">
        <v>21590.07</v>
      </c>
      <c r="F108" s="4">
        <v>440.61</v>
      </c>
      <c r="G108" s="3" t="s">
        <v>478</v>
      </c>
      <c r="H108" s="3" t="s">
        <v>1833</v>
      </c>
      <c r="I108" s="4">
        <v>22030.68</v>
      </c>
      <c r="J108" s="4">
        <v>0</v>
      </c>
      <c r="K108" s="3" t="s">
        <v>1834</v>
      </c>
      <c r="L108" s="3"/>
      <c r="M108" s="6" t="s">
        <v>478</v>
      </c>
      <c r="N108" s="3" t="s">
        <v>2173</v>
      </c>
      <c r="O108" s="3">
        <v>13</v>
      </c>
    </row>
    <row r="109" spans="1:15">
      <c r="A109" s="2">
        <v>46273</v>
      </c>
      <c r="B109" s="3" t="s">
        <v>1999</v>
      </c>
      <c r="C109" s="2">
        <v>46273</v>
      </c>
      <c r="D109" s="3" t="s">
        <v>1824</v>
      </c>
      <c r="E109" s="4">
        <v>7389.38</v>
      </c>
      <c r="F109" s="4">
        <v>150.8</v>
      </c>
      <c r="G109" s="3" t="s">
        <v>479</v>
      </c>
      <c r="H109" s="3" t="s">
        <v>1833</v>
      </c>
      <c r="I109" s="4">
        <v>7540.18</v>
      </c>
      <c r="J109" s="4">
        <v>0</v>
      </c>
      <c r="K109" s="3" t="s">
        <v>1834</v>
      </c>
      <c r="L109" s="3"/>
      <c r="M109" s="6" t="s">
        <v>479</v>
      </c>
      <c r="N109" s="3" t="s">
        <v>2173</v>
      </c>
      <c r="O109" s="3">
        <v>14</v>
      </c>
    </row>
    <row r="110" spans="1:15">
      <c r="A110" s="2">
        <v>46273</v>
      </c>
      <c r="B110" s="3" t="s">
        <v>1999</v>
      </c>
      <c r="C110" s="2">
        <v>46273</v>
      </c>
      <c r="D110" s="3" t="s">
        <v>1824</v>
      </c>
      <c r="E110" s="4">
        <v>3973.94</v>
      </c>
      <c r="F110" s="4">
        <v>81.1</v>
      </c>
      <c r="G110" s="3" t="s">
        <v>480</v>
      </c>
      <c r="H110" s="3" t="s">
        <v>1833</v>
      </c>
      <c r="I110" s="4">
        <v>4055.04</v>
      </c>
      <c r="J110" s="4">
        <v>0</v>
      </c>
      <c r="K110" s="3" t="s">
        <v>1834</v>
      </c>
      <c r="L110" s="3"/>
      <c r="M110" s="6" t="s">
        <v>480</v>
      </c>
      <c r="N110" s="3" t="s">
        <v>2173</v>
      </c>
      <c r="O110" s="3">
        <v>15</v>
      </c>
    </row>
    <row r="111" spans="1:15">
      <c r="A111" s="2">
        <v>46273</v>
      </c>
      <c r="B111" s="3" t="s">
        <v>1999</v>
      </c>
      <c r="C111" s="2">
        <v>46273</v>
      </c>
      <c r="D111" s="3" t="s">
        <v>1824</v>
      </c>
      <c r="E111" s="4">
        <v>5815.11</v>
      </c>
      <c r="F111" s="4">
        <v>118.68</v>
      </c>
      <c r="G111" s="3" t="s">
        <v>481</v>
      </c>
      <c r="H111" s="3" t="s">
        <v>1833</v>
      </c>
      <c r="I111" s="4">
        <v>5933.79</v>
      </c>
      <c r="J111" s="4">
        <v>0</v>
      </c>
      <c r="K111" s="3" t="s">
        <v>1834</v>
      </c>
      <c r="L111" s="3"/>
      <c r="M111" s="6" t="s">
        <v>481</v>
      </c>
      <c r="N111" s="3" t="s">
        <v>2173</v>
      </c>
      <c r="O111" s="3">
        <v>16</v>
      </c>
    </row>
    <row r="112" spans="1:15">
      <c r="A112" s="2">
        <v>46273</v>
      </c>
      <c r="B112" s="3" t="s">
        <v>1999</v>
      </c>
      <c r="C112" s="2">
        <v>46273</v>
      </c>
      <c r="D112" s="3" t="s">
        <v>1824</v>
      </c>
      <c r="E112" s="4">
        <v>14477.53</v>
      </c>
      <c r="F112" s="4">
        <v>295.46</v>
      </c>
      <c r="G112" s="3" t="s">
        <v>482</v>
      </c>
      <c r="H112" s="3" t="s">
        <v>1833</v>
      </c>
      <c r="I112" s="4">
        <v>14772.99</v>
      </c>
      <c r="J112" s="4">
        <v>0</v>
      </c>
      <c r="K112" s="3" t="s">
        <v>1834</v>
      </c>
      <c r="L112" s="3"/>
      <c r="M112" s="6" t="s">
        <v>482</v>
      </c>
      <c r="N112" s="3" t="s">
        <v>2173</v>
      </c>
      <c r="O112" s="3">
        <v>17</v>
      </c>
    </row>
    <row r="113" spans="1:15">
      <c r="A113" s="2">
        <v>46273</v>
      </c>
      <c r="B113" s="3" t="s">
        <v>1999</v>
      </c>
      <c r="C113" s="2">
        <v>46273</v>
      </c>
      <c r="D113" s="3" t="s">
        <v>1824</v>
      </c>
      <c r="E113" s="4">
        <v>3060.9</v>
      </c>
      <c r="F113" s="4">
        <v>62.47</v>
      </c>
      <c r="G113" s="3" t="s">
        <v>483</v>
      </c>
      <c r="H113" s="3" t="s">
        <v>1833</v>
      </c>
      <c r="I113" s="4">
        <v>3123.37</v>
      </c>
      <c r="J113" s="4">
        <v>0</v>
      </c>
      <c r="K113" s="3" t="s">
        <v>1834</v>
      </c>
      <c r="L113" s="3"/>
      <c r="M113" s="6" t="s">
        <v>483</v>
      </c>
      <c r="N113" s="3" t="s">
        <v>2173</v>
      </c>
      <c r="O113" s="3">
        <v>18</v>
      </c>
    </row>
    <row r="114" spans="1:15">
      <c r="A114" s="2">
        <v>46273</v>
      </c>
      <c r="B114" s="3" t="s">
        <v>1999</v>
      </c>
      <c r="C114" s="2">
        <v>46273</v>
      </c>
      <c r="D114" s="3" t="s">
        <v>1824</v>
      </c>
      <c r="E114" s="4">
        <v>-60.96</v>
      </c>
      <c r="F114" s="4">
        <v>0</v>
      </c>
      <c r="G114" s="3" t="s">
        <v>2002</v>
      </c>
      <c r="H114" s="3" t="s">
        <v>1836</v>
      </c>
      <c r="I114" s="4">
        <v>-60.96</v>
      </c>
      <c r="J114" s="4">
        <v>0</v>
      </c>
      <c r="K114" s="3" t="s">
        <v>1834</v>
      </c>
      <c r="L114" s="3"/>
      <c r="M114" s="6" t="s">
        <v>474</v>
      </c>
      <c r="N114" s="3" t="s">
        <v>2173</v>
      </c>
      <c r="O114" s="3">
        <v>19</v>
      </c>
    </row>
    <row r="115" spans="1:15">
      <c r="A115" s="2">
        <v>46273</v>
      </c>
      <c r="B115" s="3" t="s">
        <v>1999</v>
      </c>
      <c r="C115" s="2">
        <v>46273</v>
      </c>
      <c r="D115" s="3" t="s">
        <v>1824</v>
      </c>
      <c r="E115" s="4">
        <v>-76.2</v>
      </c>
      <c r="F115" s="4">
        <v>0</v>
      </c>
      <c r="G115" s="3" t="s">
        <v>2003</v>
      </c>
      <c r="H115" s="3" t="s">
        <v>1836</v>
      </c>
      <c r="I115" s="4">
        <v>-76.2</v>
      </c>
      <c r="J115" s="4">
        <v>0</v>
      </c>
      <c r="K115" s="3" t="s">
        <v>1834</v>
      </c>
      <c r="L115" s="3"/>
      <c r="M115" s="6" t="s">
        <v>474</v>
      </c>
      <c r="N115" s="3" t="s">
        <v>2173</v>
      </c>
      <c r="O115" s="3">
        <v>20</v>
      </c>
    </row>
    <row r="116" spans="1:15">
      <c r="A116" s="2">
        <v>46273</v>
      </c>
      <c r="B116" s="3" t="s">
        <v>1999</v>
      </c>
      <c r="C116" s="2">
        <v>46273</v>
      </c>
      <c r="D116" s="3" t="s">
        <v>1824</v>
      </c>
      <c r="E116" s="4">
        <v>-249.9</v>
      </c>
      <c r="F116" s="4">
        <v>0</v>
      </c>
      <c r="G116" s="3" t="s">
        <v>2004</v>
      </c>
      <c r="H116" s="3" t="s">
        <v>1836</v>
      </c>
      <c r="I116" s="4">
        <v>-249.9</v>
      </c>
      <c r="J116" s="4">
        <v>0</v>
      </c>
      <c r="K116" s="3" t="s">
        <v>1834</v>
      </c>
      <c r="L116" s="3"/>
      <c r="M116" s="6" t="s">
        <v>475</v>
      </c>
      <c r="N116" s="3" t="s">
        <v>2173</v>
      </c>
      <c r="O116" s="3">
        <v>21</v>
      </c>
    </row>
    <row r="117" spans="1:15">
      <c r="A117" s="2">
        <v>46273</v>
      </c>
      <c r="B117" s="3" t="s">
        <v>1999</v>
      </c>
      <c r="C117" s="2">
        <v>46273</v>
      </c>
      <c r="D117" s="3" t="s">
        <v>1824</v>
      </c>
      <c r="E117" s="4">
        <v>-312.38</v>
      </c>
      <c r="F117" s="4">
        <v>0</v>
      </c>
      <c r="G117" s="3" t="s">
        <v>2005</v>
      </c>
      <c r="H117" s="3" t="s">
        <v>1836</v>
      </c>
      <c r="I117" s="4">
        <v>-312.38</v>
      </c>
      <c r="J117" s="4">
        <v>0</v>
      </c>
      <c r="K117" s="3" t="s">
        <v>1834</v>
      </c>
      <c r="L117" s="3"/>
      <c r="M117" s="6" t="s">
        <v>475</v>
      </c>
      <c r="N117" s="3" t="s">
        <v>2173</v>
      </c>
      <c r="O117" s="3">
        <v>22</v>
      </c>
    </row>
    <row r="118" spans="1:15">
      <c r="A118" s="2">
        <v>46273</v>
      </c>
      <c r="B118" s="3" t="s">
        <v>1999</v>
      </c>
      <c r="C118" s="2">
        <v>46273</v>
      </c>
      <c r="D118" s="3" t="s">
        <v>1824</v>
      </c>
      <c r="E118" s="4">
        <v>-265.42</v>
      </c>
      <c r="F118" s="4">
        <v>0</v>
      </c>
      <c r="G118" s="3" t="s">
        <v>2006</v>
      </c>
      <c r="H118" s="3" t="s">
        <v>1836</v>
      </c>
      <c r="I118" s="4">
        <v>-265.42</v>
      </c>
      <c r="J118" s="4">
        <v>0</v>
      </c>
      <c r="K118" s="3" t="s">
        <v>1834</v>
      </c>
      <c r="L118" s="3"/>
      <c r="M118" s="6" t="s">
        <v>476</v>
      </c>
      <c r="N118" s="3" t="s">
        <v>2173</v>
      </c>
      <c r="O118" s="3">
        <v>23</v>
      </c>
    </row>
    <row r="119" spans="1:15">
      <c r="A119" s="2">
        <v>46273</v>
      </c>
      <c r="B119" s="3" t="s">
        <v>1999</v>
      </c>
      <c r="C119" s="2">
        <v>46273</v>
      </c>
      <c r="D119" s="3" t="s">
        <v>1824</v>
      </c>
      <c r="E119" s="4">
        <v>-331.77</v>
      </c>
      <c r="F119" s="4">
        <v>0</v>
      </c>
      <c r="G119" s="3" t="s">
        <v>2007</v>
      </c>
      <c r="H119" s="3" t="s">
        <v>1836</v>
      </c>
      <c r="I119" s="4">
        <v>-331.77</v>
      </c>
      <c r="J119" s="4">
        <v>0</v>
      </c>
      <c r="K119" s="3" t="s">
        <v>1834</v>
      </c>
      <c r="L119" s="3"/>
      <c r="M119" s="6" t="s">
        <v>476</v>
      </c>
      <c r="N119" s="3" t="s">
        <v>2173</v>
      </c>
      <c r="O119" s="3">
        <v>24</v>
      </c>
    </row>
    <row r="120" spans="1:15">
      <c r="A120" s="2">
        <v>46273</v>
      </c>
      <c r="B120" s="3" t="s">
        <v>1999</v>
      </c>
      <c r="C120" s="2">
        <v>46273</v>
      </c>
      <c r="D120" s="3" t="s">
        <v>1824</v>
      </c>
      <c r="E120" s="4">
        <v>-440.61</v>
      </c>
      <c r="F120" s="4">
        <v>0</v>
      </c>
      <c r="G120" s="3" t="s">
        <v>2008</v>
      </c>
      <c r="H120" s="3" t="s">
        <v>1836</v>
      </c>
      <c r="I120" s="4">
        <v>-440.61</v>
      </c>
      <c r="J120" s="4">
        <v>0</v>
      </c>
      <c r="K120" s="3" t="s">
        <v>1834</v>
      </c>
      <c r="L120" s="3"/>
      <c r="M120" s="6" t="s">
        <v>478</v>
      </c>
      <c r="N120" s="3" t="s">
        <v>2173</v>
      </c>
      <c r="O120" s="3">
        <v>25</v>
      </c>
    </row>
    <row r="121" spans="1:15">
      <c r="A121" s="2">
        <v>46273</v>
      </c>
      <c r="B121" s="3" t="s">
        <v>1999</v>
      </c>
      <c r="C121" s="2">
        <v>46273</v>
      </c>
      <c r="D121" s="3" t="s">
        <v>1824</v>
      </c>
      <c r="E121" s="4">
        <v>-550.77</v>
      </c>
      <c r="F121" s="4">
        <v>0</v>
      </c>
      <c r="G121" s="3" t="s">
        <v>2009</v>
      </c>
      <c r="H121" s="3" t="s">
        <v>1836</v>
      </c>
      <c r="I121" s="4">
        <v>-550.77</v>
      </c>
      <c r="J121" s="4">
        <v>0</v>
      </c>
      <c r="K121" s="3" t="s">
        <v>1834</v>
      </c>
      <c r="L121" s="3"/>
      <c r="M121" s="6" t="s">
        <v>478</v>
      </c>
      <c r="N121" s="3" t="s">
        <v>2173</v>
      </c>
      <c r="O121" s="3">
        <v>26</v>
      </c>
    </row>
    <row r="122" spans="1:15">
      <c r="A122" s="2">
        <v>46273</v>
      </c>
      <c r="B122" s="3" t="s">
        <v>1999</v>
      </c>
      <c r="C122" s="2">
        <v>46273</v>
      </c>
      <c r="D122" s="3" t="s">
        <v>1824</v>
      </c>
      <c r="E122" s="4">
        <v>-150.8</v>
      </c>
      <c r="F122" s="4">
        <v>0</v>
      </c>
      <c r="G122" s="3" t="s">
        <v>2010</v>
      </c>
      <c r="H122" s="3" t="s">
        <v>1836</v>
      </c>
      <c r="I122" s="4">
        <v>-150.8</v>
      </c>
      <c r="J122" s="4">
        <v>0</v>
      </c>
      <c r="K122" s="3" t="s">
        <v>1834</v>
      </c>
      <c r="L122" s="3"/>
      <c r="M122" s="6" t="s">
        <v>479</v>
      </c>
      <c r="N122" s="3" t="s">
        <v>2173</v>
      </c>
      <c r="O122" s="3">
        <v>27</v>
      </c>
    </row>
    <row r="123" spans="1:15">
      <c r="A123" s="2">
        <v>46273</v>
      </c>
      <c r="B123" s="3" t="s">
        <v>1999</v>
      </c>
      <c r="C123" s="2">
        <v>46273</v>
      </c>
      <c r="D123" s="3" t="s">
        <v>1824</v>
      </c>
      <c r="E123" s="4">
        <v>-188.5</v>
      </c>
      <c r="F123" s="4">
        <v>0</v>
      </c>
      <c r="G123" s="3" t="s">
        <v>2011</v>
      </c>
      <c r="H123" s="3" t="s">
        <v>1836</v>
      </c>
      <c r="I123" s="4">
        <v>-188.5</v>
      </c>
      <c r="J123" s="4">
        <v>0</v>
      </c>
      <c r="K123" s="3" t="s">
        <v>1834</v>
      </c>
      <c r="L123" s="3"/>
      <c r="M123" s="6" t="s">
        <v>479</v>
      </c>
      <c r="N123" s="3" t="s">
        <v>2173</v>
      </c>
      <c r="O123" s="3">
        <v>28</v>
      </c>
    </row>
    <row r="124" spans="1:15">
      <c r="A124" s="2">
        <v>46273</v>
      </c>
      <c r="B124" s="3" t="s">
        <v>1999</v>
      </c>
      <c r="C124" s="2">
        <v>46273</v>
      </c>
      <c r="D124" s="3" t="s">
        <v>1824</v>
      </c>
      <c r="E124" s="4">
        <v>-81.1</v>
      </c>
      <c r="F124" s="4">
        <v>0</v>
      </c>
      <c r="G124" s="3" t="s">
        <v>2012</v>
      </c>
      <c r="H124" s="3" t="s">
        <v>1836</v>
      </c>
      <c r="I124" s="4">
        <v>-81.1</v>
      </c>
      <c r="J124" s="4">
        <v>0</v>
      </c>
      <c r="K124" s="3" t="s">
        <v>1834</v>
      </c>
      <c r="L124" s="3"/>
      <c r="M124" s="6" t="s">
        <v>480</v>
      </c>
      <c r="N124" s="3" t="s">
        <v>2173</v>
      </c>
      <c r="O124" s="3">
        <v>29</v>
      </c>
    </row>
    <row r="125" spans="1:15">
      <c r="A125" s="2">
        <v>46273</v>
      </c>
      <c r="B125" s="3" t="s">
        <v>1999</v>
      </c>
      <c r="C125" s="2">
        <v>46273</v>
      </c>
      <c r="D125" s="3" t="s">
        <v>1824</v>
      </c>
      <c r="E125" s="4">
        <v>-101.38</v>
      </c>
      <c r="F125" s="4">
        <v>0</v>
      </c>
      <c r="G125" s="3" t="s">
        <v>2013</v>
      </c>
      <c r="H125" s="3" t="s">
        <v>1836</v>
      </c>
      <c r="I125" s="4">
        <v>-101.38</v>
      </c>
      <c r="J125" s="4">
        <v>0</v>
      </c>
      <c r="K125" s="3" t="s">
        <v>1834</v>
      </c>
      <c r="L125" s="3"/>
      <c r="M125" s="6" t="s">
        <v>480</v>
      </c>
      <c r="N125" s="3" t="s">
        <v>2173</v>
      </c>
      <c r="O125" s="3">
        <v>30</v>
      </c>
    </row>
    <row r="126" spans="1:15">
      <c r="A126" s="2">
        <v>46273</v>
      </c>
      <c r="B126" s="3" t="s">
        <v>1999</v>
      </c>
      <c r="C126" s="2">
        <v>46273</v>
      </c>
      <c r="D126" s="3" t="s">
        <v>1824</v>
      </c>
      <c r="E126" s="4">
        <v>-118.68</v>
      </c>
      <c r="F126" s="4">
        <v>0</v>
      </c>
      <c r="G126" s="3" t="s">
        <v>2014</v>
      </c>
      <c r="H126" s="3" t="s">
        <v>1836</v>
      </c>
      <c r="I126" s="4">
        <v>-118.68</v>
      </c>
      <c r="J126" s="4">
        <v>0</v>
      </c>
      <c r="K126" s="3" t="s">
        <v>1834</v>
      </c>
      <c r="L126" s="3"/>
      <c r="M126" s="6" t="s">
        <v>481</v>
      </c>
      <c r="N126" s="3" t="s">
        <v>2173</v>
      </c>
      <c r="O126" s="3">
        <v>31</v>
      </c>
    </row>
    <row r="127" spans="1:15">
      <c r="A127" s="2">
        <v>46273</v>
      </c>
      <c r="B127" s="3" t="s">
        <v>1999</v>
      </c>
      <c r="C127" s="2">
        <v>46273</v>
      </c>
      <c r="D127" s="3" t="s">
        <v>1824</v>
      </c>
      <c r="E127" s="4">
        <v>-148.34</v>
      </c>
      <c r="F127" s="4">
        <v>0</v>
      </c>
      <c r="G127" s="3" t="s">
        <v>2015</v>
      </c>
      <c r="H127" s="3" t="s">
        <v>1836</v>
      </c>
      <c r="I127" s="4">
        <v>-148.34</v>
      </c>
      <c r="J127" s="4">
        <v>0</v>
      </c>
      <c r="K127" s="3" t="s">
        <v>1834</v>
      </c>
      <c r="L127" s="3"/>
      <c r="M127" s="6" t="s">
        <v>481</v>
      </c>
      <c r="N127" s="3" t="s">
        <v>2173</v>
      </c>
      <c r="O127" s="3">
        <v>32</v>
      </c>
    </row>
    <row r="128" spans="1:15">
      <c r="A128" s="2">
        <v>46273</v>
      </c>
      <c r="B128" s="3" t="s">
        <v>1999</v>
      </c>
      <c r="C128" s="2">
        <v>46273</v>
      </c>
      <c r="D128" s="3" t="s">
        <v>1824</v>
      </c>
      <c r="E128" s="4">
        <v>-295.46</v>
      </c>
      <c r="F128" s="4">
        <v>0</v>
      </c>
      <c r="G128" s="3" t="s">
        <v>2016</v>
      </c>
      <c r="H128" s="3" t="s">
        <v>1836</v>
      </c>
      <c r="I128" s="4">
        <v>-295.46</v>
      </c>
      <c r="J128" s="4">
        <v>0</v>
      </c>
      <c r="K128" s="3" t="s">
        <v>1834</v>
      </c>
      <c r="L128" s="3"/>
      <c r="M128" s="6" t="s">
        <v>482</v>
      </c>
      <c r="N128" s="3" t="s">
        <v>2173</v>
      </c>
      <c r="O128" s="3">
        <v>33</v>
      </c>
    </row>
    <row r="129" spans="1:15">
      <c r="A129" s="2">
        <v>46273</v>
      </c>
      <c r="B129" s="3" t="s">
        <v>1999</v>
      </c>
      <c r="C129" s="2">
        <v>46273</v>
      </c>
      <c r="D129" s="3" t="s">
        <v>1824</v>
      </c>
      <c r="E129" s="4">
        <v>-369.32</v>
      </c>
      <c r="F129" s="4">
        <v>0</v>
      </c>
      <c r="G129" s="3" t="s">
        <v>2017</v>
      </c>
      <c r="H129" s="3" t="s">
        <v>1836</v>
      </c>
      <c r="I129" s="4">
        <v>-369.32</v>
      </c>
      <c r="J129" s="4">
        <v>0</v>
      </c>
      <c r="K129" s="3" t="s">
        <v>1834</v>
      </c>
      <c r="L129" s="3"/>
      <c r="M129" s="6" t="s">
        <v>482</v>
      </c>
      <c r="N129" s="3" t="s">
        <v>2173</v>
      </c>
      <c r="O129" s="3">
        <v>34</v>
      </c>
    </row>
    <row r="130" spans="1:15">
      <c r="A130" s="2">
        <v>46273</v>
      </c>
      <c r="B130" s="3" t="s">
        <v>1999</v>
      </c>
      <c r="C130" s="2">
        <v>46273</v>
      </c>
      <c r="D130" s="3" t="s">
        <v>1824</v>
      </c>
      <c r="E130" s="4">
        <v>-62.47</v>
      </c>
      <c r="F130" s="4">
        <v>0</v>
      </c>
      <c r="G130" s="3" t="s">
        <v>2018</v>
      </c>
      <c r="H130" s="3" t="s">
        <v>1836</v>
      </c>
      <c r="I130" s="4">
        <v>-62.47</v>
      </c>
      <c r="J130" s="4">
        <v>0</v>
      </c>
      <c r="K130" s="3" t="s">
        <v>1834</v>
      </c>
      <c r="L130" s="3"/>
      <c r="M130" s="6" t="s">
        <v>483</v>
      </c>
      <c r="N130" s="3" t="s">
        <v>2173</v>
      </c>
      <c r="O130" s="3">
        <v>35</v>
      </c>
    </row>
    <row r="131" spans="1:15">
      <c r="A131" s="2">
        <v>46274</v>
      </c>
      <c r="B131" s="3" t="s">
        <v>2021</v>
      </c>
      <c r="C131" s="2">
        <v>46274</v>
      </c>
      <c r="D131" s="3" t="s">
        <v>1824</v>
      </c>
      <c r="E131" s="4">
        <v>-251.05</v>
      </c>
      <c r="F131" s="4">
        <v>0</v>
      </c>
      <c r="G131" s="3" t="s">
        <v>2023</v>
      </c>
      <c r="H131" s="3" t="s">
        <v>1836</v>
      </c>
      <c r="I131" s="4">
        <v>-251.05</v>
      </c>
      <c r="J131" s="4">
        <v>0</v>
      </c>
      <c r="K131" s="3" t="s">
        <v>1834</v>
      </c>
      <c r="L131" s="3"/>
      <c r="M131" s="6" t="s">
        <v>491</v>
      </c>
      <c r="N131" s="3" t="s">
        <v>2174</v>
      </c>
      <c r="O131" s="3">
        <v>9</v>
      </c>
    </row>
    <row r="132" spans="1:15">
      <c r="A132" s="2">
        <v>46274</v>
      </c>
      <c r="B132" s="3" t="s">
        <v>2021</v>
      </c>
      <c r="C132" s="2">
        <v>46274</v>
      </c>
      <c r="D132" s="3" t="s">
        <v>1824</v>
      </c>
      <c r="E132" s="4">
        <v>-313.81</v>
      </c>
      <c r="F132" s="4">
        <v>0</v>
      </c>
      <c r="G132" s="3" t="s">
        <v>2024</v>
      </c>
      <c r="H132" s="3" t="s">
        <v>1836</v>
      </c>
      <c r="I132" s="4">
        <v>-313.81</v>
      </c>
      <c r="J132" s="4">
        <v>0</v>
      </c>
      <c r="K132" s="3" t="s">
        <v>1834</v>
      </c>
      <c r="L132" s="3"/>
      <c r="M132" s="6" t="s">
        <v>491</v>
      </c>
      <c r="N132" s="3" t="s">
        <v>2174</v>
      </c>
      <c r="O132" s="3">
        <v>10</v>
      </c>
    </row>
    <row r="133" spans="1:15">
      <c r="A133" s="2">
        <v>46274</v>
      </c>
      <c r="B133" s="3" t="s">
        <v>2021</v>
      </c>
      <c r="C133" s="2">
        <v>46274</v>
      </c>
      <c r="D133" s="3" t="s">
        <v>1824</v>
      </c>
      <c r="E133" s="4">
        <v>2942.46</v>
      </c>
      <c r="F133" s="4">
        <v>60.05</v>
      </c>
      <c r="G133" s="3" t="s">
        <v>488</v>
      </c>
      <c r="H133" s="3" t="s">
        <v>1833</v>
      </c>
      <c r="I133" s="4">
        <v>3002.51</v>
      </c>
      <c r="J133" s="4">
        <v>0</v>
      </c>
      <c r="K133" s="3" t="s">
        <v>1834</v>
      </c>
      <c r="L133" s="3"/>
      <c r="M133" s="6" t="s">
        <v>488</v>
      </c>
      <c r="N133" s="3" t="s">
        <v>2174</v>
      </c>
      <c r="O133" s="3">
        <v>11</v>
      </c>
    </row>
    <row r="134" spans="1:15">
      <c r="A134" s="2">
        <v>46274</v>
      </c>
      <c r="B134" s="3" t="s">
        <v>2021</v>
      </c>
      <c r="C134" s="2">
        <v>46274</v>
      </c>
      <c r="D134" s="3" t="s">
        <v>1824</v>
      </c>
      <c r="E134" s="4">
        <v>-75.06</v>
      </c>
      <c r="F134" s="4">
        <v>0</v>
      </c>
      <c r="G134" s="3" t="s">
        <v>2025</v>
      </c>
      <c r="H134" s="3" t="s">
        <v>1836</v>
      </c>
      <c r="I134" s="4">
        <v>-75.06</v>
      </c>
      <c r="J134" s="4">
        <v>0</v>
      </c>
      <c r="K134" s="3" t="s">
        <v>1834</v>
      </c>
      <c r="L134" s="3"/>
      <c r="M134" s="6" t="s">
        <v>488</v>
      </c>
      <c r="N134" s="3" t="s">
        <v>2174</v>
      </c>
      <c r="O134" s="3">
        <v>12</v>
      </c>
    </row>
    <row r="135" spans="1:15">
      <c r="A135" s="2">
        <v>46274</v>
      </c>
      <c r="B135" s="3" t="s">
        <v>2021</v>
      </c>
      <c r="C135" s="2">
        <v>46274</v>
      </c>
      <c r="D135" s="3" t="s">
        <v>1824</v>
      </c>
      <c r="E135" s="4">
        <v>12301.42</v>
      </c>
      <c r="F135" s="4">
        <v>251.05</v>
      </c>
      <c r="G135" s="3" t="s">
        <v>491</v>
      </c>
      <c r="H135" s="3" t="s">
        <v>1833</v>
      </c>
      <c r="I135" s="4">
        <v>12552.47</v>
      </c>
      <c r="J135" s="4">
        <v>0</v>
      </c>
      <c r="K135" s="3" t="s">
        <v>1834</v>
      </c>
      <c r="L135" s="3"/>
      <c r="M135" s="6" t="s">
        <v>491</v>
      </c>
      <c r="N135" s="3" t="s">
        <v>2174</v>
      </c>
      <c r="O135" s="3">
        <v>13</v>
      </c>
    </row>
    <row r="136" spans="1:15">
      <c r="A136" s="2">
        <v>46274</v>
      </c>
      <c r="B136" s="3" t="s">
        <v>2021</v>
      </c>
      <c r="C136" s="2">
        <v>46274</v>
      </c>
      <c r="D136" s="3" t="s">
        <v>1824</v>
      </c>
      <c r="E136" s="4">
        <v>-60.05</v>
      </c>
      <c r="F136" s="4">
        <v>0</v>
      </c>
      <c r="G136" s="3" t="s">
        <v>2026</v>
      </c>
      <c r="H136" s="3" t="s">
        <v>1836</v>
      </c>
      <c r="I136" s="4">
        <v>-60.05</v>
      </c>
      <c r="J136" s="4">
        <v>0</v>
      </c>
      <c r="K136" s="3" t="s">
        <v>1834</v>
      </c>
      <c r="L136" s="3"/>
      <c r="M136" s="6" t="s">
        <v>488</v>
      </c>
      <c r="N136" s="3" t="s">
        <v>2174</v>
      </c>
      <c r="O136" s="3">
        <v>14</v>
      </c>
    </row>
    <row r="137" spans="1:15">
      <c r="A137" s="2">
        <v>46286</v>
      </c>
      <c r="B137" s="3" t="s">
        <v>2039</v>
      </c>
      <c r="C137" s="2">
        <v>46286</v>
      </c>
      <c r="D137" s="3" t="s">
        <v>1824</v>
      </c>
      <c r="E137" s="4">
        <v>6581.57</v>
      </c>
      <c r="F137" s="4">
        <v>134.32</v>
      </c>
      <c r="G137" s="3" t="s">
        <v>496</v>
      </c>
      <c r="H137" s="3" t="s">
        <v>1833</v>
      </c>
      <c r="I137" s="4">
        <v>6715.89</v>
      </c>
      <c r="J137" s="4">
        <v>0</v>
      </c>
      <c r="K137" s="3" t="s">
        <v>1834</v>
      </c>
      <c r="L137" s="3"/>
      <c r="M137" s="6" t="s">
        <v>496</v>
      </c>
      <c r="N137" s="3" t="s">
        <v>2175</v>
      </c>
      <c r="O137" s="3">
        <v>9</v>
      </c>
    </row>
    <row r="138" spans="1:15">
      <c r="A138" s="2">
        <v>46286</v>
      </c>
      <c r="B138" s="3" t="s">
        <v>2039</v>
      </c>
      <c r="C138" s="2">
        <v>46286</v>
      </c>
      <c r="D138" s="3" t="s">
        <v>1824</v>
      </c>
      <c r="E138" s="4">
        <v>-167.9</v>
      </c>
      <c r="F138" s="4">
        <v>0</v>
      </c>
      <c r="G138" s="3" t="s">
        <v>2041</v>
      </c>
      <c r="H138" s="3" t="s">
        <v>1836</v>
      </c>
      <c r="I138" s="4">
        <v>-167.9</v>
      </c>
      <c r="J138" s="4">
        <v>0</v>
      </c>
      <c r="K138" s="3" t="s">
        <v>1834</v>
      </c>
      <c r="L138" s="3"/>
      <c r="M138" s="6" t="s">
        <v>496</v>
      </c>
      <c r="N138" s="3" t="s">
        <v>2175</v>
      </c>
      <c r="O138" s="3">
        <v>10</v>
      </c>
    </row>
    <row r="139" spans="1:15">
      <c r="A139" s="2">
        <v>46286</v>
      </c>
      <c r="B139" s="3" t="s">
        <v>2039</v>
      </c>
      <c r="C139" s="2">
        <v>46286</v>
      </c>
      <c r="D139" s="3" t="s">
        <v>1824</v>
      </c>
      <c r="E139" s="4">
        <v>-134.32</v>
      </c>
      <c r="F139" s="4">
        <v>0</v>
      </c>
      <c r="G139" s="3" t="s">
        <v>2042</v>
      </c>
      <c r="H139" s="3" t="s">
        <v>1836</v>
      </c>
      <c r="I139" s="4">
        <v>-134.32</v>
      </c>
      <c r="J139" s="4">
        <v>0</v>
      </c>
      <c r="K139" s="3" t="s">
        <v>1834</v>
      </c>
      <c r="L139" s="3"/>
      <c r="M139" s="6" t="s">
        <v>496</v>
      </c>
      <c r="N139" s="3" t="s">
        <v>2175</v>
      </c>
      <c r="O139" s="3">
        <v>11</v>
      </c>
    </row>
    <row r="140" spans="1:15">
      <c r="A140" s="2">
        <v>46287</v>
      </c>
      <c r="B140" s="3" t="s">
        <v>2044</v>
      </c>
      <c r="C140" s="2">
        <v>46287</v>
      </c>
      <c r="D140" s="3" t="s">
        <v>1824</v>
      </c>
      <c r="E140" s="4">
        <v>-100.64</v>
      </c>
      <c r="F140" s="4">
        <v>0</v>
      </c>
      <c r="G140" s="3" t="s">
        <v>2046</v>
      </c>
      <c r="H140" s="3" t="s">
        <v>1836</v>
      </c>
      <c r="I140" s="4">
        <v>-100.64</v>
      </c>
      <c r="J140" s="4">
        <v>0</v>
      </c>
      <c r="K140" s="3" t="s">
        <v>1834</v>
      </c>
      <c r="L140" s="3"/>
      <c r="M140" s="6" t="s">
        <v>498</v>
      </c>
      <c r="N140" s="3" t="s">
        <v>2176</v>
      </c>
      <c r="O140" s="3">
        <v>9</v>
      </c>
    </row>
    <row r="141" spans="1:15">
      <c r="A141" s="2">
        <v>46287</v>
      </c>
      <c r="B141" s="3" t="s">
        <v>2044</v>
      </c>
      <c r="C141" s="2">
        <v>46287</v>
      </c>
      <c r="D141" s="3" t="s">
        <v>1824</v>
      </c>
      <c r="E141" s="4">
        <v>4931.47</v>
      </c>
      <c r="F141" s="4">
        <v>100.64</v>
      </c>
      <c r="G141" s="3" t="s">
        <v>498</v>
      </c>
      <c r="H141" s="3" t="s">
        <v>1833</v>
      </c>
      <c r="I141" s="4">
        <v>5032.11</v>
      </c>
      <c r="J141" s="4">
        <v>0</v>
      </c>
      <c r="K141" s="3" t="s">
        <v>1834</v>
      </c>
      <c r="L141" s="3"/>
      <c r="M141" s="6" t="s">
        <v>498</v>
      </c>
      <c r="N141" s="3" t="s">
        <v>2176</v>
      </c>
      <c r="O141" s="3">
        <v>10</v>
      </c>
    </row>
    <row r="142" spans="1:15">
      <c r="A142" s="2">
        <v>46287</v>
      </c>
      <c r="B142" s="3" t="s">
        <v>2044</v>
      </c>
      <c r="C142" s="2">
        <v>46287</v>
      </c>
      <c r="D142" s="3" t="s">
        <v>1824</v>
      </c>
      <c r="E142" s="4">
        <v>-125.8</v>
      </c>
      <c r="F142" s="4">
        <v>0</v>
      </c>
      <c r="G142" s="3" t="s">
        <v>2047</v>
      </c>
      <c r="H142" s="3" t="s">
        <v>1836</v>
      </c>
      <c r="I142" s="4">
        <v>-125.8</v>
      </c>
      <c r="J142" s="4">
        <v>0</v>
      </c>
      <c r="K142" s="3" t="s">
        <v>1834</v>
      </c>
      <c r="L142" s="3"/>
      <c r="M142" s="6" t="s">
        <v>498</v>
      </c>
      <c r="N142" s="3" t="s">
        <v>2176</v>
      </c>
      <c r="O142" s="3">
        <v>11</v>
      </c>
    </row>
    <row r="143" spans="1:15">
      <c r="A143" s="2">
        <v>46288</v>
      </c>
      <c r="B143" s="3" t="s">
        <v>2049</v>
      </c>
      <c r="C143" s="2">
        <v>46288</v>
      </c>
      <c r="D143" s="3" t="s">
        <v>1824</v>
      </c>
      <c r="E143" s="4">
        <v>10005.12</v>
      </c>
      <c r="F143" s="4">
        <v>204.19</v>
      </c>
      <c r="G143" s="3" t="s">
        <v>497</v>
      </c>
      <c r="H143" s="3" t="s">
        <v>1833</v>
      </c>
      <c r="I143" s="4">
        <v>10209.31</v>
      </c>
      <c r="J143" s="4">
        <v>0</v>
      </c>
      <c r="K143" s="3" t="s">
        <v>1834</v>
      </c>
      <c r="L143" s="3"/>
      <c r="M143" s="6" t="s">
        <v>497</v>
      </c>
      <c r="N143" s="3" t="s">
        <v>2177</v>
      </c>
      <c r="O143" s="3">
        <v>9</v>
      </c>
    </row>
    <row r="144" spans="1:15">
      <c r="A144" s="2">
        <v>46288</v>
      </c>
      <c r="B144" s="3" t="s">
        <v>2049</v>
      </c>
      <c r="C144" s="2">
        <v>46288</v>
      </c>
      <c r="D144" s="3" t="s">
        <v>1824</v>
      </c>
      <c r="E144" s="4">
        <v>-255.23</v>
      </c>
      <c r="F144" s="4">
        <v>0</v>
      </c>
      <c r="G144" s="3" t="s">
        <v>2051</v>
      </c>
      <c r="H144" s="3" t="s">
        <v>1836</v>
      </c>
      <c r="I144" s="4">
        <v>-255.23</v>
      </c>
      <c r="J144" s="4">
        <v>0</v>
      </c>
      <c r="K144" s="3" t="s">
        <v>1834</v>
      </c>
      <c r="L144" s="3"/>
      <c r="M144" s="6" t="s">
        <v>497</v>
      </c>
      <c r="N144" s="3" t="s">
        <v>2177</v>
      </c>
      <c r="O144" s="3">
        <v>10</v>
      </c>
    </row>
    <row r="145" spans="1:15">
      <c r="A145" s="2">
        <v>46288</v>
      </c>
      <c r="B145" s="3" t="s">
        <v>2049</v>
      </c>
      <c r="C145" s="2">
        <v>46288</v>
      </c>
      <c r="D145" s="3" t="s">
        <v>1824</v>
      </c>
      <c r="E145" s="4">
        <v>-204.19</v>
      </c>
      <c r="F145" s="4">
        <v>0</v>
      </c>
      <c r="G145" s="3" t="s">
        <v>2052</v>
      </c>
      <c r="H145" s="3" t="s">
        <v>1836</v>
      </c>
      <c r="I145" s="4">
        <v>-204.19</v>
      </c>
      <c r="J145" s="4">
        <v>0</v>
      </c>
      <c r="K145" s="3" t="s">
        <v>1834</v>
      </c>
      <c r="L145" s="3"/>
      <c r="M145" s="6" t="s">
        <v>497</v>
      </c>
      <c r="N145" s="3" t="s">
        <v>2177</v>
      </c>
      <c r="O145" s="3">
        <v>11</v>
      </c>
    </row>
    <row r="146" spans="1:15">
      <c r="A146" s="2">
        <v>46293</v>
      </c>
      <c r="B146" s="3" t="s">
        <v>2054</v>
      </c>
      <c r="C146" s="2">
        <v>46293</v>
      </c>
      <c r="D146" s="3" t="s">
        <v>1824</v>
      </c>
      <c r="E146" s="4">
        <v>4179.4</v>
      </c>
      <c r="F146" s="4">
        <v>85.29</v>
      </c>
      <c r="G146" s="3" t="s">
        <v>499</v>
      </c>
      <c r="H146" s="3" t="s">
        <v>1833</v>
      </c>
      <c r="I146" s="4">
        <v>4264.69</v>
      </c>
      <c r="J146" s="4">
        <v>0</v>
      </c>
      <c r="K146" s="3" t="s">
        <v>1834</v>
      </c>
      <c r="L146" s="3"/>
      <c r="M146" s="6" t="s">
        <v>499</v>
      </c>
      <c r="N146" s="3" t="s">
        <v>2178</v>
      </c>
      <c r="O146" s="3">
        <v>9</v>
      </c>
    </row>
    <row r="147" spans="1:15">
      <c r="A147" s="2">
        <v>46293</v>
      </c>
      <c r="B147" s="3" t="s">
        <v>2054</v>
      </c>
      <c r="C147" s="2">
        <v>46293</v>
      </c>
      <c r="D147" s="3" t="s">
        <v>1824</v>
      </c>
      <c r="E147" s="4">
        <v>-106.62</v>
      </c>
      <c r="F147" s="4">
        <v>0</v>
      </c>
      <c r="G147" s="3" t="s">
        <v>2056</v>
      </c>
      <c r="H147" s="3" t="s">
        <v>1836</v>
      </c>
      <c r="I147" s="4">
        <v>-106.62</v>
      </c>
      <c r="J147" s="4">
        <v>0</v>
      </c>
      <c r="K147" s="3" t="s">
        <v>1834</v>
      </c>
      <c r="L147" s="3"/>
      <c r="M147" s="6" t="s">
        <v>499</v>
      </c>
      <c r="N147" s="3" t="s">
        <v>2178</v>
      </c>
      <c r="O147" s="3">
        <v>10</v>
      </c>
    </row>
    <row r="148" spans="1:15">
      <c r="A148" s="2">
        <v>46293</v>
      </c>
      <c r="B148" s="3" t="s">
        <v>2054</v>
      </c>
      <c r="C148" s="2">
        <v>46293</v>
      </c>
      <c r="D148" s="3" t="s">
        <v>1824</v>
      </c>
      <c r="E148" s="4">
        <v>-85.29</v>
      </c>
      <c r="F148" s="4">
        <v>0</v>
      </c>
      <c r="G148" s="3" t="s">
        <v>2057</v>
      </c>
      <c r="H148" s="3" t="s">
        <v>1836</v>
      </c>
      <c r="I148" s="4">
        <v>-85.29</v>
      </c>
      <c r="J148" s="4">
        <v>0</v>
      </c>
      <c r="K148" s="3" t="s">
        <v>1834</v>
      </c>
      <c r="L148" s="3"/>
      <c r="M148" s="6" t="s">
        <v>499</v>
      </c>
      <c r="N148" s="3" t="s">
        <v>2178</v>
      </c>
      <c r="O148" s="3">
        <v>11</v>
      </c>
    </row>
    <row r="149" spans="1:15">
      <c r="A149" s="2">
        <v>46294</v>
      </c>
      <c r="B149" s="3" t="s">
        <v>2059</v>
      </c>
      <c r="C149" s="2">
        <v>46294</v>
      </c>
      <c r="D149" s="3" t="s">
        <v>1824</v>
      </c>
      <c r="E149" s="4">
        <v>-109.28</v>
      </c>
      <c r="F149" s="4">
        <v>0</v>
      </c>
      <c r="G149" s="3" t="s">
        <v>2060</v>
      </c>
      <c r="H149" s="3" t="s">
        <v>1836</v>
      </c>
      <c r="I149" s="4">
        <v>-109.28</v>
      </c>
      <c r="J149" s="4">
        <v>0</v>
      </c>
      <c r="K149" s="3" t="s">
        <v>1834</v>
      </c>
      <c r="L149" s="3"/>
      <c r="M149" s="6" t="s">
        <v>494</v>
      </c>
      <c r="N149" s="3" t="s">
        <v>2179</v>
      </c>
      <c r="O149" s="3">
        <v>9</v>
      </c>
    </row>
    <row r="150" spans="1:15">
      <c r="A150" s="2">
        <v>46294</v>
      </c>
      <c r="B150" s="3" t="s">
        <v>2059</v>
      </c>
      <c r="C150" s="2">
        <v>46294</v>
      </c>
      <c r="D150" s="3" t="s">
        <v>1824</v>
      </c>
      <c r="E150" s="4">
        <v>5354.89</v>
      </c>
      <c r="F150" s="4">
        <v>109.28</v>
      </c>
      <c r="G150" s="3" t="s">
        <v>494</v>
      </c>
      <c r="H150" s="3" t="s">
        <v>1833</v>
      </c>
      <c r="I150" s="4">
        <v>5464.17</v>
      </c>
      <c r="J150" s="4">
        <v>0</v>
      </c>
      <c r="K150" s="3" t="s">
        <v>1834</v>
      </c>
      <c r="L150" s="3"/>
      <c r="M150" s="6" t="s">
        <v>494</v>
      </c>
      <c r="N150" s="3" t="s">
        <v>2179</v>
      </c>
      <c r="O150" s="3">
        <v>10</v>
      </c>
    </row>
    <row r="151" spans="1:15">
      <c r="A151" s="2">
        <v>46294</v>
      </c>
      <c r="B151" s="3" t="s">
        <v>2059</v>
      </c>
      <c r="C151" s="2">
        <v>46294</v>
      </c>
      <c r="D151" s="3" t="s">
        <v>1824</v>
      </c>
      <c r="E151" s="4">
        <v>-136.6</v>
      </c>
      <c r="F151" s="4">
        <v>0</v>
      </c>
      <c r="G151" s="3" t="s">
        <v>2061</v>
      </c>
      <c r="H151" s="3" t="s">
        <v>1836</v>
      </c>
      <c r="I151" s="4">
        <v>-136.6</v>
      </c>
      <c r="J151" s="4">
        <v>0</v>
      </c>
      <c r="K151" s="3" t="s">
        <v>1834</v>
      </c>
      <c r="L151" s="3"/>
      <c r="M151" s="6" t="s">
        <v>494</v>
      </c>
      <c r="N151" s="3" t="s">
        <v>2179</v>
      </c>
      <c r="O151" s="3">
        <v>11</v>
      </c>
    </row>
    <row r="152" spans="1:15">
      <c r="A152" s="2">
        <v>46295</v>
      </c>
      <c r="B152" s="3" t="s">
        <v>2063</v>
      </c>
      <c r="C152" s="2">
        <v>46295</v>
      </c>
      <c r="D152" s="3" t="s">
        <v>1824</v>
      </c>
      <c r="E152" s="4">
        <v>2951.99</v>
      </c>
      <c r="F152" s="4">
        <v>60.24</v>
      </c>
      <c r="G152" s="3" t="s">
        <v>500</v>
      </c>
      <c r="H152" s="3" t="s">
        <v>1833</v>
      </c>
      <c r="I152" s="4">
        <v>3012.23</v>
      </c>
      <c r="J152" s="4">
        <v>0</v>
      </c>
      <c r="K152" s="3" t="s">
        <v>1834</v>
      </c>
      <c r="L152" s="3"/>
      <c r="M152" s="6" t="s">
        <v>500</v>
      </c>
      <c r="N152" s="3" t="s">
        <v>2180</v>
      </c>
      <c r="O152" s="3">
        <v>9</v>
      </c>
    </row>
    <row r="153" spans="1:15">
      <c r="A153" s="2">
        <v>46295</v>
      </c>
      <c r="B153" s="3" t="s">
        <v>2063</v>
      </c>
      <c r="C153" s="2">
        <v>46295</v>
      </c>
      <c r="D153" s="3" t="s">
        <v>1824</v>
      </c>
      <c r="E153" s="4">
        <v>-75.31</v>
      </c>
      <c r="F153" s="4">
        <v>0</v>
      </c>
      <c r="G153" s="3" t="s">
        <v>2065</v>
      </c>
      <c r="H153" s="3" t="s">
        <v>1836</v>
      </c>
      <c r="I153" s="4">
        <v>-75.31</v>
      </c>
      <c r="J153" s="4">
        <v>0</v>
      </c>
      <c r="K153" s="3" t="s">
        <v>1834</v>
      </c>
      <c r="L153" s="3"/>
      <c r="M153" s="6" t="s">
        <v>500</v>
      </c>
      <c r="N153" s="3" t="s">
        <v>2180</v>
      </c>
      <c r="O153" s="3">
        <v>10</v>
      </c>
    </row>
    <row r="154" spans="1:15">
      <c r="A154" s="2">
        <v>46295</v>
      </c>
      <c r="B154" s="3" t="s">
        <v>2063</v>
      </c>
      <c r="C154" s="2">
        <v>46295</v>
      </c>
      <c r="D154" s="3" t="s">
        <v>1824</v>
      </c>
      <c r="E154" s="4">
        <v>-60.24</v>
      </c>
      <c r="F154" s="4">
        <v>0</v>
      </c>
      <c r="G154" s="3" t="s">
        <v>2066</v>
      </c>
      <c r="H154" s="3" t="s">
        <v>1836</v>
      </c>
      <c r="I154" s="4">
        <v>-60.24</v>
      </c>
      <c r="J154" s="4">
        <v>0</v>
      </c>
      <c r="K154" s="3" t="s">
        <v>1834</v>
      </c>
      <c r="L154" s="3"/>
      <c r="M154" s="6" t="s">
        <v>500</v>
      </c>
      <c r="N154" s="3" t="s">
        <v>2180</v>
      </c>
      <c r="O154" s="3">
        <v>11</v>
      </c>
    </row>
    <row r="155" spans="1:15">
      <c r="A155" s="2">
        <v>46300</v>
      </c>
      <c r="B155" s="3" t="s">
        <v>2068</v>
      </c>
      <c r="C155" s="2">
        <v>46300</v>
      </c>
      <c r="D155" s="3" t="s">
        <v>1824</v>
      </c>
      <c r="E155" s="4">
        <v>11882.22</v>
      </c>
      <c r="F155" s="4">
        <v>242.49</v>
      </c>
      <c r="G155" s="3" t="s">
        <v>490</v>
      </c>
      <c r="H155" s="3" t="s">
        <v>1833</v>
      </c>
      <c r="I155" s="4">
        <v>12124.71</v>
      </c>
      <c r="J155" s="4">
        <v>0</v>
      </c>
      <c r="K155" s="3" t="s">
        <v>1834</v>
      </c>
      <c r="L155" s="3"/>
      <c r="M155" s="6" t="s">
        <v>490</v>
      </c>
      <c r="N155" s="3" t="s">
        <v>2181</v>
      </c>
      <c r="O155" s="3">
        <v>9</v>
      </c>
    </row>
    <row r="156" spans="1:15">
      <c r="A156" s="2">
        <v>46300</v>
      </c>
      <c r="B156" s="3" t="s">
        <v>2068</v>
      </c>
      <c r="C156" s="2">
        <v>46300</v>
      </c>
      <c r="D156" s="3" t="s">
        <v>1824</v>
      </c>
      <c r="E156" s="4">
        <v>-242.49</v>
      </c>
      <c r="F156" s="4">
        <v>0</v>
      </c>
      <c r="G156" s="3" t="s">
        <v>2070</v>
      </c>
      <c r="H156" s="3" t="s">
        <v>1836</v>
      </c>
      <c r="I156" s="4">
        <v>-242.49</v>
      </c>
      <c r="J156" s="4">
        <v>0</v>
      </c>
      <c r="K156" s="3" t="s">
        <v>1834</v>
      </c>
      <c r="L156" s="3"/>
      <c r="M156" s="6" t="s">
        <v>490</v>
      </c>
      <c r="N156" s="3" t="s">
        <v>2181</v>
      </c>
      <c r="O156" s="3">
        <v>10</v>
      </c>
    </row>
    <row r="157" spans="1:15">
      <c r="A157" s="2">
        <v>46300</v>
      </c>
      <c r="B157" s="3" t="s">
        <v>2068</v>
      </c>
      <c r="C157" s="2">
        <v>46300</v>
      </c>
      <c r="D157" s="3" t="s">
        <v>1824</v>
      </c>
      <c r="E157" s="4">
        <v>-303.12</v>
      </c>
      <c r="F157" s="4">
        <v>0</v>
      </c>
      <c r="G157" s="3" t="s">
        <v>2071</v>
      </c>
      <c r="H157" s="3" t="s">
        <v>1836</v>
      </c>
      <c r="I157" s="4">
        <v>-303.12</v>
      </c>
      <c r="J157" s="4">
        <v>0</v>
      </c>
      <c r="K157" s="3" t="s">
        <v>1834</v>
      </c>
      <c r="L157" s="3"/>
      <c r="M157" s="6" t="s">
        <v>490</v>
      </c>
      <c r="N157" s="3" t="s">
        <v>2181</v>
      </c>
      <c r="O157" s="3">
        <v>11</v>
      </c>
    </row>
    <row r="158" spans="1:15">
      <c r="A158" s="2">
        <v>46300</v>
      </c>
      <c r="B158" s="3" t="s">
        <v>2068</v>
      </c>
      <c r="C158" s="2">
        <v>46300</v>
      </c>
      <c r="D158" s="3" t="s">
        <v>1824</v>
      </c>
      <c r="E158" s="4">
        <v>4096.97</v>
      </c>
      <c r="F158" s="4">
        <v>83.61</v>
      </c>
      <c r="G158" s="3" t="s">
        <v>493</v>
      </c>
      <c r="H158" s="3" t="s">
        <v>1833</v>
      </c>
      <c r="I158" s="4">
        <v>4180.58</v>
      </c>
      <c r="J158" s="4">
        <v>0</v>
      </c>
      <c r="K158" s="3" t="s">
        <v>1834</v>
      </c>
      <c r="L158" s="3"/>
      <c r="M158" s="6" t="s">
        <v>493</v>
      </c>
      <c r="N158" s="3" t="s">
        <v>2181</v>
      </c>
      <c r="O158" s="3">
        <v>12</v>
      </c>
    </row>
    <row r="159" spans="1:15">
      <c r="A159" s="2">
        <v>46300</v>
      </c>
      <c r="B159" s="3" t="s">
        <v>2068</v>
      </c>
      <c r="C159" s="2">
        <v>46300</v>
      </c>
      <c r="D159" s="3" t="s">
        <v>1824</v>
      </c>
      <c r="E159" s="4">
        <v>-362.76</v>
      </c>
      <c r="F159" s="4">
        <v>0</v>
      </c>
      <c r="G159" s="3" t="s">
        <v>2072</v>
      </c>
      <c r="H159" s="3" t="s">
        <v>1836</v>
      </c>
      <c r="I159" s="4">
        <v>-362.76</v>
      </c>
      <c r="J159" s="4">
        <v>0</v>
      </c>
      <c r="K159" s="3" t="s">
        <v>1834</v>
      </c>
      <c r="L159" s="3"/>
      <c r="M159" s="6" t="s">
        <v>492</v>
      </c>
      <c r="N159" s="3" t="s">
        <v>2181</v>
      </c>
      <c r="O159" s="3">
        <v>13</v>
      </c>
    </row>
    <row r="160" spans="1:15">
      <c r="A160" s="2">
        <v>46300</v>
      </c>
      <c r="B160" s="3" t="s">
        <v>2068</v>
      </c>
      <c r="C160" s="2">
        <v>46300</v>
      </c>
      <c r="D160" s="3" t="s">
        <v>1824</v>
      </c>
      <c r="E160" s="4">
        <v>-104.51</v>
      </c>
      <c r="F160" s="4">
        <v>0</v>
      </c>
      <c r="G160" s="3" t="s">
        <v>2073</v>
      </c>
      <c r="H160" s="3" t="s">
        <v>1836</v>
      </c>
      <c r="I160" s="4">
        <v>-104.51</v>
      </c>
      <c r="J160" s="4">
        <v>0</v>
      </c>
      <c r="K160" s="3" t="s">
        <v>1834</v>
      </c>
      <c r="L160" s="3"/>
      <c r="M160" s="6" t="s">
        <v>493</v>
      </c>
      <c r="N160" s="3" t="s">
        <v>2181</v>
      </c>
      <c r="O160" s="3">
        <v>14</v>
      </c>
    </row>
    <row r="161" spans="1:15">
      <c r="A161" s="2">
        <v>46300</v>
      </c>
      <c r="B161" s="3" t="s">
        <v>2068</v>
      </c>
      <c r="C161" s="2">
        <v>46300</v>
      </c>
      <c r="D161" s="3" t="s">
        <v>1824</v>
      </c>
      <c r="E161" s="4">
        <v>14220.25</v>
      </c>
      <c r="F161" s="4">
        <v>290.21</v>
      </c>
      <c r="G161" s="3" t="s">
        <v>492</v>
      </c>
      <c r="H161" s="3" t="s">
        <v>1833</v>
      </c>
      <c r="I161" s="4">
        <v>14510.46</v>
      </c>
      <c r="J161" s="4">
        <v>0</v>
      </c>
      <c r="K161" s="3" t="s">
        <v>1834</v>
      </c>
      <c r="L161" s="3"/>
      <c r="M161" s="6" t="s">
        <v>492</v>
      </c>
      <c r="N161" s="3" t="s">
        <v>2181</v>
      </c>
      <c r="O161" s="3">
        <v>15</v>
      </c>
    </row>
    <row r="162" spans="1:15">
      <c r="A162" s="2">
        <v>46300</v>
      </c>
      <c r="B162" s="3" t="s">
        <v>2068</v>
      </c>
      <c r="C162" s="2">
        <v>46300</v>
      </c>
      <c r="D162" s="3" t="s">
        <v>1824</v>
      </c>
      <c r="E162" s="4">
        <v>-290.21</v>
      </c>
      <c r="F162" s="4">
        <v>0</v>
      </c>
      <c r="G162" s="3" t="s">
        <v>2074</v>
      </c>
      <c r="H162" s="3" t="s">
        <v>1836</v>
      </c>
      <c r="I162" s="4">
        <v>-290.21</v>
      </c>
      <c r="J162" s="4">
        <v>0</v>
      </c>
      <c r="K162" s="3" t="s">
        <v>1834</v>
      </c>
      <c r="L162" s="3"/>
      <c r="M162" s="6" t="s">
        <v>492</v>
      </c>
      <c r="N162" s="3" t="s">
        <v>2181</v>
      </c>
      <c r="O162" s="3">
        <v>16</v>
      </c>
    </row>
    <row r="163" spans="1:15">
      <c r="A163" s="2">
        <v>46300</v>
      </c>
      <c r="B163" s="3" t="s">
        <v>2068</v>
      </c>
      <c r="C163" s="2">
        <v>46300</v>
      </c>
      <c r="D163" s="3" t="s">
        <v>1824</v>
      </c>
      <c r="E163" s="4">
        <v>-83.61</v>
      </c>
      <c r="F163" s="4">
        <v>0</v>
      </c>
      <c r="G163" s="3" t="s">
        <v>2075</v>
      </c>
      <c r="H163" s="3" t="s">
        <v>1836</v>
      </c>
      <c r="I163" s="4">
        <v>-83.61</v>
      </c>
      <c r="J163" s="4">
        <v>0</v>
      </c>
      <c r="K163" s="3" t="s">
        <v>1834</v>
      </c>
      <c r="L163" s="3"/>
      <c r="M163" s="6" t="s">
        <v>493</v>
      </c>
      <c r="N163" s="3" t="s">
        <v>2181</v>
      </c>
      <c r="O163" s="3">
        <v>17</v>
      </c>
    </row>
    <row r="164" spans="1:15">
      <c r="A164" s="2">
        <v>46301</v>
      </c>
      <c r="B164" s="3" t="s">
        <v>2078</v>
      </c>
      <c r="C164" s="2">
        <v>46301</v>
      </c>
      <c r="D164" s="3" t="s">
        <v>1860</v>
      </c>
      <c r="E164" s="4">
        <v>759.76</v>
      </c>
      <c r="F164" s="4">
        <v>15.51</v>
      </c>
      <c r="G164" s="3" t="s">
        <v>489</v>
      </c>
      <c r="H164" s="3" t="s">
        <v>1833</v>
      </c>
      <c r="I164" s="4">
        <v>14163.7</v>
      </c>
      <c r="J164" s="4">
        <v>0</v>
      </c>
      <c r="K164" s="3" t="s">
        <v>1834</v>
      </c>
      <c r="L164" s="3" t="s">
        <v>2082</v>
      </c>
      <c r="M164" s="6" t="s">
        <v>489</v>
      </c>
      <c r="N164" s="3" t="s">
        <v>2182</v>
      </c>
      <c r="O164" s="3">
        <v>10</v>
      </c>
    </row>
    <row r="165" spans="1:15">
      <c r="A165" s="2">
        <v>46303</v>
      </c>
      <c r="B165" s="3" t="s">
        <v>2080</v>
      </c>
      <c r="C165" s="2">
        <v>46303</v>
      </c>
      <c r="D165" s="3" t="s">
        <v>1824</v>
      </c>
      <c r="E165" s="4">
        <v>-283.27</v>
      </c>
      <c r="F165" s="4">
        <v>0</v>
      </c>
      <c r="G165" s="3" t="s">
        <v>2088</v>
      </c>
      <c r="H165" s="3" t="s">
        <v>1836</v>
      </c>
      <c r="I165" s="4">
        <v>-283.27</v>
      </c>
      <c r="J165" s="4">
        <v>0</v>
      </c>
      <c r="K165" s="3" t="s">
        <v>1834</v>
      </c>
      <c r="L165" s="3"/>
      <c r="M165" s="6" t="s">
        <v>489</v>
      </c>
      <c r="N165" s="3" t="s">
        <v>2183</v>
      </c>
      <c r="O165" s="3">
        <v>9</v>
      </c>
    </row>
    <row r="166" spans="1:15">
      <c r="A166" s="2">
        <v>46303</v>
      </c>
      <c r="B166" s="3" t="s">
        <v>2080</v>
      </c>
      <c r="C166" s="2">
        <v>46303</v>
      </c>
      <c r="D166" s="3" t="s">
        <v>1824</v>
      </c>
      <c r="E166" s="4">
        <v>13120.67</v>
      </c>
      <c r="F166" s="4">
        <v>267.76</v>
      </c>
      <c r="G166" s="3" t="s">
        <v>489</v>
      </c>
      <c r="H166" s="3" t="s">
        <v>1833</v>
      </c>
      <c r="I166" s="4">
        <v>14163.7</v>
      </c>
      <c r="J166" s="4">
        <v>0</v>
      </c>
      <c r="K166" s="3" t="s">
        <v>1834</v>
      </c>
      <c r="L166" s="3"/>
      <c r="M166" s="6" t="s">
        <v>489</v>
      </c>
      <c r="N166" s="3" t="s">
        <v>2183</v>
      </c>
      <c r="O166" s="3">
        <v>10</v>
      </c>
    </row>
    <row r="167" spans="1:15">
      <c r="A167" s="2">
        <v>46303</v>
      </c>
      <c r="B167" s="3" t="s">
        <v>2080</v>
      </c>
      <c r="C167" s="2">
        <v>46303</v>
      </c>
      <c r="D167" s="3" t="s">
        <v>1824</v>
      </c>
      <c r="E167" s="4">
        <v>-354.09</v>
      </c>
      <c r="F167" s="4">
        <v>0</v>
      </c>
      <c r="G167" s="3" t="s">
        <v>2089</v>
      </c>
      <c r="H167" s="3" t="s">
        <v>1836</v>
      </c>
      <c r="I167" s="4">
        <v>-354.09</v>
      </c>
      <c r="J167" s="4">
        <v>0</v>
      </c>
      <c r="K167" s="3" t="s">
        <v>1834</v>
      </c>
      <c r="L167" s="3"/>
      <c r="M167" s="6" t="s">
        <v>489</v>
      </c>
      <c r="N167" s="3" t="s">
        <v>2183</v>
      </c>
      <c r="O167" s="3">
        <v>11</v>
      </c>
    </row>
  </sheetData>
  <sheetProtection formatCells="0" formatColumns="0" formatRows="0" insertRows="0" insertColumns="0" insertHyperlinks="0" deleteColumns="0" deleteRows="0" sort="0" autoFilter="0" pivotTables="0"/>
  <autoFilter xmlns:etc="http://www.wps.cn/officeDocument/2017/etCustomData" ref="A2:O167"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workbookViewId="0">
      <selection activeCell="A928" sqref="$A928:$XFD936"/>
    </sheetView>
  </sheetViews>
  <sheetFormatPr defaultColWidth="9.14285714285714" defaultRowHeight="12.75"/>
  <cols>
    <col min="1" max="1" width="11.7142857142857" customWidth="1"/>
    <col min="2" max="2" width="17.4285714285714" customWidth="1"/>
    <col min="3" max="3" width="35.4285714285714" customWidth="1"/>
    <col min="7" max="7" width="11.7142857142857" customWidth="1"/>
    <col min="8" max="8" width="10.5714285714286" customWidth="1"/>
    <col min="12" max="12" width="8.71428571428571" customWidth="1"/>
    <col min="13" max="13" width="10.5714285714286" customWidth="1"/>
    <col min="14" max="14" width="14" customWidth="1"/>
    <col min="15" max="15" width="38.7142857142857" customWidth="1"/>
  </cols>
  <sheetData>
    <row r="1" ht="60" spans="1:15">
      <c r="A1" s="1" t="s">
        <v>2136</v>
      </c>
      <c r="B1" s="1" t="s">
        <v>2034</v>
      </c>
      <c r="C1" s="1" t="s">
        <v>2035</v>
      </c>
      <c r="D1" s="1"/>
      <c r="E1" s="1"/>
      <c r="F1" s="1"/>
      <c r="G1" s="1" t="s">
        <v>287</v>
      </c>
      <c r="H1" s="1" t="s">
        <v>2036</v>
      </c>
      <c r="I1" s="1"/>
      <c r="J1" s="1"/>
      <c r="K1" s="1"/>
      <c r="L1" s="1" t="s">
        <v>2037</v>
      </c>
      <c r="M1" s="1" t="s">
        <v>2033</v>
      </c>
      <c r="N1" s="1" t="s">
        <v>2184</v>
      </c>
      <c r="O1" s="1" t="s">
        <v>2138</v>
      </c>
    </row>
    <row r="2" spans="1:15">
      <c r="A2" s="2">
        <v>46209</v>
      </c>
      <c r="B2" s="3" t="s">
        <v>2185</v>
      </c>
      <c r="C2" s="3"/>
      <c r="D2" s="3"/>
      <c r="E2" s="3"/>
      <c r="F2" s="3"/>
      <c r="G2" s="2">
        <v>46171</v>
      </c>
      <c r="H2" s="4">
        <v>2095.41</v>
      </c>
      <c r="I2" s="3"/>
      <c r="J2" s="3"/>
      <c r="K2" s="3"/>
      <c r="L2" s="4">
        <v>0</v>
      </c>
      <c r="M2" s="4">
        <v>2095.41</v>
      </c>
      <c r="N2" s="3" t="s">
        <v>2186</v>
      </c>
      <c r="O2" s="3" t="s">
        <v>2187</v>
      </c>
    </row>
    <row r="3" spans="1:15">
      <c r="A3" s="2">
        <v>46209</v>
      </c>
      <c r="B3" s="3" t="s">
        <v>2188</v>
      </c>
      <c r="C3" s="3"/>
      <c r="D3" s="3"/>
      <c r="E3" s="3"/>
      <c r="F3" s="3"/>
      <c r="G3" s="2">
        <v>46171</v>
      </c>
      <c r="H3" s="4">
        <v>6917.99</v>
      </c>
      <c r="I3" s="3"/>
      <c r="J3" s="3"/>
      <c r="K3" s="3"/>
      <c r="L3" s="4">
        <v>0</v>
      </c>
      <c r="M3" s="4">
        <v>6917.99</v>
      </c>
      <c r="N3" s="3" t="s">
        <v>2186</v>
      </c>
      <c r="O3" s="3" t="s">
        <v>2187</v>
      </c>
    </row>
    <row r="4" spans="1:15">
      <c r="A4" s="2">
        <v>46230</v>
      </c>
      <c r="B4" s="3" t="s">
        <v>2102</v>
      </c>
      <c r="C4" s="3" t="s">
        <v>2103</v>
      </c>
      <c r="D4" s="3"/>
      <c r="E4" s="3"/>
      <c r="F4" s="3"/>
      <c r="G4" s="2">
        <v>46203</v>
      </c>
      <c r="H4" s="4">
        <v>-500</v>
      </c>
      <c r="I4" s="3"/>
      <c r="J4" s="3"/>
      <c r="K4" s="3"/>
      <c r="L4" s="4">
        <v>0</v>
      </c>
      <c r="M4" s="4">
        <v>-500</v>
      </c>
      <c r="N4" s="3" t="s">
        <v>2189</v>
      </c>
      <c r="O4" s="3" t="s">
        <v>2190</v>
      </c>
    </row>
    <row r="5" spans="1:15">
      <c r="A5" s="2">
        <v>46230</v>
      </c>
      <c r="B5" s="3" t="s">
        <v>459</v>
      </c>
      <c r="C5" s="3"/>
      <c r="D5" s="3"/>
      <c r="E5" s="3"/>
      <c r="F5" s="3"/>
      <c r="G5" s="2">
        <v>46202</v>
      </c>
      <c r="H5" s="4">
        <v>831.72</v>
      </c>
      <c r="I5" s="3"/>
      <c r="J5" s="3"/>
      <c r="K5" s="3"/>
      <c r="L5" s="4">
        <v>-20.79</v>
      </c>
      <c r="M5" s="4">
        <v>810.93</v>
      </c>
      <c r="N5" s="3" t="s">
        <v>2189</v>
      </c>
      <c r="O5" s="3" t="s">
        <v>2190</v>
      </c>
    </row>
    <row r="6" spans="1:15">
      <c r="A6" s="2">
        <v>46230</v>
      </c>
      <c r="B6" s="3" t="s">
        <v>457</v>
      </c>
      <c r="C6" s="3"/>
      <c r="D6" s="3"/>
      <c r="E6" s="3"/>
      <c r="F6" s="3"/>
      <c r="G6" s="2">
        <v>46201</v>
      </c>
      <c r="H6" s="4">
        <v>1201.35</v>
      </c>
      <c r="I6" s="3"/>
      <c r="J6" s="3"/>
      <c r="K6" s="3"/>
      <c r="L6" s="4">
        <v>-30.03</v>
      </c>
      <c r="M6" s="4">
        <v>1171.32</v>
      </c>
      <c r="N6" s="3" t="s">
        <v>2189</v>
      </c>
      <c r="O6" s="3" t="s">
        <v>2190</v>
      </c>
    </row>
    <row r="7" spans="1:15">
      <c r="A7" s="2">
        <v>46230</v>
      </c>
      <c r="B7" s="3" t="s">
        <v>458</v>
      </c>
      <c r="C7" s="3"/>
      <c r="D7" s="3"/>
      <c r="E7" s="3"/>
      <c r="F7" s="3"/>
      <c r="G7" s="2">
        <v>46201</v>
      </c>
      <c r="H7" s="4">
        <v>2227.67</v>
      </c>
      <c r="I7" s="3"/>
      <c r="J7" s="3"/>
      <c r="K7" s="3"/>
      <c r="L7" s="4">
        <v>-55.69</v>
      </c>
      <c r="M7" s="4">
        <v>2171.98</v>
      </c>
      <c r="N7" s="3" t="s">
        <v>2189</v>
      </c>
      <c r="O7" s="3" t="s">
        <v>2190</v>
      </c>
    </row>
    <row r="8" spans="1:15">
      <c r="A8" s="2">
        <v>46258</v>
      </c>
      <c r="B8" s="3" t="s">
        <v>485</v>
      </c>
      <c r="C8" s="3"/>
      <c r="D8" s="3"/>
      <c r="E8" s="3"/>
      <c r="F8" s="3"/>
      <c r="G8" s="2">
        <v>46232</v>
      </c>
      <c r="H8" s="4">
        <v>9946.3</v>
      </c>
      <c r="I8" s="3"/>
      <c r="J8" s="3"/>
      <c r="K8" s="3"/>
      <c r="L8" s="4">
        <v>-248.66</v>
      </c>
      <c r="M8" s="4">
        <v>9697.64</v>
      </c>
      <c r="N8" s="3" t="s">
        <v>2191</v>
      </c>
      <c r="O8" s="3" t="s">
        <v>2192</v>
      </c>
    </row>
    <row r="9" spans="1:15">
      <c r="A9" s="2">
        <v>46258</v>
      </c>
      <c r="B9" s="3" t="s">
        <v>459</v>
      </c>
      <c r="C9" s="3"/>
      <c r="D9" s="3"/>
      <c r="E9" s="3"/>
      <c r="F9" s="3"/>
      <c r="G9" s="2">
        <v>46202</v>
      </c>
      <c r="H9" s="4">
        <v>2232.01</v>
      </c>
      <c r="I9" s="3"/>
      <c r="J9" s="3"/>
      <c r="K9" s="3"/>
      <c r="L9" s="4">
        <v>0</v>
      </c>
      <c r="M9" s="4">
        <v>2232.01</v>
      </c>
      <c r="N9" s="3" t="s">
        <v>2191</v>
      </c>
      <c r="O9" s="3" t="s">
        <v>2192</v>
      </c>
    </row>
    <row r="10" spans="1:15">
      <c r="A10" s="2">
        <v>46265</v>
      </c>
      <c r="B10" s="3" t="s">
        <v>484</v>
      </c>
      <c r="C10" s="3"/>
      <c r="D10" s="3"/>
      <c r="E10" s="3"/>
      <c r="F10" s="3"/>
      <c r="G10" s="2">
        <v>46238</v>
      </c>
      <c r="H10" s="4">
        <v>29981.04</v>
      </c>
      <c r="I10" s="3"/>
      <c r="J10" s="3"/>
      <c r="K10" s="3"/>
      <c r="L10" s="4">
        <v>-749.53</v>
      </c>
      <c r="M10" s="4">
        <v>29231.51</v>
      </c>
      <c r="N10" s="3" t="s">
        <v>2193</v>
      </c>
      <c r="O10" s="3" t="s">
        <v>2194</v>
      </c>
    </row>
    <row r="11" spans="1:15">
      <c r="A11" s="2">
        <v>46265</v>
      </c>
      <c r="B11" s="3" t="s">
        <v>458</v>
      </c>
      <c r="C11" s="3"/>
      <c r="D11" s="3"/>
      <c r="E11" s="3"/>
      <c r="F11" s="3"/>
      <c r="G11" s="2">
        <v>46201</v>
      </c>
      <c r="H11" s="4">
        <v>6197.11</v>
      </c>
      <c r="I11" s="3"/>
      <c r="J11" s="3"/>
      <c r="K11" s="3"/>
      <c r="L11" s="4">
        <v>0</v>
      </c>
      <c r="M11" s="4">
        <v>6197.11</v>
      </c>
      <c r="N11" s="3" t="s">
        <v>2193</v>
      </c>
      <c r="O11" s="3" t="s">
        <v>2194</v>
      </c>
    </row>
    <row r="12" spans="1:15">
      <c r="A12" s="2">
        <v>46286</v>
      </c>
      <c r="B12" s="3" t="s">
        <v>509</v>
      </c>
      <c r="C12" s="3"/>
      <c r="D12" s="3"/>
      <c r="E12" s="3"/>
      <c r="F12" s="3"/>
      <c r="G12" s="2">
        <v>46243</v>
      </c>
      <c r="H12" s="4">
        <v>1567.54</v>
      </c>
      <c r="I12" s="3"/>
      <c r="J12" s="3"/>
      <c r="K12" s="3"/>
      <c r="L12" s="4">
        <v>0</v>
      </c>
      <c r="M12" s="4">
        <v>1567.54</v>
      </c>
      <c r="N12" s="3" t="s">
        <v>2195</v>
      </c>
      <c r="O12" s="3" t="s">
        <v>2196</v>
      </c>
    </row>
    <row r="13" spans="1:15">
      <c r="A13" s="2">
        <v>46286</v>
      </c>
      <c r="B13" s="3" t="s">
        <v>510</v>
      </c>
      <c r="C13" s="3"/>
      <c r="D13" s="3"/>
      <c r="E13" s="3"/>
      <c r="F13" s="3"/>
      <c r="G13" s="2">
        <v>46243</v>
      </c>
      <c r="H13" s="4">
        <v>360.31</v>
      </c>
      <c r="I13" s="3"/>
      <c r="J13" s="3"/>
      <c r="K13" s="3"/>
      <c r="L13" s="4">
        <v>0</v>
      </c>
      <c r="M13" s="4">
        <v>360.31</v>
      </c>
      <c r="N13" s="3" t="s">
        <v>2195</v>
      </c>
      <c r="O13" s="3" t="s">
        <v>2196</v>
      </c>
    </row>
    <row r="14" spans="1:15">
      <c r="A14" s="2">
        <v>46286</v>
      </c>
      <c r="B14" s="3" t="s">
        <v>511</v>
      </c>
      <c r="C14" s="3"/>
      <c r="D14" s="3"/>
      <c r="E14" s="3"/>
      <c r="F14" s="3"/>
      <c r="G14" s="2">
        <v>46258</v>
      </c>
      <c r="H14" s="4">
        <v>1482.65</v>
      </c>
      <c r="I14" s="3"/>
      <c r="J14" s="3"/>
      <c r="K14" s="3"/>
      <c r="L14" s="4">
        <v>-37.07</v>
      </c>
      <c r="M14" s="4">
        <v>1445.58</v>
      </c>
      <c r="N14" s="3" t="s">
        <v>2195</v>
      </c>
      <c r="O14" s="3" t="s">
        <v>2196</v>
      </c>
    </row>
    <row r="15" spans="1:15">
      <c r="A15" s="2">
        <v>46286</v>
      </c>
      <c r="B15" s="3" t="s">
        <v>512</v>
      </c>
      <c r="C15" s="3"/>
      <c r="D15" s="3"/>
      <c r="E15" s="3"/>
      <c r="F15" s="3"/>
      <c r="G15" s="2">
        <v>46260</v>
      </c>
      <c r="H15" s="4">
        <v>3778.79</v>
      </c>
      <c r="I15" s="3"/>
      <c r="J15" s="3"/>
      <c r="K15" s="3"/>
      <c r="L15" s="4">
        <v>-94.47</v>
      </c>
      <c r="M15" s="4">
        <v>3684.32</v>
      </c>
      <c r="N15" s="3" t="s">
        <v>2195</v>
      </c>
      <c r="O15" s="3" t="s">
        <v>2196</v>
      </c>
    </row>
    <row r="16" spans="1:15">
      <c r="A16" s="2">
        <v>46286</v>
      </c>
      <c r="B16" s="3" t="s">
        <v>514</v>
      </c>
      <c r="C16" s="3"/>
      <c r="D16" s="3"/>
      <c r="E16" s="3"/>
      <c r="F16" s="3"/>
      <c r="G16" s="2">
        <v>46260</v>
      </c>
      <c r="H16" s="4">
        <v>7401.45</v>
      </c>
      <c r="I16" s="3"/>
      <c r="J16" s="3"/>
      <c r="K16" s="3"/>
      <c r="L16" s="4">
        <v>-185.04</v>
      </c>
      <c r="M16" s="4">
        <v>7216.41</v>
      </c>
      <c r="N16" s="3" t="s">
        <v>2195</v>
      </c>
      <c r="O16" s="3" t="s">
        <v>2196</v>
      </c>
    </row>
    <row r="17" spans="1:15">
      <c r="A17" s="2">
        <v>46286</v>
      </c>
      <c r="B17" s="3" t="s">
        <v>513</v>
      </c>
      <c r="C17" s="3"/>
      <c r="D17" s="3"/>
      <c r="E17" s="3"/>
      <c r="F17" s="3"/>
      <c r="G17" s="2">
        <v>46260</v>
      </c>
      <c r="H17" s="4">
        <v>1909.29</v>
      </c>
      <c r="I17" s="3"/>
      <c r="J17" s="3"/>
      <c r="K17" s="3"/>
      <c r="L17" s="4">
        <v>-47.73</v>
      </c>
      <c r="M17" s="4">
        <v>1861.56</v>
      </c>
      <c r="N17" s="3" t="s">
        <v>2195</v>
      </c>
      <c r="O17" s="3" t="s">
        <v>2196</v>
      </c>
    </row>
    <row r="18" spans="1:15">
      <c r="A18" s="2">
        <v>46286</v>
      </c>
      <c r="B18" s="3" t="s">
        <v>512</v>
      </c>
      <c r="C18" s="3"/>
      <c r="D18" s="3"/>
      <c r="E18" s="3"/>
      <c r="F18" s="3"/>
      <c r="G18" s="2">
        <v>46260</v>
      </c>
      <c r="H18" s="4">
        <v>6320.51</v>
      </c>
      <c r="I18" s="3"/>
      <c r="J18" s="3"/>
      <c r="K18" s="3"/>
      <c r="L18" s="4">
        <v>-158.01</v>
      </c>
      <c r="M18" s="4">
        <v>6162.5</v>
      </c>
      <c r="N18" s="3" t="s">
        <v>2195</v>
      </c>
      <c r="O18" s="3" t="s">
        <v>2196</v>
      </c>
    </row>
    <row r="19" spans="1:15">
      <c r="A19" s="2">
        <v>46286</v>
      </c>
      <c r="B19" s="3" t="s">
        <v>514</v>
      </c>
      <c r="C19" s="3"/>
      <c r="D19" s="3"/>
      <c r="E19" s="3"/>
      <c r="F19" s="3"/>
      <c r="G19" s="2">
        <v>46260</v>
      </c>
      <c r="H19" s="4">
        <v>281.98</v>
      </c>
      <c r="I19" s="3"/>
      <c r="J19" s="3"/>
      <c r="K19" s="3"/>
      <c r="L19" s="4">
        <v>-7.05</v>
      </c>
      <c r="M19" s="4">
        <v>274.93</v>
      </c>
      <c r="N19" s="3" t="s">
        <v>2195</v>
      </c>
      <c r="O19" s="3" t="s">
        <v>2196</v>
      </c>
    </row>
    <row r="20" spans="1:15">
      <c r="A20" s="2">
        <v>46286</v>
      </c>
      <c r="B20" s="3" t="s">
        <v>513</v>
      </c>
      <c r="C20" s="3"/>
      <c r="D20" s="3"/>
      <c r="E20" s="3"/>
      <c r="F20" s="3"/>
      <c r="G20" s="2">
        <v>46260</v>
      </c>
      <c r="H20" s="4">
        <v>56.43</v>
      </c>
      <c r="I20" s="3"/>
      <c r="J20" s="3"/>
      <c r="K20" s="3"/>
      <c r="L20" s="4">
        <v>-1.41</v>
      </c>
      <c r="M20" s="4">
        <v>55.02</v>
      </c>
      <c r="N20" s="3" t="s">
        <v>2195</v>
      </c>
      <c r="O20" s="3" t="s">
        <v>2196</v>
      </c>
    </row>
    <row r="21" spans="1:15">
      <c r="A21" s="2">
        <v>46286</v>
      </c>
      <c r="B21" s="3" t="s">
        <v>2110</v>
      </c>
      <c r="C21" s="3" t="s">
        <v>2108</v>
      </c>
      <c r="D21" s="3"/>
      <c r="E21" s="3"/>
      <c r="F21" s="3"/>
      <c r="G21" s="2">
        <v>46283</v>
      </c>
      <c r="H21" s="4">
        <v>-6000</v>
      </c>
      <c r="I21" s="3"/>
      <c r="J21" s="3"/>
      <c r="K21" s="3"/>
      <c r="L21" s="4">
        <v>0</v>
      </c>
      <c r="M21" s="4">
        <v>-6000</v>
      </c>
      <c r="N21" s="3" t="s">
        <v>2195</v>
      </c>
      <c r="O21" s="3" t="s">
        <v>2196</v>
      </c>
    </row>
    <row r="22" spans="1:15">
      <c r="A22" s="2">
        <v>46286</v>
      </c>
      <c r="B22" s="3" t="s">
        <v>2112</v>
      </c>
      <c r="C22" s="3" t="s">
        <v>2111</v>
      </c>
      <c r="D22" s="3"/>
      <c r="E22" s="3"/>
      <c r="F22" s="3"/>
      <c r="G22" s="2">
        <v>46283</v>
      </c>
      <c r="H22" s="4">
        <v>-0.84</v>
      </c>
      <c r="I22" s="3"/>
      <c r="J22" s="3"/>
      <c r="K22" s="3"/>
      <c r="L22" s="4">
        <v>0</v>
      </c>
      <c r="M22" s="4">
        <v>-0.84</v>
      </c>
      <c r="N22" s="3" t="s">
        <v>2195</v>
      </c>
      <c r="O22" s="3" t="s">
        <v>2196</v>
      </c>
    </row>
    <row r="23" spans="1:15">
      <c r="A23" s="2">
        <v>46286</v>
      </c>
      <c r="B23" s="3" t="s">
        <v>2114</v>
      </c>
      <c r="C23" s="3" t="s">
        <v>2113</v>
      </c>
      <c r="D23" s="3"/>
      <c r="E23" s="3"/>
      <c r="F23" s="3"/>
      <c r="G23" s="2">
        <v>46283</v>
      </c>
      <c r="H23" s="4">
        <v>-31.06</v>
      </c>
      <c r="I23" s="3"/>
      <c r="J23" s="3"/>
      <c r="K23" s="3"/>
      <c r="L23" s="4">
        <v>0</v>
      </c>
      <c r="M23" s="4">
        <v>-31.06</v>
      </c>
      <c r="N23" s="3" t="s">
        <v>2195</v>
      </c>
      <c r="O23" s="3" t="s">
        <v>2196</v>
      </c>
    </row>
    <row r="24" spans="1:15">
      <c r="A24" s="2">
        <v>46286</v>
      </c>
      <c r="B24" s="3" t="s">
        <v>2116</v>
      </c>
      <c r="C24" s="3" t="s">
        <v>2115</v>
      </c>
      <c r="D24" s="3"/>
      <c r="E24" s="3"/>
      <c r="F24" s="3"/>
      <c r="G24" s="2">
        <v>46284</v>
      </c>
      <c r="H24" s="4">
        <v>-8940.59</v>
      </c>
      <c r="I24" s="3"/>
      <c r="J24" s="3"/>
      <c r="K24" s="3"/>
      <c r="L24" s="4">
        <v>0</v>
      </c>
      <c r="M24" s="4">
        <v>-8940.59</v>
      </c>
      <c r="N24" s="3" t="s">
        <v>2195</v>
      </c>
      <c r="O24" s="3" t="s">
        <v>2196</v>
      </c>
    </row>
    <row r="25" spans="1:15">
      <c r="A25" s="2">
        <v>46293</v>
      </c>
      <c r="B25" s="3" t="s">
        <v>516</v>
      </c>
      <c r="C25" s="3"/>
      <c r="D25" s="3"/>
      <c r="E25" s="3"/>
      <c r="F25" s="3"/>
      <c r="G25" s="2">
        <v>46265</v>
      </c>
      <c r="H25" s="4">
        <v>18335.59</v>
      </c>
      <c r="I25" s="3"/>
      <c r="J25" s="3"/>
      <c r="K25" s="3"/>
      <c r="L25" s="4">
        <v>-458.39</v>
      </c>
      <c r="M25" s="4">
        <v>17877.2</v>
      </c>
      <c r="N25" s="3" t="s">
        <v>2197</v>
      </c>
      <c r="O25" s="3" t="s">
        <v>2198</v>
      </c>
    </row>
    <row r="26" spans="1:15">
      <c r="A26" s="2">
        <v>46293</v>
      </c>
      <c r="B26" s="3" t="s">
        <v>515</v>
      </c>
      <c r="C26" s="3"/>
      <c r="D26" s="3"/>
      <c r="E26" s="3"/>
      <c r="F26" s="3"/>
      <c r="G26" s="2">
        <v>46265</v>
      </c>
      <c r="H26" s="4">
        <v>20808.57</v>
      </c>
      <c r="I26" s="3"/>
      <c r="J26" s="3"/>
      <c r="K26" s="3"/>
      <c r="L26" s="4">
        <v>-520.21</v>
      </c>
      <c r="M26" s="4">
        <v>20288.36</v>
      </c>
      <c r="N26" s="3" t="s">
        <v>2197</v>
      </c>
      <c r="O26" s="3" t="s">
        <v>2198</v>
      </c>
    </row>
    <row r="27" spans="1:15">
      <c r="A27" s="2">
        <v>46293</v>
      </c>
      <c r="B27" s="3" t="s">
        <v>517</v>
      </c>
      <c r="C27" s="3"/>
      <c r="D27" s="3"/>
      <c r="E27" s="3"/>
      <c r="F27" s="3"/>
      <c r="G27" s="2">
        <v>46267</v>
      </c>
      <c r="H27" s="4">
        <v>1186.11</v>
      </c>
      <c r="I27" s="3"/>
      <c r="J27" s="3"/>
      <c r="K27" s="3"/>
      <c r="L27" s="4">
        <v>-29.65</v>
      </c>
      <c r="M27" s="4">
        <v>1156.46</v>
      </c>
      <c r="N27" s="3" t="s">
        <v>2197</v>
      </c>
      <c r="O27" s="3" t="s">
        <v>2198</v>
      </c>
    </row>
    <row r="28" spans="1:15">
      <c r="A28" s="2">
        <v>46293</v>
      </c>
      <c r="B28" s="3" t="s">
        <v>517</v>
      </c>
      <c r="C28" s="3"/>
      <c r="D28" s="3"/>
      <c r="E28" s="3"/>
      <c r="F28" s="3"/>
      <c r="G28" s="2">
        <v>46267</v>
      </c>
      <c r="H28" s="4">
        <v>1692.99</v>
      </c>
      <c r="I28" s="3"/>
      <c r="J28" s="3"/>
      <c r="K28" s="3"/>
      <c r="L28" s="4">
        <v>-42.32</v>
      </c>
      <c r="M28" s="4">
        <v>1650.67</v>
      </c>
      <c r="N28" s="3" t="s">
        <v>2197</v>
      </c>
      <c r="O28" s="3" t="s">
        <v>2198</v>
      </c>
    </row>
    <row r="29" spans="1:15">
      <c r="A29" s="2">
        <v>46293</v>
      </c>
      <c r="B29" s="3" t="s">
        <v>515</v>
      </c>
      <c r="C29" s="3"/>
      <c r="D29" s="3"/>
      <c r="E29" s="3"/>
      <c r="F29" s="3"/>
      <c r="G29" s="2">
        <v>46265</v>
      </c>
      <c r="H29" s="4">
        <v>1824.88</v>
      </c>
      <c r="I29" s="3"/>
      <c r="J29" s="3"/>
      <c r="K29" s="3"/>
      <c r="L29" s="4">
        <v>-45.62</v>
      </c>
      <c r="M29" s="4">
        <v>1779.26</v>
      </c>
      <c r="N29" s="3" t="s">
        <v>2197</v>
      </c>
      <c r="O29" s="3" t="s">
        <v>2198</v>
      </c>
    </row>
    <row r="30" spans="1:15">
      <c r="A30" s="2">
        <v>46293</v>
      </c>
      <c r="B30" s="3" t="s">
        <v>487</v>
      </c>
      <c r="C30" s="3"/>
      <c r="D30" s="3"/>
      <c r="E30" s="3"/>
      <c r="F30" s="3"/>
      <c r="G30" s="2">
        <v>46265</v>
      </c>
      <c r="H30" s="4">
        <v>21623.95</v>
      </c>
      <c r="I30" s="3"/>
      <c r="J30" s="3"/>
      <c r="K30" s="3"/>
      <c r="L30" s="4">
        <v>-540.6</v>
      </c>
      <c r="M30" s="4">
        <v>21083.35</v>
      </c>
      <c r="N30" s="3" t="s">
        <v>2197</v>
      </c>
      <c r="O30" s="3" t="s">
        <v>2198</v>
      </c>
    </row>
    <row r="31" spans="1:15">
      <c r="A31" s="2">
        <v>46300</v>
      </c>
      <c r="B31" s="3" t="s">
        <v>486</v>
      </c>
      <c r="C31" s="3"/>
      <c r="D31" s="3"/>
      <c r="E31" s="3"/>
      <c r="F31" s="3"/>
      <c r="G31" s="2">
        <v>46271</v>
      </c>
      <c r="H31" s="4">
        <v>32945.94</v>
      </c>
      <c r="I31" s="3"/>
      <c r="J31" s="3"/>
      <c r="K31" s="3"/>
      <c r="L31" s="4">
        <v>-823.65</v>
      </c>
      <c r="M31" s="4">
        <v>32122.29</v>
      </c>
      <c r="N31" s="3" t="s">
        <v>2199</v>
      </c>
      <c r="O31" s="3" t="s">
        <v>2200</v>
      </c>
    </row>
    <row r="32" spans="1:15">
      <c r="A32" s="2">
        <v>46308</v>
      </c>
      <c r="B32" s="3" t="s">
        <v>523</v>
      </c>
      <c r="C32" s="3"/>
      <c r="D32" s="3"/>
      <c r="E32" s="3"/>
      <c r="F32" s="3"/>
      <c r="G32" s="2">
        <v>46280</v>
      </c>
      <c r="H32" s="4">
        <v>11398.1</v>
      </c>
      <c r="I32" s="3"/>
      <c r="J32" s="3"/>
      <c r="K32" s="3"/>
      <c r="L32" s="4">
        <v>-284.95</v>
      </c>
      <c r="M32" s="4">
        <v>11113.15</v>
      </c>
      <c r="N32" s="3" t="s">
        <v>2201</v>
      </c>
      <c r="O32" s="3" t="s">
        <v>2202</v>
      </c>
    </row>
    <row r="33" spans="1:15">
      <c r="A33" s="2">
        <v>46314</v>
      </c>
      <c r="B33" s="3" t="s">
        <v>486</v>
      </c>
      <c r="C33" s="3"/>
      <c r="D33" s="3"/>
      <c r="E33" s="3"/>
      <c r="F33" s="3"/>
      <c r="G33" s="2">
        <v>46271</v>
      </c>
      <c r="H33" s="4">
        <v>2996.04</v>
      </c>
      <c r="I33" s="3"/>
      <c r="J33" s="3"/>
      <c r="K33" s="3"/>
      <c r="L33" s="4">
        <v>0</v>
      </c>
      <c r="M33" s="4">
        <v>2996.04</v>
      </c>
      <c r="N33" s="3" t="s">
        <v>2203</v>
      </c>
      <c r="O33" s="3" t="s">
        <v>2204</v>
      </c>
    </row>
    <row r="34" spans="1:15">
      <c r="A34" s="2">
        <v>46314</v>
      </c>
      <c r="B34" s="3" t="s">
        <v>486</v>
      </c>
      <c r="C34" s="3"/>
      <c r="D34" s="3"/>
      <c r="E34" s="3"/>
      <c r="F34" s="3"/>
      <c r="G34" s="2">
        <v>46271</v>
      </c>
      <c r="H34" s="4">
        <v>67.94</v>
      </c>
      <c r="I34" s="3"/>
      <c r="J34" s="3"/>
      <c r="K34" s="3"/>
      <c r="L34" s="4">
        <v>0</v>
      </c>
      <c r="M34" s="4">
        <v>67.94</v>
      </c>
      <c r="N34" s="3" t="s">
        <v>2203</v>
      </c>
      <c r="O34" s="3" t="s">
        <v>2204</v>
      </c>
    </row>
    <row r="35" spans="1:15">
      <c r="A35" s="2">
        <v>46314</v>
      </c>
      <c r="B35" s="3" t="s">
        <v>2205</v>
      </c>
      <c r="C35" s="3" t="s">
        <v>2206</v>
      </c>
      <c r="D35" s="3"/>
      <c r="E35" s="3"/>
      <c r="F35" s="3"/>
      <c r="G35" s="2">
        <v>46310</v>
      </c>
      <c r="H35" s="4">
        <v>-324.67</v>
      </c>
      <c r="I35" s="3"/>
      <c r="J35" s="3"/>
      <c r="K35" s="3"/>
      <c r="L35" s="4">
        <v>0</v>
      </c>
      <c r="M35" s="4">
        <v>-324.67</v>
      </c>
      <c r="N35" s="3" t="s">
        <v>2203</v>
      </c>
      <c r="O35" s="3" t="s">
        <v>2204</v>
      </c>
    </row>
    <row r="36" spans="1:15">
      <c r="A36" s="2">
        <v>46314</v>
      </c>
      <c r="B36" s="3" t="s">
        <v>2207</v>
      </c>
      <c r="C36" s="3" t="s">
        <v>2208</v>
      </c>
      <c r="D36" s="3"/>
      <c r="E36" s="3"/>
      <c r="F36" s="3"/>
      <c r="G36" s="2">
        <v>46310</v>
      </c>
      <c r="H36" s="4">
        <v>-21.31</v>
      </c>
      <c r="I36" s="3"/>
      <c r="J36" s="3"/>
      <c r="K36" s="3"/>
      <c r="L36" s="4">
        <v>0</v>
      </c>
      <c r="M36" s="4">
        <v>-21.31</v>
      </c>
      <c r="N36" s="3" t="s">
        <v>2203</v>
      </c>
      <c r="O36" s="3" t="s">
        <v>2204</v>
      </c>
    </row>
    <row r="37" spans="1:15">
      <c r="A37" s="2">
        <v>46314</v>
      </c>
      <c r="B37" s="3" t="s">
        <v>2209</v>
      </c>
      <c r="C37" s="3" t="s">
        <v>2210</v>
      </c>
      <c r="D37" s="3"/>
      <c r="E37" s="3"/>
      <c r="F37" s="3"/>
      <c r="G37" s="2">
        <v>46310</v>
      </c>
      <c r="H37" s="4">
        <v>-7.83</v>
      </c>
      <c r="I37" s="3"/>
      <c r="J37" s="3"/>
      <c r="K37" s="3"/>
      <c r="L37" s="4">
        <v>0</v>
      </c>
      <c r="M37" s="4">
        <v>-7.83</v>
      </c>
      <c r="N37" s="3" t="s">
        <v>2203</v>
      </c>
      <c r="O37" s="3" t="s">
        <v>2204</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2.7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vExts xmlns="http://www.wps.cn/et/2023/dataValidationExt" xmlns:s="http://schemas.openxmlformats.org/spreadsheetml/2006/main">
  <dvExt uuid="{40018bec-c41d-4a4d-88d3-02af115f9bf0}">
    <list multiSupport="0" colorSupport="1">
      <item index="0">
        <color s:rgb="FFE2F5E3"/>
      </item>
      <item index="1">
        <color s:rgb="FFFDE3DC"/>
      </item>
      <item index="2">
        <color s:rgb="FFF1F1F1"/>
      </item>
    </list>
  </dvExt>
</dvExts>
</file>

<file path=customXml/item2.xml><?xml version="1.0" encoding="utf-8"?>
<comments xmlns="https://web.wps.cn/et/2018/main" xmlns:s="http://schemas.openxmlformats.org/spreadsheetml/2006/main" xmlns:r="http://schemas.openxmlformats.org/officeDocument/2006/relationships">
  <commentList sheetStid="8">
    <commentChains s:ref="F1" rgbClr="FF0000">
      <unresolved/>
      <resolved>
        <commentChain chainId="dd7c8d63e3d028f44a9463833e899974bf9a835f">
          <item id="052f03a8951a9b0ae3c449fee5d4cf8b9f733b9e" userID="545823343" userName="Blue" dateTime="2026-06-30T05:46:17" isNormal="0">
            <s:text>
              <s:r>
                <s:t xml:space="preserve">订单箱数*3美金</s:t>
              </s:r>
            </s:text>
          </item>
        </commentChain>
      </resolved>
    </commentChains>
    <commentChains s:ref="J1" rgbClr="FF0000">
      <unresolved>
        <commentChain chainId="3f2d51d29f3b54bcf731db4de21c7c9946d17e27">
          <item id="165b1f1e55990e6bc2b190c7296389fca929db70" userID="545823343" userName="Blue" dateTime="2026-06-30T05:46:52" isNormal="0">
            <s:text>
              <s:r>
                <s:t xml:space="preserve">Jacky给到</s:t>
              </s:r>
            </s:text>
          </item>
        </commentChain>
      </unresolved>
      <resolved/>
    </commentChains>
    <commentChains s:ref="K1" rgbClr="FF0000">
      <unresolved>
        <commentChain chainId="5b16c6acbae9907ab4a4f0cd06fc4fdf62186c40">
          <item id="f6b40db8f03352326cd7c3fcec26541a4abe8e1f" userID="545823343" userName="Blue" dateTime="2026-06-30T05:47:24" isNormal="0">
            <s:text>
              <s:r>
                <s:t xml:space="preserve">Petco4.5% PSP5% Petsmart2%</s:t>
              </s:r>
            </s:text>
          </item>
        </commentChain>
      </unresolved>
      <resolved/>
    </commentChains>
    <commentChains s:ref="N1" rgbClr="FF0000">
      <unresolved>
        <commentChain chainId="0a192f3d8c47ca0bd77fa8f4c22eaec6af2cc20e">
          <item id="72431416ec842f09d94469595f61518ebbace297" userID="545823343" userName="Blue" dateTime="2026-06-30T05:46:37" isNormal="0">
            <s:text>
              <s:r>
                <s:t xml:space="preserve">首单6% 翻单4%</s:t>
              </s:r>
            </s:text>
          </item>
        </commentChain>
      </unresolved>
      <resolved/>
    </commentChains>
    <commentChains s:ref="S45" rgbClr="FF0000">
      <unresolved>
        <commentChain chainId="95f533a0abcbf74f5cc95032f1833a4061fb1765">
          <item id="3af9b64397fc35f1fffed278ff2e451dc506b876" userID="722201520" userName="H66_" dateTime="2026-09-18T09:15:21" isNormal="0">
            <s:text>
              <s:r>
                <s:t xml:space="preserve">JUC20260521-002</s:t>
              </s:r>
            </s:text>
          </item>
        </commentChain>
      </unresolved>
      <resolved/>
    </commentChains>
    <commentChains s:ref="S49" rgbClr="FF0000">
      <unresolved>
        <commentChain chainId="708db76374988c5aa97141b8801120b63ef3c45b">
          <item id="f5cec373f3751e8545211df2930d8ed9d309d382" userID="722201520" userName="H66_" dateTime="2026-09-18T09:15:38" isNormal="0">
            <s:text>
              <s:r>
                <s:t xml:space="preserve">JUC20260525001</s:t>
              </s:r>
            </s:text>
          </item>
        </commentChain>
      </unresolved>
      <resolved/>
    </commentChains>
    <commentChains s:ref="S53" rgbClr="FF0000">
      <unresolved>
        <commentChain chainId="edf32fe86d287feaaa4254135e89564497248426">
          <item id="ef2e1eb0106500d656d1950473533a02fad0094a" userID="722201520" userName="H66_" dateTime="2026-09-18T09:16:12" isNormal="0">
            <s:text>
              <s:r>
                <s:t xml:space="preserve">JUC20260521005</s:t>
              </s:r>
            </s:text>
          </item>
        </commentChain>
      </unresolved>
      <resolved/>
    </commentChains>
    <commentChains s:ref="U72" rgbClr="FF0000">
      <unresolved>
        <commentChain chainId="918c3b07080588129a31559d12dd9b75513c2c5b">
          <item id="1273882e656cc9df74613ff93c334eb9bdfb30ea" userID="722201520" userName="H66_" dateTime="2026-09-18T02:27:07" isNormal="0">
            <s:text>
              <s:r>
                <s:t xml:space="preserve">INVOICE - COOP </s:t>
              </s:r>
            </s:text>
          </item>
        </commentChain>
      </unresolved>
      <resolved/>
    </commentChains>
  </commentList>
</comments>
</file>

<file path=customXml/item3.xml><?xml version="1.0" encoding="utf-8"?>
<autofilters xmlns="https://web.wps.cn/et/2018/main">
  <sheetItem sheetStid="1">
    <filterData filterID="545823343"/>
    <filterData filterID="545109831"/>
  </sheetItem>
  <sheetItem sheetStid="13">
    <filterData filterID="545109831"/>
  </sheetItem>
  <sheetItem sheetStid="5">
    <filterData filterID="545109831"/>
    <filterData filterID="545823343"/>
  </sheetItem>
  <sheetItem sheetStid="8">
    <filterData filterID="722201520"/>
    <filterData filterID="545109831">
      <hiddenRange rowFrom="80" rowTo="83"/>
      <hiddenRange rowFrom="86" rowTo="112"/>
      <hiddenRange rowFrom="114" rowTo="120"/>
    </filterData>
  </sheetItem>
  <sheetItem sheetStid="2">
    <filterData filterID="545823343"/>
  </sheetItem>
  <sheetItem sheetStid="3">
    <filterData filterID="545823343"/>
    <filterData filterID="545109831"/>
  </sheetItem>
  <sheetItem sheetStid="15">
    <filterData filterID="545823343">
      <hiddenRange rowFrom="1" rowTo="45"/>
      <hiddenRange rowFrom="47" rowTo="57"/>
      <hiddenRange rowFrom="59" rowTo="71"/>
      <hiddenRange rowFrom="73" rowTo="75"/>
      <hiddenRange rowFrom="77" rowTo="92"/>
    </filterData>
    <autofilterInfo filterID="545823343">
      <autoFilter xmlns="http://schemas.openxmlformats.org/spreadsheetml/2006/main" ref="A1:N93">
        <filterColumn colId="13">
          <customFilters>
            <customFilter operator="equal" val="Ceramic"/>
          </customFilters>
        </filterColumn>
      </autoFilter>
    </autofilterInfo>
  </sheetItem>
  <sheetItem sheetStid="6">
    <filterData filterID="250042139"/>
    <filterData filterID="545823343"/>
    <filterData filterID="1168358827"/>
    <filterData filterID="545109831"/>
  </sheetItem>
  <sheetItem sheetStid="14">
    <filterData filterID="722201520"/>
  </sheetItem>
  <sheetItem sheetStid="20">
    <filterData filterID="722201520">
      <hiddenRange rowFrom="2" rowTo="25"/>
      <hiddenRange rowFrom="27" rowTo="30"/>
      <hiddenRange rowFrom="32" rowTo="33"/>
      <hiddenRange rowFrom="36" rowTo="48"/>
      <hiddenRange rowFrom="50" rowTo="166"/>
    </filterData>
    <autofilterInfo filterID="722201520">
      <autoFilter xmlns="http://schemas.openxmlformats.org/spreadsheetml/2006/main" ref="A2:O167">
        <filterColumn colId="12">
          <customFilters>
            <customFilter operator="equal" val="JUC20260508-001"/>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3" interlineOnOff="0" interlineColor="0" isDbSheet="0" isDashBoardSheet="0" isDbDashBoardSheet="0" isFlexPaperSheet="0">
      <hyperlinks>
        <hyperlink ref="Q4">
          <hypersublink pos="0" length="40" display="📄6.16青岛出-4X40HQ-PSP货架和PSP垫料首单发货清单&amp;金额(1)" address="kw:annex?aType=et&amp;oId=4ZHSCGJIABQCK&amp;fileName=6.16%E9%9D%92%E5%B2%9B%E5%87%BA-4X40HQ-PSP%E8%B4%A7%E6%9E%B6%E5%92%8CPSP%E5%9E%AB%E6%96%99%E9%A6%96%E5%8D%95%E5%8F%91%E8%B4%A7%E6%B8%85%E5%8D%95%26%E9%87%91%E9%A2%9D(1).xls&amp;fileSize=7616512" subaddress="" screenTip="" linkrunstype="LRTMention"/>
        </hyperlink>
        <hyperlink ref="Q9">
          <hypersublink pos="0" length="40" display="📄6.16青岛出-4X40HQ-PSP货架和PSP垫料首单发货清单&amp;金额(1)" address="kw:annex?aType=et&amp;oId=4ZHSCGJIABQCK&amp;fileName=6.16%E9%9D%92%E5%B2%9B%E5%87%BA-4X40HQ-PSP%E8%B4%A7%E6%9E%B6%E5%92%8CPSP%E5%9E%AB%E6%96%99%E9%A6%96%E5%8D%95%E5%8F%91%E8%B4%A7%E6%B8%85%E5%8D%95%26%E9%87%91%E9%A2%9D(1).xls&amp;fileSize=7616512" subaddress="" screenTip="" linkrunstype="LRTMention"/>
        </hyperlink>
        <hyperlink ref="Q7">
          <hypersublink pos="0" length="40" display="📄6.16青岛出-4X40HQ-PSP货架和PSP垫料首单发货清单&amp;金额(1)" address="kw:annex?aType=et&amp;oId=4ZHSCGJIABQCK&amp;fileName=6.16%E9%9D%92%E5%B2%9B%E5%87%BA-4X40HQ-PSP%E8%B4%A7%E6%9E%B6%E5%92%8CPSP%E5%9E%AB%E6%96%99%E9%A6%96%E5%8D%95%E5%8F%91%E8%B4%A7%E6%B8%85%E5%8D%95%26%E9%87%91%E9%A2%9D(1).xls&amp;fileSize=7616512" subaddress="" screenTip="" linkrunstype="LRTMention"/>
        </hyperlink>
        <hyperlink ref="Q8">
          <hypersublink pos="0" length="40" display="📄6.16青岛出-4X40HQ-PSP货架和PSP垫料首单发货清单&amp;金额(1)" address="kw:annex?aType=et&amp;oId=4ZHSCGJIABQCK&amp;fileName=6.16%E9%9D%92%E5%B2%9B%E5%87%BA-4X40HQ-PSP%E8%B4%A7%E6%9E%B6%E5%92%8CPSP%E5%9E%AB%E6%96%99%E9%A6%96%E5%8D%95%E5%8F%91%E8%B4%A7%E6%B8%85%E5%8D%95%26%E9%87%91%E9%A2%9D(1).xls&amp;fileSize=7616512" subaddress="" screenTip="" linkrunstype="LRTMention"/>
        </hyperlink>
        <hyperlink ref="Q2">
          <hypersublink pos="0" length="29" display="📄5.28装-Petco返单水壶+Petsmart小电视" address="kw:annex?aType=et&amp;oId=TMHH7NZHADQA4&amp;fileName=5.28%E8%A3%85-Petco%E8%BF%94%E5%8D%95%E6%B0%B4%E5%A3%B6%2BPetsmart%E5%B0%8F%E7%94%B5%E8%A7%86.xls&amp;fileSize=1587712" subaddress="" screenTip="" linkrunstype="LRTMention"/>
        </hyperlink>
        <hyperlink ref="Q6">
          <hypersublink pos="0" length="31" display="📄6.18装-Petsmart首单+返单木制品出货清单&amp;金额" address="kw:annex?aType=et&amp;oId=LIEVQIRIABQAO&amp;fileName=6.18%E8%A3%85-Petsmart%E9%A6%96%E5%8D%95%2B%E8%BF%94%E5%8D%95%E6%9C%A8%E5%88%B6%E5%93%81%E5%87%BA%E8%B4%A7%E6%B8%85%E5%8D%95%26%E9%87%91%E9%A2%9D.xls&amp;fileSize=115200" subaddress="" screenTip="" linkrunstype="LRTMention"/>
        </hyperlink>
        <hyperlink ref="Q10">
          <hypersublink pos="0" length="38" display="📄6.9号发-Petsmart-Petco-PSP 木质玩具和啃咬出货清单" address="kw:annex?aType=et&amp;oId=PR5T4GJIADAEQ&amp;fileName=6.9%E5%8F%B7%E5%8F%91-Petsmart-Petco-PSP%20%E6%9C%A8%E8%B4%A8%E7%8E%A9%E5%85%B7%E5%92%8C%E5%95%83%E5%92%AC%E5%87%BA%E8%B4%A7%E6%B8%85%E5%8D%95.xls&amp;fileSize=7255040" subaddress="" screenTip="" linkrunstype="LRTMention"/>
        </hyperlink>
        <hyperlink ref="Q14">
          <hypersublink pos="0" length="36" display="📄6.29深圳发-Petco啃咬清单&amp;金额-KEN2026052801" address="kw:annex?aType=et&amp;oId=O7NCKVRIABQBS&amp;fileName=6.29%E6%B7%B1%E5%9C%B3%E5%8F%91-Petco%E5%95%83%E5%92%AC%E6%B8%85%E5%8D%95%26%E9%87%91%E9%A2%9D-KEN2026052801.xls&amp;fileSize=1932800" subaddress="" screenTip="" linkrunstype="LRTMention"/>
        </hyperlink>
        <hyperlink ref="Q13">
          <hypersublink pos="0" length="38" display="📄6.25青岛出-1X40HQ-Petsmart返单HL-4出货清单&amp;金额" address="kw:annex?aType=et&amp;oId=JLFEMQRIAAQFU&amp;fileName=6.25%E9%9D%92%E5%B2%9B%E5%87%BA-1X40HQ-Petsmart%E8%BF%94%E5%8D%95HL-4%E5%87%BA%E8%B4%A7%E6%B8%85%E5%8D%95%26%E9%87%91%E9%A2%9D.xlsx&amp;fileSize=186468" subaddress="" screenTip="" linkrunstype="LRTMention"/>
        </hyperlink>
        <hyperlink ref="Q3">
          <hypersublink pos="0" length="54" display="📄6.14出1X40HQ-Petsmart首单+PSP加单+Persmart返单部分HL-4发货清单&amp;金额" address="kw:annex?aType=et&amp;oId=VHQVIFBIADQAC&amp;fileName=6.14%E5%87%BA1X40HQ-Petsmart%E9%A6%96%E5%8D%95%2BPSP%E5%8A%A0%E5%8D%95%2BPersmart%E8%BF%94%E5%8D%95%E9%83%A8%E5%88%86HL-4%E5%8F%91%E8%B4%A7%E6%B8%85%E5%8D%95%26%E9%87%91%E9%A2%9D.xls&amp;fileSize=310784" subaddress="" screenTip="" linkrunstype="LRTMention"/>
        </hyperlink>
        <hyperlink ref="Q5">
          <hypersublink pos="0" length="34" display="📄6.16上海出1X40HQ-Petsmart 路灯水壶和HL-4" address="kw:annex?aType=et&amp;oId=5VR3KOBIABABE&amp;fileName=6.16%E4%B8%8A%E6%B5%B7%E5%87%BA1X40HQ-Petsmart%20%E8%B7%AF%E7%81%AF%E6%B0%B4%E5%A3%B6%E5%92%8CHL-4.xls&amp;fileSize=238592" subaddress="" screenTip="" linkrunstype="LRTMention"/>
        </hyperlink>
        <hyperlink ref="Q12">
          <hypersublink pos="0" length="33" display="📄6.24深圳发-Petsmat返单2款啃咬发货清单&amp;金额(1)" address="kw:annex?aType=et&amp;oId=6GZ5MPBIAAAAQ&amp;fileName=6.24%E6%B7%B1%E5%9C%B3%E5%8F%91-Petsmat%E8%BF%94%E5%8D%952%E6%AC%BE%E5%95%83%E5%92%AC%E5%8F%91%E8%B4%A7%E6%B8%85%E5%8D%95%26%E9%87%91%E9%A2%9D(1).xls&amp;fileSize=1537536" subaddress="" screenTip="" linkrunstype="LRTMention"/>
        </hyperlink>
        <hyperlink ref="Q15">
          <hypersublink pos="0" length="28" display="📄PS订单-青岛出-7.1展品柜子有空拼箱出金额&amp;明细" address="kw:annex?aType=et&amp;oId=Z2M2KYBIADACW&amp;fileName=PS%E8%AE%A2%E5%8D%95-%E9%9D%92%E5%B2%9B%E5%87%BA-7.1%E5%B1%95%E5%93%81%E6%9F%9C%E5%AD%90%E6%9C%89%E7%A9%BA%E6%8B%BC%E7%AE%B1%E5%87%BA%E9%87%91%E9%A2%9D%26%E6%98%8E%E7%BB%86.xls&amp;fileSize=3071488" subaddress="" screenTip="" linkrunstype="LRTMention"/>
        </hyperlink>
        <hyperlink ref="Q16">
          <hypersublink pos="0" length="51" display="📄7.6宁波出-1X40HQ-PSP货架木制品+Petsmart返单WJ-13+其他等装柜明细&amp;金额" address="kw:annex?aType=et&amp;oId=7Y2Y66ZIABQFW&amp;fileName=7.6%E5%AE%81%E6%B3%A2%E5%87%BA-1X40HQ-PSP%E8%B4%A7%E6%9E%B6%E6%9C%A8%E5%88%B6%E5%93%81%2BPetsmart%E8%BF%94%E5%8D%95WJ-13%2B%E5%85%B6%E4%BB%96%E7%AD%89%E8%A3%85%E6%9F%9C%E6%98%8E%E7%BB%86%26%E9%87%91%E9%A2%9D.xls&amp;fileSize=5628416" subaddress="" screenTip="" linkrunstype="LRTMention"/>
        </hyperlink>
        <hyperlink ref="Q18">
          <hypersublink pos="0" length="42" display="📄7.17装-1x40HQ-0615-0617-Petsmart剩余货物清单&amp;金额" address="kw:annex?aType=et&amp;oId=JT4VFMZIAAQFC&amp;fileName=7.17%E8%A3%85-1x40HQ-0615-0617-Petsmart%E5%89%A9%E4%BD%99%E8%B4%A7%E7%89%A9%E6%B8%85%E5%8D%95%26%E9%87%91%E9%A2%9D.xls&amp;fileSize=5683712" subaddress="" screenTip="" linkrunstype="LRTMention"/>
        </hyperlink>
        <hyperlink ref="Q11">
          <hypersublink pos="0" length="38" display="📄6.9号发-Petsmart-Petco-PSP 木质玩具和啃咬出货清单" address="kw:annex?aType=et&amp;oId=PR5T4GJIADAEQ&amp;fileName=6.9%E5%8F%B7%E5%8F%91-Petsmart-Petco-PSP%20%E6%9C%A8%E8%B4%A8%E7%8E%A9%E5%85%B7%E5%92%8C%E5%95%83%E5%92%AC%E5%87%BA%E8%B4%A7%E6%B8%85%E5%8D%95.xls&amp;fileSize=7255040" subaddress="" screenTip="" linkrunstype="LRTMention"/>
        </hyperlink>
        <hyperlink ref="Q17">
          <hypersublink pos="0" length="29" display="📄7.14深圳发-0615-0617-PS啃咬清单&amp;金额" address="kw:annex?aType=et&amp;oId=RZ4IFRZIADQHE&amp;fileName=7.14%E6%B7%B1%E5%9C%B3%E5%8F%91-0615-0617-PS%E5%95%83%E5%92%AC%E6%B8%85%E5%8D%95%26%E9%87%91%E9%A2%9D.xls&amp;fileSize=6151680" subaddress="" screenTip="" linkrunstype="LRTMention"/>
        </hyperlink>
        <hyperlink ref="Q19">
          <hypersublink pos="0" length="41" display="📄7.24装1X40HQ-青岛出-PSP垫料返单-PS订单-出货明细&amp;金额(1)" address="kw:annex?aType=et&amp;oId=GO6UPVZIAAQB2&amp;fileName=7.24%E8%A3%851X40HQ-%E9%9D%92%E5%B2%9B%E5%87%BA-PSP%E5%9E%AB%E6%96%99%E8%BF%94%E5%8D%95-PS%E8%AE%A2%E5%8D%95-%E5%87%BA%E8%B4%A7%E6%98%8E%E7%BB%86%26%E9%87%91%E9%A2%9D(1).xls&amp;fileSize=3268096" subaddress="" screenTip="" linkrunstype="LRTMention"/>
        </hyperlink>
        <hyperlink ref="Q20">
          <hypersublink pos="0" length="30" display="📄8.18-青岛出-0701+0716货物明细&amp;金额(1)" address="kw:annex?aType=et&amp;oId=NMAV2XBJAAQE6&amp;fileName=8.18-%E9%9D%92%E5%B2%9B%E5%87%BA-0701%2B0716%E8%B4%A7%E7%89%A9%E6%98%8E%E7%BB%86%26%E9%87%91%E9%A2%9D(1).xls&amp;fileSize=7469568" subaddress="" screenTip="" linkrunstype="LRTMention"/>
        </hyperlink>
        <hyperlink ref="Q21">
          <hypersublink pos="0" length="28" display="📄8.20上海出-2X40HQ-HL-4出货明细&amp;金额" address="kw:annex?aType=et&amp;oId=2GG2M2JJABQCG&amp;fileName=8.20%E4%B8%8A%E6%B5%B7%E5%87%BA-2X40HQ-HL-4%E5%87%BA%E8%B4%A7%E6%98%8E%E7%BB%86%26%E9%87%91%E9%A2%9D.xls&amp;fileSize=796672" subaddress="" screenTip="" linkrunstype="LRTMention"/>
        </hyperlink>
        <hyperlink ref="Q22">
          <hypersublink pos="0" length="28" display="📄8.20上海出-2X40HQ-HL-4出货明细&amp;金额" address="kw:annex?aType=et&amp;oId=QCRKM2JJABAAS&amp;fileName=8.20%E4%B8%8A%E6%B5%B7%E5%87%BA-2X40HQ-HL-4%E5%87%BA%E8%B4%A7%E6%98%8E%E7%BB%86%26%E9%87%91%E9%A2%9D.xls&amp;fileSize=796672" subaddress="" screenTip="" linkrunstype="LRTMention"/>
        </hyperlink>
        <hyperlink ref="Q24">
          <hypersublink pos="0" length="28" display="📄8.26-青岛出-1X40HQ-小电视装箱清单&amp;金额" address="kw:annex?aType=et&amp;oId=VDL5VBRJADAEE&amp;fileName=8.26-%E9%9D%92%E5%B2%9B%E5%87%BA-1X40HQ-%E5%B0%8F%E7%94%B5%E8%A7%86%E8%A3%85%E7%AE%B1%E6%B8%85%E5%8D%95%26%E9%87%91%E9%A2%9D.xls&amp;fileSize=796160" subaddress="" screenTip="" linkrunstype="LRTMention"/>
        </hyperlink>
        <hyperlink ref="Q23">
          <hypersublink pos="0" length="28" display="📄8.13发-0701+0716-啃咬发深圳明细&amp;金额" address="kw:annex?aType=et&amp;oId=GA26DBRJABABW&amp;fileName=8.13%E5%8F%91-0701%2B0716-%E5%95%83%E5%92%AC%E5%8F%91%E6%B7%B1%E5%9C%B3%E6%98%8E%E7%BB%86%26%E9%87%91%E9%A2%9D.xls&amp;fileSize=5981184" subaddress="" screenTip="" linkrunstype="LRTMention"/>
        </hyperlink>
        <hyperlink ref="Q25">
          <hypersublink pos="0" length="35" display="📄8.30-青岛出-1X40HQ（0716和0817）发货清单&amp;金额" address="kw:annex?aType=et&amp;oId=ZJTCPGRJAAQAQ&amp;fileName=8.30-%E9%9D%92%E5%B2%9B%E5%87%BA-1X40HQ%EF%BC%880716%E5%92%8C0817%EF%BC%89%E5%8F%91%E8%B4%A7%E6%B8%85%E5%8D%95%26%E9%87%91%E9%A2%9D.xls&amp;fileSize=4479488" subaddress="" screenTip="" linkrunstype="LRTMention"/>
        </hyperlink>
        <hyperlink ref="Q27">
          <hypersublink pos="0" length="29" display="📄10.12青岛出-1x40HQ-HL-4发货数量&amp;金额" address="kw:annex?aType=et&amp;oId=5CXCE6JKAAAAG&amp;fileName=10.12%E9%9D%92%E5%B2%9B%E5%87%BA-1x40HQ-HL-4%E5%8F%91%E8%B4%A7%E6%95%B0%E9%87%8F%26%E9%87%91%E9%A2%9D.xls&amp;fileSize=795648" subaddress="" screenTip="" linkrunstype="LRTMention"/>
        </hyperlink>
        <hyperlink ref="Q26">
          <hypersublink pos="0" length="42" display="📄9.21出-1X40HQ-青岛出-0716-0818-0907订单发货清单&amp;金额" address="kw:annex?aType=et&amp;oId=XQLPBHBKABQCO&amp;fileName=9.21%E5%87%BA-1X40HQ-%E9%9D%92%E5%B2%9B%E5%87%BA-0716-0818-0907%E8%AE%A2%E5%8D%95%E5%8F%91%E8%B4%A7%E6%B8%85%E5%8D%95%26%E9%87%91%E9%A2%9D.xls&amp;fileSize=3779584" subaddress="" screenTip="" linkrunstype="LRTMention"/>
        </hyperlink>
      </hyperlinks>
      <cellprotection/>
      <appEtDbRelations/>
    </woSheetProps>
    <woSheetProps sheetStid="5"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sProps>
  <woBookProps>
    <bookSettings fileId="575755431840" isFilterShared="0" woEtMtcEnabled="0" coreConquerUserId="545109831"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
  <pixelatorList sheetStid="16"/>
  <pixelatorList sheetStid="17"/>
  <pixelatorList sheetStid="19"/>
  <pixelatorList sheetStid="4"/>
  <pixelatorList sheetStid="13"/>
  <pixelatorList sheetStid="5"/>
  <pixelatorList sheetStid="8"/>
  <pixelatorList sheetStid="2"/>
  <pixelatorList sheetStid="3"/>
  <pixelatorList sheetStid="15"/>
  <pixelatorList sheetStid="6"/>
  <pixelatorList sheetStid="18"/>
  <pixelatorList sheetStid="12"/>
  <pixelatorList sheetStid="14"/>
  <pixelatorList sheetStid="20"/>
  <pixelatorList sheetStid="21"/>
  <pixelatorList sheetStid="9"/>
</pixelators>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WWO_wpscloud_20261024005406-afc236ac51</Application>
  <HeadingPairs>
    <vt:vector size="2" baseType="variant">
      <vt:variant>
        <vt:lpstr>工作表</vt:lpstr>
      </vt:variant>
      <vt:variant>
        <vt:i4>17</vt:i4>
      </vt:variant>
    </vt:vector>
  </HeadingPairs>
  <TitlesOfParts>
    <vt:vector size="17" baseType="lpstr">
      <vt:lpstr>Sum</vt:lpstr>
      <vt:lpstr>Sum_LA</vt:lpstr>
      <vt:lpstr>Sum_HOU</vt:lpstr>
      <vt:lpstr>Transfer</vt:lpstr>
      <vt:lpstr>Purchase</vt:lpstr>
      <vt:lpstr>Shipment Control</vt:lpstr>
      <vt:lpstr>Sales</vt:lpstr>
      <vt:lpstr>PO Check</vt:lpstr>
      <vt:lpstr>Weekly Sales</vt:lpstr>
      <vt:lpstr>Customer Code</vt:lpstr>
      <vt:lpstr>MX&amp;Canada</vt:lpstr>
      <vt:lpstr>Product List</vt:lpstr>
      <vt:lpstr>Case Pack</vt:lpstr>
      <vt:lpstr>Case Type</vt:lpstr>
      <vt:lpstr>Other pmt</vt:lpstr>
      <vt:lpstr>Petco Rec</vt:lpstr>
      <vt:lpstr>PSP Rec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Blue</cp:lastModifiedBy>
  <dcterms:created xsi:type="dcterms:W3CDTF">2026-10-31T16:29:00Z</dcterms:created>
  <dcterms:modified xsi:type="dcterms:W3CDTF">2026-10-28T07:03:00Z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F6AA0160007215D5D1E7CD6A7FB05E60_43</vt:lpwstr>
  </property>
  <property fmtid="{D5CDD505-2E9C-101B-9397-08002B2CF9AE}" pid="3" name="KSOProductBuildVer">
    <vt:lpwstr>2052-12.9.0.29697</vt:lpwstr>
  </property>
  <property fmtid="{D5CDD505-2E9C-101B-9397-08002B2CF9AE}" pid="4" name="CalculationRule">
    <vt:i4>0</vt:i4>
  </property>
  <property fmtid="{D5CDD505-2E9C-101B-9397-08002B2CF9AE}" pid="5" name="KSOReadingLayout">
    <vt:bool>true</vt:bool>
  </property>
</Properties>
</file>