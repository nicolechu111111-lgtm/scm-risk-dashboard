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Purchase!$A$1:$T$995</definedName>
    <definedName name="_xlnm._FilterDatabase" localSheetId="2" hidden="1">'Shipment Control'!$A$1:$O$1048174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3" hidden="1">Sales!$A$1:$AE$858</definedName>
    <definedName name="_xlnm._FilterDatabase" localSheetId="4" hidden="1">'PO Check'!$A$1:$AC$925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<sst xmlns="http://schemas.openxmlformats.org/spreadsheetml/2006/main" count="6763" uniqueCount="931">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</sst>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07" dbFileVersion="0" changeLogVersion="0">
    <open main="335" threadCnt="1"/>
    <sheetInfos>
      <sheetInfo cellCmpFml="1312" sheetStid="1">
        <open main="26" threadCnt="1"/>
      </sheetInfo>
      <sheetInfo cellCmpFml="1593" sheetStid="4">
        <open main="40" threadCnt="1"/>
      </sheetInfo>
      <sheetInfo cellCmpFml="36" sheetStid="13">
        <open main="3" threadCnt="1"/>
      </sheetInfo>
      <sheetInfo cellCmpFml="4824" sheetStid="5">
        <open main="102" threadCnt="1"/>
      </sheetInfo>
      <sheetInfo cellCmpFml="730" sheetStid="8">
        <open main="29" threadCnt="1"/>
      </sheetInfo>
      <sheetInfo cellCmpFml="239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9.5261226852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7410</v>
      </c>
      <c r="G2" s="6">
        <f>SUMIFS(Sales!F:F,Sales!C:C,A2,Sales!K:K,"&gt;"&amp;$C$1,Sales!L:L,"&gt;0")</f>
        <v>5960</v>
      </c>
      <c r="H2" s="226">
        <f t="shared" ref="H2:H65" si="0">C2+E2-G2</f>
        <v>10400</v>
      </c>
      <c r="I2" s="6">
        <f t="shared" ref="I2:I65" si="1">D2-E2</f>
        <v>2200</v>
      </c>
      <c r="J2" s="6">
        <f t="shared" ref="J2:J65" si="2">F2-G2</f>
        <v>1450</v>
      </c>
      <c r="K2" s="6">
        <f t="shared" ref="K2:K65" si="3">H2-J2</f>
        <v>8950</v>
      </c>
      <c r="L2" s="226">
        <f t="shared" ref="L2:L65" si="4">H2+I2-J2</f>
        <v>11150</v>
      </c>
      <c r="M2" s="6">
        <f>SUMIF('Weekly Sales'!B:B,A2,'Weekly Sales'!Q:Q)</f>
        <v>332</v>
      </c>
      <c r="N2" s="6">
        <f>IF(M2=0,999,ROUNDDOWN((L2)/M2,0))</f>
        <v>33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 t="shared" ref="S2:S65" si="5">ROUNDUP(MAX(0,M2*(O2+P2+2)+Q2-L2)/T2,0)*T2</f>
        <v>1000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 t="shared" ref="W2:W65" si="6">S2/T2</f>
        <v>20</v>
      </c>
      <c r="X2" s="6">
        <f>_xlfn.XLOOKUP(V2,'Case Pack'!A:A,'Case Pack'!H:H)*W2</f>
        <v>2.20241777777778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 t="shared" si="0"/>
        <v>10422</v>
      </c>
      <c r="I3" s="6">
        <f t="shared" si="1"/>
        <v>0</v>
      </c>
      <c r="J3" s="6">
        <f t="shared" si="2"/>
        <v>0</v>
      </c>
      <c r="K3" s="6">
        <f t="shared" si="3"/>
        <v>10422</v>
      </c>
      <c r="L3" s="226">
        <f t="shared" si="4"/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5"/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8191</v>
      </c>
      <c r="G4" s="6">
        <f>SUMIFS(Sales!F:F,Sales!C:C,A4,Sales!K:K,"&gt;"&amp;$C$1,Sales!L:L,"&gt;0")</f>
        <v>6115</v>
      </c>
      <c r="H4" s="226">
        <f t="shared" si="0"/>
        <v>9953</v>
      </c>
      <c r="I4" s="6">
        <f t="shared" si="1"/>
        <v>2940</v>
      </c>
      <c r="J4" s="6">
        <f t="shared" si="2"/>
        <v>2076</v>
      </c>
      <c r="K4" s="6">
        <f t="shared" si="3"/>
        <v>7877</v>
      </c>
      <c r="L4" s="226">
        <f t="shared" si="4"/>
        <v>10817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 t="shared" si="5"/>
        <v>756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18</v>
      </c>
      <c r="X4" s="6">
        <f>_xlfn.XLOOKUP(V4,'Case Pack'!A:A,'Case Pack'!H:H)*W4</f>
        <v>2.83168000000001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26">
        <f t="shared" si="4"/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26">
        <f t="shared" si="4"/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8826</v>
      </c>
      <c r="H7" s="226">
        <f t="shared" si="0"/>
        <v>2960</v>
      </c>
      <c r="I7" s="6">
        <f t="shared" si="1"/>
        <v>3699</v>
      </c>
      <c r="J7" s="6">
        <f t="shared" si="2"/>
        <v>776</v>
      </c>
      <c r="K7" s="6">
        <f t="shared" si="3"/>
        <v>2184</v>
      </c>
      <c r="L7" s="226">
        <f t="shared" si="4"/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 t="shared" si="5"/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6"/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1821</v>
      </c>
      <c r="H8" s="226">
        <f t="shared" si="0"/>
        <v>2436</v>
      </c>
      <c r="I8" s="6">
        <f t="shared" si="1"/>
        <v>2904</v>
      </c>
      <c r="J8" s="6">
        <f t="shared" si="2"/>
        <v>600</v>
      </c>
      <c r="K8" s="6">
        <f t="shared" si="3"/>
        <v>1836</v>
      </c>
      <c r="L8" s="226">
        <f t="shared" si="4"/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 t="shared" si="0"/>
        <v>1920</v>
      </c>
      <c r="I9" s="6">
        <f t="shared" si="1"/>
        <v>0</v>
      </c>
      <c r="J9" s="6">
        <f t="shared" si="2"/>
        <v>0</v>
      </c>
      <c r="K9" s="6">
        <f t="shared" si="3"/>
        <v>1920</v>
      </c>
      <c r="L9" s="226">
        <f t="shared" si="4"/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5"/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 t="shared" si="0"/>
        <v>1884</v>
      </c>
      <c r="I10" s="6">
        <f t="shared" si="1"/>
        <v>1836</v>
      </c>
      <c r="J10" s="6">
        <f t="shared" si="2"/>
        <v>480</v>
      </c>
      <c r="K10" s="6">
        <f t="shared" si="3"/>
        <v>1404</v>
      </c>
      <c r="L10" s="226">
        <f t="shared" si="4"/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 t="shared" si="0"/>
        <v>1859</v>
      </c>
      <c r="I11" s="6">
        <f t="shared" si="1"/>
        <v>600</v>
      </c>
      <c r="J11" s="6">
        <f t="shared" si="2"/>
        <v>540</v>
      </c>
      <c r="K11" s="6">
        <f t="shared" si="3"/>
        <v>1319</v>
      </c>
      <c r="L11" s="226">
        <f t="shared" si="4"/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 t="shared" si="5"/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 t="shared" si="6"/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7680</v>
      </c>
      <c r="F12" s="6">
        <f>SUMIFS(Sales!F:F,Sales!C:C,A12,Sales!K:K,"&gt;"&amp;$C$1)</f>
        <v>3984</v>
      </c>
      <c r="G12" s="6">
        <f>SUMIFS(Sales!F:F,Sales!C:C,A12,Sales!K:K,"&gt;"&amp;$C$1,Sales!L:L,"&gt;0")</f>
        <v>2832</v>
      </c>
      <c r="H12" s="226">
        <f t="shared" si="0"/>
        <v>4848</v>
      </c>
      <c r="I12" s="6">
        <f t="shared" si="1"/>
        <v>2256</v>
      </c>
      <c r="J12" s="6">
        <f t="shared" si="2"/>
        <v>1152</v>
      </c>
      <c r="K12" s="6">
        <f t="shared" si="3"/>
        <v>3696</v>
      </c>
      <c r="L12" s="226">
        <f t="shared" si="4"/>
        <v>5952</v>
      </c>
      <c r="M12" s="6">
        <f>SUMIF('Weekly Sales'!B:B,A12,'Weekly Sales'!Q:Q)</f>
        <v>168</v>
      </c>
      <c r="N12" s="6">
        <f t="shared" ref="N12:N19" si="7"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 t="shared" si="5"/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 t="shared" si="6"/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1446</v>
      </c>
      <c r="H13" s="226">
        <f t="shared" si="0"/>
        <v>1650</v>
      </c>
      <c r="I13" s="6">
        <f t="shared" si="1"/>
        <v>2580</v>
      </c>
      <c r="J13" s="6">
        <f t="shared" si="2"/>
        <v>690</v>
      </c>
      <c r="K13" s="6">
        <f t="shared" si="3"/>
        <v>960</v>
      </c>
      <c r="L13" s="226">
        <f t="shared" si="4"/>
        <v>3540</v>
      </c>
      <c r="M13" s="6">
        <f>SUMIF('Weekly Sales'!B:B,A13,'Weekly Sales'!Q:Q)</f>
        <v>96</v>
      </c>
      <c r="N13" s="6">
        <f t="shared" si="7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 t="shared" si="5"/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3328</v>
      </c>
      <c r="F14" s="6">
        <f>SUMIFS(Sales!F:F,Sales!C:C,A14,Sales!K:K,"&gt;"&amp;$C$1)</f>
        <v>2112</v>
      </c>
      <c r="G14" s="6">
        <f>SUMIFS(Sales!F:F,Sales!C:C,A14,Sales!K:K,"&gt;"&amp;$C$1,Sales!L:L,"&gt;0")</f>
        <v>1536</v>
      </c>
      <c r="H14" s="226">
        <f t="shared" si="0"/>
        <v>1792</v>
      </c>
      <c r="I14" s="6">
        <f t="shared" si="1"/>
        <v>2048</v>
      </c>
      <c r="J14" s="6">
        <f t="shared" si="2"/>
        <v>576</v>
      </c>
      <c r="K14" s="6">
        <f t="shared" si="3"/>
        <v>1216</v>
      </c>
      <c r="L14" s="226">
        <f t="shared" si="4"/>
        <v>3264</v>
      </c>
      <c r="M14" s="6">
        <f>SUMIF('Weekly Sales'!B:B,A14,'Weekly Sales'!Q:Q)</f>
        <v>82</v>
      </c>
      <c r="N14" s="6">
        <f t="shared" si="7"/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 t="shared" si="5"/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 t="shared" si="0"/>
        <v>1600</v>
      </c>
      <c r="I15" s="6">
        <f t="shared" si="1"/>
        <v>0</v>
      </c>
      <c r="J15" s="6">
        <f t="shared" si="2"/>
        <v>608</v>
      </c>
      <c r="K15" s="6">
        <f t="shared" si="3"/>
        <v>992</v>
      </c>
      <c r="L15" s="226">
        <f t="shared" si="4"/>
        <v>992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7344</v>
      </c>
      <c r="F16" s="6">
        <f>SUMIFS(Sales!F:F,Sales!C:C,A16,Sales!K:K,"&gt;"&amp;$C$1)</f>
        <v>4464</v>
      </c>
      <c r="G16" s="6">
        <f>SUMIFS(Sales!F:F,Sales!C:C,A16,Sales!K:K,"&gt;"&amp;$C$1,Sales!L:L,"&gt;0")</f>
        <v>3312</v>
      </c>
      <c r="H16" s="226">
        <f t="shared" si="0"/>
        <v>4032</v>
      </c>
      <c r="I16" s="6">
        <f t="shared" si="1"/>
        <v>3456</v>
      </c>
      <c r="J16" s="6">
        <f t="shared" si="2"/>
        <v>1152</v>
      </c>
      <c r="K16" s="6">
        <f t="shared" si="3"/>
        <v>2880</v>
      </c>
      <c r="L16" s="226">
        <f t="shared" si="4"/>
        <v>6336</v>
      </c>
      <c r="M16" s="6">
        <f>SUMIF('Weekly Sales'!B:B,A16,'Weekly Sales'!Q:Q)</f>
        <v>154</v>
      </c>
      <c r="N16" s="6">
        <f t="shared" si="7"/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 t="shared" si="5"/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1954</v>
      </c>
      <c r="H17" s="226">
        <f t="shared" si="0"/>
        <v>1344</v>
      </c>
      <c r="I17" s="6">
        <f t="shared" si="1"/>
        <v>3904</v>
      </c>
      <c r="J17" s="6">
        <f t="shared" si="2"/>
        <v>512</v>
      </c>
      <c r="K17" s="6">
        <f t="shared" si="3"/>
        <v>832</v>
      </c>
      <c r="L17" s="226">
        <f t="shared" si="4"/>
        <v>4736</v>
      </c>
      <c r="M17" s="6">
        <f>SUMIF('Weekly Sales'!B:B,A17,'Weekly Sales'!Q:Q)</f>
        <v>119</v>
      </c>
      <c r="N17" s="6">
        <f t="shared" si="7"/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 t="shared" si="5"/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 t="shared" si="0"/>
        <v>1407</v>
      </c>
      <c r="I18" s="6">
        <f t="shared" si="1"/>
        <v>0</v>
      </c>
      <c r="J18" s="6">
        <f t="shared" si="2"/>
        <v>600</v>
      </c>
      <c r="K18" s="6">
        <f t="shared" si="3"/>
        <v>807</v>
      </c>
      <c r="L18" s="226">
        <f t="shared" si="4"/>
        <v>807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 t="shared" si="0"/>
        <v>1272</v>
      </c>
      <c r="I19" s="6">
        <f t="shared" si="1"/>
        <v>0</v>
      </c>
      <c r="J19" s="6">
        <f t="shared" si="2"/>
        <v>0</v>
      </c>
      <c r="K19" s="6">
        <f t="shared" si="3"/>
        <v>1272</v>
      </c>
      <c r="L19" s="226">
        <f t="shared" si="4"/>
        <v>1272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 t="shared" si="5"/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3228</v>
      </c>
      <c r="G20" s="6">
        <f>SUMIFS(Sales!F:F,Sales!C:C,A20,Sales!K:K,"&gt;"&amp;$C$1,Sales!L:L,"&gt;0")</f>
        <v>2996</v>
      </c>
      <c r="H20" s="226">
        <f t="shared" si="0"/>
        <v>1128</v>
      </c>
      <c r="I20" s="6">
        <f t="shared" si="1"/>
        <v>3624</v>
      </c>
      <c r="J20" s="6">
        <f t="shared" si="2"/>
        <v>232</v>
      </c>
      <c r="K20" s="6">
        <f t="shared" si="3"/>
        <v>896</v>
      </c>
      <c r="L20" s="226">
        <f t="shared" si="4"/>
        <v>4520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 t="shared" si="5"/>
        <v>48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 t="shared" si="6"/>
        <v>6</v>
      </c>
      <c r="X20" s="6">
        <f>_xlfn.XLOOKUP(V20,'Case Pack'!A:A,'Case Pack'!H:H)*W20</f>
        <v>0.943893333333336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 t="shared" si="0"/>
        <v>1260</v>
      </c>
      <c r="I21" s="6">
        <f t="shared" si="1"/>
        <v>0</v>
      </c>
      <c r="J21" s="6">
        <f t="shared" si="2"/>
        <v>660</v>
      </c>
      <c r="K21" s="6">
        <f t="shared" si="3"/>
        <v>600</v>
      </c>
      <c r="L21" s="226">
        <f t="shared" si="4"/>
        <v>600</v>
      </c>
      <c r="M21" s="6">
        <f>SUMIF('Weekly Sales'!B:B,A21,'Weekly Sales'!Q:Q)</f>
        <v>0</v>
      </c>
      <c r="N21" s="6">
        <f t="shared" ref="N21:N84" si="8"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 t="shared" si="5"/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 t="shared" si="0"/>
        <v>1260</v>
      </c>
      <c r="I22" s="6">
        <f t="shared" si="1"/>
        <v>0</v>
      </c>
      <c r="J22" s="6">
        <f t="shared" si="2"/>
        <v>630</v>
      </c>
      <c r="K22" s="6">
        <f t="shared" si="3"/>
        <v>630</v>
      </c>
      <c r="L22" s="226">
        <f t="shared" si="4"/>
        <v>630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 t="shared" si="0"/>
        <v>1260</v>
      </c>
      <c r="I23" s="6">
        <f t="shared" si="1"/>
        <v>300</v>
      </c>
      <c r="J23" s="6">
        <f t="shared" si="2"/>
        <v>630</v>
      </c>
      <c r="K23" s="6">
        <f t="shared" si="3"/>
        <v>630</v>
      </c>
      <c r="L23" s="226">
        <f t="shared" si="4"/>
        <v>930</v>
      </c>
      <c r="M23" s="6">
        <f>SUMIF('Weekly Sales'!B:B,A23,'Weekly Sales'!Q:Q)</f>
        <v>0</v>
      </c>
      <c r="N23" s="6">
        <f t="shared" si="8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26">
        <f t="shared" si="4"/>
        <v>648</v>
      </c>
      <c r="M24" s="6">
        <f>SUMIF('Weekly Sales'!B:B,A24,'Weekly Sales'!Q:Q)</f>
        <v>0</v>
      </c>
      <c r="N24" s="6">
        <f t="shared" si="8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 t="shared" si="0"/>
        <v>1259</v>
      </c>
      <c r="I25" s="6">
        <f t="shared" si="1"/>
        <v>0</v>
      </c>
      <c r="J25" s="6">
        <f t="shared" si="2"/>
        <v>630</v>
      </c>
      <c r="K25" s="6">
        <f t="shared" si="3"/>
        <v>629</v>
      </c>
      <c r="L25" s="226">
        <f t="shared" si="4"/>
        <v>629</v>
      </c>
      <c r="M25" s="6">
        <f>SUMIF('Weekly Sales'!B:B,A25,'Weekly Sales'!Q:Q)</f>
        <v>0</v>
      </c>
      <c r="N25" s="6">
        <f t="shared" si="8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 t="shared" si="0"/>
        <v>1259</v>
      </c>
      <c r="I26" s="6">
        <f t="shared" si="1"/>
        <v>0</v>
      </c>
      <c r="J26" s="6">
        <f t="shared" si="2"/>
        <v>616</v>
      </c>
      <c r="K26" s="6">
        <f t="shared" si="3"/>
        <v>643</v>
      </c>
      <c r="L26" s="226">
        <f t="shared" si="4"/>
        <v>643</v>
      </c>
      <c r="M26" s="6">
        <f>SUMIF('Weekly Sales'!B:B,A26,'Weekly Sales'!Q:Q)</f>
        <v>0</v>
      </c>
      <c r="N26" s="6">
        <f t="shared" si="8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 t="shared" si="0"/>
        <v>1254</v>
      </c>
      <c r="I27" s="6">
        <f t="shared" si="1"/>
        <v>0</v>
      </c>
      <c r="J27" s="6">
        <f t="shared" si="2"/>
        <v>408</v>
      </c>
      <c r="K27" s="6">
        <f t="shared" si="3"/>
        <v>846</v>
      </c>
      <c r="L27" s="226">
        <f t="shared" si="4"/>
        <v>846</v>
      </c>
      <c r="M27" s="6">
        <f>SUMIF('Weekly Sales'!B:B,A27,'Weekly Sales'!Q:Q)</f>
        <v>24</v>
      </c>
      <c r="N27" s="6">
        <f t="shared" si="8"/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 t="shared" si="5"/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 t="shared" si="0"/>
        <v>1250</v>
      </c>
      <c r="I28" s="6">
        <f t="shared" si="1"/>
        <v>0</v>
      </c>
      <c r="J28" s="6">
        <f t="shared" si="2"/>
        <v>305</v>
      </c>
      <c r="K28" s="6">
        <f t="shared" si="3"/>
        <v>945</v>
      </c>
      <c r="L28" s="226">
        <f t="shared" si="4"/>
        <v>945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 t="shared" si="0"/>
        <v>1248</v>
      </c>
      <c r="I29" s="6">
        <f t="shared" si="1"/>
        <v>0</v>
      </c>
      <c r="J29" s="6">
        <f t="shared" si="2"/>
        <v>624</v>
      </c>
      <c r="K29" s="6">
        <f t="shared" si="3"/>
        <v>624</v>
      </c>
      <c r="L29" s="226">
        <f t="shared" si="4"/>
        <v>624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 t="shared" si="5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6">
        <f t="shared" si="4"/>
        <v>636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 t="shared" si="0"/>
        <v>1199</v>
      </c>
      <c r="I31" s="6">
        <f t="shared" si="1"/>
        <v>0</v>
      </c>
      <c r="J31" s="6">
        <f t="shared" si="2"/>
        <v>660</v>
      </c>
      <c r="K31" s="6">
        <f t="shared" si="3"/>
        <v>539</v>
      </c>
      <c r="L31" s="226">
        <f t="shared" si="4"/>
        <v>539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5"/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4648</v>
      </c>
      <c r="G32" s="6">
        <f>SUMIFS(Sales!F:F,Sales!C:C,A32,Sales!K:K,"&gt;"&amp;$C$1,Sales!L:L,"&gt;0")</f>
        <v>3256</v>
      </c>
      <c r="H32" s="226">
        <f t="shared" si="0"/>
        <v>1056</v>
      </c>
      <c r="I32" s="6">
        <f t="shared" si="1"/>
        <v>9216</v>
      </c>
      <c r="J32" s="6">
        <f t="shared" si="2"/>
        <v>1392</v>
      </c>
      <c r="K32" s="6">
        <f t="shared" si="3"/>
        <v>-336</v>
      </c>
      <c r="L32" s="226">
        <f t="shared" si="4"/>
        <v>8880</v>
      </c>
      <c r="M32" s="6">
        <f>SUMIF('Weekly Sales'!B:B,A32,'Weekly Sales'!Q:Q)</f>
        <v>255</v>
      </c>
      <c r="N32" s="6">
        <f t="shared" si="8"/>
        <v>34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 t="shared" si="5"/>
        <v>480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 t="shared" si="6"/>
        <v>10</v>
      </c>
      <c r="X32" s="6">
        <f>_xlfn.XLOOKUP(V32,'Case Pack'!A:A,'Case Pack'!H:H)*W32</f>
        <v>0.734139259259259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2570</v>
      </c>
      <c r="G33" s="6">
        <f>SUMIFS(Sales!F:F,Sales!C:C,A33,Sales!K:K,"&gt;"&amp;$C$1,Sales!L:L,"&gt;0")</f>
        <v>1610</v>
      </c>
      <c r="H33" s="226">
        <f t="shared" si="0"/>
        <v>1024</v>
      </c>
      <c r="I33" s="6">
        <f t="shared" si="1"/>
        <v>0</v>
      </c>
      <c r="J33" s="6">
        <f t="shared" si="2"/>
        <v>960</v>
      </c>
      <c r="K33" s="6">
        <f t="shared" si="3"/>
        <v>64</v>
      </c>
      <c r="L33" s="226">
        <f t="shared" si="4"/>
        <v>64</v>
      </c>
      <c r="M33" s="6">
        <f>SUMIF('Weekly Sales'!B:B,A33,'Weekly Sales'!Q:Q)</f>
        <v>18</v>
      </c>
      <c r="N33" s="6">
        <f t="shared" si="8"/>
        <v>3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 t="shared" si="5"/>
        <v>672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 t="shared" si="6"/>
        <v>21</v>
      </c>
      <c r="X33" s="6">
        <f>_xlfn.XLOOKUP(V33,'Case Pack'!A:A,'Case Pack'!H:H)*W33</f>
        <v>0.770846222222223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 t="shared" si="0"/>
        <v>997</v>
      </c>
      <c r="I34" s="6">
        <f t="shared" si="1"/>
        <v>0</v>
      </c>
      <c r="J34" s="6">
        <f t="shared" si="2"/>
        <v>600</v>
      </c>
      <c r="K34" s="6">
        <f t="shared" si="3"/>
        <v>397</v>
      </c>
      <c r="L34" s="226">
        <f t="shared" si="4"/>
        <v>397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1424</v>
      </c>
      <c r="H35" s="226">
        <f t="shared" si="0"/>
        <v>920</v>
      </c>
      <c r="I35" s="6">
        <f t="shared" si="1"/>
        <v>0</v>
      </c>
      <c r="J35" s="6">
        <f t="shared" si="2"/>
        <v>600</v>
      </c>
      <c r="K35" s="6">
        <f t="shared" si="3"/>
        <v>320</v>
      </c>
      <c r="L35" s="226">
        <f t="shared" si="4"/>
        <v>320</v>
      </c>
      <c r="M35" s="6">
        <f>SUMIF('Weekly Sales'!B:B,A35,'Weekly Sales'!Q:Q)</f>
        <v>0</v>
      </c>
      <c r="N35" s="6">
        <f t="shared" si="8"/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 t="shared" si="0"/>
        <v>895</v>
      </c>
      <c r="I36" s="6">
        <f t="shared" si="1"/>
        <v>0</v>
      </c>
      <c r="J36" s="6">
        <f t="shared" si="2"/>
        <v>572</v>
      </c>
      <c r="K36" s="6">
        <f t="shared" si="3"/>
        <v>323</v>
      </c>
      <c r="L36" s="226">
        <f t="shared" si="4"/>
        <v>323</v>
      </c>
      <c r="M36" s="6">
        <f>SUMIF('Weekly Sales'!B:B,A36,'Weekly Sales'!Q:Q)</f>
        <v>6</v>
      </c>
      <c r="N36" s="6">
        <f t="shared" si="8"/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83</v>
      </c>
      <c r="G37" s="6">
        <f>SUMIFS(Sales!F:F,Sales!C:C,A37,Sales!K:K,"&gt;"&amp;$C$1,Sales!L:L,"&gt;0")</f>
        <v>3</v>
      </c>
      <c r="H37" s="226">
        <f t="shared" si="0"/>
        <v>738</v>
      </c>
      <c r="I37" s="6">
        <f t="shared" si="1"/>
        <v>0</v>
      </c>
      <c r="J37" s="6">
        <f t="shared" si="2"/>
        <v>80</v>
      </c>
      <c r="K37" s="6">
        <f t="shared" si="3"/>
        <v>658</v>
      </c>
      <c r="L37" s="226">
        <f t="shared" si="4"/>
        <v>658</v>
      </c>
      <c r="M37" s="6">
        <f>SUMIF('Weekly Sales'!B:B,A37,'Weekly Sales'!Q:Q)</f>
        <v>8</v>
      </c>
      <c r="N37" s="6">
        <f t="shared" si="8"/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 t="shared" si="5"/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 t="shared" si="0"/>
        <v>735</v>
      </c>
      <c r="I38" s="6">
        <f t="shared" si="1"/>
        <v>0</v>
      </c>
      <c r="J38" s="6">
        <f t="shared" si="2"/>
        <v>288</v>
      </c>
      <c r="K38" s="6">
        <f t="shared" si="3"/>
        <v>447</v>
      </c>
      <c r="L38" s="226">
        <f t="shared" si="4"/>
        <v>447</v>
      </c>
      <c r="M38" s="6">
        <f>SUMIF('Weekly Sales'!B:B,A38,'Weekly Sales'!Q:Q)</f>
        <v>24</v>
      </c>
      <c r="N38" s="6">
        <f t="shared" si="8"/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 t="shared" si="5"/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 t="shared" si="6"/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 t="shared" si="0"/>
        <v>719</v>
      </c>
      <c r="I39" s="6">
        <f t="shared" si="1"/>
        <v>510</v>
      </c>
      <c r="J39" s="6">
        <f t="shared" si="2"/>
        <v>420</v>
      </c>
      <c r="K39" s="6">
        <f t="shared" si="3"/>
        <v>299</v>
      </c>
      <c r="L39" s="226">
        <f t="shared" si="4"/>
        <v>809</v>
      </c>
      <c r="M39" s="6">
        <f>SUMIF('Weekly Sales'!B:B,A39,'Weekly Sales'!Q:Q)</f>
        <v>31</v>
      </c>
      <c r="N39" s="6">
        <f t="shared" si="8"/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 t="shared" si="5"/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 t="shared" si="6"/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 t="shared" si="0"/>
        <v>711</v>
      </c>
      <c r="I40" s="6">
        <f t="shared" si="1"/>
        <v>0</v>
      </c>
      <c r="J40" s="6">
        <f t="shared" si="2"/>
        <v>232</v>
      </c>
      <c r="K40" s="6">
        <f t="shared" si="3"/>
        <v>479</v>
      </c>
      <c r="L40" s="226">
        <f t="shared" si="4"/>
        <v>479</v>
      </c>
      <c r="M40" s="6">
        <f>SUMIF('Weekly Sales'!B:B,A40,'Weekly Sales'!Q:Q)</f>
        <v>14</v>
      </c>
      <c r="N40" s="6">
        <f t="shared" si="8"/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 t="shared" si="5"/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6"/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 t="shared" si="0"/>
        <v>684</v>
      </c>
      <c r="I41" s="6">
        <f t="shared" si="1"/>
        <v>0</v>
      </c>
      <c r="J41" s="6">
        <f t="shared" si="2"/>
        <v>180</v>
      </c>
      <c r="K41" s="6">
        <f t="shared" si="3"/>
        <v>504</v>
      </c>
      <c r="L41" s="226">
        <f t="shared" si="4"/>
        <v>504</v>
      </c>
      <c r="M41" s="6">
        <f>SUMIF('Weekly Sales'!B:B,A41,'Weekly Sales'!Q:Q)</f>
        <v>17</v>
      </c>
      <c r="N41" s="6">
        <f t="shared" si="8"/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 t="shared" si="5"/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 t="shared" si="0"/>
        <v>640</v>
      </c>
      <c r="I42" s="6">
        <f t="shared" si="1"/>
        <v>1568</v>
      </c>
      <c r="J42" s="6">
        <f t="shared" si="2"/>
        <v>864</v>
      </c>
      <c r="K42" s="6">
        <f t="shared" si="3"/>
        <v>-224</v>
      </c>
      <c r="L42" s="226">
        <f t="shared" si="4"/>
        <v>1344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 t="shared" si="0"/>
        <v>540</v>
      </c>
      <c r="I43" s="6">
        <f t="shared" si="1"/>
        <v>0</v>
      </c>
      <c r="J43" s="6">
        <f t="shared" si="2"/>
        <v>60</v>
      </c>
      <c r="K43" s="6">
        <f t="shared" si="3"/>
        <v>480</v>
      </c>
      <c r="L43" s="226">
        <f t="shared" si="4"/>
        <v>480</v>
      </c>
      <c r="M43" s="6">
        <f>SUMIF('Weekly Sales'!B:B,A43,'Weekly Sales'!Q:Q)</f>
        <v>7</v>
      </c>
      <c r="N43" s="6">
        <f t="shared" si="8"/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 t="shared" si="0"/>
        <v>504</v>
      </c>
      <c r="I44" s="6">
        <f t="shared" si="1"/>
        <v>1008</v>
      </c>
      <c r="J44" s="6">
        <f t="shared" si="2"/>
        <v>648</v>
      </c>
      <c r="K44" s="6">
        <f t="shared" si="3"/>
        <v>-144</v>
      </c>
      <c r="L44" s="226">
        <f t="shared" si="4"/>
        <v>864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2784</v>
      </c>
      <c r="H45" s="226">
        <f t="shared" si="0"/>
        <v>238</v>
      </c>
      <c r="I45" s="6">
        <f t="shared" si="1"/>
        <v>0</v>
      </c>
      <c r="J45" s="6">
        <f t="shared" si="2"/>
        <v>231</v>
      </c>
      <c r="K45" s="6">
        <f t="shared" si="3"/>
        <v>7</v>
      </c>
      <c r="L45" s="226">
        <f t="shared" si="4"/>
        <v>7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 t="shared" si="0"/>
        <v>300</v>
      </c>
      <c r="I46" s="6">
        <f t="shared" si="1"/>
        <v>0</v>
      </c>
      <c r="J46" s="6">
        <f t="shared" si="2"/>
        <v>0</v>
      </c>
      <c r="K46" s="6">
        <f t="shared" si="3"/>
        <v>300</v>
      </c>
      <c r="L46" s="226">
        <f t="shared" si="4"/>
        <v>300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 t="shared" si="0"/>
        <v>234</v>
      </c>
      <c r="I47" s="6">
        <f t="shared" si="1"/>
        <v>0</v>
      </c>
      <c r="J47" s="6">
        <f t="shared" si="2"/>
        <v>0</v>
      </c>
      <c r="K47" s="6">
        <f t="shared" si="3"/>
        <v>234</v>
      </c>
      <c r="L47" s="226">
        <f t="shared" si="4"/>
        <v>234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5"/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 t="shared" si="0"/>
        <v>168</v>
      </c>
      <c r="I48" s="6">
        <f t="shared" si="1"/>
        <v>1512</v>
      </c>
      <c r="J48" s="6">
        <f t="shared" si="2"/>
        <v>0</v>
      </c>
      <c r="K48" s="6">
        <f t="shared" si="3"/>
        <v>168</v>
      </c>
      <c r="L48" s="226">
        <f t="shared" si="4"/>
        <v>1680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 t="shared" si="0"/>
        <v>154</v>
      </c>
      <c r="I49" s="6">
        <f t="shared" si="1"/>
        <v>1512</v>
      </c>
      <c r="J49" s="6">
        <f t="shared" si="2"/>
        <v>0</v>
      </c>
      <c r="K49" s="6">
        <f t="shared" si="3"/>
        <v>154</v>
      </c>
      <c r="L49" s="226">
        <f t="shared" si="4"/>
        <v>1666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5"/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 t="shared" si="0"/>
        <v>150</v>
      </c>
      <c r="I50" s="6">
        <f t="shared" si="1"/>
        <v>1560</v>
      </c>
      <c r="J50" s="6">
        <f t="shared" si="2"/>
        <v>0</v>
      </c>
      <c r="K50" s="6">
        <f t="shared" si="3"/>
        <v>150</v>
      </c>
      <c r="L50" s="226">
        <f t="shared" si="4"/>
        <v>1710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5"/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 t="shared" si="0"/>
        <v>120</v>
      </c>
      <c r="I51" s="6">
        <f t="shared" si="1"/>
        <v>1590</v>
      </c>
      <c r="J51" s="6">
        <f t="shared" si="2"/>
        <v>0</v>
      </c>
      <c r="K51" s="6">
        <f t="shared" si="3"/>
        <v>120</v>
      </c>
      <c r="L51" s="226">
        <f t="shared" si="4"/>
        <v>1710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 t="shared" si="6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 t="shared" si="0"/>
        <v>60</v>
      </c>
      <c r="I52" s="6">
        <f t="shared" si="1"/>
        <v>570</v>
      </c>
      <c r="J52" s="6">
        <f t="shared" si="2"/>
        <v>0</v>
      </c>
      <c r="K52" s="6">
        <f t="shared" si="3"/>
        <v>60</v>
      </c>
      <c r="L52" s="226">
        <f t="shared" si="4"/>
        <v>630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 t="shared" si="6"/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 t="shared" si="0"/>
        <v>48</v>
      </c>
      <c r="I53" s="6">
        <f t="shared" si="1"/>
        <v>240</v>
      </c>
      <c r="J53" s="6">
        <f t="shared" si="2"/>
        <v>0</v>
      </c>
      <c r="K53" s="6">
        <f t="shared" si="3"/>
        <v>48</v>
      </c>
      <c r="L53" s="226">
        <f t="shared" si="4"/>
        <v>288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 t="shared" si="0"/>
        <v>0</v>
      </c>
      <c r="I54" s="6">
        <f t="shared" si="1"/>
        <v>1260</v>
      </c>
      <c r="J54" s="6">
        <f t="shared" si="2"/>
        <v>700</v>
      </c>
      <c r="K54" s="6">
        <f t="shared" si="3"/>
        <v>-700</v>
      </c>
      <c r="L54" s="226">
        <f t="shared" si="4"/>
        <v>560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 t="shared" si="5"/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 t="shared" si="0"/>
        <v>0</v>
      </c>
      <c r="I55" s="6">
        <f t="shared" si="1"/>
        <v>1260</v>
      </c>
      <c r="J55" s="6">
        <f t="shared" si="2"/>
        <v>630</v>
      </c>
      <c r="K55" s="6">
        <f t="shared" si="3"/>
        <v>-630</v>
      </c>
      <c r="L55" s="226">
        <f t="shared" si="4"/>
        <v>630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5"/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 t="shared" si="6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 t="shared" si="0"/>
        <v>0</v>
      </c>
      <c r="I56" s="6">
        <f t="shared" si="1"/>
        <v>1242</v>
      </c>
      <c r="J56" s="6">
        <f t="shared" si="2"/>
        <v>621</v>
      </c>
      <c r="K56" s="6">
        <f t="shared" si="3"/>
        <v>-621</v>
      </c>
      <c r="L56" s="226">
        <f t="shared" si="4"/>
        <v>621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5"/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 t="shared" si="6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 t="shared" si="0"/>
        <v>0</v>
      </c>
      <c r="I57" s="6">
        <f t="shared" si="1"/>
        <v>1242</v>
      </c>
      <c r="J57" s="6">
        <f t="shared" si="2"/>
        <v>621</v>
      </c>
      <c r="K57" s="6">
        <f t="shared" si="3"/>
        <v>-621</v>
      </c>
      <c r="L57" s="226">
        <f t="shared" si="4"/>
        <v>621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5"/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 t="shared" si="6"/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 t="shared" si="0"/>
        <v>0</v>
      </c>
      <c r="I58" s="6">
        <f t="shared" si="1"/>
        <v>1260</v>
      </c>
      <c r="J58" s="6">
        <f t="shared" si="2"/>
        <v>612</v>
      </c>
      <c r="K58" s="6">
        <f t="shared" si="3"/>
        <v>-612</v>
      </c>
      <c r="L58" s="226">
        <f t="shared" si="4"/>
        <v>648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5"/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 t="shared" si="6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 t="shared" si="0"/>
        <v>0</v>
      </c>
      <c r="I59" s="6">
        <f t="shared" si="1"/>
        <v>1258</v>
      </c>
      <c r="J59" s="6">
        <f t="shared" si="2"/>
        <v>612</v>
      </c>
      <c r="K59" s="6">
        <f t="shared" si="3"/>
        <v>-612</v>
      </c>
      <c r="L59" s="226">
        <f t="shared" si="4"/>
        <v>646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5"/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 t="shared" si="6"/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 t="shared" si="0"/>
        <v>0</v>
      </c>
      <c r="I60" s="6">
        <f t="shared" si="1"/>
        <v>1248</v>
      </c>
      <c r="J60" s="6">
        <f t="shared" si="2"/>
        <v>312</v>
      </c>
      <c r="K60" s="6">
        <f t="shared" si="3"/>
        <v>-312</v>
      </c>
      <c r="L60" s="226">
        <f t="shared" si="4"/>
        <v>936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5"/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6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 t="shared" si="6"/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6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6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 t="shared" si="14"/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6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6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6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6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 t="shared" si="9"/>
        <v>0</v>
      </c>
      <c r="I73" s="6">
        <f t="shared" si="10"/>
        <v>216</v>
      </c>
      <c r="J73" s="6">
        <f t="shared" si="11"/>
        <v>0</v>
      </c>
      <c r="K73" s="6">
        <f t="shared" si="12"/>
        <v>0</v>
      </c>
      <c r="L73" s="226">
        <f t="shared" si="13"/>
        <v>216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 t="shared" si="14"/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6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6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 t="shared" si="14"/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6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 t="shared" si="14"/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6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 t="shared" si="14"/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6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 t="shared" si="14"/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6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6">
        <f t="shared" si="13"/>
        <v>0</v>
      </c>
      <c r="M80" s="6">
        <f>SUMIF('Weekly Sales'!B:B,A80,'Weekly Sales'!Q:Q)</f>
        <v>0</v>
      </c>
      <c r="N80" s="6">
        <f t="shared" si="8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6">
        <f t="shared" si="13"/>
        <v>0</v>
      </c>
      <c r="M81" s="6">
        <f>SUMIF('Weekly Sales'!B:B,A81,'Weekly Sales'!Q:Q)</f>
        <v>0</v>
      </c>
      <c r="N81" s="6">
        <f t="shared" si="8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6">
        <f t="shared" si="13"/>
        <v>0</v>
      </c>
      <c r="M82" s="6">
        <f>SUMIF('Weekly Sales'!B:B,A82,'Weekly Sales'!Q:Q)</f>
        <v>0</v>
      </c>
      <c r="N82" s="6">
        <f t="shared" si="8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6">
        <f t="shared" si="13"/>
        <v>0</v>
      </c>
      <c r="M83" s="6">
        <f>SUMIF('Weekly Sales'!B:B,A83,'Weekly Sales'!Q:Q)</f>
        <v>0</v>
      </c>
      <c r="N83" s="6">
        <f t="shared" si="8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6">
        <f t="shared" si="13"/>
        <v>0</v>
      </c>
      <c r="M84" s="6">
        <f>SUMIF('Weekly Sales'!B:B,A84,'Weekly Sales'!Q:Q)</f>
        <v>0</v>
      </c>
      <c r="N84" s="6">
        <f t="shared" si="8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6">
        <f t="shared" si="13"/>
        <v>0</v>
      </c>
      <c r="M85" s="6">
        <f>SUMIF('Weekly Sales'!B:B,A85,'Weekly Sales'!Q:Q)</f>
        <v>0</v>
      </c>
      <c r="N85" s="6">
        <f t="shared" ref="N85:N102" si="16"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6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26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 t="shared" si="9"/>
        <v>0</v>
      </c>
      <c r="I94" s="6">
        <f t="shared" si="10"/>
        <v>0</v>
      </c>
      <c r="J94" s="6">
        <f t="shared" si="11"/>
        <v>0</v>
      </c>
      <c r="K94" s="6">
        <f t="shared" si="12"/>
        <v>0</v>
      </c>
      <c r="L94" s="226">
        <f t="shared" si="13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 t="shared" si="9"/>
        <v>0</v>
      </c>
      <c r="I95" s="6">
        <f t="shared" si="10"/>
        <v>0</v>
      </c>
      <c r="J95" s="6">
        <f t="shared" si="11"/>
        <v>0</v>
      </c>
      <c r="K95" s="6">
        <f t="shared" si="12"/>
        <v>0</v>
      </c>
      <c r="L95" s="226">
        <f t="shared" si="13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 t="shared" si="15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 t="shared" si="9"/>
        <v>0</v>
      </c>
      <c r="I96" s="6">
        <f t="shared" si="10"/>
        <v>0</v>
      </c>
      <c r="J96" s="6">
        <f t="shared" si="11"/>
        <v>0</v>
      </c>
      <c r="K96" s="6">
        <f t="shared" si="12"/>
        <v>0</v>
      </c>
      <c r="L96" s="226">
        <f t="shared" si="13"/>
        <v>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 t="shared" si="9"/>
        <v>0</v>
      </c>
      <c r="I97" s="6">
        <f t="shared" si="10"/>
        <v>0</v>
      </c>
      <c r="J97" s="6">
        <f t="shared" si="11"/>
        <v>0</v>
      </c>
      <c r="K97" s="6">
        <f t="shared" si="12"/>
        <v>0</v>
      </c>
      <c r="L97" s="226">
        <f t="shared" si="13"/>
        <v>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15"/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 t="shared" si="9"/>
        <v>0</v>
      </c>
      <c r="I98" s="6">
        <f t="shared" si="10"/>
        <v>0</v>
      </c>
      <c r="J98" s="6">
        <f t="shared" si="11"/>
        <v>0</v>
      </c>
      <c r="K98" s="6">
        <f t="shared" si="12"/>
        <v>0</v>
      </c>
      <c r="L98" s="226">
        <f t="shared" si="13"/>
        <v>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 t="shared" si="9"/>
        <v>0</v>
      </c>
      <c r="I99" s="6">
        <f t="shared" si="10"/>
        <v>0</v>
      </c>
      <c r="J99" s="6">
        <f t="shared" si="11"/>
        <v>0</v>
      </c>
      <c r="K99" s="6">
        <f t="shared" si="12"/>
        <v>0</v>
      </c>
      <c r="L99" s="226">
        <f t="shared" si="13"/>
        <v>0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 t="shared" si="9"/>
        <v>0</v>
      </c>
      <c r="I100" s="6">
        <f t="shared" si="10"/>
        <v>0</v>
      </c>
      <c r="J100" s="6">
        <f t="shared" si="11"/>
        <v>0</v>
      </c>
      <c r="K100" s="6">
        <f t="shared" si="12"/>
        <v>0</v>
      </c>
      <c r="L100" s="226">
        <f t="shared" si="13"/>
        <v>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5"/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 t="shared" si="9"/>
        <v>0</v>
      </c>
      <c r="I101" s="6">
        <f t="shared" si="10"/>
        <v>0</v>
      </c>
      <c r="J101" s="6">
        <f t="shared" si="11"/>
        <v>0</v>
      </c>
      <c r="K101" s="6">
        <f t="shared" si="12"/>
        <v>0</v>
      </c>
      <c r="L101" s="226">
        <f t="shared" si="13"/>
        <v>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 t="shared" si="14"/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 t="shared" si="15"/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 t="shared" si="9"/>
        <v>0</v>
      </c>
      <c r="I102" s="6">
        <f t="shared" si="10"/>
        <v>0</v>
      </c>
      <c r="J102" s="6">
        <f t="shared" si="11"/>
        <v>0</v>
      </c>
      <c r="K102" s="6">
        <f t="shared" si="12"/>
        <v>0</v>
      </c>
      <c r="L102" s="226">
        <f t="shared" si="13"/>
        <v>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8" width="17.2857142857143" style="184" customWidth="1"/>
    <col min="9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5" t="s">
        <v>1</v>
      </c>
      <c r="C1" s="193" t="s">
        <v>125</v>
      </c>
      <c r="D1" s="194" t="s">
        <v>126</v>
      </c>
      <c r="E1" s="192" t="s">
        <v>127</v>
      </c>
      <c r="F1" s="192" t="s">
        <v>128</v>
      </c>
      <c r="G1" s="195" t="s">
        <v>129</v>
      </c>
      <c r="H1" s="184" t="s">
        <v>130</v>
      </c>
      <c r="I1" s="196" t="s">
        <v>131</v>
      </c>
      <c r="J1" s="197" t="s">
        <v>132</v>
      </c>
      <c r="K1" s="188" t="s">
        <v>133</v>
      </c>
      <c r="L1" s="136" t="s">
        <v>134</v>
      </c>
      <c r="M1" s="192" t="s">
        <v>20</v>
      </c>
      <c r="N1" s="192" t="s">
        <v>18</v>
      </c>
      <c r="O1" s="195" t="s">
        <v>135</v>
      </c>
      <c r="P1" s="192" t="s">
        <v>136</v>
      </c>
      <c r="Q1" s="192" t="s">
        <v>137</v>
      </c>
      <c r="R1" s="192" t="s">
        <v>138</v>
      </c>
      <c r="S1" s="192" t="s">
        <v>139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140</v>
      </c>
      <c r="F2" s="82" t="s">
        <v>140</v>
      </c>
      <c r="G2" s="86">
        <v>240</v>
      </c>
      <c r="H2" s="201" t="s">
        <v>141</v>
      </c>
      <c r="I2" s="201" t="s">
        <v>141</v>
      </c>
      <c r="J2" s="136">
        <v>46063</v>
      </c>
      <c r="K2" s="136">
        <v>46063</v>
      </c>
      <c r="L2" s="20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140</v>
      </c>
      <c r="F3" s="82" t="s">
        <v>140</v>
      </c>
      <c r="G3" s="86">
        <v>756</v>
      </c>
      <c r="H3" s="201" t="s">
        <v>141</v>
      </c>
      <c r="I3" s="201" t="s">
        <v>141</v>
      </c>
      <c r="J3" s="136">
        <v>46063</v>
      </c>
      <c r="K3" s="136">
        <v>46063</v>
      </c>
      <c r="L3" s="20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140</v>
      </c>
      <c r="F4" s="82" t="s">
        <v>140</v>
      </c>
      <c r="G4" s="86">
        <v>1224</v>
      </c>
      <c r="H4" s="201" t="s">
        <v>141</v>
      </c>
      <c r="I4" s="201" t="s">
        <v>141</v>
      </c>
      <c r="J4" s="136">
        <v>46063</v>
      </c>
      <c r="K4" s="136">
        <v>46063</v>
      </c>
      <c r="L4" s="20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140</v>
      </c>
      <c r="F5" s="82" t="s">
        <v>140</v>
      </c>
      <c r="G5" s="86">
        <v>1324</v>
      </c>
      <c r="H5" s="201" t="s">
        <v>141</v>
      </c>
      <c r="I5" s="201" t="s">
        <v>141</v>
      </c>
      <c r="J5" s="136">
        <v>46063</v>
      </c>
      <c r="K5" s="136">
        <v>46063</v>
      </c>
      <c r="L5" s="20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140</v>
      </c>
      <c r="F6" s="82" t="s">
        <v>140</v>
      </c>
      <c r="G6" s="86">
        <v>761</v>
      </c>
      <c r="H6" s="201" t="s">
        <v>141</v>
      </c>
      <c r="I6" s="201" t="s">
        <v>141</v>
      </c>
      <c r="J6" s="136">
        <v>46063</v>
      </c>
      <c r="K6" s="136">
        <v>46063</v>
      </c>
      <c r="L6" s="20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140</v>
      </c>
      <c r="F7" s="82" t="s">
        <v>140</v>
      </c>
      <c r="G7" s="86">
        <v>2218</v>
      </c>
      <c r="H7" s="201" t="s">
        <v>141</v>
      </c>
      <c r="I7" s="201" t="s">
        <v>141</v>
      </c>
      <c r="J7" s="136">
        <v>46063</v>
      </c>
      <c r="K7" s="136">
        <v>46063</v>
      </c>
      <c r="L7" s="20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140</v>
      </c>
      <c r="F8" s="82" t="s">
        <v>140</v>
      </c>
      <c r="G8" s="86">
        <v>1260</v>
      </c>
      <c r="H8" s="201" t="s">
        <v>141</v>
      </c>
      <c r="I8" s="201" t="s">
        <v>141</v>
      </c>
      <c r="J8" s="136">
        <v>46063</v>
      </c>
      <c r="K8" s="136">
        <v>46063</v>
      </c>
      <c r="L8" s="20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140</v>
      </c>
      <c r="F9" s="82" t="s">
        <v>140</v>
      </c>
      <c r="G9" s="86">
        <v>1820</v>
      </c>
      <c r="H9" s="201" t="s">
        <v>141</v>
      </c>
      <c r="I9" s="201" t="s">
        <v>141</v>
      </c>
      <c r="J9" s="136">
        <v>46063</v>
      </c>
      <c r="K9" s="136">
        <v>46063</v>
      </c>
      <c r="L9" s="20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140</v>
      </c>
      <c r="F10" s="82" t="s">
        <v>140</v>
      </c>
      <c r="G10" s="86">
        <v>1240</v>
      </c>
      <c r="H10" s="201" t="s">
        <v>141</v>
      </c>
      <c r="I10" s="201" t="s">
        <v>141</v>
      </c>
      <c r="J10" s="136">
        <v>46063</v>
      </c>
      <c r="K10" s="136">
        <v>46063</v>
      </c>
      <c r="L10" s="20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140</v>
      </c>
      <c r="F11" s="82" t="s">
        <v>140</v>
      </c>
      <c r="G11" s="86">
        <v>1116</v>
      </c>
      <c r="H11" s="201" t="s">
        <v>141</v>
      </c>
      <c r="I11" s="201" t="s">
        <v>141</v>
      </c>
      <c r="J11" s="136">
        <v>46063</v>
      </c>
      <c r="K11" s="136">
        <v>46063</v>
      </c>
      <c r="L11" s="20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140</v>
      </c>
      <c r="F12" s="82" t="s">
        <v>140</v>
      </c>
      <c r="G12" s="86">
        <v>1440</v>
      </c>
      <c r="H12" s="201" t="s">
        <v>141</v>
      </c>
      <c r="I12" s="201" t="s">
        <v>141</v>
      </c>
      <c r="J12" s="136">
        <v>46063</v>
      </c>
      <c r="K12" s="136">
        <v>46063</v>
      </c>
      <c r="L12" s="20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140</v>
      </c>
      <c r="F13" s="82" t="s">
        <v>140</v>
      </c>
      <c r="G13" s="86">
        <v>1100</v>
      </c>
      <c r="H13" s="201" t="s">
        <v>141</v>
      </c>
      <c r="I13" s="201" t="s">
        <v>141</v>
      </c>
      <c r="J13" s="136">
        <v>46063</v>
      </c>
      <c r="K13" s="136">
        <v>46063</v>
      </c>
      <c r="L13" s="20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140</v>
      </c>
      <c r="F14" s="82" t="s">
        <v>140</v>
      </c>
      <c r="G14" s="86">
        <v>1242</v>
      </c>
      <c r="H14" s="201" t="s">
        <v>141</v>
      </c>
      <c r="I14" s="201" t="s">
        <v>141</v>
      </c>
      <c r="J14" s="136">
        <v>46063</v>
      </c>
      <c r="K14" s="136">
        <v>46063</v>
      </c>
      <c r="L14" s="20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140</v>
      </c>
      <c r="F15" s="82" t="s">
        <v>140</v>
      </c>
      <c r="G15" s="86">
        <v>1472</v>
      </c>
      <c r="H15" s="201" t="s">
        <v>141</v>
      </c>
      <c r="I15" s="201" t="s">
        <v>141</v>
      </c>
      <c r="J15" s="136">
        <v>46063</v>
      </c>
      <c r="K15" s="136">
        <v>46063</v>
      </c>
      <c r="L15" s="20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140</v>
      </c>
      <c r="F16" s="82" t="s">
        <v>140</v>
      </c>
      <c r="G16" s="86">
        <v>1008</v>
      </c>
      <c r="H16" s="201" t="s">
        <v>141</v>
      </c>
      <c r="I16" s="201" t="s">
        <v>141</v>
      </c>
      <c r="J16" s="136">
        <v>46063</v>
      </c>
      <c r="K16" s="136">
        <v>46063</v>
      </c>
      <c r="L16" s="20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140</v>
      </c>
      <c r="F17" s="82" t="s">
        <v>140</v>
      </c>
      <c r="G17" s="86">
        <v>1088</v>
      </c>
      <c r="H17" s="201" t="s">
        <v>141</v>
      </c>
      <c r="I17" s="201" t="s">
        <v>141</v>
      </c>
      <c r="J17" s="136">
        <v>46063</v>
      </c>
      <c r="K17" s="136">
        <v>46063</v>
      </c>
      <c r="L17" s="20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142</v>
      </c>
      <c r="F18" s="82" t="s">
        <v>142</v>
      </c>
      <c r="G18" s="86">
        <v>1368</v>
      </c>
      <c r="H18" s="201" t="s">
        <v>141</v>
      </c>
      <c r="I18" s="201" t="s">
        <v>141</v>
      </c>
      <c r="J18" s="136">
        <v>46122</v>
      </c>
      <c r="K18" s="136">
        <v>46122</v>
      </c>
      <c r="L18" s="20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142</v>
      </c>
      <c r="F19" s="82" t="s">
        <v>142</v>
      </c>
      <c r="G19" s="86">
        <v>1440</v>
      </c>
      <c r="H19" s="201" t="s">
        <v>141</v>
      </c>
      <c r="I19" s="201" t="s">
        <v>141</v>
      </c>
      <c r="J19" s="136">
        <v>46122</v>
      </c>
      <c r="K19" s="136">
        <v>46122</v>
      </c>
      <c r="L19" s="20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142</v>
      </c>
      <c r="F20" s="82" t="s">
        <v>142</v>
      </c>
      <c r="G20" s="86">
        <v>1216</v>
      </c>
      <c r="H20" s="201" t="s">
        <v>141</v>
      </c>
      <c r="I20" s="201" t="s">
        <v>141</v>
      </c>
      <c r="J20" s="136">
        <v>46122</v>
      </c>
      <c r="K20" s="136">
        <v>46122</v>
      </c>
      <c r="L20" s="20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143</v>
      </c>
      <c r="F21" s="82" t="s">
        <v>143</v>
      </c>
      <c r="G21" s="86">
        <v>896</v>
      </c>
      <c r="H21" s="201" t="s">
        <v>141</v>
      </c>
      <c r="I21" s="201" t="s">
        <v>141</v>
      </c>
      <c r="J21" s="136">
        <v>46148</v>
      </c>
      <c r="K21" s="136">
        <v>46148</v>
      </c>
      <c r="L21" s="20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143</v>
      </c>
      <c r="F22" s="82" t="s">
        <v>143</v>
      </c>
      <c r="G22" s="86">
        <v>960</v>
      </c>
      <c r="H22" s="201" t="s">
        <v>141</v>
      </c>
      <c r="I22" s="201" t="s">
        <v>141</v>
      </c>
      <c r="J22" s="136">
        <v>46148</v>
      </c>
      <c r="K22" s="136">
        <v>46148</v>
      </c>
      <c r="L22" s="20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143</v>
      </c>
      <c r="F23" s="82" t="s">
        <v>143</v>
      </c>
      <c r="G23" s="86">
        <v>648</v>
      </c>
      <c r="H23" s="201" t="s">
        <v>141</v>
      </c>
      <c r="I23" s="201" t="s">
        <v>141</v>
      </c>
      <c r="J23" s="136">
        <v>46148</v>
      </c>
      <c r="K23" s="136">
        <v>46148</v>
      </c>
      <c r="L23" s="20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144</v>
      </c>
      <c r="F24" s="82" t="s">
        <v>144</v>
      </c>
      <c r="G24" s="86">
        <v>1440</v>
      </c>
      <c r="H24" s="201" t="s">
        <v>141</v>
      </c>
      <c r="I24" s="201" t="s">
        <v>141</v>
      </c>
      <c r="J24" s="136">
        <v>46148</v>
      </c>
      <c r="K24" s="136">
        <v>46148</v>
      </c>
      <c r="L24" s="20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144</v>
      </c>
      <c r="F25" s="82" t="s">
        <v>144</v>
      </c>
      <c r="G25" s="86">
        <v>648</v>
      </c>
      <c r="H25" s="201" t="s">
        <v>141</v>
      </c>
      <c r="I25" s="201" t="s">
        <v>141</v>
      </c>
      <c r="J25" s="136">
        <v>46148</v>
      </c>
      <c r="K25" s="136">
        <v>46148</v>
      </c>
      <c r="L25" s="20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145</v>
      </c>
      <c r="F26" s="82" t="s">
        <v>145</v>
      </c>
      <c r="G26" s="86">
        <v>120</v>
      </c>
      <c r="H26" s="201" t="s">
        <v>141</v>
      </c>
      <c r="I26" s="201" t="s">
        <v>141</v>
      </c>
      <c r="J26" s="136">
        <v>46148</v>
      </c>
      <c r="K26" s="136">
        <v>46148</v>
      </c>
      <c r="L26" s="20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145</v>
      </c>
      <c r="F27" s="82" t="s">
        <v>145</v>
      </c>
      <c r="G27" s="86">
        <v>504</v>
      </c>
      <c r="H27" s="201" t="s">
        <v>141</v>
      </c>
      <c r="I27" s="201" t="s">
        <v>141</v>
      </c>
      <c r="J27" s="136">
        <v>46148</v>
      </c>
      <c r="K27" s="136">
        <v>46148</v>
      </c>
      <c r="L27" s="20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145</v>
      </c>
      <c r="F28" s="82" t="s">
        <v>145</v>
      </c>
      <c r="G28" s="86">
        <v>96</v>
      </c>
      <c r="H28" s="201" t="s">
        <v>141</v>
      </c>
      <c r="I28" s="201" t="s">
        <v>141</v>
      </c>
      <c r="J28" s="136">
        <v>46159</v>
      </c>
      <c r="K28" s="136">
        <v>46160</v>
      </c>
      <c r="L28" s="20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145</v>
      </c>
      <c r="F29" s="82" t="s">
        <v>145</v>
      </c>
      <c r="G29" s="86">
        <v>96</v>
      </c>
      <c r="H29" s="201" t="s">
        <v>141</v>
      </c>
      <c r="I29" s="201" t="s">
        <v>141</v>
      </c>
      <c r="J29" s="136">
        <v>46159</v>
      </c>
      <c r="K29" s="136">
        <v>46160</v>
      </c>
      <c r="L29" s="20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145</v>
      </c>
      <c r="F30" s="82" t="s">
        <v>145</v>
      </c>
      <c r="G30" s="86">
        <v>72</v>
      </c>
      <c r="H30" s="201" t="s">
        <v>141</v>
      </c>
      <c r="I30" s="201" t="s">
        <v>141</v>
      </c>
      <c r="J30" s="136">
        <v>46159</v>
      </c>
      <c r="K30" s="136">
        <v>46160</v>
      </c>
      <c r="L30" s="20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145</v>
      </c>
      <c r="F31" s="82" t="s">
        <v>145</v>
      </c>
      <c r="G31" s="86">
        <v>72</v>
      </c>
      <c r="H31" s="201" t="s">
        <v>141</v>
      </c>
      <c r="I31" s="201" t="s">
        <v>141</v>
      </c>
      <c r="J31" s="136">
        <v>46159</v>
      </c>
      <c r="K31" s="136">
        <v>46160</v>
      </c>
      <c r="L31" s="20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145</v>
      </c>
      <c r="F32" s="82" t="s">
        <v>145</v>
      </c>
      <c r="G32" s="86">
        <v>320</v>
      </c>
      <c r="H32" s="201" t="s">
        <v>141</v>
      </c>
      <c r="I32" s="201" t="s">
        <v>141</v>
      </c>
      <c r="J32" s="136">
        <v>46159</v>
      </c>
      <c r="K32" s="136">
        <v>46160</v>
      </c>
      <c r="L32" s="20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145</v>
      </c>
      <c r="F33" s="82" t="s">
        <v>145</v>
      </c>
      <c r="G33" s="86">
        <v>300</v>
      </c>
      <c r="H33" s="201" t="s">
        <v>141</v>
      </c>
      <c r="I33" s="201" t="s">
        <v>141</v>
      </c>
      <c r="J33" s="136">
        <v>46159</v>
      </c>
      <c r="K33" s="136">
        <v>46160</v>
      </c>
      <c r="L33" s="20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145</v>
      </c>
      <c r="F34" s="82" t="s">
        <v>145</v>
      </c>
      <c r="G34" s="86">
        <v>300</v>
      </c>
      <c r="H34" s="201" t="s">
        <v>141</v>
      </c>
      <c r="I34" s="201" t="s">
        <v>141</v>
      </c>
      <c r="J34" s="136">
        <v>46159</v>
      </c>
      <c r="K34" s="136">
        <v>46160</v>
      </c>
      <c r="L34" s="20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145</v>
      </c>
      <c r="F35" s="82" t="s">
        <v>145</v>
      </c>
      <c r="G35" s="86">
        <v>208</v>
      </c>
      <c r="H35" s="201" t="s">
        <v>141</v>
      </c>
      <c r="I35" s="201" t="s">
        <v>141</v>
      </c>
      <c r="J35" s="136">
        <v>46159</v>
      </c>
      <c r="K35" s="136">
        <v>46160</v>
      </c>
      <c r="L35" s="20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145</v>
      </c>
      <c r="F36" s="82" t="s">
        <v>145</v>
      </c>
      <c r="G36" s="86">
        <v>200</v>
      </c>
      <c r="H36" s="201" t="s">
        <v>141</v>
      </c>
      <c r="I36" s="201" t="s">
        <v>141</v>
      </c>
      <c r="J36" s="136">
        <v>46152</v>
      </c>
      <c r="K36" s="136">
        <v>46147</v>
      </c>
      <c r="L36" s="20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145</v>
      </c>
      <c r="F37" s="82" t="s">
        <v>145</v>
      </c>
      <c r="G37" s="86">
        <v>300</v>
      </c>
      <c r="H37" s="201" t="s">
        <v>141</v>
      </c>
      <c r="I37" s="201" t="s">
        <v>141</v>
      </c>
      <c r="J37" s="136">
        <v>46152</v>
      </c>
      <c r="K37" s="136">
        <v>46147</v>
      </c>
      <c r="L37" s="20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146</v>
      </c>
      <c r="F38" s="82" t="s">
        <v>146</v>
      </c>
      <c r="G38" s="86">
        <v>1692</v>
      </c>
      <c r="H38" s="201" t="s">
        <v>141</v>
      </c>
      <c r="I38" s="201" t="s">
        <v>141</v>
      </c>
      <c r="J38" s="136">
        <v>46146</v>
      </c>
      <c r="K38" s="136">
        <v>46147</v>
      </c>
      <c r="L38" s="20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146</v>
      </c>
      <c r="F39" s="82" t="s">
        <v>146</v>
      </c>
      <c r="G39" s="86">
        <v>2352</v>
      </c>
      <c r="H39" s="201" t="s">
        <v>141</v>
      </c>
      <c r="I39" s="201" t="s">
        <v>141</v>
      </c>
      <c r="J39" s="136">
        <v>46146</v>
      </c>
      <c r="K39" s="136">
        <v>46147</v>
      </c>
      <c r="L39" s="20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146</v>
      </c>
      <c r="F40" s="82" t="s">
        <v>146</v>
      </c>
      <c r="G40" s="86">
        <v>2900</v>
      </c>
      <c r="H40" s="201" t="s">
        <v>141</v>
      </c>
      <c r="I40" s="201" t="s">
        <v>141</v>
      </c>
      <c r="J40" s="136">
        <v>46146</v>
      </c>
      <c r="K40" s="136">
        <v>46147</v>
      </c>
      <c r="L40" s="20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146</v>
      </c>
      <c r="F41" s="82" t="s">
        <v>146</v>
      </c>
      <c r="G41" s="86">
        <v>2478</v>
      </c>
      <c r="H41" s="201" t="s">
        <v>141</v>
      </c>
      <c r="I41" s="201" t="s">
        <v>141</v>
      </c>
      <c r="J41" s="136">
        <v>46146</v>
      </c>
      <c r="K41" s="136">
        <v>46147</v>
      </c>
      <c r="L41" s="20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146</v>
      </c>
      <c r="F42" s="82" t="s">
        <v>146</v>
      </c>
      <c r="G42" s="86">
        <v>96</v>
      </c>
      <c r="H42" s="201" t="s">
        <v>141</v>
      </c>
      <c r="I42" s="201" t="s">
        <v>141</v>
      </c>
      <c r="J42" s="136">
        <v>46160</v>
      </c>
      <c r="K42" s="136">
        <v>46159</v>
      </c>
      <c r="L42" s="20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146</v>
      </c>
      <c r="F43" s="82" t="s">
        <v>146</v>
      </c>
      <c r="G43" s="86">
        <v>429</v>
      </c>
      <c r="H43" s="201" t="s">
        <v>141</v>
      </c>
      <c r="I43" s="201" t="s">
        <v>141</v>
      </c>
      <c r="J43" s="136">
        <v>46160</v>
      </c>
      <c r="K43" s="136">
        <v>46159</v>
      </c>
      <c r="L43" s="20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147</v>
      </c>
      <c r="F44" s="82" t="s">
        <v>146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147</v>
      </c>
      <c r="F45" s="82" t="s">
        <v>146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147</v>
      </c>
      <c r="F46" s="82" t="s">
        <v>146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147</v>
      </c>
      <c r="F47" s="82" t="s">
        <v>146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147</v>
      </c>
      <c r="F48" s="82" t="s">
        <v>146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147</v>
      </c>
      <c r="F49" s="82" t="s">
        <v>146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147</v>
      </c>
      <c r="F50" s="82" t="s">
        <v>146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154</v>
      </c>
      <c r="F51" s="82" t="s">
        <v>154</v>
      </c>
      <c r="G51" s="86">
        <v>1108</v>
      </c>
      <c r="H51" s="201" t="s">
        <v>141</v>
      </c>
      <c r="I51" s="201" t="s">
        <v>141</v>
      </c>
      <c r="J51" s="136">
        <v>46160</v>
      </c>
      <c r="K51" s="136">
        <v>46154</v>
      </c>
      <c r="L51" s="20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154</v>
      </c>
      <c r="F52" s="82" t="s">
        <v>154</v>
      </c>
      <c r="G52" s="86">
        <v>1260</v>
      </c>
      <c r="H52" s="201" t="s">
        <v>141</v>
      </c>
      <c r="I52" s="201" t="s">
        <v>141</v>
      </c>
      <c r="J52" s="136">
        <v>46160</v>
      </c>
      <c r="K52" s="136">
        <v>46167</v>
      </c>
      <c r="L52" s="20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154</v>
      </c>
      <c r="F53" s="82" t="s">
        <v>154</v>
      </c>
      <c r="G53" s="86">
        <v>734</v>
      </c>
      <c r="H53" s="201" t="s">
        <v>141</v>
      </c>
      <c r="I53" s="201" t="s">
        <v>141</v>
      </c>
      <c r="J53" s="136">
        <v>46160</v>
      </c>
      <c r="K53" s="136">
        <v>46154</v>
      </c>
      <c r="L53" s="20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154</v>
      </c>
      <c r="F54" s="82" t="s">
        <v>154</v>
      </c>
      <c r="G54" s="86">
        <v>696</v>
      </c>
      <c r="H54" s="201" t="s">
        <v>141</v>
      </c>
      <c r="I54" s="201" t="s">
        <v>141</v>
      </c>
      <c r="J54" s="136">
        <v>46160</v>
      </c>
      <c r="K54" s="136">
        <v>46154</v>
      </c>
      <c r="L54" s="20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154</v>
      </c>
      <c r="F55" s="82" t="s">
        <v>154</v>
      </c>
      <c r="G55" s="86">
        <v>792</v>
      </c>
      <c r="H55" s="201" t="s">
        <v>141</v>
      </c>
      <c r="I55" s="201" t="s">
        <v>141</v>
      </c>
      <c r="J55" s="136">
        <v>46160</v>
      </c>
      <c r="K55" s="136">
        <v>46154</v>
      </c>
      <c r="L55" s="20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154</v>
      </c>
      <c r="F56" s="82" t="s">
        <v>154</v>
      </c>
      <c r="G56" s="86">
        <v>1140</v>
      </c>
      <c r="H56" s="201" t="s">
        <v>141</v>
      </c>
      <c r="I56" s="201" t="s">
        <v>141</v>
      </c>
      <c r="J56" s="136">
        <v>46160</v>
      </c>
      <c r="K56" s="136">
        <v>46154</v>
      </c>
      <c r="L56" s="20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154</v>
      </c>
      <c r="F57" s="82" t="s">
        <v>154</v>
      </c>
      <c r="G57" s="86">
        <v>210</v>
      </c>
      <c r="H57" s="201" t="s">
        <v>141</v>
      </c>
      <c r="I57" s="201" t="s">
        <v>141</v>
      </c>
      <c r="J57" s="136">
        <v>46160</v>
      </c>
      <c r="K57" s="136">
        <v>46154</v>
      </c>
      <c r="L57" s="20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154</v>
      </c>
      <c r="F58" s="82" t="s">
        <v>154</v>
      </c>
      <c r="G58" s="86">
        <v>528</v>
      </c>
      <c r="H58" s="201" t="s">
        <v>141</v>
      </c>
      <c r="I58" s="201" t="s">
        <v>141</v>
      </c>
      <c r="J58" s="136">
        <v>46148</v>
      </c>
      <c r="K58" s="136">
        <v>46149</v>
      </c>
      <c r="L58" s="20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154</v>
      </c>
      <c r="F59" s="82" t="s">
        <v>154</v>
      </c>
      <c r="G59" s="86">
        <v>570</v>
      </c>
      <c r="H59" s="201" t="s">
        <v>141</v>
      </c>
      <c r="I59" s="201" t="s">
        <v>141</v>
      </c>
      <c r="J59" s="136">
        <v>46148</v>
      </c>
      <c r="K59" s="136">
        <v>46149</v>
      </c>
      <c r="L59" s="20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154</v>
      </c>
      <c r="F60" s="82" t="s">
        <v>154</v>
      </c>
      <c r="G60" s="86">
        <v>576</v>
      </c>
      <c r="H60" s="201" t="s">
        <v>141</v>
      </c>
      <c r="I60" s="201" t="s">
        <v>141</v>
      </c>
      <c r="J60" s="136">
        <v>46148</v>
      </c>
      <c r="K60" s="136">
        <v>46149</v>
      </c>
      <c r="L60" s="20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155</v>
      </c>
      <c r="F61" s="82" t="s">
        <v>154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155</v>
      </c>
      <c r="F62" s="82" t="s">
        <v>154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155</v>
      </c>
      <c r="F63" s="82" t="s">
        <v>154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155</v>
      </c>
      <c r="F64" s="82" t="s">
        <v>154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155</v>
      </c>
      <c r="F65" s="82" t="s">
        <v>154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156</v>
      </c>
      <c r="R65" s="6" t="s">
        <v>157</v>
      </c>
      <c r="S65" s="6" t="s">
        <v>158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155</v>
      </c>
      <c r="F66" s="82" t="s">
        <v>154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155</v>
      </c>
      <c r="F67" s="82" t="s">
        <v>154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155</v>
      </c>
      <c r="F68" s="82" t="s">
        <v>154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155</v>
      </c>
      <c r="F69" s="82" t="s">
        <v>154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155</v>
      </c>
      <c r="F70" s="82" t="s">
        <v>154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155</v>
      </c>
      <c r="F71" s="82" t="s">
        <v>154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155</v>
      </c>
      <c r="F72" s="82" t="s">
        <v>154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155</v>
      </c>
      <c r="F73" s="82" t="s">
        <v>154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155</v>
      </c>
      <c r="F74" s="82" t="s">
        <v>154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159</v>
      </c>
      <c r="F75" s="82" t="s">
        <v>160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159</v>
      </c>
      <c r="F76" s="82" t="s">
        <v>160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159</v>
      </c>
      <c r="F77" s="82" t="s">
        <v>160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159</v>
      </c>
      <c r="F78" s="82" t="s">
        <v>160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156</v>
      </c>
      <c r="R78" s="6" t="s">
        <v>157</v>
      </c>
      <c r="S78" s="6" t="s">
        <v>158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159</v>
      </c>
      <c r="F79" s="82" t="s">
        <v>160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159</v>
      </c>
      <c r="F80" s="82" t="s">
        <v>160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159</v>
      </c>
      <c r="F81" s="82" t="s">
        <v>160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172</v>
      </c>
      <c r="R81" s="205" t="s">
        <v>173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159</v>
      </c>
      <c r="F82" s="82" t="s">
        <v>160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174</v>
      </c>
      <c r="R82" s="205" t="s">
        <v>173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159</v>
      </c>
      <c r="F83" s="82" t="s">
        <v>160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172</v>
      </c>
      <c r="R83" s="205" t="s">
        <v>173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159</v>
      </c>
      <c r="F84" s="82" t="s">
        <v>160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174</v>
      </c>
      <c r="R84" s="205" t="s">
        <v>173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159</v>
      </c>
      <c r="F85" s="82" t="s">
        <v>160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156</v>
      </c>
      <c r="R85" s="6" t="s">
        <v>157</v>
      </c>
      <c r="S85" s="6" t="s">
        <v>158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159</v>
      </c>
      <c r="F86" s="82" t="s">
        <v>160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175</v>
      </c>
      <c r="F87" s="203" t="s">
        <v>176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156</v>
      </c>
      <c r="R87" s="6" t="s">
        <v>157</v>
      </c>
      <c r="S87" s="6" t="s">
        <v>158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175</v>
      </c>
      <c r="F88" s="203" t="s">
        <v>176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177</v>
      </c>
      <c r="R88" s="207" t="s">
        <v>178</v>
      </c>
      <c r="S88" s="6" t="s">
        <v>179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175</v>
      </c>
      <c r="F89" s="203" t="s">
        <v>176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175</v>
      </c>
      <c r="F90" s="82" t="s">
        <v>180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175</v>
      </c>
      <c r="F91" s="82" t="s">
        <v>180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175</v>
      </c>
      <c r="F92" s="82" t="s">
        <v>180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175</v>
      </c>
      <c r="F93" s="82" t="s">
        <v>180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185</v>
      </c>
      <c r="R93" s="208" t="s">
        <v>173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175</v>
      </c>
      <c r="F94" s="82" t="s">
        <v>180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185</v>
      </c>
      <c r="R94" s="208" t="s">
        <v>173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175</v>
      </c>
      <c r="F95" s="199" t="s">
        <v>180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46248</v>
      </c>
      <c r="K95" s="136"/>
      <c r="L95" s="20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175</v>
      </c>
      <c r="F96" s="82" t="s">
        <v>180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175</v>
      </c>
      <c r="F97" s="82" t="s">
        <v>180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156</v>
      </c>
      <c r="R97" s="6" t="s">
        <v>157</v>
      </c>
      <c r="S97" s="6" t="s">
        <v>158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175</v>
      </c>
      <c r="F98" s="82" t="s">
        <v>180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177</v>
      </c>
      <c r="R98" s="207" t="s">
        <v>178</v>
      </c>
      <c r="S98" s="6" t="s">
        <v>179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175</v>
      </c>
      <c r="F99" s="82" t="s">
        <v>180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189</v>
      </c>
      <c r="R99" s="207" t="s">
        <v>190</v>
      </c>
      <c r="S99" s="6" t="s">
        <v>191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175</v>
      </c>
      <c r="F100" s="82" t="s">
        <v>180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198">
        <v>46129</v>
      </c>
      <c r="B101" s="6" t="s">
        <v>195</v>
      </c>
      <c r="C101" s="199" t="s">
        <v>28</v>
      </c>
      <c r="D101" s="200">
        <f>VLOOKUP(C101,'Product List'!A:B,2,0)</f>
        <v>850030338761</v>
      </c>
      <c r="E101" s="203" t="s">
        <v>175</v>
      </c>
      <c r="F101" s="82" t="s">
        <v>180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141</v>
      </c>
      <c r="M101" s="19" t="s">
        <v>196</v>
      </c>
      <c r="N101" s="19">
        <v>1</v>
      </c>
      <c r="O101" s="86">
        <v>197</v>
      </c>
      <c r="P101" s="20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200</v>
      </c>
      <c r="F102" s="82" t="s">
        <v>201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200</v>
      </c>
      <c r="F103" s="82" t="s">
        <v>201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200</v>
      </c>
      <c r="F104" s="82" t="s">
        <v>201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200</v>
      </c>
      <c r="F105" s="82" t="s">
        <v>201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172</v>
      </c>
      <c r="R105" s="208" t="s">
        <v>173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200</v>
      </c>
      <c r="F106" s="82" t="s">
        <v>201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174</v>
      </c>
      <c r="R106" s="208" t="s">
        <v>173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200</v>
      </c>
      <c r="F107" s="82" t="s">
        <v>201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174</v>
      </c>
      <c r="R107" s="208" t="s">
        <v>173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200</v>
      </c>
      <c r="F108" s="82" t="s">
        <v>201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172</v>
      </c>
      <c r="R108" s="208" t="s">
        <v>173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203</v>
      </c>
      <c r="F109" s="82" t="s">
        <v>204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203</v>
      </c>
      <c r="F110" s="82" t="s">
        <v>204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205</v>
      </c>
      <c r="F111" s="82" t="s">
        <v>206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207</v>
      </c>
      <c r="R111" s="208" t="s">
        <v>173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205</v>
      </c>
      <c r="F112" s="82" t="s">
        <v>206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207</v>
      </c>
      <c r="R112" s="208" t="s">
        <v>173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205</v>
      </c>
      <c r="F113" s="82" t="s">
        <v>206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207</v>
      </c>
      <c r="R113" s="208" t="s">
        <v>173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208</v>
      </c>
      <c r="F114" s="82" t="s">
        <v>209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208</v>
      </c>
      <c r="F115" s="82" t="s">
        <v>209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208</v>
      </c>
      <c r="F116" s="82" t="s">
        <v>209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208</v>
      </c>
      <c r="F117" s="82" t="s">
        <v>209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208</v>
      </c>
      <c r="F118" s="82" t="s">
        <v>209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208</v>
      </c>
      <c r="F119" s="82" t="s">
        <v>209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208</v>
      </c>
      <c r="F120" s="82" t="s">
        <v>209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177</v>
      </c>
      <c r="R120" s="207" t="s">
        <v>178</v>
      </c>
      <c r="S120" s="6" t="s">
        <v>179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213</v>
      </c>
      <c r="F121" s="199" t="s">
        <v>214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>
        <v>46249</v>
      </c>
      <c r="L121" s="20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215</v>
      </c>
      <c r="R121" s="211" t="s">
        <v>173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213</v>
      </c>
      <c r="F122" s="82" t="s">
        <v>214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46248</v>
      </c>
      <c r="K122" s="136"/>
      <c r="L122" s="20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213</v>
      </c>
      <c r="F123" s="82" t="s">
        <v>214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213</v>
      </c>
      <c r="F124" s="82" t="s">
        <v>214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213</v>
      </c>
      <c r="F125" s="82" t="s">
        <v>214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46248</v>
      </c>
      <c r="K125" s="136"/>
      <c r="L125" s="20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213</v>
      </c>
      <c r="F126" s="82" t="s">
        <v>214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219</v>
      </c>
      <c r="R126" s="213" t="s">
        <v>220</v>
      </c>
      <c r="S126" s="213" t="s">
        <v>221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213</v>
      </c>
      <c r="F127" s="82" t="s">
        <v>214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219</v>
      </c>
      <c r="R127" s="213" t="s">
        <v>220</v>
      </c>
      <c r="S127" s="213" t="s">
        <v>221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213</v>
      </c>
      <c r="F128" s="82" t="s">
        <v>214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213</v>
      </c>
      <c r="F129" s="82" t="s">
        <v>214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219</v>
      </c>
      <c r="R129" s="213" t="s">
        <v>220</v>
      </c>
      <c r="S129" s="213" t="s">
        <v>221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213</v>
      </c>
      <c r="F130" s="82" t="s">
        <v>214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213</v>
      </c>
      <c r="F131" s="82" t="s">
        <v>214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219</v>
      </c>
      <c r="R131" s="213" t="s">
        <v>220</v>
      </c>
      <c r="S131" s="213" t="s">
        <v>221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213</v>
      </c>
      <c r="F132" s="82" t="s">
        <v>214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219</v>
      </c>
      <c r="R132" s="213" t="s">
        <v>220</v>
      </c>
      <c r="S132" s="213" t="s">
        <v>221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213</v>
      </c>
      <c r="F133" s="82" t="s">
        <v>214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46248</v>
      </c>
      <c r="K133" s="136"/>
      <c r="L133" s="20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222</v>
      </c>
      <c r="F134" s="82" t="s">
        <v>223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222</v>
      </c>
      <c r="F135" s="82" t="s">
        <v>223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222</v>
      </c>
      <c r="F136" s="82" t="s">
        <v>223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222</v>
      </c>
      <c r="F137" s="82" t="s">
        <v>223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222</v>
      </c>
      <c r="F138" s="82" t="s">
        <v>223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222</v>
      </c>
      <c r="F139" s="82" t="s">
        <v>223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222</v>
      </c>
      <c r="F140" s="82" t="s">
        <v>223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224</v>
      </c>
      <c r="F141" s="82" t="s">
        <v>225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177</v>
      </c>
      <c r="R141" s="207" t="s">
        <v>178</v>
      </c>
      <c r="S141" s="6" t="s">
        <v>179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224</v>
      </c>
      <c r="F142" s="82" t="s">
        <v>225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172</v>
      </c>
      <c r="R142" s="205" t="s">
        <v>173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224</v>
      </c>
      <c r="F143" s="82" t="s">
        <v>225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174</v>
      </c>
      <c r="R143" s="205" t="s">
        <v>173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224</v>
      </c>
      <c r="F144" s="199" t="s">
        <v>225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46248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224</v>
      </c>
      <c r="F145" s="82" t="s">
        <v>225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224</v>
      </c>
      <c r="F146" s="82" t="s">
        <v>225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224</v>
      </c>
      <c r="F147" s="82" t="s">
        <v>225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172</v>
      </c>
      <c r="R147" s="205" t="s">
        <v>173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224</v>
      </c>
      <c r="F148" s="82" t="s">
        <v>225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177</v>
      </c>
      <c r="R148" s="207" t="s">
        <v>178</v>
      </c>
      <c r="S148" s="6" t="s">
        <v>179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224</v>
      </c>
      <c r="F149" s="82" t="s">
        <v>225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177</v>
      </c>
      <c r="R149" s="207" t="s">
        <v>178</v>
      </c>
      <c r="S149" s="6" t="s">
        <v>179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224</v>
      </c>
      <c r="F150" s="82" t="s">
        <v>225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224</v>
      </c>
      <c r="F151" s="82" t="s">
        <v>225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197</v>
      </c>
      <c r="R151" s="207" t="s">
        <v>198</v>
      </c>
      <c r="S151" s="6" t="s">
        <v>199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224</v>
      </c>
      <c r="F152" s="82" t="s">
        <v>225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197</v>
      </c>
      <c r="R152" s="207" t="s">
        <v>198</v>
      </c>
      <c r="S152" s="6" t="s">
        <v>199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224</v>
      </c>
      <c r="F153" s="82" t="s">
        <v>225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197</v>
      </c>
      <c r="R153" s="207" t="s">
        <v>198</v>
      </c>
      <c r="S153" s="6" t="s">
        <v>199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224</v>
      </c>
      <c r="F154" s="199" t="s">
        <v>225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46248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224</v>
      </c>
      <c r="F155" s="199" t="s">
        <v>225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46248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224</v>
      </c>
      <c r="F156" s="199" t="s">
        <v>225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197</v>
      </c>
      <c r="R156" s="207" t="s">
        <v>198</v>
      </c>
      <c r="S156" s="6" t="s">
        <v>199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224</v>
      </c>
      <c r="F157" s="199" t="s">
        <v>225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46248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224</v>
      </c>
      <c r="F158" s="199" t="s">
        <v>225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46248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224</v>
      </c>
      <c r="F159" s="199" t="s">
        <v>225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46248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224</v>
      </c>
      <c r="F160" s="199" t="s">
        <v>225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46248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224</v>
      </c>
      <c r="F161" s="199" t="s">
        <v>225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46248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224</v>
      </c>
      <c r="F162" s="82" t="s">
        <v>225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197</v>
      </c>
      <c r="R162" s="207" t="s">
        <v>198</v>
      </c>
      <c r="S162" s="6" t="s">
        <v>199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224</v>
      </c>
      <c r="F163" s="82" t="s">
        <v>225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189</v>
      </c>
      <c r="R163" s="207" t="s">
        <v>190</v>
      </c>
      <c r="S163" s="6" t="s">
        <v>191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224</v>
      </c>
      <c r="F164" s="82" t="s">
        <v>225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177</v>
      </c>
      <c r="R164" s="207" t="s">
        <v>178</v>
      </c>
      <c r="S164" s="6" t="s">
        <v>179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224</v>
      </c>
      <c r="F165" s="82" t="s">
        <v>225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177</v>
      </c>
      <c r="R165" s="207" t="s">
        <v>178</v>
      </c>
      <c r="S165" s="6" t="s">
        <v>179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226</v>
      </c>
      <c r="F166" s="82" t="s">
        <v>227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46248</v>
      </c>
      <c r="K166" s="136"/>
      <c r="L166" s="20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226</v>
      </c>
      <c r="F167" s="203" t="s">
        <v>228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226</v>
      </c>
      <c r="F168" s="203" t="s">
        <v>228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>
        <v>46249</v>
      </c>
      <c r="L168" s="20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215</v>
      </c>
      <c r="R168" s="211" t="s">
        <v>173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226</v>
      </c>
      <c r="F169" s="203" t="s">
        <v>228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>
        <v>46249</v>
      </c>
      <c r="L169" s="20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215</v>
      </c>
      <c r="R169" s="211" t="s">
        <v>173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226</v>
      </c>
      <c r="F170" s="203" t="s">
        <v>228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181</v>
      </c>
      <c r="R170" s="6" t="s">
        <v>182</v>
      </c>
      <c r="S170" s="19" t="s">
        <v>183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226</v>
      </c>
      <c r="F171" s="203" t="s">
        <v>228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181</v>
      </c>
      <c r="R171" s="6" t="s">
        <v>182</v>
      </c>
      <c r="S171" s="19" t="s">
        <v>183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226</v>
      </c>
      <c r="F172" s="203" t="s">
        <v>228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226</v>
      </c>
      <c r="F173" s="203" t="s">
        <v>228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181</v>
      </c>
      <c r="R173" s="6" t="s">
        <v>182</v>
      </c>
      <c r="S173" s="19" t="s">
        <v>183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229</v>
      </c>
      <c r="F174" s="203" t="s">
        <v>230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229</v>
      </c>
      <c r="F175" s="203" t="s">
        <v>230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>
        <v>46249</v>
      </c>
      <c r="L175" s="20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215</v>
      </c>
      <c r="R175" s="211" t="s">
        <v>173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229</v>
      </c>
      <c r="F176" s="203" t="s">
        <v>230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>
        <v>46249</v>
      </c>
      <c r="L176" s="20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215</v>
      </c>
      <c r="R176" s="211" t="s">
        <v>173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229</v>
      </c>
      <c r="F177" s="203" t="s">
        <v>230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>
        <v>46249</v>
      </c>
      <c r="L177" s="20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215</v>
      </c>
      <c r="R177" s="211" t="s">
        <v>173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229</v>
      </c>
      <c r="F178" s="203" t="s">
        <v>230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229</v>
      </c>
      <c r="F179" s="203" t="s">
        <v>230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229</v>
      </c>
      <c r="F180" s="203" t="s">
        <v>230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229</v>
      </c>
      <c r="F181" s="203" t="s">
        <v>230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229</v>
      </c>
      <c r="F182" s="203" t="s">
        <v>230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229</v>
      </c>
      <c r="F183" s="203" t="s">
        <v>230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231</v>
      </c>
      <c r="G184" s="86">
        <v>2280</v>
      </c>
      <c r="H184" s="201"/>
      <c r="I184" s="201"/>
      <c r="J184" s="136"/>
      <c r="K184" s="136"/>
      <c r="L184" s="20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231</v>
      </c>
      <c r="G185" s="86">
        <v>1560</v>
      </c>
      <c r="L185" s="20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231</v>
      </c>
      <c r="G186" s="86">
        <v>1116</v>
      </c>
      <c r="L186" s="20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231</v>
      </c>
      <c r="G187" s="86">
        <v>1560</v>
      </c>
      <c r="L187" s="20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231</v>
      </c>
      <c r="G188" s="86">
        <v>1440</v>
      </c>
      <c r="L188" s="20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231</v>
      </c>
      <c r="G189" s="86">
        <v>1200</v>
      </c>
      <c r="L189" s="20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231</v>
      </c>
      <c r="G190" s="86">
        <v>252</v>
      </c>
      <c r="L190" s="20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231</v>
      </c>
      <c r="G191" s="86">
        <v>252</v>
      </c>
      <c r="L191" s="20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231</v>
      </c>
      <c r="G192" s="86">
        <v>720</v>
      </c>
      <c r="L192" s="20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231</v>
      </c>
      <c r="G193" s="86">
        <v>504</v>
      </c>
      <c r="L193" s="20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231</v>
      </c>
      <c r="G194" s="86">
        <v>660</v>
      </c>
      <c r="L194" s="20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231</v>
      </c>
      <c r="G195" s="86">
        <v>1080</v>
      </c>
      <c r="L195" s="20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231</v>
      </c>
      <c r="G196" s="86">
        <v>720</v>
      </c>
      <c r="L196" s="20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231</v>
      </c>
      <c r="G197" s="86">
        <v>470</v>
      </c>
      <c r="L197" s="20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231</v>
      </c>
      <c r="G198" s="86">
        <v>552</v>
      </c>
      <c r="L198" s="20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231</v>
      </c>
      <c r="G199" s="86">
        <v>456</v>
      </c>
      <c r="L199" s="20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231</v>
      </c>
      <c r="G200" s="86">
        <v>684</v>
      </c>
      <c r="L200" s="20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231</v>
      </c>
      <c r="G201" s="86">
        <v>350</v>
      </c>
      <c r="L201" s="20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231</v>
      </c>
      <c r="G202" s="86">
        <v>200</v>
      </c>
      <c r="L202" s="20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231</v>
      </c>
      <c r="G203" s="86">
        <v>316</v>
      </c>
      <c r="L203" s="20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231</v>
      </c>
      <c r="G204" s="86">
        <v>460</v>
      </c>
      <c r="L204" s="20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231</v>
      </c>
      <c r="G205" s="86">
        <v>200</v>
      </c>
      <c r="L205" s="20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231</v>
      </c>
      <c r="G206" s="86">
        <v>372</v>
      </c>
      <c r="L206" s="20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231</v>
      </c>
      <c r="G207" s="86">
        <v>408</v>
      </c>
      <c r="L207" s="20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231</v>
      </c>
      <c r="G208" s="86">
        <v>220</v>
      </c>
      <c r="L208" s="20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231</v>
      </c>
      <c r="G209" s="86">
        <v>504</v>
      </c>
      <c r="L209" s="20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231</v>
      </c>
      <c r="G210" s="86">
        <v>504</v>
      </c>
      <c r="L210" s="20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232</v>
      </c>
      <c r="G211" s="156">
        <v>260</v>
      </c>
      <c r="H211" s="219">
        <v>46226</v>
      </c>
      <c r="I211" s="196" t="s">
        <v>141</v>
      </c>
      <c r="J211" s="136">
        <v>46230</v>
      </c>
      <c r="K211" s="136">
        <v>46230</v>
      </c>
      <c r="L211" s="20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232</v>
      </c>
      <c r="G212" s="156">
        <v>100</v>
      </c>
      <c r="H212" s="219">
        <v>46226</v>
      </c>
      <c r="I212" s="196" t="s">
        <v>141</v>
      </c>
      <c r="J212" s="136">
        <v>46230</v>
      </c>
      <c r="K212" s="136">
        <v>46230</v>
      </c>
      <c r="L212" s="20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232</v>
      </c>
      <c r="G213" s="156">
        <v>60</v>
      </c>
      <c r="H213" s="219">
        <v>46226</v>
      </c>
      <c r="I213" s="196" t="s">
        <v>141</v>
      </c>
      <c r="J213" s="136">
        <v>46230</v>
      </c>
      <c r="K213" s="136">
        <v>46230</v>
      </c>
      <c r="L213" s="20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232</v>
      </c>
      <c r="G214" s="156">
        <v>18</v>
      </c>
      <c r="H214" s="219">
        <v>46226</v>
      </c>
      <c r="I214" s="196" t="s">
        <v>141</v>
      </c>
      <c r="J214" s="136">
        <v>46230</v>
      </c>
      <c r="K214" s="136">
        <v>46230</v>
      </c>
      <c r="L214" s="20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232</v>
      </c>
      <c r="G215" s="156">
        <v>24</v>
      </c>
      <c r="H215" s="219">
        <v>46226</v>
      </c>
      <c r="I215" s="196" t="s">
        <v>141</v>
      </c>
      <c r="J215" s="136">
        <v>46230</v>
      </c>
      <c r="K215" s="136">
        <v>46230</v>
      </c>
      <c r="L215" s="20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232</v>
      </c>
      <c r="G216" s="156">
        <v>600</v>
      </c>
      <c r="H216" s="219">
        <v>46226</v>
      </c>
      <c r="I216" s="196" t="s">
        <v>141</v>
      </c>
      <c r="J216" s="136">
        <v>46230</v>
      </c>
      <c r="K216" s="136">
        <v>46230</v>
      </c>
      <c r="L216" s="20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232</v>
      </c>
      <c r="G217" s="156">
        <v>8</v>
      </c>
      <c r="H217" s="219">
        <v>46226</v>
      </c>
      <c r="I217" s="196" t="s">
        <v>141</v>
      </c>
      <c r="J217" s="136">
        <v>46230</v>
      </c>
      <c r="K217" s="136">
        <v>46230</v>
      </c>
      <c r="L217" s="20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232</v>
      </c>
      <c r="G218" s="156">
        <v>208</v>
      </c>
      <c r="H218" s="219">
        <v>46226</v>
      </c>
      <c r="I218" s="196" t="s">
        <v>141</v>
      </c>
      <c r="J218" s="136">
        <v>46230</v>
      </c>
      <c r="K218" s="136">
        <v>46230</v>
      </c>
      <c r="L218" s="20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232</v>
      </c>
      <c r="G219" s="156">
        <v>4</v>
      </c>
      <c r="H219" s="219">
        <v>46226</v>
      </c>
      <c r="I219" s="196" t="s">
        <v>141</v>
      </c>
      <c r="J219" s="136">
        <v>46230</v>
      </c>
      <c r="K219" s="136">
        <v>46230</v>
      </c>
      <c r="L219" s="20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232</v>
      </c>
      <c r="G220" s="156">
        <v>20</v>
      </c>
      <c r="H220" s="219">
        <v>46226</v>
      </c>
      <c r="I220" s="196" t="s">
        <v>141</v>
      </c>
      <c r="J220" s="136">
        <v>46230</v>
      </c>
      <c r="K220" s="136">
        <v>46230</v>
      </c>
      <c r="L220" s="20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232</v>
      </c>
      <c r="G221" s="156">
        <v>12</v>
      </c>
      <c r="H221" s="219">
        <v>46226</v>
      </c>
      <c r="I221" s="196" t="s">
        <v>141</v>
      </c>
      <c r="J221" s="136">
        <v>46230</v>
      </c>
      <c r="K221" s="136">
        <v>46230</v>
      </c>
      <c r="L221" s="20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232</v>
      </c>
      <c r="G222" s="156">
        <v>24</v>
      </c>
      <c r="H222" s="219">
        <v>46226</v>
      </c>
      <c r="I222" s="196" t="s">
        <v>141</v>
      </c>
      <c r="J222" s="136">
        <v>46230</v>
      </c>
      <c r="K222" s="136">
        <v>46230</v>
      </c>
      <c r="L222" s="20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232</v>
      </c>
      <c r="G223" s="156">
        <v>240</v>
      </c>
      <c r="H223" s="219">
        <v>46226</v>
      </c>
      <c r="I223" s="196" t="s">
        <v>141</v>
      </c>
      <c r="J223" s="136">
        <v>46230</v>
      </c>
      <c r="K223" s="136">
        <v>46230</v>
      </c>
      <c r="L223" s="20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232</v>
      </c>
      <c r="G224" s="156">
        <v>96</v>
      </c>
      <c r="H224" s="219">
        <v>46226</v>
      </c>
      <c r="I224" s="196" t="s">
        <v>141</v>
      </c>
      <c r="J224" s="136">
        <v>46230</v>
      </c>
      <c r="K224" s="136">
        <v>46230</v>
      </c>
      <c r="L224" s="20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232</v>
      </c>
      <c r="G225" s="156">
        <v>120</v>
      </c>
      <c r="H225" s="219">
        <v>46226</v>
      </c>
      <c r="I225" s="196" t="s">
        <v>141</v>
      </c>
      <c r="J225" s="136">
        <v>46230</v>
      </c>
      <c r="K225" s="136">
        <v>46230</v>
      </c>
      <c r="L225" s="20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232</v>
      </c>
      <c r="G226" s="156">
        <v>180</v>
      </c>
      <c r="H226" s="219">
        <v>46226</v>
      </c>
      <c r="I226" s="196" t="s">
        <v>141</v>
      </c>
      <c r="J226" s="136">
        <v>46230</v>
      </c>
      <c r="K226" s="136">
        <v>46230</v>
      </c>
      <c r="L226" s="20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232</v>
      </c>
      <c r="G227" s="156">
        <v>248</v>
      </c>
      <c r="H227" s="219">
        <v>46226</v>
      </c>
      <c r="I227" s="196" t="s">
        <v>141</v>
      </c>
      <c r="J227" s="136">
        <v>46230</v>
      </c>
      <c r="K227" s="136">
        <v>46230</v>
      </c>
      <c r="L227" s="20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232</v>
      </c>
      <c r="G228" s="156">
        <v>240</v>
      </c>
      <c r="H228" s="219">
        <v>46226</v>
      </c>
      <c r="I228" s="196" t="s">
        <v>141</v>
      </c>
      <c r="J228" s="136">
        <v>46230</v>
      </c>
      <c r="K228" s="136">
        <v>46230</v>
      </c>
      <c r="L228" s="20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232</v>
      </c>
      <c r="G229" s="156">
        <v>48</v>
      </c>
      <c r="H229" s="219">
        <v>46226</v>
      </c>
      <c r="I229" s="196" t="s">
        <v>141</v>
      </c>
      <c r="J229" s="136">
        <v>46230</v>
      </c>
      <c r="K229" s="136">
        <v>46230</v>
      </c>
      <c r="L229" s="20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232</v>
      </c>
      <c r="G230" s="156">
        <v>16</v>
      </c>
      <c r="H230" s="219">
        <v>46226</v>
      </c>
      <c r="I230" s="196" t="s">
        <v>141</v>
      </c>
      <c r="J230" s="136">
        <v>46230</v>
      </c>
      <c r="K230" s="136">
        <v>46230</v>
      </c>
      <c r="L230" s="20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232</v>
      </c>
      <c r="G231" s="156">
        <v>216</v>
      </c>
      <c r="H231" s="219">
        <v>46226</v>
      </c>
      <c r="I231" s="196" t="s">
        <v>141</v>
      </c>
      <c r="J231" s="136">
        <v>46230</v>
      </c>
      <c r="K231" s="136">
        <v>46230</v>
      </c>
      <c r="L231" s="20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232</v>
      </c>
      <c r="G232" s="156">
        <v>180</v>
      </c>
      <c r="H232" s="219">
        <v>46226</v>
      </c>
      <c r="I232" s="196" t="s">
        <v>141</v>
      </c>
      <c r="J232" s="136">
        <v>46230</v>
      </c>
      <c r="K232" s="136">
        <v>46230</v>
      </c>
      <c r="L232" s="20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232</v>
      </c>
      <c r="G233" s="156">
        <v>36</v>
      </c>
      <c r="H233" s="219">
        <v>46226</v>
      </c>
      <c r="I233" s="196" t="s">
        <v>141</v>
      </c>
      <c r="J233" s="136">
        <v>46230</v>
      </c>
      <c r="K233" s="136">
        <v>46230</v>
      </c>
      <c r="L233" s="20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232</v>
      </c>
      <c r="G234" s="156">
        <v>36</v>
      </c>
      <c r="H234" s="219">
        <v>46226</v>
      </c>
      <c r="I234" s="196" t="s">
        <v>141</v>
      </c>
      <c r="J234" s="136">
        <v>46230</v>
      </c>
      <c r="K234" s="136">
        <v>46230</v>
      </c>
      <c r="L234" s="20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232</v>
      </c>
      <c r="G235" s="156">
        <v>24</v>
      </c>
      <c r="H235" s="219">
        <v>46226</v>
      </c>
      <c r="I235" s="196" t="s">
        <v>141</v>
      </c>
      <c r="J235" s="136">
        <v>46230</v>
      </c>
      <c r="K235" s="136">
        <v>46230</v>
      </c>
      <c r="L235" s="20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232</v>
      </c>
      <c r="G236" s="156">
        <v>72</v>
      </c>
      <c r="H236" s="219">
        <v>46226</v>
      </c>
      <c r="I236" s="196" t="s">
        <v>141</v>
      </c>
      <c r="J236" s="136">
        <v>46230</v>
      </c>
      <c r="K236" s="136">
        <v>46230</v>
      </c>
      <c r="L236" s="20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232</v>
      </c>
      <c r="G237" s="156">
        <v>64</v>
      </c>
      <c r="H237" s="219">
        <v>46226</v>
      </c>
      <c r="I237" s="196" t="s">
        <v>141</v>
      </c>
      <c r="J237" s="136">
        <v>46230</v>
      </c>
      <c r="K237" s="136">
        <v>46230</v>
      </c>
      <c r="L237" s="20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232</v>
      </c>
      <c r="G238" s="156">
        <v>36</v>
      </c>
      <c r="H238" s="219">
        <v>46226</v>
      </c>
      <c r="I238" s="196" t="s">
        <v>141</v>
      </c>
      <c r="J238" s="136">
        <v>46230</v>
      </c>
      <c r="K238" s="136">
        <v>46230</v>
      </c>
      <c r="L238" s="20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232</v>
      </c>
      <c r="G239" s="156">
        <v>54</v>
      </c>
      <c r="H239" s="219">
        <v>46226</v>
      </c>
      <c r="I239" s="196" t="s">
        <v>141</v>
      </c>
      <c r="J239" s="136">
        <v>46230</v>
      </c>
      <c r="K239" s="136">
        <v>46230</v>
      </c>
      <c r="L239" s="20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232</v>
      </c>
      <c r="G240" s="156">
        <v>90</v>
      </c>
      <c r="H240" s="219">
        <v>46226</v>
      </c>
      <c r="I240" s="196" t="s">
        <v>141</v>
      </c>
      <c r="J240" s="136">
        <v>46230</v>
      </c>
      <c r="K240" s="136">
        <v>46230</v>
      </c>
      <c r="L240" s="20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232</v>
      </c>
      <c r="G241" s="156">
        <v>30</v>
      </c>
      <c r="H241" s="219">
        <v>46226</v>
      </c>
      <c r="I241" s="196" t="s">
        <v>141</v>
      </c>
      <c r="J241" s="136">
        <v>46230</v>
      </c>
      <c r="K241" s="136">
        <v>46230</v>
      </c>
      <c r="L241" s="20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232</v>
      </c>
      <c r="G242" s="156">
        <v>216</v>
      </c>
      <c r="H242" s="219">
        <v>46226</v>
      </c>
      <c r="I242" s="196" t="s">
        <v>141</v>
      </c>
      <c r="J242" s="136">
        <v>46230</v>
      </c>
      <c r="K242" s="136">
        <v>46230</v>
      </c>
      <c r="L242" s="20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232</v>
      </c>
      <c r="G243" s="156">
        <v>84</v>
      </c>
      <c r="H243" s="219">
        <v>46226</v>
      </c>
      <c r="I243" s="196" t="s">
        <v>141</v>
      </c>
      <c r="J243" s="136">
        <v>46230</v>
      </c>
      <c r="K243" s="136">
        <v>46230</v>
      </c>
      <c r="L243" s="20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232</v>
      </c>
      <c r="G244" s="156">
        <v>60</v>
      </c>
      <c r="H244" s="219">
        <v>46226</v>
      </c>
      <c r="I244" s="196" t="s">
        <v>141</v>
      </c>
      <c r="J244" s="136">
        <v>46230</v>
      </c>
      <c r="K244" s="136">
        <v>46230</v>
      </c>
      <c r="L244" s="20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232</v>
      </c>
      <c r="G245" s="156">
        <v>162</v>
      </c>
      <c r="H245" s="219">
        <v>46226</v>
      </c>
      <c r="I245" s="196" t="s">
        <v>141</v>
      </c>
      <c r="J245" s="136">
        <v>46230</v>
      </c>
      <c r="K245" s="136">
        <v>46230</v>
      </c>
      <c r="L245" s="20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232</v>
      </c>
      <c r="G246" s="156">
        <v>162</v>
      </c>
      <c r="H246" s="219">
        <v>46226</v>
      </c>
      <c r="I246" s="196" t="s">
        <v>141</v>
      </c>
      <c r="J246" s="136">
        <v>46230</v>
      </c>
      <c r="K246" s="136">
        <v>46230</v>
      </c>
      <c r="L246" s="20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232</v>
      </c>
      <c r="G247" s="156">
        <v>160</v>
      </c>
      <c r="H247" s="219">
        <v>46226</v>
      </c>
      <c r="I247" s="196" t="s">
        <v>141</v>
      </c>
      <c r="J247" s="136">
        <v>46230</v>
      </c>
      <c r="K247" s="136">
        <v>46230</v>
      </c>
      <c r="L247" s="20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232</v>
      </c>
      <c r="G248" s="156">
        <v>180</v>
      </c>
      <c r="H248" s="219">
        <v>46226</v>
      </c>
      <c r="I248" s="196" t="s">
        <v>141</v>
      </c>
      <c r="J248" s="136">
        <v>46230</v>
      </c>
      <c r="K248" s="136">
        <v>46230</v>
      </c>
      <c r="L248" s="20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233</v>
      </c>
      <c r="F249" s="6" t="s">
        <v>234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233</v>
      </c>
      <c r="F250" s="6" t="s">
        <v>234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233</v>
      </c>
      <c r="F251" s="6" t="s">
        <v>234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233</v>
      </c>
      <c r="F252" s="6" t="s">
        <v>234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233</v>
      </c>
      <c r="F253" s="6" t="s">
        <v>234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233</v>
      </c>
      <c r="F254" s="6" t="s">
        <v>234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233</v>
      </c>
      <c r="F255" s="6" t="s">
        <v>234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235</v>
      </c>
      <c r="F256" s="6" t="s">
        <v>236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141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235</v>
      </c>
      <c r="F257" s="6" t="s">
        <v>236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141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235</v>
      </c>
      <c r="F258" s="6" t="s">
        <v>236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141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235</v>
      </c>
      <c r="F259" s="6" t="s">
        <v>236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141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235</v>
      </c>
      <c r="F260" s="6" t="s">
        <v>236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141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235</v>
      </c>
      <c r="F261" s="6" t="s">
        <v>236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141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235</v>
      </c>
      <c r="F262" s="6" t="s">
        <v>236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141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235</v>
      </c>
      <c r="F263" s="6" t="s">
        <v>236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235</v>
      </c>
      <c r="F264" s="6" t="s">
        <v>236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141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235</v>
      </c>
      <c r="F265" s="6" t="s">
        <v>236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235</v>
      </c>
      <c r="F266" s="6" t="s">
        <v>236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235</v>
      </c>
      <c r="F267" s="6" t="s">
        <v>236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235</v>
      </c>
      <c r="F268" s="6" t="s">
        <v>236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235</v>
      </c>
      <c r="F269" s="6" t="s">
        <v>236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237</v>
      </c>
      <c r="G270" s="86">
        <v>579</v>
      </c>
      <c r="H270" s="201">
        <v>46275</v>
      </c>
      <c r="I270" s="201"/>
      <c r="J270" s="136">
        <v>46305</v>
      </c>
      <c r="L270" s="201" t="s">
        <v>141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237</v>
      </c>
      <c r="G271" s="86">
        <v>714</v>
      </c>
      <c r="H271" s="201">
        <v>46275</v>
      </c>
      <c r="I271" s="201"/>
      <c r="J271" s="136">
        <v>46305</v>
      </c>
      <c r="L271" s="201" t="s">
        <v>141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237</v>
      </c>
      <c r="G272" s="86">
        <v>420</v>
      </c>
      <c r="H272" s="201">
        <v>46275</v>
      </c>
      <c r="I272" s="201"/>
      <c r="J272" s="136">
        <v>46305</v>
      </c>
      <c r="L272" s="201" t="s">
        <v>141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237</v>
      </c>
      <c r="G273" s="86">
        <v>984</v>
      </c>
      <c r="H273" s="201">
        <v>46275</v>
      </c>
      <c r="I273" s="201"/>
      <c r="J273" s="136">
        <v>46305</v>
      </c>
      <c r="L273" s="201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137</v>
      </c>
      <c r="B1" s="164" t="s">
        <v>138</v>
      </c>
      <c r="C1" s="164" t="s">
        <v>139</v>
      </c>
      <c r="D1" s="164" t="s">
        <v>21</v>
      </c>
      <c r="E1" s="164" t="s">
        <v>238</v>
      </c>
      <c r="F1" s="164" t="s">
        <v>130</v>
      </c>
      <c r="G1" s="164" t="s">
        <v>131</v>
      </c>
      <c r="H1" s="164" t="s">
        <v>132</v>
      </c>
      <c r="I1" s="164" t="s">
        <v>239</v>
      </c>
      <c r="J1" s="164" t="s">
        <v>133</v>
      </c>
      <c r="K1" s="164" t="s">
        <v>240</v>
      </c>
      <c r="L1" s="164" t="s">
        <v>241</v>
      </c>
      <c r="M1" s="164" t="s">
        <v>242</v>
      </c>
      <c r="N1" s="164" t="s">
        <v>243</v>
      </c>
      <c r="O1" s="164" t="s">
        <v>244</v>
      </c>
    </row>
    <row r="2" ht="16.5" spans="1:15">
      <c r="A2" s="165" t="s">
        <v>164</v>
      </c>
      <c r="B2" s="166" t="s">
        <v>165</v>
      </c>
      <c r="C2" s="165" t="s">
        <v>166</v>
      </c>
      <c r="D2" s="165">
        <f>SUMIF(Purchase!Q:Q,A2,Purchase!O:O)</f>
        <v>647</v>
      </c>
      <c r="E2" s="165" t="s">
        <v>245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246</v>
      </c>
    </row>
    <row r="3" ht="33" spans="1:15">
      <c r="A3" s="170" t="s">
        <v>156</v>
      </c>
      <c r="B3" s="166" t="s">
        <v>157</v>
      </c>
      <c r="C3" s="165" t="s">
        <v>158</v>
      </c>
      <c r="D3" s="165">
        <f>SUMIF(Purchase!Q:Q,A3,Purchase!O:O)</f>
        <v>927</v>
      </c>
      <c r="E3" s="165" t="s">
        <v>245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247</v>
      </c>
    </row>
    <row r="4" ht="16.5" spans="1:15">
      <c r="A4" s="165" t="s">
        <v>177</v>
      </c>
      <c r="B4" s="172" t="s">
        <v>178</v>
      </c>
      <c r="C4" s="165" t="s">
        <v>179</v>
      </c>
      <c r="D4" s="165">
        <f>SUMIF(Purchase!Q:Q,A4,Purchase!O:O)</f>
        <v>608</v>
      </c>
      <c r="E4" s="165" t="s">
        <v>245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248</v>
      </c>
    </row>
    <row r="5" ht="16.5" spans="1:15">
      <c r="A5" s="165" t="s">
        <v>167</v>
      </c>
      <c r="B5" s="166" t="s">
        <v>168</v>
      </c>
      <c r="C5" s="165" t="s">
        <v>169</v>
      </c>
      <c r="D5" s="165">
        <f>SUMIF(Purchase!Q:Q,A5,Purchase!O:O)</f>
        <v>813</v>
      </c>
      <c r="E5" s="165" t="s">
        <v>245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249</v>
      </c>
    </row>
    <row r="6" ht="23.25" customHeight="1" spans="1:15">
      <c r="A6" s="165" t="s">
        <v>170</v>
      </c>
      <c r="B6" s="166" t="s">
        <v>171</v>
      </c>
      <c r="C6" s="165">
        <v>32448205</v>
      </c>
      <c r="D6" s="165">
        <f>SUMIF(Purchase!Q:Q,A6,Purchase!O:O)</f>
        <v>445</v>
      </c>
      <c r="E6" s="165" t="s">
        <v>245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250</v>
      </c>
    </row>
    <row r="7" ht="16.5" spans="1:15">
      <c r="A7" s="165" t="s">
        <v>189</v>
      </c>
      <c r="B7" s="172" t="s">
        <v>190</v>
      </c>
      <c r="C7" s="165" t="s">
        <v>191</v>
      </c>
      <c r="D7" s="165">
        <f>SUMIF(Purchase!Q:Q,A7,Purchase!O:O)</f>
        <v>422</v>
      </c>
      <c r="E7" s="165" t="s">
        <v>245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248</v>
      </c>
    </row>
    <row r="8" ht="16.5" spans="1:15">
      <c r="A8" s="165" t="s">
        <v>210</v>
      </c>
      <c r="B8" s="166" t="s">
        <v>211</v>
      </c>
      <c r="C8" s="165" t="s">
        <v>212</v>
      </c>
      <c r="D8" s="165">
        <f>SUMIF(Purchase!Q:Q,A8,Purchase!O:O)</f>
        <v>491</v>
      </c>
      <c r="E8" s="165" t="s">
        <v>245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248</v>
      </c>
    </row>
    <row r="9" ht="16.5" spans="1:15">
      <c r="A9" s="165" t="s">
        <v>197</v>
      </c>
      <c r="B9" s="172" t="s">
        <v>198</v>
      </c>
      <c r="C9" s="165" t="s">
        <v>199</v>
      </c>
      <c r="D9" s="165">
        <f>SUMIF(Purchase!Q:Q,A9,Purchase!O:O)</f>
        <v>1375</v>
      </c>
      <c r="E9" s="165" t="s">
        <v>245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248</v>
      </c>
    </row>
    <row r="10" customFormat="1" ht="16.5" spans="1:15">
      <c r="A10" s="165" t="s">
        <v>172</v>
      </c>
      <c r="B10" s="173" t="s">
        <v>173</v>
      </c>
      <c r="C10" s="174"/>
      <c r="D10" s="165">
        <f>SUMIF(Purchase!Q:Q,A10,Purchase!O:O)</f>
        <v>200</v>
      </c>
      <c r="E10" s="165" t="s">
        <v>245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251</v>
      </c>
      <c r="O10" s="171" t="s">
        <v>252</v>
      </c>
    </row>
    <row r="11" customFormat="1" ht="16.5" spans="1:15">
      <c r="A11" s="165" t="s">
        <v>174</v>
      </c>
      <c r="B11" s="173" t="s">
        <v>173</v>
      </c>
      <c r="C11" s="174"/>
      <c r="D11" s="165">
        <f>SUMIF(Purchase!Q:Q,A11,Purchase!O:O)</f>
        <v>217</v>
      </c>
      <c r="E11" s="165" t="s">
        <v>245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253</v>
      </c>
      <c r="O11" s="171" t="s">
        <v>252</v>
      </c>
    </row>
    <row r="12" ht="16.5" spans="1:15">
      <c r="A12" s="175" t="s">
        <v>185</v>
      </c>
      <c r="B12" s="176" t="s">
        <v>173</v>
      </c>
      <c r="C12" s="177"/>
      <c r="D12" s="165">
        <f>SUMIF(Purchase!Q:Q,A12,Purchase!O:O)</f>
        <v>296</v>
      </c>
      <c r="E12" s="165" t="s">
        <v>245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254</v>
      </c>
      <c r="O12" s="171" t="s">
        <v>255</v>
      </c>
    </row>
    <row r="13" ht="16.5" spans="1:15">
      <c r="A13" s="165" t="s">
        <v>192</v>
      </c>
      <c r="B13" s="179" t="s">
        <v>193</v>
      </c>
      <c r="C13" s="165" t="s">
        <v>194</v>
      </c>
      <c r="D13" s="165">
        <f>SUMIF(Purchase!Q:Q,A13,Purchase!O:O)</f>
        <v>952</v>
      </c>
      <c r="E13" s="165" t="s">
        <v>256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257</v>
      </c>
    </row>
    <row r="14" ht="16.5" spans="1:15">
      <c r="A14" s="165" t="s">
        <v>207</v>
      </c>
      <c r="B14" s="181" t="s">
        <v>173</v>
      </c>
      <c r="C14" s="182"/>
      <c r="D14" s="165">
        <f>SUMIF(Purchase!Q:Q,A14,Purchase!O:O)</f>
        <v>64</v>
      </c>
      <c r="E14" s="165" t="s">
        <v>245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258</v>
      </c>
      <c r="O14" s="169" t="s">
        <v>259</v>
      </c>
    </row>
    <row r="15" ht="16.5" customHeight="1" spans="1:15">
      <c r="A15" s="165" t="s">
        <v>219</v>
      </c>
      <c r="B15" s="179" t="s">
        <v>220</v>
      </c>
      <c r="C15" s="165" t="s">
        <v>221</v>
      </c>
      <c r="D15" s="165">
        <f>SUMIF(Purchase!Q:Q,A15,Purchase!O:O)</f>
        <v>79</v>
      </c>
      <c r="E15" s="165" t="s">
        <v>245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260</v>
      </c>
      <c r="O15" s="183" t="s">
        <v>261</v>
      </c>
    </row>
    <row r="16" s="55" customFormat="1" spans="1:15">
      <c r="A16" s="19" t="s">
        <v>186</v>
      </c>
      <c r="B16" s="144" t="s">
        <v>187</v>
      </c>
      <c r="C16" s="19" t="s">
        <v>188</v>
      </c>
      <c r="D16" s="165">
        <f>SUMIF(Purchase!Q:Q,A16,Purchase!O:O)</f>
        <v>524</v>
      </c>
      <c r="E16" s="6" t="s">
        <v>245</v>
      </c>
      <c r="F16" s="184">
        <v>46209</v>
      </c>
      <c r="G16" s="184">
        <v>46218</v>
      </c>
      <c r="H16" s="184">
        <v>46248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262</v>
      </c>
      <c r="O16" s="183" t="s">
        <v>263</v>
      </c>
    </row>
    <row r="17" ht="14.25" customHeight="1" spans="1:16">
      <c r="A17" s="6" t="s">
        <v>215</v>
      </c>
      <c r="B17" s="185" t="s">
        <v>173</v>
      </c>
      <c r="C17" s="186"/>
      <c r="D17" s="165">
        <f>SUMIF(Purchase!Q:Q,A17,Purchase!O:O)</f>
        <v>106</v>
      </c>
      <c r="E17" s="6" t="s">
        <v>245</v>
      </c>
      <c r="F17" s="184">
        <v>46217</v>
      </c>
      <c r="G17" s="184">
        <v>46225</v>
      </c>
      <c r="H17" s="184">
        <v>46239</v>
      </c>
      <c r="I17" s="184">
        <v>46239</v>
      </c>
      <c r="J17" s="167">
        <f>IF(_xlfn.XLOOKUP(A17,Purchase!Q:Q,Purchase!K:K)="","尚未送仓",_xlfn.XLOOKUP(A17,Purchase!Q:Q,Purchase!K:K))</f>
        <v>46249</v>
      </c>
      <c r="K17" s="168"/>
      <c r="L17" s="136"/>
      <c r="M17" s="136"/>
      <c r="N17" s="165" t="s">
        <v>264</v>
      </c>
      <c r="O17" s="183" t="s">
        <v>265</v>
      </c>
      <c r="P17" s="187"/>
    </row>
    <row r="18" spans="1:16">
      <c r="A18" s="6" t="s">
        <v>181</v>
      </c>
      <c r="B18" s="144" t="s">
        <v>182</v>
      </c>
      <c r="C18" s="19" t="s">
        <v>183</v>
      </c>
      <c r="D18" s="165">
        <f>SUMIF(Purchase!Q:Q,A18,Purchase!O:O)</f>
        <v>535</v>
      </c>
      <c r="E18" s="6" t="s">
        <v>245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266</v>
      </c>
    </row>
    <row r="19" spans="1:16">
      <c r="A19" s="6" t="s">
        <v>216</v>
      </c>
      <c r="B19" s="6" t="s">
        <v>217</v>
      </c>
      <c r="C19" s="6" t="s">
        <v>218</v>
      </c>
      <c r="D19" s="165">
        <f>SUMIF(Purchase!Q:Q,A19,Purchase!O:O)</f>
        <v>551</v>
      </c>
      <c r="E19" s="6" t="s">
        <v>245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267</v>
      </c>
      <c r="O19" s="183" t="s">
        <v>268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64"/>
  <sheetViews>
    <sheetView tabSelected="1" topLeftCell="D809" workbookViewId="0">
      <selection activeCell="M859" sqref="M859:N864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269</v>
      </c>
      <c r="B1" s="15" t="s">
        <v>270</v>
      </c>
      <c r="C1" s="89" t="s">
        <v>125</v>
      </c>
      <c r="D1" s="89" t="s">
        <v>271</v>
      </c>
      <c r="E1" s="134" t="s">
        <v>272</v>
      </c>
      <c r="F1" s="86" t="s">
        <v>129</v>
      </c>
      <c r="G1" s="86" t="s">
        <v>273</v>
      </c>
      <c r="H1" s="86" t="s">
        <v>274</v>
      </c>
      <c r="I1" s="19" t="s">
        <v>275</v>
      </c>
      <c r="J1" s="19" t="s">
        <v>276</v>
      </c>
      <c r="K1" s="135" t="s">
        <v>131</v>
      </c>
      <c r="L1" s="136" t="s">
        <v>277</v>
      </c>
      <c r="M1" s="19" t="s">
        <v>278</v>
      </c>
      <c r="N1" s="19" t="s">
        <v>279</v>
      </c>
      <c r="O1" s="6" t="s">
        <v>21</v>
      </c>
      <c r="P1" s="19" t="s">
        <v>280</v>
      </c>
      <c r="Q1" s="19" t="s">
        <v>20</v>
      </c>
      <c r="R1" s="6" t="s">
        <v>136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281</v>
      </c>
      <c r="J2" s="19" t="s">
        <v>282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281</v>
      </c>
      <c r="J3" s="19" t="s">
        <v>282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281</v>
      </c>
      <c r="J4" s="19" t="s">
        <v>282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281</v>
      </c>
      <c r="J5" s="19" t="s">
        <v>282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281</v>
      </c>
      <c r="J6" s="19" t="s">
        <v>282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281</v>
      </c>
      <c r="J7" s="19" t="s">
        <v>282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281</v>
      </c>
      <c r="J8" s="19" t="s">
        <v>282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281</v>
      </c>
      <c r="J9" s="19" t="s">
        <v>283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281</v>
      </c>
      <c r="J10" s="19" t="s">
        <v>283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281</v>
      </c>
      <c r="J11" s="19" t="s">
        <v>283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281</v>
      </c>
      <c r="J12" s="19" t="s">
        <v>283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281</v>
      </c>
      <c r="J13" s="19" t="s">
        <v>283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281</v>
      </c>
      <c r="J14" s="19" t="s">
        <v>283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281</v>
      </c>
      <c r="J15" s="19" t="s">
        <v>283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281</v>
      </c>
      <c r="J16" s="19" t="s">
        <v>284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285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281</v>
      </c>
      <c r="J17" s="19" t="s">
        <v>284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281</v>
      </c>
      <c r="J18" s="19" t="s">
        <v>284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281</v>
      </c>
      <c r="J19" s="19" t="s">
        <v>284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281</v>
      </c>
      <c r="J20" s="19" t="s">
        <v>284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281</v>
      </c>
      <c r="J21" s="19" t="s">
        <v>284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281</v>
      </c>
      <c r="J22" s="19" t="s">
        <v>284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281</v>
      </c>
      <c r="J23" s="19" t="s">
        <v>286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281</v>
      </c>
      <c r="J24" s="19" t="s">
        <v>286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281</v>
      </c>
      <c r="J25" s="19" t="s">
        <v>286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281</v>
      </c>
      <c r="J26" s="19" t="s">
        <v>286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281</v>
      </c>
      <c r="J27" s="19" t="s">
        <v>286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281</v>
      </c>
      <c r="J28" s="19" t="s">
        <v>286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281</v>
      </c>
      <c r="J29" s="19" t="s">
        <v>286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281</v>
      </c>
      <c r="J30" s="19" t="s">
        <v>287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281</v>
      </c>
      <c r="J31" s="19" t="s">
        <v>287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281</v>
      </c>
      <c r="J32" s="19" t="s">
        <v>287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281</v>
      </c>
      <c r="J33" s="19" t="s">
        <v>287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281</v>
      </c>
      <c r="J34" s="19" t="s">
        <v>287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281</v>
      </c>
      <c r="J35" s="19" t="s">
        <v>287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281</v>
      </c>
      <c r="J36" s="19" t="s">
        <v>287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281</v>
      </c>
      <c r="J37" s="19" t="s">
        <v>287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281</v>
      </c>
      <c r="J38" s="19" t="s">
        <v>288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281</v>
      </c>
      <c r="J39" s="19" t="s">
        <v>288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281</v>
      </c>
      <c r="J40" s="19" t="s">
        <v>288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281</v>
      </c>
      <c r="J41" s="19" t="s">
        <v>288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281</v>
      </c>
      <c r="J42" s="19" t="s">
        <v>288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281</v>
      </c>
      <c r="J43" s="19" t="s">
        <v>288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281</v>
      </c>
      <c r="J44" s="19" t="s">
        <v>288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281</v>
      </c>
      <c r="J45" s="19" t="s">
        <v>287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281</v>
      </c>
      <c r="J46" s="19" t="s">
        <v>287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281</v>
      </c>
      <c r="J47" s="19" t="s">
        <v>287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281</v>
      </c>
      <c r="J48" s="19" t="s">
        <v>287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281</v>
      </c>
      <c r="J49" s="19" t="s">
        <v>284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281</v>
      </c>
      <c r="J50" s="19" t="s">
        <v>284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281</v>
      </c>
      <c r="J51" s="19" t="s">
        <v>284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281</v>
      </c>
      <c r="J52" s="19" t="s">
        <v>284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281</v>
      </c>
      <c r="J53" s="19" t="s">
        <v>283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281</v>
      </c>
      <c r="J54" s="19" t="s">
        <v>283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281</v>
      </c>
      <c r="J55" s="19" t="s">
        <v>283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281</v>
      </c>
      <c r="J56" s="19" t="s">
        <v>283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281</v>
      </c>
      <c r="J57" s="19" t="s">
        <v>286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281</v>
      </c>
      <c r="J58" s="19" t="s">
        <v>286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281</v>
      </c>
      <c r="J59" s="19" t="s">
        <v>286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281</v>
      </c>
      <c r="J60" s="19" t="s">
        <v>286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281</v>
      </c>
      <c r="J61" s="19" t="s">
        <v>288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281</v>
      </c>
      <c r="J62" s="19" t="s">
        <v>288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281</v>
      </c>
      <c r="J63" s="19" t="s">
        <v>288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281</v>
      </c>
      <c r="J64" s="19" t="s">
        <v>288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281</v>
      </c>
      <c r="J65" s="19" t="s">
        <v>282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281</v>
      </c>
      <c r="J66" s="19" t="s">
        <v>282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281</v>
      </c>
      <c r="J67" s="19" t="s">
        <v>282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281</v>
      </c>
      <c r="J68" s="19" t="s">
        <v>282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289</v>
      </c>
      <c r="E69" s="18" t="s">
        <v>141</v>
      </c>
      <c r="F69" s="86">
        <v>540</v>
      </c>
      <c r="G69" s="86">
        <v>51.71</v>
      </c>
      <c r="H69" s="86">
        <v>27923.4</v>
      </c>
      <c r="I69" s="6" t="s">
        <v>290</v>
      </c>
      <c r="J69" s="19" t="s">
        <v>291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292</v>
      </c>
      <c r="E70" s="18" t="s">
        <v>141</v>
      </c>
      <c r="F70" s="86">
        <v>360</v>
      </c>
      <c r="G70" s="86">
        <v>70.28</v>
      </c>
      <c r="H70" s="86">
        <v>25300.8</v>
      </c>
      <c r="I70" s="6" t="s">
        <v>290</v>
      </c>
      <c r="J70" s="19" t="s">
        <v>291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293</v>
      </c>
      <c r="E71" s="18" t="s">
        <v>141</v>
      </c>
      <c r="F71" s="86">
        <v>197</v>
      </c>
      <c r="G71" s="86">
        <v>70.28</v>
      </c>
      <c r="H71" s="86">
        <v>13845.16</v>
      </c>
      <c r="I71" s="6" t="s">
        <v>290</v>
      </c>
      <c r="J71" s="19" t="s">
        <v>291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293</v>
      </c>
      <c r="E72" s="18" t="s">
        <v>141</v>
      </c>
      <c r="F72" s="86">
        <v>243</v>
      </c>
      <c r="G72" s="86">
        <v>51.71</v>
      </c>
      <c r="H72" s="86">
        <v>12565.53</v>
      </c>
      <c r="I72" s="6" t="s">
        <v>290</v>
      </c>
      <c r="J72" s="19" t="s">
        <v>291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294</v>
      </c>
      <c r="E73" s="18" t="s">
        <v>141</v>
      </c>
      <c r="F73" s="86">
        <v>123</v>
      </c>
      <c r="G73" s="86">
        <v>51.71</v>
      </c>
      <c r="H73" s="86">
        <v>6360.33</v>
      </c>
      <c r="I73" s="6" t="s">
        <v>290</v>
      </c>
      <c r="J73" s="19" t="s">
        <v>291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295</v>
      </c>
      <c r="E74" s="18" t="s">
        <v>141</v>
      </c>
      <c r="F74" s="86">
        <v>168</v>
      </c>
      <c r="G74" s="86">
        <v>2.25</v>
      </c>
      <c r="H74" s="86">
        <v>378</v>
      </c>
      <c r="I74" s="6" t="s">
        <v>290</v>
      </c>
      <c r="J74" s="19" t="s">
        <v>291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295</v>
      </c>
      <c r="E75" s="18" t="s">
        <v>141</v>
      </c>
      <c r="F75" s="86">
        <v>540</v>
      </c>
      <c r="G75" s="86">
        <v>2.61</v>
      </c>
      <c r="H75" s="86">
        <v>1409.4</v>
      </c>
      <c r="I75" s="6" t="s">
        <v>290</v>
      </c>
      <c r="J75" s="19" t="s">
        <v>291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295</v>
      </c>
      <c r="E76" s="18" t="s">
        <v>141</v>
      </c>
      <c r="F76" s="86">
        <v>888</v>
      </c>
      <c r="G76" s="86">
        <v>4.65</v>
      </c>
      <c r="H76" s="86">
        <v>4129.2</v>
      </c>
      <c r="I76" s="6" t="s">
        <v>290</v>
      </c>
      <c r="J76" s="19" t="s">
        <v>291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295</v>
      </c>
      <c r="E77" s="18" t="s">
        <v>141</v>
      </c>
      <c r="F77" s="86">
        <v>992</v>
      </c>
      <c r="G77" s="86">
        <v>19.75</v>
      </c>
      <c r="H77" s="86">
        <v>19592</v>
      </c>
      <c r="I77" s="6" t="s">
        <v>290</v>
      </c>
      <c r="J77" s="19" t="s">
        <v>291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295</v>
      </c>
      <c r="E78" s="18" t="s">
        <v>141</v>
      </c>
      <c r="F78" s="86">
        <v>900</v>
      </c>
      <c r="G78" s="86">
        <v>1.7</v>
      </c>
      <c r="H78" s="86">
        <v>1530</v>
      </c>
      <c r="I78" s="6" t="s">
        <v>290</v>
      </c>
      <c r="J78" s="19" t="s">
        <v>291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295</v>
      </c>
      <c r="E79" s="18" t="s">
        <v>141</v>
      </c>
      <c r="F79" s="86">
        <v>540</v>
      </c>
      <c r="G79" s="86">
        <v>12.63</v>
      </c>
      <c r="H79" s="86">
        <v>6820.2</v>
      </c>
      <c r="I79" s="6" t="s">
        <v>290</v>
      </c>
      <c r="J79" s="19" t="s">
        <v>291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294</v>
      </c>
      <c r="E80" s="18" t="s">
        <v>141</v>
      </c>
      <c r="F80" s="86">
        <v>996</v>
      </c>
      <c r="G80" s="86">
        <v>6.98</v>
      </c>
      <c r="H80" s="86">
        <v>6952.08</v>
      </c>
      <c r="I80" s="6" t="s">
        <v>290</v>
      </c>
      <c r="J80" s="19" t="s">
        <v>291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295</v>
      </c>
      <c r="E81" s="18" t="s">
        <v>141</v>
      </c>
      <c r="F81" s="86">
        <v>1068</v>
      </c>
      <c r="G81" s="86">
        <v>4.61</v>
      </c>
      <c r="H81" s="86">
        <v>4923.48</v>
      </c>
      <c r="I81" s="6" t="s">
        <v>290</v>
      </c>
      <c r="J81" s="19" t="s">
        <v>291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294</v>
      </c>
      <c r="E82" s="18" t="s">
        <v>141</v>
      </c>
      <c r="F82" s="86">
        <v>990</v>
      </c>
      <c r="G82" s="86">
        <v>4.28</v>
      </c>
      <c r="H82" s="86">
        <v>4237.2</v>
      </c>
      <c r="I82" s="6" t="s">
        <v>290</v>
      </c>
      <c r="J82" s="19" t="s">
        <v>291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294</v>
      </c>
      <c r="E83" s="18" t="s">
        <v>141</v>
      </c>
      <c r="F83" s="86">
        <v>928</v>
      </c>
      <c r="G83" s="86">
        <v>14.89</v>
      </c>
      <c r="H83" s="86">
        <v>13817.92</v>
      </c>
      <c r="I83" s="6" t="s">
        <v>290</v>
      </c>
      <c r="J83" s="19" t="s">
        <v>291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294</v>
      </c>
      <c r="E84" s="18" t="s">
        <v>141</v>
      </c>
      <c r="F84" s="86">
        <v>999</v>
      </c>
      <c r="G84" s="86">
        <v>3.36</v>
      </c>
      <c r="H84" s="86">
        <v>3356.64</v>
      </c>
      <c r="I84" s="6" t="s">
        <v>290</v>
      </c>
      <c r="J84" s="19" t="s">
        <v>291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296</v>
      </c>
      <c r="E85" s="18" t="s">
        <v>141</v>
      </c>
      <c r="F85" s="86">
        <v>332</v>
      </c>
      <c r="G85" s="86">
        <v>19.75</v>
      </c>
      <c r="H85" s="86">
        <v>6557</v>
      </c>
      <c r="I85" s="6" t="s">
        <v>290</v>
      </c>
      <c r="J85" s="19" t="s">
        <v>297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296</v>
      </c>
      <c r="E86" s="18" t="s">
        <v>141</v>
      </c>
      <c r="F86" s="86">
        <v>184</v>
      </c>
      <c r="G86" s="86">
        <v>70.28</v>
      </c>
      <c r="H86" s="86">
        <v>12931.52</v>
      </c>
      <c r="I86" s="6" t="s">
        <v>290</v>
      </c>
      <c r="J86" s="19" t="s">
        <v>297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298</v>
      </c>
      <c r="E87" s="18" t="s">
        <v>141</v>
      </c>
      <c r="F87" s="86">
        <v>72</v>
      </c>
      <c r="G87" s="86">
        <v>2.25</v>
      </c>
      <c r="H87" s="86">
        <v>162</v>
      </c>
      <c r="I87" s="6" t="s">
        <v>290</v>
      </c>
      <c r="J87" s="19" t="s">
        <v>297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298</v>
      </c>
      <c r="E88" s="18" t="s">
        <v>141</v>
      </c>
      <c r="F88" s="86">
        <v>216</v>
      </c>
      <c r="G88" s="86">
        <v>2.61</v>
      </c>
      <c r="H88" s="86">
        <v>563.76</v>
      </c>
      <c r="I88" s="6" t="s">
        <v>290</v>
      </c>
      <c r="J88" s="19" t="s">
        <v>297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298</v>
      </c>
      <c r="E89" s="18" t="s">
        <v>141</v>
      </c>
      <c r="F89" s="86">
        <v>312</v>
      </c>
      <c r="G89" s="86">
        <v>4.65</v>
      </c>
      <c r="H89" s="86">
        <v>1450.8</v>
      </c>
      <c r="I89" s="6" t="s">
        <v>290</v>
      </c>
      <c r="J89" s="19" t="s">
        <v>297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298</v>
      </c>
      <c r="E90" s="18" t="s">
        <v>141</v>
      </c>
      <c r="F90" s="86">
        <v>302</v>
      </c>
      <c r="G90" s="86">
        <v>51.71</v>
      </c>
      <c r="H90" s="86">
        <v>15616.42</v>
      </c>
      <c r="I90" s="6" t="s">
        <v>290</v>
      </c>
      <c r="J90" s="19" t="s">
        <v>297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298</v>
      </c>
      <c r="E91" s="18" t="s">
        <v>141</v>
      </c>
      <c r="F91" s="86">
        <v>360</v>
      </c>
      <c r="G91" s="86">
        <v>1.7</v>
      </c>
      <c r="H91" s="86">
        <v>612</v>
      </c>
      <c r="I91" s="6" t="s">
        <v>290</v>
      </c>
      <c r="J91" s="19" t="s">
        <v>297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298</v>
      </c>
      <c r="E92" s="18" t="s">
        <v>141</v>
      </c>
      <c r="F92" s="86">
        <v>192</v>
      </c>
      <c r="G92" s="86">
        <v>12.63</v>
      </c>
      <c r="H92" s="86">
        <v>2424.96</v>
      </c>
      <c r="I92" s="6" t="s">
        <v>290</v>
      </c>
      <c r="J92" s="19" t="s">
        <v>297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299</v>
      </c>
      <c r="E93" s="18" t="s">
        <v>141</v>
      </c>
      <c r="F93" s="86">
        <v>336</v>
      </c>
      <c r="G93" s="86">
        <v>6.98</v>
      </c>
      <c r="H93" s="86">
        <v>2345.28</v>
      </c>
      <c r="I93" s="6" t="s">
        <v>290</v>
      </c>
      <c r="J93" s="19" t="s">
        <v>297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299</v>
      </c>
      <c r="E94" s="18" t="s">
        <v>141</v>
      </c>
      <c r="F94" s="86">
        <v>360</v>
      </c>
      <c r="G94" s="86">
        <v>4.61</v>
      </c>
      <c r="H94" s="86">
        <v>1659.6</v>
      </c>
      <c r="I94" s="6" t="s">
        <v>290</v>
      </c>
      <c r="J94" s="19" t="s">
        <v>297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299</v>
      </c>
      <c r="E95" s="18" t="s">
        <v>141</v>
      </c>
      <c r="F95" s="86">
        <v>342</v>
      </c>
      <c r="G95" s="86">
        <v>4.28</v>
      </c>
      <c r="H95" s="86">
        <v>1463.76</v>
      </c>
      <c r="I95" s="6" t="s">
        <v>290</v>
      </c>
      <c r="J95" s="19" t="s">
        <v>297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299</v>
      </c>
      <c r="E96" s="18" t="s">
        <v>141</v>
      </c>
      <c r="F96" s="86">
        <v>400</v>
      </c>
      <c r="G96" s="86">
        <v>14.89</v>
      </c>
      <c r="H96" s="86">
        <v>5956</v>
      </c>
      <c r="I96" s="6" t="s">
        <v>290</v>
      </c>
      <c r="J96" s="19" t="s">
        <v>297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299</v>
      </c>
      <c r="E97" s="18" t="s">
        <v>141</v>
      </c>
      <c r="F97" s="86">
        <v>351</v>
      </c>
      <c r="G97" s="86">
        <v>3.36</v>
      </c>
      <c r="H97" s="86">
        <v>1179.36</v>
      </c>
      <c r="I97" s="6" t="s">
        <v>290</v>
      </c>
      <c r="J97" s="19" t="s">
        <v>297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281</v>
      </c>
      <c r="J98" s="19" t="s">
        <v>300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281</v>
      </c>
      <c r="J99" s="19" t="s">
        <v>300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281</v>
      </c>
      <c r="J100" s="19" t="s">
        <v>300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281</v>
      </c>
      <c r="J101" s="19" t="s">
        <v>300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281</v>
      </c>
      <c r="J102" s="19" t="s">
        <v>300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281</v>
      </c>
      <c r="J103" s="19" t="s">
        <v>300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281</v>
      </c>
      <c r="J104" s="19" t="s">
        <v>300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281</v>
      </c>
      <c r="J105" s="19" t="s">
        <v>300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281</v>
      </c>
      <c r="J106" s="19" t="s">
        <v>300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281</v>
      </c>
      <c r="J107" s="19" t="s">
        <v>300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281</v>
      </c>
      <c r="J108" s="19" t="s">
        <v>300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281</v>
      </c>
      <c r="J109" s="19" t="s">
        <v>301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281</v>
      </c>
      <c r="J110" s="19" t="s">
        <v>301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281</v>
      </c>
      <c r="J111" s="19" t="s">
        <v>301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281</v>
      </c>
      <c r="J112" s="19" t="s">
        <v>301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281</v>
      </c>
      <c r="J113" s="19" t="s">
        <v>301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281</v>
      </c>
      <c r="J114" s="19" t="s">
        <v>301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281</v>
      </c>
      <c r="J115" s="19" t="s">
        <v>301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281</v>
      </c>
      <c r="J116" s="19" t="s">
        <v>301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281</v>
      </c>
      <c r="J117" s="19" t="s">
        <v>301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281</v>
      </c>
      <c r="J118" s="19" t="s">
        <v>301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281</v>
      </c>
      <c r="J119" s="19" t="s">
        <v>301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281</v>
      </c>
      <c r="J120" s="19" t="s">
        <v>302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281</v>
      </c>
      <c r="J121" s="19" t="s">
        <v>302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281</v>
      </c>
      <c r="J122" s="19" t="s">
        <v>302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281</v>
      </c>
      <c r="J123" s="19" t="s">
        <v>302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281</v>
      </c>
      <c r="J124" s="19" t="s">
        <v>302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281</v>
      </c>
      <c r="J125" s="19" t="s">
        <v>302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281</v>
      </c>
      <c r="J126" s="19" t="s">
        <v>302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281</v>
      </c>
      <c r="J127" s="19" t="s">
        <v>302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281</v>
      </c>
      <c r="J128" s="19" t="s">
        <v>302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281</v>
      </c>
      <c r="J129" s="19" t="s">
        <v>302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281</v>
      </c>
      <c r="J130" s="19" t="s">
        <v>302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281</v>
      </c>
      <c r="J131" s="19" t="s">
        <v>303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281</v>
      </c>
      <c r="J132" s="19" t="s">
        <v>303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281</v>
      </c>
      <c r="J133" s="19" t="s">
        <v>303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281</v>
      </c>
      <c r="J134" s="19" t="s">
        <v>303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281</v>
      </c>
      <c r="J135" s="19" t="s">
        <v>303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281</v>
      </c>
      <c r="J136" s="19" t="s">
        <v>303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281</v>
      </c>
      <c r="J137" s="19" t="s">
        <v>303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281</v>
      </c>
      <c r="J138" s="19" t="s">
        <v>303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281</v>
      </c>
      <c r="J139" s="19" t="s">
        <v>303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281</v>
      </c>
      <c r="J140" s="19" t="s">
        <v>303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281</v>
      </c>
      <c r="J141" s="19" t="s">
        <v>303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281</v>
      </c>
      <c r="J142" s="19" t="s">
        <v>304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281</v>
      </c>
      <c r="J143" s="19" t="s">
        <v>304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281</v>
      </c>
      <c r="J144" s="19" t="s">
        <v>304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281</v>
      </c>
      <c r="J145" s="19" t="s">
        <v>304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281</v>
      </c>
      <c r="J146" s="19" t="s">
        <v>304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281</v>
      </c>
      <c r="J147" s="19" t="s">
        <v>304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281</v>
      </c>
      <c r="J148" s="19" t="s">
        <v>304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281</v>
      </c>
      <c r="J149" s="19" t="s">
        <v>304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281</v>
      </c>
      <c r="J150" s="19" t="s">
        <v>304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281</v>
      </c>
      <c r="J151" s="19" t="s">
        <v>304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281</v>
      </c>
      <c r="J152" s="19" t="s">
        <v>304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281</v>
      </c>
      <c r="J153" s="19" t="s">
        <v>305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281</v>
      </c>
      <c r="J154" s="19" t="s">
        <v>305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281</v>
      </c>
      <c r="J155" s="19" t="s">
        <v>305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281</v>
      </c>
      <c r="J156" s="19" t="s">
        <v>305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281</v>
      </c>
      <c r="J157" s="19" t="s">
        <v>305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281</v>
      </c>
      <c r="J158" s="19" t="s">
        <v>305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281</v>
      </c>
      <c r="J159" s="19" t="s">
        <v>305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281</v>
      </c>
      <c r="J160" s="19" t="s">
        <v>305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281</v>
      </c>
      <c r="J161" s="19" t="s">
        <v>305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281</v>
      </c>
      <c r="J162" s="19" t="s">
        <v>305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281</v>
      </c>
      <c r="J163" s="19" t="s">
        <v>305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141</v>
      </c>
      <c r="F164" s="86">
        <v>256</v>
      </c>
      <c r="G164" s="86">
        <v>1.61</v>
      </c>
      <c r="H164" s="86">
        <f t="shared" si="4"/>
        <v>412.16</v>
      </c>
      <c r="I164" s="6" t="s">
        <v>281</v>
      </c>
      <c r="J164" s="19" t="s">
        <v>306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141</v>
      </c>
      <c r="F165" s="86">
        <v>288</v>
      </c>
      <c r="G165" s="86">
        <v>1.53</v>
      </c>
      <c r="H165" s="86">
        <f t="shared" si="4"/>
        <v>440.64</v>
      </c>
      <c r="I165" s="6" t="s">
        <v>281</v>
      </c>
      <c r="J165" s="19" t="s">
        <v>306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141</v>
      </c>
      <c r="F166" s="86">
        <v>288</v>
      </c>
      <c r="G166" s="86">
        <v>2.48</v>
      </c>
      <c r="H166" s="86">
        <f t="shared" si="4"/>
        <v>714.24</v>
      </c>
      <c r="I166" s="6" t="s">
        <v>281</v>
      </c>
      <c r="J166" s="19" t="s">
        <v>306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141</v>
      </c>
      <c r="F167" s="86">
        <v>192</v>
      </c>
      <c r="G167" s="86">
        <v>1.61</v>
      </c>
      <c r="H167" s="86">
        <f t="shared" si="4"/>
        <v>309.12</v>
      </c>
      <c r="I167" s="6" t="s">
        <v>281</v>
      </c>
      <c r="J167" s="19" t="s">
        <v>303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141</v>
      </c>
      <c r="F168" s="86">
        <v>192</v>
      </c>
      <c r="G168" s="86">
        <v>1.53</v>
      </c>
      <c r="H168" s="86">
        <f t="shared" si="4"/>
        <v>293.76</v>
      </c>
      <c r="I168" s="6" t="s">
        <v>281</v>
      </c>
      <c r="J168" s="19" t="s">
        <v>303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141</v>
      </c>
      <c r="F169" s="86">
        <v>216</v>
      </c>
      <c r="G169" s="86">
        <v>2.48</v>
      </c>
      <c r="H169" s="86">
        <f t="shared" si="4"/>
        <v>535.68</v>
      </c>
      <c r="I169" s="6" t="s">
        <v>281</v>
      </c>
      <c r="J169" s="19" t="s">
        <v>303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141</v>
      </c>
      <c r="F170" s="86">
        <v>192</v>
      </c>
      <c r="G170" s="86">
        <v>1.61</v>
      </c>
      <c r="H170" s="86">
        <f t="shared" si="4"/>
        <v>309.12</v>
      </c>
      <c r="I170" s="6" t="s">
        <v>281</v>
      </c>
      <c r="J170" s="19" t="s">
        <v>300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141</v>
      </c>
      <c r="F171" s="86">
        <v>240</v>
      </c>
      <c r="G171" s="86">
        <v>1.53</v>
      </c>
      <c r="H171" s="86">
        <f t="shared" si="4"/>
        <v>367.2</v>
      </c>
      <c r="I171" s="6" t="s">
        <v>281</v>
      </c>
      <c r="J171" s="19" t="s">
        <v>300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141</v>
      </c>
      <c r="F172" s="86">
        <v>216</v>
      </c>
      <c r="G172" s="86">
        <v>2.48</v>
      </c>
      <c r="H172" s="86">
        <f t="shared" si="4"/>
        <v>535.68</v>
      </c>
      <c r="I172" s="6" t="s">
        <v>281</v>
      </c>
      <c r="J172" s="19" t="s">
        <v>300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141</v>
      </c>
      <c r="F173" s="86">
        <v>320</v>
      </c>
      <c r="G173" s="86">
        <v>1.61</v>
      </c>
      <c r="H173" s="86">
        <f t="shared" si="4"/>
        <v>515.2</v>
      </c>
      <c r="I173" s="6" t="s">
        <v>281</v>
      </c>
      <c r="J173" s="19" t="s">
        <v>307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141</v>
      </c>
      <c r="F174" s="86">
        <v>384</v>
      </c>
      <c r="G174" s="86">
        <v>1.53</v>
      </c>
      <c r="H174" s="86">
        <f t="shared" si="4"/>
        <v>587.52</v>
      </c>
      <c r="I174" s="6" t="s">
        <v>281</v>
      </c>
      <c r="J174" s="19" t="s">
        <v>307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141</v>
      </c>
      <c r="F175" s="86">
        <v>360</v>
      </c>
      <c r="G175" s="86">
        <v>2.48</v>
      </c>
      <c r="H175" s="86">
        <f t="shared" si="4"/>
        <v>892.8</v>
      </c>
      <c r="I175" s="6" t="s">
        <v>281</v>
      </c>
      <c r="J175" s="19" t="s">
        <v>307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141</v>
      </c>
      <c r="F176" s="86">
        <v>192</v>
      </c>
      <c r="G176" s="86">
        <v>1.61</v>
      </c>
      <c r="H176" s="86">
        <f t="shared" si="4"/>
        <v>309.12</v>
      </c>
      <c r="I176" s="6" t="s">
        <v>281</v>
      </c>
      <c r="J176" s="19" t="s">
        <v>301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141</v>
      </c>
      <c r="F177" s="86">
        <v>192</v>
      </c>
      <c r="G177" s="86">
        <v>1.53</v>
      </c>
      <c r="H177" s="86">
        <f t="shared" si="4"/>
        <v>293.76</v>
      </c>
      <c r="I177" s="6" t="s">
        <v>281</v>
      </c>
      <c r="J177" s="19" t="s">
        <v>301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141</v>
      </c>
      <c r="F178" s="86">
        <v>216</v>
      </c>
      <c r="G178" s="86">
        <v>2.48</v>
      </c>
      <c r="H178" s="86">
        <f t="shared" si="4"/>
        <v>535.68</v>
      </c>
      <c r="I178" s="6" t="s">
        <v>281</v>
      </c>
      <c r="J178" s="19" t="s">
        <v>301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141</v>
      </c>
      <c r="F179" s="86">
        <v>128</v>
      </c>
      <c r="G179" s="86">
        <v>1.61</v>
      </c>
      <c r="H179" s="86">
        <f t="shared" si="4"/>
        <v>206.08</v>
      </c>
      <c r="I179" s="6" t="s">
        <v>281</v>
      </c>
      <c r="J179" s="19" t="s">
        <v>308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141</v>
      </c>
      <c r="F180" s="86">
        <v>144</v>
      </c>
      <c r="G180" s="86">
        <v>1.53</v>
      </c>
      <c r="H180" s="86">
        <f t="shared" si="4"/>
        <v>220.32</v>
      </c>
      <c r="I180" s="6" t="s">
        <v>281</v>
      </c>
      <c r="J180" s="19" t="s">
        <v>308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141</v>
      </c>
      <c r="F181" s="86">
        <v>144</v>
      </c>
      <c r="G181" s="86">
        <v>2.48</v>
      </c>
      <c r="H181" s="86">
        <f t="shared" si="4"/>
        <v>357.12</v>
      </c>
      <c r="I181" s="6" t="s">
        <v>281</v>
      </c>
      <c r="J181" s="19" t="s">
        <v>308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141</v>
      </c>
      <c r="F182" s="86">
        <v>300</v>
      </c>
      <c r="G182" s="86">
        <v>3.47</v>
      </c>
      <c r="H182" s="86">
        <f t="shared" si="4"/>
        <v>1041</v>
      </c>
      <c r="I182" s="6" t="s">
        <v>309</v>
      </c>
      <c r="J182" s="19" t="s">
        <v>310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141</v>
      </c>
      <c r="F183" s="86">
        <v>360</v>
      </c>
      <c r="G183" s="86">
        <v>2.48</v>
      </c>
      <c r="H183" s="86">
        <f t="shared" si="4"/>
        <v>892.8</v>
      </c>
      <c r="I183" s="6" t="s">
        <v>309</v>
      </c>
      <c r="J183" s="19" t="s">
        <v>310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141</v>
      </c>
      <c r="F184" s="86">
        <v>288</v>
      </c>
      <c r="G184" s="86">
        <v>2.62</v>
      </c>
      <c r="H184" s="86">
        <f t="shared" si="4"/>
        <v>754.56</v>
      </c>
      <c r="I184" s="6" t="s">
        <v>309</v>
      </c>
      <c r="J184" s="19" t="s">
        <v>310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141</v>
      </c>
      <c r="F185" s="86">
        <v>192</v>
      </c>
      <c r="G185" s="86">
        <v>3.25</v>
      </c>
      <c r="H185" s="86">
        <f t="shared" si="4"/>
        <v>624</v>
      </c>
      <c r="I185" s="6" t="s">
        <v>309</v>
      </c>
      <c r="J185" s="19" t="s">
        <v>310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141</v>
      </c>
      <c r="F186" s="86">
        <v>192</v>
      </c>
      <c r="G186" s="86">
        <v>5.54</v>
      </c>
      <c r="H186" s="86">
        <f t="shared" si="4"/>
        <v>1063.68</v>
      </c>
      <c r="I186" s="6" t="s">
        <v>309</v>
      </c>
      <c r="J186" s="19" t="s">
        <v>310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141</v>
      </c>
      <c r="F187" s="86">
        <v>204</v>
      </c>
      <c r="G187" s="86">
        <v>3.69</v>
      </c>
      <c r="H187" s="86">
        <f t="shared" si="4"/>
        <v>752.76</v>
      </c>
      <c r="I187" s="6" t="s">
        <v>309</v>
      </c>
      <c r="J187" s="19" t="s">
        <v>310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141</v>
      </c>
      <c r="F188" s="86">
        <v>198</v>
      </c>
      <c r="G188" s="86">
        <v>5.43</v>
      </c>
      <c r="H188" s="86">
        <f t="shared" si="4"/>
        <v>1075.14</v>
      </c>
      <c r="I188" s="6" t="s">
        <v>309</v>
      </c>
      <c r="J188" s="19" t="s">
        <v>310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141</v>
      </c>
      <c r="F189" s="86">
        <v>320</v>
      </c>
      <c r="G189" s="86">
        <v>3.3</v>
      </c>
      <c r="H189" s="86">
        <f t="shared" si="4"/>
        <v>1056</v>
      </c>
      <c r="I189" s="6" t="s">
        <v>309</v>
      </c>
      <c r="J189" s="19" t="s">
        <v>310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141</v>
      </c>
      <c r="F190" s="86">
        <v>300</v>
      </c>
      <c r="G190" s="86">
        <v>5.71</v>
      </c>
      <c r="H190" s="86">
        <f t="shared" si="4"/>
        <v>1713</v>
      </c>
      <c r="I190" s="6" t="s">
        <v>309</v>
      </c>
      <c r="J190" s="19" t="s">
        <v>310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141</v>
      </c>
      <c r="F191" s="86">
        <v>300</v>
      </c>
      <c r="G191" s="86">
        <v>3.45</v>
      </c>
      <c r="H191" s="86">
        <f t="shared" si="4"/>
        <v>1035</v>
      </c>
      <c r="I191" s="6" t="s">
        <v>309</v>
      </c>
      <c r="J191" s="19" t="s">
        <v>310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141</v>
      </c>
      <c r="F192" s="86">
        <v>300</v>
      </c>
      <c r="G192" s="86">
        <v>3.81</v>
      </c>
      <c r="H192" s="86">
        <f t="shared" si="4"/>
        <v>1143</v>
      </c>
      <c r="I192" s="6" t="s">
        <v>309</v>
      </c>
      <c r="J192" s="19" t="s">
        <v>310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141</v>
      </c>
      <c r="F193" s="86">
        <v>200</v>
      </c>
      <c r="G193" s="86">
        <v>47.97</v>
      </c>
      <c r="H193" s="86">
        <f t="shared" si="4"/>
        <v>9594</v>
      </c>
      <c r="I193" s="6" t="s">
        <v>309</v>
      </c>
      <c r="J193" s="19" t="s">
        <v>310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141</v>
      </c>
      <c r="F194" s="86">
        <v>99</v>
      </c>
      <c r="G194" s="86">
        <v>20.94</v>
      </c>
      <c r="H194" s="86">
        <f t="shared" si="4"/>
        <v>2073.06</v>
      </c>
      <c r="I194" s="6" t="s">
        <v>309</v>
      </c>
      <c r="J194" s="19" t="s">
        <v>310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141</v>
      </c>
      <c r="F195" s="86">
        <v>208</v>
      </c>
      <c r="G195" s="86">
        <v>12.74</v>
      </c>
      <c r="H195" s="86">
        <f t="shared" si="4"/>
        <v>2649.92</v>
      </c>
      <c r="I195" s="6" t="s">
        <v>309</v>
      </c>
      <c r="J195" s="19" t="s">
        <v>310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141</v>
      </c>
      <c r="F196" s="86">
        <v>168</v>
      </c>
      <c r="G196" s="86">
        <v>5.01</v>
      </c>
      <c r="H196" s="86">
        <f t="shared" si="4"/>
        <v>841.68</v>
      </c>
      <c r="I196" s="6" t="s">
        <v>281</v>
      </c>
      <c r="J196" s="19" t="s">
        <v>306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141</v>
      </c>
      <c r="F197" s="86">
        <v>120</v>
      </c>
      <c r="G197" s="86">
        <v>13.22</v>
      </c>
      <c r="H197" s="86">
        <f t="shared" si="4"/>
        <v>1586.4</v>
      </c>
      <c r="I197" s="6" t="s">
        <v>281</v>
      </c>
      <c r="J197" s="19" t="s">
        <v>306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141</v>
      </c>
      <c r="F198" s="86">
        <v>224</v>
      </c>
      <c r="G198" s="86">
        <v>2.35</v>
      </c>
      <c r="H198" s="86">
        <f t="shared" si="4"/>
        <v>526.4</v>
      </c>
      <c r="I198" s="6" t="s">
        <v>281</v>
      </c>
      <c r="J198" s="19" t="s">
        <v>306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141</v>
      </c>
      <c r="F199" s="86">
        <v>180</v>
      </c>
      <c r="G199" s="86">
        <v>1.32</v>
      </c>
      <c r="H199" s="86">
        <f t="shared" si="4"/>
        <v>237.6</v>
      </c>
      <c r="I199" s="6" t="s">
        <v>281</v>
      </c>
      <c r="J199" s="19" t="s">
        <v>306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141</v>
      </c>
      <c r="F200" s="86">
        <v>72</v>
      </c>
      <c r="G200" s="86">
        <v>5.32</v>
      </c>
      <c r="H200" s="86">
        <f t="shared" si="4"/>
        <v>383.04</v>
      </c>
      <c r="I200" s="6" t="s">
        <v>281</v>
      </c>
      <c r="J200" s="19" t="s">
        <v>306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141</v>
      </c>
      <c r="F201" s="86">
        <v>64</v>
      </c>
      <c r="G201" s="86">
        <v>4.84</v>
      </c>
      <c r="H201" s="86">
        <f t="shared" si="4"/>
        <v>309.76</v>
      </c>
      <c r="I201" s="6" t="s">
        <v>281</v>
      </c>
      <c r="J201" s="19" t="s">
        <v>306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141</v>
      </c>
      <c r="F202" s="86">
        <v>80</v>
      </c>
      <c r="G202" s="86">
        <v>5.81</v>
      </c>
      <c r="H202" s="86">
        <f t="shared" si="4"/>
        <v>464.8</v>
      </c>
      <c r="I202" s="6" t="s">
        <v>281</v>
      </c>
      <c r="J202" s="19" t="s">
        <v>306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141</v>
      </c>
      <c r="F203" s="86">
        <v>62</v>
      </c>
      <c r="G203" s="86">
        <v>3.37</v>
      </c>
      <c r="H203" s="86">
        <f t="shared" si="4"/>
        <v>208.94</v>
      </c>
      <c r="I203" s="6" t="s">
        <v>281</v>
      </c>
      <c r="J203" s="19" t="s">
        <v>306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141</v>
      </c>
      <c r="F204" s="86">
        <v>50</v>
      </c>
      <c r="G204" s="86">
        <v>48.49</v>
      </c>
      <c r="H204" s="86">
        <f t="shared" si="4"/>
        <v>2424.5</v>
      </c>
      <c r="I204" s="6" t="s">
        <v>281</v>
      </c>
      <c r="J204" s="19" t="s">
        <v>306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141</v>
      </c>
      <c r="F205" s="86">
        <v>108</v>
      </c>
      <c r="G205" s="86">
        <v>4.35</v>
      </c>
      <c r="H205" s="86">
        <f t="shared" si="4"/>
        <v>469.8</v>
      </c>
      <c r="I205" s="6" t="s">
        <v>281</v>
      </c>
      <c r="J205" s="19" t="s">
        <v>306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141</v>
      </c>
      <c r="F206" s="86">
        <v>112</v>
      </c>
      <c r="G206" s="86">
        <v>13.22</v>
      </c>
      <c r="H206" s="86">
        <f t="shared" si="4"/>
        <v>1480.64</v>
      </c>
      <c r="I206" s="6" t="s">
        <v>281</v>
      </c>
      <c r="J206" s="19" t="s">
        <v>306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141</v>
      </c>
      <c r="F207" s="86">
        <v>48</v>
      </c>
      <c r="G207" s="86">
        <v>2.35</v>
      </c>
      <c r="H207" s="86">
        <f t="shared" si="4"/>
        <v>112.8</v>
      </c>
      <c r="I207" s="6" t="s">
        <v>281</v>
      </c>
      <c r="J207" s="19" t="s">
        <v>306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141</v>
      </c>
      <c r="F208" s="86">
        <v>350</v>
      </c>
      <c r="G208" s="86">
        <v>1.32</v>
      </c>
      <c r="H208" s="86">
        <f t="shared" si="4"/>
        <v>462</v>
      </c>
      <c r="I208" s="6" t="s">
        <v>281</v>
      </c>
      <c r="J208" s="19" t="s">
        <v>306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141</v>
      </c>
      <c r="F209" s="86">
        <v>99</v>
      </c>
      <c r="G209" s="86">
        <v>4.84</v>
      </c>
      <c r="H209" s="86">
        <f t="shared" si="4"/>
        <v>479.16</v>
      </c>
      <c r="I209" s="6" t="s">
        <v>281</v>
      </c>
      <c r="J209" s="19" t="s">
        <v>306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141</v>
      </c>
      <c r="F210" s="86">
        <v>122</v>
      </c>
      <c r="G210" s="86">
        <v>48.49</v>
      </c>
      <c r="H210" s="86">
        <f t="shared" si="4"/>
        <v>5915.78</v>
      </c>
      <c r="I210" s="6" t="s">
        <v>281</v>
      </c>
      <c r="J210" s="19" t="s">
        <v>306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141</v>
      </c>
      <c r="F211" s="86">
        <v>420</v>
      </c>
      <c r="G211" s="86">
        <v>4.35</v>
      </c>
      <c r="H211" s="86">
        <f t="shared" si="4"/>
        <v>1827</v>
      </c>
      <c r="I211" s="6" t="s">
        <v>281</v>
      </c>
      <c r="J211" s="19" t="s">
        <v>306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141</v>
      </c>
      <c r="F212" s="86">
        <v>128</v>
      </c>
      <c r="G212" s="86">
        <v>1.61</v>
      </c>
      <c r="H212" s="86">
        <f t="shared" si="4"/>
        <v>206.08</v>
      </c>
      <c r="I212" s="6" t="s">
        <v>281</v>
      </c>
      <c r="J212" s="19" t="s">
        <v>306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141</v>
      </c>
      <c r="F213" s="86">
        <v>96</v>
      </c>
      <c r="G213" s="86">
        <v>1.53</v>
      </c>
      <c r="H213" s="86">
        <f t="shared" si="4"/>
        <v>146.88</v>
      </c>
      <c r="I213" s="6" t="s">
        <v>281</v>
      </c>
      <c r="J213" s="19" t="s">
        <v>306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141</v>
      </c>
      <c r="F214" s="86">
        <v>144</v>
      </c>
      <c r="G214" s="86">
        <v>2.48</v>
      </c>
      <c r="H214" s="86">
        <f t="shared" si="4"/>
        <v>357.12</v>
      </c>
      <c r="I214" s="6" t="s">
        <v>281</v>
      </c>
      <c r="J214" s="19" t="s">
        <v>306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141</v>
      </c>
      <c r="F215" s="86">
        <v>48</v>
      </c>
      <c r="G215" s="86">
        <v>5.01</v>
      </c>
      <c r="H215" s="86">
        <f t="shared" si="4"/>
        <v>240.48</v>
      </c>
      <c r="I215" s="6" t="s">
        <v>281</v>
      </c>
      <c r="J215" s="19" t="s">
        <v>300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141</v>
      </c>
      <c r="F216" s="86">
        <v>24</v>
      </c>
      <c r="G216" s="86">
        <v>13.22</v>
      </c>
      <c r="H216" s="86">
        <f t="shared" si="4"/>
        <v>317.28</v>
      </c>
      <c r="I216" s="6" t="s">
        <v>281</v>
      </c>
      <c r="J216" s="19" t="s">
        <v>300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141</v>
      </c>
      <c r="F217" s="86">
        <v>96</v>
      </c>
      <c r="G217" s="86">
        <v>2.35</v>
      </c>
      <c r="H217" s="86">
        <f t="shared" si="4"/>
        <v>225.6</v>
      </c>
      <c r="I217" s="6" t="s">
        <v>281</v>
      </c>
      <c r="J217" s="19" t="s">
        <v>300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141</v>
      </c>
      <c r="F218" s="86">
        <v>120</v>
      </c>
      <c r="G218" s="86">
        <v>1.32</v>
      </c>
      <c r="H218" s="86">
        <f t="shared" si="4"/>
        <v>158.4</v>
      </c>
      <c r="I218" s="6" t="s">
        <v>281</v>
      </c>
      <c r="J218" s="19" t="s">
        <v>300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141</v>
      </c>
      <c r="F219" s="86">
        <v>48</v>
      </c>
      <c r="G219" s="86">
        <v>5.32</v>
      </c>
      <c r="H219" s="86">
        <f t="shared" si="4"/>
        <v>255.36</v>
      </c>
      <c r="I219" s="6" t="s">
        <v>281</v>
      </c>
      <c r="J219" s="19" t="s">
        <v>300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141</v>
      </c>
      <c r="F220" s="86">
        <v>32</v>
      </c>
      <c r="G220" s="86">
        <v>4.84</v>
      </c>
      <c r="H220" s="86">
        <f t="shared" si="4"/>
        <v>154.88</v>
      </c>
      <c r="I220" s="6" t="s">
        <v>281</v>
      </c>
      <c r="J220" s="19" t="s">
        <v>300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141</v>
      </c>
      <c r="F221" s="86">
        <v>30</v>
      </c>
      <c r="G221" s="86">
        <v>5.81</v>
      </c>
      <c r="H221" s="86">
        <f t="shared" si="4"/>
        <v>174.3</v>
      </c>
      <c r="I221" s="6" t="s">
        <v>281</v>
      </c>
      <c r="J221" s="19" t="s">
        <v>300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141</v>
      </c>
      <c r="F222" s="86">
        <v>62</v>
      </c>
      <c r="G222" s="86">
        <v>3.37</v>
      </c>
      <c r="H222" s="86">
        <f t="shared" si="4"/>
        <v>208.94</v>
      </c>
      <c r="I222" s="6" t="s">
        <v>281</v>
      </c>
      <c r="J222" s="19" t="s">
        <v>300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141</v>
      </c>
      <c r="F223" s="86">
        <v>42</v>
      </c>
      <c r="G223" s="86">
        <v>48.49</v>
      </c>
      <c r="H223" s="86">
        <f t="shared" si="4"/>
        <v>2036.58</v>
      </c>
      <c r="I223" s="6" t="s">
        <v>281</v>
      </c>
      <c r="J223" s="19" t="s">
        <v>300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141</v>
      </c>
      <c r="F224" s="86">
        <v>36</v>
      </c>
      <c r="G224" s="86">
        <v>4.35</v>
      </c>
      <c r="H224" s="86">
        <f t="shared" si="4"/>
        <v>156.6</v>
      </c>
      <c r="I224" s="6" t="s">
        <v>281</v>
      </c>
      <c r="J224" s="19" t="s">
        <v>300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141</v>
      </c>
      <c r="F225" s="86">
        <v>24</v>
      </c>
      <c r="G225" s="86">
        <v>13.22</v>
      </c>
      <c r="H225" s="86">
        <f t="shared" si="4"/>
        <v>317.28</v>
      </c>
      <c r="I225" s="6" t="s">
        <v>281</v>
      </c>
      <c r="J225" s="19" t="s">
        <v>300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141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281</v>
      </c>
      <c r="J226" s="19" t="s">
        <v>300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141</v>
      </c>
      <c r="F227" s="86">
        <v>32</v>
      </c>
      <c r="G227" s="86">
        <v>4.84</v>
      </c>
      <c r="H227" s="86">
        <f t="shared" si="6"/>
        <v>154.88</v>
      </c>
      <c r="I227" s="6" t="s">
        <v>281</v>
      </c>
      <c r="J227" s="19" t="s">
        <v>300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141</v>
      </c>
      <c r="F228" s="86">
        <v>109</v>
      </c>
      <c r="G228" s="86">
        <v>48.49</v>
      </c>
      <c r="H228" s="86">
        <f t="shared" si="6"/>
        <v>5285.41</v>
      </c>
      <c r="I228" s="6" t="s">
        <v>281</v>
      </c>
      <c r="J228" s="19" t="s">
        <v>300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141</v>
      </c>
      <c r="F229" s="86">
        <v>252</v>
      </c>
      <c r="G229" s="86">
        <v>4.35</v>
      </c>
      <c r="H229" s="86">
        <f t="shared" si="6"/>
        <v>1096.2</v>
      </c>
      <c r="I229" s="6" t="s">
        <v>281</v>
      </c>
      <c r="J229" s="19" t="s">
        <v>300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141</v>
      </c>
      <c r="F230" s="142">
        <v>144</v>
      </c>
      <c r="G230" s="142">
        <v>5.01</v>
      </c>
      <c r="H230" s="142">
        <f t="shared" si="6"/>
        <v>721.44</v>
      </c>
      <c r="I230" s="6" t="s">
        <v>281</v>
      </c>
      <c r="J230" s="19" t="s">
        <v>307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141</v>
      </c>
      <c r="F231" s="142">
        <v>16</v>
      </c>
      <c r="G231" s="142">
        <v>13.22</v>
      </c>
      <c r="H231" s="142">
        <f t="shared" si="6"/>
        <v>211.52</v>
      </c>
      <c r="I231" s="6" t="s">
        <v>281</v>
      </c>
      <c r="J231" s="19" t="s">
        <v>307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141</v>
      </c>
      <c r="F232" s="142">
        <v>256</v>
      </c>
      <c r="G232" s="142">
        <v>2.35</v>
      </c>
      <c r="H232" s="142">
        <f t="shared" si="6"/>
        <v>601.6</v>
      </c>
      <c r="I232" s="6" t="s">
        <v>281</v>
      </c>
      <c r="J232" s="19" t="s">
        <v>307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141</v>
      </c>
      <c r="F233" s="142">
        <v>60</v>
      </c>
      <c r="G233" s="142">
        <v>1.32</v>
      </c>
      <c r="H233" s="142">
        <f t="shared" si="6"/>
        <v>79.2</v>
      </c>
      <c r="I233" s="6" t="s">
        <v>281</v>
      </c>
      <c r="J233" s="19" t="s">
        <v>307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141</v>
      </c>
      <c r="F234" s="142">
        <v>108</v>
      </c>
      <c r="G234" s="142">
        <v>5.32</v>
      </c>
      <c r="H234" s="142">
        <f t="shared" si="6"/>
        <v>574.56</v>
      </c>
      <c r="I234" s="6" t="s">
        <v>281</v>
      </c>
      <c r="J234" s="19" t="s">
        <v>307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141</v>
      </c>
      <c r="F235" s="142">
        <v>96</v>
      </c>
      <c r="G235" s="142">
        <v>4.84</v>
      </c>
      <c r="H235" s="142">
        <f t="shared" si="6"/>
        <v>464.64</v>
      </c>
      <c r="I235" s="6" t="s">
        <v>281</v>
      </c>
      <c r="J235" s="19" t="s">
        <v>307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141</v>
      </c>
      <c r="F236" s="142">
        <v>17</v>
      </c>
      <c r="G236" s="142">
        <v>48.49</v>
      </c>
      <c r="H236" s="142">
        <f t="shared" si="6"/>
        <v>824.33</v>
      </c>
      <c r="I236" s="6" t="s">
        <v>281</v>
      </c>
      <c r="J236" s="19" t="s">
        <v>307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141</v>
      </c>
      <c r="F237" s="142">
        <v>36</v>
      </c>
      <c r="G237" s="142">
        <v>4.35</v>
      </c>
      <c r="H237" s="142">
        <f t="shared" si="6"/>
        <v>156.6</v>
      </c>
      <c r="I237" s="6" t="s">
        <v>281</v>
      </c>
      <c r="J237" s="19" t="s">
        <v>307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141</v>
      </c>
      <c r="F238" s="86">
        <v>150</v>
      </c>
      <c r="G238" s="86">
        <v>1.32</v>
      </c>
      <c r="H238" s="86">
        <f t="shared" si="6"/>
        <v>198</v>
      </c>
      <c r="I238" s="6" t="s">
        <v>281</v>
      </c>
      <c r="J238" s="19" t="s">
        <v>307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141</v>
      </c>
      <c r="F239" s="86">
        <v>96</v>
      </c>
      <c r="G239" s="86">
        <v>4.84</v>
      </c>
      <c r="H239" s="86">
        <f t="shared" si="6"/>
        <v>464.64</v>
      </c>
      <c r="I239" s="6" t="s">
        <v>281</v>
      </c>
      <c r="J239" s="19" t="s">
        <v>307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141</v>
      </c>
      <c r="F240" s="86">
        <v>42</v>
      </c>
      <c r="G240" s="86">
        <v>48.49</v>
      </c>
      <c r="H240" s="86">
        <f t="shared" si="6"/>
        <v>2036.58</v>
      </c>
      <c r="I240" s="6" t="s">
        <v>281</v>
      </c>
      <c r="J240" s="19" t="s">
        <v>307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141</v>
      </c>
      <c r="F241" s="86">
        <v>42</v>
      </c>
      <c r="G241" s="86">
        <v>4.35</v>
      </c>
      <c r="H241" s="86">
        <f t="shared" si="6"/>
        <v>182.7</v>
      </c>
      <c r="I241" s="6" t="s">
        <v>281</v>
      </c>
      <c r="J241" s="19" t="s">
        <v>307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141</v>
      </c>
      <c r="F242" s="86">
        <v>72</v>
      </c>
      <c r="G242" s="86">
        <v>5.01</v>
      </c>
      <c r="H242" s="86">
        <f t="shared" si="6"/>
        <v>360.72</v>
      </c>
      <c r="I242" s="6" t="s">
        <v>281</v>
      </c>
      <c r="J242" s="19" t="s">
        <v>301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141</v>
      </c>
      <c r="F243" s="86">
        <v>40</v>
      </c>
      <c r="G243" s="86">
        <v>13.22</v>
      </c>
      <c r="H243" s="86">
        <f t="shared" si="6"/>
        <v>528.8</v>
      </c>
      <c r="I243" s="6" t="s">
        <v>281</v>
      </c>
      <c r="J243" s="19" t="s">
        <v>301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141</v>
      </c>
      <c r="F244" s="86">
        <v>160</v>
      </c>
      <c r="G244" s="86">
        <v>2.35</v>
      </c>
      <c r="H244" s="86">
        <f t="shared" si="6"/>
        <v>376</v>
      </c>
      <c r="I244" s="6" t="s">
        <v>281</v>
      </c>
      <c r="J244" s="19" t="s">
        <v>301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141</v>
      </c>
      <c r="F245" s="86">
        <v>120</v>
      </c>
      <c r="G245" s="86">
        <v>1.32</v>
      </c>
      <c r="H245" s="86">
        <f t="shared" si="6"/>
        <v>158.4</v>
      </c>
      <c r="I245" s="6" t="s">
        <v>281</v>
      </c>
      <c r="J245" s="19" t="s">
        <v>301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141</v>
      </c>
      <c r="F246" s="86">
        <v>36</v>
      </c>
      <c r="G246" s="86">
        <v>5.32</v>
      </c>
      <c r="H246" s="86">
        <f t="shared" si="6"/>
        <v>191.52</v>
      </c>
      <c r="I246" s="6" t="s">
        <v>281</v>
      </c>
      <c r="J246" s="19" t="s">
        <v>301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141</v>
      </c>
      <c r="F247" s="86">
        <v>32</v>
      </c>
      <c r="G247" s="86">
        <v>4.84</v>
      </c>
      <c r="H247" s="86">
        <f t="shared" si="6"/>
        <v>154.88</v>
      </c>
      <c r="I247" s="6" t="s">
        <v>281</v>
      </c>
      <c r="J247" s="19" t="s">
        <v>301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141</v>
      </c>
      <c r="F248" s="86">
        <v>20</v>
      </c>
      <c r="G248" s="86">
        <v>5.81</v>
      </c>
      <c r="H248" s="86">
        <f t="shared" si="6"/>
        <v>116.2</v>
      </c>
      <c r="I248" s="6" t="s">
        <v>281</v>
      </c>
      <c r="J248" s="19" t="s">
        <v>301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141</v>
      </c>
      <c r="F249" s="86">
        <v>27</v>
      </c>
      <c r="G249" s="86">
        <v>48.49</v>
      </c>
      <c r="H249" s="86">
        <f t="shared" si="6"/>
        <v>1309.23</v>
      </c>
      <c r="I249" s="6" t="s">
        <v>281</v>
      </c>
      <c r="J249" s="19" t="s">
        <v>301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141</v>
      </c>
      <c r="F250" s="86">
        <v>36</v>
      </c>
      <c r="G250" s="86">
        <v>4.35</v>
      </c>
      <c r="H250" s="86">
        <f t="shared" si="6"/>
        <v>156.6</v>
      </c>
      <c r="I250" s="6" t="s">
        <v>281</v>
      </c>
      <c r="J250" s="19" t="s">
        <v>301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141</v>
      </c>
      <c r="F251" s="86">
        <v>32</v>
      </c>
      <c r="G251" s="86">
        <v>13.22</v>
      </c>
      <c r="H251" s="86">
        <f t="shared" si="6"/>
        <v>423.04</v>
      </c>
      <c r="I251" s="6" t="s">
        <v>281</v>
      </c>
      <c r="J251" s="19" t="s">
        <v>301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141</v>
      </c>
      <c r="F252" s="86">
        <v>48</v>
      </c>
      <c r="G252" s="86">
        <v>2.35</v>
      </c>
      <c r="H252" s="86">
        <f t="shared" si="6"/>
        <v>112.8</v>
      </c>
      <c r="I252" s="6" t="s">
        <v>281</v>
      </c>
      <c r="J252" s="19" t="s">
        <v>301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141</v>
      </c>
      <c r="F253" s="86">
        <v>250</v>
      </c>
      <c r="G253" s="86">
        <v>1.32</v>
      </c>
      <c r="H253" s="86">
        <f t="shared" si="6"/>
        <v>330</v>
      </c>
      <c r="I253" s="6" t="s">
        <v>281</v>
      </c>
      <c r="J253" s="19" t="s">
        <v>301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141</v>
      </c>
      <c r="F254" s="86">
        <v>66</v>
      </c>
      <c r="G254" s="86">
        <v>4.84</v>
      </c>
      <c r="H254" s="86">
        <f t="shared" si="6"/>
        <v>319.44</v>
      </c>
      <c r="I254" s="6" t="s">
        <v>281</v>
      </c>
      <c r="J254" s="19" t="s">
        <v>301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141</v>
      </c>
      <c r="F255" s="86">
        <v>70</v>
      </c>
      <c r="G255" s="86">
        <v>48.49</v>
      </c>
      <c r="H255" s="86">
        <f t="shared" si="6"/>
        <v>3394.3</v>
      </c>
      <c r="I255" s="6" t="s">
        <v>281</v>
      </c>
      <c r="J255" s="19" t="s">
        <v>301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141</v>
      </c>
      <c r="F256" s="86">
        <v>252</v>
      </c>
      <c r="G256" s="86">
        <v>4.35</v>
      </c>
      <c r="H256" s="86">
        <f t="shared" si="6"/>
        <v>1096.2</v>
      </c>
      <c r="I256" s="6" t="s">
        <v>281</v>
      </c>
      <c r="J256" s="19" t="s">
        <v>301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141</v>
      </c>
      <c r="F257" s="86">
        <v>64</v>
      </c>
      <c r="G257" s="86">
        <v>1.61</v>
      </c>
      <c r="H257" s="86">
        <f t="shared" si="6"/>
        <v>103.04</v>
      </c>
      <c r="I257" s="6" t="s">
        <v>281</v>
      </c>
      <c r="J257" s="19" t="s">
        <v>301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141</v>
      </c>
      <c r="F258" s="86">
        <v>48</v>
      </c>
      <c r="G258" s="86">
        <v>1.53</v>
      </c>
      <c r="H258" s="86">
        <f t="shared" si="6"/>
        <v>73.44</v>
      </c>
      <c r="I258" s="6" t="s">
        <v>281</v>
      </c>
      <c r="J258" s="19" t="s">
        <v>301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141</v>
      </c>
      <c r="F259" s="86">
        <v>72</v>
      </c>
      <c r="G259" s="86">
        <v>2.48</v>
      </c>
      <c r="H259" s="86">
        <f t="shared" si="6"/>
        <v>178.56</v>
      </c>
      <c r="I259" s="6" t="s">
        <v>281</v>
      </c>
      <c r="J259" s="19" t="s">
        <v>301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141</v>
      </c>
      <c r="F260" s="86">
        <v>72</v>
      </c>
      <c r="G260" s="86">
        <v>5.01</v>
      </c>
      <c r="H260" s="86">
        <f t="shared" si="6"/>
        <v>360.72</v>
      </c>
      <c r="I260" s="6" t="s">
        <v>281</v>
      </c>
      <c r="J260" s="19" t="s">
        <v>303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141</v>
      </c>
      <c r="F261" s="86">
        <v>96</v>
      </c>
      <c r="G261" s="86">
        <v>13.22</v>
      </c>
      <c r="H261" s="86">
        <f t="shared" si="6"/>
        <v>1269.12</v>
      </c>
      <c r="I261" s="6" t="s">
        <v>281</v>
      </c>
      <c r="J261" s="19" t="s">
        <v>303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141</v>
      </c>
      <c r="F262" s="86">
        <v>128</v>
      </c>
      <c r="G262" s="86">
        <v>2.35</v>
      </c>
      <c r="H262" s="86">
        <f t="shared" si="6"/>
        <v>300.8</v>
      </c>
      <c r="I262" s="6" t="s">
        <v>281</v>
      </c>
      <c r="J262" s="19" t="s">
        <v>303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141</v>
      </c>
      <c r="F263" s="86">
        <v>120</v>
      </c>
      <c r="G263" s="86">
        <v>1.32</v>
      </c>
      <c r="H263" s="86">
        <f t="shared" si="6"/>
        <v>158.4</v>
      </c>
      <c r="I263" s="6" t="s">
        <v>281</v>
      </c>
      <c r="J263" s="19" t="s">
        <v>303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141</v>
      </c>
      <c r="F264" s="86">
        <v>12</v>
      </c>
      <c r="G264" s="86">
        <v>5.32</v>
      </c>
      <c r="H264" s="86">
        <f t="shared" si="6"/>
        <v>63.84</v>
      </c>
      <c r="I264" s="6" t="s">
        <v>281</v>
      </c>
      <c r="J264" s="19" t="s">
        <v>303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141</v>
      </c>
      <c r="F265" s="86">
        <v>32</v>
      </c>
      <c r="G265" s="86">
        <v>4.84</v>
      </c>
      <c r="H265" s="86">
        <f t="shared" si="6"/>
        <v>154.88</v>
      </c>
      <c r="I265" s="6" t="s">
        <v>281</v>
      </c>
      <c r="J265" s="19" t="s">
        <v>303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141</v>
      </c>
      <c r="F266" s="86">
        <v>20</v>
      </c>
      <c r="G266" s="86">
        <v>5.81</v>
      </c>
      <c r="H266" s="86">
        <f t="shared" si="6"/>
        <v>116.2</v>
      </c>
      <c r="I266" s="6" t="s">
        <v>281</v>
      </c>
      <c r="J266" s="19" t="s">
        <v>303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141</v>
      </c>
      <c r="F267" s="86">
        <v>24</v>
      </c>
      <c r="G267" s="86">
        <v>48.49</v>
      </c>
      <c r="H267" s="86">
        <f t="shared" si="6"/>
        <v>1163.76</v>
      </c>
      <c r="I267" s="6" t="s">
        <v>281</v>
      </c>
      <c r="J267" s="19" t="s">
        <v>303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141</v>
      </c>
      <c r="F268" s="86">
        <v>72</v>
      </c>
      <c r="G268" s="86">
        <v>4.35</v>
      </c>
      <c r="H268" s="86">
        <f t="shared" si="6"/>
        <v>313.2</v>
      </c>
      <c r="I268" s="6" t="s">
        <v>281</v>
      </c>
      <c r="J268" s="19" t="s">
        <v>303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141</v>
      </c>
      <c r="F269" s="86">
        <v>88</v>
      </c>
      <c r="G269" s="86">
        <v>13.22</v>
      </c>
      <c r="H269" s="86">
        <f t="shared" si="6"/>
        <v>1163.36</v>
      </c>
      <c r="I269" s="6" t="s">
        <v>281</v>
      </c>
      <c r="J269" s="19" t="s">
        <v>303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141</v>
      </c>
      <c r="F270" s="86">
        <v>300</v>
      </c>
      <c r="G270" s="86">
        <v>1.32</v>
      </c>
      <c r="H270" s="86">
        <f t="shared" si="6"/>
        <v>396</v>
      </c>
      <c r="I270" s="6" t="s">
        <v>281</v>
      </c>
      <c r="J270" s="19" t="s">
        <v>303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141</v>
      </c>
      <c r="F271" s="86">
        <v>33</v>
      </c>
      <c r="G271" s="86">
        <v>4.84</v>
      </c>
      <c r="H271" s="86">
        <f t="shared" si="6"/>
        <v>159.72</v>
      </c>
      <c r="I271" s="6" t="s">
        <v>281</v>
      </c>
      <c r="J271" s="19" t="s">
        <v>303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141</v>
      </c>
      <c r="F272" s="86">
        <v>63</v>
      </c>
      <c r="G272" s="86">
        <v>48.49</v>
      </c>
      <c r="H272" s="86">
        <f t="shared" si="6"/>
        <v>3054.87</v>
      </c>
      <c r="I272" s="6" t="s">
        <v>281</v>
      </c>
      <c r="J272" s="19" t="s">
        <v>303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141</v>
      </c>
      <c r="F273" s="86">
        <v>294</v>
      </c>
      <c r="G273" s="86">
        <v>4.35</v>
      </c>
      <c r="H273" s="86">
        <f t="shared" si="6"/>
        <v>1278.9</v>
      </c>
      <c r="I273" s="6" t="s">
        <v>281</v>
      </c>
      <c r="J273" s="19" t="s">
        <v>303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141</v>
      </c>
      <c r="F274" s="86">
        <v>64</v>
      </c>
      <c r="G274" s="86">
        <v>1.61</v>
      </c>
      <c r="H274" s="86">
        <f t="shared" si="6"/>
        <v>103.04</v>
      </c>
      <c r="I274" s="6" t="s">
        <v>281</v>
      </c>
      <c r="J274" s="19" t="s">
        <v>303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141</v>
      </c>
      <c r="F275" s="86">
        <v>48</v>
      </c>
      <c r="G275" s="86">
        <v>1.53</v>
      </c>
      <c r="H275" s="86">
        <f t="shared" si="6"/>
        <v>73.44</v>
      </c>
      <c r="I275" s="6" t="s">
        <v>281</v>
      </c>
      <c r="J275" s="19" t="s">
        <v>303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141</v>
      </c>
      <c r="F276" s="86">
        <v>72</v>
      </c>
      <c r="G276" s="86">
        <v>2.48</v>
      </c>
      <c r="H276" s="86">
        <f t="shared" si="6"/>
        <v>178.56</v>
      </c>
      <c r="I276" s="6" t="s">
        <v>281</v>
      </c>
      <c r="J276" s="19" t="s">
        <v>303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141</v>
      </c>
      <c r="F277" s="86">
        <v>192</v>
      </c>
      <c r="G277" s="86">
        <v>5.01</v>
      </c>
      <c r="H277" s="86">
        <f t="shared" si="6"/>
        <v>961.92</v>
      </c>
      <c r="I277" s="6" t="s">
        <v>281</v>
      </c>
      <c r="J277" s="19" t="s">
        <v>311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141</v>
      </c>
      <c r="F278" s="86">
        <v>112</v>
      </c>
      <c r="G278" s="86">
        <v>13.22</v>
      </c>
      <c r="H278" s="86">
        <f t="shared" si="6"/>
        <v>1480.64</v>
      </c>
      <c r="I278" s="6" t="s">
        <v>281</v>
      </c>
      <c r="J278" s="19" t="s">
        <v>311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141</v>
      </c>
      <c r="F279" s="86">
        <v>128</v>
      </c>
      <c r="G279" s="86">
        <v>2.35</v>
      </c>
      <c r="H279" s="86">
        <f t="shared" si="6"/>
        <v>300.8</v>
      </c>
      <c r="I279" s="6" t="s">
        <v>281</v>
      </c>
      <c r="J279" s="19" t="s">
        <v>311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141</v>
      </c>
      <c r="F280" s="86">
        <v>120</v>
      </c>
      <c r="G280" s="86">
        <v>1.32</v>
      </c>
      <c r="H280" s="86">
        <f t="shared" si="6"/>
        <v>158.4</v>
      </c>
      <c r="I280" s="6" t="s">
        <v>281</v>
      </c>
      <c r="J280" s="19" t="s">
        <v>311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141</v>
      </c>
      <c r="F281" s="86">
        <v>96</v>
      </c>
      <c r="G281" s="86">
        <v>5.32</v>
      </c>
      <c r="H281" s="86">
        <f t="shared" si="6"/>
        <v>510.72</v>
      </c>
      <c r="I281" s="6" t="s">
        <v>281</v>
      </c>
      <c r="J281" s="19" t="s">
        <v>311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141</v>
      </c>
      <c r="F282" s="86">
        <v>96</v>
      </c>
      <c r="G282" s="86">
        <v>4.84</v>
      </c>
      <c r="H282" s="86">
        <f t="shared" si="6"/>
        <v>464.64</v>
      </c>
      <c r="I282" s="6" t="s">
        <v>281</v>
      </c>
      <c r="J282" s="19" t="s">
        <v>311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141</v>
      </c>
      <c r="F283" s="86">
        <v>90</v>
      </c>
      <c r="G283" s="86">
        <v>5.81</v>
      </c>
      <c r="H283" s="86">
        <f t="shared" si="6"/>
        <v>522.9</v>
      </c>
      <c r="I283" s="6" t="s">
        <v>281</v>
      </c>
      <c r="J283" s="19" t="s">
        <v>311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141</v>
      </c>
      <c r="F284" s="86">
        <v>62</v>
      </c>
      <c r="G284" s="86">
        <v>3.37</v>
      </c>
      <c r="H284" s="86">
        <f t="shared" si="6"/>
        <v>208.94</v>
      </c>
      <c r="I284" s="6" t="s">
        <v>281</v>
      </c>
      <c r="J284" s="19" t="s">
        <v>311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141</v>
      </c>
      <c r="F285" s="86">
        <v>51</v>
      </c>
      <c r="G285" s="86">
        <v>48.49</v>
      </c>
      <c r="H285" s="86">
        <f t="shared" si="6"/>
        <v>2472.99</v>
      </c>
      <c r="I285" s="6" t="s">
        <v>281</v>
      </c>
      <c r="J285" s="19" t="s">
        <v>311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141</v>
      </c>
      <c r="F286" s="86">
        <v>72</v>
      </c>
      <c r="G286" s="86">
        <v>4.35</v>
      </c>
      <c r="H286" s="86">
        <f t="shared" si="6"/>
        <v>313.2</v>
      </c>
      <c r="I286" s="6" t="s">
        <v>281</v>
      </c>
      <c r="J286" s="19" t="s">
        <v>311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141</v>
      </c>
      <c r="F287" s="86">
        <v>104</v>
      </c>
      <c r="G287" s="86">
        <v>13.22</v>
      </c>
      <c r="H287" s="86">
        <f t="shared" si="6"/>
        <v>1374.88</v>
      </c>
      <c r="I287" s="6" t="s">
        <v>281</v>
      </c>
      <c r="J287" s="19" t="s">
        <v>311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141</v>
      </c>
      <c r="F288" s="86">
        <v>350</v>
      </c>
      <c r="G288" s="86">
        <v>1.32</v>
      </c>
      <c r="H288" s="86">
        <f t="shared" si="6"/>
        <v>462</v>
      </c>
      <c r="I288" s="6" t="s">
        <v>281</v>
      </c>
      <c r="J288" s="19" t="s">
        <v>311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141</v>
      </c>
      <c r="F289" s="86">
        <v>96</v>
      </c>
      <c r="G289" s="86">
        <v>4.84</v>
      </c>
      <c r="H289" s="86">
        <f t="shared" si="6"/>
        <v>464.64</v>
      </c>
      <c r="I289" s="6" t="s">
        <v>281</v>
      </c>
      <c r="J289" s="19" t="s">
        <v>311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141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281</v>
      </c>
      <c r="J290" s="19" t="s">
        <v>311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141</v>
      </c>
      <c r="F291" s="86">
        <v>420</v>
      </c>
      <c r="G291" s="86">
        <v>4.35</v>
      </c>
      <c r="H291" s="86">
        <f t="shared" si="8"/>
        <v>1827</v>
      </c>
      <c r="I291" s="6" t="s">
        <v>281</v>
      </c>
      <c r="J291" s="19" t="s">
        <v>311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141</v>
      </c>
      <c r="F292" s="86">
        <v>72</v>
      </c>
      <c r="G292" s="86">
        <v>2.48</v>
      </c>
      <c r="H292" s="86">
        <f t="shared" si="8"/>
        <v>178.56</v>
      </c>
      <c r="I292" s="6" t="s">
        <v>281</v>
      </c>
      <c r="J292" s="19" t="s">
        <v>311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312</v>
      </c>
      <c r="F293" s="86">
        <v>561</v>
      </c>
      <c r="G293" s="86">
        <v>46.4508</v>
      </c>
      <c r="H293" s="86">
        <f t="shared" si="8"/>
        <v>26058.8988</v>
      </c>
      <c r="I293" s="6" t="s">
        <v>313</v>
      </c>
      <c r="J293" s="19" t="s">
        <v>314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315</v>
      </c>
      <c r="F294" s="86">
        <v>720</v>
      </c>
      <c r="G294" s="86">
        <v>46.4508</v>
      </c>
      <c r="H294" s="86">
        <f t="shared" si="8"/>
        <v>33444.576</v>
      </c>
      <c r="I294" s="6" t="s">
        <v>313</v>
      </c>
      <c r="J294" s="19" t="s">
        <v>316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317</v>
      </c>
      <c r="F295" s="86">
        <v>720</v>
      </c>
      <c r="G295" s="86">
        <v>46.4508</v>
      </c>
      <c r="H295" s="86">
        <f t="shared" si="8"/>
        <v>33444.576</v>
      </c>
      <c r="I295" s="6" t="s">
        <v>313</v>
      </c>
      <c r="J295" s="19" t="s">
        <v>318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319</v>
      </c>
      <c r="F296" s="86">
        <v>720</v>
      </c>
      <c r="G296" s="86">
        <v>46.4508</v>
      </c>
      <c r="H296" s="86">
        <f t="shared" si="8"/>
        <v>33444.576</v>
      </c>
      <c r="I296" s="6" t="s">
        <v>313</v>
      </c>
      <c r="J296" s="19" t="s">
        <v>320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321</v>
      </c>
      <c r="F297" s="126">
        <v>649</v>
      </c>
      <c r="G297" s="126">
        <v>46.4508</v>
      </c>
      <c r="H297" s="126">
        <f t="shared" si="8"/>
        <v>30146.5692</v>
      </c>
      <c r="I297" s="144" t="s">
        <v>313</v>
      </c>
      <c r="J297" s="145" t="s">
        <v>322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323</v>
      </c>
      <c r="F298" s="86">
        <v>720</v>
      </c>
      <c r="G298" s="86">
        <v>46.4508</v>
      </c>
      <c r="H298" s="86">
        <f t="shared" si="8"/>
        <v>33444.576</v>
      </c>
      <c r="I298" s="6" t="s">
        <v>313</v>
      </c>
      <c r="J298" s="19" t="s">
        <v>324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325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281</v>
      </c>
      <c r="J299" s="19" t="s">
        <v>307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325</v>
      </c>
      <c r="F300" s="86">
        <v>300</v>
      </c>
      <c r="G300" s="86">
        <v>1.32</v>
      </c>
      <c r="H300" s="86">
        <f t="shared" si="10"/>
        <v>396</v>
      </c>
      <c r="I300" s="6" t="s">
        <v>281</v>
      </c>
      <c r="J300" s="19" t="s">
        <v>307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325</v>
      </c>
      <c r="F301" s="86">
        <v>210</v>
      </c>
      <c r="G301" s="86">
        <v>4.35</v>
      </c>
      <c r="H301" s="86">
        <f t="shared" si="10"/>
        <v>913.5</v>
      </c>
      <c r="I301" s="6" t="s">
        <v>281</v>
      </c>
      <c r="J301" s="19" t="s">
        <v>307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326</v>
      </c>
      <c r="F302" s="86">
        <v>56</v>
      </c>
      <c r="G302" s="86">
        <v>13.22</v>
      </c>
      <c r="H302" s="86">
        <f t="shared" si="10"/>
        <v>740.32</v>
      </c>
      <c r="I302" s="6" t="s">
        <v>281</v>
      </c>
      <c r="J302" s="19" t="s">
        <v>303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326</v>
      </c>
      <c r="F303" s="86">
        <v>126</v>
      </c>
      <c r="G303" s="86">
        <v>4.35</v>
      </c>
      <c r="H303" s="86">
        <f t="shared" si="10"/>
        <v>548.1</v>
      </c>
      <c r="I303" s="6" t="s">
        <v>281</v>
      </c>
      <c r="J303" s="19" t="s">
        <v>303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326</v>
      </c>
      <c r="F304" s="86">
        <v>32</v>
      </c>
      <c r="G304" s="86">
        <v>5.01</v>
      </c>
      <c r="H304" s="86">
        <f t="shared" si="10"/>
        <v>160.32</v>
      </c>
      <c r="I304" s="6" t="s">
        <v>281</v>
      </c>
      <c r="J304" s="19" t="s">
        <v>303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326</v>
      </c>
      <c r="F305" s="86">
        <v>60</v>
      </c>
      <c r="G305" s="86">
        <v>5.32</v>
      </c>
      <c r="H305" s="86">
        <f t="shared" si="10"/>
        <v>319.2</v>
      </c>
      <c r="I305" s="6" t="s">
        <v>281</v>
      </c>
      <c r="J305" s="19" t="s">
        <v>303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326</v>
      </c>
      <c r="F306" s="86">
        <v>99</v>
      </c>
      <c r="G306" s="86">
        <v>4.84</v>
      </c>
      <c r="H306" s="86">
        <f t="shared" si="10"/>
        <v>479.16</v>
      </c>
      <c r="I306" s="6" t="s">
        <v>281</v>
      </c>
      <c r="J306" s="19" t="s">
        <v>303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326</v>
      </c>
      <c r="F307" s="86">
        <v>12</v>
      </c>
      <c r="G307" s="86">
        <v>5.81</v>
      </c>
      <c r="H307" s="86">
        <f t="shared" si="10"/>
        <v>69.72</v>
      </c>
      <c r="I307" s="6" t="s">
        <v>281</v>
      </c>
      <c r="J307" s="19" t="s">
        <v>303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326</v>
      </c>
      <c r="F308" s="86">
        <v>60</v>
      </c>
      <c r="G308" s="86">
        <v>3.89</v>
      </c>
      <c r="H308" s="86">
        <f t="shared" si="10"/>
        <v>233.4</v>
      </c>
      <c r="I308" s="6" t="s">
        <v>281</v>
      </c>
      <c r="J308" s="19" t="s">
        <v>303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326</v>
      </c>
      <c r="F309" s="86">
        <v>192</v>
      </c>
      <c r="G309" s="86">
        <v>3.37</v>
      </c>
      <c r="H309" s="86">
        <f t="shared" si="10"/>
        <v>647.04</v>
      </c>
      <c r="I309" s="6" t="s">
        <v>281</v>
      </c>
      <c r="J309" s="19" t="s">
        <v>303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327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328</v>
      </c>
      <c r="J310" s="19" t="s">
        <v>329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327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328</v>
      </c>
      <c r="J311" s="19" t="s">
        <v>329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327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328</v>
      </c>
      <c r="J312" s="19" t="s">
        <v>329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327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328</v>
      </c>
      <c r="J313" s="19" t="s">
        <v>329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327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328</v>
      </c>
      <c r="J314" s="19" t="s">
        <v>329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327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328</v>
      </c>
      <c r="J315" s="19" t="s">
        <v>329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327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328</v>
      </c>
      <c r="J316" s="19" t="s">
        <v>329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330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290</v>
      </c>
      <c r="J317" s="19" t="s">
        <v>297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330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290</v>
      </c>
      <c r="J318" s="19" t="s">
        <v>297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330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290</v>
      </c>
      <c r="J319" s="19" t="s">
        <v>297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330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290</v>
      </c>
      <c r="J320" s="19" t="s">
        <v>297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330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290</v>
      </c>
      <c r="J321" s="19" t="s">
        <v>297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331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290</v>
      </c>
      <c r="J322" s="19" t="s">
        <v>291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331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290</v>
      </c>
      <c r="J323" s="19" t="s">
        <v>291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331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290</v>
      </c>
      <c r="J324" s="19" t="s">
        <v>291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331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290</v>
      </c>
      <c r="J325" s="19" t="s">
        <v>291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331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290</v>
      </c>
      <c r="J326" s="19" t="s">
        <v>291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331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290</v>
      </c>
      <c r="J327" s="19" t="s">
        <v>291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332</v>
      </c>
      <c r="E328" s="6" t="s">
        <v>333</v>
      </c>
      <c r="F328" s="86">
        <v>48</v>
      </c>
      <c r="G328" s="86">
        <v>14.89</v>
      </c>
      <c r="H328" s="86">
        <f t="shared" si="10"/>
        <v>714.72</v>
      </c>
      <c r="I328" s="6" t="s">
        <v>290</v>
      </c>
      <c r="J328" s="19" t="s">
        <v>297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332</v>
      </c>
      <c r="E329" s="6" t="s">
        <v>333</v>
      </c>
      <c r="F329" s="86">
        <v>120</v>
      </c>
      <c r="G329" s="86">
        <v>4.61</v>
      </c>
      <c r="H329" s="86">
        <f t="shared" si="10"/>
        <v>553.2</v>
      </c>
      <c r="I329" s="6" t="s">
        <v>290</v>
      </c>
      <c r="J329" s="19" t="s">
        <v>297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334</v>
      </c>
      <c r="E330" s="6" t="s">
        <v>335</v>
      </c>
      <c r="F330" s="86">
        <v>432</v>
      </c>
      <c r="G330" s="86">
        <v>14.89</v>
      </c>
      <c r="H330" s="86">
        <f t="shared" si="10"/>
        <v>6432.48</v>
      </c>
      <c r="I330" s="6" t="s">
        <v>290</v>
      </c>
      <c r="J330" s="19" t="s">
        <v>291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334</v>
      </c>
      <c r="E331" s="6" t="s">
        <v>335</v>
      </c>
      <c r="F331" s="86">
        <v>510</v>
      </c>
      <c r="G331" s="86">
        <v>4.61</v>
      </c>
      <c r="H331" s="86">
        <f t="shared" si="10"/>
        <v>2351.1</v>
      </c>
      <c r="I331" s="6" t="s">
        <v>290</v>
      </c>
      <c r="J331" s="19" t="s">
        <v>291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334</v>
      </c>
      <c r="E332" s="6" t="s">
        <v>335</v>
      </c>
      <c r="F332" s="86">
        <v>48</v>
      </c>
      <c r="G332" s="86">
        <v>2.25</v>
      </c>
      <c r="H332" s="86">
        <f t="shared" si="10"/>
        <v>108</v>
      </c>
      <c r="I332" s="6" t="s">
        <v>290</v>
      </c>
      <c r="J332" s="19" t="s">
        <v>291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336</v>
      </c>
      <c r="E333" s="6" t="s">
        <v>337</v>
      </c>
      <c r="F333" s="86">
        <v>1230</v>
      </c>
      <c r="G333" s="86">
        <v>3.8</v>
      </c>
      <c r="H333" s="86">
        <f t="shared" si="10"/>
        <v>4674</v>
      </c>
      <c r="I333" s="6" t="s">
        <v>290</v>
      </c>
      <c r="J333" s="19" t="s">
        <v>291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336</v>
      </c>
      <c r="E334" s="6" t="s">
        <v>337</v>
      </c>
      <c r="F334" s="86">
        <v>450</v>
      </c>
      <c r="G334" s="86">
        <v>3.89</v>
      </c>
      <c r="H334" s="86">
        <f t="shared" si="10"/>
        <v>1750.5</v>
      </c>
      <c r="I334" s="6" t="s">
        <v>290</v>
      </c>
      <c r="J334" s="19" t="s">
        <v>291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336</v>
      </c>
      <c r="E335" s="6" t="s">
        <v>337</v>
      </c>
      <c r="F335" s="86">
        <v>1230</v>
      </c>
      <c r="G335" s="86">
        <v>4.75</v>
      </c>
      <c r="H335" s="86">
        <f t="shared" si="10"/>
        <v>5842.5</v>
      </c>
      <c r="I335" s="6" t="s">
        <v>290</v>
      </c>
      <c r="J335" s="19" t="s">
        <v>291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336</v>
      </c>
      <c r="E336" s="6" t="s">
        <v>337</v>
      </c>
      <c r="F336" s="86">
        <v>1232</v>
      </c>
      <c r="G336" s="86">
        <v>6.79</v>
      </c>
      <c r="H336" s="86">
        <f t="shared" si="10"/>
        <v>8365.28</v>
      </c>
      <c r="I336" s="6" t="s">
        <v>290</v>
      </c>
      <c r="J336" s="19" t="s">
        <v>291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336</v>
      </c>
      <c r="E337" s="6" t="s">
        <v>337</v>
      </c>
      <c r="F337" s="86">
        <v>1248</v>
      </c>
      <c r="G337" s="86">
        <v>3.26</v>
      </c>
      <c r="H337" s="86">
        <f t="shared" si="10"/>
        <v>4068.48</v>
      </c>
      <c r="I337" s="6" t="s">
        <v>290</v>
      </c>
      <c r="J337" s="19" t="s">
        <v>291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336</v>
      </c>
      <c r="E338" s="6" t="s">
        <v>337</v>
      </c>
      <c r="F338" s="86">
        <v>1224</v>
      </c>
      <c r="G338" s="86">
        <v>5.71</v>
      </c>
      <c r="H338" s="86">
        <f t="shared" si="10"/>
        <v>6989.04</v>
      </c>
      <c r="I338" s="6" t="s">
        <v>290</v>
      </c>
      <c r="J338" s="19" t="s">
        <v>291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338</v>
      </c>
      <c r="E339" s="6" t="s">
        <v>339</v>
      </c>
      <c r="F339" s="86">
        <v>480</v>
      </c>
      <c r="G339" s="86">
        <v>3.8</v>
      </c>
      <c r="H339" s="86">
        <f t="shared" si="10"/>
        <v>1824</v>
      </c>
      <c r="I339" s="6" t="s">
        <v>290</v>
      </c>
      <c r="J339" s="19" t="s">
        <v>297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338</v>
      </c>
      <c r="E340" s="6" t="s">
        <v>339</v>
      </c>
      <c r="F340" s="86">
        <v>180</v>
      </c>
      <c r="G340" s="86">
        <v>3.89</v>
      </c>
      <c r="H340" s="86">
        <f t="shared" si="10"/>
        <v>700.2</v>
      </c>
      <c r="I340" s="6" t="s">
        <v>290</v>
      </c>
      <c r="J340" s="19" t="s">
        <v>297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338</v>
      </c>
      <c r="E341" s="6" t="s">
        <v>339</v>
      </c>
      <c r="F341" s="86">
        <v>480</v>
      </c>
      <c r="G341" s="86">
        <v>4.75</v>
      </c>
      <c r="H341" s="86">
        <f t="shared" si="10"/>
        <v>2280</v>
      </c>
      <c r="I341" s="6" t="s">
        <v>290</v>
      </c>
      <c r="J341" s="19" t="s">
        <v>297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338</v>
      </c>
      <c r="E342" s="6" t="s">
        <v>339</v>
      </c>
      <c r="F342" s="86">
        <v>462</v>
      </c>
      <c r="G342" s="86">
        <v>6.79</v>
      </c>
      <c r="H342" s="86">
        <f t="shared" si="10"/>
        <v>3136.98</v>
      </c>
      <c r="I342" s="6" t="s">
        <v>290</v>
      </c>
      <c r="J342" s="19" t="s">
        <v>297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338</v>
      </c>
      <c r="E343" s="6" t="s">
        <v>339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290</v>
      </c>
      <c r="J343" s="19" t="s">
        <v>297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340</v>
      </c>
      <c r="F344" s="86">
        <v>64</v>
      </c>
      <c r="G344" s="86">
        <v>5.01</v>
      </c>
      <c r="H344" s="86">
        <f t="shared" si="12"/>
        <v>320.64</v>
      </c>
      <c r="I344" s="6" t="s">
        <v>281</v>
      </c>
      <c r="J344" s="19" t="s">
        <v>306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340</v>
      </c>
      <c r="F345" s="86">
        <v>24</v>
      </c>
      <c r="G345" s="86">
        <v>13.22</v>
      </c>
      <c r="H345" s="86">
        <f t="shared" si="12"/>
        <v>317.28</v>
      </c>
      <c r="I345" s="6" t="s">
        <v>281</v>
      </c>
      <c r="J345" s="19" t="s">
        <v>306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340</v>
      </c>
      <c r="F346" s="86">
        <v>96</v>
      </c>
      <c r="G346" s="86">
        <v>2.35</v>
      </c>
      <c r="H346" s="86">
        <f t="shared" si="12"/>
        <v>225.6</v>
      </c>
      <c r="I346" s="6" t="s">
        <v>281</v>
      </c>
      <c r="J346" s="19" t="s">
        <v>306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340</v>
      </c>
      <c r="F347" s="86">
        <v>200</v>
      </c>
      <c r="G347" s="86">
        <v>1.32</v>
      </c>
      <c r="H347" s="86">
        <f t="shared" si="12"/>
        <v>264</v>
      </c>
      <c r="I347" s="6" t="s">
        <v>281</v>
      </c>
      <c r="J347" s="19" t="s">
        <v>306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340</v>
      </c>
      <c r="F348" s="86">
        <v>32</v>
      </c>
      <c r="G348" s="86">
        <v>3.37</v>
      </c>
      <c r="H348" s="86">
        <f t="shared" si="12"/>
        <v>107.84</v>
      </c>
      <c r="I348" s="6" t="s">
        <v>281</v>
      </c>
      <c r="J348" s="19" t="s">
        <v>306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340</v>
      </c>
      <c r="F349" s="86">
        <v>1</v>
      </c>
      <c r="G349" s="86">
        <v>48.49</v>
      </c>
      <c r="H349" s="86">
        <f t="shared" si="12"/>
        <v>48.49</v>
      </c>
      <c r="I349" s="6" t="s">
        <v>281</v>
      </c>
      <c r="J349" s="19" t="s">
        <v>306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340</v>
      </c>
      <c r="F350" s="86">
        <v>168</v>
      </c>
      <c r="G350" s="86">
        <v>4.35</v>
      </c>
      <c r="H350" s="86">
        <f t="shared" si="12"/>
        <v>730.8</v>
      </c>
      <c r="I350" s="6" t="s">
        <v>281</v>
      </c>
      <c r="J350" s="19" t="s">
        <v>306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340</v>
      </c>
      <c r="F351" s="86">
        <v>128</v>
      </c>
      <c r="G351" s="86">
        <v>1.61</v>
      </c>
      <c r="H351" s="86">
        <f t="shared" si="12"/>
        <v>206.08</v>
      </c>
      <c r="I351" s="6" t="s">
        <v>281</v>
      </c>
      <c r="J351" s="19" t="s">
        <v>306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340</v>
      </c>
      <c r="F352" s="86">
        <v>240</v>
      </c>
      <c r="G352" s="86">
        <v>1.53</v>
      </c>
      <c r="H352" s="86">
        <f t="shared" si="12"/>
        <v>367.2</v>
      </c>
      <c r="I352" s="6" t="s">
        <v>281</v>
      </c>
      <c r="J352" s="19" t="s">
        <v>306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340</v>
      </c>
      <c r="F353" s="86">
        <v>216</v>
      </c>
      <c r="G353" s="86">
        <v>2.48</v>
      </c>
      <c r="H353" s="86">
        <f t="shared" si="12"/>
        <v>535.68</v>
      </c>
      <c r="I353" s="6" t="s">
        <v>281</v>
      </c>
      <c r="J353" s="19" t="s">
        <v>306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341</v>
      </c>
      <c r="F354" s="86">
        <v>64</v>
      </c>
      <c r="G354" s="86">
        <v>13.22</v>
      </c>
      <c r="H354" s="86">
        <f t="shared" si="12"/>
        <v>846.08</v>
      </c>
      <c r="I354" s="6" t="s">
        <v>281</v>
      </c>
      <c r="J354" s="19" t="s">
        <v>301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341</v>
      </c>
      <c r="F355" s="86">
        <v>100</v>
      </c>
      <c r="G355" s="86">
        <v>1.32</v>
      </c>
      <c r="H355" s="86">
        <f t="shared" si="12"/>
        <v>132</v>
      </c>
      <c r="I355" s="6" t="s">
        <v>281</v>
      </c>
      <c r="J355" s="19" t="s">
        <v>301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341</v>
      </c>
      <c r="F356" s="86">
        <v>29</v>
      </c>
      <c r="G356" s="86">
        <v>48.49</v>
      </c>
      <c r="H356" s="86">
        <f t="shared" si="12"/>
        <v>1406.21</v>
      </c>
      <c r="I356" s="6" t="s">
        <v>281</v>
      </c>
      <c r="J356" s="19" t="s">
        <v>301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341</v>
      </c>
      <c r="F357" s="86">
        <v>168</v>
      </c>
      <c r="G357" s="86">
        <v>4.35</v>
      </c>
      <c r="H357" s="86">
        <f t="shared" si="12"/>
        <v>730.8</v>
      </c>
      <c r="I357" s="6" t="s">
        <v>281</v>
      </c>
      <c r="J357" s="19" t="s">
        <v>301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341</v>
      </c>
      <c r="F358" s="86">
        <v>64</v>
      </c>
      <c r="G358" s="86">
        <v>1.61</v>
      </c>
      <c r="H358" s="86">
        <f t="shared" si="12"/>
        <v>103.04</v>
      </c>
      <c r="I358" s="6" t="s">
        <v>281</v>
      </c>
      <c r="J358" s="19" t="s">
        <v>301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341</v>
      </c>
      <c r="F359" s="86">
        <v>96</v>
      </c>
      <c r="G359" s="86">
        <v>1.53</v>
      </c>
      <c r="H359" s="86">
        <f t="shared" si="12"/>
        <v>146.88</v>
      </c>
      <c r="I359" s="6" t="s">
        <v>281</v>
      </c>
      <c r="J359" s="19" t="s">
        <v>301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341</v>
      </c>
      <c r="F360" s="86">
        <v>144</v>
      </c>
      <c r="G360" s="86">
        <v>2.48</v>
      </c>
      <c r="H360" s="86">
        <f t="shared" si="12"/>
        <v>357.12</v>
      </c>
      <c r="I360" s="6" t="s">
        <v>281</v>
      </c>
      <c r="J360" s="19" t="s">
        <v>301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342</v>
      </c>
      <c r="F361" s="86">
        <v>64</v>
      </c>
      <c r="G361" s="86">
        <v>5.01</v>
      </c>
      <c r="H361" s="86">
        <f t="shared" si="12"/>
        <v>320.64</v>
      </c>
      <c r="I361" s="6" t="s">
        <v>281</v>
      </c>
      <c r="J361" s="19" t="s">
        <v>300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342</v>
      </c>
      <c r="F362" s="86">
        <v>56</v>
      </c>
      <c r="G362" s="86">
        <v>13.22</v>
      </c>
      <c r="H362" s="86">
        <f t="shared" si="12"/>
        <v>740.32</v>
      </c>
      <c r="I362" s="6" t="s">
        <v>281</v>
      </c>
      <c r="J362" s="19" t="s">
        <v>300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342</v>
      </c>
      <c r="F363" s="86">
        <v>48</v>
      </c>
      <c r="G363" s="86">
        <v>2.35</v>
      </c>
      <c r="H363" s="86">
        <f t="shared" si="12"/>
        <v>112.8</v>
      </c>
      <c r="I363" s="6" t="s">
        <v>281</v>
      </c>
      <c r="J363" s="19" t="s">
        <v>300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342</v>
      </c>
      <c r="F364" s="86">
        <v>200</v>
      </c>
      <c r="G364" s="86">
        <v>1.32</v>
      </c>
      <c r="H364" s="86">
        <f t="shared" si="12"/>
        <v>264</v>
      </c>
      <c r="I364" s="6" t="s">
        <v>281</v>
      </c>
      <c r="J364" s="19" t="s">
        <v>300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342</v>
      </c>
      <c r="F365" s="86">
        <v>40</v>
      </c>
      <c r="G365" s="86">
        <v>5.32</v>
      </c>
      <c r="H365" s="86">
        <f t="shared" si="12"/>
        <v>212.8</v>
      </c>
      <c r="I365" s="6" t="s">
        <v>281</v>
      </c>
      <c r="J365" s="19" t="s">
        <v>300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342</v>
      </c>
      <c r="F366" s="86">
        <v>1</v>
      </c>
      <c r="G366" s="86">
        <v>70.28</v>
      </c>
      <c r="H366" s="86">
        <f t="shared" si="12"/>
        <v>70.28</v>
      </c>
      <c r="I366" s="6" t="s">
        <v>281</v>
      </c>
      <c r="J366" s="19" t="s">
        <v>300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342</v>
      </c>
      <c r="F367" s="126">
        <v>84</v>
      </c>
      <c r="G367" s="86">
        <v>4.35</v>
      </c>
      <c r="H367" s="86">
        <f t="shared" si="12"/>
        <v>365.4</v>
      </c>
      <c r="I367" s="6" t="s">
        <v>281</v>
      </c>
      <c r="J367" s="19" t="s">
        <v>300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342</v>
      </c>
      <c r="F368" s="86">
        <v>128</v>
      </c>
      <c r="G368" s="86">
        <v>1.61</v>
      </c>
      <c r="H368" s="86">
        <f t="shared" si="12"/>
        <v>206.08</v>
      </c>
      <c r="I368" s="6" t="s">
        <v>281</v>
      </c>
      <c r="J368" s="19" t="s">
        <v>300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342</v>
      </c>
      <c r="F369" s="86">
        <v>144</v>
      </c>
      <c r="G369" s="86">
        <v>1.53</v>
      </c>
      <c r="H369" s="86">
        <f t="shared" si="12"/>
        <v>220.32</v>
      </c>
      <c r="I369" s="6" t="s">
        <v>281</v>
      </c>
      <c r="J369" s="19" t="s">
        <v>300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342</v>
      </c>
      <c r="F370" s="86">
        <v>216</v>
      </c>
      <c r="G370" s="86">
        <v>2.48</v>
      </c>
      <c r="H370" s="86">
        <f t="shared" si="12"/>
        <v>535.68</v>
      </c>
      <c r="I370" s="6" t="s">
        <v>281</v>
      </c>
      <c r="J370" s="19" t="s">
        <v>300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343</v>
      </c>
      <c r="F371" s="86">
        <v>48</v>
      </c>
      <c r="G371" s="86">
        <v>13.22</v>
      </c>
      <c r="H371" s="86">
        <f t="shared" si="12"/>
        <v>634.56</v>
      </c>
      <c r="I371" s="6" t="s">
        <v>281</v>
      </c>
      <c r="J371" s="19" t="s">
        <v>311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343</v>
      </c>
      <c r="F372" s="86">
        <v>240</v>
      </c>
      <c r="G372" s="86">
        <v>2.35</v>
      </c>
      <c r="H372" s="86">
        <f t="shared" si="12"/>
        <v>564</v>
      </c>
      <c r="I372" s="6" t="s">
        <v>281</v>
      </c>
      <c r="J372" s="19" t="s">
        <v>311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343</v>
      </c>
      <c r="F373" s="86">
        <v>300</v>
      </c>
      <c r="G373" s="86">
        <v>1.32</v>
      </c>
      <c r="H373" s="86">
        <f t="shared" si="12"/>
        <v>396</v>
      </c>
      <c r="I373" s="6" t="s">
        <v>281</v>
      </c>
      <c r="J373" s="19" t="s">
        <v>311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343</v>
      </c>
      <c r="F374" s="86">
        <v>1</v>
      </c>
      <c r="G374" s="86">
        <v>70.28</v>
      </c>
      <c r="H374" s="86">
        <f t="shared" si="12"/>
        <v>70.28</v>
      </c>
      <c r="I374" s="6" t="s">
        <v>281</v>
      </c>
      <c r="J374" s="19" t="s">
        <v>311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343</v>
      </c>
      <c r="F375" s="126">
        <v>252</v>
      </c>
      <c r="G375" s="86">
        <v>4.35</v>
      </c>
      <c r="H375" s="86">
        <f t="shared" si="12"/>
        <v>1096.2</v>
      </c>
      <c r="I375" s="6" t="s">
        <v>281</v>
      </c>
      <c r="J375" s="19" t="s">
        <v>311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343</v>
      </c>
      <c r="F376" s="86">
        <v>256</v>
      </c>
      <c r="G376" s="86">
        <v>1.61</v>
      </c>
      <c r="H376" s="86">
        <f t="shared" si="12"/>
        <v>412.16</v>
      </c>
      <c r="I376" s="6" t="s">
        <v>281</v>
      </c>
      <c r="J376" s="19" t="s">
        <v>311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343</v>
      </c>
      <c r="F377" s="86">
        <v>288</v>
      </c>
      <c r="G377" s="86">
        <v>1.53</v>
      </c>
      <c r="H377" s="86">
        <f t="shared" si="12"/>
        <v>440.64</v>
      </c>
      <c r="I377" s="6" t="s">
        <v>281</v>
      </c>
      <c r="J377" s="19" t="s">
        <v>311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343</v>
      </c>
      <c r="F378" s="86">
        <v>288</v>
      </c>
      <c r="G378" s="86">
        <v>2.48</v>
      </c>
      <c r="H378" s="86">
        <f t="shared" si="12"/>
        <v>714.24</v>
      </c>
      <c r="I378" s="6" t="s">
        <v>281</v>
      </c>
      <c r="J378" s="19" t="s">
        <v>311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344</v>
      </c>
      <c r="F379" s="86">
        <v>32</v>
      </c>
      <c r="G379" s="86">
        <v>5.01</v>
      </c>
      <c r="H379" s="86">
        <f t="shared" si="12"/>
        <v>160.32</v>
      </c>
      <c r="I379" s="6" t="s">
        <v>281</v>
      </c>
      <c r="J379" s="19" t="s">
        <v>306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344</v>
      </c>
      <c r="F380" s="86">
        <v>50</v>
      </c>
      <c r="G380" s="86">
        <v>1.32</v>
      </c>
      <c r="H380" s="86">
        <f t="shared" si="12"/>
        <v>66</v>
      </c>
      <c r="I380" s="6" t="s">
        <v>281</v>
      </c>
      <c r="J380" s="19" t="s">
        <v>306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344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281</v>
      </c>
      <c r="J381" s="19" t="s">
        <v>306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344</v>
      </c>
      <c r="F382" s="86">
        <v>35</v>
      </c>
      <c r="G382" s="86">
        <v>48.49</v>
      </c>
      <c r="H382" s="86">
        <f t="shared" si="14"/>
        <v>1697.15</v>
      </c>
      <c r="I382" s="6" t="s">
        <v>281</v>
      </c>
      <c r="J382" s="19" t="s">
        <v>306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344</v>
      </c>
      <c r="F383" s="151">
        <v>210</v>
      </c>
      <c r="G383" s="151">
        <v>4.35</v>
      </c>
      <c r="H383" s="151">
        <f t="shared" si="14"/>
        <v>913.5</v>
      </c>
      <c r="I383" s="17" t="s">
        <v>281</v>
      </c>
      <c r="J383" s="120" t="s">
        <v>306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344</v>
      </c>
      <c r="F384" s="86">
        <v>72</v>
      </c>
      <c r="G384" s="86">
        <v>2.48</v>
      </c>
      <c r="H384" s="86">
        <f t="shared" si="14"/>
        <v>178.56</v>
      </c>
      <c r="I384" s="6" t="s">
        <v>281</v>
      </c>
      <c r="J384" s="19" t="s">
        <v>306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345</v>
      </c>
      <c r="F385" s="126">
        <v>48</v>
      </c>
      <c r="G385" s="86">
        <v>2.35</v>
      </c>
      <c r="H385" s="86">
        <f t="shared" si="14"/>
        <v>112.8</v>
      </c>
      <c r="I385" s="6" t="s">
        <v>281</v>
      </c>
      <c r="J385" s="19" t="s">
        <v>307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345</v>
      </c>
      <c r="F386" s="86">
        <v>53</v>
      </c>
      <c r="G386" s="86">
        <v>48.49</v>
      </c>
      <c r="H386" s="86">
        <f t="shared" si="14"/>
        <v>2569.97</v>
      </c>
      <c r="I386" s="6" t="s">
        <v>281</v>
      </c>
      <c r="J386" s="19" t="s">
        <v>307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345</v>
      </c>
      <c r="F387" s="126">
        <v>84</v>
      </c>
      <c r="G387" s="86">
        <v>4.35</v>
      </c>
      <c r="H387" s="86">
        <f t="shared" si="14"/>
        <v>365.4</v>
      </c>
      <c r="I387" s="6" t="s">
        <v>281</v>
      </c>
      <c r="J387" s="145" t="s">
        <v>307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346</v>
      </c>
      <c r="F388" s="86">
        <v>56</v>
      </c>
      <c r="G388" s="86">
        <v>13.22</v>
      </c>
      <c r="H388" s="86">
        <f t="shared" si="14"/>
        <v>740.32</v>
      </c>
      <c r="I388" s="6" t="s">
        <v>281</v>
      </c>
      <c r="J388" s="19" t="s">
        <v>301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346</v>
      </c>
      <c r="F389" s="86">
        <v>100</v>
      </c>
      <c r="G389" s="86">
        <v>1.32</v>
      </c>
      <c r="H389" s="86">
        <f t="shared" si="14"/>
        <v>132</v>
      </c>
      <c r="I389" s="6" t="s">
        <v>281</v>
      </c>
      <c r="J389" s="19" t="s">
        <v>301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346</v>
      </c>
      <c r="F390" s="86">
        <v>30</v>
      </c>
      <c r="G390" s="86">
        <v>48.49</v>
      </c>
      <c r="H390" s="86">
        <f t="shared" si="14"/>
        <v>1454.7</v>
      </c>
      <c r="I390" s="6" t="s">
        <v>281</v>
      </c>
      <c r="J390" s="19" t="s">
        <v>301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346</v>
      </c>
      <c r="F391" s="86">
        <v>126</v>
      </c>
      <c r="G391" s="86">
        <v>4.35</v>
      </c>
      <c r="H391" s="86">
        <f t="shared" si="14"/>
        <v>548.1</v>
      </c>
      <c r="I391" s="6" t="s">
        <v>281</v>
      </c>
      <c r="J391" s="19" t="s">
        <v>301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346</v>
      </c>
      <c r="F392" s="86">
        <v>96</v>
      </c>
      <c r="G392" s="86">
        <v>1.53</v>
      </c>
      <c r="H392" s="86">
        <f t="shared" si="14"/>
        <v>146.88</v>
      </c>
      <c r="I392" s="6" t="s">
        <v>281</v>
      </c>
      <c r="J392" s="19" t="s">
        <v>301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347</v>
      </c>
      <c r="F393" s="86">
        <v>32</v>
      </c>
      <c r="G393" s="86">
        <v>5.01</v>
      </c>
      <c r="H393" s="86">
        <f t="shared" si="14"/>
        <v>160.32</v>
      </c>
      <c r="I393" s="6" t="s">
        <v>281</v>
      </c>
      <c r="J393" s="19" t="s">
        <v>311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347</v>
      </c>
      <c r="F394" s="86">
        <v>24</v>
      </c>
      <c r="G394" s="86">
        <v>13.22</v>
      </c>
      <c r="H394" s="86">
        <f t="shared" si="14"/>
        <v>317.28</v>
      </c>
      <c r="I394" s="6" t="s">
        <v>281</v>
      </c>
      <c r="J394" s="19" t="s">
        <v>311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347</v>
      </c>
      <c r="F395" s="86">
        <v>150</v>
      </c>
      <c r="G395" s="86">
        <v>1.32</v>
      </c>
      <c r="H395" s="86">
        <f t="shared" si="14"/>
        <v>198</v>
      </c>
      <c r="I395" s="6" t="s">
        <v>281</v>
      </c>
      <c r="J395" s="19" t="s">
        <v>311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347</v>
      </c>
      <c r="F396" s="86">
        <v>33</v>
      </c>
      <c r="G396" s="86">
        <v>4.84</v>
      </c>
      <c r="H396" s="86">
        <f t="shared" si="14"/>
        <v>159.72</v>
      </c>
      <c r="I396" s="6" t="s">
        <v>281</v>
      </c>
      <c r="J396" s="19" t="s">
        <v>311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347</v>
      </c>
      <c r="F397" s="86">
        <v>30</v>
      </c>
      <c r="G397" s="86">
        <v>3.89</v>
      </c>
      <c r="H397" s="86">
        <f t="shared" si="14"/>
        <v>116.7</v>
      </c>
      <c r="I397" s="6" t="s">
        <v>281</v>
      </c>
      <c r="J397" s="19" t="s">
        <v>311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347</v>
      </c>
      <c r="F398" s="86">
        <v>40</v>
      </c>
      <c r="G398" s="86">
        <v>48.49</v>
      </c>
      <c r="H398" s="86">
        <f t="shared" si="14"/>
        <v>1939.6</v>
      </c>
      <c r="I398" s="6" t="s">
        <v>281</v>
      </c>
      <c r="J398" s="19" t="s">
        <v>311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347</v>
      </c>
      <c r="F399" s="126">
        <v>210</v>
      </c>
      <c r="G399" s="86">
        <v>4.35</v>
      </c>
      <c r="H399" s="86">
        <f t="shared" si="14"/>
        <v>913.5</v>
      </c>
      <c r="I399" s="6" t="s">
        <v>281</v>
      </c>
      <c r="J399" s="145" t="s">
        <v>311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347</v>
      </c>
      <c r="F400" s="86">
        <v>64</v>
      </c>
      <c r="G400" s="86">
        <v>1.61</v>
      </c>
      <c r="H400" s="86">
        <f t="shared" si="14"/>
        <v>103.04</v>
      </c>
      <c r="I400" s="6" t="s">
        <v>281</v>
      </c>
      <c r="J400" s="19" t="s">
        <v>311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347</v>
      </c>
      <c r="F401" s="86">
        <v>96</v>
      </c>
      <c r="G401" s="86">
        <v>1.53</v>
      </c>
      <c r="H401" s="86">
        <f t="shared" si="14"/>
        <v>146.88</v>
      </c>
      <c r="I401" s="6" t="s">
        <v>281</v>
      </c>
      <c r="J401" s="19" t="s">
        <v>311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348</v>
      </c>
      <c r="E402" s="6" t="s">
        <v>349</v>
      </c>
      <c r="F402" s="86">
        <v>480</v>
      </c>
      <c r="G402" s="86">
        <v>2.93</v>
      </c>
      <c r="H402" s="86">
        <f t="shared" si="14"/>
        <v>1406.4</v>
      </c>
      <c r="I402" s="6" t="s">
        <v>290</v>
      </c>
      <c r="J402" s="19" t="s">
        <v>291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348</v>
      </c>
      <c r="E403" s="6" t="s">
        <v>349</v>
      </c>
      <c r="F403" s="86">
        <v>480</v>
      </c>
      <c r="G403" s="86">
        <v>3.47</v>
      </c>
      <c r="H403" s="86">
        <f t="shared" si="14"/>
        <v>1665.6</v>
      </c>
      <c r="I403" s="6" t="s">
        <v>290</v>
      </c>
      <c r="J403" s="19" t="s">
        <v>291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348</v>
      </c>
      <c r="E404" s="6" t="s">
        <v>349</v>
      </c>
      <c r="F404" s="86">
        <v>432</v>
      </c>
      <c r="G404" s="86">
        <v>2.48</v>
      </c>
      <c r="H404" s="86">
        <f t="shared" si="14"/>
        <v>1071.36</v>
      </c>
      <c r="I404" s="6" t="s">
        <v>290</v>
      </c>
      <c r="J404" s="19" t="s">
        <v>291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348</v>
      </c>
      <c r="E405" s="6" t="s">
        <v>349</v>
      </c>
      <c r="F405" s="86">
        <v>432</v>
      </c>
      <c r="G405" s="86">
        <v>2.62</v>
      </c>
      <c r="H405" s="86">
        <f t="shared" si="14"/>
        <v>1131.84</v>
      </c>
      <c r="I405" s="6" t="s">
        <v>290</v>
      </c>
      <c r="J405" s="19" t="s">
        <v>291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348</v>
      </c>
      <c r="E406" s="6" t="s">
        <v>349</v>
      </c>
      <c r="F406" s="86">
        <v>450</v>
      </c>
      <c r="G406" s="86">
        <v>3.8</v>
      </c>
      <c r="H406" s="86">
        <f t="shared" si="14"/>
        <v>1710</v>
      </c>
      <c r="I406" s="6" t="s">
        <v>290</v>
      </c>
      <c r="J406" s="19" t="s">
        <v>291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348</v>
      </c>
      <c r="E407" s="6" t="s">
        <v>349</v>
      </c>
      <c r="F407" s="86">
        <v>448</v>
      </c>
      <c r="G407" s="86">
        <v>3.26</v>
      </c>
      <c r="H407" s="86">
        <f t="shared" si="14"/>
        <v>1460.48</v>
      </c>
      <c r="I407" s="6" t="s">
        <v>290</v>
      </c>
      <c r="J407" s="19" t="s">
        <v>291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348</v>
      </c>
      <c r="E408" s="6" t="s">
        <v>349</v>
      </c>
      <c r="F408" s="86">
        <v>432</v>
      </c>
      <c r="G408" s="86">
        <v>1.53</v>
      </c>
      <c r="H408" s="86">
        <f t="shared" si="14"/>
        <v>660.96</v>
      </c>
      <c r="I408" s="6" t="s">
        <v>290</v>
      </c>
      <c r="J408" s="19" t="s">
        <v>291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348</v>
      </c>
      <c r="E409" s="6" t="s">
        <v>349</v>
      </c>
      <c r="F409" s="86">
        <v>450</v>
      </c>
      <c r="G409" s="86">
        <v>3.89</v>
      </c>
      <c r="H409" s="86">
        <f t="shared" si="14"/>
        <v>1750.5</v>
      </c>
      <c r="I409" s="6" t="s">
        <v>290</v>
      </c>
      <c r="J409" s="19" t="s">
        <v>291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348</v>
      </c>
      <c r="E410" s="6" t="s">
        <v>349</v>
      </c>
      <c r="F410" s="86">
        <v>450</v>
      </c>
      <c r="G410" s="86">
        <v>3.8</v>
      </c>
      <c r="H410" s="86">
        <f t="shared" si="14"/>
        <v>1710</v>
      </c>
      <c r="I410" s="6" t="s">
        <v>290</v>
      </c>
      <c r="J410" s="19" t="s">
        <v>291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348</v>
      </c>
      <c r="E411" s="6" t="s">
        <v>349</v>
      </c>
      <c r="F411" s="86">
        <v>448</v>
      </c>
      <c r="G411" s="86">
        <v>6.79</v>
      </c>
      <c r="H411" s="86">
        <f t="shared" si="14"/>
        <v>3041.92</v>
      </c>
      <c r="I411" s="6" t="s">
        <v>290</v>
      </c>
      <c r="J411" s="19" t="s">
        <v>291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348</v>
      </c>
      <c r="E412" s="6" t="s">
        <v>349</v>
      </c>
      <c r="F412" s="86">
        <v>444</v>
      </c>
      <c r="G412" s="86">
        <v>5.71</v>
      </c>
      <c r="H412" s="86">
        <f t="shared" si="14"/>
        <v>2535.24</v>
      </c>
      <c r="I412" s="6" t="s">
        <v>290</v>
      </c>
      <c r="J412" s="19" t="s">
        <v>291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348</v>
      </c>
      <c r="E413" s="6" t="s">
        <v>349</v>
      </c>
      <c r="F413" s="86">
        <v>468</v>
      </c>
      <c r="G413" s="86">
        <v>4.14</v>
      </c>
      <c r="H413" s="86">
        <f t="shared" si="14"/>
        <v>1937.52</v>
      </c>
      <c r="I413" s="6" t="s">
        <v>290</v>
      </c>
      <c r="J413" s="19" t="s">
        <v>291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348</v>
      </c>
      <c r="E414" s="6" t="s">
        <v>349</v>
      </c>
      <c r="F414" s="86">
        <v>450</v>
      </c>
      <c r="G414" s="86">
        <v>4.28</v>
      </c>
      <c r="H414" s="86">
        <f t="shared" si="14"/>
        <v>1926</v>
      </c>
      <c r="I414" s="6" t="s">
        <v>290</v>
      </c>
      <c r="J414" s="19" t="s">
        <v>291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348</v>
      </c>
      <c r="E415" s="6" t="s">
        <v>349</v>
      </c>
      <c r="F415" s="86">
        <v>462</v>
      </c>
      <c r="G415" s="86">
        <v>2.39</v>
      </c>
      <c r="H415" s="86">
        <f t="shared" si="14"/>
        <v>1104.18</v>
      </c>
      <c r="I415" s="6" t="s">
        <v>290</v>
      </c>
      <c r="J415" s="19" t="s">
        <v>291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348</v>
      </c>
      <c r="E416" s="6" t="s">
        <v>349</v>
      </c>
      <c r="F416" s="86">
        <v>456</v>
      </c>
      <c r="G416" s="86">
        <v>2.85</v>
      </c>
      <c r="H416" s="86">
        <f t="shared" si="14"/>
        <v>1299.6</v>
      </c>
      <c r="I416" s="6" t="s">
        <v>290</v>
      </c>
      <c r="J416" s="19" t="s">
        <v>291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348</v>
      </c>
      <c r="E417" s="6" t="s">
        <v>349</v>
      </c>
      <c r="F417" s="86">
        <v>459</v>
      </c>
      <c r="G417" s="86">
        <v>4.13</v>
      </c>
      <c r="H417" s="86">
        <f t="shared" si="14"/>
        <v>1895.67</v>
      </c>
      <c r="I417" s="6" t="s">
        <v>290</v>
      </c>
      <c r="J417" s="19" t="s">
        <v>291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348</v>
      </c>
      <c r="E418" s="6" t="s">
        <v>349</v>
      </c>
      <c r="F418" s="86">
        <v>459</v>
      </c>
      <c r="G418" s="86">
        <v>4.43</v>
      </c>
      <c r="H418" s="86">
        <f t="shared" si="14"/>
        <v>2033.37</v>
      </c>
      <c r="I418" s="6" t="s">
        <v>290</v>
      </c>
      <c r="J418" s="19" t="s">
        <v>291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348</v>
      </c>
      <c r="E419" s="6" t="s">
        <v>349</v>
      </c>
      <c r="F419" s="151">
        <v>490</v>
      </c>
      <c r="G419" s="151">
        <v>2.91</v>
      </c>
      <c r="H419" s="151">
        <f t="shared" si="14"/>
        <v>1425.9</v>
      </c>
      <c r="I419" s="17" t="s">
        <v>290</v>
      </c>
      <c r="J419" s="120" t="s">
        <v>291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348</v>
      </c>
      <c r="E420" s="6" t="s">
        <v>349</v>
      </c>
      <c r="F420" s="86">
        <v>442</v>
      </c>
      <c r="G420" s="86">
        <v>3.44</v>
      </c>
      <c r="H420" s="86">
        <f t="shared" si="14"/>
        <v>1520.48</v>
      </c>
      <c r="I420" s="6" t="s">
        <v>290</v>
      </c>
      <c r="J420" s="19" t="s">
        <v>291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348</v>
      </c>
      <c r="E421" s="6" t="s">
        <v>349</v>
      </c>
      <c r="F421" s="86">
        <v>438</v>
      </c>
      <c r="G421" s="86">
        <v>22.04</v>
      </c>
      <c r="H421" s="86">
        <f t="shared" si="14"/>
        <v>9653.52</v>
      </c>
      <c r="I421" s="6" t="s">
        <v>290</v>
      </c>
      <c r="J421" s="19" t="s">
        <v>291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348</v>
      </c>
      <c r="E422" s="6" t="s">
        <v>349</v>
      </c>
      <c r="F422" s="86">
        <v>450</v>
      </c>
      <c r="G422" s="86">
        <v>5.48</v>
      </c>
      <c r="H422" s="86">
        <f t="shared" si="14"/>
        <v>2466</v>
      </c>
      <c r="I422" s="6" t="s">
        <v>290</v>
      </c>
      <c r="J422" s="19" t="s">
        <v>291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348</v>
      </c>
      <c r="E423" s="6" t="s">
        <v>349</v>
      </c>
      <c r="F423" s="86">
        <v>220</v>
      </c>
      <c r="G423" s="86">
        <v>8.2</v>
      </c>
      <c r="H423" s="86">
        <f t="shared" si="14"/>
        <v>1804</v>
      </c>
      <c r="I423" s="6" t="s">
        <v>290</v>
      </c>
      <c r="J423" s="19" t="s">
        <v>291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348</v>
      </c>
      <c r="E424" s="6" t="s">
        <v>349</v>
      </c>
      <c r="F424" s="95">
        <v>438</v>
      </c>
      <c r="G424" s="86">
        <v>37.96</v>
      </c>
      <c r="H424" s="86">
        <f t="shared" si="14"/>
        <v>16626.48</v>
      </c>
      <c r="I424" s="6" t="s">
        <v>290</v>
      </c>
      <c r="J424" s="19" t="s">
        <v>291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348</v>
      </c>
      <c r="E425" s="6" t="s">
        <v>349</v>
      </c>
      <c r="F425" s="86">
        <v>221</v>
      </c>
      <c r="G425" s="86">
        <v>5.47</v>
      </c>
      <c r="H425" s="86">
        <f t="shared" si="14"/>
        <v>1208.87</v>
      </c>
      <c r="I425" s="6" t="s">
        <v>290</v>
      </c>
      <c r="J425" s="19" t="s">
        <v>291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350</v>
      </c>
      <c r="E426" s="6" t="s">
        <v>351</v>
      </c>
      <c r="F426" s="86">
        <v>180</v>
      </c>
      <c r="G426" s="86">
        <v>2.93</v>
      </c>
      <c r="H426" s="86">
        <f t="shared" si="14"/>
        <v>527.4</v>
      </c>
      <c r="I426" s="6" t="s">
        <v>290</v>
      </c>
      <c r="J426" s="19" t="s">
        <v>297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350</v>
      </c>
      <c r="E427" s="6" t="s">
        <v>351</v>
      </c>
      <c r="F427" s="86">
        <v>180</v>
      </c>
      <c r="G427" s="86">
        <v>3.47</v>
      </c>
      <c r="H427" s="86">
        <f t="shared" si="14"/>
        <v>624.6</v>
      </c>
      <c r="I427" s="6" t="s">
        <v>290</v>
      </c>
      <c r="J427" s="19" t="s">
        <v>297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350</v>
      </c>
      <c r="E428" s="6" t="s">
        <v>351</v>
      </c>
      <c r="F428" s="86">
        <v>216</v>
      </c>
      <c r="G428" s="86">
        <v>2.48</v>
      </c>
      <c r="H428" s="86">
        <f t="shared" si="14"/>
        <v>535.68</v>
      </c>
      <c r="I428" s="6" t="s">
        <v>290</v>
      </c>
      <c r="J428" s="19" t="s">
        <v>297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350</v>
      </c>
      <c r="E429" s="6" t="s">
        <v>351</v>
      </c>
      <c r="F429" s="86">
        <v>216</v>
      </c>
      <c r="G429" s="86">
        <v>2.62</v>
      </c>
      <c r="H429" s="86">
        <f t="shared" si="14"/>
        <v>565.92</v>
      </c>
      <c r="I429" s="6" t="s">
        <v>290</v>
      </c>
      <c r="J429" s="19" t="s">
        <v>297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350</v>
      </c>
      <c r="E430" s="6" t="s">
        <v>351</v>
      </c>
      <c r="F430" s="86">
        <v>180</v>
      </c>
      <c r="G430" s="86">
        <v>3.8</v>
      </c>
      <c r="H430" s="86">
        <f t="shared" si="14"/>
        <v>684</v>
      </c>
      <c r="I430" s="6" t="s">
        <v>290</v>
      </c>
      <c r="J430" s="19" t="s">
        <v>297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350</v>
      </c>
      <c r="E431" s="6" t="s">
        <v>351</v>
      </c>
      <c r="F431" s="86">
        <v>160</v>
      </c>
      <c r="G431" s="86">
        <v>3.26</v>
      </c>
      <c r="H431" s="86">
        <f t="shared" si="14"/>
        <v>521.6</v>
      </c>
      <c r="I431" s="6" t="s">
        <v>290</v>
      </c>
      <c r="J431" s="19" t="s">
        <v>297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350</v>
      </c>
      <c r="E432" s="6" t="s">
        <v>351</v>
      </c>
      <c r="F432" s="86">
        <v>192</v>
      </c>
      <c r="G432" s="86">
        <v>1.53</v>
      </c>
      <c r="H432" s="86">
        <f t="shared" si="14"/>
        <v>293.76</v>
      </c>
      <c r="I432" s="6" t="s">
        <v>290</v>
      </c>
      <c r="J432" s="19" t="s">
        <v>297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350</v>
      </c>
      <c r="E433" s="6" t="s">
        <v>351</v>
      </c>
      <c r="F433" s="86">
        <v>180</v>
      </c>
      <c r="G433" s="86">
        <v>3.89</v>
      </c>
      <c r="H433" s="86">
        <f t="shared" si="14"/>
        <v>700.2</v>
      </c>
      <c r="I433" s="6" t="s">
        <v>290</v>
      </c>
      <c r="J433" s="19" t="s">
        <v>297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350</v>
      </c>
      <c r="E434" s="6" t="s">
        <v>351</v>
      </c>
      <c r="F434" s="86">
        <v>180</v>
      </c>
      <c r="G434" s="86">
        <v>3.8</v>
      </c>
      <c r="H434" s="86">
        <f t="shared" si="14"/>
        <v>684</v>
      </c>
      <c r="I434" s="6" t="s">
        <v>290</v>
      </c>
      <c r="J434" s="19" t="s">
        <v>297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350</v>
      </c>
      <c r="E435" s="6" t="s">
        <v>351</v>
      </c>
      <c r="F435" s="86">
        <v>168</v>
      </c>
      <c r="G435" s="86">
        <v>6.79</v>
      </c>
      <c r="H435" s="86">
        <f t="shared" si="14"/>
        <v>1140.72</v>
      </c>
      <c r="I435" s="6" t="s">
        <v>290</v>
      </c>
      <c r="J435" s="19" t="s">
        <v>297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350</v>
      </c>
      <c r="E436" s="6" t="s">
        <v>351</v>
      </c>
      <c r="F436" s="86">
        <v>168</v>
      </c>
      <c r="G436" s="86">
        <v>5.71</v>
      </c>
      <c r="H436" s="86">
        <f t="shared" si="14"/>
        <v>959.28</v>
      </c>
      <c r="I436" s="6" t="s">
        <v>290</v>
      </c>
      <c r="J436" s="19" t="s">
        <v>297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350</v>
      </c>
      <c r="E437" s="6" t="s">
        <v>351</v>
      </c>
      <c r="F437" s="86">
        <v>180</v>
      </c>
      <c r="G437" s="86">
        <v>4.14</v>
      </c>
      <c r="H437" s="86">
        <f t="shared" si="14"/>
        <v>745.2</v>
      </c>
      <c r="I437" s="6" t="s">
        <v>290</v>
      </c>
      <c r="J437" s="19" t="s">
        <v>297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350</v>
      </c>
      <c r="E438" s="6" t="s">
        <v>351</v>
      </c>
      <c r="F438" s="86">
        <v>162</v>
      </c>
      <c r="G438" s="86">
        <v>4.28</v>
      </c>
      <c r="H438" s="86">
        <f t="shared" si="14"/>
        <v>693.36</v>
      </c>
      <c r="I438" s="6" t="s">
        <v>290</v>
      </c>
      <c r="J438" s="19" t="s">
        <v>297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350</v>
      </c>
      <c r="E439" s="6" t="s">
        <v>351</v>
      </c>
      <c r="F439" s="86">
        <v>168</v>
      </c>
      <c r="G439" s="86">
        <v>2.39</v>
      </c>
      <c r="H439" s="86">
        <f t="shared" si="14"/>
        <v>401.52</v>
      </c>
      <c r="I439" s="6" t="s">
        <v>290</v>
      </c>
      <c r="J439" s="19" t="s">
        <v>297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350</v>
      </c>
      <c r="E440" s="6" t="s">
        <v>351</v>
      </c>
      <c r="F440" s="86">
        <v>168</v>
      </c>
      <c r="G440" s="86">
        <v>2.85</v>
      </c>
      <c r="H440" s="86">
        <f t="shared" si="14"/>
        <v>478.8</v>
      </c>
      <c r="I440" s="6" t="s">
        <v>290</v>
      </c>
      <c r="J440" s="19" t="s">
        <v>297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350</v>
      </c>
      <c r="E441" s="6" t="s">
        <v>351</v>
      </c>
      <c r="F441" s="86">
        <v>162</v>
      </c>
      <c r="G441" s="86">
        <v>4.13</v>
      </c>
      <c r="H441" s="86">
        <f t="shared" si="14"/>
        <v>669.06</v>
      </c>
      <c r="I441" s="6" t="s">
        <v>290</v>
      </c>
      <c r="J441" s="19" t="s">
        <v>297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350</v>
      </c>
      <c r="E442" s="6" t="s">
        <v>351</v>
      </c>
      <c r="F442" s="86">
        <v>162</v>
      </c>
      <c r="G442" s="86">
        <v>4.43</v>
      </c>
      <c r="H442" s="86">
        <f t="shared" si="14"/>
        <v>717.66</v>
      </c>
      <c r="I442" s="6" t="s">
        <v>290</v>
      </c>
      <c r="J442" s="19" t="s">
        <v>297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350</v>
      </c>
      <c r="E443" s="6" t="s">
        <v>351</v>
      </c>
      <c r="F443" s="86">
        <v>210</v>
      </c>
      <c r="G443" s="86">
        <v>2.91</v>
      </c>
      <c r="H443" s="86">
        <f t="shared" si="14"/>
        <v>611.1</v>
      </c>
      <c r="I443" s="6" t="s">
        <v>290</v>
      </c>
      <c r="J443" s="19" t="s">
        <v>297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350</v>
      </c>
      <c r="E444" s="6" t="s">
        <v>351</v>
      </c>
      <c r="F444" s="86">
        <v>170</v>
      </c>
      <c r="G444" s="86">
        <v>3.44</v>
      </c>
      <c r="H444" s="86">
        <f t="shared" si="14"/>
        <v>584.8</v>
      </c>
      <c r="I444" s="6" t="s">
        <v>290</v>
      </c>
      <c r="J444" s="19" t="s">
        <v>297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350</v>
      </c>
      <c r="E445" s="6" t="s">
        <v>351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290</v>
      </c>
      <c r="J445" s="19" t="s">
        <v>297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350</v>
      </c>
      <c r="E446" s="6" t="s">
        <v>351</v>
      </c>
      <c r="F446" s="86">
        <v>162</v>
      </c>
      <c r="G446" s="86">
        <v>5.48</v>
      </c>
      <c r="H446" s="86">
        <f t="shared" si="16"/>
        <v>887.76</v>
      </c>
      <c r="I446" s="6" t="s">
        <v>290</v>
      </c>
      <c r="J446" s="19" t="s">
        <v>297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350</v>
      </c>
      <c r="E447" s="6" t="s">
        <v>351</v>
      </c>
      <c r="F447" s="86">
        <v>85</v>
      </c>
      <c r="G447" s="86">
        <v>8.2</v>
      </c>
      <c r="H447" s="86">
        <f t="shared" si="16"/>
        <v>697</v>
      </c>
      <c r="I447" s="6" t="s">
        <v>290</v>
      </c>
      <c r="J447" s="19" t="s">
        <v>297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350</v>
      </c>
      <c r="E448" s="6" t="s">
        <v>351</v>
      </c>
      <c r="F448" s="95">
        <v>162</v>
      </c>
      <c r="G448" s="86">
        <v>37.96</v>
      </c>
      <c r="H448" s="86">
        <f t="shared" si="16"/>
        <v>6149.52</v>
      </c>
      <c r="I448" s="6" t="s">
        <v>290</v>
      </c>
      <c r="J448" s="19" t="s">
        <v>297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350</v>
      </c>
      <c r="E449" s="6" t="s">
        <v>351</v>
      </c>
      <c r="F449" s="86">
        <v>91</v>
      </c>
      <c r="G449" s="86">
        <v>5.47</v>
      </c>
      <c r="H449" s="86">
        <f t="shared" si="16"/>
        <v>497.77</v>
      </c>
      <c r="I449" s="6" t="s">
        <v>290</v>
      </c>
      <c r="J449" s="19" t="s">
        <v>297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352</v>
      </c>
      <c r="E450" s="6" t="s">
        <v>353</v>
      </c>
      <c r="F450" s="86">
        <v>240</v>
      </c>
      <c r="G450" s="86">
        <v>1.7</v>
      </c>
      <c r="H450" s="86">
        <f t="shared" si="16"/>
        <v>408</v>
      </c>
      <c r="I450" s="6" t="s">
        <v>290</v>
      </c>
      <c r="J450" s="19" t="s">
        <v>291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352</v>
      </c>
      <c r="E451" s="6" t="s">
        <v>353</v>
      </c>
      <c r="F451" s="86">
        <v>88</v>
      </c>
      <c r="G451" s="86">
        <v>12.63</v>
      </c>
      <c r="H451" s="86">
        <f t="shared" si="16"/>
        <v>1111.44</v>
      </c>
      <c r="I451" s="6" t="s">
        <v>290</v>
      </c>
      <c r="J451" s="19" t="s">
        <v>291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352</v>
      </c>
      <c r="E452" s="6" t="s">
        <v>353</v>
      </c>
      <c r="F452" s="86">
        <v>63</v>
      </c>
      <c r="G452" s="86">
        <v>19.75</v>
      </c>
      <c r="H452" s="86">
        <f t="shared" si="16"/>
        <v>1244.25</v>
      </c>
      <c r="I452" s="6" t="s">
        <v>290</v>
      </c>
      <c r="J452" s="19" t="s">
        <v>291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352</v>
      </c>
      <c r="E453" s="6" t="s">
        <v>353</v>
      </c>
      <c r="F453" s="86">
        <v>180</v>
      </c>
      <c r="G453" s="86">
        <v>2.61</v>
      </c>
      <c r="H453" s="86">
        <f t="shared" si="16"/>
        <v>469.8</v>
      </c>
      <c r="I453" s="6" t="s">
        <v>290</v>
      </c>
      <c r="J453" s="19" t="s">
        <v>291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354</v>
      </c>
      <c r="F454" s="86">
        <v>64</v>
      </c>
      <c r="G454" s="86">
        <v>5.01</v>
      </c>
      <c r="H454" s="86">
        <f t="shared" si="16"/>
        <v>320.64</v>
      </c>
      <c r="I454" s="6" t="s">
        <v>281</v>
      </c>
      <c r="J454" s="19" t="s">
        <v>303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354</v>
      </c>
      <c r="F455" s="86">
        <v>50</v>
      </c>
      <c r="G455" s="86">
        <v>1.32</v>
      </c>
      <c r="H455" s="86">
        <f t="shared" si="16"/>
        <v>66</v>
      </c>
      <c r="I455" s="6" t="s">
        <v>281</v>
      </c>
      <c r="J455" s="19" t="s">
        <v>303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354</v>
      </c>
      <c r="F456" s="86">
        <v>84</v>
      </c>
      <c r="G456" s="86">
        <v>5.81</v>
      </c>
      <c r="H456" s="86">
        <f t="shared" si="16"/>
        <v>488.04</v>
      </c>
      <c r="I456" s="6" t="s">
        <v>281</v>
      </c>
      <c r="J456" s="19" t="s">
        <v>303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354</v>
      </c>
      <c r="F457" s="86">
        <v>90</v>
      </c>
      <c r="G457" s="86">
        <v>3.89</v>
      </c>
      <c r="H457" s="86">
        <f t="shared" si="16"/>
        <v>350.1</v>
      </c>
      <c r="I457" s="6" t="s">
        <v>281</v>
      </c>
      <c r="J457" s="19" t="s">
        <v>303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354</v>
      </c>
      <c r="F458" s="86">
        <v>128</v>
      </c>
      <c r="G458" s="86">
        <v>3.37</v>
      </c>
      <c r="H458" s="86">
        <f t="shared" si="16"/>
        <v>431.36</v>
      </c>
      <c r="I458" s="6" t="s">
        <v>281</v>
      </c>
      <c r="J458" s="19" t="s">
        <v>303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354</v>
      </c>
      <c r="F459" s="86">
        <v>1</v>
      </c>
      <c r="G459" s="86">
        <v>48.49</v>
      </c>
      <c r="H459" s="86">
        <f t="shared" si="16"/>
        <v>48.49</v>
      </c>
      <c r="I459" s="6" t="s">
        <v>281</v>
      </c>
      <c r="J459" s="19" t="s">
        <v>303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354</v>
      </c>
      <c r="F460" s="86">
        <v>84</v>
      </c>
      <c r="G460" s="86">
        <v>4.35</v>
      </c>
      <c r="H460" s="86">
        <f t="shared" si="16"/>
        <v>365.4</v>
      </c>
      <c r="I460" s="6" t="s">
        <v>281</v>
      </c>
      <c r="J460" s="19" t="s">
        <v>303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354</v>
      </c>
      <c r="F461" s="86">
        <v>64</v>
      </c>
      <c r="G461" s="86">
        <v>1.61</v>
      </c>
      <c r="H461" s="86">
        <f t="shared" si="16"/>
        <v>103.04</v>
      </c>
      <c r="I461" s="6" t="s">
        <v>281</v>
      </c>
      <c r="J461" s="19" t="s">
        <v>303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354</v>
      </c>
      <c r="F462" s="86">
        <v>192</v>
      </c>
      <c r="G462" s="86">
        <v>1.53</v>
      </c>
      <c r="H462" s="86">
        <f t="shared" si="16"/>
        <v>293.76</v>
      </c>
      <c r="I462" s="6" t="s">
        <v>281</v>
      </c>
      <c r="J462" s="19" t="s">
        <v>303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354</v>
      </c>
      <c r="F463" s="86">
        <v>216</v>
      </c>
      <c r="G463" s="86">
        <v>2.48</v>
      </c>
      <c r="H463" s="86">
        <f t="shared" si="16"/>
        <v>535.68</v>
      </c>
      <c r="I463" s="6" t="s">
        <v>281</v>
      </c>
      <c r="J463" s="19" t="s">
        <v>303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355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281</v>
      </c>
      <c r="J464" s="6" t="s">
        <v>306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355</v>
      </c>
      <c r="F465" s="86">
        <v>104</v>
      </c>
      <c r="G465" s="86">
        <v>13.22</v>
      </c>
      <c r="H465" s="86">
        <f t="shared" si="18"/>
        <v>1374.88</v>
      </c>
      <c r="I465" s="6" t="s">
        <v>281</v>
      </c>
      <c r="J465" s="6" t="s">
        <v>306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355</v>
      </c>
      <c r="F466" s="86">
        <v>40</v>
      </c>
      <c r="G466" s="86">
        <v>5.32</v>
      </c>
      <c r="H466" s="86">
        <f t="shared" si="18"/>
        <v>212.8</v>
      </c>
      <c r="I466" s="6" t="s">
        <v>281</v>
      </c>
      <c r="J466" s="6" t="s">
        <v>306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355</v>
      </c>
      <c r="F467" s="86">
        <v>66</v>
      </c>
      <c r="G467" s="86">
        <v>4.84</v>
      </c>
      <c r="H467" s="86">
        <f t="shared" si="18"/>
        <v>319.44</v>
      </c>
      <c r="I467" s="6" t="s">
        <v>281</v>
      </c>
      <c r="J467" s="6" t="s">
        <v>306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355</v>
      </c>
      <c r="F468" s="86">
        <v>132</v>
      </c>
      <c r="G468" s="86">
        <v>5.81</v>
      </c>
      <c r="H468" s="86">
        <f t="shared" si="18"/>
        <v>766.92</v>
      </c>
      <c r="I468" s="6" t="s">
        <v>281</v>
      </c>
      <c r="J468" s="6" t="s">
        <v>306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355</v>
      </c>
      <c r="F469" s="86">
        <v>150</v>
      </c>
      <c r="G469" s="86">
        <v>3.89</v>
      </c>
      <c r="H469" s="86">
        <f t="shared" si="18"/>
        <v>583.5</v>
      </c>
      <c r="I469" s="6" t="s">
        <v>281</v>
      </c>
      <c r="J469" s="6" t="s">
        <v>306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355</v>
      </c>
      <c r="F470" s="86">
        <v>224</v>
      </c>
      <c r="G470" s="86">
        <v>3.37</v>
      </c>
      <c r="H470" s="86">
        <f t="shared" si="18"/>
        <v>754.88</v>
      </c>
      <c r="I470" s="6" t="s">
        <v>281</v>
      </c>
      <c r="J470" s="6" t="s">
        <v>306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355</v>
      </c>
      <c r="F471" s="86">
        <v>11</v>
      </c>
      <c r="G471" s="86">
        <v>48.49</v>
      </c>
      <c r="H471" s="86">
        <f t="shared" si="18"/>
        <v>533.39</v>
      </c>
      <c r="I471" s="6" t="s">
        <v>281</v>
      </c>
      <c r="J471" s="6" t="s">
        <v>306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355</v>
      </c>
      <c r="F472" s="86">
        <v>42</v>
      </c>
      <c r="G472" s="86">
        <v>4.35</v>
      </c>
      <c r="H472" s="86">
        <f t="shared" si="18"/>
        <v>182.7</v>
      </c>
      <c r="I472" s="6" t="s">
        <v>281</v>
      </c>
      <c r="J472" s="6" t="s">
        <v>306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355</v>
      </c>
      <c r="F473" s="86">
        <v>240</v>
      </c>
      <c r="G473" s="86">
        <v>1.53</v>
      </c>
      <c r="H473" s="86">
        <f t="shared" si="18"/>
        <v>367.2</v>
      </c>
      <c r="I473" s="6" t="s">
        <v>281</v>
      </c>
      <c r="J473" s="6" t="s">
        <v>306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355</v>
      </c>
      <c r="F474" s="86">
        <v>144</v>
      </c>
      <c r="G474" s="86">
        <v>2.48</v>
      </c>
      <c r="H474" s="86">
        <f t="shared" si="18"/>
        <v>357.12</v>
      </c>
      <c r="I474" s="6" t="s">
        <v>281</v>
      </c>
      <c r="J474" s="6" t="s">
        <v>306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356</v>
      </c>
      <c r="F475" s="86">
        <v>176</v>
      </c>
      <c r="G475" s="86">
        <v>13.22</v>
      </c>
      <c r="H475" s="86">
        <f t="shared" si="18"/>
        <v>2326.72</v>
      </c>
      <c r="I475" s="6" t="s">
        <v>281</v>
      </c>
      <c r="J475" s="6" t="s">
        <v>300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356</v>
      </c>
      <c r="F476" s="86">
        <v>80</v>
      </c>
      <c r="G476" s="86">
        <v>5.32</v>
      </c>
      <c r="H476" s="86">
        <f t="shared" si="18"/>
        <v>425.6</v>
      </c>
      <c r="I476" s="6" t="s">
        <v>281</v>
      </c>
      <c r="J476" s="6" t="s">
        <v>300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356</v>
      </c>
      <c r="F477" s="86">
        <v>165</v>
      </c>
      <c r="G477" s="86">
        <v>4.84</v>
      </c>
      <c r="H477" s="86">
        <f t="shared" si="18"/>
        <v>798.6</v>
      </c>
      <c r="I477" s="6" t="s">
        <v>281</v>
      </c>
      <c r="J477" s="6" t="s">
        <v>300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356</v>
      </c>
      <c r="F478" s="86">
        <v>168</v>
      </c>
      <c r="G478" s="86">
        <v>5.81</v>
      </c>
      <c r="H478" s="86">
        <f t="shared" si="18"/>
        <v>976.08</v>
      </c>
      <c r="I478" s="6" t="s">
        <v>281</v>
      </c>
      <c r="J478" s="6" t="s">
        <v>300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356</v>
      </c>
      <c r="F479" s="86">
        <v>210</v>
      </c>
      <c r="G479" s="86">
        <v>3.89</v>
      </c>
      <c r="H479" s="86">
        <f t="shared" si="18"/>
        <v>816.9</v>
      </c>
      <c r="I479" s="6" t="s">
        <v>281</v>
      </c>
      <c r="J479" s="6" t="s">
        <v>300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356</v>
      </c>
      <c r="F480" s="86">
        <v>160</v>
      </c>
      <c r="G480" s="86">
        <v>3.37</v>
      </c>
      <c r="H480" s="86">
        <f t="shared" si="18"/>
        <v>539.2</v>
      </c>
      <c r="I480" s="6" t="s">
        <v>281</v>
      </c>
      <c r="J480" s="6" t="s">
        <v>300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356</v>
      </c>
      <c r="F481" s="86">
        <v>97</v>
      </c>
      <c r="G481" s="86">
        <v>48.49</v>
      </c>
      <c r="H481" s="86">
        <f t="shared" si="18"/>
        <v>4703.53</v>
      </c>
      <c r="I481" s="6" t="s">
        <v>281</v>
      </c>
      <c r="J481" s="6" t="s">
        <v>300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356</v>
      </c>
      <c r="F482" s="86">
        <v>294</v>
      </c>
      <c r="G482" s="86">
        <v>4.35</v>
      </c>
      <c r="H482" s="86">
        <f t="shared" si="18"/>
        <v>1278.9</v>
      </c>
      <c r="I482" s="6" t="s">
        <v>281</v>
      </c>
      <c r="J482" s="6" t="s">
        <v>300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356</v>
      </c>
      <c r="F483" s="86">
        <v>144</v>
      </c>
      <c r="G483" s="86">
        <v>1.53</v>
      </c>
      <c r="H483" s="86">
        <f t="shared" si="18"/>
        <v>220.32</v>
      </c>
      <c r="I483" s="6" t="s">
        <v>281</v>
      </c>
      <c r="J483" s="6" t="s">
        <v>300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356</v>
      </c>
      <c r="F484" s="86">
        <v>144</v>
      </c>
      <c r="G484" s="86">
        <v>2.48</v>
      </c>
      <c r="H484" s="86">
        <f t="shared" si="18"/>
        <v>357.12</v>
      </c>
      <c r="I484" s="6" t="s">
        <v>281</v>
      </c>
      <c r="J484" s="6" t="s">
        <v>300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356</v>
      </c>
      <c r="F485" s="86">
        <v>240</v>
      </c>
      <c r="G485" s="86">
        <v>2.35</v>
      </c>
      <c r="H485" s="86">
        <f t="shared" si="18"/>
        <v>564</v>
      </c>
      <c r="I485" s="6" t="s">
        <v>281</v>
      </c>
      <c r="J485" s="6" t="s">
        <v>300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356</v>
      </c>
      <c r="F486" s="86">
        <v>200</v>
      </c>
      <c r="G486" s="86">
        <v>1.32</v>
      </c>
      <c r="H486" s="86">
        <f t="shared" si="18"/>
        <v>264</v>
      </c>
      <c r="I486" s="6" t="s">
        <v>281</v>
      </c>
      <c r="J486" s="6" t="s">
        <v>300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357</v>
      </c>
      <c r="F487" s="86">
        <v>64</v>
      </c>
      <c r="G487" s="86">
        <v>5.01</v>
      </c>
      <c r="H487" s="86">
        <f t="shared" si="18"/>
        <v>320.64</v>
      </c>
      <c r="I487" s="6" t="s">
        <v>281</v>
      </c>
      <c r="J487" s="6" t="s">
        <v>301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357</v>
      </c>
      <c r="F488" s="86">
        <v>64</v>
      </c>
      <c r="G488" s="86">
        <v>13.22</v>
      </c>
      <c r="H488" s="86">
        <f t="shared" si="18"/>
        <v>846.08</v>
      </c>
      <c r="I488" s="6" t="s">
        <v>281</v>
      </c>
      <c r="J488" s="6" t="s">
        <v>301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357</v>
      </c>
      <c r="F489" s="86">
        <v>60</v>
      </c>
      <c r="G489" s="86">
        <v>5.32</v>
      </c>
      <c r="H489" s="86">
        <f t="shared" si="18"/>
        <v>319.2</v>
      </c>
      <c r="I489" s="6" t="s">
        <v>281</v>
      </c>
      <c r="J489" s="6" t="s">
        <v>301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357</v>
      </c>
      <c r="F490" s="86">
        <v>66</v>
      </c>
      <c r="G490" s="86">
        <v>4.84</v>
      </c>
      <c r="H490" s="86">
        <f t="shared" si="18"/>
        <v>319.44</v>
      </c>
      <c r="I490" s="6" t="s">
        <v>281</v>
      </c>
      <c r="J490" s="6" t="s">
        <v>301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357</v>
      </c>
      <c r="F491" s="86">
        <v>132</v>
      </c>
      <c r="G491" s="86">
        <v>5.81</v>
      </c>
      <c r="H491" s="86">
        <f t="shared" si="18"/>
        <v>766.92</v>
      </c>
      <c r="I491" s="6" t="s">
        <v>281</v>
      </c>
      <c r="J491" s="6" t="s">
        <v>301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357</v>
      </c>
      <c r="F492" s="86">
        <v>120</v>
      </c>
      <c r="G492" s="86">
        <v>3.89</v>
      </c>
      <c r="H492" s="86">
        <f t="shared" si="18"/>
        <v>466.8</v>
      </c>
      <c r="I492" s="6" t="s">
        <v>281</v>
      </c>
      <c r="J492" s="6" t="s">
        <v>301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357</v>
      </c>
      <c r="F493" s="86">
        <v>128</v>
      </c>
      <c r="G493" s="86">
        <v>3.37</v>
      </c>
      <c r="H493" s="86">
        <f t="shared" si="18"/>
        <v>431.36</v>
      </c>
      <c r="I493" s="6" t="s">
        <v>281</v>
      </c>
      <c r="J493" s="6" t="s">
        <v>301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357</v>
      </c>
      <c r="F494" s="86">
        <v>27</v>
      </c>
      <c r="G494" s="86">
        <v>48.49</v>
      </c>
      <c r="H494" s="86">
        <f t="shared" si="18"/>
        <v>1309.23</v>
      </c>
      <c r="I494" s="6" t="s">
        <v>281</v>
      </c>
      <c r="J494" s="6" t="s">
        <v>301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357</v>
      </c>
      <c r="F495" s="86">
        <v>42</v>
      </c>
      <c r="G495" s="86">
        <v>4.35</v>
      </c>
      <c r="H495" s="86">
        <f t="shared" si="18"/>
        <v>182.7</v>
      </c>
      <c r="I495" s="6" t="s">
        <v>281</v>
      </c>
      <c r="J495" s="6" t="s">
        <v>301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357</v>
      </c>
      <c r="F496" s="86">
        <v>96</v>
      </c>
      <c r="G496" s="86">
        <v>1.53</v>
      </c>
      <c r="H496" s="86">
        <f t="shared" si="18"/>
        <v>146.88</v>
      </c>
      <c r="I496" s="6" t="s">
        <v>281</v>
      </c>
      <c r="J496" s="6" t="s">
        <v>301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357</v>
      </c>
      <c r="F497" s="86">
        <v>144</v>
      </c>
      <c r="G497" s="86">
        <v>2.48</v>
      </c>
      <c r="H497" s="86">
        <f t="shared" si="18"/>
        <v>357.12</v>
      </c>
      <c r="I497" s="6" t="s">
        <v>281</v>
      </c>
      <c r="J497" s="6" t="s">
        <v>301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357</v>
      </c>
      <c r="F498" s="86">
        <v>96</v>
      </c>
      <c r="G498" s="86">
        <v>2.35</v>
      </c>
      <c r="H498" s="86">
        <f t="shared" si="18"/>
        <v>225.6</v>
      </c>
      <c r="I498" s="6" t="s">
        <v>281</v>
      </c>
      <c r="J498" s="6" t="s">
        <v>301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357</v>
      </c>
      <c r="F499" s="86">
        <v>50</v>
      </c>
      <c r="G499" s="86">
        <v>1.32</v>
      </c>
      <c r="H499" s="86">
        <f t="shared" si="18"/>
        <v>66</v>
      </c>
      <c r="I499" s="6" t="s">
        <v>281</v>
      </c>
      <c r="J499" s="6" t="s">
        <v>301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358</v>
      </c>
      <c r="F500" s="86">
        <v>32</v>
      </c>
      <c r="G500" s="86">
        <v>5.01</v>
      </c>
      <c r="H500" s="86">
        <f t="shared" si="18"/>
        <v>160.32</v>
      </c>
      <c r="I500" s="6" t="s">
        <v>281</v>
      </c>
      <c r="J500" s="6" t="s">
        <v>303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358</v>
      </c>
      <c r="F501" s="86">
        <v>56</v>
      </c>
      <c r="G501" s="86">
        <v>13.22</v>
      </c>
      <c r="H501" s="86">
        <f t="shared" si="18"/>
        <v>740.32</v>
      </c>
      <c r="I501" s="6" t="s">
        <v>281</v>
      </c>
      <c r="J501" s="6" t="s">
        <v>303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358</v>
      </c>
      <c r="F502" s="86">
        <v>40</v>
      </c>
      <c r="G502" s="86">
        <v>5.32</v>
      </c>
      <c r="H502" s="86">
        <f t="shared" si="18"/>
        <v>212.8</v>
      </c>
      <c r="I502" s="6" t="s">
        <v>281</v>
      </c>
      <c r="J502" s="6" t="s">
        <v>303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358</v>
      </c>
      <c r="F503" s="86">
        <v>84</v>
      </c>
      <c r="G503" s="86">
        <v>5.81</v>
      </c>
      <c r="H503" s="86">
        <f t="shared" si="18"/>
        <v>488.04</v>
      </c>
      <c r="I503" s="6" t="s">
        <v>281</v>
      </c>
      <c r="J503" s="6" t="s">
        <v>303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358</v>
      </c>
      <c r="F504" s="86">
        <v>60</v>
      </c>
      <c r="G504" s="86">
        <v>3.89</v>
      </c>
      <c r="H504" s="86">
        <f t="shared" si="18"/>
        <v>233.4</v>
      </c>
      <c r="I504" s="6" t="s">
        <v>281</v>
      </c>
      <c r="J504" s="6" t="s">
        <v>303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358</v>
      </c>
      <c r="F505" s="86">
        <v>32</v>
      </c>
      <c r="G505" s="86">
        <v>3.37</v>
      </c>
      <c r="H505" s="86">
        <f t="shared" si="18"/>
        <v>107.84</v>
      </c>
      <c r="I505" s="6" t="s">
        <v>281</v>
      </c>
      <c r="J505" s="6" t="s">
        <v>303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358</v>
      </c>
      <c r="F506" s="86">
        <v>84</v>
      </c>
      <c r="G506" s="86">
        <v>48.49</v>
      </c>
      <c r="H506" s="86">
        <f t="shared" si="18"/>
        <v>4073.16</v>
      </c>
      <c r="I506" s="6" t="s">
        <v>281</v>
      </c>
      <c r="J506" s="6" t="s">
        <v>303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358</v>
      </c>
      <c r="F507" s="86">
        <v>168</v>
      </c>
      <c r="G507" s="86">
        <v>4.35</v>
      </c>
      <c r="H507" s="86">
        <f t="shared" si="18"/>
        <v>730.8</v>
      </c>
      <c r="I507" s="6" t="s">
        <v>281</v>
      </c>
      <c r="J507" s="6" t="s">
        <v>303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358</v>
      </c>
      <c r="F508" s="86">
        <v>96</v>
      </c>
      <c r="G508" s="86">
        <v>1.53</v>
      </c>
      <c r="H508" s="86">
        <f t="shared" si="18"/>
        <v>146.88</v>
      </c>
      <c r="I508" s="6" t="s">
        <v>281</v>
      </c>
      <c r="J508" s="6" t="s">
        <v>303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358</v>
      </c>
      <c r="F509" s="86">
        <v>144</v>
      </c>
      <c r="G509" s="86">
        <v>2.48</v>
      </c>
      <c r="H509" s="86">
        <f t="shared" si="18"/>
        <v>357.12</v>
      </c>
      <c r="I509" s="6" t="s">
        <v>281</v>
      </c>
      <c r="J509" s="6" t="s">
        <v>303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358</v>
      </c>
      <c r="F510" s="86">
        <v>144</v>
      </c>
      <c r="G510" s="86">
        <v>2.35</v>
      </c>
      <c r="H510" s="86">
        <f t="shared" si="18"/>
        <v>338.4</v>
      </c>
      <c r="I510" s="6" t="s">
        <v>281</v>
      </c>
      <c r="J510" s="6" t="s">
        <v>303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358</v>
      </c>
      <c r="F511" s="86">
        <v>150</v>
      </c>
      <c r="G511" s="86">
        <v>1.32</v>
      </c>
      <c r="H511" s="86">
        <f t="shared" si="18"/>
        <v>198</v>
      </c>
      <c r="I511" s="6" t="s">
        <v>281</v>
      </c>
      <c r="J511" s="6" t="s">
        <v>303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359</v>
      </c>
      <c r="F512" s="86">
        <v>32</v>
      </c>
      <c r="G512" s="86">
        <v>5.01</v>
      </c>
      <c r="H512" s="86">
        <f t="shared" si="18"/>
        <v>160.32</v>
      </c>
      <c r="I512" s="6" t="s">
        <v>281</v>
      </c>
      <c r="J512" s="6" t="s">
        <v>311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359</v>
      </c>
      <c r="F513" s="86">
        <v>136</v>
      </c>
      <c r="G513" s="86">
        <v>13.22</v>
      </c>
      <c r="H513" s="86">
        <f t="shared" si="18"/>
        <v>1797.92</v>
      </c>
      <c r="I513" s="6" t="s">
        <v>281</v>
      </c>
      <c r="J513" s="6" t="s">
        <v>311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359</v>
      </c>
      <c r="F514" s="86">
        <v>60</v>
      </c>
      <c r="G514" s="86">
        <v>5.32</v>
      </c>
      <c r="H514" s="86">
        <f t="shared" si="18"/>
        <v>319.2</v>
      </c>
      <c r="I514" s="6" t="s">
        <v>281</v>
      </c>
      <c r="J514" s="6" t="s">
        <v>311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359</v>
      </c>
      <c r="F515" s="86">
        <v>66</v>
      </c>
      <c r="G515" s="86">
        <v>4.84</v>
      </c>
      <c r="H515" s="86">
        <f t="shared" si="18"/>
        <v>319.44</v>
      </c>
      <c r="I515" s="6" t="s">
        <v>281</v>
      </c>
      <c r="J515" s="6" t="s">
        <v>311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359</v>
      </c>
      <c r="F516" s="86">
        <v>180</v>
      </c>
      <c r="G516" s="86">
        <v>5.81</v>
      </c>
      <c r="H516" s="86">
        <f t="shared" si="18"/>
        <v>1045.8</v>
      </c>
      <c r="I516" s="6" t="s">
        <v>281</v>
      </c>
      <c r="J516" s="6" t="s">
        <v>311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359</v>
      </c>
      <c r="F517" s="86">
        <v>210</v>
      </c>
      <c r="G517" s="86">
        <v>3.89</v>
      </c>
      <c r="H517" s="86">
        <f t="shared" si="18"/>
        <v>816.9</v>
      </c>
      <c r="I517" s="6" t="s">
        <v>281</v>
      </c>
      <c r="J517" s="6" t="s">
        <v>311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359</v>
      </c>
      <c r="F518" s="86">
        <v>224</v>
      </c>
      <c r="G518" s="86">
        <v>3.37</v>
      </c>
      <c r="H518" s="86">
        <f t="shared" si="18"/>
        <v>754.88</v>
      </c>
      <c r="I518" s="6" t="s">
        <v>281</v>
      </c>
      <c r="J518" s="6" t="s">
        <v>311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359</v>
      </c>
      <c r="F519" s="86">
        <v>16</v>
      </c>
      <c r="G519" s="86">
        <v>48.49</v>
      </c>
      <c r="H519" s="86">
        <f t="shared" si="18"/>
        <v>775.84</v>
      </c>
      <c r="I519" s="6" t="s">
        <v>281</v>
      </c>
      <c r="J519" s="6" t="s">
        <v>311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359</v>
      </c>
      <c r="F520" s="86">
        <v>84</v>
      </c>
      <c r="G520" s="86">
        <v>4.35</v>
      </c>
      <c r="H520" s="86">
        <f t="shared" si="18"/>
        <v>365.4</v>
      </c>
      <c r="I520" s="6" t="s">
        <v>281</v>
      </c>
      <c r="J520" s="6" t="s">
        <v>311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359</v>
      </c>
      <c r="F521" s="86">
        <v>240</v>
      </c>
      <c r="G521" s="86">
        <v>1.53</v>
      </c>
      <c r="H521" s="86">
        <f t="shared" si="18"/>
        <v>367.2</v>
      </c>
      <c r="I521" s="6" t="s">
        <v>281</v>
      </c>
      <c r="J521" s="6" t="s">
        <v>311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359</v>
      </c>
      <c r="F522" s="86">
        <v>288</v>
      </c>
      <c r="G522" s="86">
        <v>2.48</v>
      </c>
      <c r="H522" s="86">
        <f t="shared" si="18"/>
        <v>714.24</v>
      </c>
      <c r="I522" s="6" t="s">
        <v>281</v>
      </c>
      <c r="J522" s="6" t="s">
        <v>311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359</v>
      </c>
      <c r="F523" s="86">
        <v>64</v>
      </c>
      <c r="G523" s="86">
        <v>1.61</v>
      </c>
      <c r="H523" s="86">
        <f t="shared" si="18"/>
        <v>103.04</v>
      </c>
      <c r="I523" s="6" t="s">
        <v>281</v>
      </c>
      <c r="J523" s="6" t="s">
        <v>311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360</v>
      </c>
      <c r="F524" s="86">
        <v>200</v>
      </c>
      <c r="G524" s="86">
        <v>13.22</v>
      </c>
      <c r="H524" s="86">
        <f t="shared" si="18"/>
        <v>2644</v>
      </c>
      <c r="I524" s="6" t="s">
        <v>281</v>
      </c>
      <c r="J524" s="6" t="s">
        <v>306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360</v>
      </c>
      <c r="F525" s="86">
        <v>144</v>
      </c>
      <c r="G525" s="86">
        <v>1.53</v>
      </c>
      <c r="H525" s="86">
        <f t="shared" si="18"/>
        <v>220.32</v>
      </c>
      <c r="I525" s="6" t="s">
        <v>281</v>
      </c>
      <c r="J525" s="6" t="s">
        <v>306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360</v>
      </c>
      <c r="F526" s="86">
        <v>216</v>
      </c>
      <c r="G526" s="86">
        <v>2.48</v>
      </c>
      <c r="H526" s="86">
        <f t="shared" si="18"/>
        <v>535.68</v>
      </c>
      <c r="I526" s="6" t="s">
        <v>281</v>
      </c>
      <c r="J526" s="6" t="s">
        <v>306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360</v>
      </c>
      <c r="F527" s="86">
        <v>64</v>
      </c>
      <c r="G527" s="86">
        <v>1.61</v>
      </c>
      <c r="H527" s="86">
        <f t="shared" si="18"/>
        <v>103.04</v>
      </c>
      <c r="I527" s="6" t="s">
        <v>281</v>
      </c>
      <c r="J527" s="6" t="s">
        <v>306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360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281</v>
      </c>
      <c r="J528" s="6" t="s">
        <v>306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360</v>
      </c>
      <c r="F529" s="86">
        <v>180</v>
      </c>
      <c r="G529" s="86">
        <v>5.32</v>
      </c>
      <c r="H529" s="86">
        <f t="shared" si="20"/>
        <v>957.6</v>
      </c>
      <c r="I529" s="6" t="s">
        <v>281</v>
      </c>
      <c r="J529" s="6" t="s">
        <v>306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360</v>
      </c>
      <c r="F530" s="86">
        <v>297</v>
      </c>
      <c r="G530" s="86">
        <v>4.84</v>
      </c>
      <c r="H530" s="86">
        <f t="shared" si="20"/>
        <v>1437.48</v>
      </c>
      <c r="I530" s="6" t="s">
        <v>281</v>
      </c>
      <c r="J530" s="6" t="s">
        <v>306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360</v>
      </c>
      <c r="F531" s="86">
        <v>32</v>
      </c>
      <c r="G531" s="86">
        <v>5.01</v>
      </c>
      <c r="H531" s="86">
        <f t="shared" si="20"/>
        <v>160.32</v>
      </c>
      <c r="I531" s="6" t="s">
        <v>281</v>
      </c>
      <c r="J531" s="6" t="s">
        <v>306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360</v>
      </c>
      <c r="F532" s="86">
        <v>294</v>
      </c>
      <c r="G532" s="86">
        <v>4.35</v>
      </c>
      <c r="H532" s="86">
        <f t="shared" si="20"/>
        <v>1278.9</v>
      </c>
      <c r="I532" s="6" t="s">
        <v>281</v>
      </c>
      <c r="J532" s="6" t="s">
        <v>306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360</v>
      </c>
      <c r="F533" s="86">
        <v>150</v>
      </c>
      <c r="G533" s="86">
        <v>3.89</v>
      </c>
      <c r="H533" s="86">
        <f t="shared" si="20"/>
        <v>583.5</v>
      </c>
      <c r="I533" s="6" t="s">
        <v>281</v>
      </c>
      <c r="J533" s="6" t="s">
        <v>306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360</v>
      </c>
      <c r="F534" s="86">
        <v>300</v>
      </c>
      <c r="G534" s="86">
        <v>1.32</v>
      </c>
      <c r="H534" s="86">
        <f t="shared" si="20"/>
        <v>396</v>
      </c>
      <c r="I534" s="6" t="s">
        <v>281</v>
      </c>
      <c r="J534" s="6" t="s">
        <v>306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360</v>
      </c>
      <c r="F535" s="86">
        <v>240</v>
      </c>
      <c r="G535" s="86">
        <v>2.35</v>
      </c>
      <c r="H535" s="86">
        <f t="shared" si="20"/>
        <v>564</v>
      </c>
      <c r="I535" s="6" t="s">
        <v>281</v>
      </c>
      <c r="J535" s="6" t="s">
        <v>306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360</v>
      </c>
      <c r="F536" s="86">
        <v>84</v>
      </c>
      <c r="G536" s="86">
        <v>5.81</v>
      </c>
      <c r="H536" s="86">
        <f t="shared" si="20"/>
        <v>488.04</v>
      </c>
      <c r="I536" s="6" t="s">
        <v>281</v>
      </c>
      <c r="J536" s="6" t="s">
        <v>306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360</v>
      </c>
      <c r="F537" s="86">
        <v>64</v>
      </c>
      <c r="G537" s="86">
        <v>3.37</v>
      </c>
      <c r="H537" s="86">
        <f t="shared" si="20"/>
        <v>215.68</v>
      </c>
      <c r="I537" s="6" t="s">
        <v>281</v>
      </c>
      <c r="J537" s="6" t="s">
        <v>306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361</v>
      </c>
      <c r="F538" s="86">
        <v>144</v>
      </c>
      <c r="G538" s="86">
        <v>13.22</v>
      </c>
      <c r="H538" s="86">
        <f t="shared" si="20"/>
        <v>1903.68</v>
      </c>
      <c r="I538" s="6" t="s">
        <v>281</v>
      </c>
      <c r="J538" s="6" t="s">
        <v>300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361</v>
      </c>
      <c r="F539" s="86">
        <v>96</v>
      </c>
      <c r="G539" s="86">
        <v>1.53</v>
      </c>
      <c r="H539" s="86">
        <f t="shared" si="20"/>
        <v>146.88</v>
      </c>
      <c r="I539" s="6" t="s">
        <v>281</v>
      </c>
      <c r="J539" s="6" t="s">
        <v>300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361</v>
      </c>
      <c r="F540" s="86">
        <v>64</v>
      </c>
      <c r="G540" s="86">
        <v>1.61</v>
      </c>
      <c r="H540" s="86">
        <f t="shared" si="20"/>
        <v>103.04</v>
      </c>
      <c r="I540" s="6" t="s">
        <v>281</v>
      </c>
      <c r="J540" s="6" t="s">
        <v>300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361</v>
      </c>
      <c r="F541" s="86">
        <v>131</v>
      </c>
      <c r="G541" s="86">
        <v>48.49</v>
      </c>
      <c r="H541" s="86">
        <f t="shared" si="20"/>
        <v>6352.19</v>
      </c>
      <c r="I541" s="6" t="s">
        <v>281</v>
      </c>
      <c r="J541" s="6" t="s">
        <v>300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361</v>
      </c>
      <c r="F542" s="86">
        <v>100</v>
      </c>
      <c r="G542" s="86">
        <v>5.32</v>
      </c>
      <c r="H542" s="86">
        <f t="shared" si="20"/>
        <v>532</v>
      </c>
      <c r="I542" s="6" t="s">
        <v>281</v>
      </c>
      <c r="J542" s="6" t="s">
        <v>300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361</v>
      </c>
      <c r="F543" s="86">
        <v>264</v>
      </c>
      <c r="G543" s="86">
        <v>4.84</v>
      </c>
      <c r="H543" s="86">
        <f t="shared" si="20"/>
        <v>1277.76</v>
      </c>
      <c r="I543" s="6" t="s">
        <v>281</v>
      </c>
      <c r="J543" s="6" t="s">
        <v>300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361</v>
      </c>
      <c r="F544" s="86">
        <v>96</v>
      </c>
      <c r="G544" s="86">
        <v>5.01</v>
      </c>
      <c r="H544" s="86">
        <f t="shared" si="20"/>
        <v>480.96</v>
      </c>
      <c r="I544" s="6" t="s">
        <v>281</v>
      </c>
      <c r="J544" s="6" t="s">
        <v>300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361</v>
      </c>
      <c r="F545" s="86">
        <v>252</v>
      </c>
      <c r="G545" s="86">
        <v>4.35</v>
      </c>
      <c r="H545" s="86">
        <f t="shared" si="20"/>
        <v>1096.2</v>
      </c>
      <c r="I545" s="6" t="s">
        <v>281</v>
      </c>
      <c r="J545" s="6" t="s">
        <v>300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361</v>
      </c>
      <c r="F546" s="86">
        <v>200</v>
      </c>
      <c r="G546" s="86">
        <v>1.32</v>
      </c>
      <c r="H546" s="86">
        <f t="shared" si="20"/>
        <v>264</v>
      </c>
      <c r="I546" s="6" t="s">
        <v>281</v>
      </c>
      <c r="J546" s="6" t="s">
        <v>300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361</v>
      </c>
      <c r="F547" s="86">
        <v>144</v>
      </c>
      <c r="G547" s="86">
        <v>2.35</v>
      </c>
      <c r="H547" s="86">
        <f t="shared" si="20"/>
        <v>338.4</v>
      </c>
      <c r="I547" s="6" t="s">
        <v>281</v>
      </c>
      <c r="J547" s="6" t="s">
        <v>300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362</v>
      </c>
      <c r="F548" s="95">
        <v>136</v>
      </c>
      <c r="G548" s="86">
        <v>13.22</v>
      </c>
      <c r="H548" s="86">
        <f t="shared" si="20"/>
        <v>1797.92</v>
      </c>
      <c r="I548" s="6" t="s">
        <v>281</v>
      </c>
      <c r="J548" s="6" t="s">
        <v>307</v>
      </c>
      <c r="K548" s="135">
        <v>46255</v>
      </c>
      <c r="L548" s="136">
        <v>46248</v>
      </c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362</v>
      </c>
      <c r="F549" s="95">
        <v>192</v>
      </c>
      <c r="G549" s="86">
        <v>1.53</v>
      </c>
      <c r="H549" s="86">
        <f t="shared" si="20"/>
        <v>293.76</v>
      </c>
      <c r="I549" s="6" t="s">
        <v>281</v>
      </c>
      <c r="J549" s="6" t="s">
        <v>307</v>
      </c>
      <c r="K549" s="135">
        <v>46255</v>
      </c>
      <c r="L549" s="136">
        <v>46248</v>
      </c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362</v>
      </c>
      <c r="F550" s="95">
        <v>144</v>
      </c>
      <c r="G550" s="86">
        <v>2.48</v>
      </c>
      <c r="H550" s="86">
        <f t="shared" si="20"/>
        <v>357.12</v>
      </c>
      <c r="I550" s="6" t="s">
        <v>281</v>
      </c>
      <c r="J550" s="6" t="s">
        <v>307</v>
      </c>
      <c r="K550" s="135">
        <v>46255</v>
      </c>
      <c r="L550" s="136">
        <v>46248</v>
      </c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362</v>
      </c>
      <c r="F551" s="95">
        <v>64</v>
      </c>
      <c r="G551" s="86">
        <v>1.61</v>
      </c>
      <c r="H551" s="86">
        <f t="shared" si="20"/>
        <v>103.04</v>
      </c>
      <c r="I551" s="6" t="s">
        <v>281</v>
      </c>
      <c r="J551" s="6" t="s">
        <v>307</v>
      </c>
      <c r="K551" s="135">
        <v>46255</v>
      </c>
      <c r="L551" s="136">
        <v>46248</v>
      </c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362</v>
      </c>
      <c r="F552" s="95">
        <v>154</v>
      </c>
      <c r="G552" s="86">
        <v>48.49</v>
      </c>
      <c r="H552" s="86">
        <f t="shared" si="20"/>
        <v>7467.46</v>
      </c>
      <c r="I552" s="6" t="s">
        <v>281</v>
      </c>
      <c r="J552" s="6" t="s">
        <v>307</v>
      </c>
      <c r="K552" s="135">
        <v>46255</v>
      </c>
      <c r="L552" s="136">
        <v>46248</v>
      </c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362</v>
      </c>
      <c r="F553" s="95">
        <v>40</v>
      </c>
      <c r="G553" s="86">
        <v>5.32</v>
      </c>
      <c r="H553" s="86">
        <f t="shared" si="20"/>
        <v>212.8</v>
      </c>
      <c r="I553" s="6" t="s">
        <v>281</v>
      </c>
      <c r="J553" s="6" t="s">
        <v>307</v>
      </c>
      <c r="K553" s="135">
        <v>46255</v>
      </c>
      <c r="L553" s="136">
        <v>46248</v>
      </c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362</v>
      </c>
      <c r="F554" s="95">
        <v>132</v>
      </c>
      <c r="G554" s="86">
        <v>4.84</v>
      </c>
      <c r="H554" s="86">
        <f t="shared" si="20"/>
        <v>638.88</v>
      </c>
      <c r="I554" s="6" t="s">
        <v>281</v>
      </c>
      <c r="J554" s="6" t="s">
        <v>307</v>
      </c>
      <c r="K554" s="135">
        <v>46255</v>
      </c>
      <c r="L554" s="136">
        <v>46248</v>
      </c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362</v>
      </c>
      <c r="F555" s="95">
        <v>252</v>
      </c>
      <c r="G555" s="86">
        <v>4.35</v>
      </c>
      <c r="H555" s="86">
        <f t="shared" si="20"/>
        <v>1096.2</v>
      </c>
      <c r="I555" s="6" t="s">
        <v>281</v>
      </c>
      <c r="J555" s="6" t="s">
        <v>307</v>
      </c>
      <c r="K555" s="135">
        <v>46255</v>
      </c>
      <c r="L555" s="136">
        <v>46248</v>
      </c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362</v>
      </c>
      <c r="F556" s="95">
        <v>120</v>
      </c>
      <c r="G556" s="86">
        <v>3.89</v>
      </c>
      <c r="H556" s="86">
        <f t="shared" si="20"/>
        <v>466.8</v>
      </c>
      <c r="I556" s="6" t="s">
        <v>281</v>
      </c>
      <c r="J556" s="6" t="s">
        <v>307</v>
      </c>
      <c r="K556" s="135">
        <v>46255</v>
      </c>
      <c r="L556" s="136">
        <v>46248</v>
      </c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362</v>
      </c>
      <c r="F557" s="95">
        <v>150</v>
      </c>
      <c r="G557" s="86">
        <v>1.32</v>
      </c>
      <c r="H557" s="86">
        <f t="shared" si="20"/>
        <v>198</v>
      </c>
      <c r="I557" s="6" t="s">
        <v>281</v>
      </c>
      <c r="J557" s="6" t="s">
        <v>307</v>
      </c>
      <c r="K557" s="135">
        <v>46255</v>
      </c>
      <c r="L557" s="136">
        <v>46248</v>
      </c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362</v>
      </c>
      <c r="F558" s="95">
        <v>96</v>
      </c>
      <c r="G558" s="86">
        <v>2.35</v>
      </c>
      <c r="H558" s="86">
        <f t="shared" si="20"/>
        <v>225.6</v>
      </c>
      <c r="I558" s="6" t="s">
        <v>281</v>
      </c>
      <c r="J558" s="6" t="s">
        <v>307</v>
      </c>
      <c r="K558" s="135">
        <v>46255</v>
      </c>
      <c r="L558" s="136">
        <v>46248</v>
      </c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362</v>
      </c>
      <c r="F559" s="95">
        <v>132</v>
      </c>
      <c r="G559" s="86">
        <v>5.81</v>
      </c>
      <c r="H559" s="86">
        <f t="shared" si="20"/>
        <v>766.92</v>
      </c>
      <c r="I559" s="6" t="s">
        <v>281</v>
      </c>
      <c r="J559" s="6" t="s">
        <v>307</v>
      </c>
      <c r="K559" s="135">
        <v>46255</v>
      </c>
      <c r="L559" s="136">
        <v>46248</v>
      </c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362</v>
      </c>
      <c r="F560" s="95">
        <v>160</v>
      </c>
      <c r="G560" s="86">
        <v>3.37</v>
      </c>
      <c r="H560" s="86">
        <f t="shared" si="20"/>
        <v>539.2</v>
      </c>
      <c r="I560" s="6" t="s">
        <v>281</v>
      </c>
      <c r="J560" s="6" t="s">
        <v>307</v>
      </c>
      <c r="K560" s="135">
        <v>46255</v>
      </c>
      <c r="L560" s="136">
        <v>46248</v>
      </c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363</v>
      </c>
      <c r="F561" s="86">
        <v>184</v>
      </c>
      <c r="G561" s="86">
        <v>13.22</v>
      </c>
      <c r="H561" s="86">
        <f t="shared" si="20"/>
        <v>2432.48</v>
      </c>
      <c r="I561" s="6" t="s">
        <v>281</v>
      </c>
      <c r="J561" s="6" t="s">
        <v>301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363</v>
      </c>
      <c r="F562" s="86">
        <v>192</v>
      </c>
      <c r="G562" s="86">
        <v>1.53</v>
      </c>
      <c r="H562" s="86">
        <f t="shared" si="20"/>
        <v>293.76</v>
      </c>
      <c r="I562" s="6" t="s">
        <v>281</v>
      </c>
      <c r="J562" s="6" t="s">
        <v>301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363</v>
      </c>
      <c r="F563" s="86">
        <v>144</v>
      </c>
      <c r="G563" s="86">
        <v>2.48</v>
      </c>
      <c r="H563" s="86">
        <f t="shared" si="20"/>
        <v>357.12</v>
      </c>
      <c r="I563" s="6" t="s">
        <v>281</v>
      </c>
      <c r="J563" s="6" t="s">
        <v>301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363</v>
      </c>
      <c r="F564" s="86">
        <v>128</v>
      </c>
      <c r="G564" s="86">
        <v>1.61</v>
      </c>
      <c r="H564" s="86">
        <f t="shared" si="20"/>
        <v>206.08</v>
      </c>
      <c r="I564" s="6" t="s">
        <v>281</v>
      </c>
      <c r="J564" s="6" t="s">
        <v>301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363</v>
      </c>
      <c r="F565" s="86">
        <v>99</v>
      </c>
      <c r="G565" s="86">
        <v>48.49</v>
      </c>
      <c r="H565" s="86">
        <f t="shared" si="20"/>
        <v>4800.51</v>
      </c>
      <c r="I565" s="6" t="s">
        <v>281</v>
      </c>
      <c r="J565" s="6" t="s">
        <v>301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363</v>
      </c>
      <c r="F566" s="86">
        <v>100</v>
      </c>
      <c r="G566" s="86">
        <v>5.32</v>
      </c>
      <c r="H566" s="86">
        <f t="shared" si="20"/>
        <v>532</v>
      </c>
      <c r="I566" s="6" t="s">
        <v>281</v>
      </c>
      <c r="J566" s="6" t="s">
        <v>301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363</v>
      </c>
      <c r="F567" s="86">
        <v>231</v>
      </c>
      <c r="G567" s="86">
        <v>4.84</v>
      </c>
      <c r="H567" s="86">
        <f t="shared" si="20"/>
        <v>1118.04</v>
      </c>
      <c r="I567" s="6" t="s">
        <v>281</v>
      </c>
      <c r="J567" s="6" t="s">
        <v>301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363</v>
      </c>
      <c r="F568" s="86">
        <v>252</v>
      </c>
      <c r="G568" s="86">
        <v>4.35</v>
      </c>
      <c r="H568" s="86">
        <f t="shared" si="20"/>
        <v>1096.2</v>
      </c>
      <c r="I568" s="6" t="s">
        <v>281</v>
      </c>
      <c r="J568" s="6" t="s">
        <v>301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363</v>
      </c>
      <c r="F569" s="86">
        <v>60</v>
      </c>
      <c r="G569" s="86">
        <v>3.89</v>
      </c>
      <c r="H569" s="86">
        <f t="shared" si="20"/>
        <v>233.4</v>
      </c>
      <c r="I569" s="6" t="s">
        <v>281</v>
      </c>
      <c r="J569" s="6" t="s">
        <v>301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363</v>
      </c>
      <c r="F570" s="86">
        <v>250</v>
      </c>
      <c r="G570" s="86">
        <v>1.32</v>
      </c>
      <c r="H570" s="86">
        <f t="shared" si="20"/>
        <v>330</v>
      </c>
      <c r="I570" s="6" t="s">
        <v>281</v>
      </c>
      <c r="J570" s="6" t="s">
        <v>301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363</v>
      </c>
      <c r="F571" s="86">
        <v>144</v>
      </c>
      <c r="G571" s="86">
        <v>2.35</v>
      </c>
      <c r="H571" s="86">
        <f t="shared" si="20"/>
        <v>338.4</v>
      </c>
      <c r="I571" s="6" t="s">
        <v>281</v>
      </c>
      <c r="J571" s="6" t="s">
        <v>301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363</v>
      </c>
      <c r="F572" s="86">
        <v>48</v>
      </c>
      <c r="G572" s="86">
        <v>5.81</v>
      </c>
      <c r="H572" s="86">
        <f t="shared" si="20"/>
        <v>278.88</v>
      </c>
      <c r="I572" s="6" t="s">
        <v>281</v>
      </c>
      <c r="J572" s="6" t="s">
        <v>301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363</v>
      </c>
      <c r="F573" s="86">
        <v>32</v>
      </c>
      <c r="G573" s="86">
        <v>3.37</v>
      </c>
      <c r="H573" s="86">
        <f t="shared" si="20"/>
        <v>107.84</v>
      </c>
      <c r="I573" s="6" t="s">
        <v>281</v>
      </c>
      <c r="J573" s="6" t="s">
        <v>301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364</v>
      </c>
      <c r="F574" s="86">
        <v>208</v>
      </c>
      <c r="G574" s="86">
        <v>13.22</v>
      </c>
      <c r="H574" s="86">
        <f t="shared" si="20"/>
        <v>2749.76</v>
      </c>
      <c r="I574" s="6" t="s">
        <v>281</v>
      </c>
      <c r="J574" s="6" t="s">
        <v>303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364</v>
      </c>
      <c r="F575" s="86">
        <v>144</v>
      </c>
      <c r="G575" s="86">
        <v>1.53</v>
      </c>
      <c r="H575" s="86">
        <f t="shared" si="20"/>
        <v>220.32</v>
      </c>
      <c r="I575" s="6" t="s">
        <v>281</v>
      </c>
      <c r="J575" s="6" t="s">
        <v>303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364</v>
      </c>
      <c r="F576" s="86">
        <v>144</v>
      </c>
      <c r="G576" s="86">
        <v>2.48</v>
      </c>
      <c r="H576" s="86">
        <f t="shared" si="20"/>
        <v>357.12</v>
      </c>
      <c r="I576" s="6" t="s">
        <v>281</v>
      </c>
      <c r="J576" s="6" t="s">
        <v>303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364</v>
      </c>
      <c r="F577" s="86">
        <v>64</v>
      </c>
      <c r="G577" s="86">
        <v>1.61</v>
      </c>
      <c r="H577" s="86">
        <f t="shared" si="20"/>
        <v>103.04</v>
      </c>
      <c r="I577" s="6" t="s">
        <v>281</v>
      </c>
      <c r="J577" s="6" t="s">
        <v>303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364</v>
      </c>
      <c r="F578" s="86">
        <v>125</v>
      </c>
      <c r="G578" s="86">
        <v>48.49</v>
      </c>
      <c r="H578" s="86">
        <f t="shared" si="20"/>
        <v>6061.25</v>
      </c>
      <c r="I578" s="6" t="s">
        <v>281</v>
      </c>
      <c r="J578" s="6" t="s">
        <v>303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364</v>
      </c>
      <c r="F579" s="86">
        <v>60</v>
      </c>
      <c r="G579" s="86">
        <v>5.32</v>
      </c>
      <c r="H579" s="86">
        <f t="shared" si="20"/>
        <v>319.2</v>
      </c>
      <c r="I579" s="6" t="s">
        <v>281</v>
      </c>
      <c r="J579" s="6" t="s">
        <v>303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364</v>
      </c>
      <c r="F580" s="86">
        <v>231</v>
      </c>
      <c r="G580" s="86">
        <v>4.84</v>
      </c>
      <c r="H580" s="86">
        <f t="shared" si="20"/>
        <v>1118.04</v>
      </c>
      <c r="I580" s="6" t="s">
        <v>281</v>
      </c>
      <c r="J580" s="6" t="s">
        <v>303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364</v>
      </c>
      <c r="F581" s="86">
        <v>210</v>
      </c>
      <c r="G581" s="86">
        <v>4.35</v>
      </c>
      <c r="H581" s="86">
        <f t="shared" si="20"/>
        <v>913.5</v>
      </c>
      <c r="I581" s="6" t="s">
        <v>281</v>
      </c>
      <c r="J581" s="6" t="s">
        <v>303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364</v>
      </c>
      <c r="F582" s="86">
        <v>200</v>
      </c>
      <c r="G582" s="86">
        <v>1.32</v>
      </c>
      <c r="H582" s="86">
        <f t="shared" si="20"/>
        <v>264</v>
      </c>
      <c r="I582" s="6" t="s">
        <v>281</v>
      </c>
      <c r="J582" s="6" t="s">
        <v>303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364</v>
      </c>
      <c r="F583" s="86">
        <v>144</v>
      </c>
      <c r="G583" s="86">
        <v>2.35</v>
      </c>
      <c r="H583" s="86">
        <f t="shared" si="20"/>
        <v>338.4</v>
      </c>
      <c r="I583" s="6" t="s">
        <v>281</v>
      </c>
      <c r="J583" s="6" t="s">
        <v>303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364</v>
      </c>
      <c r="F584" s="86">
        <v>32</v>
      </c>
      <c r="G584" s="86">
        <v>3.37</v>
      </c>
      <c r="H584" s="86">
        <f t="shared" si="20"/>
        <v>107.84</v>
      </c>
      <c r="I584" s="6" t="s">
        <v>281</v>
      </c>
      <c r="J584" s="6" t="s">
        <v>303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365</v>
      </c>
      <c r="F585" s="86">
        <v>200</v>
      </c>
      <c r="G585" s="86">
        <v>13.22</v>
      </c>
      <c r="H585" s="86">
        <f t="shared" si="20"/>
        <v>2644</v>
      </c>
      <c r="I585" s="6" t="s">
        <v>281</v>
      </c>
      <c r="J585" s="6" t="s">
        <v>311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365</v>
      </c>
      <c r="F586" s="86">
        <v>128</v>
      </c>
      <c r="G586" s="86">
        <v>1.61</v>
      </c>
      <c r="H586" s="86">
        <f t="shared" si="20"/>
        <v>206.08</v>
      </c>
      <c r="I586" s="6" t="s">
        <v>281</v>
      </c>
      <c r="J586" s="6" t="s">
        <v>311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365</v>
      </c>
      <c r="F587" s="86">
        <v>226</v>
      </c>
      <c r="G587" s="86">
        <v>48.49</v>
      </c>
      <c r="H587" s="86">
        <f t="shared" si="20"/>
        <v>10958.74</v>
      </c>
      <c r="I587" s="6" t="s">
        <v>281</v>
      </c>
      <c r="J587" s="6" t="s">
        <v>311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365</v>
      </c>
      <c r="F588" s="86">
        <v>180</v>
      </c>
      <c r="G588" s="86">
        <v>5.32</v>
      </c>
      <c r="H588" s="86">
        <f t="shared" si="20"/>
        <v>957.6</v>
      </c>
      <c r="I588" s="6" t="s">
        <v>281</v>
      </c>
      <c r="J588" s="6" t="s">
        <v>311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365</v>
      </c>
      <c r="F589" s="86">
        <v>429</v>
      </c>
      <c r="G589" s="86">
        <v>4.84</v>
      </c>
      <c r="H589" s="86">
        <f t="shared" si="20"/>
        <v>2076.36</v>
      </c>
      <c r="I589" s="6" t="s">
        <v>281</v>
      </c>
      <c r="J589" s="6" t="s">
        <v>311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365</v>
      </c>
      <c r="F590" s="86">
        <v>96</v>
      </c>
      <c r="G590" s="86">
        <v>5.01</v>
      </c>
      <c r="H590" s="86">
        <f t="shared" si="20"/>
        <v>480.96</v>
      </c>
      <c r="I590" s="6" t="s">
        <v>281</v>
      </c>
      <c r="J590" s="6" t="s">
        <v>311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365</v>
      </c>
      <c r="F591" s="86">
        <v>336</v>
      </c>
      <c r="G591" s="86">
        <v>4.35</v>
      </c>
      <c r="H591" s="86">
        <f t="shared" si="20"/>
        <v>1461.6</v>
      </c>
      <c r="I591" s="6" t="s">
        <v>281</v>
      </c>
      <c r="J591" s="6" t="s">
        <v>311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365</v>
      </c>
      <c r="F592" s="86">
        <v>150</v>
      </c>
      <c r="G592" s="86">
        <v>3.89</v>
      </c>
      <c r="H592" s="86">
        <f>F592*G592</f>
        <v>583.5</v>
      </c>
      <c r="I592" s="6" t="s">
        <v>281</v>
      </c>
      <c r="J592" s="6" t="s">
        <v>311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365</v>
      </c>
      <c r="F593" s="86">
        <v>400</v>
      </c>
      <c r="G593" s="86">
        <v>1.32</v>
      </c>
      <c r="H593" s="86">
        <f>F593*G593</f>
        <v>528</v>
      </c>
      <c r="I593" s="6" t="s">
        <v>281</v>
      </c>
      <c r="J593" s="6" t="s">
        <v>311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365</v>
      </c>
      <c r="F594" s="86">
        <v>336</v>
      </c>
      <c r="G594" s="86">
        <v>2.35</v>
      </c>
      <c r="H594" s="86">
        <f>F594*G594</f>
        <v>789.6</v>
      </c>
      <c r="I594" s="6" t="s">
        <v>281</v>
      </c>
      <c r="J594" s="6" t="s">
        <v>311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365</v>
      </c>
      <c r="F595" s="86">
        <v>120</v>
      </c>
      <c r="G595" s="86">
        <v>5.81</v>
      </c>
      <c r="H595" s="86">
        <f>F595*G595</f>
        <v>697.2</v>
      </c>
      <c r="I595" s="6" t="s">
        <v>281</v>
      </c>
      <c r="J595" s="6" t="s">
        <v>311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365</v>
      </c>
      <c r="F596" s="86">
        <v>192</v>
      </c>
      <c r="G596" s="86">
        <v>3.37</v>
      </c>
      <c r="H596" s="86">
        <f>F596*G596</f>
        <v>647.04</v>
      </c>
      <c r="I596" s="6" t="s">
        <v>281</v>
      </c>
      <c r="J596" s="6" t="s">
        <v>311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366</v>
      </c>
      <c r="F597" s="86">
        <v>144</v>
      </c>
      <c r="G597" s="86">
        <v>1.53</v>
      </c>
      <c r="H597" s="86">
        <v>220.32</v>
      </c>
      <c r="I597" s="6" t="s">
        <v>281</v>
      </c>
      <c r="J597" s="6" t="s">
        <v>306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366</v>
      </c>
      <c r="F598" s="86">
        <v>144</v>
      </c>
      <c r="G598" s="86">
        <v>2.48</v>
      </c>
      <c r="H598" s="86">
        <v>357.12</v>
      </c>
      <c r="I598" s="6" t="s">
        <v>281</v>
      </c>
      <c r="J598" s="6" t="s">
        <v>306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366</v>
      </c>
      <c r="F599" s="86">
        <v>256</v>
      </c>
      <c r="G599" s="86">
        <v>1.61</v>
      </c>
      <c r="H599" s="86">
        <v>412.16</v>
      </c>
      <c r="I599" s="6" t="s">
        <v>281</v>
      </c>
      <c r="J599" s="6" t="s">
        <v>306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366</v>
      </c>
      <c r="F600" s="86">
        <v>196</v>
      </c>
      <c r="G600" s="86">
        <v>48.49</v>
      </c>
      <c r="H600" s="86">
        <v>9504.04</v>
      </c>
      <c r="I600" s="6" t="s">
        <v>281</v>
      </c>
      <c r="J600" s="6" t="s">
        <v>306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366</v>
      </c>
      <c r="F601" s="86">
        <v>140</v>
      </c>
      <c r="G601" s="86">
        <v>5.32</v>
      </c>
      <c r="H601" s="86">
        <v>744.8</v>
      </c>
      <c r="I601" s="6" t="s">
        <v>281</v>
      </c>
      <c r="J601" s="6" t="s">
        <v>306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366</v>
      </c>
      <c r="F602" s="86">
        <v>64</v>
      </c>
      <c r="G602" s="86">
        <v>5.01</v>
      </c>
      <c r="H602" s="86">
        <v>320.64</v>
      </c>
      <c r="I602" s="6" t="s">
        <v>281</v>
      </c>
      <c r="J602" s="6" t="s">
        <v>306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366</v>
      </c>
      <c r="F603" s="86">
        <v>168</v>
      </c>
      <c r="G603" s="86">
        <v>4.35</v>
      </c>
      <c r="H603" s="86">
        <v>730.8</v>
      </c>
      <c r="I603" s="6" t="s">
        <v>281</v>
      </c>
      <c r="J603" s="6" t="s">
        <v>306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366</v>
      </c>
      <c r="F604" s="86">
        <v>150</v>
      </c>
      <c r="G604" s="86">
        <v>3.89</v>
      </c>
      <c r="H604" s="86">
        <v>583.5</v>
      </c>
      <c r="I604" s="6" t="s">
        <v>281</v>
      </c>
      <c r="J604" s="6" t="s">
        <v>306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366</v>
      </c>
      <c r="F605" s="86">
        <v>100</v>
      </c>
      <c r="G605" s="86">
        <v>1.32</v>
      </c>
      <c r="H605" s="86">
        <v>132</v>
      </c>
      <c r="I605" s="6" t="s">
        <v>281</v>
      </c>
      <c r="J605" s="6" t="s">
        <v>306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366</v>
      </c>
      <c r="F606" s="86">
        <v>144</v>
      </c>
      <c r="G606" s="86">
        <v>2.35</v>
      </c>
      <c r="H606" s="86">
        <v>338.4</v>
      </c>
      <c r="I606" s="6" t="s">
        <v>281</v>
      </c>
      <c r="J606" s="6" t="s">
        <v>306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366</v>
      </c>
      <c r="F607" s="86">
        <v>108</v>
      </c>
      <c r="G607" s="86">
        <v>5.81</v>
      </c>
      <c r="H607" s="86">
        <v>627.48</v>
      </c>
      <c r="I607" s="6" t="s">
        <v>281</v>
      </c>
      <c r="J607" s="6" t="s">
        <v>306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366</v>
      </c>
      <c r="F608" s="86">
        <v>160</v>
      </c>
      <c r="G608" s="86">
        <v>3.37</v>
      </c>
      <c r="H608" s="86">
        <v>539.2</v>
      </c>
      <c r="I608" s="6" t="s">
        <v>281</v>
      </c>
      <c r="J608" s="6" t="s">
        <v>306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367</v>
      </c>
      <c r="F609" s="86">
        <v>72</v>
      </c>
      <c r="G609" s="86">
        <v>2.48</v>
      </c>
      <c r="H609" s="86">
        <v>178.56</v>
      </c>
      <c r="I609" s="6" t="s">
        <v>281</v>
      </c>
      <c r="J609" s="6" t="s">
        <v>300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367</v>
      </c>
      <c r="F610" s="86">
        <v>64</v>
      </c>
      <c r="G610" s="86">
        <v>1.61</v>
      </c>
      <c r="H610" s="86">
        <v>103.04</v>
      </c>
      <c r="I610" s="6" t="s">
        <v>281</v>
      </c>
      <c r="J610" s="6" t="s">
        <v>300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367</v>
      </c>
      <c r="F611" s="86">
        <v>48</v>
      </c>
      <c r="G611" s="86">
        <v>48.49</v>
      </c>
      <c r="H611" s="86">
        <v>2327.52</v>
      </c>
      <c r="I611" s="6" t="s">
        <v>281</v>
      </c>
      <c r="J611" s="6" t="s">
        <v>300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367</v>
      </c>
      <c r="F612" s="86">
        <v>60</v>
      </c>
      <c r="G612" s="86">
        <v>5.32</v>
      </c>
      <c r="H612" s="86">
        <v>319.2</v>
      </c>
      <c r="I612" s="6" t="s">
        <v>281</v>
      </c>
      <c r="J612" s="6" t="s">
        <v>300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367</v>
      </c>
      <c r="F613" s="86">
        <v>32</v>
      </c>
      <c r="G613" s="86">
        <v>5.01</v>
      </c>
      <c r="H613" s="86">
        <v>160.32</v>
      </c>
      <c r="I613" s="6" t="s">
        <v>281</v>
      </c>
      <c r="J613" s="6" t="s">
        <v>300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367</v>
      </c>
      <c r="F614" s="86">
        <v>90</v>
      </c>
      <c r="G614" s="86">
        <v>3.89</v>
      </c>
      <c r="H614" s="86">
        <v>350.1</v>
      </c>
      <c r="I614" s="6" t="s">
        <v>281</v>
      </c>
      <c r="J614" s="6" t="s">
        <v>300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367</v>
      </c>
      <c r="F615" s="86">
        <v>72</v>
      </c>
      <c r="G615" s="86">
        <v>5.81</v>
      </c>
      <c r="H615" s="86">
        <v>418.32</v>
      </c>
      <c r="I615" s="6" t="s">
        <v>281</v>
      </c>
      <c r="J615" s="6" t="s">
        <v>300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367</v>
      </c>
      <c r="F616" s="86">
        <v>96</v>
      </c>
      <c r="G616" s="86">
        <v>3.37</v>
      </c>
      <c r="H616" s="86">
        <v>323.52</v>
      </c>
      <c r="I616" s="6" t="s">
        <v>281</v>
      </c>
      <c r="J616" s="6" t="s">
        <v>300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368</v>
      </c>
      <c r="F617" s="86">
        <v>48</v>
      </c>
      <c r="G617" s="86">
        <v>1.53</v>
      </c>
      <c r="H617" s="86">
        <v>73.44</v>
      </c>
      <c r="I617" s="6" t="s">
        <v>281</v>
      </c>
      <c r="J617" s="6" t="s">
        <v>301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368</v>
      </c>
      <c r="F618" s="86">
        <v>64</v>
      </c>
      <c r="G618" s="86">
        <v>1.61</v>
      </c>
      <c r="H618" s="86">
        <v>103.04</v>
      </c>
      <c r="I618" s="6" t="s">
        <v>281</v>
      </c>
      <c r="J618" s="6" t="s">
        <v>301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368</v>
      </c>
      <c r="F619" s="86">
        <v>57</v>
      </c>
      <c r="G619" s="86">
        <v>48.49</v>
      </c>
      <c r="H619" s="86">
        <v>2763.93</v>
      </c>
      <c r="I619" s="6" t="s">
        <v>281</v>
      </c>
      <c r="J619" s="6" t="s">
        <v>301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368</v>
      </c>
      <c r="F620" s="86">
        <v>40</v>
      </c>
      <c r="G620" s="86">
        <v>5.32</v>
      </c>
      <c r="H620" s="86">
        <v>212.8</v>
      </c>
      <c r="I620" s="6" t="s">
        <v>281</v>
      </c>
      <c r="J620" s="6" t="s">
        <v>301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368</v>
      </c>
      <c r="F621" s="86">
        <v>96</v>
      </c>
      <c r="G621" s="86">
        <v>5.01</v>
      </c>
      <c r="H621" s="86">
        <v>480.96</v>
      </c>
      <c r="I621" s="6" t="s">
        <v>281</v>
      </c>
      <c r="J621" s="6" t="s">
        <v>301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368</v>
      </c>
      <c r="F622" s="86">
        <v>42</v>
      </c>
      <c r="G622" s="86">
        <v>4.35</v>
      </c>
      <c r="H622" s="86">
        <v>182.7</v>
      </c>
      <c r="I622" s="6" t="s">
        <v>281</v>
      </c>
      <c r="J622" s="6" t="s">
        <v>301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368</v>
      </c>
      <c r="F623" s="86">
        <v>150</v>
      </c>
      <c r="G623" s="86">
        <v>3.89</v>
      </c>
      <c r="H623" s="86">
        <v>583.5</v>
      </c>
      <c r="I623" s="6" t="s">
        <v>281</v>
      </c>
      <c r="J623" s="6" t="s">
        <v>301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368</v>
      </c>
      <c r="F624" s="86">
        <v>48</v>
      </c>
      <c r="G624" s="86">
        <v>2.35</v>
      </c>
      <c r="H624" s="86">
        <v>112.8</v>
      </c>
      <c r="I624" s="6" t="s">
        <v>281</v>
      </c>
      <c r="J624" s="6" t="s">
        <v>301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368</v>
      </c>
      <c r="F625" s="86">
        <v>108</v>
      </c>
      <c r="G625" s="86">
        <v>5.81</v>
      </c>
      <c r="H625" s="86">
        <v>627.48</v>
      </c>
      <c r="I625" s="6" t="s">
        <v>281</v>
      </c>
      <c r="J625" s="6" t="s">
        <v>301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368</v>
      </c>
      <c r="F626" s="86">
        <v>96</v>
      </c>
      <c r="G626" s="86">
        <v>3.37</v>
      </c>
      <c r="H626" s="86">
        <v>323.52</v>
      </c>
      <c r="I626" s="6" t="s">
        <v>281</v>
      </c>
      <c r="J626" s="6" t="s">
        <v>301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369</v>
      </c>
      <c r="F627" s="86">
        <v>144</v>
      </c>
      <c r="G627" s="86">
        <v>1.53</v>
      </c>
      <c r="H627" s="86">
        <v>220.32</v>
      </c>
      <c r="I627" s="6" t="s">
        <v>281</v>
      </c>
      <c r="J627" s="6" t="s">
        <v>311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369</v>
      </c>
      <c r="F628" s="86">
        <v>144</v>
      </c>
      <c r="G628" s="86">
        <v>2.48</v>
      </c>
      <c r="H628" s="86">
        <v>357.12</v>
      </c>
      <c r="I628" s="6" t="s">
        <v>281</v>
      </c>
      <c r="J628" s="6" t="s">
        <v>311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369</v>
      </c>
      <c r="F629" s="86">
        <v>64</v>
      </c>
      <c r="G629" s="86">
        <v>1.61</v>
      </c>
      <c r="H629" s="86">
        <v>103.04</v>
      </c>
      <c r="I629" s="6" t="s">
        <v>281</v>
      </c>
      <c r="J629" s="6" t="s">
        <v>311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369</v>
      </c>
      <c r="F630" s="86">
        <v>171</v>
      </c>
      <c r="G630" s="86">
        <v>48.49</v>
      </c>
      <c r="H630" s="86">
        <v>8291.79</v>
      </c>
      <c r="I630" s="6" t="s">
        <v>281</v>
      </c>
      <c r="J630" s="6" t="s">
        <v>311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369</v>
      </c>
      <c r="F631" s="86">
        <v>220</v>
      </c>
      <c r="G631" s="86">
        <v>5.32</v>
      </c>
      <c r="H631" s="86">
        <v>1170.4</v>
      </c>
      <c r="I631" s="6" t="s">
        <v>281</v>
      </c>
      <c r="J631" s="6" t="s">
        <v>311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369</v>
      </c>
      <c r="F632" s="86">
        <v>128</v>
      </c>
      <c r="G632" s="86">
        <v>5.01</v>
      </c>
      <c r="H632" s="86">
        <v>641.28</v>
      </c>
      <c r="I632" s="6" t="s">
        <v>281</v>
      </c>
      <c r="J632" s="6" t="s">
        <v>311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369</v>
      </c>
      <c r="F633" s="86">
        <v>210</v>
      </c>
      <c r="G633" s="86">
        <v>4.35</v>
      </c>
      <c r="H633" s="86">
        <v>913.5</v>
      </c>
      <c r="I633" s="6" t="s">
        <v>281</v>
      </c>
      <c r="J633" s="6" t="s">
        <v>311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369</v>
      </c>
      <c r="F634" s="86">
        <v>210</v>
      </c>
      <c r="G634" s="86">
        <v>3.89</v>
      </c>
      <c r="H634" s="86">
        <v>816.9</v>
      </c>
      <c r="I634" s="6" t="s">
        <v>281</v>
      </c>
      <c r="J634" s="6" t="s">
        <v>311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369</v>
      </c>
      <c r="F635" s="86">
        <v>150</v>
      </c>
      <c r="G635" s="86">
        <v>1.32</v>
      </c>
      <c r="H635" s="86">
        <v>198</v>
      </c>
      <c r="I635" s="6" t="s">
        <v>281</v>
      </c>
      <c r="J635" s="6" t="s">
        <v>311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369</v>
      </c>
      <c r="F636" s="86">
        <v>192</v>
      </c>
      <c r="G636" s="86">
        <v>2.35</v>
      </c>
      <c r="H636" s="86">
        <v>451.2</v>
      </c>
      <c r="I636" s="6" t="s">
        <v>281</v>
      </c>
      <c r="J636" s="6" t="s">
        <v>311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369</v>
      </c>
      <c r="F637" s="86">
        <v>132</v>
      </c>
      <c r="G637" s="86">
        <v>5.81</v>
      </c>
      <c r="H637" s="86">
        <v>766.92</v>
      </c>
      <c r="I637" s="6" t="s">
        <v>281</v>
      </c>
      <c r="J637" s="6" t="s">
        <v>311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369</v>
      </c>
      <c r="F638" s="86">
        <v>128</v>
      </c>
      <c r="G638" s="86">
        <v>3.37</v>
      </c>
      <c r="H638" s="86">
        <v>431.36</v>
      </c>
      <c r="I638" s="6" t="s">
        <v>281</v>
      </c>
      <c r="J638" s="6" t="s">
        <v>311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370</v>
      </c>
      <c r="E639" s="6"/>
      <c r="F639" s="86">
        <v>2280</v>
      </c>
      <c r="G639" s="86"/>
      <c r="H639" s="86"/>
      <c r="I639" s="19" t="s">
        <v>370</v>
      </c>
      <c r="J639" s="19" t="s">
        <v>370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370</v>
      </c>
      <c r="E640" s="6"/>
      <c r="F640" s="86">
        <v>1560</v>
      </c>
      <c r="G640" s="86"/>
      <c r="H640" s="86"/>
      <c r="I640" s="19" t="s">
        <v>370</v>
      </c>
      <c r="J640" s="19" t="s">
        <v>370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370</v>
      </c>
      <c r="E641" s="6"/>
      <c r="F641" s="86">
        <v>1116</v>
      </c>
      <c r="G641" s="86"/>
      <c r="H641" s="86"/>
      <c r="I641" s="19" t="s">
        <v>370</v>
      </c>
      <c r="J641" s="19" t="s">
        <v>370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370</v>
      </c>
      <c r="E642" s="6"/>
      <c r="F642" s="86">
        <v>1560</v>
      </c>
      <c r="G642" s="86"/>
      <c r="H642" s="86"/>
      <c r="I642" s="19" t="s">
        <v>370</v>
      </c>
      <c r="J642" s="19" t="s">
        <v>370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370</v>
      </c>
      <c r="E643" s="6"/>
      <c r="F643" s="86">
        <v>1440</v>
      </c>
      <c r="G643" s="86"/>
      <c r="H643" s="86"/>
      <c r="I643" s="19" t="s">
        <v>370</v>
      </c>
      <c r="J643" s="19" t="s">
        <v>370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370</v>
      </c>
      <c r="E644" s="6"/>
      <c r="F644" s="86">
        <v>1200</v>
      </c>
      <c r="G644" s="86"/>
      <c r="H644" s="86"/>
      <c r="I644" s="19" t="s">
        <v>370</v>
      </c>
      <c r="J644" s="19" t="s">
        <v>370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370</v>
      </c>
      <c r="E645" s="6"/>
      <c r="F645" s="86">
        <v>252</v>
      </c>
      <c r="G645" s="86"/>
      <c r="H645" s="86"/>
      <c r="I645" s="19" t="s">
        <v>370</v>
      </c>
      <c r="J645" s="19" t="s">
        <v>370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370</v>
      </c>
      <c r="E646" s="6"/>
      <c r="F646" s="86">
        <v>252</v>
      </c>
      <c r="G646" s="86"/>
      <c r="H646" s="86"/>
      <c r="I646" s="19" t="s">
        <v>370</v>
      </c>
      <c r="J646" s="19" t="s">
        <v>370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370</v>
      </c>
      <c r="E647" s="6"/>
      <c r="F647" s="86">
        <v>720</v>
      </c>
      <c r="G647" s="86"/>
      <c r="H647" s="86"/>
      <c r="I647" s="19" t="s">
        <v>370</v>
      </c>
      <c r="J647" s="19" t="s">
        <v>370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370</v>
      </c>
      <c r="E648" s="6"/>
      <c r="F648" s="86">
        <v>504</v>
      </c>
      <c r="G648" s="86"/>
      <c r="H648" s="86"/>
      <c r="I648" s="19" t="s">
        <v>370</v>
      </c>
      <c r="J648" s="19" t="s">
        <v>370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370</v>
      </c>
      <c r="E649" s="6"/>
      <c r="F649" s="86">
        <v>660</v>
      </c>
      <c r="G649" s="86"/>
      <c r="H649" s="86"/>
      <c r="I649" s="19" t="s">
        <v>370</v>
      </c>
      <c r="J649" s="19" t="s">
        <v>370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370</v>
      </c>
      <c r="E650" s="6"/>
      <c r="F650" s="86">
        <v>1080</v>
      </c>
      <c r="G650" s="86"/>
      <c r="H650" s="86"/>
      <c r="I650" s="19" t="s">
        <v>370</v>
      </c>
      <c r="J650" s="19" t="s">
        <v>370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370</v>
      </c>
      <c r="E651" s="6"/>
      <c r="F651" s="86">
        <v>720</v>
      </c>
      <c r="G651" s="86"/>
      <c r="H651" s="86"/>
      <c r="I651" s="19" t="s">
        <v>370</v>
      </c>
      <c r="J651" s="19" t="s">
        <v>370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370</v>
      </c>
      <c r="E652" s="89"/>
      <c r="F652" s="86">
        <v>470</v>
      </c>
      <c r="G652" s="19"/>
      <c r="H652" s="19"/>
      <c r="I652" s="19" t="s">
        <v>370</v>
      </c>
      <c r="J652" s="89" t="s">
        <v>370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370</v>
      </c>
      <c r="E653" s="89"/>
      <c r="F653" s="86">
        <v>552</v>
      </c>
      <c r="G653" s="19"/>
      <c r="H653" s="19"/>
      <c r="I653" s="19" t="s">
        <v>370</v>
      </c>
      <c r="J653" s="89" t="s">
        <v>370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370</v>
      </c>
      <c r="E654" s="89"/>
      <c r="F654" s="86">
        <v>456</v>
      </c>
      <c r="G654" s="19"/>
      <c r="H654" s="19"/>
      <c r="I654" s="19" t="s">
        <v>370</v>
      </c>
      <c r="J654" s="89" t="s">
        <v>370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370</v>
      </c>
      <c r="E655" s="89"/>
      <c r="F655" s="86">
        <v>684</v>
      </c>
      <c r="G655" s="19"/>
      <c r="H655" s="19"/>
      <c r="I655" s="19" t="s">
        <v>370</v>
      </c>
      <c r="J655" s="89" t="s">
        <v>370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370</v>
      </c>
      <c r="E656" s="89"/>
      <c r="F656" s="86">
        <v>350</v>
      </c>
      <c r="G656" s="19"/>
      <c r="H656" s="19"/>
      <c r="I656" s="19" t="s">
        <v>370</v>
      </c>
      <c r="J656" s="89" t="s">
        <v>370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370</v>
      </c>
      <c r="E657" s="89"/>
      <c r="F657" s="86">
        <v>200</v>
      </c>
      <c r="G657" s="19"/>
      <c r="H657" s="19"/>
      <c r="I657" s="19" t="s">
        <v>370</v>
      </c>
      <c r="J657" s="89" t="s">
        <v>370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370</v>
      </c>
      <c r="E658" s="89"/>
      <c r="F658" s="86">
        <v>316</v>
      </c>
      <c r="G658" s="19"/>
      <c r="H658" s="19"/>
      <c r="I658" s="19" t="s">
        <v>370</v>
      </c>
      <c r="J658" s="89" t="s">
        <v>370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370</v>
      </c>
      <c r="E659" s="89"/>
      <c r="F659" s="86">
        <v>460</v>
      </c>
      <c r="G659" s="19"/>
      <c r="H659" s="19"/>
      <c r="I659" s="19" t="s">
        <v>370</v>
      </c>
      <c r="J659" s="89" t="s">
        <v>370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370</v>
      </c>
      <c r="E660" s="89"/>
      <c r="F660" s="86">
        <v>200</v>
      </c>
      <c r="G660" s="19"/>
      <c r="H660" s="19"/>
      <c r="I660" s="19" t="s">
        <v>370</v>
      </c>
      <c r="J660" s="89" t="s">
        <v>370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370</v>
      </c>
      <c r="E661" s="89"/>
      <c r="F661" s="86">
        <v>372</v>
      </c>
      <c r="G661" s="19"/>
      <c r="H661" s="19"/>
      <c r="I661" s="19" t="s">
        <v>370</v>
      </c>
      <c r="J661" s="89" t="s">
        <v>370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370</v>
      </c>
      <c r="E662" s="89"/>
      <c r="F662" s="86">
        <v>408</v>
      </c>
      <c r="G662" s="19"/>
      <c r="H662" s="19"/>
      <c r="I662" s="19" t="s">
        <v>370</v>
      </c>
      <c r="J662" s="89" t="s">
        <v>370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370</v>
      </c>
      <c r="E663" s="89"/>
      <c r="F663" s="86">
        <v>220</v>
      </c>
      <c r="G663" s="19"/>
      <c r="H663" s="19"/>
      <c r="I663" s="19" t="s">
        <v>370</v>
      </c>
      <c r="J663" s="89" t="s">
        <v>370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370</v>
      </c>
      <c r="E664" s="89"/>
      <c r="F664" s="86">
        <v>504</v>
      </c>
      <c r="G664" s="19"/>
      <c r="H664" s="19"/>
      <c r="I664" s="19" t="s">
        <v>370</v>
      </c>
      <c r="J664" s="89" t="s">
        <v>370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370</v>
      </c>
      <c r="E665" s="89"/>
      <c r="F665" s="86">
        <v>504</v>
      </c>
      <c r="G665" s="19"/>
      <c r="H665" s="19"/>
      <c r="I665" s="19" t="s">
        <v>370</v>
      </c>
      <c r="J665" s="89" t="s">
        <v>370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232</v>
      </c>
      <c r="E666" s="89"/>
      <c r="F666" s="156">
        <v>260</v>
      </c>
      <c r="G666" s="19"/>
      <c r="H666" s="19"/>
      <c r="I666" s="6" t="s">
        <v>371</v>
      </c>
      <c r="J666" s="89" t="s">
        <v>232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232</v>
      </c>
      <c r="E667" s="89"/>
      <c r="F667" s="156">
        <v>100</v>
      </c>
      <c r="G667" s="19"/>
      <c r="H667" s="19"/>
      <c r="I667" s="6" t="s">
        <v>371</v>
      </c>
      <c r="J667" s="89" t="s">
        <v>232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232</v>
      </c>
      <c r="E668" s="89"/>
      <c r="F668" s="156">
        <v>60</v>
      </c>
      <c r="G668" s="19"/>
      <c r="H668" s="19"/>
      <c r="I668" s="6" t="s">
        <v>371</v>
      </c>
      <c r="J668" s="89" t="s">
        <v>232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232</v>
      </c>
      <c r="E669" s="89"/>
      <c r="F669" s="156">
        <v>18</v>
      </c>
      <c r="G669" s="19"/>
      <c r="H669" s="19"/>
      <c r="I669" s="6" t="s">
        <v>371</v>
      </c>
      <c r="J669" s="89" t="s">
        <v>232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232</v>
      </c>
      <c r="E670" s="89"/>
      <c r="F670" s="156">
        <v>24</v>
      </c>
      <c r="G670" s="19"/>
      <c r="H670" s="19"/>
      <c r="I670" s="6" t="s">
        <v>371</v>
      </c>
      <c r="J670" s="89" t="s">
        <v>232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232</v>
      </c>
      <c r="E671" s="89"/>
      <c r="F671" s="156">
        <v>600</v>
      </c>
      <c r="G671" s="19"/>
      <c r="H671" s="19"/>
      <c r="I671" s="6" t="s">
        <v>371</v>
      </c>
      <c r="J671" s="89" t="s">
        <v>232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232</v>
      </c>
      <c r="E672" s="89"/>
      <c r="F672" s="156">
        <v>8</v>
      </c>
      <c r="G672" s="19"/>
      <c r="H672" s="19"/>
      <c r="I672" s="6" t="s">
        <v>371</v>
      </c>
      <c r="J672" s="89" t="s">
        <v>232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232</v>
      </c>
      <c r="E673" s="89"/>
      <c r="F673" s="156">
        <v>208</v>
      </c>
      <c r="G673" s="19"/>
      <c r="H673" s="19"/>
      <c r="I673" s="6" t="s">
        <v>371</v>
      </c>
      <c r="J673" s="89" t="s">
        <v>232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232</v>
      </c>
      <c r="E674" s="89"/>
      <c r="F674" s="156">
        <v>4</v>
      </c>
      <c r="G674" s="19"/>
      <c r="H674" s="19"/>
      <c r="I674" s="6" t="s">
        <v>371</v>
      </c>
      <c r="J674" s="89" t="s">
        <v>232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232</v>
      </c>
      <c r="E675" s="89"/>
      <c r="F675" s="156">
        <v>20</v>
      </c>
      <c r="G675" s="19"/>
      <c r="H675" s="19"/>
      <c r="I675" s="6" t="s">
        <v>371</v>
      </c>
      <c r="J675" s="89" t="s">
        <v>232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232</v>
      </c>
      <c r="E676" s="89"/>
      <c r="F676" s="156">
        <v>12</v>
      </c>
      <c r="G676" s="19"/>
      <c r="H676" s="19"/>
      <c r="I676" s="6" t="s">
        <v>371</v>
      </c>
      <c r="J676" s="89" t="s">
        <v>232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232</v>
      </c>
      <c r="E677" s="89"/>
      <c r="F677" s="156">
        <v>24</v>
      </c>
      <c r="G677" s="19"/>
      <c r="H677" s="19"/>
      <c r="I677" s="6" t="s">
        <v>371</v>
      </c>
      <c r="J677" s="89" t="s">
        <v>232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232</v>
      </c>
      <c r="E678" s="89"/>
      <c r="F678" s="156">
        <v>240</v>
      </c>
      <c r="G678" s="19"/>
      <c r="H678" s="19"/>
      <c r="I678" s="6" t="s">
        <v>371</v>
      </c>
      <c r="J678" s="89" t="s">
        <v>232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232</v>
      </c>
      <c r="E679" s="89"/>
      <c r="F679" s="156">
        <v>96</v>
      </c>
      <c r="G679" s="19"/>
      <c r="H679" s="19"/>
      <c r="I679" s="6" t="s">
        <v>371</v>
      </c>
      <c r="J679" s="89" t="s">
        <v>232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232</v>
      </c>
      <c r="E680" s="89"/>
      <c r="F680" s="156">
        <v>120</v>
      </c>
      <c r="G680" s="19"/>
      <c r="H680" s="19"/>
      <c r="I680" s="6" t="s">
        <v>371</v>
      </c>
      <c r="J680" s="89" t="s">
        <v>232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232</v>
      </c>
      <c r="E681" s="89"/>
      <c r="F681" s="156">
        <v>180</v>
      </c>
      <c r="G681" s="19"/>
      <c r="H681" s="19"/>
      <c r="I681" s="6" t="s">
        <v>371</v>
      </c>
      <c r="J681" s="89" t="s">
        <v>232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232</v>
      </c>
      <c r="E682" s="89"/>
      <c r="F682" s="156">
        <v>248</v>
      </c>
      <c r="G682" s="19"/>
      <c r="H682" s="19"/>
      <c r="I682" s="6" t="s">
        <v>371</v>
      </c>
      <c r="J682" s="89" t="s">
        <v>232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232</v>
      </c>
      <c r="E683" s="89"/>
      <c r="F683" s="156">
        <v>240</v>
      </c>
      <c r="G683" s="19"/>
      <c r="H683" s="19"/>
      <c r="I683" s="6" t="s">
        <v>371</v>
      </c>
      <c r="J683" s="89" t="s">
        <v>232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232</v>
      </c>
      <c r="E684" s="89"/>
      <c r="F684" s="156">
        <v>48</v>
      </c>
      <c r="G684" s="19"/>
      <c r="H684" s="19"/>
      <c r="I684" s="6" t="s">
        <v>371</v>
      </c>
      <c r="J684" s="89" t="s">
        <v>232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232</v>
      </c>
      <c r="E685" s="89"/>
      <c r="F685" s="156">
        <v>16</v>
      </c>
      <c r="G685" s="19"/>
      <c r="H685" s="19"/>
      <c r="I685" s="6" t="s">
        <v>371</v>
      </c>
      <c r="J685" s="89" t="s">
        <v>232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232</v>
      </c>
      <c r="E686" s="89"/>
      <c r="F686" s="156">
        <v>216</v>
      </c>
      <c r="G686" s="19"/>
      <c r="H686" s="19"/>
      <c r="I686" s="6" t="s">
        <v>371</v>
      </c>
      <c r="J686" s="89" t="s">
        <v>232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232</v>
      </c>
      <c r="E687" s="89"/>
      <c r="F687" s="156">
        <v>180</v>
      </c>
      <c r="G687" s="19"/>
      <c r="H687" s="19"/>
      <c r="I687" s="6" t="s">
        <v>371</v>
      </c>
      <c r="J687" s="89" t="s">
        <v>232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232</v>
      </c>
      <c r="E688" s="89"/>
      <c r="F688" s="156">
        <v>36</v>
      </c>
      <c r="G688" s="19"/>
      <c r="H688" s="19"/>
      <c r="I688" s="6" t="s">
        <v>371</v>
      </c>
      <c r="J688" s="89" t="s">
        <v>232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232</v>
      </c>
      <c r="E689" s="89"/>
      <c r="F689" s="156">
        <v>36</v>
      </c>
      <c r="G689" s="19"/>
      <c r="H689" s="19"/>
      <c r="I689" s="6" t="s">
        <v>371</v>
      </c>
      <c r="J689" s="89" t="s">
        <v>232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232</v>
      </c>
      <c r="E690" s="89"/>
      <c r="F690" s="156">
        <v>24</v>
      </c>
      <c r="G690" s="19"/>
      <c r="H690" s="19"/>
      <c r="I690" s="6" t="s">
        <v>371</v>
      </c>
      <c r="J690" s="89" t="s">
        <v>232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232</v>
      </c>
      <c r="E691" s="89"/>
      <c r="F691" s="156">
        <v>72</v>
      </c>
      <c r="G691" s="19"/>
      <c r="H691" s="19"/>
      <c r="I691" s="6" t="s">
        <v>371</v>
      </c>
      <c r="J691" s="89" t="s">
        <v>232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232</v>
      </c>
      <c r="E692" s="89"/>
      <c r="F692" s="156">
        <v>64</v>
      </c>
      <c r="G692" s="19"/>
      <c r="H692" s="19"/>
      <c r="I692" s="6" t="s">
        <v>371</v>
      </c>
      <c r="J692" s="89" t="s">
        <v>232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232</v>
      </c>
      <c r="E693" s="89"/>
      <c r="F693" s="156">
        <v>36</v>
      </c>
      <c r="G693" s="19"/>
      <c r="H693" s="19"/>
      <c r="I693" s="6" t="s">
        <v>371</v>
      </c>
      <c r="J693" s="89" t="s">
        <v>232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232</v>
      </c>
      <c r="E694" s="89"/>
      <c r="F694" s="156">
        <v>54</v>
      </c>
      <c r="G694" s="19"/>
      <c r="H694" s="19"/>
      <c r="I694" s="6" t="s">
        <v>371</v>
      </c>
      <c r="J694" s="89" t="s">
        <v>232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232</v>
      </c>
      <c r="E695" s="89"/>
      <c r="F695" s="156">
        <v>90</v>
      </c>
      <c r="G695" s="19"/>
      <c r="H695" s="19"/>
      <c r="I695" s="6" t="s">
        <v>371</v>
      </c>
      <c r="J695" s="89" t="s">
        <v>232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232</v>
      </c>
      <c r="E696" s="89"/>
      <c r="F696" s="156">
        <v>30</v>
      </c>
      <c r="G696" s="19"/>
      <c r="H696" s="19"/>
      <c r="I696" s="6" t="s">
        <v>371</v>
      </c>
      <c r="J696" s="89" t="s">
        <v>232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232</v>
      </c>
      <c r="E697" s="89"/>
      <c r="F697" s="156">
        <v>216</v>
      </c>
      <c r="G697" s="19"/>
      <c r="H697" s="19"/>
      <c r="I697" s="6" t="s">
        <v>371</v>
      </c>
      <c r="J697" s="89" t="s">
        <v>232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232</v>
      </c>
      <c r="E698" s="89"/>
      <c r="F698" s="156">
        <v>84</v>
      </c>
      <c r="G698" s="19"/>
      <c r="H698" s="19"/>
      <c r="I698" s="6" t="s">
        <v>371</v>
      </c>
      <c r="J698" s="89" t="s">
        <v>232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232</v>
      </c>
      <c r="E699" s="21"/>
      <c r="F699" s="156">
        <v>60</v>
      </c>
      <c r="G699" s="158"/>
      <c r="H699" s="158"/>
      <c r="I699" s="6" t="s">
        <v>371</v>
      </c>
      <c r="J699" s="89" t="s">
        <v>232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232</v>
      </c>
      <c r="E700" s="21"/>
      <c r="F700" s="156">
        <v>162</v>
      </c>
      <c r="G700" s="158"/>
      <c r="H700" s="158"/>
      <c r="I700" s="6" t="s">
        <v>371</v>
      </c>
      <c r="J700" s="89" t="s">
        <v>232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232</v>
      </c>
      <c r="E701" s="21"/>
      <c r="F701" s="156">
        <v>162</v>
      </c>
      <c r="G701" s="158"/>
      <c r="H701" s="158"/>
      <c r="I701" s="6" t="s">
        <v>371</v>
      </c>
      <c r="J701" s="89" t="s">
        <v>232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232</v>
      </c>
      <c r="E702" s="21"/>
      <c r="F702" s="156">
        <v>160</v>
      </c>
      <c r="G702" s="158"/>
      <c r="H702" s="158"/>
      <c r="I702" s="6" t="s">
        <v>371</v>
      </c>
      <c r="J702" s="89" t="s">
        <v>232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232</v>
      </c>
      <c r="E703" s="21"/>
      <c r="F703" s="156">
        <v>180</v>
      </c>
      <c r="G703" s="158"/>
      <c r="H703" s="158"/>
      <c r="I703" s="6" t="s">
        <v>371</v>
      </c>
      <c r="J703" s="89" t="s">
        <v>232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372</v>
      </c>
      <c r="E704" s="22" t="s">
        <v>373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374</v>
      </c>
      <c r="J704" s="6" t="s">
        <v>374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372</v>
      </c>
      <c r="E705" s="22" t="s">
        <v>373</v>
      </c>
      <c r="F705" s="156">
        <v>42</v>
      </c>
      <c r="G705" s="86">
        <v>0</v>
      </c>
      <c r="H705" s="86">
        <f t="shared" si="26"/>
        <v>0</v>
      </c>
      <c r="I705" s="6" t="s">
        <v>374</v>
      </c>
      <c r="J705" s="6" t="s">
        <v>374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372</v>
      </c>
      <c r="E706" s="22" t="s">
        <v>373</v>
      </c>
      <c r="F706" s="156">
        <v>60</v>
      </c>
      <c r="G706" s="86">
        <v>0</v>
      </c>
      <c r="H706" s="86">
        <f t="shared" si="26"/>
        <v>0</v>
      </c>
      <c r="I706" s="6" t="s">
        <v>374</v>
      </c>
      <c r="J706" s="6" t="s">
        <v>374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372</v>
      </c>
      <c r="E707" s="22" t="s">
        <v>373</v>
      </c>
      <c r="F707" s="156">
        <v>6</v>
      </c>
      <c r="G707" s="86">
        <v>0</v>
      </c>
      <c r="H707" s="86">
        <f t="shared" si="26"/>
        <v>0</v>
      </c>
      <c r="I707" s="6" t="s">
        <v>374</v>
      </c>
      <c r="J707" s="6" t="s">
        <v>374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372</v>
      </c>
      <c r="E708" s="22" t="s">
        <v>373</v>
      </c>
      <c r="F708" s="156">
        <v>6</v>
      </c>
      <c r="G708" s="86">
        <v>0</v>
      </c>
      <c r="H708" s="86">
        <f t="shared" si="26"/>
        <v>0</v>
      </c>
      <c r="I708" s="6" t="s">
        <v>374</v>
      </c>
      <c r="J708" s="6" t="s">
        <v>374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372</v>
      </c>
      <c r="E709" s="22" t="s">
        <v>373</v>
      </c>
      <c r="F709" s="156">
        <v>8</v>
      </c>
      <c r="G709" s="86">
        <v>0</v>
      </c>
      <c r="H709" s="86">
        <f t="shared" si="26"/>
        <v>0</v>
      </c>
      <c r="I709" s="6" t="s">
        <v>374</v>
      </c>
      <c r="J709" s="6" t="s">
        <v>374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372</v>
      </c>
      <c r="E710" s="22" t="s">
        <v>373</v>
      </c>
      <c r="F710" s="156">
        <v>60</v>
      </c>
      <c r="G710" s="86">
        <v>0</v>
      </c>
      <c r="H710" s="86">
        <f t="shared" si="26"/>
        <v>0</v>
      </c>
      <c r="I710" s="6" t="s">
        <v>374</v>
      </c>
      <c r="J710" s="6" t="s">
        <v>374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372</v>
      </c>
      <c r="E711" s="22" t="s">
        <v>373</v>
      </c>
      <c r="F711" s="156">
        <v>24</v>
      </c>
      <c r="G711" s="86">
        <v>0</v>
      </c>
      <c r="H711" s="86">
        <f t="shared" si="26"/>
        <v>0</v>
      </c>
      <c r="I711" s="6" t="s">
        <v>374</v>
      </c>
      <c r="J711" s="6" t="s">
        <v>374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372</v>
      </c>
      <c r="E712" s="22" t="s">
        <v>373</v>
      </c>
      <c r="F712" s="156">
        <v>20</v>
      </c>
      <c r="G712" s="86">
        <v>0</v>
      </c>
      <c r="H712" s="86">
        <f t="shared" si="26"/>
        <v>0</v>
      </c>
      <c r="I712" s="6" t="s">
        <v>374</v>
      </c>
      <c r="J712" s="6" t="s">
        <v>374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375</v>
      </c>
      <c r="F713" s="159">
        <v>64</v>
      </c>
      <c r="G713" s="159">
        <v>1.61</v>
      </c>
      <c r="H713" s="156">
        <f t="shared" si="26"/>
        <v>103.04</v>
      </c>
      <c r="I713" s="6" t="s">
        <v>281</v>
      </c>
      <c r="J713" s="6" t="s">
        <v>306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375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281</v>
      </c>
      <c r="J714" s="6" t="s">
        <v>306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375</v>
      </c>
      <c r="F715" s="159">
        <v>40</v>
      </c>
      <c r="G715" s="159">
        <v>5.32</v>
      </c>
      <c r="H715" s="156">
        <f t="shared" si="28"/>
        <v>212.8</v>
      </c>
      <c r="I715" s="6" t="s">
        <v>281</v>
      </c>
      <c r="J715" s="6" t="s">
        <v>306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375</v>
      </c>
      <c r="F716" s="159">
        <v>84</v>
      </c>
      <c r="G716" s="159">
        <v>4.35</v>
      </c>
      <c r="H716" s="156">
        <f t="shared" si="28"/>
        <v>365.4</v>
      </c>
      <c r="I716" s="6" t="s">
        <v>281</v>
      </c>
      <c r="J716" s="6" t="s">
        <v>306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375</v>
      </c>
      <c r="F717" s="159">
        <v>50</v>
      </c>
      <c r="G717" s="159">
        <v>1.32</v>
      </c>
      <c r="H717" s="156">
        <f t="shared" si="28"/>
        <v>66</v>
      </c>
      <c r="I717" s="6" t="s">
        <v>281</v>
      </c>
      <c r="J717" s="6" t="s">
        <v>306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375</v>
      </c>
      <c r="F718" s="159">
        <v>96</v>
      </c>
      <c r="G718" s="159">
        <v>2.35</v>
      </c>
      <c r="H718" s="156">
        <f t="shared" si="28"/>
        <v>225.6</v>
      </c>
      <c r="I718" s="6" t="s">
        <v>281</v>
      </c>
      <c r="J718" s="6" t="s">
        <v>306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375</v>
      </c>
      <c r="F719" s="159">
        <v>12</v>
      </c>
      <c r="G719" s="159">
        <v>5.81</v>
      </c>
      <c r="H719" s="156">
        <f t="shared" si="28"/>
        <v>69.72</v>
      </c>
      <c r="I719" s="6" t="s">
        <v>281</v>
      </c>
      <c r="J719" s="6" t="s">
        <v>306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376</v>
      </c>
      <c r="F720" s="159">
        <v>96</v>
      </c>
      <c r="G720" s="159">
        <v>1.53</v>
      </c>
      <c r="H720" s="156">
        <f t="shared" si="28"/>
        <v>146.88</v>
      </c>
      <c r="I720" s="6" t="s">
        <v>281</v>
      </c>
      <c r="J720" s="6" t="s">
        <v>307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376</v>
      </c>
      <c r="F721" s="159">
        <v>72</v>
      </c>
      <c r="G721" s="159">
        <v>2.48</v>
      </c>
      <c r="H721" s="156">
        <f t="shared" si="28"/>
        <v>178.56</v>
      </c>
      <c r="I721" s="6" t="s">
        <v>281</v>
      </c>
      <c r="J721" s="6" t="s">
        <v>307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376</v>
      </c>
      <c r="F722" s="159">
        <v>159</v>
      </c>
      <c r="G722" s="159">
        <v>48.49</v>
      </c>
      <c r="H722" s="156">
        <f t="shared" si="28"/>
        <v>7709.91</v>
      </c>
      <c r="I722" s="6" t="s">
        <v>281</v>
      </c>
      <c r="J722" s="6" t="s">
        <v>307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376</v>
      </c>
      <c r="F723" s="159">
        <v>126</v>
      </c>
      <c r="G723" s="159">
        <v>4.35</v>
      </c>
      <c r="H723" s="156">
        <f t="shared" si="28"/>
        <v>548.1</v>
      </c>
      <c r="I723" s="6" t="s">
        <v>281</v>
      </c>
      <c r="J723" s="6" t="s">
        <v>307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376</v>
      </c>
      <c r="F724" s="159">
        <v>90</v>
      </c>
      <c r="G724" s="159">
        <v>3.89</v>
      </c>
      <c r="H724" s="156">
        <f t="shared" si="28"/>
        <v>350.1</v>
      </c>
      <c r="I724" s="6" t="s">
        <v>281</v>
      </c>
      <c r="J724" s="6" t="s">
        <v>307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376</v>
      </c>
      <c r="F725" s="159">
        <v>50</v>
      </c>
      <c r="G725" s="159">
        <v>1.32</v>
      </c>
      <c r="H725" s="156">
        <f t="shared" si="28"/>
        <v>66</v>
      </c>
      <c r="I725" s="6" t="s">
        <v>281</v>
      </c>
      <c r="J725" s="6" t="s">
        <v>307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376</v>
      </c>
      <c r="F726" s="159">
        <v>48</v>
      </c>
      <c r="G726" s="159">
        <v>2.35</v>
      </c>
      <c r="H726" s="156">
        <f t="shared" si="28"/>
        <v>112.8</v>
      </c>
      <c r="I726" s="6" t="s">
        <v>281</v>
      </c>
      <c r="J726" s="6" t="s">
        <v>307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376</v>
      </c>
      <c r="F727" s="159">
        <v>96</v>
      </c>
      <c r="G727" s="159">
        <v>5.81</v>
      </c>
      <c r="H727" s="156">
        <f t="shared" si="28"/>
        <v>557.76</v>
      </c>
      <c r="I727" s="6" t="s">
        <v>281</v>
      </c>
      <c r="J727" s="6" t="s">
        <v>307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376</v>
      </c>
      <c r="F728" s="159">
        <v>160</v>
      </c>
      <c r="G728" s="159">
        <v>3.37</v>
      </c>
      <c r="H728" s="156">
        <f t="shared" si="28"/>
        <v>539.2</v>
      </c>
      <c r="I728" s="6" t="s">
        <v>281</v>
      </c>
      <c r="J728" s="6" t="s">
        <v>307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377</v>
      </c>
      <c r="F729" s="159">
        <v>64</v>
      </c>
      <c r="G729" s="159">
        <v>1.61</v>
      </c>
      <c r="H729" s="156">
        <f t="shared" si="28"/>
        <v>103.04</v>
      </c>
      <c r="I729" s="17" t="s">
        <v>281</v>
      </c>
      <c r="J729" s="6" t="s">
        <v>301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377</v>
      </c>
      <c r="F730" s="159">
        <v>77</v>
      </c>
      <c r="G730" s="159">
        <v>48.49</v>
      </c>
      <c r="H730" s="156">
        <f t="shared" si="28"/>
        <v>3733.73</v>
      </c>
      <c r="I730" s="17" t="s">
        <v>281</v>
      </c>
      <c r="J730" s="6" t="s">
        <v>301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377</v>
      </c>
      <c r="F731" s="159">
        <v>20</v>
      </c>
      <c r="G731" s="159">
        <v>5.32</v>
      </c>
      <c r="H731" s="156">
        <f t="shared" si="28"/>
        <v>106.4</v>
      </c>
      <c r="I731" s="17" t="s">
        <v>281</v>
      </c>
      <c r="J731" s="6" t="s">
        <v>301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377</v>
      </c>
      <c r="F732" s="159">
        <v>32</v>
      </c>
      <c r="G732" s="159">
        <v>5.01</v>
      </c>
      <c r="H732" s="156">
        <f t="shared" si="28"/>
        <v>160.32</v>
      </c>
      <c r="I732" s="17" t="s">
        <v>281</v>
      </c>
      <c r="J732" s="6" t="s">
        <v>301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377</v>
      </c>
      <c r="F733" s="159">
        <v>126</v>
      </c>
      <c r="G733" s="159">
        <v>4.35</v>
      </c>
      <c r="H733" s="156">
        <f t="shared" si="28"/>
        <v>548.1</v>
      </c>
      <c r="I733" s="17" t="s">
        <v>281</v>
      </c>
      <c r="J733" s="6" t="s">
        <v>301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377</v>
      </c>
      <c r="F734" s="159">
        <v>150</v>
      </c>
      <c r="G734" s="159">
        <v>1.32</v>
      </c>
      <c r="H734" s="156">
        <f t="shared" si="28"/>
        <v>198</v>
      </c>
      <c r="I734" s="17" t="s">
        <v>281</v>
      </c>
      <c r="J734" s="6" t="s">
        <v>301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377</v>
      </c>
      <c r="F735" s="159">
        <v>48</v>
      </c>
      <c r="G735" s="159">
        <v>2.35</v>
      </c>
      <c r="H735" s="156">
        <f t="shared" si="28"/>
        <v>112.8</v>
      </c>
      <c r="I735" s="17" t="s">
        <v>281</v>
      </c>
      <c r="J735" s="6" t="s">
        <v>301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377</v>
      </c>
      <c r="F736" s="159">
        <v>12</v>
      </c>
      <c r="G736" s="159">
        <v>5.81</v>
      </c>
      <c r="H736" s="156">
        <f t="shared" si="28"/>
        <v>69.72</v>
      </c>
      <c r="I736" s="17" t="s">
        <v>281</v>
      </c>
      <c r="J736" s="6" t="s">
        <v>301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378</v>
      </c>
      <c r="F737" s="159">
        <v>81</v>
      </c>
      <c r="G737" s="159">
        <v>48.49</v>
      </c>
      <c r="H737" s="156">
        <f t="shared" si="28"/>
        <v>3927.69</v>
      </c>
      <c r="I737" s="6" t="s">
        <v>281</v>
      </c>
      <c r="J737" s="6" t="s">
        <v>311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378</v>
      </c>
      <c r="F738" s="159">
        <v>20</v>
      </c>
      <c r="G738" s="159">
        <v>5.32</v>
      </c>
      <c r="H738" s="156">
        <f t="shared" si="28"/>
        <v>106.4</v>
      </c>
      <c r="I738" s="6" t="s">
        <v>281</v>
      </c>
      <c r="J738" s="6" t="s">
        <v>311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378</v>
      </c>
      <c r="F739" s="159">
        <v>32</v>
      </c>
      <c r="G739" s="159">
        <v>5.01</v>
      </c>
      <c r="H739" s="156">
        <f t="shared" si="28"/>
        <v>160.32</v>
      </c>
      <c r="I739" s="6" t="s">
        <v>281</v>
      </c>
      <c r="J739" s="6" t="s">
        <v>311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378</v>
      </c>
      <c r="F740" s="159">
        <v>1</v>
      </c>
      <c r="G740" s="159">
        <v>70.28</v>
      </c>
      <c r="H740" s="156">
        <f t="shared" si="28"/>
        <v>70.28</v>
      </c>
      <c r="I740" s="6" t="s">
        <v>281</v>
      </c>
      <c r="J740" s="6" t="s">
        <v>311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379</v>
      </c>
      <c r="F741" s="156">
        <v>47</v>
      </c>
      <c r="G741" s="156">
        <v>48.49</v>
      </c>
      <c r="H741" s="156">
        <f t="shared" si="28"/>
        <v>2279.03</v>
      </c>
      <c r="I741" s="6" t="s">
        <v>281</v>
      </c>
      <c r="J741" s="6" t="s">
        <v>303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379</v>
      </c>
      <c r="F742" s="156">
        <v>96</v>
      </c>
      <c r="G742" s="156">
        <v>5.01</v>
      </c>
      <c r="H742" s="156">
        <f t="shared" si="28"/>
        <v>480.96</v>
      </c>
      <c r="I742" s="6" t="s">
        <v>281</v>
      </c>
      <c r="J742" s="6" t="s">
        <v>303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379</v>
      </c>
      <c r="F743" s="156">
        <v>48</v>
      </c>
      <c r="G743" s="156">
        <v>2.35</v>
      </c>
      <c r="H743" s="156">
        <f t="shared" si="28"/>
        <v>112.8</v>
      </c>
      <c r="I743" s="6" t="s">
        <v>281</v>
      </c>
      <c r="J743" s="6" t="s">
        <v>303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379</v>
      </c>
      <c r="F744" s="156">
        <v>24</v>
      </c>
      <c r="G744" s="156">
        <v>5.81</v>
      </c>
      <c r="H744" s="156">
        <f t="shared" si="28"/>
        <v>139.44</v>
      </c>
      <c r="I744" s="6" t="s">
        <v>281</v>
      </c>
      <c r="J744" s="6" t="s">
        <v>303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380</v>
      </c>
      <c r="J745" s="6" t="s">
        <v>381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380</v>
      </c>
      <c r="J746" s="6" t="s">
        <v>381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380</v>
      </c>
      <c r="J747" s="6" t="s">
        <v>381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380</v>
      </c>
      <c r="J748" s="6" t="s">
        <v>381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380</v>
      </c>
      <c r="J749" s="6" t="s">
        <v>381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380</v>
      </c>
      <c r="J750" s="6" t="s">
        <v>381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380</v>
      </c>
      <c r="J751" s="6" t="s">
        <v>381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380</v>
      </c>
      <c r="J752" s="6" t="s">
        <v>382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380</v>
      </c>
      <c r="J753" s="6" t="s">
        <v>382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380</v>
      </c>
      <c r="J754" s="6" t="s">
        <v>382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380</v>
      </c>
      <c r="J755" s="6" t="s">
        <v>382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380</v>
      </c>
      <c r="J756" s="6" t="s">
        <v>382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380</v>
      </c>
      <c r="J757" s="6" t="s">
        <v>382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380</v>
      </c>
      <c r="J758" s="6" t="s">
        <v>383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380</v>
      </c>
      <c r="J759" s="6" t="s">
        <v>383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380</v>
      </c>
      <c r="J760" s="6" t="s">
        <v>383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380</v>
      </c>
      <c r="J761" s="6" t="s">
        <v>383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380</v>
      </c>
      <c r="J762" s="6" t="s">
        <v>383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380</v>
      </c>
      <c r="J763" s="6" t="s">
        <v>383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380</v>
      </c>
      <c r="J764" s="6" t="s">
        <v>383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380</v>
      </c>
      <c r="J765" s="6" t="s">
        <v>384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380</v>
      </c>
      <c r="J766" s="6" t="s">
        <v>384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380</v>
      </c>
      <c r="J767" s="6" t="s">
        <v>384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380</v>
      </c>
      <c r="J768" s="6" t="s">
        <v>384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380</v>
      </c>
      <c r="J769" s="6" t="s">
        <v>384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380</v>
      </c>
      <c r="J770" s="6" t="s">
        <v>384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380</v>
      </c>
      <c r="J771" s="6" t="s">
        <v>384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380</v>
      </c>
      <c r="J772" s="6" t="s">
        <v>385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380</v>
      </c>
      <c r="J773" s="6" t="s">
        <v>385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380</v>
      </c>
      <c r="J774" s="6" t="s">
        <v>385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380</v>
      </c>
      <c r="J775" s="6" t="s">
        <v>385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380</v>
      </c>
      <c r="J776" s="6" t="s">
        <v>385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380</v>
      </c>
      <c r="J777" s="6" t="s">
        <v>385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380</v>
      </c>
      <c r="J778" s="6" t="s">
        <v>385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380</v>
      </c>
      <c r="J779" s="6" t="s">
        <v>386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380</v>
      </c>
      <c r="J780" s="6" t="s">
        <v>386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380</v>
      </c>
      <c r="J781" s="6" t="s">
        <v>386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380</v>
      </c>
      <c r="J782" s="6" t="s">
        <v>386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380</v>
      </c>
      <c r="J783" s="6" t="s">
        <v>386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380</v>
      </c>
      <c r="J784" s="6" t="s">
        <v>386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387</v>
      </c>
      <c r="E785" s="15"/>
      <c r="F785" s="15">
        <v>24</v>
      </c>
      <c r="G785" s="15">
        <v>12.63</v>
      </c>
      <c r="H785" s="15">
        <v>303.12</v>
      </c>
      <c r="I785" s="20" t="s">
        <v>290</v>
      </c>
      <c r="J785" s="15" t="s">
        <v>291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387</v>
      </c>
      <c r="E786" s="15"/>
      <c r="F786" s="15">
        <v>64</v>
      </c>
      <c r="G786" s="15">
        <v>6.98</v>
      </c>
      <c r="H786" s="15">
        <v>446.72</v>
      </c>
      <c r="I786" s="20" t="s">
        <v>290</v>
      </c>
      <c r="J786" s="15" t="s">
        <v>291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387</v>
      </c>
      <c r="E787" s="15"/>
      <c r="F787" s="15">
        <v>30</v>
      </c>
      <c r="G787" s="15">
        <v>4.28</v>
      </c>
      <c r="H787" s="15">
        <v>128.4</v>
      </c>
      <c r="I787" s="20" t="s">
        <v>290</v>
      </c>
      <c r="J787" s="15" t="s">
        <v>291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387</v>
      </c>
      <c r="E788" s="15"/>
      <c r="F788" s="15">
        <v>60</v>
      </c>
      <c r="G788" s="15">
        <v>4.61</v>
      </c>
      <c r="H788" s="15">
        <v>276.6</v>
      </c>
      <c r="I788" s="20" t="s">
        <v>290</v>
      </c>
      <c r="J788" s="15" t="s">
        <v>291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387</v>
      </c>
      <c r="E789" s="15"/>
      <c r="F789" s="15">
        <v>120</v>
      </c>
      <c r="G789" s="15">
        <v>1.7</v>
      </c>
      <c r="H789" s="15">
        <v>204</v>
      </c>
      <c r="I789" s="20" t="s">
        <v>290</v>
      </c>
      <c r="J789" s="15" t="s">
        <v>291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387</v>
      </c>
      <c r="E790" s="15"/>
      <c r="F790" s="15">
        <v>60</v>
      </c>
      <c r="G790" s="15">
        <v>3.36</v>
      </c>
      <c r="H790" s="15">
        <v>201.6</v>
      </c>
      <c r="I790" s="20" t="s">
        <v>290</v>
      </c>
      <c r="J790" s="15" t="s">
        <v>291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387</v>
      </c>
      <c r="E791" s="15"/>
      <c r="F791" s="15">
        <v>36</v>
      </c>
      <c r="G791" s="15">
        <v>2.61</v>
      </c>
      <c r="H791" s="15">
        <v>93.96</v>
      </c>
      <c r="I791" s="20" t="s">
        <v>290</v>
      </c>
      <c r="J791" s="15" t="s">
        <v>291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388</v>
      </c>
      <c r="E792" s="15"/>
      <c r="F792" s="15">
        <v>16</v>
      </c>
      <c r="G792" s="15">
        <v>6.98</v>
      </c>
      <c r="H792" s="15">
        <v>111.68</v>
      </c>
      <c r="I792" s="20" t="s">
        <v>290</v>
      </c>
      <c r="J792" s="15" t="s">
        <v>297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388</v>
      </c>
      <c r="E793" s="15"/>
      <c r="F793" s="15">
        <v>30</v>
      </c>
      <c r="G793" s="15">
        <v>4.28</v>
      </c>
      <c r="H793" s="15">
        <v>128.4</v>
      </c>
      <c r="I793" s="20" t="s">
        <v>290</v>
      </c>
      <c r="J793" s="15" t="s">
        <v>297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388</v>
      </c>
      <c r="E794" s="15"/>
      <c r="F794" s="15">
        <v>4</v>
      </c>
      <c r="G794" s="15">
        <v>14.89</v>
      </c>
      <c r="H794" s="15">
        <v>59.56</v>
      </c>
      <c r="I794" s="20" t="s">
        <v>290</v>
      </c>
      <c r="J794" s="15" t="s">
        <v>297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388</v>
      </c>
      <c r="E795" s="15"/>
      <c r="F795" s="15">
        <v>24</v>
      </c>
      <c r="G795" s="15">
        <v>3.36</v>
      </c>
      <c r="H795" s="15">
        <v>80.64</v>
      </c>
      <c r="I795" s="20" t="s">
        <v>290</v>
      </c>
      <c r="J795" s="15" t="s">
        <v>297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389</v>
      </c>
      <c r="E796" s="15"/>
      <c r="F796" s="15">
        <v>120</v>
      </c>
      <c r="G796" s="15">
        <v>14.89</v>
      </c>
      <c r="H796" s="15">
        <v>1786.8</v>
      </c>
      <c r="I796" s="20" t="s">
        <v>290</v>
      </c>
      <c r="J796" s="15" t="s">
        <v>297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389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290</v>
      </c>
      <c r="J797" s="15" t="s">
        <v>297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281</v>
      </c>
      <c r="J798" s="15" t="s">
        <v>300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281</v>
      </c>
      <c r="J799" s="15" t="s">
        <v>300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281</v>
      </c>
      <c r="J800" s="15" t="s">
        <v>300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281</v>
      </c>
      <c r="J801" s="15" t="s">
        <v>300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281</v>
      </c>
      <c r="J802" s="15" t="s">
        <v>300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372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374</v>
      </c>
      <c r="J803" s="6" t="s">
        <v>374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372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374</v>
      </c>
      <c r="J804" s="6" t="s">
        <v>374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372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374</v>
      </c>
      <c r="J805" s="6" t="s">
        <v>374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372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374</v>
      </c>
      <c r="J806" s="6" t="s">
        <v>374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372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374</v>
      </c>
      <c r="J807" s="6" t="s">
        <v>374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372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374</v>
      </c>
      <c r="J808" s="6" t="s">
        <v>374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372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374</v>
      </c>
      <c r="J809" s="6" t="s">
        <v>374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372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374</v>
      </c>
      <c r="J810" s="6" t="s">
        <v>374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372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374</v>
      </c>
      <c r="J811" s="6" t="s">
        <v>374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372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374</v>
      </c>
      <c r="J812" s="6" t="s">
        <v>374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372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374</v>
      </c>
      <c r="J813" s="6" t="s">
        <v>374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390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290</v>
      </c>
      <c r="J814" s="15" t="s">
        <v>297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281</v>
      </c>
      <c r="J815" s="156" t="s">
        <v>306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281</v>
      </c>
      <c r="J816" s="156" t="s">
        <v>306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281</v>
      </c>
      <c r="J817" s="156" t="s">
        <v>306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281</v>
      </c>
      <c r="J818" s="156" t="s">
        <v>306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281</v>
      </c>
      <c r="J819" s="156" t="s">
        <v>306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281</v>
      </c>
      <c r="J820" s="156" t="s">
        <v>303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281</v>
      </c>
      <c r="J821" s="156" t="s">
        <v>303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281</v>
      </c>
      <c r="J822" s="156" t="s">
        <v>303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281</v>
      </c>
      <c r="J823" s="156" t="s">
        <v>303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281</v>
      </c>
      <c r="J824" s="156" t="s">
        <v>303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281</v>
      </c>
      <c r="J825" s="156" t="s">
        <v>303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281</v>
      </c>
      <c r="J826" s="156" t="s">
        <v>303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281</v>
      </c>
      <c r="J827" s="156" t="s">
        <v>303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391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374</v>
      </c>
      <c r="J828" s="6" t="s">
        <v>374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391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374</v>
      </c>
      <c r="J829" s="6" t="s">
        <v>374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391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374</v>
      </c>
      <c r="J830" s="6" t="s">
        <v>374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tr">
        <f>VLOOKUP(C831,'Product List'!A:C,3,0)</f>
        <v>MINI/MOE SILENT CRSTL RUN WHEEL LG 8.5-Green</v>
      </c>
      <c r="C831" s="15" t="s">
        <v>61</v>
      </c>
      <c r="D831" s="163" t="s">
        <v>392</v>
      </c>
      <c r="E831" s="156"/>
      <c r="F831" s="156">
        <v>48</v>
      </c>
      <c r="G831" s="86">
        <v>12.63</v>
      </c>
      <c r="H831" s="86">
        <v>606.24</v>
      </c>
      <c r="I831" s="6" t="s">
        <v>290</v>
      </c>
      <c r="J831" s="6" t="s">
        <v>297</v>
      </c>
      <c r="K831" s="160">
        <v>46262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tr">
        <f>VLOOKUP(C832,'Product List'!A:C,3,0)</f>
        <v>MINI/MOE TV VIEWING CAGE</v>
      </c>
      <c r="C832" s="15" t="s">
        <v>28</v>
      </c>
      <c r="D832" s="163" t="s">
        <v>392</v>
      </c>
      <c r="E832" s="156"/>
      <c r="F832" s="156">
        <v>39</v>
      </c>
      <c r="G832" s="86">
        <v>51.71</v>
      </c>
      <c r="H832" s="86">
        <v>2016.69</v>
      </c>
      <c r="I832" s="6" t="s">
        <v>290</v>
      </c>
      <c r="J832" s="6" t="s">
        <v>297</v>
      </c>
      <c r="K832" s="160">
        <v>46262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tr">
        <f>VLOOKUP(C833,'Product List'!A:C,3,0)</f>
        <v>MINI/MOE TULIP WATER BOTTLE</v>
      </c>
      <c r="C833" s="15" t="s">
        <v>32</v>
      </c>
      <c r="D833" s="163" t="s">
        <v>392</v>
      </c>
      <c r="E833" s="156"/>
      <c r="F833" s="156">
        <v>120</v>
      </c>
      <c r="G833" s="86">
        <v>1.7</v>
      </c>
      <c r="H833" s="86">
        <v>204</v>
      </c>
      <c r="I833" s="6" t="s">
        <v>290</v>
      </c>
      <c r="J833" s="6" t="s">
        <v>297</v>
      </c>
      <c r="K833" s="160">
        <v>46262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tr">
        <f>VLOOKUP(C834,'Product List'!A:C,3,0)</f>
        <v>MINI/MOE BENDABLE BIRCHWOOD FENCE</v>
      </c>
      <c r="C834" s="15" t="s">
        <v>54</v>
      </c>
      <c r="D834" s="163" t="s">
        <v>392</v>
      </c>
      <c r="E834" s="156"/>
      <c r="F834" s="156">
        <v>64</v>
      </c>
      <c r="G834" s="86">
        <v>4.65</v>
      </c>
      <c r="H834" s="86">
        <v>297.6</v>
      </c>
      <c r="I834" s="6" t="s">
        <v>290</v>
      </c>
      <c r="J834" s="6" t="s">
        <v>297</v>
      </c>
      <c r="K834" s="160">
        <v>46262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tr">
        <f>VLOOKUP(C835,'Product List'!A:C,3,0)</f>
        <v>D. MMO-COTTAGE VIEW CAGE</v>
      </c>
      <c r="C835" s="15" t="s">
        <v>58</v>
      </c>
      <c r="D835" s="163" t="s">
        <v>392</v>
      </c>
      <c r="E835" s="156"/>
      <c r="F835" s="156">
        <v>32</v>
      </c>
      <c r="G835" s="86">
        <v>70.28</v>
      </c>
      <c r="H835" s="86">
        <v>2248.96</v>
      </c>
      <c r="I835" s="6" t="s">
        <v>290</v>
      </c>
      <c r="J835" s="6" t="s">
        <v>297</v>
      </c>
      <c r="K835" s="160">
        <v>46262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tr">
        <f>VLOOKUP(C836,'Product List'!A:C,3,0)</f>
        <v>MINI/MOE SILENT CRSTL RUN WHEEL XL 11.5 1EA</v>
      </c>
      <c r="C836" s="15" t="s">
        <v>48</v>
      </c>
      <c r="D836" s="163" t="s">
        <v>392</v>
      </c>
      <c r="E836" s="156"/>
      <c r="F836" s="156">
        <v>129</v>
      </c>
      <c r="G836" s="86">
        <v>19.75</v>
      </c>
      <c r="H836" s="86">
        <v>2547.75</v>
      </c>
      <c r="I836" s="6" t="s">
        <v>290</v>
      </c>
      <c r="J836" s="6" t="s">
        <v>297</v>
      </c>
      <c r="K836" s="160">
        <v>46262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tr">
        <f>VLOOKUP(C837,'Product List'!A:C,3,0)</f>
        <v>MINI/MOE RUFFLE BOWL</v>
      </c>
      <c r="C837" s="15" t="s">
        <v>53</v>
      </c>
      <c r="D837" s="163" t="s">
        <v>392</v>
      </c>
      <c r="E837" s="156"/>
      <c r="F837" s="156">
        <v>48</v>
      </c>
      <c r="G837" s="86">
        <v>2.25</v>
      </c>
      <c r="H837" s="86">
        <v>108</v>
      </c>
      <c r="I837" s="6" t="s">
        <v>290</v>
      </c>
      <c r="J837" s="6" t="s">
        <v>297</v>
      </c>
      <c r="K837" s="160">
        <v>46262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tr">
        <f>VLOOKUP(C838,'Product List'!A:C,3,0)</f>
        <v>MINI/MOE WOODLAND POTTY</v>
      </c>
      <c r="C838" s="15" t="s">
        <v>62</v>
      </c>
      <c r="D838" s="163" t="s">
        <v>392</v>
      </c>
      <c r="E838" s="156"/>
      <c r="F838" s="156">
        <v>72</v>
      </c>
      <c r="G838" s="86">
        <v>2.61</v>
      </c>
      <c r="H838" s="86">
        <v>187.92</v>
      </c>
      <c r="I838" s="6" t="s">
        <v>290</v>
      </c>
      <c r="J838" s="6" t="s">
        <v>297</v>
      </c>
      <c r="K838" s="160">
        <v>46262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tr">
        <f>VLOOKUP(C839,'Product List'!A:C,3,0)</f>
        <v>MINI/MOE SILENT CRSTL RUN WHEEL LG 8.5-Green</v>
      </c>
      <c r="C839" s="15" t="s">
        <v>61</v>
      </c>
      <c r="D839" s="163" t="s">
        <v>393</v>
      </c>
      <c r="E839" s="156"/>
      <c r="F839" s="156">
        <v>184</v>
      </c>
      <c r="G839" s="86">
        <v>12.63</v>
      </c>
      <c r="H839" s="86">
        <v>2323.92</v>
      </c>
      <c r="I839" s="6" t="s">
        <v>290</v>
      </c>
      <c r="J839" s="6" t="s">
        <v>291</v>
      </c>
      <c r="K839" s="160">
        <v>46262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tr">
        <f>VLOOKUP(C840,'Product List'!A:C,3,0)</f>
        <v>MINI/MOE TV VIEWING CAGE</v>
      </c>
      <c r="C840" s="15" t="s">
        <v>28</v>
      </c>
      <c r="D840" s="163" t="s">
        <v>393</v>
      </c>
      <c r="E840" s="156"/>
      <c r="F840" s="156">
        <v>134</v>
      </c>
      <c r="G840" s="86">
        <v>51.71</v>
      </c>
      <c r="H840" s="86">
        <v>6929.14</v>
      </c>
      <c r="I840" s="6" t="s">
        <v>290</v>
      </c>
      <c r="J840" s="6" t="s">
        <v>291</v>
      </c>
      <c r="K840" s="160">
        <v>46262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tr">
        <f>VLOOKUP(C841,'Product List'!A:C,3,0)</f>
        <v>MINI/MOE TULIP WATER BOTTLE</v>
      </c>
      <c r="C841" s="15" t="s">
        <v>32</v>
      </c>
      <c r="D841" s="163" t="s">
        <v>393</v>
      </c>
      <c r="E841" s="156"/>
      <c r="F841" s="156">
        <v>240</v>
      </c>
      <c r="G841" s="86">
        <v>1.7</v>
      </c>
      <c r="H841" s="86">
        <v>408</v>
      </c>
      <c r="I841" s="6" t="s">
        <v>290</v>
      </c>
      <c r="J841" s="6" t="s">
        <v>291</v>
      </c>
      <c r="K841" s="160">
        <v>46262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tr">
        <f>VLOOKUP(C842,'Product List'!A:C,3,0)</f>
        <v>MINI/MOE BENDABLE BIRCHWOOD FENCE</v>
      </c>
      <c r="C842" s="15" t="s">
        <v>54</v>
      </c>
      <c r="D842" s="163" t="s">
        <v>393</v>
      </c>
      <c r="E842" s="156"/>
      <c r="F842" s="156">
        <v>128</v>
      </c>
      <c r="G842" s="86">
        <v>4.65</v>
      </c>
      <c r="H842" s="86">
        <v>595.2</v>
      </c>
      <c r="I842" s="6" t="s">
        <v>290</v>
      </c>
      <c r="J842" s="6" t="s">
        <v>291</v>
      </c>
      <c r="K842" s="160">
        <v>46262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tr">
        <f>VLOOKUP(C843,'Product List'!A:C,3,0)</f>
        <v>D. MMO-COTTAGE VIEW CAGE</v>
      </c>
      <c r="C843" s="15" t="s">
        <v>58</v>
      </c>
      <c r="D843" s="163" t="s">
        <v>393</v>
      </c>
      <c r="E843" s="156"/>
      <c r="F843" s="156">
        <v>47</v>
      </c>
      <c r="G843" s="86">
        <v>70.28</v>
      </c>
      <c r="H843" s="86">
        <v>3303.16</v>
      </c>
      <c r="I843" s="6" t="s">
        <v>290</v>
      </c>
      <c r="J843" s="6" t="s">
        <v>291</v>
      </c>
      <c r="K843" s="160">
        <v>46262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tr">
        <f>VLOOKUP(C844,'Product List'!A:C,3,0)</f>
        <v>MINI/MOE SILENT CRSTL RUN WHEEL XL 11.5 1EA</v>
      </c>
      <c r="C844" s="15" t="s">
        <v>48</v>
      </c>
      <c r="D844" s="163" t="s">
        <v>393</v>
      </c>
      <c r="E844" s="156"/>
      <c r="F844" s="156">
        <v>279</v>
      </c>
      <c r="G844" s="86">
        <v>19.75</v>
      </c>
      <c r="H844" s="86">
        <v>5510.25</v>
      </c>
      <c r="I844" s="6" t="s">
        <v>290</v>
      </c>
      <c r="J844" s="6" t="s">
        <v>291</v>
      </c>
      <c r="K844" s="160">
        <v>46262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tr">
        <f>VLOOKUP(C845,'Product List'!A:C,3,0)</f>
        <v>MINI/MOE RUFFLE BOWL</v>
      </c>
      <c r="C845" s="15" t="s">
        <v>53</v>
      </c>
      <c r="D845" s="163" t="s">
        <v>393</v>
      </c>
      <c r="E845" s="156"/>
      <c r="F845" s="156">
        <v>48</v>
      </c>
      <c r="G845" s="86">
        <v>2.25</v>
      </c>
      <c r="H845" s="86">
        <v>108</v>
      </c>
      <c r="I845" s="6" t="s">
        <v>290</v>
      </c>
      <c r="J845" s="6" t="s">
        <v>291</v>
      </c>
      <c r="K845" s="160">
        <v>46262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tr">
        <f>VLOOKUP(C846,'Product List'!A:C,3,0)</f>
        <v>MINI/MOE WOODLAND POTTY</v>
      </c>
      <c r="C846" s="15" t="s">
        <v>62</v>
      </c>
      <c r="D846" s="163" t="s">
        <v>393</v>
      </c>
      <c r="E846" s="156"/>
      <c r="F846" s="156">
        <v>108</v>
      </c>
      <c r="G846" s="86">
        <v>2.61</v>
      </c>
      <c r="H846" s="86">
        <v>281.88</v>
      </c>
      <c r="I846" s="6" t="s">
        <v>290</v>
      </c>
      <c r="J846" s="6" t="s">
        <v>291</v>
      </c>
      <c r="K846" s="160">
        <v>46262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tr">
        <f>VLOOKUP(C847,'Product List'!A:C,3,0)</f>
        <v>MINI/MOE MUSHROOM CABIN</v>
      </c>
      <c r="C847" s="15" t="s">
        <v>59</v>
      </c>
      <c r="D847" s="163" t="s">
        <v>394</v>
      </c>
      <c r="E847" s="156"/>
      <c r="F847" s="156">
        <v>208</v>
      </c>
      <c r="G847" s="86">
        <v>6.98</v>
      </c>
      <c r="H847" s="86">
        <v>1451.84</v>
      </c>
      <c r="I847" s="6" t="s">
        <v>290</v>
      </c>
      <c r="J847" s="6" t="s">
        <v>291</v>
      </c>
      <c r="K847" s="160">
        <v>46262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tr">
        <f>VLOOKUP(C848,'Product List'!A:C,3,0)</f>
        <v>MINI/MOE TREEHOUSE CABIN</v>
      </c>
      <c r="C848" s="15" t="s">
        <v>60</v>
      </c>
      <c r="D848" s="163" t="s">
        <v>394</v>
      </c>
      <c r="E848" s="156"/>
      <c r="F848" s="156">
        <v>300</v>
      </c>
      <c r="G848" s="86">
        <v>4.28</v>
      </c>
      <c r="H848" s="86">
        <v>1284</v>
      </c>
      <c r="I848" s="6" t="s">
        <v>290</v>
      </c>
      <c r="J848" s="6" t="s">
        <v>291</v>
      </c>
      <c r="K848" s="160">
        <v>46262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tr">
        <f>VLOOKUP(C849,'Product List'!A:C,3,0)</f>
        <v>MINI/MOE IVY BURROWING BOX</v>
      </c>
      <c r="C849" s="15" t="s">
        <v>57</v>
      </c>
      <c r="D849" s="163" t="s">
        <v>394</v>
      </c>
      <c r="E849" s="156"/>
      <c r="F849" s="156">
        <v>448</v>
      </c>
      <c r="G849" s="86">
        <v>14.89</v>
      </c>
      <c r="H849" s="86">
        <v>6670.72</v>
      </c>
      <c r="I849" s="6" t="s">
        <v>290</v>
      </c>
      <c r="J849" s="6" t="s">
        <v>291</v>
      </c>
      <c r="K849" s="160">
        <v>46262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tr">
        <f>VLOOKUP(C850,'Product List'!A:C,3,0)</f>
        <v>MINI/MOE TULIP WATER BOTTLE</v>
      </c>
      <c r="C850" s="15" t="s">
        <v>32</v>
      </c>
      <c r="D850" s="163" t="s">
        <v>394</v>
      </c>
      <c r="E850" s="156"/>
      <c r="F850" s="156">
        <v>120</v>
      </c>
      <c r="G850" s="86">
        <v>1.7</v>
      </c>
      <c r="H850" s="86">
        <v>204</v>
      </c>
      <c r="I850" s="6" t="s">
        <v>290</v>
      </c>
      <c r="J850" s="6" t="s">
        <v>291</v>
      </c>
      <c r="K850" s="160">
        <v>46262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tr">
        <f>VLOOKUP(C851,'Product List'!A:C,3,0)</f>
        <v>MINI/MOE CAMPING TENT HIDE</v>
      </c>
      <c r="C851" s="15" t="s">
        <v>31</v>
      </c>
      <c r="D851" s="163" t="s">
        <v>394</v>
      </c>
      <c r="E851" s="156"/>
      <c r="F851" s="156">
        <v>312</v>
      </c>
      <c r="G851" s="86">
        <v>3.36</v>
      </c>
      <c r="H851" s="86">
        <v>1048.32</v>
      </c>
      <c r="I851" s="6" t="s">
        <v>290</v>
      </c>
      <c r="J851" s="6" t="s">
        <v>291</v>
      </c>
      <c r="K851" s="160">
        <v>46262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tr">
        <f>VLOOKUP(C852,'Product List'!A:C,3,0)</f>
        <v>MINI/MOE RUFFLE BOWL</v>
      </c>
      <c r="C852" s="15" t="s">
        <v>53</v>
      </c>
      <c r="D852" s="163" t="s">
        <v>394</v>
      </c>
      <c r="E852" s="156"/>
      <c r="F852" s="156">
        <v>48</v>
      </c>
      <c r="G852" s="86">
        <v>2.25</v>
      </c>
      <c r="H852" s="86">
        <v>108</v>
      </c>
      <c r="I852" s="6" t="s">
        <v>290</v>
      </c>
      <c r="J852" s="6" t="s">
        <v>291</v>
      </c>
      <c r="K852" s="160">
        <v>46262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tr">
        <f>VLOOKUP(C853,'Product List'!A:C,3,0)</f>
        <v>MINI/MOE MUSHROOM CABIN</v>
      </c>
      <c r="C853" s="15" t="s">
        <v>59</v>
      </c>
      <c r="D853" s="163" t="s">
        <v>395</v>
      </c>
      <c r="E853" s="156"/>
      <c r="F853" s="156">
        <v>80</v>
      </c>
      <c r="G853" s="86">
        <v>6.98</v>
      </c>
      <c r="H853" s="86">
        <v>558.4</v>
      </c>
      <c r="I853" s="6" t="s">
        <v>290</v>
      </c>
      <c r="J853" s="6" t="s">
        <v>297</v>
      </c>
      <c r="K853" s="160">
        <v>46262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tr">
        <f>VLOOKUP(C854,'Product List'!A:C,3,0)</f>
        <v>MINI/MOE TREEHOUSE CABIN</v>
      </c>
      <c r="C854" s="15" t="s">
        <v>60</v>
      </c>
      <c r="D854" s="163" t="s">
        <v>395</v>
      </c>
      <c r="E854" s="156"/>
      <c r="F854" s="156">
        <v>120</v>
      </c>
      <c r="G854" s="86">
        <v>4.28</v>
      </c>
      <c r="H854" s="86">
        <v>513.6</v>
      </c>
      <c r="I854" s="6" t="s">
        <v>290</v>
      </c>
      <c r="J854" s="6" t="s">
        <v>297</v>
      </c>
      <c r="K854" s="160">
        <v>46262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tr">
        <f>VLOOKUP(C855,'Product List'!A:C,3,0)</f>
        <v>MINI/MOE GARDEN TEAPOT</v>
      </c>
      <c r="C855" s="15" t="s">
        <v>64</v>
      </c>
      <c r="D855" s="163" t="s">
        <v>395</v>
      </c>
      <c r="E855" s="156"/>
      <c r="F855" s="156">
        <v>60</v>
      </c>
      <c r="G855" s="86">
        <v>4.61</v>
      </c>
      <c r="H855" s="86">
        <v>276.6</v>
      </c>
      <c r="I855" s="6" t="s">
        <v>290</v>
      </c>
      <c r="J855" s="6" t="s">
        <v>297</v>
      </c>
      <c r="K855" s="160">
        <v>46262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tr">
        <f>VLOOKUP(C856,'Product List'!A:C,3,0)</f>
        <v>MINI/MOE IVY BURROWING BOX</v>
      </c>
      <c r="C856" s="15" t="s">
        <v>57</v>
      </c>
      <c r="D856" s="163" t="s">
        <v>395</v>
      </c>
      <c r="E856" s="156"/>
      <c r="F856" s="156">
        <v>4</v>
      </c>
      <c r="G856" s="86">
        <v>14.89</v>
      </c>
      <c r="H856" s="86">
        <v>59.56</v>
      </c>
      <c r="I856" s="6" t="s">
        <v>290</v>
      </c>
      <c r="J856" s="6" t="s">
        <v>297</v>
      </c>
      <c r="K856" s="160">
        <v>46262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tr">
        <f>VLOOKUP(C857,'Product List'!A:C,3,0)</f>
        <v>MINI/MOE TULIP WATER BOTTLE</v>
      </c>
      <c r="C857" s="15" t="s">
        <v>32</v>
      </c>
      <c r="D857" s="163" t="s">
        <v>395</v>
      </c>
      <c r="E857" s="156"/>
      <c r="F857" s="156">
        <v>60</v>
      </c>
      <c r="G857" s="86">
        <v>1.7</v>
      </c>
      <c r="H857" s="86">
        <v>102</v>
      </c>
      <c r="I857" s="6" t="s">
        <v>290</v>
      </c>
      <c r="J857" s="6" t="s">
        <v>297</v>
      </c>
      <c r="K857" s="160">
        <v>46262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tr">
        <f>VLOOKUP(C858,'Product List'!A:C,3,0)</f>
        <v>MINI/MOE CAMPING TENT HIDE</v>
      </c>
      <c r="C858" s="15" t="s">
        <v>31</v>
      </c>
      <c r="D858" s="163" t="s">
        <v>395</v>
      </c>
      <c r="E858" s="156"/>
      <c r="F858" s="156">
        <v>168</v>
      </c>
      <c r="G858" s="86">
        <v>3.36</v>
      </c>
      <c r="H858" s="86">
        <v>564.48</v>
      </c>
      <c r="I858" s="6" t="s">
        <v>290</v>
      </c>
      <c r="J858" s="6" t="s">
        <v>297</v>
      </c>
      <c r="K858" s="160">
        <v>46262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  <row r="859" customHeight="1" spans="1:18">
      <c r="A859" s="132">
        <v>46248</v>
      </c>
      <c r="B859" s="15" t="str">
        <f>VLOOKUP(C859,'Product List'!A:C,3,0)</f>
        <v>MINI/MOE SILENT CRSTL RUN WHEEL LG 8.5-White</v>
      </c>
      <c r="C859" t="s">
        <v>41</v>
      </c>
      <c r="D859" s="163">
        <v>31877481</v>
      </c>
      <c r="E859" s="163"/>
      <c r="F859" s="163">
        <v>48</v>
      </c>
      <c r="G859" s="163">
        <v>13.22</v>
      </c>
      <c r="H859" s="163">
        <v>634.56</v>
      </c>
      <c r="I859" s="163" t="s">
        <v>281</v>
      </c>
      <c r="J859" s="163" t="s">
        <v>311</v>
      </c>
      <c r="K859" s="160">
        <v>46288</v>
      </c>
      <c r="M859" s="138">
        <v>6.27</v>
      </c>
      <c r="N859" s="138">
        <v>300.96</v>
      </c>
      <c r="O859" s="19">
        <f>F859/_xlfn.XLOOKUP(C859,'Product List'!A:A,'Product List'!J:J)</f>
        <v>6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0.94</v>
      </c>
    </row>
    <row r="860" customHeight="1" spans="1:18">
      <c r="A860" s="132">
        <v>46248</v>
      </c>
      <c r="B860" s="15" t="str">
        <f>VLOOKUP(C860,'Product List'!A:C,3,0)</f>
        <v>MINI/MOE BENDABLE BIRCHWOOD FENCE</v>
      </c>
      <c r="C860" t="s">
        <v>54</v>
      </c>
      <c r="D860" s="163">
        <v>31877481</v>
      </c>
      <c r="E860" s="163"/>
      <c r="F860" s="163">
        <v>64</v>
      </c>
      <c r="G860" s="163">
        <v>5.01</v>
      </c>
      <c r="H860" s="163">
        <v>320.64</v>
      </c>
      <c r="I860" s="163" t="s">
        <v>281</v>
      </c>
      <c r="J860" s="163" t="s">
        <v>311</v>
      </c>
      <c r="K860" s="160">
        <v>46288</v>
      </c>
      <c r="M860" s="138">
        <v>2.63</v>
      </c>
      <c r="N860" s="138">
        <v>168.32</v>
      </c>
      <c r="O860" s="19">
        <f>F860/_xlfn.XLOOKUP(C860,'Product List'!A:A,'Product List'!J:J)</f>
        <v>2</v>
      </c>
      <c r="P860" s="19" t="str">
        <f>IF(COUNTIF('PO Check'!A:A,D860)&gt;0,"Yes","No")</f>
        <v>No</v>
      </c>
      <c r="Q860" s="19" t="str">
        <f>VLOOKUP(C860,'Product List'!A:V,22,0)</f>
        <v>F</v>
      </c>
      <c r="R860" s="19">
        <f>ROUND(IFERROR(VLOOKUP(Q860,'Case Pack'!A:H,8,0),0)*O860,2)</f>
        <v>0.07</v>
      </c>
    </row>
    <row r="861" customHeight="1" spans="1:18">
      <c r="A861" s="132">
        <v>46248</v>
      </c>
      <c r="B861" s="15" t="str">
        <f>VLOOKUP(C861,'Product List'!A:C,3,0)</f>
        <v>D. MMO-COTTAGE VIEW CAGE</v>
      </c>
      <c r="C861" t="s">
        <v>58</v>
      </c>
      <c r="D861" s="163">
        <v>31877481</v>
      </c>
      <c r="E861" s="163"/>
      <c r="F861" s="163">
        <v>1</v>
      </c>
      <c r="G861" s="163">
        <v>70.28</v>
      </c>
      <c r="H861" s="163">
        <v>70.28</v>
      </c>
      <c r="I861" s="163" t="s">
        <v>281</v>
      </c>
      <c r="J861" s="163" t="s">
        <v>311</v>
      </c>
      <c r="K861" s="160">
        <v>46288</v>
      </c>
      <c r="M861" s="138">
        <v>28.56</v>
      </c>
      <c r="N861" s="138">
        <v>28.56</v>
      </c>
      <c r="O861" s="19">
        <f>F861/_xlfn.XLOOKUP(C861,'Product List'!A:A,'Product List'!J:J)</f>
        <v>1</v>
      </c>
      <c r="P861" s="19" t="str">
        <f>IF(COUNTIF('PO Check'!A:A,D861)&gt;0,"Yes","No")</f>
        <v>No</v>
      </c>
      <c r="Q861" s="19" t="str">
        <f>VLOOKUP(C861,'Product List'!A:V,22,0)</f>
        <v>S3</v>
      </c>
      <c r="R861" s="19">
        <f>ROUND(IFERROR(VLOOKUP(Q861,'Case Pack'!A:H,8,0),0)*O861,2)</f>
        <v>0.14</v>
      </c>
    </row>
    <row r="862" customHeight="1" spans="1:18">
      <c r="A862" s="132">
        <v>46248</v>
      </c>
      <c r="B862" s="15" t="str">
        <f>VLOOKUP(C862,'Product List'!A:C,3,0)</f>
        <v>MMO-BUBBLE WATER BOTTLE</v>
      </c>
      <c r="C862" t="s">
        <v>25</v>
      </c>
      <c r="D862" s="163">
        <v>31877481</v>
      </c>
      <c r="E862" s="163"/>
      <c r="F862" s="163">
        <v>294</v>
      </c>
      <c r="G862" s="163">
        <v>4.35</v>
      </c>
      <c r="H862" s="163">
        <v>1278.9</v>
      </c>
      <c r="I862" s="163" t="s">
        <v>281</v>
      </c>
      <c r="J862" s="163" t="s">
        <v>311</v>
      </c>
      <c r="K862" s="160">
        <v>46288</v>
      </c>
      <c r="M862" s="138">
        <v>3.1</v>
      </c>
      <c r="N862" s="138">
        <v>911.4</v>
      </c>
      <c r="O862" s="19">
        <f>F862/_xlfn.XLOOKUP(C862,'Product List'!A:A,'Product List'!J:J)</f>
        <v>7</v>
      </c>
      <c r="P862" s="19" t="str">
        <f>IF(COUNTIF('PO Check'!A:A,D862)&gt;0,"Yes","No")</f>
        <v>No</v>
      </c>
      <c r="Q862" s="19" t="str">
        <f>VLOOKUP(C862,'Product List'!A:V,22,0)</f>
        <v>C</v>
      </c>
      <c r="R862" s="19">
        <f>ROUND(IFERROR(VLOOKUP(Q862,'Case Pack'!A:H,8,0),0)*O862,2)</f>
        <v>1.1</v>
      </c>
    </row>
    <row r="863" customHeight="1" spans="1:18">
      <c r="A863" s="132">
        <v>46248</v>
      </c>
      <c r="B863" s="15" t="str">
        <f>VLOOKUP(C863,'Product List'!A:C,3,0)</f>
        <v>MMO-CLOUD WATER BOTTLE</v>
      </c>
      <c r="C863" t="s">
        <v>23</v>
      </c>
      <c r="D863" s="163">
        <v>31877481</v>
      </c>
      <c r="E863" s="163"/>
      <c r="F863" s="163">
        <v>200</v>
      </c>
      <c r="G863" s="163">
        <v>1.32</v>
      </c>
      <c r="H863" s="163">
        <v>264</v>
      </c>
      <c r="I863" s="163" t="s">
        <v>281</v>
      </c>
      <c r="J863" s="163" t="s">
        <v>311</v>
      </c>
      <c r="K863" s="160">
        <v>46288</v>
      </c>
      <c r="M863" s="138">
        <v>0.62</v>
      </c>
      <c r="N863" s="138">
        <v>124</v>
      </c>
      <c r="O863" s="19">
        <f>F863/_xlfn.XLOOKUP(C863,'Product List'!A:A,'Product List'!J:J)</f>
        <v>4</v>
      </c>
      <c r="P863" s="19" t="str">
        <f>IF(COUNTIF('PO Check'!A:A,D863)&gt;0,"Yes","No")</f>
        <v>No</v>
      </c>
      <c r="Q863" s="19" t="str">
        <f>VLOOKUP(C863,'Product List'!A:V,22,0)</f>
        <v>A</v>
      </c>
      <c r="R863" s="19">
        <f>ROUND(IFERROR(VLOOKUP(Q863,'Case Pack'!A:H,8,0),0)*O863,2)</f>
        <v>0.44</v>
      </c>
    </row>
    <row r="864" customHeight="1" spans="1:18">
      <c r="A864" s="132">
        <v>46248</v>
      </c>
      <c r="B864" s="15" t="str">
        <f>VLOOKUP(C864,'Product List'!A:C,3,0)</f>
        <v>MINI/MOE RUFFLE BOWL</v>
      </c>
      <c r="C864" t="s">
        <v>53</v>
      </c>
      <c r="D864" s="163">
        <v>31877481</v>
      </c>
      <c r="E864" s="163"/>
      <c r="F864" s="163">
        <v>192</v>
      </c>
      <c r="G864" s="163">
        <v>2.35</v>
      </c>
      <c r="H864" s="163">
        <v>451.2</v>
      </c>
      <c r="I864" s="163" t="s">
        <v>281</v>
      </c>
      <c r="J864" s="163" t="s">
        <v>311</v>
      </c>
      <c r="K864" s="160">
        <v>46288</v>
      </c>
      <c r="M864" s="138">
        <v>1.34</v>
      </c>
      <c r="N864" s="138">
        <v>257.28</v>
      </c>
      <c r="O864" s="19">
        <f>F864/_xlfn.XLOOKUP(C864,'Product List'!A:A,'Product List'!J:J)</f>
        <v>4</v>
      </c>
      <c r="P864" s="19" t="str">
        <f>IF(COUNTIF('PO Check'!A:A,D864)&gt;0,"Yes","No")</f>
        <v>No</v>
      </c>
      <c r="Q864" s="19" t="str">
        <f>VLOOKUP(C864,'Product List'!A:V,22,0)</f>
        <v>B</v>
      </c>
      <c r="R864" s="19">
        <f>ROUND(IFERROR(VLOOKUP(Q864,'Case Pack'!A:H,8,0),0)*O864,2)</f>
        <v>0.29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T8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275</v>
      </c>
      <c r="C1" s="59" t="s">
        <v>396</v>
      </c>
      <c r="D1" s="59" t="s">
        <v>278</v>
      </c>
      <c r="E1" s="60" t="s">
        <v>21</v>
      </c>
      <c r="F1" s="60" t="s">
        <v>397</v>
      </c>
      <c r="G1" s="60" t="s">
        <v>398</v>
      </c>
      <c r="H1" s="61" t="s">
        <v>136</v>
      </c>
      <c r="I1" s="61" t="s">
        <v>399</v>
      </c>
      <c r="J1" s="61" t="s">
        <v>400</v>
      </c>
      <c r="K1" s="60" t="s">
        <v>401</v>
      </c>
      <c r="L1" s="60" t="s">
        <v>402</v>
      </c>
      <c r="M1" s="62" t="s">
        <v>403</v>
      </c>
      <c r="N1" s="59" t="s">
        <v>404</v>
      </c>
      <c r="O1" s="60" t="s">
        <v>405</v>
      </c>
      <c r="P1" s="59" t="s">
        <v>406</v>
      </c>
      <c r="Q1" s="60" t="s">
        <v>407</v>
      </c>
      <c r="R1" s="60" t="s">
        <v>408</v>
      </c>
      <c r="S1" s="63" t="s">
        <v>131</v>
      </c>
      <c r="T1" s="63" t="s">
        <v>409</v>
      </c>
      <c r="U1" s="59" t="s">
        <v>410</v>
      </c>
      <c r="V1" s="64" t="s">
        <v>411</v>
      </c>
      <c r="W1" s="64" t="s">
        <v>412</v>
      </c>
      <c r="X1" s="64" t="s">
        <v>413</v>
      </c>
      <c r="Y1" s="65" t="s">
        <v>414</v>
      </c>
      <c r="Z1" s="229" t="s">
        <v>415</v>
      </c>
      <c r="AA1" s="66" t="s">
        <v>416</v>
      </c>
      <c r="AB1" s="67" t="s">
        <v>417</v>
      </c>
      <c r="AC1" s="68" t="s">
        <v>418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289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141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419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292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141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420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293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141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421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294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141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422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295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141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423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296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141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424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298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141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425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299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141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426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141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427</v>
      </c>
      <c r="S10" s="84">
        <f>_xlfn.XLOOKUP(A10,Sales!D:D,Sales!K:K)</f>
        <v>46048</v>
      </c>
      <c r="T10" s="84">
        <f>VLOOKUP(A10,Sales!D:L,8,0)</f>
        <v>46048</v>
      </c>
      <c r="U10" s="85" t="s">
        <v>428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141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427</v>
      </c>
      <c r="S11" s="84">
        <f>_xlfn.XLOOKUP(A11,Sales!D:D,Sales!K:K)</f>
        <v>46048</v>
      </c>
      <c r="T11" s="84">
        <f>VLOOKUP(A11,Sales!D:L,8,0)</f>
        <v>46048</v>
      </c>
      <c r="U11" s="85" t="s">
        <v>429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141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427</v>
      </c>
      <c r="S12" s="84">
        <f>_xlfn.XLOOKUP(A12,Sales!D:D,Sales!K:K)</f>
        <v>46048</v>
      </c>
      <c r="T12" s="84">
        <f>VLOOKUP(A12,Sales!D:L,8,0)</f>
        <v>46048</v>
      </c>
      <c r="U12" s="85" t="s">
        <v>430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141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427</v>
      </c>
      <c r="S13" s="84">
        <f>_xlfn.XLOOKUP(A13,Sales!D:D,Sales!K:K)</f>
        <v>46048</v>
      </c>
      <c r="T13" s="84">
        <f>VLOOKUP(A13,Sales!D:L,8,0)</f>
        <v>46048</v>
      </c>
      <c r="U13" s="85" t="s">
        <v>431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141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427</v>
      </c>
      <c r="S14" s="84">
        <f>_xlfn.XLOOKUP(A14,Sales!D:D,Sales!K:K)</f>
        <v>46048</v>
      </c>
      <c r="T14" s="84">
        <f>VLOOKUP(A14,Sales!D:L,8,0)</f>
        <v>46048</v>
      </c>
      <c r="U14" s="85" t="s">
        <v>432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141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427</v>
      </c>
      <c r="S15" s="84">
        <f>_xlfn.XLOOKUP(A15,Sales!D:D,Sales!K:K)</f>
        <v>46048</v>
      </c>
      <c r="T15" s="84">
        <f>VLOOKUP(A15,Sales!D:L,8,0)</f>
        <v>46048</v>
      </c>
      <c r="U15" s="85" t="s">
        <v>433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141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427</v>
      </c>
      <c r="S16" s="84">
        <f>_xlfn.XLOOKUP(A16,Sales!D:D,Sales!K:K)</f>
        <v>46048</v>
      </c>
      <c r="T16" s="84">
        <f>VLOOKUP(A16,Sales!D:L,8,0)</f>
        <v>46048</v>
      </c>
      <c r="U16" s="85" t="s">
        <v>434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141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427</v>
      </c>
      <c r="S17" s="84">
        <f>_xlfn.XLOOKUP(A17,Sales!D:D,Sales!K:K)</f>
        <v>46048</v>
      </c>
      <c r="T17" s="84">
        <f>VLOOKUP(A17,Sales!D:L,8,0)</f>
        <v>46048</v>
      </c>
      <c r="U17" s="85" t="s">
        <v>435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141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427</v>
      </c>
      <c r="S18" s="84">
        <f>_xlfn.XLOOKUP(A18,Sales!D:D,Sales!K:K)</f>
        <v>46048</v>
      </c>
      <c r="T18" s="84">
        <f>VLOOKUP(A18,Sales!D:L,8,0)</f>
        <v>46048</v>
      </c>
      <c r="U18" s="85" t="s">
        <v>436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141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427</v>
      </c>
      <c r="S19" s="84">
        <f>_xlfn.XLOOKUP(A19,Sales!D:D,Sales!K:K)</f>
        <v>46048</v>
      </c>
      <c r="T19" s="84">
        <f>VLOOKUP(A19,Sales!D:L,8,0)</f>
        <v>46048</v>
      </c>
      <c r="U19" s="85" t="s">
        <v>437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141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427</v>
      </c>
      <c r="S20" s="84">
        <f>_xlfn.XLOOKUP(A20,Sales!D:D,Sales!K:K)</f>
        <v>46048</v>
      </c>
      <c r="T20" s="84">
        <f>VLOOKUP(A20,Sales!D:L,8,0)</f>
        <v>46048</v>
      </c>
      <c r="U20" s="85" t="s">
        <v>438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141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427</v>
      </c>
      <c r="S21" s="84">
        <f>_xlfn.XLOOKUP(A21,Sales!D:D,Sales!K:K)</f>
        <v>46048</v>
      </c>
      <c r="T21" s="84">
        <f>VLOOKUP(A21,Sales!D:L,8,0)</f>
        <v>46048</v>
      </c>
      <c r="U21" s="85" t="s">
        <v>439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141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427</v>
      </c>
      <c r="S22" s="75">
        <f>_xlfn.XLOOKUP(A22,Sales!D:D,Sales!K:K)</f>
        <v>46115</v>
      </c>
      <c r="T22" s="75">
        <f>VLOOKUP(A22,Sales!D:L,8,0)</f>
        <v>46115</v>
      </c>
      <c r="U22" s="85" t="s">
        <v>440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441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141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427</v>
      </c>
      <c r="S23" s="75">
        <f>_xlfn.XLOOKUP(A23,Sales!D:D,Sales!K:K)</f>
        <v>46115</v>
      </c>
      <c r="T23" s="75">
        <f>VLOOKUP(A23,Sales!D:L,8,0)</f>
        <v>46115</v>
      </c>
      <c r="U23" s="85" t="s">
        <v>442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441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141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427</v>
      </c>
      <c r="S24" s="75">
        <f>_xlfn.XLOOKUP(A24,Sales!D:D,Sales!K:K)</f>
        <v>46115</v>
      </c>
      <c r="T24" s="75">
        <f>VLOOKUP(A24,Sales!D:L,8,0)</f>
        <v>46115</v>
      </c>
      <c r="U24" s="85" t="s">
        <v>443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441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141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427</v>
      </c>
      <c r="S25" s="75">
        <f>_xlfn.XLOOKUP(A25,Sales!D:D,Sales!K:K)</f>
        <v>46115</v>
      </c>
      <c r="T25" s="75">
        <f>VLOOKUP(A25,Sales!D:L,8,0)</f>
        <v>46115</v>
      </c>
      <c r="U25" s="85" t="s">
        <v>444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441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141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427</v>
      </c>
      <c r="S26" s="75">
        <f>_xlfn.XLOOKUP(A26,Sales!D:D,Sales!K:K)</f>
        <v>46115</v>
      </c>
      <c r="T26" s="75">
        <f>VLOOKUP(A26,Sales!D:L,8,0)</f>
        <v>46115</v>
      </c>
      <c r="U26" s="85" t="s">
        <v>445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441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141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427</v>
      </c>
      <c r="S27" s="75">
        <f>_xlfn.XLOOKUP(A27,Sales!D:D,Sales!K:K)</f>
        <v>46115</v>
      </c>
      <c r="T27" s="75">
        <f>VLOOKUP(A27,Sales!D:L,8,0)</f>
        <v>46115</v>
      </c>
      <c r="U27" s="85" t="s">
        <v>446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441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447</v>
      </c>
      <c r="B28" s="71" t="s">
        <v>281</v>
      </c>
      <c r="C28" s="72">
        <f>SUMIFS(Sales!H:H,Sales!D:D,A28)</f>
        <v>0</v>
      </c>
      <c r="D28" s="72">
        <f>SUMIFS(Sales!N:N,Sales!D:D,A28)</f>
        <v>0</v>
      </c>
      <c r="E28" s="73" t="s">
        <v>141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427</v>
      </c>
      <c r="S28" s="75" t="s">
        <v>427</v>
      </c>
      <c r="T28" s="75" t="s">
        <v>427</v>
      </c>
      <c r="U28" s="85" t="s">
        <v>447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448</v>
      </c>
      <c r="B29" s="71" t="s">
        <v>281</v>
      </c>
      <c r="C29" s="72">
        <f>SUMIFS(Sales!H:H,Sales!D:D,A29)</f>
        <v>0</v>
      </c>
      <c r="D29" s="72">
        <f>SUMIFS(Sales!N:N,Sales!D:D,A29)</f>
        <v>0</v>
      </c>
      <c r="E29" s="73" t="s">
        <v>141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427</v>
      </c>
      <c r="S29" s="75" t="s">
        <v>427</v>
      </c>
      <c r="T29" s="75" t="s">
        <v>427</v>
      </c>
      <c r="U29" s="85" t="s">
        <v>448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449</v>
      </c>
      <c r="B30" s="71" t="s">
        <v>281</v>
      </c>
      <c r="C30" s="72">
        <f>SUMIFS(Sales!H:H,Sales!D:D,A30)</f>
        <v>0</v>
      </c>
      <c r="D30" s="72">
        <f>SUMIFS(Sales!N:N,Sales!D:D,A30)</f>
        <v>0</v>
      </c>
      <c r="E30" s="73" t="s">
        <v>141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427</v>
      </c>
      <c r="S30" s="75" t="s">
        <v>427</v>
      </c>
      <c r="T30" s="75" t="s">
        <v>427</v>
      </c>
      <c r="U30" s="85" t="s">
        <v>449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450</v>
      </c>
      <c r="B31" s="71" t="s">
        <v>281</v>
      </c>
      <c r="C31" s="72">
        <f>SUMIFS(Sales!H:H,Sales!D:D,A31)</f>
        <v>0</v>
      </c>
      <c r="D31" s="72">
        <f>SUMIFS(Sales!N:N,Sales!D:D,A31)</f>
        <v>0</v>
      </c>
      <c r="E31" s="73" t="s">
        <v>141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427</v>
      </c>
      <c r="S31" s="75" t="s">
        <v>427</v>
      </c>
      <c r="T31" s="75" t="s">
        <v>427</v>
      </c>
      <c r="U31" s="85" t="s">
        <v>450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451</v>
      </c>
      <c r="B32" s="71" t="s">
        <v>281</v>
      </c>
      <c r="C32" s="72">
        <f>SUMIFS(Sales!H:H,Sales!D:D,A32)</f>
        <v>0</v>
      </c>
      <c r="D32" s="72">
        <f>SUMIFS(Sales!N:N,Sales!D:D,A32)</f>
        <v>0</v>
      </c>
      <c r="E32" s="73" t="s">
        <v>141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427</v>
      </c>
      <c r="S32" s="75" t="s">
        <v>427</v>
      </c>
      <c r="T32" s="75" t="s">
        <v>427</v>
      </c>
      <c r="U32" s="85" t="s">
        <v>451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452</v>
      </c>
      <c r="B33" s="71" t="s">
        <v>281</v>
      </c>
      <c r="C33" s="72">
        <f>SUMIFS(Sales!H:H,Sales!D:D,A33)</f>
        <v>0</v>
      </c>
      <c r="D33" s="72">
        <f>SUMIFS(Sales!N:N,Sales!D:D,A33)</f>
        <v>0</v>
      </c>
      <c r="E33" s="73" t="s">
        <v>141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427</v>
      </c>
      <c r="S33" s="75" t="s">
        <v>427</v>
      </c>
      <c r="T33" s="75" t="s">
        <v>427</v>
      </c>
      <c r="U33" s="85" t="s">
        <v>452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453</v>
      </c>
      <c r="B34" s="91" t="s">
        <v>454</v>
      </c>
      <c r="C34" s="72">
        <f>SUMIFS(Sales!H:H,Sales!D:D,A34)</f>
        <v>0</v>
      </c>
      <c r="D34" s="72">
        <f>SUMIFS(Sales!N:N,Sales!D:D,A34)</f>
        <v>0</v>
      </c>
      <c r="E34" s="73" t="s">
        <v>141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427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441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141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427</v>
      </c>
      <c r="S35" s="75">
        <f>_xlfn.XLOOKUP(A35,Sales!D:D,Sales!K:K)</f>
        <v>46122</v>
      </c>
      <c r="T35" s="75">
        <v>46127</v>
      </c>
      <c r="U35" s="85" t="s">
        <v>455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141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427</v>
      </c>
      <c r="S36" s="75">
        <f>_xlfn.XLOOKUP(A36,Sales!D:D,Sales!K:K)</f>
        <v>46122</v>
      </c>
      <c r="T36" s="75">
        <v>46127</v>
      </c>
      <c r="U36" s="85" t="s">
        <v>456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141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427</v>
      </c>
      <c r="S37" s="75">
        <f>_xlfn.XLOOKUP(A37,Sales!D:D,Sales!K:K)</f>
        <v>46122</v>
      </c>
      <c r="T37" s="75">
        <v>46127</v>
      </c>
      <c r="U37" s="85" t="s">
        <v>457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141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427</v>
      </c>
      <c r="S38" s="75">
        <f>_xlfn.XLOOKUP(A38,Sales!D:D,Sales!K:K)</f>
        <v>46122</v>
      </c>
      <c r="T38" s="75">
        <v>46127</v>
      </c>
      <c r="U38" s="85" t="s">
        <v>458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441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141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427</v>
      </c>
      <c r="S39" s="75">
        <f>_xlfn.XLOOKUP(A39,Sales!D:D,Sales!K:K)</f>
        <v>46122</v>
      </c>
      <c r="T39" s="75">
        <v>46127</v>
      </c>
      <c r="U39" s="85" t="s">
        <v>459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141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427</v>
      </c>
      <c r="S40" s="75">
        <f>_xlfn.XLOOKUP(A40,Sales!D:D,Sales!K:K)</f>
        <v>46122</v>
      </c>
      <c r="T40" s="75">
        <v>46127</v>
      </c>
      <c r="U40" s="85" t="s">
        <v>460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141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427</v>
      </c>
      <c r="S41" s="75">
        <f>_xlfn.XLOOKUP(A41,Sales!D:D,Sales!K:K)</f>
        <v>46159</v>
      </c>
      <c r="T41" s="75">
        <f>VLOOKUP(A41,Sales!D:L,8,0)</f>
        <v>46159</v>
      </c>
      <c r="U41" s="94" t="s">
        <v>461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462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141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427</v>
      </c>
      <c r="S42" s="75">
        <f>_xlfn.XLOOKUP(A42,Sales!D:D,Sales!K:K)</f>
        <v>46146</v>
      </c>
      <c r="T42" s="75">
        <f>VLOOKUP(A42,Sales!D:L,8,0)</f>
        <v>46146</v>
      </c>
      <c r="U42" s="85" t="s">
        <v>463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141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464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462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141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427</v>
      </c>
      <c r="S44" s="75">
        <f>_xlfn.XLOOKUP(A44,Sales!D:D,Sales!K:K)</f>
        <v>46146</v>
      </c>
      <c r="T44" s="75">
        <f>VLOOKUP(A44,Sales!D:L,8,0)</f>
        <v>46146</v>
      </c>
      <c r="U44" s="85" t="s">
        <v>465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141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427</v>
      </c>
      <c r="S45" s="102">
        <f>_xlfn.XLOOKUP(A45,Sales!D:D,Sales!K:K)</f>
        <v>46164</v>
      </c>
      <c r="T45" s="102">
        <f>VLOOKUP(A45,Sales!D:L,8,0)</f>
        <v>46164</v>
      </c>
      <c r="U45" s="103" t="s">
        <v>466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141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427</v>
      </c>
      <c r="S46" s="75">
        <f>_xlfn.XLOOKUP(A46,Sales!D:D,Sales!K:K)</f>
        <v>46146</v>
      </c>
      <c r="T46" s="75">
        <f>VLOOKUP(A46,Sales!D:L,8,0)</f>
        <v>46146</v>
      </c>
      <c r="U46" s="85" t="s">
        <v>467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227.56495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141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427</v>
      </c>
      <c r="S47" s="102">
        <f>_xlfn.XLOOKUP(A47,Sales!D:D,Sales!K:K)</f>
        <v>46164</v>
      </c>
      <c r="T47" s="102">
        <f>VLOOKUP(A47,Sales!D:L,8,0)</f>
        <v>46164</v>
      </c>
      <c r="U47" s="103" t="s">
        <v>468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141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427</v>
      </c>
      <c r="S48" s="75">
        <f>_xlfn.XLOOKUP(A48,Sales!D:D,Sales!K:K)</f>
        <v>46146</v>
      </c>
      <c r="T48" s="75">
        <f>VLOOKUP(A48,Sales!D:L,8,0)</f>
        <v>46146</v>
      </c>
      <c r="U48" s="85" t="s">
        <v>469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141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427</v>
      </c>
      <c r="S49" s="102">
        <f>_xlfn.XLOOKUP(A49,Sales!D:D,Sales!K:K)</f>
        <v>46164</v>
      </c>
      <c r="T49" s="102">
        <f>VLOOKUP(A49,Sales!D:L,8,0)</f>
        <v>46164</v>
      </c>
      <c r="U49" s="103" t="s">
        <v>470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141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427</v>
      </c>
      <c r="S50" s="75">
        <f>_xlfn.XLOOKUP(A50,Sales!D:D,Sales!K:K)</f>
        <v>46146</v>
      </c>
      <c r="T50" s="75">
        <f>VLOOKUP(A50,Sales!D:L,8,0)</f>
        <v>46146</v>
      </c>
      <c r="U50" s="96" t="s">
        <v>471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141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427</v>
      </c>
      <c r="S51" s="102">
        <f>_xlfn.XLOOKUP(A51,Sales!D:D,Sales!K:K)</f>
        <v>46164</v>
      </c>
      <c r="T51" s="102">
        <f>VLOOKUP(A51,Sales!D:L,8,0)</f>
        <v>46164</v>
      </c>
      <c r="U51" s="103" t="s">
        <v>472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141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427</v>
      </c>
      <c r="S52" s="75">
        <f>_xlfn.XLOOKUP(A52,Sales!D:D,Sales!K:K)</f>
        <v>46146</v>
      </c>
      <c r="T52" s="75">
        <f>VLOOKUP(A52,Sales!D:L,8,0)</f>
        <v>46146</v>
      </c>
      <c r="U52" s="85" t="s">
        <v>473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141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427</v>
      </c>
      <c r="S53" s="102">
        <f>_xlfn.XLOOKUP(A53,Sales!D:D,Sales!K:K)</f>
        <v>46164</v>
      </c>
      <c r="T53" s="102">
        <f>VLOOKUP(A53,Sales!D:L,8,0)</f>
        <v>46164</v>
      </c>
      <c r="U53" s="113" t="s">
        <v>474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330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427</v>
      </c>
      <c r="S54" s="75">
        <f>_xlfn.XLOOKUP(A54,Sales!D:D,Sales!K:K)</f>
        <v>46174</v>
      </c>
      <c r="T54" s="75">
        <f>VLOOKUP(A54,Sales!D:L,8,0)</f>
        <v>46174</v>
      </c>
      <c r="U54" s="94" t="s">
        <v>475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462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331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427</v>
      </c>
      <c r="S55" s="75">
        <f>_xlfn.XLOOKUP(A55,Sales!D:D,Sales!K:K)</f>
        <v>46174</v>
      </c>
      <c r="T55" s="75">
        <f>VLOOKUP(A55,Sales!D:L,8,0)</f>
        <v>46174</v>
      </c>
      <c r="U55" s="94" t="s">
        <v>476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462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332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477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462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334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478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462</v>
      </c>
      <c r="AD57" s="81"/>
      <c r="AE57" t="s">
        <v>418</v>
      </c>
      <c r="AF57" t="s">
        <v>462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352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479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462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480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462</v>
      </c>
      <c r="AD59" s="81"/>
      <c r="AE59" t="s">
        <v>275</v>
      </c>
      <c r="AF59" t="s">
        <v>410</v>
      </c>
      <c r="AG59" t="s">
        <v>481</v>
      </c>
      <c r="AH59" t="s">
        <v>482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483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462</v>
      </c>
      <c r="AD60" s="81"/>
      <c r="AE60" t="s">
        <v>309</v>
      </c>
      <c r="AF60" t="s">
        <v>461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484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462</v>
      </c>
      <c r="AD61" s="81"/>
      <c r="AE61" t="s">
        <v>485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486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462</v>
      </c>
      <c r="AD62" s="81"/>
      <c r="AE62" t="s">
        <v>281</v>
      </c>
      <c r="AF62" t="s">
        <v>480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487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462</v>
      </c>
      <c r="AD63" s="81"/>
      <c r="AE63"/>
      <c r="AF63" t="s">
        <v>464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488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484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489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486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490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483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491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487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492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493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494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290</v>
      </c>
      <c r="AF69" s="31" t="s">
        <v>475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495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476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496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477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497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478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498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479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499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500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501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502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503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504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505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506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507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508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509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336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510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338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511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348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350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512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>
        <f>_xlfn.XLOOKUP(A88,Sales!D:D,Sales!L:L)</f>
        <v>46248</v>
      </c>
      <c r="U88" s="117" t="s">
        <v>513</v>
      </c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514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515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516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517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518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519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520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521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522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523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524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525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526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527</v>
      </c>
      <c r="AE107"/>
      <c r="AF107"/>
      <c r="AG107"/>
      <c r="AH107"/>
    </row>
    <row r="108" customHeight="1" spans="1:34">
      <c r="A108" s="15" t="s">
        <v>387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528</v>
      </c>
      <c r="AE108"/>
      <c r="AF108"/>
      <c r="AG108"/>
      <c r="AH108"/>
    </row>
    <row r="109" customHeight="1" spans="1:34">
      <c r="A109" s="15" t="s">
        <v>388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529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530</v>
      </c>
      <c r="B1" s="31" t="s">
        <v>531</v>
      </c>
      <c r="C1" s="31" t="s">
        <v>275</v>
      </c>
      <c r="D1" s="31" t="s">
        <v>1</v>
      </c>
      <c r="E1" s="32" t="s">
        <v>532</v>
      </c>
      <c r="F1" s="32" t="s">
        <v>533</v>
      </c>
      <c r="G1" s="32" t="s">
        <v>534</v>
      </c>
      <c r="H1" s="33" t="s">
        <v>535</v>
      </c>
      <c r="I1" s="33" t="s">
        <v>536</v>
      </c>
      <c r="J1" s="33" t="s">
        <v>537</v>
      </c>
      <c r="K1" s="34" t="s">
        <v>538</v>
      </c>
      <c r="L1" s="31" t="s">
        <v>539</v>
      </c>
      <c r="M1" s="31" t="s">
        <v>540</v>
      </c>
      <c r="N1" s="31" t="s">
        <v>541</v>
      </c>
      <c r="O1" s="31" t="s">
        <v>542</v>
      </c>
      <c r="P1" s="31" t="s">
        <v>543</v>
      </c>
      <c r="Q1" s="35" t="s">
        <v>544</v>
      </c>
      <c r="R1" s="31" t="s">
        <v>545</v>
      </c>
      <c r="S1" s="31" t="s">
        <v>546</v>
      </c>
      <c r="T1" s="31" t="s">
        <v>547</v>
      </c>
      <c r="U1" s="31" t="s">
        <v>548</v>
      </c>
      <c r="V1" s="31" t="s">
        <v>549</v>
      </c>
      <c r="X1" s="31" t="s">
        <v>550</v>
      </c>
      <c r="Y1" s="31" t="s">
        <v>551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552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281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281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281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281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281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281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281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281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281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281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281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281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281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281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290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290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290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290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290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290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290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290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290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290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290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290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290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290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290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290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290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290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290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290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290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290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290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290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290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290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290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290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290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290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290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290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290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290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290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290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290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290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290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553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553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275</v>
      </c>
      <c r="B1" s="24" t="s">
        <v>554</v>
      </c>
      <c r="C1" s="24" t="s">
        <v>0</v>
      </c>
      <c r="D1" s="11" t="s">
        <v>126</v>
      </c>
      <c r="E1" s="24" t="s">
        <v>1</v>
      </c>
      <c r="F1" s="24" t="s">
        <v>555</v>
      </c>
      <c r="G1" s="24" t="s">
        <v>556</v>
      </c>
      <c r="H1" s="24" t="s">
        <v>273</v>
      </c>
    </row>
    <row r="2" customHeight="1" spans="1:8">
      <c r="A2" s="25" t="s">
        <v>281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557</v>
      </c>
      <c r="H2" s="25"/>
    </row>
    <row r="3" customHeight="1" spans="1:8">
      <c r="A3" s="25" t="s">
        <v>281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557</v>
      </c>
      <c r="H3" s="25"/>
    </row>
    <row r="4" customHeight="1" spans="1:8">
      <c r="A4" s="25" t="s">
        <v>281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557</v>
      </c>
      <c r="H4" s="25"/>
    </row>
    <row r="5" customHeight="1" spans="1:8">
      <c r="A5" s="25" t="s">
        <v>281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557</v>
      </c>
      <c r="H5" s="25"/>
    </row>
    <row r="6" customHeight="1" spans="1:8">
      <c r="A6" s="25" t="s">
        <v>281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557</v>
      </c>
      <c r="H6" s="25"/>
    </row>
    <row r="7" customHeight="1" spans="1:8">
      <c r="A7" s="25" t="s">
        <v>281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557</v>
      </c>
      <c r="H7" s="25"/>
    </row>
    <row r="8" customHeight="1" spans="1:8">
      <c r="A8" s="26" t="s">
        <v>281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557</v>
      </c>
      <c r="H8" s="26"/>
    </row>
    <row r="9" customHeight="1" spans="1:8">
      <c r="A9" s="25" t="s">
        <v>281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557</v>
      </c>
      <c r="H9" s="25"/>
    </row>
    <row r="10" customHeight="1" spans="1:8">
      <c r="A10" s="27" t="s">
        <v>281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557</v>
      </c>
      <c r="H10" s="27"/>
    </row>
    <row r="11" customHeight="1" spans="1:8">
      <c r="A11" s="25" t="s">
        <v>281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557</v>
      </c>
      <c r="H11" s="25"/>
    </row>
    <row r="12" customHeight="1" spans="1:8">
      <c r="A12" s="28" t="s">
        <v>281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557</v>
      </c>
      <c r="H12" s="28"/>
    </row>
    <row r="13" customHeight="1" spans="1:8">
      <c r="A13" s="25" t="s">
        <v>281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557</v>
      </c>
      <c r="H13" s="25"/>
    </row>
    <row r="14" customHeight="1" spans="1:8">
      <c r="A14" s="25" t="s">
        <v>281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557</v>
      </c>
      <c r="H14" s="25"/>
    </row>
    <row r="15" customHeight="1" spans="1:8">
      <c r="A15" s="25" t="s">
        <v>281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557</v>
      </c>
      <c r="H15" s="25"/>
    </row>
    <row r="16" customHeight="1" spans="1:8">
      <c r="A16" s="25" t="s">
        <v>281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557</v>
      </c>
      <c r="H16" s="25"/>
    </row>
    <row r="17" customHeight="1" spans="1:8">
      <c r="A17" s="25" t="s">
        <v>281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557</v>
      </c>
      <c r="H17" s="25"/>
    </row>
    <row r="18" customHeight="1" spans="1:8">
      <c r="A18" s="25" t="s">
        <v>281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557</v>
      </c>
      <c r="H18" s="25"/>
    </row>
    <row r="19" customHeight="1" spans="1:8">
      <c r="A19" s="25" t="s">
        <v>380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558</v>
      </c>
      <c r="H19" s="25"/>
    </row>
    <row r="20" customHeight="1" spans="1:8">
      <c r="A20" s="25" t="s">
        <v>380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558</v>
      </c>
      <c r="H20" s="25"/>
    </row>
    <row r="21" customHeight="1" spans="1:8">
      <c r="A21" s="25" t="s">
        <v>380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558</v>
      </c>
      <c r="H21" s="25"/>
    </row>
    <row r="22" customHeight="1" spans="1:8">
      <c r="A22" s="25" t="s">
        <v>380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558</v>
      </c>
      <c r="H22" s="25"/>
    </row>
    <row r="23" customHeight="1" spans="1:8">
      <c r="A23" s="25" t="s">
        <v>380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558</v>
      </c>
      <c r="H23" s="25"/>
    </row>
    <row r="24" customHeight="1" spans="1:8">
      <c r="A24" s="25" t="s">
        <v>380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558</v>
      </c>
      <c r="H24" s="25"/>
    </row>
    <row r="25" customHeight="1" spans="1:8">
      <c r="A25" s="25" t="s">
        <v>380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558</v>
      </c>
      <c r="H25" s="25"/>
    </row>
    <row r="26" customHeight="1" spans="1:8">
      <c r="A26" s="25" t="s">
        <v>559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557</v>
      </c>
      <c r="H26" s="25"/>
    </row>
    <row r="27" customHeight="1" spans="1:8">
      <c r="A27" s="25" t="s">
        <v>559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557</v>
      </c>
      <c r="H27" s="25"/>
    </row>
    <row r="28" customHeight="1" spans="1:8">
      <c r="A28" s="25" t="s">
        <v>559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557</v>
      </c>
      <c r="H28" s="25"/>
    </row>
    <row r="29" customHeight="1" spans="1:8">
      <c r="A29" s="25" t="s">
        <v>559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557</v>
      </c>
      <c r="H29" s="25"/>
    </row>
    <row r="30" customHeight="1" spans="1:8">
      <c r="A30" s="25" t="s">
        <v>559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557</v>
      </c>
      <c r="H30" s="25"/>
    </row>
    <row r="31" customHeight="1" spans="1:8">
      <c r="A31" s="25" t="s">
        <v>559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557</v>
      </c>
      <c r="H31" s="25"/>
    </row>
    <row r="32" customHeight="1" spans="1:8">
      <c r="A32" s="25" t="s">
        <v>559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557</v>
      </c>
      <c r="H32" s="25"/>
    </row>
    <row r="33" customHeight="1" spans="1:8">
      <c r="A33" s="25" t="s">
        <v>559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557</v>
      </c>
      <c r="H33" s="25"/>
    </row>
    <row r="34" customHeight="1" spans="1:8">
      <c r="A34" s="25" t="s">
        <v>559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557</v>
      </c>
      <c r="H34" s="25"/>
    </row>
    <row r="35" customHeight="1" spans="1:8">
      <c r="A35" s="25" t="s">
        <v>559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557</v>
      </c>
      <c r="H35" s="25"/>
    </row>
    <row r="36" customHeight="1" spans="1:8">
      <c r="A36" s="25" t="s">
        <v>559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557</v>
      </c>
      <c r="H36" s="25"/>
    </row>
    <row r="37" customHeight="1" spans="1:8">
      <c r="A37" s="25" t="s">
        <v>559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557</v>
      </c>
      <c r="H37" s="25"/>
    </row>
    <row r="38" customHeight="1" spans="1:8">
      <c r="A38" s="25" t="s">
        <v>559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557</v>
      </c>
      <c r="H38" s="25"/>
    </row>
    <row r="39" customHeight="1" spans="1:8">
      <c r="A39" s="25" t="s">
        <v>559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557</v>
      </c>
      <c r="H39" s="25"/>
    </row>
    <row r="40" customHeight="1" spans="1:8">
      <c r="A40" s="25" t="s">
        <v>559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557</v>
      </c>
      <c r="H40" s="25"/>
    </row>
    <row r="41" customHeight="1" spans="1:8">
      <c r="A41" s="25" t="s">
        <v>559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557</v>
      </c>
      <c r="H41" s="25"/>
    </row>
    <row r="42" customHeight="1" spans="1:8">
      <c r="A42" s="25" t="s">
        <v>559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557</v>
      </c>
      <c r="H42" s="25"/>
    </row>
    <row r="43" customHeight="1" spans="1:8">
      <c r="A43" s="25" t="s">
        <v>559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557</v>
      </c>
      <c r="H43" s="25"/>
    </row>
    <row r="44" customHeight="1" spans="1:8">
      <c r="A44" s="25" t="s">
        <v>559</v>
      </c>
      <c r="B44" s="25">
        <v>50126582</v>
      </c>
      <c r="C44" s="25" t="s">
        <v>560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557</v>
      </c>
      <c r="H44" s="25"/>
    </row>
    <row r="45" customHeight="1" spans="1:8">
      <c r="A45" s="25" t="s">
        <v>559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557</v>
      </c>
      <c r="H45" s="25"/>
    </row>
    <row r="46" customHeight="1" spans="1:8">
      <c r="A46" s="25" t="s">
        <v>559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557</v>
      </c>
      <c r="H46" s="25"/>
    </row>
    <row r="47" customHeight="1" spans="1:8">
      <c r="A47" s="25" t="s">
        <v>559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557</v>
      </c>
      <c r="H47" s="25"/>
    </row>
    <row r="48" customHeight="1" spans="1:8">
      <c r="A48" s="25" t="s">
        <v>559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557</v>
      </c>
      <c r="H48" s="25"/>
    </row>
    <row r="49" customHeight="1" spans="1:8">
      <c r="A49" s="25" t="s">
        <v>559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557</v>
      </c>
      <c r="H49" s="25"/>
    </row>
    <row r="50" customHeight="1" spans="1:8">
      <c r="A50" s="25" t="s">
        <v>559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557</v>
      </c>
      <c r="H50" s="25"/>
    </row>
    <row r="51" customHeight="1" spans="1:8">
      <c r="A51" s="25" t="s">
        <v>559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557</v>
      </c>
      <c r="H51" s="25"/>
    </row>
    <row r="52" customHeight="1" spans="1:8">
      <c r="A52" s="25" t="s">
        <v>559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557</v>
      </c>
      <c r="H52" s="25"/>
    </row>
    <row r="53" customHeight="1" spans="1:8">
      <c r="A53" s="25" t="s">
        <v>559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557</v>
      </c>
      <c r="H53" s="25"/>
    </row>
    <row r="54" customHeight="1" spans="1:8">
      <c r="A54" s="25" t="s">
        <v>559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557</v>
      </c>
      <c r="H54" s="25"/>
    </row>
    <row r="55" customHeight="1" spans="1:8">
      <c r="A55" s="25" t="s">
        <v>559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557</v>
      </c>
      <c r="H55" s="25"/>
    </row>
    <row r="56" customHeight="1" spans="1:8">
      <c r="A56" s="25" t="s">
        <v>559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557</v>
      </c>
      <c r="H56" s="25"/>
    </row>
    <row r="57" customHeight="1" spans="1:8">
      <c r="A57" s="25" t="s">
        <v>559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557</v>
      </c>
      <c r="H57" s="25"/>
    </row>
    <row r="58" customHeight="1" spans="1:8">
      <c r="A58" s="25" t="s">
        <v>559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557</v>
      </c>
      <c r="H58" s="25"/>
    </row>
    <row r="59" customHeight="1" spans="1:8">
      <c r="A59" s="25" t="s">
        <v>559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557</v>
      </c>
      <c r="H59" s="25"/>
    </row>
    <row r="60" customHeight="1" spans="1:8">
      <c r="A60" s="25" t="s">
        <v>559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557</v>
      </c>
      <c r="H60" s="25"/>
    </row>
    <row r="61" customHeight="1" spans="1:8">
      <c r="A61" s="25" t="s">
        <v>559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557</v>
      </c>
      <c r="H61" s="25"/>
    </row>
    <row r="62" customHeight="1" spans="1:8">
      <c r="A62" s="25" t="s">
        <v>559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557</v>
      </c>
      <c r="H62" s="25"/>
    </row>
    <row r="63" customHeight="1" spans="1:8">
      <c r="A63" s="25" t="s">
        <v>559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557</v>
      </c>
      <c r="H63" s="25"/>
    </row>
    <row r="64" customHeight="1" spans="1:8">
      <c r="A64" s="25" t="s">
        <v>559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557</v>
      </c>
      <c r="H64" s="25"/>
    </row>
    <row r="65" customHeight="1" spans="1:8">
      <c r="A65" s="25" t="s">
        <v>559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557</v>
      </c>
      <c r="H65" s="25"/>
    </row>
    <row r="66" customHeight="1" spans="1:8">
      <c r="A66" s="25" t="s">
        <v>559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557</v>
      </c>
      <c r="H66" s="25"/>
    </row>
    <row r="67" customHeight="1" spans="1:8">
      <c r="A67" s="25" t="s">
        <v>559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557</v>
      </c>
      <c r="H67" s="25"/>
    </row>
    <row r="68" customHeight="1" spans="1:8">
      <c r="A68" s="25" t="s">
        <v>559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557</v>
      </c>
      <c r="H68" s="25"/>
    </row>
    <row r="69" customHeight="1" spans="1:8">
      <c r="A69" s="25" t="s">
        <v>559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557</v>
      </c>
      <c r="H69" s="25"/>
    </row>
    <row r="70" customHeight="1" spans="1:8">
      <c r="A70" s="25" t="s">
        <v>559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557</v>
      </c>
      <c r="H70" s="25"/>
    </row>
    <row r="71" customHeight="1" spans="1:8">
      <c r="A71" s="25" t="s">
        <v>309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557</v>
      </c>
      <c r="H71" s="25"/>
    </row>
    <row r="72" customHeight="1" spans="1:8">
      <c r="A72" s="25" t="s">
        <v>309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557</v>
      </c>
      <c r="H72" s="25"/>
    </row>
    <row r="73" customHeight="1" spans="1:8">
      <c r="A73" s="25" t="s">
        <v>309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557</v>
      </c>
      <c r="H73" s="25"/>
    </row>
    <row r="74" customHeight="1" spans="1:8">
      <c r="A74" s="25" t="s">
        <v>309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557</v>
      </c>
      <c r="H74" s="25"/>
    </row>
    <row r="75" customHeight="1" spans="1:8">
      <c r="A75" s="25" t="s">
        <v>309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557</v>
      </c>
      <c r="H75" s="25"/>
    </row>
    <row r="76" customHeight="1" spans="1:8">
      <c r="A76" s="25" t="s">
        <v>309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557</v>
      </c>
      <c r="H76" s="25"/>
    </row>
    <row r="77" customHeight="1" spans="1:8">
      <c r="A77" s="25" t="s">
        <v>309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557</v>
      </c>
      <c r="H77" s="25"/>
    </row>
    <row r="78" customHeight="1" spans="1:8">
      <c r="A78" s="25" t="s">
        <v>309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557</v>
      </c>
      <c r="H78" s="25"/>
    </row>
    <row r="79" customHeight="1" spans="1:8">
      <c r="A79" s="25" t="s">
        <v>309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557</v>
      </c>
      <c r="H79" s="25"/>
    </row>
    <row r="80" customHeight="1" spans="1:8">
      <c r="A80" s="25" t="s">
        <v>309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557</v>
      </c>
      <c r="H80" s="25"/>
    </row>
    <row r="81" customHeight="1" spans="1:8">
      <c r="A81" s="25" t="s">
        <v>309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557</v>
      </c>
      <c r="H81" s="25"/>
    </row>
    <row r="82" customHeight="1" spans="1:8">
      <c r="A82" s="25" t="s">
        <v>309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557</v>
      </c>
      <c r="H82" s="25"/>
    </row>
    <row r="83" customHeight="1" spans="1:8">
      <c r="A83" s="25" t="s">
        <v>309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557</v>
      </c>
      <c r="H83" s="25"/>
    </row>
    <row r="84" customHeight="1" spans="1:8">
      <c r="A84" s="25" t="s">
        <v>309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557</v>
      </c>
      <c r="H84" s="25"/>
    </row>
    <row r="85" customHeight="1" spans="1:8">
      <c r="A85" s="29" t="s">
        <v>454</v>
      </c>
      <c r="B85" s="30"/>
      <c r="C85" s="30"/>
      <c r="D85" s="16"/>
      <c r="E85" s="30"/>
      <c r="F85" s="30"/>
      <c r="G85" s="29" t="s">
        <v>561</v>
      </c>
      <c r="H85" s="30"/>
    </row>
    <row r="86" customHeight="1" spans="1:8">
      <c r="A86" s="29" t="s">
        <v>371</v>
      </c>
      <c r="B86" s="30"/>
      <c r="C86" s="30"/>
      <c r="D86" s="16"/>
      <c r="E86" s="30"/>
      <c r="F86" s="30"/>
      <c r="G86" s="29" t="s">
        <v>561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562</v>
      </c>
      <c r="E1" s="12" t="s">
        <v>563</v>
      </c>
      <c r="F1" s="5" t="s">
        <v>275</v>
      </c>
      <c r="G1" s="12" t="s">
        <v>564</v>
      </c>
      <c r="H1" s="12" t="s">
        <v>16</v>
      </c>
      <c r="I1" s="5" t="s">
        <v>13</v>
      </c>
      <c r="J1" s="5" t="s">
        <v>18</v>
      </c>
      <c r="K1" s="5" t="s">
        <v>565</v>
      </c>
      <c r="L1" s="5" t="s">
        <v>566</v>
      </c>
      <c r="M1" s="5" t="s">
        <v>567</v>
      </c>
      <c r="N1" s="5" t="s">
        <v>568</v>
      </c>
      <c r="O1" s="5" t="s">
        <v>569</v>
      </c>
      <c r="P1" s="5" t="s">
        <v>570</v>
      </c>
      <c r="Q1" s="5" t="s">
        <v>571</v>
      </c>
      <c r="R1" s="5" t="s">
        <v>572</v>
      </c>
      <c r="S1" s="5" t="s">
        <v>573</v>
      </c>
      <c r="T1" s="5" t="s">
        <v>574</v>
      </c>
      <c r="U1" s="5" t="s">
        <v>575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576</v>
      </c>
      <c r="D2" s="6" t="s">
        <v>577</v>
      </c>
      <c r="E2" s="6" t="s">
        <v>578</v>
      </c>
      <c r="F2" s="6" t="s">
        <v>290</v>
      </c>
      <c r="G2" s="14" t="s">
        <v>579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580</v>
      </c>
    </row>
    <row r="3" customHeight="1" spans="1:22">
      <c r="A3" s="15" t="s">
        <v>41</v>
      </c>
      <c r="B3" s="16">
        <v>850062627680</v>
      </c>
      <c r="C3" s="6" t="s">
        <v>581</v>
      </c>
      <c r="D3" s="6" t="s">
        <v>582</v>
      </c>
      <c r="E3" s="6" t="s">
        <v>583</v>
      </c>
      <c r="F3" s="6" t="s">
        <v>584</v>
      </c>
      <c r="G3" s="14" t="s">
        <v>579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580</v>
      </c>
    </row>
    <row r="4" customHeight="1" spans="1:22">
      <c r="A4" s="6" t="s">
        <v>73</v>
      </c>
      <c r="B4" s="13">
        <v>698746777364</v>
      </c>
      <c r="C4" s="6" t="s">
        <v>585</v>
      </c>
      <c r="D4" s="6" t="s">
        <v>586</v>
      </c>
      <c r="E4" s="6" t="s">
        <v>587</v>
      </c>
      <c r="F4" s="6" t="s">
        <v>290</v>
      </c>
      <c r="G4" s="14" t="s">
        <v>588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589</v>
      </c>
    </row>
    <row r="5" customHeight="1" spans="1:22">
      <c r="A5" s="6" t="s">
        <v>43</v>
      </c>
      <c r="B5" s="16">
        <v>698746777180</v>
      </c>
      <c r="C5" s="6" t="s">
        <v>590</v>
      </c>
      <c r="D5" s="6" t="s">
        <v>591</v>
      </c>
      <c r="E5" s="6" t="s">
        <v>592</v>
      </c>
      <c r="F5" s="6" t="s">
        <v>290</v>
      </c>
      <c r="G5" s="14" t="s">
        <v>588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589</v>
      </c>
    </row>
    <row r="6" customHeight="1" spans="1:22">
      <c r="A6" s="6" t="s">
        <v>71</v>
      </c>
      <c r="B6" s="13">
        <v>698746777418</v>
      </c>
      <c r="C6" s="6" t="s">
        <v>593</v>
      </c>
      <c r="D6" s="6" t="s">
        <v>594</v>
      </c>
      <c r="E6" s="6" t="s">
        <v>595</v>
      </c>
      <c r="F6" s="6" t="s">
        <v>290</v>
      </c>
      <c r="G6" s="14" t="s">
        <v>588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589</v>
      </c>
    </row>
    <row r="7" customHeight="1" spans="1:22">
      <c r="A7" s="15" t="s">
        <v>33</v>
      </c>
      <c r="B7" s="16">
        <v>698746777081</v>
      </c>
      <c r="C7" s="6" t="s">
        <v>596</v>
      </c>
      <c r="D7" s="6" t="s">
        <v>597</v>
      </c>
      <c r="E7" s="6" t="s">
        <v>598</v>
      </c>
      <c r="F7" s="6" t="s">
        <v>599</v>
      </c>
      <c r="G7" s="14" t="s">
        <v>600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601</v>
      </c>
    </row>
    <row r="8" customHeight="1" spans="1:22">
      <c r="A8" s="15" t="s">
        <v>37</v>
      </c>
      <c r="B8" s="16">
        <v>698746777012</v>
      </c>
      <c r="C8" s="6" t="s">
        <v>602</v>
      </c>
      <c r="D8" s="6" t="s">
        <v>603</v>
      </c>
      <c r="E8" s="6" t="s">
        <v>604</v>
      </c>
      <c r="F8" s="6" t="s">
        <v>605</v>
      </c>
      <c r="G8" s="14" t="s">
        <v>600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601</v>
      </c>
    </row>
    <row r="9" customHeight="1" spans="1:22">
      <c r="A9" s="15" t="s">
        <v>35</v>
      </c>
      <c r="B9" s="16">
        <v>698746777074</v>
      </c>
      <c r="C9" s="6" t="s">
        <v>606</v>
      </c>
      <c r="D9" s="6" t="s">
        <v>607</v>
      </c>
      <c r="E9" s="6" t="s">
        <v>608</v>
      </c>
      <c r="F9" s="6" t="s">
        <v>609</v>
      </c>
      <c r="G9" s="14" t="s">
        <v>600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601</v>
      </c>
    </row>
    <row r="10" customHeight="1" spans="1:22">
      <c r="A10" s="15" t="s">
        <v>86</v>
      </c>
      <c r="B10" s="16">
        <v>850062627802</v>
      </c>
      <c r="C10" s="6" t="s">
        <v>610</v>
      </c>
      <c r="D10" s="6" t="s">
        <v>611</v>
      </c>
      <c r="E10" s="6" t="s">
        <v>612</v>
      </c>
      <c r="F10" s="6" t="s">
        <v>613</v>
      </c>
      <c r="G10" s="14" t="s">
        <v>614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615</v>
      </c>
      <c r="D11" s="6" t="s">
        <v>616</v>
      </c>
      <c r="E11" s="6" t="s">
        <v>617</v>
      </c>
      <c r="F11" s="6" t="s">
        <v>613</v>
      </c>
      <c r="G11" s="14" t="s">
        <v>618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619</v>
      </c>
      <c r="D12" s="6" t="s">
        <v>620</v>
      </c>
      <c r="E12" s="6" t="s">
        <v>621</v>
      </c>
      <c r="F12" s="6" t="s">
        <v>613</v>
      </c>
      <c r="G12" s="14" t="s">
        <v>618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622</v>
      </c>
      <c r="D13" s="6" t="s">
        <v>623</v>
      </c>
      <c r="E13" s="6" t="s">
        <v>624</v>
      </c>
      <c r="F13" s="6" t="s">
        <v>625</v>
      </c>
      <c r="G13" s="14" t="s">
        <v>626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589</v>
      </c>
    </row>
    <row r="14" customHeight="1" spans="1:22">
      <c r="A14" s="15" t="s">
        <v>24</v>
      </c>
      <c r="B14" s="16">
        <v>698746777319</v>
      </c>
      <c r="C14" s="6" t="s">
        <v>627</v>
      </c>
      <c r="D14" s="6" t="s">
        <v>628</v>
      </c>
      <c r="E14" s="6" t="s">
        <v>629</v>
      </c>
      <c r="F14" s="6" t="s">
        <v>313</v>
      </c>
      <c r="G14" s="14" t="s">
        <v>630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589</v>
      </c>
    </row>
    <row r="15" customHeight="1" spans="1:22">
      <c r="A15" s="15" t="s">
        <v>50</v>
      </c>
      <c r="B15" s="16">
        <v>850030338174</v>
      </c>
      <c r="C15" s="6" t="s">
        <v>631</v>
      </c>
      <c r="D15" s="6" t="s">
        <v>632</v>
      </c>
      <c r="E15" s="6" t="s">
        <v>633</v>
      </c>
      <c r="F15" s="6" t="s">
        <v>625</v>
      </c>
      <c r="G15" s="14" t="s">
        <v>614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601</v>
      </c>
    </row>
    <row r="16" customHeight="1" spans="1:22">
      <c r="A16" s="15" t="s">
        <v>89</v>
      </c>
      <c r="B16" s="16">
        <v>850030338181</v>
      </c>
      <c r="C16" s="6" t="s">
        <v>634</v>
      </c>
      <c r="D16" s="6" t="s">
        <v>635</v>
      </c>
      <c r="E16" s="6" t="s">
        <v>636</v>
      </c>
      <c r="F16" s="6" t="s">
        <v>637</v>
      </c>
      <c r="G16" s="14" t="s">
        <v>614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638</v>
      </c>
      <c r="D17" s="6" t="s">
        <v>639</v>
      </c>
      <c r="E17" s="6" t="s">
        <v>640</v>
      </c>
      <c r="F17" s="6" t="s">
        <v>613</v>
      </c>
      <c r="G17" s="14" t="s">
        <v>614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641</v>
      </c>
      <c r="D18" s="6" t="s">
        <v>642</v>
      </c>
      <c r="E18" s="6" t="s">
        <v>643</v>
      </c>
      <c r="F18" s="6" t="s">
        <v>613</v>
      </c>
      <c r="G18" s="14" t="s">
        <v>644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645</v>
      </c>
      <c r="D19" s="6" t="s">
        <v>646</v>
      </c>
      <c r="E19" s="6" t="s">
        <v>647</v>
      </c>
      <c r="F19" s="6" t="s">
        <v>290</v>
      </c>
      <c r="G19" s="14" t="s">
        <v>648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580</v>
      </c>
    </row>
    <row r="20" customHeight="1" spans="1:22">
      <c r="A20" s="18" t="s">
        <v>79</v>
      </c>
      <c r="B20" s="13">
        <v>760762456995</v>
      </c>
      <c r="C20" s="18" t="s">
        <v>649</v>
      </c>
      <c r="D20" s="6" t="s">
        <v>650</v>
      </c>
      <c r="E20" s="6" t="s">
        <v>651</v>
      </c>
      <c r="F20" s="6" t="s">
        <v>290</v>
      </c>
      <c r="G20" s="14" t="s">
        <v>648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589</v>
      </c>
    </row>
    <row r="21" customHeight="1" spans="1:22">
      <c r="A21" s="6" t="s">
        <v>60</v>
      </c>
      <c r="B21" s="13">
        <v>760762457022</v>
      </c>
      <c r="C21" s="6" t="s">
        <v>652</v>
      </c>
      <c r="D21" s="6" t="s">
        <v>653</v>
      </c>
      <c r="E21" s="6" t="s">
        <v>654</v>
      </c>
      <c r="F21" s="6" t="s">
        <v>290</v>
      </c>
      <c r="G21" s="14" t="s">
        <v>648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580</v>
      </c>
    </row>
    <row r="22" customHeight="1" spans="1:22">
      <c r="A22" s="18" t="s">
        <v>76</v>
      </c>
      <c r="B22" s="13">
        <v>760762457039</v>
      </c>
      <c r="C22" s="18" t="s">
        <v>655</v>
      </c>
      <c r="D22" s="6" t="s">
        <v>656</v>
      </c>
      <c r="E22" s="6" t="s">
        <v>657</v>
      </c>
      <c r="F22" s="6" t="s">
        <v>290</v>
      </c>
      <c r="G22" s="14" t="s">
        <v>648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658</v>
      </c>
    </row>
    <row r="23" customHeight="1" spans="1:22">
      <c r="A23" s="6" t="s">
        <v>64</v>
      </c>
      <c r="B23" s="13">
        <v>760762457015</v>
      </c>
      <c r="C23" s="6" t="s">
        <v>659</v>
      </c>
      <c r="D23" s="6" t="s">
        <v>660</v>
      </c>
      <c r="E23" s="6" t="s">
        <v>661</v>
      </c>
      <c r="F23" s="6" t="s">
        <v>290</v>
      </c>
      <c r="G23" s="14" t="s">
        <v>648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580</v>
      </c>
    </row>
    <row r="24" customHeight="1" spans="1:22">
      <c r="A24" s="15" t="s">
        <v>30</v>
      </c>
      <c r="B24" s="16">
        <v>698746776756</v>
      </c>
      <c r="C24" s="6" t="s">
        <v>662</v>
      </c>
      <c r="D24" s="6" t="s">
        <v>663</v>
      </c>
      <c r="E24" s="6" t="s">
        <v>664</v>
      </c>
      <c r="F24" s="6" t="s">
        <v>313</v>
      </c>
      <c r="G24" s="14" t="s">
        <v>648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589</v>
      </c>
    </row>
    <row r="25" customHeight="1" spans="1:22">
      <c r="A25" s="15" t="s">
        <v>26</v>
      </c>
      <c r="B25" s="16">
        <v>698746777326</v>
      </c>
      <c r="C25" s="6" t="s">
        <v>665</v>
      </c>
      <c r="D25" s="6" t="s">
        <v>666</v>
      </c>
      <c r="E25" s="6" t="s">
        <v>667</v>
      </c>
      <c r="F25" s="6" t="s">
        <v>313</v>
      </c>
      <c r="G25" s="14" t="s">
        <v>668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601</v>
      </c>
    </row>
    <row r="26" customHeight="1" spans="1:22">
      <c r="A26" s="15" t="s">
        <v>65</v>
      </c>
      <c r="B26" s="16">
        <v>698746777029</v>
      </c>
      <c r="C26" s="6" t="s">
        <v>669</v>
      </c>
      <c r="D26" s="6" t="s">
        <v>670</v>
      </c>
      <c r="E26" s="6" t="s">
        <v>671</v>
      </c>
      <c r="F26" s="6" t="s">
        <v>672</v>
      </c>
      <c r="G26" s="14" t="s">
        <v>648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601</v>
      </c>
    </row>
    <row r="27" customHeight="1" spans="1:22">
      <c r="A27" s="15" t="s">
        <v>27</v>
      </c>
      <c r="B27" s="16">
        <v>698746777333</v>
      </c>
      <c r="C27" s="6" t="s">
        <v>673</v>
      </c>
      <c r="D27" s="6" t="s">
        <v>674</v>
      </c>
      <c r="E27" s="6" t="s">
        <v>675</v>
      </c>
      <c r="F27" s="6" t="s">
        <v>313</v>
      </c>
      <c r="G27" s="14" t="s">
        <v>668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601</v>
      </c>
    </row>
    <row r="28" customHeight="1" spans="1:22">
      <c r="A28" s="15" t="s">
        <v>74</v>
      </c>
      <c r="B28" s="16">
        <v>698746777036</v>
      </c>
      <c r="C28" s="6" t="s">
        <v>676</v>
      </c>
      <c r="D28" s="6" t="s">
        <v>677</v>
      </c>
      <c r="E28" s="6" t="s">
        <v>678</v>
      </c>
      <c r="F28" s="6" t="s">
        <v>309</v>
      </c>
      <c r="G28" s="14" t="s">
        <v>648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601</v>
      </c>
    </row>
    <row r="29" customHeight="1" spans="1:22">
      <c r="A29" s="18" t="s">
        <v>57</v>
      </c>
      <c r="B29" s="13">
        <v>850030338051</v>
      </c>
      <c r="C29" s="18" t="s">
        <v>679</v>
      </c>
      <c r="D29" s="6" t="s">
        <v>680</v>
      </c>
      <c r="E29" s="6" t="s">
        <v>681</v>
      </c>
      <c r="F29" s="6" t="s">
        <v>290</v>
      </c>
      <c r="G29" s="14" t="s">
        <v>682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683</v>
      </c>
    </row>
    <row r="30" customHeight="1" spans="1:22">
      <c r="A30" s="15" t="s">
        <v>93</v>
      </c>
      <c r="B30" s="16">
        <v>850030338358</v>
      </c>
      <c r="C30" s="6" t="s">
        <v>684</v>
      </c>
      <c r="D30" s="6" t="s">
        <v>685</v>
      </c>
      <c r="E30" s="6" t="s">
        <v>686</v>
      </c>
      <c r="F30" s="6" t="s">
        <v>613</v>
      </c>
      <c r="G30" s="14" t="s">
        <v>687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195</v>
      </c>
      <c r="D31" s="6" t="s">
        <v>688</v>
      </c>
      <c r="E31" s="6" t="s">
        <v>689</v>
      </c>
      <c r="F31" s="6" t="s">
        <v>690</v>
      </c>
      <c r="G31" s="14" t="s">
        <v>687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55</v>
      </c>
      <c r="B32" s="16">
        <v>760762457053</v>
      </c>
      <c r="C32" s="6" t="s">
        <v>691</v>
      </c>
      <c r="D32" s="6" t="s">
        <v>692</v>
      </c>
      <c r="E32" s="6" t="s">
        <v>693</v>
      </c>
      <c r="F32" s="6" t="s">
        <v>290</v>
      </c>
      <c r="G32" s="14" t="s">
        <v>694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695</v>
      </c>
    </row>
    <row r="33" customHeight="1" spans="1:22">
      <c r="A33" s="6" t="s">
        <v>32</v>
      </c>
      <c r="B33" s="13">
        <v>850062627567</v>
      </c>
      <c r="C33" s="6" t="s">
        <v>696</v>
      </c>
      <c r="D33" s="6" t="s">
        <v>697</v>
      </c>
      <c r="E33" s="6" t="s">
        <v>698</v>
      </c>
      <c r="F33" s="6" t="s">
        <v>699</v>
      </c>
      <c r="G33" s="14" t="s">
        <v>700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580</v>
      </c>
    </row>
    <row r="34" customHeight="1" spans="1:22">
      <c r="A34" s="15" t="s">
        <v>40</v>
      </c>
      <c r="B34" s="16">
        <v>850030338211</v>
      </c>
      <c r="C34" s="6" t="s">
        <v>701</v>
      </c>
      <c r="D34" s="6" t="s">
        <v>702</v>
      </c>
      <c r="E34" s="6" t="s">
        <v>703</v>
      </c>
      <c r="F34" s="6" t="s">
        <v>313</v>
      </c>
      <c r="G34" s="14" t="s">
        <v>648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580</v>
      </c>
    </row>
    <row r="35" customHeight="1" spans="1:22">
      <c r="A35" s="15" t="s">
        <v>94</v>
      </c>
      <c r="B35" s="16">
        <v>850030338235</v>
      </c>
      <c r="C35" s="6" t="s">
        <v>704</v>
      </c>
      <c r="D35" s="6" t="s">
        <v>705</v>
      </c>
      <c r="E35" s="6" t="s">
        <v>706</v>
      </c>
      <c r="F35" s="6" t="s">
        <v>309</v>
      </c>
      <c r="G35" s="14" t="s">
        <v>648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601</v>
      </c>
    </row>
    <row r="36" customHeight="1" spans="1:22">
      <c r="A36" s="6" t="s">
        <v>80</v>
      </c>
      <c r="B36" s="16">
        <v>850030338341</v>
      </c>
      <c r="C36" s="6" t="s">
        <v>707</v>
      </c>
      <c r="D36" s="6" t="s">
        <v>708</v>
      </c>
      <c r="E36" s="6" t="s">
        <v>709</v>
      </c>
      <c r="F36" s="6" t="s">
        <v>290</v>
      </c>
      <c r="G36" s="14" t="s">
        <v>648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580</v>
      </c>
    </row>
    <row r="37" customHeight="1" spans="1:22">
      <c r="A37" s="6" t="s">
        <v>75</v>
      </c>
      <c r="B37" s="16">
        <v>850030338303</v>
      </c>
      <c r="C37" s="6" t="s">
        <v>710</v>
      </c>
      <c r="D37" s="6" t="s">
        <v>711</v>
      </c>
      <c r="E37" s="6" t="s">
        <v>712</v>
      </c>
      <c r="F37" s="6" t="s">
        <v>290</v>
      </c>
      <c r="G37" s="14" t="s">
        <v>648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589</v>
      </c>
    </row>
    <row r="38" customHeight="1" spans="1:22">
      <c r="A38" s="15" t="s">
        <v>77</v>
      </c>
      <c r="B38" s="16">
        <v>850030338280</v>
      </c>
      <c r="C38" s="6" t="s">
        <v>713</v>
      </c>
      <c r="D38" s="6" t="s">
        <v>714</v>
      </c>
      <c r="E38" s="6" t="s">
        <v>715</v>
      </c>
      <c r="F38" s="6" t="s">
        <v>625</v>
      </c>
      <c r="G38" s="14" t="s">
        <v>648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580</v>
      </c>
    </row>
    <row r="39" customHeight="1" spans="1:22">
      <c r="A39" s="6" t="s">
        <v>81</v>
      </c>
      <c r="B39" s="16">
        <v>850030338297</v>
      </c>
      <c r="C39" s="6" t="s">
        <v>716</v>
      </c>
      <c r="D39" s="6" t="s">
        <v>717</v>
      </c>
      <c r="E39" s="6" t="s">
        <v>718</v>
      </c>
      <c r="F39" s="6" t="s">
        <v>290</v>
      </c>
      <c r="G39" s="14" t="s">
        <v>648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580</v>
      </c>
    </row>
    <row r="40" customHeight="1" spans="1:22">
      <c r="A40" s="15" t="s">
        <v>78</v>
      </c>
      <c r="B40" s="16">
        <v>850030338273</v>
      </c>
      <c r="C40" s="6" t="s">
        <v>719</v>
      </c>
      <c r="D40" s="6" t="s">
        <v>720</v>
      </c>
      <c r="E40" s="6" t="s">
        <v>721</v>
      </c>
      <c r="F40" s="6" t="s">
        <v>722</v>
      </c>
      <c r="G40" s="14" t="s">
        <v>648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580</v>
      </c>
    </row>
    <row r="41" customHeight="1" spans="1:22">
      <c r="A41" s="6" t="s">
        <v>56</v>
      </c>
      <c r="B41" s="16">
        <v>850030338433</v>
      </c>
      <c r="C41" s="6" t="s">
        <v>723</v>
      </c>
      <c r="D41" s="6" t="s">
        <v>724</v>
      </c>
      <c r="E41" s="6" t="s">
        <v>725</v>
      </c>
      <c r="F41" s="6" t="s">
        <v>609</v>
      </c>
      <c r="G41" s="14" t="s">
        <v>648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580</v>
      </c>
    </row>
    <row r="42" customHeight="1" spans="1:22">
      <c r="A42" s="6" t="s">
        <v>66</v>
      </c>
      <c r="B42" s="16">
        <v>850030338440</v>
      </c>
      <c r="C42" s="6" t="s">
        <v>726</v>
      </c>
      <c r="D42" s="6" t="s">
        <v>727</v>
      </c>
      <c r="E42" s="6" t="s">
        <v>728</v>
      </c>
      <c r="F42" s="6" t="s">
        <v>609</v>
      </c>
      <c r="G42" s="14" t="s">
        <v>648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580</v>
      </c>
    </row>
    <row r="43" customHeight="1" spans="1:22">
      <c r="A43" s="6" t="s">
        <v>54</v>
      </c>
      <c r="B43" s="13">
        <v>850030338150</v>
      </c>
      <c r="C43" s="6" t="s">
        <v>729</v>
      </c>
      <c r="D43" s="6" t="s">
        <v>730</v>
      </c>
      <c r="E43" s="6" t="s">
        <v>731</v>
      </c>
      <c r="F43" s="6" t="s">
        <v>732</v>
      </c>
      <c r="G43" s="6" t="s">
        <v>733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658</v>
      </c>
    </row>
    <row r="44" customHeight="1" spans="1:22">
      <c r="A44" s="15" t="s">
        <v>100</v>
      </c>
      <c r="B44" s="16">
        <v>698746776565</v>
      </c>
      <c r="C44" s="6" t="s">
        <v>734</v>
      </c>
      <c r="D44" s="6" t="s">
        <v>735</v>
      </c>
      <c r="E44" s="6" t="s">
        <v>736</v>
      </c>
      <c r="F44" s="6" t="s">
        <v>613</v>
      </c>
      <c r="G44" s="14" t="s">
        <v>737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738</v>
      </c>
      <c r="D45" s="6" t="s">
        <v>739</v>
      </c>
      <c r="E45" s="6" t="s">
        <v>740</v>
      </c>
      <c r="F45" s="6" t="s">
        <v>613</v>
      </c>
      <c r="G45" s="14" t="s">
        <v>737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741</v>
      </c>
      <c r="D46" s="6" t="s">
        <v>742</v>
      </c>
      <c r="E46" s="6" t="s">
        <v>743</v>
      </c>
      <c r="F46" s="6" t="s">
        <v>613</v>
      </c>
      <c r="G46" s="6" t="s">
        <v>618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744</v>
      </c>
      <c r="D47" s="6" t="s">
        <v>745</v>
      </c>
      <c r="E47" s="6" t="s">
        <v>746</v>
      </c>
      <c r="F47" s="6" t="s">
        <v>613</v>
      </c>
      <c r="G47" s="14" t="s">
        <v>747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744</v>
      </c>
      <c r="D48" s="6" t="s">
        <v>748</v>
      </c>
      <c r="E48" s="6" t="s">
        <v>749</v>
      </c>
      <c r="F48" s="6" t="s">
        <v>613</v>
      </c>
      <c r="G48" s="6" t="s">
        <v>618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750</v>
      </c>
      <c r="D49" s="6" t="s">
        <v>751</v>
      </c>
      <c r="E49" s="6" t="s">
        <v>752</v>
      </c>
      <c r="F49" s="6" t="s">
        <v>613</v>
      </c>
      <c r="G49" s="14" t="s">
        <v>737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753</v>
      </c>
      <c r="D50" s="6" t="s">
        <v>754</v>
      </c>
      <c r="E50" s="6" t="s">
        <v>755</v>
      </c>
      <c r="F50" s="6" t="s">
        <v>625</v>
      </c>
      <c r="G50" s="14" t="s">
        <v>756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589</v>
      </c>
    </row>
    <row r="51" customHeight="1" spans="1:22">
      <c r="A51" s="19" t="s">
        <v>106</v>
      </c>
      <c r="B51" s="16">
        <v>698746777111</v>
      </c>
      <c r="C51" s="16" t="s">
        <v>753</v>
      </c>
      <c r="D51" s="6" t="s">
        <v>757</v>
      </c>
      <c r="E51" s="6" t="s">
        <v>758</v>
      </c>
      <c r="F51" s="6" t="s">
        <v>613</v>
      </c>
      <c r="G51" s="14" t="s">
        <v>618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753</v>
      </c>
      <c r="D52" s="6" t="s">
        <v>759</v>
      </c>
      <c r="E52" s="6" t="s">
        <v>760</v>
      </c>
      <c r="F52" s="6" t="s">
        <v>613</v>
      </c>
      <c r="G52" s="14" t="s">
        <v>618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761</v>
      </c>
      <c r="D53" s="6" t="s">
        <v>762</v>
      </c>
      <c r="E53" s="6" t="s">
        <v>763</v>
      </c>
      <c r="F53" s="6" t="s">
        <v>613</v>
      </c>
      <c r="G53" s="14" t="s">
        <v>764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761</v>
      </c>
      <c r="D54" s="6" t="s">
        <v>765</v>
      </c>
      <c r="E54" s="6" t="s">
        <v>766</v>
      </c>
      <c r="F54" s="6" t="s">
        <v>613</v>
      </c>
      <c r="G54" s="14" t="s">
        <v>764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761</v>
      </c>
      <c r="D55" s="6" t="s">
        <v>767</v>
      </c>
      <c r="E55" s="6" t="s">
        <v>768</v>
      </c>
      <c r="F55" s="6" t="s">
        <v>613</v>
      </c>
      <c r="G55" s="14" t="s">
        <v>764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761</v>
      </c>
      <c r="D56" s="6" t="s">
        <v>769</v>
      </c>
      <c r="E56" s="6" t="s">
        <v>770</v>
      </c>
      <c r="F56" s="6" t="s">
        <v>613</v>
      </c>
      <c r="G56" s="14" t="s">
        <v>764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771</v>
      </c>
      <c r="D57" s="6" t="s">
        <v>772</v>
      </c>
      <c r="E57" s="6" t="s">
        <v>773</v>
      </c>
      <c r="F57" s="6" t="s">
        <v>613</v>
      </c>
      <c r="G57" s="14" t="s">
        <v>700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774</v>
      </c>
      <c r="D58" s="6" t="s">
        <v>775</v>
      </c>
      <c r="E58" s="6" t="s">
        <v>776</v>
      </c>
      <c r="F58" s="6" t="s">
        <v>613</v>
      </c>
      <c r="G58" s="14" t="s">
        <v>700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777</v>
      </c>
      <c r="D59" s="6" t="s">
        <v>778</v>
      </c>
      <c r="E59" s="6" t="s">
        <v>779</v>
      </c>
      <c r="F59" s="6" t="s">
        <v>613</v>
      </c>
      <c r="G59" s="14" t="s">
        <v>700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780</v>
      </c>
      <c r="D60" s="6" t="s">
        <v>781</v>
      </c>
      <c r="E60" s="6" t="s">
        <v>782</v>
      </c>
      <c r="F60" s="6" t="s">
        <v>783</v>
      </c>
      <c r="G60" s="14" t="s">
        <v>784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785</v>
      </c>
    </row>
    <row r="61" customHeight="1" spans="1:22">
      <c r="A61" s="6" t="s">
        <v>115</v>
      </c>
      <c r="B61" s="16">
        <v>760762457046</v>
      </c>
      <c r="C61" s="6" t="s">
        <v>786</v>
      </c>
      <c r="D61" s="6" t="s">
        <v>787</v>
      </c>
      <c r="E61" s="6" t="s">
        <v>788</v>
      </c>
      <c r="F61" s="6" t="s">
        <v>290</v>
      </c>
      <c r="G61" s="14" t="s">
        <v>789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580</v>
      </c>
    </row>
    <row r="62" customHeight="1" spans="1:22">
      <c r="A62" s="15" t="s">
        <v>68</v>
      </c>
      <c r="B62" s="16">
        <v>634413994429</v>
      </c>
      <c r="C62" s="6" t="s">
        <v>790</v>
      </c>
      <c r="D62" s="6" t="s">
        <v>791</v>
      </c>
      <c r="E62" s="6" t="s">
        <v>792</v>
      </c>
      <c r="F62" s="6" t="s">
        <v>793</v>
      </c>
      <c r="G62" s="14" t="s">
        <v>794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601</v>
      </c>
    </row>
    <row r="63" customHeight="1" spans="1:22">
      <c r="A63" s="6" t="s">
        <v>25</v>
      </c>
      <c r="B63" s="16">
        <v>760762456971</v>
      </c>
      <c r="C63" s="6" t="s">
        <v>795</v>
      </c>
      <c r="D63" s="6" t="s">
        <v>796</v>
      </c>
      <c r="E63" s="6" t="s">
        <v>797</v>
      </c>
      <c r="F63" s="6" t="s">
        <v>798</v>
      </c>
      <c r="G63" s="14" t="s">
        <v>794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580</v>
      </c>
    </row>
    <row r="64" customHeight="1" spans="1:22">
      <c r="A64" s="6" t="s">
        <v>34</v>
      </c>
      <c r="B64" s="16">
        <v>850030338075</v>
      </c>
      <c r="C64" s="6" t="s">
        <v>799</v>
      </c>
      <c r="D64" s="6" t="s">
        <v>800</v>
      </c>
      <c r="E64" s="6" t="s">
        <v>801</v>
      </c>
      <c r="F64" s="6" t="s">
        <v>599</v>
      </c>
      <c r="G64" s="14" t="s">
        <v>588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589</v>
      </c>
    </row>
    <row r="65" customHeight="1" spans="1:22">
      <c r="A65" s="6" t="s">
        <v>72</v>
      </c>
      <c r="B65" s="13">
        <v>698746777210</v>
      </c>
      <c r="C65" s="6" t="s">
        <v>802</v>
      </c>
      <c r="D65" s="6" t="s">
        <v>803</v>
      </c>
      <c r="E65" s="6" t="s">
        <v>804</v>
      </c>
      <c r="F65" s="6" t="s">
        <v>290</v>
      </c>
      <c r="G65" s="14" t="s">
        <v>588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589</v>
      </c>
    </row>
    <row r="66" customHeight="1" spans="1:22">
      <c r="A66" s="15" t="s">
        <v>44</v>
      </c>
      <c r="B66" s="16">
        <v>698746777050</v>
      </c>
      <c r="C66" s="6" t="s">
        <v>805</v>
      </c>
      <c r="D66" s="6" t="s">
        <v>806</v>
      </c>
      <c r="E66" s="6" t="s">
        <v>807</v>
      </c>
      <c r="F66" s="6" t="s">
        <v>808</v>
      </c>
      <c r="G66" s="14" t="s">
        <v>588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589</v>
      </c>
    </row>
    <row r="67" customHeight="1" spans="1:22">
      <c r="A67" s="6" t="s">
        <v>46</v>
      </c>
      <c r="B67" s="16">
        <v>850081655015</v>
      </c>
      <c r="C67" s="6" t="s">
        <v>809</v>
      </c>
      <c r="D67" s="6" t="s">
        <v>810</v>
      </c>
      <c r="E67" s="6" t="s">
        <v>811</v>
      </c>
      <c r="F67" s="6" t="s">
        <v>290</v>
      </c>
      <c r="G67" s="14" t="s">
        <v>588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589</v>
      </c>
    </row>
    <row r="68" customHeight="1" spans="1:22">
      <c r="A68" s="15" t="s">
        <v>52</v>
      </c>
      <c r="B68" s="16">
        <v>698746777005</v>
      </c>
      <c r="C68" s="6" t="s">
        <v>812</v>
      </c>
      <c r="D68" s="6" t="s">
        <v>813</v>
      </c>
      <c r="E68" s="6" t="s">
        <v>814</v>
      </c>
      <c r="F68" s="6" t="s">
        <v>672</v>
      </c>
      <c r="G68" s="14" t="s">
        <v>600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601</v>
      </c>
    </row>
    <row r="69" customHeight="1" spans="1:22">
      <c r="A69" s="6" t="s">
        <v>31</v>
      </c>
      <c r="B69" s="13">
        <v>850030338082</v>
      </c>
      <c r="C69" s="6" t="s">
        <v>815</v>
      </c>
      <c r="D69" s="6" t="s">
        <v>816</v>
      </c>
      <c r="E69" s="6" t="s">
        <v>817</v>
      </c>
      <c r="F69" s="6" t="s">
        <v>818</v>
      </c>
      <c r="G69" s="14" t="s">
        <v>819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601</v>
      </c>
    </row>
    <row r="70" customHeight="1" spans="1:22">
      <c r="A70" s="15" t="s">
        <v>45</v>
      </c>
      <c r="B70" s="16">
        <v>850030338921</v>
      </c>
      <c r="C70" s="6" t="s">
        <v>820</v>
      </c>
      <c r="D70" s="6" t="s">
        <v>821</v>
      </c>
      <c r="E70" s="6" t="s">
        <v>822</v>
      </c>
      <c r="F70" s="6" t="s">
        <v>625</v>
      </c>
      <c r="G70" s="14" t="s">
        <v>823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580</v>
      </c>
    </row>
    <row r="71" customHeight="1" spans="1:22">
      <c r="A71" s="6" t="s">
        <v>117</v>
      </c>
      <c r="B71" s="16">
        <v>850081655367</v>
      </c>
      <c r="C71" s="6" t="s">
        <v>824</v>
      </c>
      <c r="D71" s="6" t="s">
        <v>825</v>
      </c>
      <c r="E71" s="6" t="s">
        <v>826</v>
      </c>
      <c r="F71" s="6" t="s">
        <v>613</v>
      </c>
      <c r="G71" s="14" t="s">
        <v>823</v>
      </c>
      <c r="H71" s="14">
        <v>1000</v>
      </c>
      <c r="I71" s="14">
        <v>10</v>
      </c>
      <c r="J71" s="6">
        <v>18</v>
      </c>
      <c r="K71" s="6">
        <v>2.15</v>
      </c>
      <c r="L71" s="6" t="s">
        <v>827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580</v>
      </c>
    </row>
    <row r="72" customHeight="1" spans="1:22">
      <c r="A72" s="19" t="s">
        <v>118</v>
      </c>
      <c r="B72" s="16">
        <v>850081655008</v>
      </c>
      <c r="C72" s="16" t="s">
        <v>820</v>
      </c>
      <c r="D72" s="6" t="s">
        <v>828</v>
      </c>
      <c r="E72" s="6" t="s">
        <v>829</v>
      </c>
      <c r="F72" s="6" t="s">
        <v>613</v>
      </c>
      <c r="G72" s="14" t="s">
        <v>648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830</v>
      </c>
      <c r="D73" s="6" t="s">
        <v>831</v>
      </c>
      <c r="E73" s="6" t="s">
        <v>832</v>
      </c>
      <c r="F73" s="6" t="s">
        <v>808</v>
      </c>
      <c r="G73" s="14" t="s">
        <v>833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580</v>
      </c>
    </row>
    <row r="74" customHeight="1" spans="1:22">
      <c r="A74" s="6" t="s">
        <v>48</v>
      </c>
      <c r="B74" s="13">
        <v>850030338518</v>
      </c>
      <c r="C74" s="6" t="s">
        <v>834</v>
      </c>
      <c r="D74" s="6" t="s">
        <v>835</v>
      </c>
      <c r="E74" s="6" t="s">
        <v>836</v>
      </c>
      <c r="F74" s="6" t="s">
        <v>290</v>
      </c>
      <c r="G74" s="14" t="s">
        <v>833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580</v>
      </c>
    </row>
    <row r="75" customHeight="1" spans="1:22">
      <c r="A75" s="15" t="s">
        <v>121</v>
      </c>
      <c r="B75" s="16">
        <v>850030338501</v>
      </c>
      <c r="C75" s="6" t="s">
        <v>830</v>
      </c>
      <c r="D75" s="6" t="s">
        <v>837</v>
      </c>
      <c r="E75" s="6" t="s">
        <v>838</v>
      </c>
      <c r="F75" s="6" t="s">
        <v>613</v>
      </c>
      <c r="G75" s="6" t="s">
        <v>618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839</v>
      </c>
      <c r="D76" s="6" t="s">
        <v>840</v>
      </c>
      <c r="E76" s="6" t="s">
        <v>841</v>
      </c>
      <c r="F76" s="6" t="s">
        <v>842</v>
      </c>
      <c r="G76" s="6" t="s">
        <v>618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589</v>
      </c>
    </row>
    <row r="77" customHeight="1" spans="1:22">
      <c r="A77" s="15" t="s">
        <v>122</v>
      </c>
      <c r="B77" s="16">
        <v>698746776497</v>
      </c>
      <c r="C77" s="6" t="s">
        <v>843</v>
      </c>
      <c r="D77" s="6" t="s">
        <v>844</v>
      </c>
      <c r="E77" s="6" t="s">
        <v>845</v>
      </c>
      <c r="F77" s="6" t="s">
        <v>613</v>
      </c>
      <c r="G77" s="14" t="s">
        <v>614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846</v>
      </c>
      <c r="D78" s="6" t="s">
        <v>847</v>
      </c>
      <c r="E78" s="6" t="s">
        <v>848</v>
      </c>
      <c r="F78" s="6" t="s">
        <v>849</v>
      </c>
      <c r="G78" s="14" t="s">
        <v>614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601</v>
      </c>
    </row>
    <row r="79" customHeight="1" spans="1:22">
      <c r="A79" s="18" t="s">
        <v>62</v>
      </c>
      <c r="B79" s="13">
        <v>760762457077</v>
      </c>
      <c r="C79" s="18" t="s">
        <v>850</v>
      </c>
      <c r="D79" s="6" t="s">
        <v>851</v>
      </c>
      <c r="E79" s="6" t="s">
        <v>852</v>
      </c>
      <c r="F79" s="6" t="s">
        <v>290</v>
      </c>
      <c r="G79" s="14" t="s">
        <v>823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580</v>
      </c>
    </row>
    <row r="80" customHeight="1" spans="1:22">
      <c r="A80" s="20" t="s">
        <v>123</v>
      </c>
      <c r="B80" s="16">
        <v>850030338570</v>
      </c>
      <c r="C80" s="6" t="s">
        <v>853</v>
      </c>
      <c r="D80" s="6" t="s">
        <v>854</v>
      </c>
      <c r="E80" s="6" t="s">
        <v>855</v>
      </c>
      <c r="F80" s="6" t="s">
        <v>613</v>
      </c>
      <c r="G80" s="6" t="s">
        <v>618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856</v>
      </c>
      <c r="D81" s="6" t="s">
        <v>857</v>
      </c>
      <c r="E81" s="6" t="s">
        <v>858</v>
      </c>
      <c r="F81" s="6" t="s">
        <v>290</v>
      </c>
      <c r="G81" s="14" t="s">
        <v>588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601</v>
      </c>
    </row>
    <row r="82" customHeight="1" spans="1:22">
      <c r="A82" s="6" t="s">
        <v>29</v>
      </c>
      <c r="B82" s="16">
        <v>850067049258</v>
      </c>
      <c r="C82" s="6" t="s">
        <v>859</v>
      </c>
      <c r="D82" s="6" t="s">
        <v>860</v>
      </c>
      <c r="E82" s="6" t="s">
        <v>861</v>
      </c>
      <c r="F82" s="6" t="s">
        <v>862</v>
      </c>
      <c r="G82" s="14" t="s">
        <v>588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601</v>
      </c>
    </row>
    <row r="83" customHeight="1" spans="1:22">
      <c r="A83" s="6" t="s">
        <v>51</v>
      </c>
      <c r="B83" s="16">
        <v>698746777500</v>
      </c>
      <c r="C83" s="6" t="s">
        <v>590</v>
      </c>
      <c r="D83" s="6" t="s">
        <v>863</v>
      </c>
      <c r="E83" s="6" t="s">
        <v>864</v>
      </c>
      <c r="F83" s="6" t="s">
        <v>290</v>
      </c>
      <c r="G83" s="14" t="s">
        <v>588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601</v>
      </c>
    </row>
    <row r="84" customHeight="1" spans="1:22">
      <c r="A84" s="15" t="s">
        <v>67</v>
      </c>
      <c r="B84" s="16">
        <v>860006392840</v>
      </c>
      <c r="C84" s="6" t="s">
        <v>865</v>
      </c>
      <c r="D84" s="6" t="s">
        <v>866</v>
      </c>
      <c r="E84" s="6" t="s">
        <v>867</v>
      </c>
      <c r="F84" s="6" t="s">
        <v>309</v>
      </c>
      <c r="G84" s="14" t="s">
        <v>588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580</v>
      </c>
    </row>
    <row r="85" customHeight="1" spans="1:22">
      <c r="A85" s="6" t="s">
        <v>38</v>
      </c>
      <c r="B85" s="16">
        <v>850030338198</v>
      </c>
      <c r="C85" s="6" t="s">
        <v>868</v>
      </c>
      <c r="D85" s="6" t="s">
        <v>869</v>
      </c>
      <c r="E85" s="6" t="s">
        <v>870</v>
      </c>
      <c r="F85" s="6" t="s">
        <v>609</v>
      </c>
      <c r="G85" s="6" t="s">
        <v>871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589</v>
      </c>
    </row>
    <row r="86" customHeight="1" spans="1:22">
      <c r="A86" s="15" t="s">
        <v>36</v>
      </c>
      <c r="B86" s="16">
        <v>698746777067</v>
      </c>
      <c r="C86" s="6" t="s">
        <v>872</v>
      </c>
      <c r="D86" s="6" t="s">
        <v>873</v>
      </c>
      <c r="E86" s="6" t="s">
        <v>874</v>
      </c>
      <c r="F86" s="6" t="s">
        <v>875</v>
      </c>
      <c r="G86" s="14" t="s">
        <v>588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589</v>
      </c>
    </row>
    <row r="87" customHeight="1" spans="1:22">
      <c r="A87" s="6" t="s">
        <v>63</v>
      </c>
      <c r="B87" s="13">
        <v>698746777531</v>
      </c>
      <c r="C87" s="6" t="s">
        <v>876</v>
      </c>
      <c r="D87" s="6" t="s">
        <v>877</v>
      </c>
      <c r="E87" s="6" t="s">
        <v>878</v>
      </c>
      <c r="F87" s="6" t="s">
        <v>290</v>
      </c>
      <c r="G87" s="14" t="s">
        <v>588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589</v>
      </c>
    </row>
    <row r="88" customHeight="1" spans="1:22">
      <c r="A88" s="6" t="s">
        <v>70</v>
      </c>
      <c r="B88" s="13">
        <v>698746777463</v>
      </c>
      <c r="C88" s="6" t="s">
        <v>879</v>
      </c>
      <c r="D88" s="6" t="s">
        <v>880</v>
      </c>
      <c r="E88" s="6" t="s">
        <v>881</v>
      </c>
      <c r="F88" s="6" t="s">
        <v>290</v>
      </c>
      <c r="G88" s="14" t="s">
        <v>588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580</v>
      </c>
    </row>
    <row r="89" customHeight="1" spans="1:22">
      <c r="A89" s="6" t="s">
        <v>47</v>
      </c>
      <c r="B89" s="13">
        <v>698746777203</v>
      </c>
      <c r="C89" s="6" t="s">
        <v>882</v>
      </c>
      <c r="D89" s="6" t="s">
        <v>883</v>
      </c>
      <c r="E89" s="6" t="s">
        <v>884</v>
      </c>
      <c r="F89" s="6" t="s">
        <v>290</v>
      </c>
      <c r="G89" s="14" t="s">
        <v>588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580</v>
      </c>
    </row>
    <row r="90" customHeight="1" spans="1:22">
      <c r="A90" s="6" t="s">
        <v>92</v>
      </c>
      <c r="B90" s="13">
        <v>850030338914</v>
      </c>
      <c r="C90" s="6" t="s">
        <v>885</v>
      </c>
      <c r="D90" s="6" t="s">
        <v>886</v>
      </c>
      <c r="E90" s="6" t="s">
        <v>887</v>
      </c>
      <c r="F90" s="6" t="s">
        <v>371</v>
      </c>
      <c r="G90" s="14" t="s">
        <v>687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888</v>
      </c>
      <c r="D91" s="6" t="s">
        <v>889</v>
      </c>
      <c r="E91" s="6" t="s">
        <v>890</v>
      </c>
      <c r="F91" s="6" t="s">
        <v>371</v>
      </c>
      <c r="G91" s="14" t="s">
        <v>579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580</v>
      </c>
    </row>
    <row r="92" customHeight="1" spans="1:22">
      <c r="A92" s="6" t="s">
        <v>85</v>
      </c>
      <c r="B92" s="13">
        <v>850062627710</v>
      </c>
      <c r="C92" s="6" t="s">
        <v>891</v>
      </c>
      <c r="D92" s="6" t="s">
        <v>892</v>
      </c>
      <c r="E92" s="6" t="s">
        <v>893</v>
      </c>
      <c r="F92" s="6" t="s">
        <v>371</v>
      </c>
      <c r="G92" s="14" t="s">
        <v>579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580</v>
      </c>
    </row>
    <row r="93" customHeight="1" spans="1:22">
      <c r="A93" s="6" t="s">
        <v>120</v>
      </c>
      <c r="B93" s="13">
        <v>850030338495</v>
      </c>
      <c r="C93" s="6" t="s">
        <v>894</v>
      </c>
      <c r="D93" s="6" t="s">
        <v>895</v>
      </c>
      <c r="E93" s="6" t="s">
        <v>896</v>
      </c>
      <c r="F93" s="6" t="s">
        <v>371</v>
      </c>
      <c r="G93" s="14" t="s">
        <v>833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580</v>
      </c>
    </row>
    <row r="94" customHeight="1" spans="1:22">
      <c r="A94" s="6" t="s">
        <v>95</v>
      </c>
      <c r="B94" s="13">
        <v>850030338044</v>
      </c>
      <c r="C94" s="22" t="s">
        <v>897</v>
      </c>
      <c r="D94" s="6" t="s">
        <v>898</v>
      </c>
      <c r="E94" s="6" t="s">
        <v>899</v>
      </c>
      <c r="F94" s="6" t="s">
        <v>371</v>
      </c>
      <c r="G94" s="14" t="s">
        <v>648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900</v>
      </c>
      <c r="D95" s="6" t="s">
        <v>901</v>
      </c>
      <c r="E95" s="6" t="s">
        <v>902</v>
      </c>
      <c r="F95" s="6" t="s">
        <v>371</v>
      </c>
      <c r="G95" s="14" t="s">
        <v>648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903</v>
      </c>
      <c r="D96" s="6" t="s">
        <v>904</v>
      </c>
      <c r="E96" s="6" t="s">
        <v>905</v>
      </c>
      <c r="F96" s="6" t="s">
        <v>371</v>
      </c>
      <c r="G96" s="14" t="s">
        <v>906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907</v>
      </c>
      <c r="D97" s="6" t="s">
        <v>908</v>
      </c>
      <c r="E97" s="6" t="s">
        <v>909</v>
      </c>
      <c r="F97" s="6" t="s">
        <v>371</v>
      </c>
      <c r="G97" s="14" t="s">
        <v>648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910</v>
      </c>
      <c r="D98" s="6" t="s">
        <v>911</v>
      </c>
      <c r="E98" s="6" t="s">
        <v>912</v>
      </c>
      <c r="F98" s="6" t="s">
        <v>371</v>
      </c>
      <c r="G98" s="14" t="s">
        <v>648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913</v>
      </c>
      <c r="D99" s="6" t="s">
        <v>914</v>
      </c>
      <c r="E99" s="6" t="s">
        <v>915</v>
      </c>
      <c r="F99" s="6" t="s">
        <v>371</v>
      </c>
      <c r="G99" s="14" t="s">
        <v>579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916</v>
      </c>
      <c r="D100" s="6" t="s">
        <v>917</v>
      </c>
      <c r="E100" s="6" t="s">
        <v>918</v>
      </c>
      <c r="F100" s="6" t="s">
        <v>371</v>
      </c>
      <c r="G100" s="14" t="s">
        <v>579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919</v>
      </c>
      <c r="D101" s="6" t="s">
        <v>920</v>
      </c>
      <c r="E101" s="6" t="s">
        <v>921</v>
      </c>
      <c r="F101" s="6" t="s">
        <v>371</v>
      </c>
      <c r="G101" s="14" t="s">
        <v>648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922</v>
      </c>
      <c r="D102" s="6" t="s">
        <v>923</v>
      </c>
      <c r="E102" s="6" t="s">
        <v>924</v>
      </c>
      <c r="F102" s="6" t="s">
        <v>371</v>
      </c>
      <c r="G102" s="14" t="s">
        <v>648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925</v>
      </c>
      <c r="C1" s="2"/>
      <c r="D1" s="2"/>
      <c r="E1" s="3" t="s">
        <v>926</v>
      </c>
      <c r="F1" s="4"/>
      <c r="G1" s="4"/>
    </row>
    <row r="2" spans="1:12">
      <c r="A2" s="5" t="s">
        <v>20</v>
      </c>
      <c r="B2" s="5" t="s">
        <v>573</v>
      </c>
      <c r="C2" s="5" t="s">
        <v>574</v>
      </c>
      <c r="D2" s="5" t="s">
        <v>575</v>
      </c>
      <c r="E2" s="5" t="s">
        <v>573</v>
      </c>
      <c r="F2" s="5" t="s">
        <v>574</v>
      </c>
      <c r="G2" s="5" t="s">
        <v>575</v>
      </c>
      <c r="H2" s="5" t="s">
        <v>22</v>
      </c>
      <c r="I2" s="5" t="s">
        <v>927</v>
      </c>
      <c r="J2" s="5" t="s">
        <v>928</v>
      </c>
      <c r="K2" s="5" t="s">
        <v>929</v>
      </c>
      <c r="L2" s="5" t="s">
        <v>930</v>
      </c>
    </row>
    <row r="3" spans="1:12">
      <c r="A3" s="6" t="s">
        <v>589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601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580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683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695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785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40"/>
      <hiddenRange rowFrom="4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119"/>
      <hiddenRange rowFrom="121" rowTo="166"/>
      <hiddenRange rowFrom="169" rowTo="173"/>
      <hiddenRange rowFrom="177" rowTo="994"/>
    </filterData>
    <filterData filterID="545823343">
      <hiddenRange rowFrom="1" rowTo="117"/>
      <hiddenRange rowFrom="119" rowTo="136"/>
      <hiddenRange rowFrom="139" rowTo="994"/>
    </filterData>
    <autofilterInfo filterID="545109831">
      <autoFilter xmlns="http://schemas.openxmlformats.org/spreadsheetml/2006/main" ref="A1:T995">
        <filterColumn colId="16">
          <customFilters>
            <customFilter operator="equal" val="HELGOLAND/2606E"/>
          </customFilters>
        </filterColumn>
      </autoFilter>
    </autofilterInfo>
    <autofilterInfo filterID="545823343">
      <autoFilter xmlns="http://schemas.openxmlformats.org/spreadsheetml/2006/main" ref="A1:T995">
        <filterColumn colId="2">
          <customFilters>
            <customFilter operator="equal" val="ZM005-PL"/>
          </customFilters>
        </filterColumn>
      </autoFilter>
    </autofilterInfo>
  </sheetItem>
  <sheetItem sheetStid="13">
    <filterData filterID="545109831"/>
  </sheetItem>
  <sheetItem sheetStid="2">
    <filterData filterID="545823343"/>
  </sheetItem>
  <sheetItem sheetStid="3">
    <filterData filterID="545823343"/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2026-08-31T08:29:00Z</dcterms:created>
  <dcterms:modified xsi:type="dcterms:W3CDTF">2026-08-31T08:30:00Z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