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Purchase!$A$1:$T$1000</definedName>
    <definedName name="_xlnm._FilterDatabase" localSheetId="2" hidden="1">'Shipment Control'!$A$1:$O$1048174</definedName>
    <definedName name="_xlnm._FilterDatabase" localSheetId="3" hidden="1">Sales!$A$1:$S$949</definedName>
    <definedName name="_xlnm._FilterDatabase" localSheetId="5" hidden="1">'Weekly Sales'!$A$1:$W$1000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Check'!$A$1:$AQ$922</definedName>
    <definedName name="Z_3B390059_4BF5_4E30_AD66_39A4AB3D2C6F_.wvu.FilterData" localSheetId="4" hidden="1">'PO Check'!$A$1:$AO$913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<sst xmlns="http://schemas.openxmlformats.org/spreadsheetml/2006/main" count="7521" uniqueCount="1021">
  <si>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</si>
  <si>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</si>
  <si>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</si>
  <si>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</si>
  <si>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</si>
  <si>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</si>
  <si>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</si>
  <si>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</si>
  <si>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</si>
  <si>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</si>
  <si>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</si>
  <si>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</si>
  <si>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</si>
  <si>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</si>
  <si>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</si>
  <si>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</si>
  <si>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</si>
  <si>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</si>
  <si>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</si>
  <si>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</si>
  <si>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</si>
  <si>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</si>
  <si>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</si>
  <si>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CPWJ162000PK</t>
  </si>
  <si>
    <t>CPWJ0018</t>
  </si>
  <si>
    <t>WJ-13</t>
  </si>
  <si>
    <t>CPWJ18400WHSET-A</t>
  </si>
  <si>
    <t>HL-4</t>
  </si>
  <si>
    <t>R-12</t>
  </si>
  <si>
    <t>LT-7-PK</t>
  </si>
  <si>
    <t>WJ-9-GN</t>
  </si>
  <si>
    <t>WJ-39-PK</t>
  </si>
  <si>
    <t>BOBO22-GN</t>
  </si>
  <si>
    <t>CPWJ0011</t>
  </si>
  <si>
    <t>R-8</t>
  </si>
  <si>
    <t>实际库存 32</t>
  </si>
  <si>
    <t>CPSH60007BK</t>
  </si>
  <si>
    <t>WJ-4</t>
  </si>
  <si>
    <t>SZP542-WH</t>
  </si>
  <si>
    <t>CFLS18000</t>
  </si>
  <si>
    <t>CFLS64000YE</t>
  </si>
  <si>
    <t>BOBO22-WH</t>
  </si>
  <si>
    <t>ZM003-BL-WH</t>
  </si>
  <si>
    <t>ZM005-BL</t>
  </si>
  <si>
    <t>T-1-BL</t>
  </si>
  <si>
    <t>CFDL9000-GN-YL</t>
  </si>
  <si>
    <t>ZM1.2-PL-BL</t>
  </si>
  <si>
    <t>ZM003-BL</t>
  </si>
  <si>
    <t>CFLS71000WH</t>
  </si>
  <si>
    <t>ZM005-PL</t>
  </si>
  <si>
    <t>ZM005-MIX</t>
  </si>
  <si>
    <t>T-1-BL-WH</t>
  </si>
  <si>
    <t>RJ510-BL</t>
  </si>
  <si>
    <t>R-64</t>
  </si>
  <si>
    <t>T-1-BR-WH</t>
  </si>
  <si>
    <t>CPWJ181002RD</t>
  </si>
  <si>
    <t>WJ-39-GN</t>
  </si>
  <si>
    <t>SP-4</t>
  </si>
  <si>
    <t>WJ-14-B</t>
  </si>
  <si>
    <t>R-61</t>
  </si>
  <si>
    <t>T-1-PK</t>
  </si>
  <si>
    <t>ZM1.2-RD-GN</t>
  </si>
  <si>
    <t>CFDL1090-BR</t>
  </si>
  <si>
    <t>CFDL1090-PK</t>
  </si>
  <si>
    <t>CPWJ0012</t>
  </si>
  <si>
    <t>R-66</t>
  </si>
  <si>
    <t>R-63</t>
  </si>
  <si>
    <t>CPSH54000WH</t>
  </si>
  <si>
    <t>CPWJ0014</t>
  </si>
  <si>
    <t>ZM003-GN-WH</t>
  </si>
  <si>
    <t>CPSL22004GN</t>
  </si>
  <si>
    <t>R-62</t>
  </si>
  <si>
    <t>T-41</t>
  </si>
  <si>
    <t>CPWJ0015</t>
  </si>
  <si>
    <t>LT-27</t>
  </si>
  <si>
    <t>CPWJ87000</t>
  </si>
  <si>
    <t>R-71</t>
  </si>
  <si>
    <t>ZM004</t>
  </si>
  <si>
    <t>CPWJ18500WH</t>
  </si>
  <si>
    <t>CPWJ0013</t>
  </si>
  <si>
    <t>SZP542-GN</t>
  </si>
  <si>
    <t>R-15</t>
  </si>
  <si>
    <t>R-72</t>
  </si>
  <si>
    <t>WJ-46</t>
  </si>
  <si>
    <t>RJ722</t>
  </si>
  <si>
    <t>RJ723</t>
  </si>
  <si>
    <t>RJ122-BL</t>
  </si>
  <si>
    <t>RJ724</t>
  </si>
  <si>
    <t>RJ183-BL</t>
  </si>
  <si>
    <t>CPCJ0100-OR</t>
  </si>
  <si>
    <t>WJ-18-PL</t>
  </si>
  <si>
    <t>CPCS1600-OR</t>
  </si>
  <si>
    <t>RJ181-PK</t>
  </si>
  <si>
    <t>RJ510-PK</t>
  </si>
  <si>
    <t>RJ510-WH</t>
  </si>
  <si>
    <t>RJ186-BL</t>
  </si>
  <si>
    <t>RJ714-WH</t>
  </si>
  <si>
    <t>RJ714-PK</t>
  </si>
  <si>
    <t>WJ-39-WT</t>
  </si>
  <si>
    <t>HL-2</t>
  </si>
  <si>
    <t>WJ-14-P</t>
  </si>
  <si>
    <t>RJ714</t>
  </si>
  <si>
    <t>R-73</t>
  </si>
  <si>
    <t>WJ-18-W</t>
  </si>
  <si>
    <t>BOBO22-CL</t>
  </si>
  <si>
    <t>R-76</t>
  </si>
  <si>
    <t>WJ-9-WH</t>
  </si>
  <si>
    <t>R-74</t>
  </si>
  <si>
    <t>HL-1</t>
  </si>
  <si>
    <t>17BOBO-CL</t>
  </si>
  <si>
    <t>17BOBO-BL</t>
  </si>
  <si>
    <t>R-65</t>
  </si>
  <si>
    <t>CPSP17000-OR</t>
  </si>
  <si>
    <t>WJ-10-PK</t>
  </si>
  <si>
    <t>CPBD08001GN</t>
  </si>
  <si>
    <t>WJ-39-BL</t>
  </si>
  <si>
    <t>R-23</t>
  </si>
  <si>
    <t>BOBO22-BL</t>
  </si>
  <si>
    <t>CPSP19001BU</t>
  </si>
  <si>
    <t>CPTL0800</t>
  </si>
  <si>
    <t>RJ121</t>
  </si>
  <si>
    <t>RJ183-OR</t>
  </si>
  <si>
    <t>RJ714-BL</t>
  </si>
  <si>
    <t>SP-7</t>
  </si>
  <si>
    <t>WJ-43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</si>
  <si>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</si>
  <si>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</si>
  <si>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</si>
  <si>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</si>
  <si>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</si>
  <si>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</si>
  <si>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</si>
  <si>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</si>
  <si>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</si>
  <si>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</si>
  <si>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</si>
  <si>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</si>
  <si>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</si>
  <si>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</si>
  <si>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</si>
  <si>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</si>
  <si>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</si>
  <si>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</si>
  <si>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</si>
  <si>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</si>
  <si>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</si>
  <si>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</si>
  <si>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</si>
  <si>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</si>
  <si>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</si>
  <si>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</si>
  <si>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</si>
  <si>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</si>
  <si>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</si>
  <si>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</si>
  <si>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</si>
  <si>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</si>
  <si>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</si>
  <si>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</si>
  <si>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</si>
  <si>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</si>
  <si>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</si>
  <si>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</si>
  <si>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</si>
  <si>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</si>
  <si>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</si>
  <si>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</si>
  <si>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</si>
  <si>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</si>
  <si>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</si>
  <si>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</si>
  <si>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</si>
  <si>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</si>
  <si>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</si>
  <si>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</si>
  <si>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</si>
  <si>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</si>
  <si>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</si>
  <si>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</si>
  <si>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</si>
  <si>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</si>
  <si>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</si>
  <si>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</si>
  <si>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</si>
  <si>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</si>
  <si>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</si>
  <si>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</si>
  <si>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</si>
  <si>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</si>
  <si>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</si>
  <si>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</si>
  <si>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</si>
  <si>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</si>
  <si>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</si>
  <si>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</si>
  <si>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</si>
  <si>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</si>
  <si>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</si>
  <si>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</si>
  <si>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</si>
  <si>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</si>
  <si>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</si>
  <si>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</si>
  <si>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</si>
  <si>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</si>
  <si>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</si>
  <si>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</si>
  <si>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</si>
  <si>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</si>
  <si>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</si>
  <si>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</si>
  <si>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</si>
  <si>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</si>
  <si>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</si>
  <si>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</si>
  <si>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</si>
  <si>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</si>
  <si>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</si>
  <si>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</si>
  <si>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</si>
  <si>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</si>
  <si>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</si>
  <si>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</si>
  <si>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</si>
  <si>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</si>
  <si>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</si>
  <si>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</si>
  <si>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</si>
  <si>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</si>
  <si>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</si>
  <si>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</si>
  <si>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</si>
  <si>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</si>
  <si>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</si>
  <si>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</si>
  <si>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</si>
  <si>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</si>
  <si>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</si>
  <si>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</si>
  <si>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</si>
  <si>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</si>
  <si>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</si>
  <si>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</si>
  <si>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</si>
  <si>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</si>
  <si>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</si>
  <si>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</si>
  <si>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</si>
  <si>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</si>
  <si>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</si>
  <si>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</si>
  <si>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</si>
  <si>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</si>
  <si>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</si>
  <si>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</si>
  <si>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</si>
  <si>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</si>
  <si>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</si>
  <si>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</si>
  <si>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</si>
  <si>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</si>
  <si>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</si>
  <si>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</si>
  <si>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</si>
  <si>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</si>
  <si>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</si>
  <si>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</si>
  <si>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</si>
  <si>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</si>
  <si>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</si>
  <si>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</si>
  <si>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</si>
  <si>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</si>
  <si>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</si>
  <si>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</si>
  <si>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</si>
  <si>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</si>
  <si>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</si>
  <si>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</si>
  <si>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</si>
  <si>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</si>
  <si>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</si>
  <si>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</si>
  <si>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</si>
  <si>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</si>
  <si>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</si>
  <si>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</si>
  <si>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</si>
  <si>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</si>
  <si>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</si>
  <si>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</si>
  <si>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</si>
  <si>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</si>
  <si>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</si>
  <si>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</si>
  <si>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</si>
  <si>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</si>
  <si>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</si>
  <si>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</si>
  <si>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</si>
  <si>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</si>
  <si>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</si>
  <si>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</si>
  <si>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已提柜，等待送仓</t>
  </si>
  <si>
    <t>📄8.18-青岛出-0701+0716货物明细&amp;金额(1)</t>
  </si>
  <si>
    <t>📄8.20上海出-2X40HQ-HL-4出货明细&amp;金额</t>
  </si>
  <si>
    <t>已到港，等待提柜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</si>
  <si>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</si>
  <si>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</si>
  <si>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</si>
  <si>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</si>
  <si>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</si>
  <si>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</si>
  <si>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</si>
  <si>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</si>
  <si>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</si>
  <si>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</si>
  <si>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</si>
  <si>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</si>
  <si>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</si>
  <si>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</si>
  <si>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</si>
  <si>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</si>
  <si>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</si>
  <si>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</si>
  <si>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</si>
  <si>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</si>
  <si>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</si>
  <si>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</si>
  <si>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</si>
  <si>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</si>
  <si>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</si>
  <si>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</si>
  <si>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</si>
  <si>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</si>
  <si>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</si>
  <si>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</si>
  <si>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</si>
  <si>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</si>
  <si>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</si>
  <si>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</si>
  <si>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</si>
  <si>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</si>
  <si>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</si>
  <si>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</si>
  <si>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</si>
  <si>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</si>
  <si>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</si>
  <si>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</si>
  <si>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</si>
  <si>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</si>
  <si>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</si>
  <si>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</si>
  <si>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</si>
  <si>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</si>
  <si>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</si>
  <si>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</si>
  <si>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</si>
  <si>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</si>
  <si>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</si>
  <si>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</si>
  <si>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</si>
  <si>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</si>
  <si>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</si>
  <si>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</si>
  <si>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</si>
  <si>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</si>
  <si>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</si>
  <si>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</si>
  <si>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</si>
  <si>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</si>
  <si>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</si>
  <si>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</si>
  <si>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</si>
  <si>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</si>
  <si>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</si>
  <si>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</si>
  <si>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</si>
  <si>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</si>
  <si>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</si>
  <si>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</si>
  <si>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</si>
  <si>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</si>
  <si>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</si>
  <si>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</si>
  <si>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</si>
  <si>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</si>
  <si>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</si>
  <si>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</si>
  <si>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</si>
  <si>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</si>
  <si>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</si>
  <si>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</si>
  <si>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</si>
  <si>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</si>
  <si>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</si>
  <si>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</si>
  <si>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</si>
  <si>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</si>
  <si>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</si>
  <si>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</si>
  <si>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</si>
  <si>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</si>
  <si>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</si>
  <si>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</si>
  <si>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</si>
  <si>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</si>
  <si>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</si>
  <si>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</si>
  <si>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</si>
  <si>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</si>
  <si>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</si>
  <si>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</si>
  <si>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</si>
  <si>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</si>
  <si>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</si>
  <si>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</si>
  <si>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</si>
  <si>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</si>
  <si>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</si>
  <si>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</si>
  <si>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</si>
  <si>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</si>
  <si>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</si>
  <si>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</si>
  <si>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</si>
  <si>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</si>
  <si>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</si>
  <si>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</si>
  <si>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</si>
  <si>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</si>
  <si>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</si>
  <si>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</si>
  <si>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</si>
  <si>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</si>
  <si>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</si>
  <si>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</si>
  <si>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</si>
  <si>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</si>
  <si>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</si>
  <si>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</si>
  <si>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</si>
  <si>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860738154</t>
  </si>
  <si>
    <t>134</t>
  </si>
  <si>
    <t>45.8701</t>
  </si>
  <si>
    <t>81</t>
  </si>
  <si>
    <t>6.2778</t>
  </si>
  <si>
    <t>1204</t>
  </si>
  <si>
    <t>3.5341</t>
  </si>
  <si>
    <t>855</t>
  </si>
  <si>
    <t>3.2343</t>
  </si>
  <si>
    <t>804</t>
  </si>
  <si>
    <t>3.3524</t>
  </si>
  <si>
    <t>96</t>
  </si>
  <si>
    <t>3.0071</t>
  </si>
  <si>
    <t>594</t>
  </si>
  <si>
    <t>2.6619</t>
  </si>
  <si>
    <t>45.8702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</si>
  <si>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</si>
  <si>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</si>
  <si>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</si>
  <si>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</si>
  <si>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</si>
  <si>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</si>
  <si>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</si>
  <si>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</si>
  <si>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</si>
  <si>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</si>
  <si>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</si>
  <si>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</si>
  <si>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</si>
  <si>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</si>
  <si>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</si>
  <si>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</si>
  <si>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</si>
  <si>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</si>
  <si>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</si>
  <si>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</si>
  <si>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</si>
  <si>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</si>
  <si>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</si>
  <si>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</si>
  <si>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</si>
  <si>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</si>
  <si>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</si>
  <si>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</si>
  <si>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</si>
  <si>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</si>
  <si>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</si>
  <si>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</si>
  <si>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</si>
  <si>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</si>
  <si>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</si>
  <si>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</si>
  <si>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</si>
  <si>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</si>
  <si>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</si>
  <si>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</si>
  <si>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</si>
  <si>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</si>
  <si>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</si>
  <si>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</si>
  <si>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</si>
  <si>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</si>
  <si>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</si>
  <si>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</si>
  <si>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</si>
  <si>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</si>
  <si>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</si>
  <si>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</si>
  <si>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</si>
  <si>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</si>
  <si>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</si>
  <si>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</si>
  <si>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</si>
  <si>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</si>
  <si>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</si>
  <si>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</si>
  <si>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</si>
  <si>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</si>
  <si>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</si>
  <si>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</si>
  <si>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</si>
  <si>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</si>
  <si>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</si>
  <si>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</si>
  <si>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</si>
  <si>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</si>
  <si>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</si>
  <si>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</si>
  <si>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</si>
  <si>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</si>
  <si>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</si>
  <si>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</si>
  <si>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</si>
  <si>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</si>
  <si>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</si>
  <si>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</si>
  <si>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</si>
  <si>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</si>
  <si>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</si>
  <si>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</si>
  <si>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</si>
  <si>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</si>
  <si>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</si>
  <si>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</si>
  <si>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</si>
  <si>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</si>
  <si>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</si>
  <si>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</si>
  <si>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</si>
  <si>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</si>
  <si>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</si>
  <si>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</si>
  <si>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</si>
  <si>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</si>
  <si>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</si>
  <si>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</si>
  <si>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</si>
  <si>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</si>
  <si>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</si>
  <si>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</si>
  <si>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</si>
  <si>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</si>
  <si>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</si>
  <si>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</si>
  <si>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</si>
  <si>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</si>
  <si>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</si>
  <si>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</si>
  <si>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</si>
  <si>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</si>
  <si>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</si>
  <si>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</si>
  <si>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</si>
  <si>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</si>
  <si>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</si>
  <si>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</si>
  <si>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</si>
  <si>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</si>
  <si>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</si>
  <si>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</si>
  <si>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</si>
  <si>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</si>
  <si>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</si>
  <si>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</si>
  <si>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</si>
  <si>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</si>
  <si>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</si>
  <si>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</si>
  <si>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</si>
  <si>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</si>
  <si>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</si>
  <si>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</si>
  <si>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</si>
  <si>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</si>
  <si>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</si>
  <si>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</si>
  <si>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</si>
  <si>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</si>
  <si>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</si>
  <si>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</si>
  <si>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</si>
  <si>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</si>
  <si>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</si>
  <si>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</si>
  <si>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</si>
  <si>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</si>
  <si>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</si>
  <si>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</si>
  <si>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JUC20260916-001</t>
  </si>
  <si>
    <t>Customr Code</t>
  </si>
  <si>
    <t>Item code</t>
  </si>
  <si>
    <t>8/1/2026</t>
  </si>
  <si>
    <t>8/8/2026</t>
  </si>
  <si>
    <t>8/15/2026</t>
  </si>
  <si>
    <t>8/22/2026</t>
  </si>
  <si>
    <t>8/29/2026</t>
  </si>
  <si>
    <t>9/5/2026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</si>
  <si>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</si>
  <si>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</si>
  <si>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</si>
  <si>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</si>
  <si>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</si>
  <si>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</si>
  <si>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</si>
  <si>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</si>
  <si>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</si>
  <si>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</si>
  <si>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</si>
  <si>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</si>
  <si>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</si>
  <si>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</si>
  <si>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</si>
  <si>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petco9/5销量</t>
  </si>
  <si>
    <t>forecast9/6预测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</si>
  <si>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</si>
  <si>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</si>
  <si>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</si>
  <si>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</si>
  <si>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</si>
  <si>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</si>
  <si>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</si>
  <si>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</si>
  <si>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</si>
  <si>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,2,0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</si>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</sst>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/>
      <right/>
      <top style="thin">
        <color rgb="FF95B3D7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0" applyNumberFormat="0" applyFill="0" applyAlignment="0" applyProtection="0">
      <alignment vertical="center"/>
    </xf>
    <xf numFmtId="0" fontId="41" fillId="0" borderId="10" applyNumberFormat="0" applyFill="0" applyAlignment="0" applyProtection="0">
      <alignment vertical="center"/>
    </xf>
    <xf numFmtId="0" fontId="42" fillId="0" borderId="1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2" applyNumberFormat="0" applyAlignment="0" applyProtection="0">
      <alignment vertical="center"/>
    </xf>
    <xf numFmtId="0" fontId="44" fillId="17" borderId="13" applyNumberFormat="0" applyAlignment="0" applyProtection="0">
      <alignment vertical="center"/>
    </xf>
    <xf numFmtId="0" fontId="45" fillId="17" borderId="12" applyNumberFormat="0" applyAlignment="0" applyProtection="0">
      <alignment vertical="center"/>
    </xf>
    <xf numFmtId="0" fontId="46" fillId="4" borderId="14" applyNumberFormat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3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left"/>
    </xf>
    <xf numFmtId="1" fontId="3" fillId="7" borderId="1" xfId="0" applyNumberFormat="1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9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10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" fillId="0" borderId="6" xfId="0" applyFont="1" applyBorder="1" applyAlignment="1"/>
    <xf numFmtId="3" fontId="11" fillId="9" borderId="7" xfId="0" applyNumberFormat="1" applyFont="1" applyFill="1" applyBorder="1" applyAlignment="1">
      <alignment horizontal="right" vertical="center"/>
    </xf>
    <xf numFmtId="0" fontId="0" fillId="0" borderId="6" xfId="0" applyFont="1" applyFill="1" applyBorder="1" applyAlignment="1"/>
    <xf numFmtId="0" fontId="0" fillId="6" borderId="6" xfId="0" applyFont="1" applyFill="1" applyBorder="1" applyAlignment="1"/>
    <xf numFmtId="0" fontId="1" fillId="6" borderId="6" xfId="0" applyFont="1" applyFill="1" applyBorder="1" applyAlignment="1"/>
    <xf numFmtId="3" fontId="14" fillId="7" borderId="6" xfId="0" applyNumberFormat="1" applyFont="1" applyFill="1" applyBorder="1" applyAlignment="1"/>
    <xf numFmtId="3" fontId="14" fillId="7" borderId="6" xfId="0" applyNumberFormat="1" applyFont="1" applyFill="1" applyBorder="1"/>
    <xf numFmtId="0" fontId="9" fillId="0" borderId="6" xfId="0" applyFont="1" applyBorder="1"/>
    <xf numFmtId="0" fontId="1" fillId="0" borderId="6" xfId="0" applyFont="1" applyBorder="1" applyAlignment="1">
      <alignment horizontal="right"/>
    </xf>
    <xf numFmtId="0" fontId="9" fillId="6" borderId="6" xfId="0" applyFont="1" applyFill="1" applyBorder="1"/>
    <xf numFmtId="0" fontId="0" fillId="0" borderId="6" xfId="0" applyFont="1" applyBorder="1" applyAlignment="1"/>
    <xf numFmtId="0" fontId="0" fillId="7" borderId="6" xfId="0" applyFont="1" applyFill="1" applyBorder="1" applyAlignment="1"/>
    <xf numFmtId="0" fontId="1" fillId="0" borderId="0" xfId="0" applyFont="1" applyFill="1" applyAlignment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8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7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7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7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7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7" borderId="1" xfId="0" applyNumberFormat="1" applyFont="1" applyFill="1" applyBorder="1" applyAlignment="1">
      <alignment horizontal="left"/>
    </xf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7" borderId="1" xfId="0" applyNumberFormat="1" applyFont="1" applyFill="1" applyBorder="1" applyAlignment="1"/>
    <xf numFmtId="0" fontId="3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7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left" vertical="center" wrapText="1"/>
    </xf>
    <xf numFmtId="1" fontId="6" fillId="12" borderId="1" xfId="0" applyNumberFormat="1" applyFont="1" applyFill="1" applyBorder="1" applyAlignment="1">
      <alignment horizontal="left"/>
    </xf>
    <xf numFmtId="49" fontId="6" fillId="7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0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7" borderId="8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171" dbFileVersion="0" changeLogVersion="0">
    <open main="343" threadCnt="1"/>
    <sheetInfos>
      <sheetInfo cellCmpFml="1364" sheetStid="1">
        <open main="26" threadCnt="1"/>
      </sheetInfo>
      <sheetInfo cellCmpFml="1951" sheetStid="4">
        <open main="49" threadCnt="1"/>
      </sheetInfo>
      <sheetInfo cellCmpFml="54" sheetStid="13">
        <open main="4" threadCnt="1"/>
      </sheetInfo>
      <sheetInfo cellCmpFml="5411" sheetStid="5">
        <open main="103" threadCnt="1"/>
      </sheetInfo>
      <sheetInfo cellCmpFml="888" sheetStid="8">
        <open main="35" threadCnt="1"/>
      </sheetInfo>
      <sheetInfo cellCmpFml="233" sheetStid="2">
        <open main="11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16" sqref="C16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4" customWidth="1"/>
    <col min="9" max="10" width="8" customWidth="1"/>
    <col min="11" max="11" width="7.77142857142857" customWidth="1"/>
    <col min="12" max="12" width="7.77142857142857" style="23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6" t="s">
        <v>0</v>
      </c>
      <c r="B1" s="6" t="s">
        <v>1</v>
      </c>
      <c r="C1" s="21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5" t="s">
        <v>6</v>
      </c>
      <c r="I1" s="6" t="s">
        <v>7</v>
      </c>
      <c r="J1" s="6" t="s">
        <v>8</v>
      </c>
      <c r="K1" s="218" t="s">
        <v>9</v>
      </c>
      <c r="L1" s="235" t="s">
        <v>10</v>
      </c>
      <c r="M1" s="218" t="s">
        <v>11</v>
      </c>
      <c r="N1" s="21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8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5">
      <c r="A2" s="15" t="s">
        <v>23</v>
      </c>
      <c r="B2" s="6" t="str">
        <f>VLOOKUP(A2,'Product List'!A:C,3,0)</f>
        <v>MINI &amp; MOE GARDEN DECOR CHEW</v>
      </c>
      <c r="C2" s="6">
        <v>0</v>
      </c>
      <c r="D2" s="6">
        <f>SUMIFS(Purchase!G:G,Purchase!C:C,A2,Purchase!J:J,"&gt;"&amp;$C$1)</f>
        <v>13050</v>
      </c>
      <c r="E2" s="6">
        <f>SUMIFS(Purchase!G:G,Purchase!C:C,A2,Purchase!K:K,"&gt;0",Purchase!J:J,"&gt;"&amp;$C$1)</f>
        <v>10980</v>
      </c>
      <c r="F2" s="6">
        <f>SUMIFS(Sales!F:F,Sales!C:C,A2,Sales!K:K,"&gt;"&amp;$C$1)</f>
        <v>7605</v>
      </c>
      <c r="G2" s="6">
        <f>SUMIFS(Sales!F:F,Sales!C:C,A2,Sales!K:K,"&gt;"&amp;$C$1,Sales!L:L,"&gt;0")</f>
        <v>5580</v>
      </c>
      <c r="H2" s="236">
        <f t="shared" ref="H2:H65" si="0">C2+E2-G2</f>
        <v>5400</v>
      </c>
      <c r="I2" s="6">
        <f t="shared" ref="I2:I65" si="1">D2-E2</f>
        <v>2070</v>
      </c>
      <c r="J2" s="6">
        <f t="shared" ref="J2:J65" si="2">F2-G2</f>
        <v>2025</v>
      </c>
      <c r="K2" s="6">
        <f t="shared" ref="K2:K65" si="3">H2-J2</f>
        <v>3375</v>
      </c>
      <c r="L2" s="236">
        <f t="shared" ref="L2:L65" si="4">H2+I2-J2</f>
        <v>5445</v>
      </c>
      <c r="M2" s="6">
        <f>SUMIF('Weekly Sales'!B:B,A2,'Weekly Sales'!Q:Q)</f>
        <v>226</v>
      </c>
      <c r="N2" s="6">
        <f t="shared" ref="N2:N65" si="5">IF(M2=0,999,ROUNDDOWN((L2)/M2,0))</f>
        <v>24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4068</v>
      </c>
      <c r="R2" s="6">
        <f>_xlfn.XLOOKUP(A2,'Product List'!A:A,'Product List'!H:H)</f>
        <v>500</v>
      </c>
      <c r="S2" s="6">
        <f t="shared" ref="S2:S65" si="6">ROUNDUP(MAX(0,M2*(O2+P2+2)+Q2-L2)/T2,0)*T2</f>
        <v>2700</v>
      </c>
      <c r="T2" s="6">
        <f t="array" ref="T2">_xlfn.XLOOKUP(A2,'Product List'!A:A,'Product List'!J:J)</f>
        <v>45</v>
      </c>
      <c r="U2" s="6" t="str">
        <f>_xlfn.XLOOKUP(A2,'Product List'!A:A,'Product List'!F:F)</f>
        <v>Petsmart</v>
      </c>
      <c r="V2" s="6" t="str">
        <f>_xlfn.XLOOKUP(A2,'Product List'!A:A,'Product List'!V:V)</f>
        <v>B</v>
      </c>
      <c r="W2" s="6">
        <f t="shared" ref="W2:W65" si="7">S2/T2</f>
        <v>60</v>
      </c>
      <c r="X2" s="6">
        <f>_xlfn.XLOOKUP(V2,'Case Pack'!A:A,'Case Pack'!H:H)*W2</f>
        <v>4.40483555555556</v>
      </c>
    </row>
    <row r="3" spans="1:25">
      <c r="A3" s="15" t="s">
        <v>24</v>
      </c>
      <c r="B3" s="6" t="str">
        <f>VLOOKUP(A3,'Product List'!A:C,3,0)</f>
        <v>MINI &amp; MOE WOODEN BRIDGE</v>
      </c>
      <c r="C3" s="6">
        <v>0</v>
      </c>
      <c r="D3" s="6">
        <f>SUMIFS(Purchase!G:G,Purchase!C:C,A3,Purchase!J:J,"&gt;"&amp;$C$1)</f>
        <v>10608</v>
      </c>
      <c r="E3" s="6">
        <f>SUMIFS(Purchase!G:G,Purchase!C:C,A3,Purchase!K:K,"&gt;0",Purchase!J:J,"&gt;"&amp;$C$1)</f>
        <v>8256</v>
      </c>
      <c r="F3" s="6">
        <f>SUMIFS(Sales!F:F,Sales!C:C,A3,Sales!K:K,"&gt;"&amp;$C$1)</f>
        <v>6768</v>
      </c>
      <c r="G3" s="6">
        <f>SUMIFS(Sales!F:F,Sales!C:C,A3,Sales!K:K,"&gt;"&amp;$C$1,Sales!L:L,"&gt;0")</f>
        <v>6336</v>
      </c>
      <c r="H3" s="236">
        <f t="shared" si="0"/>
        <v>1920</v>
      </c>
      <c r="I3" s="6">
        <f t="shared" si="1"/>
        <v>2352</v>
      </c>
      <c r="J3" s="6">
        <f t="shared" si="2"/>
        <v>432</v>
      </c>
      <c r="K3" s="6">
        <f t="shared" si="3"/>
        <v>1488</v>
      </c>
      <c r="L3" s="236">
        <f t="shared" si="4"/>
        <v>3840</v>
      </c>
      <c r="M3" s="6">
        <f>SUMIF('Weekly Sales'!B:B,A3,'Weekly Sales'!Q:Q)</f>
        <v>181</v>
      </c>
      <c r="N3" s="6">
        <f t="shared" si="5"/>
        <v>21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2353</v>
      </c>
      <c r="R3" s="6">
        <f>_xlfn.XLOOKUP(A3,'Product List'!A:A,'Product List'!H:H)</f>
        <v>500</v>
      </c>
      <c r="S3" s="6">
        <f t="shared" si="6"/>
        <v>2688</v>
      </c>
      <c r="T3" s="6">
        <f t="array" ref="T3">_xlfn.XLOOKUP(A3,'Product List'!A:A,'Product List'!J:J)</f>
        <v>48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 t="shared" si="7"/>
        <v>56</v>
      </c>
      <c r="X3" s="6">
        <f>_xlfn.XLOOKUP(V3,'Case Pack'!A:A,'Case Pack'!H:H)*W3</f>
        <v>6.16676977777778</v>
      </c>
    </row>
    <row r="4" spans="1:25">
      <c r="A4" s="6" t="s">
        <v>25</v>
      </c>
      <c r="B4" s="6" t="str">
        <f>VLOOKUP(A4,'Product List'!A:C,3,0)</f>
        <v>MINI/MOE CAMPING TENT HIDE</v>
      </c>
      <c r="C4" s="6">
        <v>132</v>
      </c>
      <c r="D4" s="6">
        <f>SUMIFS(Purchase!G:G,Purchase!C:C,A4,Purchase!J:J,"&gt;"&amp;$C$1)</f>
        <v>12936</v>
      </c>
      <c r="E4" s="6">
        <f>SUMIFS(Purchase!G:G,Purchase!C:C,A4,Purchase!K:K,"&gt;0",Purchase!J:J,"&gt;"&amp;$C$1)</f>
        <v>10164</v>
      </c>
      <c r="F4" s="6">
        <f>SUMIFS(Sales!F:F,Sales!C:C,A4,Sales!K:K,"&gt;"&amp;$C$1)</f>
        <v>8136</v>
      </c>
      <c r="G4" s="6">
        <f>SUMIFS(Sales!F:F,Sales!C:C,A4,Sales!K:K,"&gt;"&amp;$C$1,Sales!L:L,"&gt;0")</f>
        <v>7224</v>
      </c>
      <c r="H4" s="236">
        <f t="shared" si="0"/>
        <v>3072</v>
      </c>
      <c r="I4" s="6">
        <f t="shared" si="1"/>
        <v>2772</v>
      </c>
      <c r="J4" s="6">
        <f t="shared" si="2"/>
        <v>912</v>
      </c>
      <c r="K4" s="6">
        <f t="shared" si="3"/>
        <v>2160</v>
      </c>
      <c r="L4" s="236">
        <f t="shared" si="4"/>
        <v>4932</v>
      </c>
      <c r="M4" s="6">
        <f>SUMIF('Weekly Sales'!B:B,A4,'Weekly Sales'!Q:Q)</f>
        <v>197</v>
      </c>
      <c r="N4" s="6">
        <f t="shared" si="5"/>
        <v>25</v>
      </c>
      <c r="O4" s="6">
        <f>_xlfn.XLOOKUP(A4,'Product List'!A:A,'Product List'!I:I)</f>
        <v>15</v>
      </c>
      <c r="P4" s="6">
        <v>6</v>
      </c>
      <c r="Q4" s="6">
        <f>SUMIF('Weekly Sales'!B:B,A4,'Weekly Sales'!V:V)</f>
        <v>2561</v>
      </c>
      <c r="R4" s="6">
        <f>_xlfn.XLOOKUP(A4,'Product List'!A:A,'Product List'!H:H)</f>
        <v>500</v>
      </c>
      <c r="S4" s="6">
        <f t="shared" si="6"/>
        <v>2160</v>
      </c>
      <c r="T4" s="6">
        <f t="array" ref="T4">_xlfn.XLOOKUP(A4,'Product List'!A:A,'Product List'!J:J)</f>
        <v>12</v>
      </c>
      <c r="U4" s="6" t="str">
        <f>_xlfn.XLOOKUP(A4,'Product List'!A:A,'Product List'!F:F)</f>
        <v>PSP, Petsmart, Pet Supermarket,Canada</v>
      </c>
      <c r="V4" s="6" t="str">
        <f>_xlfn.XLOOKUP(A4,'Product List'!A:A,'Product List'!V:V)</f>
        <v>B</v>
      </c>
      <c r="W4" s="6">
        <f t="shared" si="7"/>
        <v>180</v>
      </c>
      <c r="X4" s="6">
        <f>_xlfn.XLOOKUP(V4,'Case Pack'!A:A,'Case Pack'!H:H)*W4</f>
        <v>13.2145066666667</v>
      </c>
    </row>
    <row r="5" spans="1:25">
      <c r="A5" s="15" t="s">
        <v>26</v>
      </c>
      <c r="B5" s="6" t="str">
        <f>VLOOKUP(A5,'Product List'!A:C,3,0)</f>
        <v>MINI &amp; MOE TREE DECOR CHEW</v>
      </c>
      <c r="C5" s="6">
        <v>0</v>
      </c>
      <c r="D5" s="6">
        <f>SUMIFS(Purchase!G:G,Purchase!C:C,A5,Purchase!J:J,"&gt;"&amp;$C$1)</f>
        <v>10920</v>
      </c>
      <c r="E5" s="6">
        <f>SUMIFS(Purchase!G:G,Purchase!C:C,A5,Purchase!K:K,"&gt;0",Purchase!J:J,"&gt;"&amp;$C$1)</f>
        <v>10920</v>
      </c>
      <c r="F5" s="6">
        <f>SUMIFS(Sales!F:F,Sales!C:C,A5,Sales!K:K,"&gt;"&amp;$C$1)</f>
        <v>6972</v>
      </c>
      <c r="G5" s="6">
        <f>SUMIFS(Sales!F:F,Sales!C:C,A5,Sales!K:K,"&gt;"&amp;$C$1,Sales!L:L,"&gt;0")</f>
        <v>5544</v>
      </c>
      <c r="H5" s="236">
        <f t="shared" si="0"/>
        <v>5376</v>
      </c>
      <c r="I5" s="6">
        <f t="shared" si="1"/>
        <v>0</v>
      </c>
      <c r="J5" s="6">
        <f t="shared" si="2"/>
        <v>1428</v>
      </c>
      <c r="K5" s="6">
        <f t="shared" si="3"/>
        <v>3948</v>
      </c>
      <c r="L5" s="236">
        <f t="shared" si="4"/>
        <v>3948</v>
      </c>
      <c r="M5" s="6">
        <f>SUMIF('Weekly Sales'!B:B,A5,'Weekly Sales'!Q:Q)</f>
        <v>166</v>
      </c>
      <c r="N5" s="6">
        <f t="shared" si="5"/>
        <v>23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2988</v>
      </c>
      <c r="R5" s="6">
        <f>_xlfn.XLOOKUP(A5,'Product List'!A:A,'Product List'!H:H)</f>
        <v>500</v>
      </c>
      <c r="S5" s="6">
        <f t="shared" si="6"/>
        <v>2044</v>
      </c>
      <c r="T5" s="6">
        <f t="array" ref="T5">_xlfn.XLOOKUP(A5,'Product List'!A:A,'Product List'!J:J)</f>
        <v>28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7"/>
        <v>73</v>
      </c>
      <c r="X5" s="6">
        <f>_xlfn.XLOOKUP(V5,'Case Pack'!A:A,'Case Pack'!H:H)*W5</f>
        <v>5.35921659259259</v>
      </c>
    </row>
    <row r="6" spans="1:25">
      <c r="A6" s="6" t="s">
        <v>27</v>
      </c>
      <c r="B6" s="6" t="str">
        <f>VLOOKUP(A6,'Product List'!A:C,3,0)</f>
        <v>MINI/MOE TV VIEWING CAGE</v>
      </c>
      <c r="C6" s="6">
        <v>211</v>
      </c>
      <c r="D6" s="6">
        <f>SUMIFS(Purchase!G:G,Purchase!C:C,A6,Purchase!J:J,"&gt;"&amp;$C$1)</f>
        <v>18038</v>
      </c>
      <c r="E6" s="6">
        <f>SUMIFS(Purchase!G:G,Purchase!C:C,A6,Purchase!K:K,"&gt;0",Purchase!J:J,"&gt;"&amp;$C$1)</f>
        <v>11925</v>
      </c>
      <c r="F6" s="6">
        <f>SUMIFS(Sales!F:F,Sales!C:C,A6,Sales!K:K,"&gt;"&amp;$C$1)</f>
        <v>11017</v>
      </c>
      <c r="G6" s="6">
        <f>SUMIFS(Sales!F:F,Sales!C:C,A6,Sales!K:K,"&gt;"&amp;$C$1,Sales!L:L,"&gt;0")</f>
        <v>9978</v>
      </c>
      <c r="H6" s="236">
        <f t="shared" si="0"/>
        <v>2158</v>
      </c>
      <c r="I6" s="6">
        <f t="shared" si="1"/>
        <v>6113</v>
      </c>
      <c r="J6" s="6">
        <f t="shared" si="2"/>
        <v>1039</v>
      </c>
      <c r="K6" s="6">
        <f t="shared" si="3"/>
        <v>1119</v>
      </c>
      <c r="L6" s="236">
        <f t="shared" si="4"/>
        <v>7232</v>
      </c>
      <c r="M6" s="6">
        <f>SUMIF('Weekly Sales'!B:B,A6,'Weekly Sales'!Q:Q)</f>
        <v>261</v>
      </c>
      <c r="N6" s="6">
        <f t="shared" si="5"/>
        <v>27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4154</v>
      </c>
      <c r="R6" s="6">
        <f>_xlfn.XLOOKUP(A6,'Product List'!A:A,'Product List'!H:H)</f>
        <v>1000</v>
      </c>
      <c r="S6" s="6">
        <f t="shared" si="6"/>
        <v>1620</v>
      </c>
      <c r="T6" s="6">
        <f t="array" ref="T6">_xlfn.XLOOKUP(A6,'Product List'!A:A,'Product List'!J:J)</f>
        <v>1</v>
      </c>
      <c r="U6" s="6" t="str">
        <f>_xlfn.XLOOKUP(A6,'Product List'!A:A,'Product List'!F:F)</f>
        <v>PSP, Petco, Petsmart, Pet Supermarket, PetcoMX，Canada</v>
      </c>
      <c r="V6" s="6" t="str">
        <f>_xlfn.XLOOKUP(A6,'Product List'!A:A,'Product List'!V:V)</f>
        <v>S1</v>
      </c>
      <c r="W6" s="6">
        <f t="shared" si="7"/>
        <v>1620</v>
      </c>
      <c r="X6" s="6">
        <f>_xlfn.XLOOKUP(V6,'Case Pack'!A:A,'Case Pack'!H:H)*W6</f>
        <v>119.841865416</v>
      </c>
    </row>
    <row r="7" spans="1:25">
      <c r="A7" s="15" t="s">
        <v>28</v>
      </c>
      <c r="B7" s="6" t="str">
        <f>VLOOKUP(A7,'Product List'!A:C,3,0)</f>
        <v>MINI &amp; MOE COTTAGE HIDE</v>
      </c>
      <c r="C7" s="6">
        <v>0</v>
      </c>
      <c r="D7" s="6">
        <f>SUMIFS(Purchase!G:G,Purchase!C:C,A7,Purchase!J:J,"&gt;"&amp;$C$1)</f>
        <v>7650</v>
      </c>
      <c r="E7" s="6">
        <f>SUMIFS(Purchase!G:G,Purchase!C:C,A7,Purchase!K:K,"&gt;0",Purchase!J:J,"&gt;"&amp;$C$1)</f>
        <v>6714</v>
      </c>
      <c r="F7" s="6">
        <f>SUMIFS(Sales!F:F,Sales!C:C,A7,Sales!K:K,"&gt;"&amp;$C$1)</f>
        <v>5548</v>
      </c>
      <c r="G7" s="6">
        <f>SUMIFS(Sales!F:F,Sales!C:C,A7,Sales!K:K,"&gt;"&amp;$C$1,Sales!L:L,"&gt;0")</f>
        <v>5442</v>
      </c>
      <c r="H7" s="236">
        <f t="shared" si="0"/>
        <v>1272</v>
      </c>
      <c r="I7" s="6">
        <f t="shared" si="1"/>
        <v>936</v>
      </c>
      <c r="J7" s="6">
        <f t="shared" si="2"/>
        <v>106</v>
      </c>
      <c r="K7" s="6">
        <f t="shared" si="3"/>
        <v>1166</v>
      </c>
      <c r="L7" s="236">
        <f t="shared" si="4"/>
        <v>2102</v>
      </c>
      <c r="M7" s="6">
        <f>SUMIF('Weekly Sales'!B:B,A7,'Weekly Sales'!Q:Q)</f>
        <v>91</v>
      </c>
      <c r="N7" s="6">
        <f t="shared" si="5"/>
        <v>23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1183</v>
      </c>
      <c r="R7" s="6">
        <f>_xlfn.XLOOKUP(A7,'Product List'!A:A,'Product List'!H:H)</f>
        <v>500</v>
      </c>
      <c r="S7" s="6">
        <f t="shared" si="6"/>
        <v>1176</v>
      </c>
      <c r="T7" s="6">
        <f t="array" ref="T7">_xlfn.XLOOKUP(A7,'Product List'!A:A,'Product List'!J:J)</f>
        <v>24</v>
      </c>
      <c r="U7" s="6" t="str">
        <f>_xlfn.XLOOKUP(A7,'Product List'!A:A,'Product List'!F:F)</f>
        <v>Petsmart，Canada</v>
      </c>
      <c r="V7" s="6" t="str">
        <f>_xlfn.XLOOKUP(A7,'Product List'!A:A,'Product List'!V:V)</f>
        <v>C</v>
      </c>
      <c r="W7" s="6">
        <f t="shared" si="7"/>
        <v>49</v>
      </c>
      <c r="X7" s="6">
        <f>_xlfn.XLOOKUP(V7,'Case Pack'!A:A,'Case Pack'!H:H)*W7</f>
        <v>7.70846222222222</v>
      </c>
    </row>
    <row r="8" spans="1:25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4740</v>
      </c>
      <c r="E8" s="6">
        <f>SUMIFS(Purchase!G:G,Purchase!C:C,A8,Purchase!K:K,"&gt;0",Purchase!J:J,"&gt;"&amp;$C$1)</f>
        <v>4020</v>
      </c>
      <c r="F8" s="6">
        <f>SUMIFS(Sales!F:F,Sales!C:C,A8,Sales!K:K,"&gt;"&amp;$C$1)</f>
        <v>2940</v>
      </c>
      <c r="G8" s="6">
        <f>SUMIFS(Sales!F:F,Sales!C:C,A8,Sales!K:K,"&gt;"&amp;$C$1,Sales!L:L,"&gt;0")</f>
        <v>2940</v>
      </c>
      <c r="H8" s="236">
        <f t="shared" si="0"/>
        <v>1080</v>
      </c>
      <c r="I8" s="6">
        <f t="shared" si="1"/>
        <v>720</v>
      </c>
      <c r="J8" s="6">
        <f t="shared" si="2"/>
        <v>0</v>
      </c>
      <c r="K8" s="6">
        <f t="shared" si="3"/>
        <v>1080</v>
      </c>
      <c r="L8" s="236">
        <f t="shared" si="4"/>
        <v>1800</v>
      </c>
      <c r="M8" s="6">
        <f>SUMIF('Weekly Sales'!B:B,A8,'Weekly Sales'!Q:Q)</f>
        <v>54</v>
      </c>
      <c r="N8" s="6">
        <f t="shared" si="5"/>
        <v>33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972</v>
      </c>
      <c r="R8" s="6">
        <f>_xlfn.XLOOKUP(A8,'Product List'!A:A,'Product List'!H:H)</f>
        <v>1000</v>
      </c>
      <c r="S8" s="6">
        <f t="shared" si="6"/>
        <v>180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3</v>
      </c>
      <c r="X8" s="6">
        <f>_xlfn.XLOOKUP(V8,'Case Pack'!A:A,'Case Pack'!H:H)*W8</f>
        <v>0.471946666666667</v>
      </c>
    </row>
    <row r="9" spans="1:25">
      <c r="A9" s="6" t="s">
        <v>30</v>
      </c>
      <c r="B9" s="6" t="str">
        <f>VLOOKUP(A9,'Product List'!A:C,3,0)</f>
        <v>MINI/MOE WOODLAND POTTY</v>
      </c>
      <c r="C9" s="6">
        <v>0</v>
      </c>
      <c r="D9" s="6">
        <f>SUMIFS(Purchase!G:G,Purchase!C:C,A9,Purchase!J:J,"&gt;"&amp;$C$1)</f>
        <v>1008</v>
      </c>
      <c r="E9" s="6">
        <f>SUMIFS(Purchase!G:G,Purchase!C:C,A9,Purchase!K:K,"&gt;0",Purchase!J:J,"&gt;"&amp;$C$1)</f>
        <v>900</v>
      </c>
      <c r="F9" s="6">
        <f>SUMIFS(Sales!F:F,Sales!C:C,A9,Sales!K:K,"&gt;"&amp;$C$1)</f>
        <v>504</v>
      </c>
      <c r="G9" s="6">
        <f>SUMIFS(Sales!F:F,Sales!C:C,A9,Sales!K:K,"&gt;"&amp;$C$1,Sales!L:L,"&gt;0")</f>
        <v>504</v>
      </c>
      <c r="H9" s="236">
        <f t="shared" si="0"/>
        <v>396</v>
      </c>
      <c r="I9" s="6">
        <f t="shared" si="1"/>
        <v>108</v>
      </c>
      <c r="J9" s="6">
        <f t="shared" si="2"/>
        <v>0</v>
      </c>
      <c r="K9" s="6">
        <f t="shared" si="3"/>
        <v>396</v>
      </c>
      <c r="L9" s="236">
        <f t="shared" si="4"/>
        <v>504</v>
      </c>
      <c r="M9" s="6">
        <f>SUMIF('Weekly Sales'!B:B,A9,'Weekly Sales'!Q:Q)</f>
        <v>17</v>
      </c>
      <c r="N9" s="6">
        <f t="shared" si="5"/>
        <v>29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306</v>
      </c>
      <c r="R9" s="6">
        <f>_xlfn.XLOOKUP(A9,'Product List'!A:A,'Product List'!H:H)</f>
        <v>500</v>
      </c>
      <c r="S9" s="6">
        <f t="shared" si="6"/>
        <v>108</v>
      </c>
      <c r="T9" s="6">
        <f t="array" ref="T9">_xlfn.XLOOKUP(A9,'Product List'!A:A,'Product List'!J:J)</f>
        <v>36</v>
      </c>
      <c r="U9" s="6" t="str">
        <f>_xlfn.XLOOKUP(A9,'Product List'!A:A,'Product List'!F:F)</f>
        <v>PSP</v>
      </c>
      <c r="V9" s="6" t="str">
        <f>_xlfn.XLOOKUP(A9,'Product List'!A:A,'Product List'!V:V)</f>
        <v>C</v>
      </c>
      <c r="W9" s="6">
        <f t="shared" si="7"/>
        <v>3</v>
      </c>
      <c r="X9" s="6">
        <f>_xlfn.XLOOKUP(V9,'Case Pack'!A:A,'Case Pack'!H:H)*W9</f>
        <v>0.471946666666667</v>
      </c>
    </row>
    <row r="10" spans="1:25">
      <c r="A10" s="6" t="s">
        <v>31</v>
      </c>
      <c r="B10" s="6" t="str">
        <f>VLOOKUP(A10,'Product List'!A:C,3,0)</f>
        <v>MINI/MOE SILENT CRSTL RUN WHEEL XL 11.5 1EA</v>
      </c>
      <c r="C10" s="6">
        <v>0</v>
      </c>
      <c r="D10" s="6">
        <f>SUMIFS(Purchase!G:G,Purchase!C:C,A10,Purchase!J:J,"&gt;"&amp;$C$1)</f>
        <v>1338</v>
      </c>
      <c r="E10" s="6">
        <f>SUMIFS(Purchase!G:G,Purchase!C:C,A10,Purchase!K:K,"&gt;0",Purchase!J:J,"&gt;"&amp;$C$1)</f>
        <v>1338</v>
      </c>
      <c r="F10" s="6">
        <f>SUMIFS(Sales!F:F,Sales!C:C,A10,Sales!K:K,"&gt;"&amp;$C$1)</f>
        <v>546</v>
      </c>
      <c r="G10" s="6">
        <f>SUMIFS(Sales!F:F,Sales!C:C,A10,Sales!K:K,"&gt;"&amp;$C$1,Sales!L:L,"&gt;0")</f>
        <v>546</v>
      </c>
      <c r="H10" s="236">
        <f t="shared" si="0"/>
        <v>792</v>
      </c>
      <c r="I10" s="6">
        <f t="shared" si="1"/>
        <v>0</v>
      </c>
      <c r="J10" s="6">
        <f t="shared" si="2"/>
        <v>0</v>
      </c>
      <c r="K10" s="6">
        <f t="shared" si="3"/>
        <v>792</v>
      </c>
      <c r="L10" s="236">
        <f t="shared" si="4"/>
        <v>792</v>
      </c>
      <c r="M10" s="6">
        <f>SUMIF('Weekly Sales'!B:B,A10,'Weekly Sales'!Q:Q)</f>
        <v>24</v>
      </c>
      <c r="N10" s="6">
        <f t="shared" si="5"/>
        <v>33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432</v>
      </c>
      <c r="R10" s="6">
        <f>_xlfn.XLOOKUP(A10,'Product List'!A:A,'Product List'!H:H)</f>
        <v>1000</v>
      </c>
      <c r="S10" s="6">
        <f t="shared" si="6"/>
        <v>72</v>
      </c>
      <c r="T10" s="6">
        <f t="array" ref="T10">_xlfn.XLOOKUP(A10,'Product List'!A:A,'Product List'!J:J)</f>
        <v>3</v>
      </c>
      <c r="U10" s="6" t="str">
        <f>_xlfn.XLOOKUP(A10,'Product List'!A:A,'Product List'!F:F)</f>
        <v>PSP，Canada</v>
      </c>
      <c r="V10" s="6" t="str">
        <f>_xlfn.XLOOKUP(A10,'Product List'!A:A,'Product List'!V:V)</f>
        <v>C</v>
      </c>
      <c r="W10" s="6">
        <f t="shared" si="7"/>
        <v>24</v>
      </c>
      <c r="X10" s="6">
        <f>_xlfn.XLOOKUP(V10,'Case Pack'!A:A,'Case Pack'!H:H)*W10</f>
        <v>3.77557333333333</v>
      </c>
    </row>
    <row r="11" spans="1:25">
      <c r="A11" s="6" t="s">
        <v>32</v>
      </c>
      <c r="B11" s="6" t="str">
        <f>VLOOKUP(A11,'Product List'!A:C,3,0)</f>
        <v>MINI/MOE SILENT CRSTL RUN WHEEL LG 8.5-Green</v>
      </c>
      <c r="C11" s="6">
        <v>0</v>
      </c>
      <c r="D11" s="6">
        <f>SUMIFS(Purchase!G:G,Purchase!C:C,A11,Purchase!J:J,"&gt;"&amp;$C$1)</f>
        <v>744</v>
      </c>
      <c r="E11" s="6">
        <f>SUMIFS(Purchase!G:G,Purchase!C:C,A11,Purchase!K:K,"&gt;0",Purchase!J:J,"&gt;"&amp;$C$1)</f>
        <v>744</v>
      </c>
      <c r="F11" s="6">
        <f>SUMIFS(Sales!F:F,Sales!C:C,A11,Sales!K:K,"&gt;"&amp;$C$1)</f>
        <v>312</v>
      </c>
      <c r="G11" s="6">
        <f>SUMIFS(Sales!F:F,Sales!C:C,A11,Sales!K:K,"&gt;"&amp;$C$1,Sales!L:L,"&gt;0")</f>
        <v>312</v>
      </c>
      <c r="H11" s="236">
        <f t="shared" si="0"/>
        <v>432</v>
      </c>
      <c r="I11" s="6">
        <f t="shared" si="1"/>
        <v>0</v>
      </c>
      <c r="J11" s="6">
        <f t="shared" si="2"/>
        <v>0</v>
      </c>
      <c r="K11" s="6">
        <f t="shared" si="3"/>
        <v>432</v>
      </c>
      <c r="L11" s="236">
        <f t="shared" si="4"/>
        <v>432</v>
      </c>
      <c r="M11" s="6">
        <f>SUMIF('Weekly Sales'!B:B,A11,'Weekly Sales'!Q:Q)</f>
        <v>14</v>
      </c>
      <c r="N11" s="6">
        <f t="shared" si="5"/>
        <v>30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252</v>
      </c>
      <c r="R11" s="6">
        <f>_xlfn.XLOOKUP(A11,'Product List'!A:A,'Product List'!H:H)</f>
        <v>1000</v>
      </c>
      <c r="S11" s="6">
        <f t="shared" si="6"/>
        <v>72</v>
      </c>
      <c r="T11" s="6">
        <f t="array" ref="T11">_xlfn.XLOOKUP(A11,'Product List'!A:A,'Product List'!J:J)</f>
        <v>8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 t="shared" si="7"/>
        <v>9</v>
      </c>
      <c r="X11" s="6">
        <f>_xlfn.XLOOKUP(V11,'Case Pack'!A:A,'Case Pack'!H:H)*W11</f>
        <v>1.41584</v>
      </c>
    </row>
    <row r="12" spans="1:25">
      <c r="A12" s="6" t="s">
        <v>33</v>
      </c>
      <c r="B12" s="6" t="str">
        <f>VLOOKUP(A12,'Product List'!A:C,3,0)</f>
        <v>MINI/MOE MUSHROOM CABIN</v>
      </c>
      <c r="C12" s="6">
        <v>0</v>
      </c>
      <c r="D12" s="6">
        <f>SUMIFS(Purchase!G:G,Purchase!C:C,A12,Purchase!J:J,"&gt;"&amp;$C$1)</f>
        <v>1848</v>
      </c>
      <c r="E12" s="6">
        <f>SUMIFS(Purchase!G:G,Purchase!C:C,A12,Purchase!K:K,"&gt;0",Purchase!J:J,"&gt;"&amp;$C$1)</f>
        <v>1344</v>
      </c>
      <c r="F12" s="6">
        <f>SUMIFS(Sales!F:F,Sales!C:C,A12,Sales!K:K,"&gt;"&amp;$C$1)</f>
        <v>1040</v>
      </c>
      <c r="G12" s="6">
        <f>SUMIFS(Sales!F:F,Sales!C:C,A12,Sales!K:K,"&gt;"&amp;$C$1,Sales!L:L,"&gt;0")</f>
        <v>1040</v>
      </c>
      <c r="H12" s="236">
        <f t="shared" si="0"/>
        <v>304</v>
      </c>
      <c r="I12" s="6">
        <f t="shared" si="1"/>
        <v>504</v>
      </c>
      <c r="J12" s="6">
        <f t="shared" si="2"/>
        <v>0</v>
      </c>
      <c r="K12" s="6">
        <f t="shared" si="3"/>
        <v>304</v>
      </c>
      <c r="L12" s="236">
        <f t="shared" si="4"/>
        <v>808</v>
      </c>
      <c r="M12" s="6">
        <f>SUMIF('Weekly Sales'!B:B,A12,'Weekly Sales'!Q:Q)</f>
        <v>24</v>
      </c>
      <c r="N12" s="6">
        <f t="shared" si="5"/>
        <v>33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312</v>
      </c>
      <c r="R12" s="6">
        <f>_xlfn.XLOOKUP(A12,'Product List'!A:A,'Product List'!H:H)</f>
        <v>500</v>
      </c>
      <c r="S12" s="6">
        <f t="shared" si="6"/>
        <v>64</v>
      </c>
      <c r="T12" s="6">
        <f t="array" ref="T12">_xlfn.XLOOKUP(A12,'Product List'!A:A,'Product List'!J:J)</f>
        <v>16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4</v>
      </c>
      <c r="X12" s="6">
        <f>_xlfn.XLOOKUP(V12,'Case Pack'!A:A,'Case Pack'!H:H)*W12</f>
        <v>0.629262222222222</v>
      </c>
    </row>
    <row r="13" spans="1:25">
      <c r="A13" s="6" t="s">
        <v>34</v>
      </c>
      <c r="B13" s="6" t="str">
        <f>VLOOKUP(A13,'Product List'!A:C,3,0)</f>
        <v>MINI/MOE BENDABLE BIRCHWOOD FENCE</v>
      </c>
      <c r="C13" s="6">
        <v>746</v>
      </c>
      <c r="D13" s="6">
        <f>SUMIFS(Purchase!G:G,Purchase!C:C,A13,Purchase!J:J,"&gt;"&amp;$C$1)</f>
        <v>2592</v>
      </c>
      <c r="E13" s="6">
        <f>SUMIFS(Purchase!G:G,Purchase!C:C,A13,Purchase!K:K,"&gt;0",Purchase!J:J,"&gt;"&amp;$C$1)</f>
        <v>1888</v>
      </c>
      <c r="F13" s="6">
        <f>SUMIFS(Sales!F:F,Sales!C:C,A13,Sales!K:K,"&gt;"&amp;$C$1)</f>
        <v>2666</v>
      </c>
      <c r="G13" s="6">
        <f>SUMIFS(Sales!F:F,Sales!C:C,A13,Sales!K:K,"&gt;"&amp;$C$1,Sales!L:L,"&gt;0")</f>
        <v>2602</v>
      </c>
      <c r="H13" s="236">
        <f t="shared" si="0"/>
        <v>32</v>
      </c>
      <c r="I13" s="6">
        <f t="shared" si="1"/>
        <v>704</v>
      </c>
      <c r="J13" s="6">
        <f t="shared" si="2"/>
        <v>64</v>
      </c>
      <c r="K13" s="6">
        <f t="shared" si="3"/>
        <v>-32</v>
      </c>
      <c r="L13" s="236">
        <f t="shared" si="4"/>
        <v>672</v>
      </c>
      <c r="M13" s="6">
        <f>SUMIF('Weekly Sales'!B:B,A13,'Weekly Sales'!Q:Q)</f>
        <v>18</v>
      </c>
      <c r="N13" s="6">
        <f t="shared" si="5"/>
        <v>37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234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32</v>
      </c>
      <c r="U13" s="6" t="str">
        <f>_xlfn.XLOOKUP(A13,'Product List'!A:A,'Product List'!F:F)</f>
        <v>PSP,  PetcoUS</v>
      </c>
      <c r="V13" s="6" t="str">
        <f>_xlfn.XLOOKUP(A13,'Product List'!A:A,'Product List'!V:V)</f>
        <v>F</v>
      </c>
      <c r="W13" s="6">
        <f t="shared" si="7"/>
        <v>0</v>
      </c>
      <c r="X13" s="6">
        <f>_xlfn.XLOOKUP(V13,'Case Pack'!A:A,'Case Pack'!H:H)*W13</f>
        <v>0</v>
      </c>
      <c r="Y13" s="33" t="s">
        <v>35</v>
      </c>
    </row>
    <row r="14" spans="1:25">
      <c r="A14" s="15" t="s">
        <v>36</v>
      </c>
      <c r="B14" s="6" t="str">
        <f>VLOOKUP(A14,'Product List'!A:C,3,0)</f>
        <v>MINI &amp; MOE MAG CONECT WTR BTL 4 OZ</v>
      </c>
      <c r="C14" s="6">
        <v>0</v>
      </c>
      <c r="D14" s="6">
        <f>SUMIFS(Purchase!G:G,Purchase!C:C,A14,Purchase!J:J,"&gt;"&amp;$C$1)</f>
        <v>15606</v>
      </c>
      <c r="E14" s="6">
        <f>SUMIFS(Purchase!G:G,Purchase!C:C,A14,Purchase!K:K,"&gt;0",Purchase!J:J,"&gt;"&amp;$C$1)</f>
        <v>15606</v>
      </c>
      <c r="F14" s="6">
        <f>SUMIFS(Sales!F:F,Sales!C:C,A14,Sales!K:K,"&gt;"&amp;$C$1)</f>
        <v>6048</v>
      </c>
      <c r="G14" s="6">
        <f>SUMIFS(Sales!F:F,Sales!C:C,A14,Sales!K:K,"&gt;"&amp;$C$1,Sales!L:L,"&gt;0")</f>
        <v>5184</v>
      </c>
      <c r="H14" s="236">
        <f t="shared" si="0"/>
        <v>10422</v>
      </c>
      <c r="I14" s="6">
        <f t="shared" si="1"/>
        <v>0</v>
      </c>
      <c r="J14" s="6">
        <f t="shared" si="2"/>
        <v>864</v>
      </c>
      <c r="K14" s="6">
        <f t="shared" si="3"/>
        <v>9558</v>
      </c>
      <c r="L14" s="236">
        <f t="shared" si="4"/>
        <v>9558</v>
      </c>
      <c r="M14" s="6">
        <f>SUMIF('Weekly Sales'!B:B,A14,'Weekly Sales'!Q:Q)</f>
        <v>241</v>
      </c>
      <c r="N14" s="6">
        <f t="shared" si="5"/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4338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54</v>
      </c>
      <c r="U14" s="6" t="str">
        <f>_xlfn.XLOOKUP(A14,'Product List'!A:A,'Product List'!F:F)</f>
        <v>Petsmart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5">
      <c r="A15" s="6" t="s">
        <v>37</v>
      </c>
      <c r="B15" s="6" t="str">
        <f>VLOOKUP(A15,'Product List'!A:C,3,0)</f>
        <v>MMO-CLOUD WATER BOTTLE</v>
      </c>
      <c r="C15" s="6">
        <v>720</v>
      </c>
      <c r="D15" s="6">
        <f>SUMIFS(Purchase!G:G,Purchase!C:C,A15,Purchase!J:J,"&gt;"&amp;$C$1)</f>
        <v>20120</v>
      </c>
      <c r="E15" s="6">
        <f>SUMIFS(Purchase!G:G,Purchase!C:C,A15,Purchase!K:K,"&gt;0",Purchase!J:J,"&gt;"&amp;$C$1)</f>
        <v>17920</v>
      </c>
      <c r="F15" s="6">
        <f>SUMIFS(Sales!F:F,Sales!C:C,A15,Sales!K:K,"&gt;"&amp;$C$1)</f>
        <v>10990</v>
      </c>
      <c r="G15" s="6">
        <f>SUMIFS(Sales!F:F,Sales!C:C,A15,Sales!K:K,"&gt;"&amp;$C$1,Sales!L:L,"&gt;0")</f>
        <v>9690</v>
      </c>
      <c r="H15" s="236">
        <f t="shared" si="0"/>
        <v>8950</v>
      </c>
      <c r="I15" s="6">
        <f t="shared" si="1"/>
        <v>2200</v>
      </c>
      <c r="J15" s="6">
        <f t="shared" si="2"/>
        <v>1300</v>
      </c>
      <c r="K15" s="6">
        <f t="shared" si="3"/>
        <v>7650</v>
      </c>
      <c r="L15" s="236">
        <f t="shared" si="4"/>
        <v>9850</v>
      </c>
      <c r="M15" s="6">
        <f>SUMIF('Weekly Sales'!B:B,A15,'Weekly Sales'!Q:Q)</f>
        <v>12</v>
      </c>
      <c r="N15" s="6">
        <f t="shared" si="5"/>
        <v>820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168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50</v>
      </c>
      <c r="U15" s="6" t="str">
        <f>_xlfn.XLOOKUP(A15,'Product List'!A:A,'Product List'!F:F)</f>
        <v>PetcoUS, PetcoMX，Canada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5">
      <c r="A16" s="6" t="s">
        <v>38</v>
      </c>
      <c r="B16" s="6" t="str">
        <f>VLOOKUP(A16,'Product List'!A:C,3,0)</f>
        <v>MMO-BUBBLE WATER BOTTLE</v>
      </c>
      <c r="C16" s="6">
        <v>360</v>
      </c>
      <c r="D16" s="6">
        <f>SUMIFS(Purchase!G:G,Purchase!C:C,A16,Purchase!J:J,"&gt;"&amp;$C$1)</f>
        <v>23772</v>
      </c>
      <c r="E16" s="6">
        <f>SUMIFS(Purchase!G:G,Purchase!C:C,A16,Purchase!K:K,"&gt;0",Purchase!J:J,"&gt;"&amp;$C$1)</f>
        <v>15708</v>
      </c>
      <c r="F16" s="6">
        <f>SUMIFS(Sales!F:F,Sales!C:C,A16,Sales!K:K,"&gt;"&amp;$C$1)</f>
        <v>9390</v>
      </c>
      <c r="G16" s="6">
        <f>SUMIFS(Sales!F:F,Sales!C:C,A16,Sales!K:K,"&gt;"&amp;$C$1,Sales!L:L,"&gt;0")</f>
        <v>8256</v>
      </c>
      <c r="H16" s="236">
        <f t="shared" si="0"/>
        <v>7812</v>
      </c>
      <c r="I16" s="6">
        <f t="shared" si="1"/>
        <v>8064</v>
      </c>
      <c r="J16" s="6">
        <f t="shared" si="2"/>
        <v>1134</v>
      </c>
      <c r="K16" s="6">
        <f t="shared" si="3"/>
        <v>6678</v>
      </c>
      <c r="L16" s="236">
        <f t="shared" si="4"/>
        <v>14742</v>
      </c>
      <c r="M16" s="6">
        <f>SUMIF('Weekly Sales'!B:B,A16,'Weekly Sales'!Q:Q)</f>
        <v>453</v>
      </c>
      <c r="N16" s="6">
        <f t="shared" si="5"/>
        <v>32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6342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42</v>
      </c>
      <c r="U16" s="6" t="str">
        <f>_xlfn.XLOOKUP(A16,'Product List'!A:A,'Product List'!F:F)</f>
        <v>PetcoUS,PSP</v>
      </c>
      <c r="V16" s="6" t="str">
        <f>_xlfn.XLOOKUP(A16,'Product List'!A:A,'Product List'!V:V)</f>
        <v>C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15" t="s">
        <v>39</v>
      </c>
      <c r="B17" s="6" t="str">
        <f>VLOOKUP(A17,'Product List'!A:C,3,0)</f>
        <v>MMO-GREEN APPLE CHEW</v>
      </c>
      <c r="C17" s="6">
        <v>0</v>
      </c>
      <c r="D17" s="6">
        <f>SUMIFS(Purchase!G:G,Purchase!C:C,A17,Purchase!J:J,"&gt;"&amp;$C$1)</f>
        <v>12048</v>
      </c>
      <c r="E17" s="6">
        <f>SUMIFS(Purchase!G:G,Purchase!C:C,A17,Purchase!K:K,"&gt;0",Purchase!J:J,"&gt;"&amp;$C$1)</f>
        <v>7680</v>
      </c>
      <c r="F17" s="6">
        <f>SUMIFS(Sales!F:F,Sales!C:C,A17,Sales!K:K,"&gt;"&amp;$C$1)</f>
        <v>4320</v>
      </c>
      <c r="G17" s="6">
        <f>SUMIFS(Sales!F:F,Sales!C:C,A17,Sales!K:K,"&gt;"&amp;$C$1,Sales!L:L,"&gt;0")</f>
        <v>3984</v>
      </c>
      <c r="H17" s="236">
        <f t="shared" si="0"/>
        <v>3696</v>
      </c>
      <c r="I17" s="6">
        <f t="shared" si="1"/>
        <v>4368</v>
      </c>
      <c r="J17" s="6">
        <f t="shared" si="2"/>
        <v>336</v>
      </c>
      <c r="K17" s="6">
        <f t="shared" si="3"/>
        <v>3360</v>
      </c>
      <c r="L17" s="236">
        <f t="shared" si="4"/>
        <v>7728</v>
      </c>
      <c r="M17" s="6">
        <f>SUMIF('Weekly Sales'!B:B,A17,'Weekly Sales'!Q:Q)</f>
        <v>238</v>
      </c>
      <c r="N17" s="6">
        <f t="shared" si="5"/>
        <v>32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3332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48</v>
      </c>
      <c r="U17" s="6" t="str">
        <f>_xlfn.XLOOKUP(A17,'Product List'!A:A,'Product List'!F:F)</f>
        <v>PetcoUS，PSP</v>
      </c>
      <c r="V17" s="6" t="str">
        <f>_xlfn.XLOOKUP(A17,'Product List'!A:A,'Product List'!V:V)</f>
        <v>B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40</v>
      </c>
      <c r="B18" s="6" t="str">
        <f>VLOOKUP(A18,'Product List'!A:C,3,0)</f>
        <v>MMO-CAMP LUNCH BOX CHEW</v>
      </c>
      <c r="C18" s="6">
        <v>0</v>
      </c>
      <c r="D18" s="6">
        <f>SUMIFS(Purchase!G:G,Purchase!C:C,A18,Purchase!J:J,"&gt;"&amp;$C$1)</f>
        <v>12960</v>
      </c>
      <c r="E18" s="6">
        <f>SUMIFS(Purchase!G:G,Purchase!C:C,A18,Purchase!K:K,"&gt;0",Purchase!J:J,"&gt;"&amp;$C$1)</f>
        <v>7344</v>
      </c>
      <c r="F18" s="6">
        <f>SUMIFS(Sales!F:F,Sales!C:C,A18,Sales!K:K,"&gt;"&amp;$C$1)</f>
        <v>5184</v>
      </c>
      <c r="G18" s="6">
        <f>SUMIFS(Sales!F:F,Sales!C:C,A18,Sales!K:K,"&gt;"&amp;$C$1,Sales!L:L,"&gt;0")</f>
        <v>4464</v>
      </c>
      <c r="H18" s="236">
        <f t="shared" si="0"/>
        <v>2880</v>
      </c>
      <c r="I18" s="6">
        <f t="shared" si="1"/>
        <v>5616</v>
      </c>
      <c r="J18" s="6">
        <f t="shared" si="2"/>
        <v>720</v>
      </c>
      <c r="K18" s="6">
        <f t="shared" si="3"/>
        <v>2160</v>
      </c>
      <c r="L18" s="236">
        <f t="shared" si="4"/>
        <v>7776</v>
      </c>
      <c r="M18" s="6">
        <f>SUMIF('Weekly Sales'!B:B,A18,'Weekly Sales'!Q:Q)</f>
        <v>238</v>
      </c>
      <c r="N18" s="6">
        <f t="shared" si="5"/>
        <v>32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3332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72</v>
      </c>
      <c r="U18" s="6" t="str">
        <f>_xlfn.XLOOKUP(A18,'Product List'!A:A,'Product List'!F:F)</f>
        <v>PetcoUS, Pet Supermarket，PSP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41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9144</v>
      </c>
      <c r="E19" s="6">
        <f>SUMIFS(Purchase!G:G,Purchase!C:C,A19,Purchase!K:K,"&gt;0",Purchase!J:J,"&gt;"&amp;$C$1)</f>
        <v>5184</v>
      </c>
      <c r="F19" s="6">
        <f>SUMIFS(Sales!F:F,Sales!C:C,A19,Sales!K:K,"&gt;"&amp;$C$1)</f>
        <v>4028</v>
      </c>
      <c r="G19" s="6">
        <f>SUMIFS(Sales!F:F,Sales!C:C,A19,Sales!K:K,"&gt;"&amp;$C$1,Sales!L:L,"&gt;0")</f>
        <v>3684</v>
      </c>
      <c r="H19" s="236">
        <f t="shared" si="0"/>
        <v>1912</v>
      </c>
      <c r="I19" s="6">
        <f t="shared" si="1"/>
        <v>3960</v>
      </c>
      <c r="J19" s="6">
        <f t="shared" si="2"/>
        <v>344</v>
      </c>
      <c r="K19" s="6">
        <f t="shared" si="3"/>
        <v>1568</v>
      </c>
      <c r="L19" s="236">
        <f t="shared" si="4"/>
        <v>5528</v>
      </c>
      <c r="M19" s="6">
        <f>SUMIF('Weekly Sales'!B:B,A19,'Weekly Sales'!Q:Q)</f>
        <v>170</v>
      </c>
      <c r="N19" s="6">
        <f t="shared" si="5"/>
        <v>32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2380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42</v>
      </c>
      <c r="B20" s="6" t="str">
        <f>VLOOKUP(A20,'Product List'!A:C,3,0)</f>
        <v>MMO-PAPER PEBBLES</v>
      </c>
      <c r="C20" s="6">
        <v>705</v>
      </c>
      <c r="D20" s="6">
        <f>SUMIFS(Purchase!G:G,Purchase!C:C,A20,Purchase!J:J,"&gt;"&amp;$C$1)</f>
        <v>6456</v>
      </c>
      <c r="E20" s="6">
        <f>SUMIFS(Purchase!G:G,Purchase!C:C,A20,Purchase!K:K,"&gt;0",Purchase!J:J,"&gt;"&amp;$C$1)</f>
        <v>3552</v>
      </c>
      <c r="F20" s="6">
        <f>SUMIFS(Sales!F:F,Sales!C:C,A20,Sales!K:K,"&gt;"&amp;$C$1)</f>
        <v>2421</v>
      </c>
      <c r="G20" s="6">
        <f>SUMIFS(Sales!F:F,Sales!C:C,A20,Sales!K:K,"&gt;"&amp;$C$1,Sales!L:L,"&gt;0")</f>
        <v>2421</v>
      </c>
      <c r="H20" s="236">
        <f t="shared" si="0"/>
        <v>1836</v>
      </c>
      <c r="I20" s="6">
        <f t="shared" si="1"/>
        <v>2904</v>
      </c>
      <c r="J20" s="6">
        <f t="shared" si="2"/>
        <v>0</v>
      </c>
      <c r="K20" s="6">
        <f t="shared" si="3"/>
        <v>1836</v>
      </c>
      <c r="L20" s="236">
        <f t="shared" si="4"/>
        <v>4740</v>
      </c>
      <c r="M20" s="6">
        <f>SUMIF('Weekly Sales'!B:B,A20,'Weekly Sales'!Q:Q)</f>
        <v>91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1274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12</v>
      </c>
      <c r="U20" s="6" t="str">
        <f>_xlfn.XLOOKUP(A20,'Product List'!A:A,'Product List'!F:F)</f>
        <v>PetcoUS, Pet Supermarket</v>
      </c>
      <c r="V20" s="6" t="str">
        <f>_xlfn.XLOOKUP(A20,'Product List'!A:A,'Product List'!V:V)</f>
        <v>B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43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2466</v>
      </c>
      <c r="H21" s="236">
        <f t="shared" si="0"/>
        <v>1824</v>
      </c>
      <c r="I21" s="6">
        <f t="shared" si="1"/>
        <v>2912</v>
      </c>
      <c r="J21" s="6">
        <f t="shared" si="2"/>
        <v>0</v>
      </c>
      <c r="K21" s="6">
        <f t="shared" si="3"/>
        <v>1824</v>
      </c>
      <c r="L21" s="236">
        <f t="shared" si="4"/>
        <v>4736</v>
      </c>
      <c r="M21" s="6">
        <f>SUMIF('Weekly Sales'!B:B,A21,'Weekly Sales'!Q:Q)</f>
        <v>91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1274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44</v>
      </c>
      <c r="B22" s="6" t="str">
        <f>VLOOKUP(A22,'Product List'!A:C,3,0)</f>
        <v>MMO-PAPER TWIST BLU/WHT</v>
      </c>
      <c r="C22" s="6">
        <v>936</v>
      </c>
      <c r="D22" s="6">
        <f>SUMIFS(Purchase!G:G,Purchase!C:C,A22,Purchase!J:J,"&gt;"&amp;$C$1)</f>
        <v>4740</v>
      </c>
      <c r="E22" s="6">
        <f>SUMIFS(Purchase!G:G,Purchase!C:C,A22,Purchase!K:K,"&gt;0",Purchase!J:J,"&gt;"&amp;$C$1)</f>
        <v>2160</v>
      </c>
      <c r="F22" s="6">
        <f>SUMIFS(Sales!F:F,Sales!C:C,A22,Sales!K:K,"&gt;"&amp;$C$1)</f>
        <v>2136</v>
      </c>
      <c r="G22" s="6">
        <f>SUMIFS(Sales!F:F,Sales!C:C,A22,Sales!K:K,"&gt;"&amp;$C$1,Sales!L:L,"&gt;0")</f>
        <v>2136</v>
      </c>
      <c r="H22" s="236">
        <f t="shared" si="0"/>
        <v>960</v>
      </c>
      <c r="I22" s="6">
        <f t="shared" si="1"/>
        <v>2580</v>
      </c>
      <c r="J22" s="6">
        <f t="shared" si="2"/>
        <v>0</v>
      </c>
      <c r="K22" s="6">
        <f t="shared" si="3"/>
        <v>960</v>
      </c>
      <c r="L22" s="236">
        <f t="shared" si="4"/>
        <v>3540</v>
      </c>
      <c r="M22" s="6">
        <f>SUMIF('Weekly Sales'!B:B,A22,'Weekly Sales'!Q:Q)</f>
        <v>80</v>
      </c>
      <c r="N22" s="6">
        <f t="shared" si="5"/>
        <v>44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1120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PetcoUS，PSP</v>
      </c>
      <c r="V22" s="6" t="str">
        <f>_xlfn.XLOOKUP(A22,'Product List'!A:A,'Product List'!V:V)</f>
        <v>A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45</v>
      </c>
      <c r="B23" s="6" t="str">
        <f>VLOOKUP(A23,'Product List'!A:C,3,0)</f>
        <v>MINI/MOE SMALL ANIMAL BEDDING ROLLED PAPER FOREST MIX 1EA</v>
      </c>
      <c r="C23" s="6">
        <v>0</v>
      </c>
      <c r="D23" s="6">
        <f>SUMIFS(Purchase!G:G,Purchase!C:C,A23,Purchase!J:J,"&gt;"&amp;$C$1)</f>
        <v>3420</v>
      </c>
      <c r="E23" s="6">
        <f>SUMIFS(Purchase!G:G,Purchase!C:C,A23,Purchase!K:K,"&gt;0",Purchase!J:J,"&gt;"&amp;$C$1)</f>
        <v>3420</v>
      </c>
      <c r="F23" s="6">
        <f>SUMIFS(Sales!F:F,Sales!C:C,A23,Sales!K:K,"&gt;"&amp;$C$1)</f>
        <v>2010</v>
      </c>
      <c r="G23" s="6">
        <f>SUMIFS(Sales!F:F,Sales!C:C,A23,Sales!K:K,"&gt;"&amp;$C$1,Sales!L:L,"&gt;0")</f>
        <v>2010</v>
      </c>
      <c r="H23" s="236">
        <f t="shared" si="0"/>
        <v>1410</v>
      </c>
      <c r="I23" s="6">
        <f t="shared" si="1"/>
        <v>0</v>
      </c>
      <c r="J23" s="6">
        <f t="shared" si="2"/>
        <v>0</v>
      </c>
      <c r="K23" s="6">
        <f t="shared" si="3"/>
        <v>1410</v>
      </c>
      <c r="L23" s="236">
        <f t="shared" si="4"/>
        <v>1410</v>
      </c>
      <c r="M23" s="6">
        <f>SUMIF('Weekly Sales'!B:B,A23,'Weekly Sales'!Q:Q)</f>
        <v>0</v>
      </c>
      <c r="N23" s="6">
        <f t="shared" si="5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A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46</v>
      </c>
      <c r="B24" s="6" t="str">
        <f>VLOOKUP(A24,'Product List'!A:C,3,0)</f>
        <v>MINI/MOE SMALL ANIMAL BEDDING PAPER FLAKE LAV FIELD 50LT</v>
      </c>
      <c r="C24" s="6">
        <v>0</v>
      </c>
      <c r="D24" s="6">
        <f>SUMIFS(Purchase!G:G,Purchase!C:C,A24,Purchase!J:J,"&gt;"&amp;$C$1)</f>
        <v>3360</v>
      </c>
      <c r="E24" s="6">
        <f>SUMIFS(Purchase!G:G,Purchase!C:C,A24,Purchase!K:K,"&gt;0",Purchase!J:J,"&gt;"&amp;$C$1)</f>
        <v>3360</v>
      </c>
      <c r="F24" s="6">
        <f>SUMIFS(Sales!F:F,Sales!C:C,A24,Sales!K:K,"&gt;"&amp;$C$1)</f>
        <v>1974</v>
      </c>
      <c r="G24" s="6">
        <f>SUMIFS(Sales!F:F,Sales!C:C,A24,Sales!K:K,"&gt;"&amp;$C$1,Sales!L:L,"&gt;0")</f>
        <v>1974</v>
      </c>
      <c r="H24" s="236">
        <f t="shared" si="0"/>
        <v>1386</v>
      </c>
      <c r="I24" s="6">
        <f t="shared" si="1"/>
        <v>0</v>
      </c>
      <c r="J24" s="6">
        <f t="shared" si="2"/>
        <v>0</v>
      </c>
      <c r="K24" s="6">
        <f t="shared" si="3"/>
        <v>1386</v>
      </c>
      <c r="L24" s="236">
        <f t="shared" si="4"/>
        <v>1386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14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47</v>
      </c>
      <c r="B25" s="6" t="str">
        <f>VLOOKUP(A25,'Product List'!A:C,3,0)</f>
        <v>MINI/MOE SMALL ANIMAL BEDDING PAPER PEBBLES OCEAN BLUE 23LT</v>
      </c>
      <c r="C25" s="6">
        <v>0</v>
      </c>
      <c r="D25" s="6">
        <f>SUMIFS(Purchase!G:G,Purchase!C:C,A25,Purchase!J:J,"&gt;"&amp;$C$1)</f>
        <v>3360</v>
      </c>
      <c r="E25" s="6">
        <f>SUMIFS(Purchase!G:G,Purchase!C:C,A25,Purchase!K:K,"&gt;0",Purchase!J:J,"&gt;"&amp;$C$1)</f>
        <v>3360</v>
      </c>
      <c r="F25" s="6">
        <f>SUMIFS(Sales!F:F,Sales!C:C,A25,Sales!K:K,"&gt;"&amp;$C$1)</f>
        <v>1944</v>
      </c>
      <c r="G25" s="6">
        <f>SUMIFS(Sales!F:F,Sales!C:C,A25,Sales!K:K,"&gt;"&amp;$C$1,Sales!L:L,"&gt;0")</f>
        <v>1944</v>
      </c>
      <c r="H25" s="236">
        <f t="shared" si="0"/>
        <v>1416</v>
      </c>
      <c r="I25" s="6">
        <f t="shared" si="1"/>
        <v>0</v>
      </c>
      <c r="J25" s="6">
        <f t="shared" si="2"/>
        <v>0</v>
      </c>
      <c r="K25" s="6">
        <f t="shared" si="3"/>
        <v>1416</v>
      </c>
      <c r="L25" s="236">
        <f t="shared" si="4"/>
        <v>1416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48</v>
      </c>
      <c r="B26" s="6" t="str">
        <f>VLOOKUP(A26,'Product List'!A:C,3,0)</f>
        <v>MMO-SHELL PEARL HAMSTER CHEW</v>
      </c>
      <c r="C26" s="6">
        <v>0</v>
      </c>
      <c r="D26" s="6">
        <f>SUMIFS(Purchase!G:G,Purchase!C:C,A26,Purchase!J:J,"&gt;"&amp;$C$1)</f>
        <v>5376</v>
      </c>
      <c r="E26" s="6">
        <f>SUMIFS(Purchase!G:G,Purchase!C:C,A26,Purchase!K:K,"&gt;0",Purchase!J:J,"&gt;"&amp;$C$1)</f>
        <v>3328</v>
      </c>
      <c r="F26" s="6">
        <f>SUMIFS(Sales!F:F,Sales!C:C,A26,Sales!K:K,"&gt;"&amp;$C$1)</f>
        <v>2112</v>
      </c>
      <c r="G26" s="6">
        <f>SUMIFS(Sales!F:F,Sales!C:C,A26,Sales!K:K,"&gt;"&amp;$C$1,Sales!L:L,"&gt;0")</f>
        <v>2112</v>
      </c>
      <c r="H26" s="236">
        <f t="shared" si="0"/>
        <v>1216</v>
      </c>
      <c r="I26" s="6">
        <f t="shared" si="1"/>
        <v>2048</v>
      </c>
      <c r="J26" s="6">
        <f t="shared" si="2"/>
        <v>0</v>
      </c>
      <c r="K26" s="6">
        <f t="shared" si="3"/>
        <v>1216</v>
      </c>
      <c r="L26" s="236">
        <f t="shared" si="4"/>
        <v>3264</v>
      </c>
      <c r="M26" s="6">
        <f>SUMIF('Weekly Sales'!B:B,A26,'Weekly Sales'!Q:Q)</f>
        <v>57</v>
      </c>
      <c r="N26" s="6">
        <f t="shared" si="5"/>
        <v>57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798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64</v>
      </c>
      <c r="U26" s="6" t="str">
        <f>_xlfn.XLOOKUP(A26,'Product List'!A:A,'Product List'!F:F)</f>
        <v>PetcoUS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49</v>
      </c>
      <c r="B27" s="6" t="str">
        <f>VLOOKUP(A27,'Product List'!A:C,3,0)</f>
        <v>MINI/MOE SMALL ANIMAL BEDDING NESTING COTTON BALLS LAV 23LT</v>
      </c>
      <c r="C27" s="6">
        <v>0</v>
      </c>
      <c r="D27" s="6">
        <f>SUMIFS(Purchase!G:G,Purchase!C:C,A27,Purchase!J:J,"&gt;"&amp;$C$1)</f>
        <v>3456</v>
      </c>
      <c r="E27" s="6">
        <f>SUMIFS(Purchase!G:G,Purchase!C:C,A27,Purchase!K:K,"&gt;0",Purchase!J:J,"&gt;"&amp;$C$1)</f>
        <v>3232</v>
      </c>
      <c r="F27" s="6">
        <f>SUMIFS(Sales!F:F,Sales!C:C,A27,Sales!K:K,"&gt;"&amp;$C$1)</f>
        <v>2432</v>
      </c>
      <c r="G27" s="6">
        <f>SUMIFS(Sales!F:F,Sales!C:C,A27,Sales!K:K,"&gt;"&amp;$C$1,Sales!L:L,"&gt;0")</f>
        <v>2432</v>
      </c>
      <c r="H27" s="236">
        <f t="shared" si="0"/>
        <v>800</v>
      </c>
      <c r="I27" s="6">
        <f t="shared" si="1"/>
        <v>224</v>
      </c>
      <c r="J27" s="6">
        <f t="shared" si="2"/>
        <v>0</v>
      </c>
      <c r="K27" s="6">
        <f t="shared" si="3"/>
        <v>800</v>
      </c>
      <c r="L27" s="236">
        <f t="shared" si="4"/>
        <v>1024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32</v>
      </c>
      <c r="U27" s="6" t="str">
        <f>_xlfn.XLOOKUP(A27,'Product List'!A:A,'Product List'!F:F)</f>
        <v>PSP</v>
      </c>
      <c r="V27" s="6" t="str">
        <f>_xlfn.XLOOKUP(A27,'Product List'!A:A,'Product List'!V:V)</f>
        <v>A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50</v>
      </c>
      <c r="B28" s="6" t="str">
        <f>VLOOKUP(A28,'Product List'!A:C,3,0)</f>
        <v>Cotton multi color bedding</v>
      </c>
      <c r="C28" s="6">
        <v>0</v>
      </c>
      <c r="D28" s="6">
        <f>SUMIFS(Purchase!G:G,Purchase!C:C,A28,Purchase!J:J,"&gt;"&amp;$C$1)</f>
        <v>2520</v>
      </c>
      <c r="E28" s="6">
        <f>SUMIFS(Purchase!G:G,Purchase!C:C,A28,Purchase!K:K,"&gt;0",Purchase!J:J,"&gt;"&amp;$C$1)</f>
        <v>2520</v>
      </c>
      <c r="F28" s="6">
        <f>SUMIFS(Sales!F:F,Sales!C:C,A28,Sales!K:K,"&gt;"&amp;$C$1)</f>
        <v>1528</v>
      </c>
      <c r="G28" s="6">
        <f>SUMIFS(Sales!F:F,Sales!C:C,A28,Sales!K:K,"&gt;"&amp;$C$1,Sales!L:L,"&gt;0")</f>
        <v>1528</v>
      </c>
      <c r="H28" s="236">
        <f t="shared" si="0"/>
        <v>992</v>
      </c>
      <c r="I28" s="6">
        <f t="shared" si="1"/>
        <v>0</v>
      </c>
      <c r="J28" s="6">
        <f t="shared" si="2"/>
        <v>0</v>
      </c>
      <c r="K28" s="6">
        <f t="shared" si="3"/>
        <v>992</v>
      </c>
      <c r="L28" s="236">
        <f t="shared" si="4"/>
        <v>992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v>1</v>
      </c>
      <c r="U28" s="6" t="str">
        <f>_xlfn.XLOOKUP(A28,'Product List'!A:A,'Product List'!F:F)</f>
        <v>Pet Supermarket，Canada，PSP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51</v>
      </c>
      <c r="B29" s="6" t="str">
        <f>VLOOKUP(A29,'Product List'!A:C,3,0)</f>
        <v>MINI/MOE SMALL ANIMAL BEDDING PAPER TWISTS</v>
      </c>
      <c r="C29" s="6">
        <v>0</v>
      </c>
      <c r="D29" s="6">
        <f>SUMIFS(Purchase!G:G,Purchase!C:C,A29,Purchase!J:J,"&gt;"&amp;$C$1)</f>
        <v>3420</v>
      </c>
      <c r="E29" s="6">
        <f>SUMIFS(Purchase!G:G,Purchase!C:C,A29,Purchase!K:K,"&gt;0",Purchase!J:J,"&gt;"&amp;$C$1)</f>
        <v>3390</v>
      </c>
      <c r="F29" s="6">
        <f>SUMIFS(Sales!F:F,Sales!C:C,A29,Sales!K:K,"&gt;"&amp;$C$1)</f>
        <v>1920</v>
      </c>
      <c r="G29" s="6">
        <f>SUMIFS(Sales!F:F,Sales!C:C,A29,Sales!K:K,"&gt;"&amp;$C$1,Sales!L:L,"&gt;0")</f>
        <v>1920</v>
      </c>
      <c r="H29" s="236">
        <f t="shared" si="0"/>
        <v>1470</v>
      </c>
      <c r="I29" s="6">
        <f t="shared" si="1"/>
        <v>30</v>
      </c>
      <c r="J29" s="6">
        <f t="shared" si="2"/>
        <v>0</v>
      </c>
      <c r="K29" s="6">
        <f t="shared" si="3"/>
        <v>1470</v>
      </c>
      <c r="L29" s="236">
        <f t="shared" si="4"/>
        <v>1500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52</v>
      </c>
      <c r="B30" s="6" t="str">
        <f>VLOOKUP(A30,'Product List'!A:C,3,0)</f>
        <v>Crystal Outdoor Cage</v>
      </c>
      <c r="C30" s="6">
        <v>0</v>
      </c>
      <c r="D30" s="6">
        <f>SUMIFS(Purchase!G:G,Purchase!C:C,A30,Purchase!J:J,"&gt;"&amp;$C$1)</f>
        <v>1778</v>
      </c>
      <c r="E30" s="6">
        <f>SUMIFS(Purchase!G:G,Purchase!C:C,A30,Purchase!K:K,"&gt;0",Purchase!J:J,"&gt;"&amp;$C$1)</f>
        <v>1778</v>
      </c>
      <c r="F30" s="6">
        <f>SUMIFS(Sales!F:F,Sales!C:C,A30,Sales!K:K,"&gt;"&amp;$C$1)</f>
        <v>833</v>
      </c>
      <c r="G30" s="6">
        <f>SUMIFS(Sales!F:F,Sales!C:C,A30,Sales!K:K,"&gt;"&amp;$C$1,Sales!L:L,"&gt;0")</f>
        <v>833</v>
      </c>
      <c r="H30" s="236">
        <f t="shared" si="0"/>
        <v>945</v>
      </c>
      <c r="I30" s="6">
        <f t="shared" si="1"/>
        <v>0</v>
      </c>
      <c r="J30" s="6">
        <f t="shared" si="2"/>
        <v>0</v>
      </c>
      <c r="K30" s="6">
        <f t="shared" si="3"/>
        <v>945</v>
      </c>
      <c r="L30" s="236">
        <f t="shared" si="4"/>
        <v>945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v>1</v>
      </c>
      <c r="U30" s="6" t="str">
        <f>_xlfn.XLOOKUP(A30,'Product List'!A:A,'Product List'!F:F)</f>
        <v>PetcoMX,PSP，Canada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53</v>
      </c>
      <c r="B31" s="6" t="str">
        <f>VLOOKUP(A31,'Product List'!A:C,3,0)</f>
        <v>MINI/MOE SMALL ANIMAL HOUSING CAKE HOUSE 1EA</v>
      </c>
      <c r="C31" s="6">
        <v>0</v>
      </c>
      <c r="D31" s="6">
        <f>SUMIFS(Purchase!G:G,Purchase!C:C,A31,Purchase!J:J,"&gt;"&amp;$C$1)</f>
        <v>1284</v>
      </c>
      <c r="E31" s="6">
        <f>SUMIFS(Purchase!G:G,Purchase!C:C,A31,Purchase!K:K,"&gt;0",Purchase!J:J,"&gt;"&amp;$C$1)</f>
        <v>1284</v>
      </c>
      <c r="F31" s="6">
        <f>SUMIFS(Sales!F:F,Sales!C:C,A31,Sales!K:K,"&gt;"&amp;$C$1)</f>
        <v>348</v>
      </c>
      <c r="G31" s="6">
        <f>SUMIFS(Sales!F:F,Sales!C:C,A31,Sales!K:K,"&gt;"&amp;$C$1,Sales!L:L,"&gt;0")</f>
        <v>348</v>
      </c>
      <c r="H31" s="236">
        <f t="shared" si="0"/>
        <v>936</v>
      </c>
      <c r="I31" s="6">
        <f t="shared" si="1"/>
        <v>0</v>
      </c>
      <c r="J31" s="6">
        <f t="shared" si="2"/>
        <v>0</v>
      </c>
      <c r="K31" s="6">
        <f t="shared" si="3"/>
        <v>936</v>
      </c>
      <c r="L31" s="236">
        <f t="shared" si="4"/>
        <v>936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 t="shared" si="6"/>
        <v>0</v>
      </c>
      <c r="T31" s="6">
        <f t="array" ref="T31">_xlfn.XLOOKUP(A31,'Product List'!A:A,'Product List'!J:J)</f>
        <v>13</v>
      </c>
      <c r="U31" s="6" t="str">
        <f>_xlfn.XLOOKUP(A31,'Product List'!A:A,'Product List'!F:F)</f>
        <v>PSP，Canada</v>
      </c>
      <c r="V31" s="6" t="str">
        <f>_xlfn.XLOOKUP(A31,'Product List'!A:A,'Product List'!V:V)</f>
        <v>C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6" t="s">
        <v>54</v>
      </c>
      <c r="B32" s="6" t="str">
        <f>VLOOKUP(A32,'Product List'!A:C,3,0)</f>
        <v>Paper twist brown / white bedding</v>
      </c>
      <c r="C32" s="6">
        <v>0</v>
      </c>
      <c r="D32" s="6">
        <f>SUMIFS(Purchase!G:G,Purchase!C:C,A32,Purchase!J:J,"&gt;"&amp;$C$1)</f>
        <v>1860</v>
      </c>
      <c r="E32" s="6">
        <f>SUMIFS(Purchase!G:G,Purchase!C:C,A32,Purchase!K:K,"&gt;0",Purchase!J:J,"&gt;"&amp;$C$1)</f>
        <v>1860</v>
      </c>
      <c r="F32" s="6">
        <f>SUMIFS(Sales!F:F,Sales!C:C,A32,Sales!K:K,"&gt;"&amp;$C$1)</f>
        <v>930</v>
      </c>
      <c r="G32" s="6">
        <f>SUMIFS(Sales!F:F,Sales!C:C,A32,Sales!K:K,"&gt;"&amp;$C$1,Sales!L:L,"&gt;0")</f>
        <v>930</v>
      </c>
      <c r="H32" s="236">
        <f t="shared" si="0"/>
        <v>930</v>
      </c>
      <c r="I32" s="6">
        <f t="shared" si="1"/>
        <v>0</v>
      </c>
      <c r="J32" s="6">
        <f t="shared" si="2"/>
        <v>0</v>
      </c>
      <c r="K32" s="6">
        <f t="shared" si="3"/>
        <v>930</v>
      </c>
      <c r="L32" s="236">
        <f t="shared" si="4"/>
        <v>930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Pet Supermarket，PSP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15" t="s">
        <v>55</v>
      </c>
      <c r="B33" s="6" t="str">
        <f>VLOOKUP(A33,'Product List'!A:C,3,0)</f>
        <v>Mushroom Spiral Staircase</v>
      </c>
      <c r="C33" s="6">
        <v>144</v>
      </c>
      <c r="D33" s="6">
        <f>SUMIFS(Purchase!G:G,Purchase!C:C,A33,Purchase!J:J,"&gt;"&amp;$C$1)</f>
        <v>1656</v>
      </c>
      <c r="E33" s="6">
        <f>SUMIFS(Purchase!G:G,Purchase!C:C,A33,Purchase!K:K,"&gt;0",Purchase!J:J,"&gt;"&amp;$C$1)</f>
        <v>1656</v>
      </c>
      <c r="F33" s="6">
        <f>SUMIFS(Sales!F:F,Sales!C:C,A33,Sales!K:K,"&gt;"&amp;$C$1)</f>
        <v>936</v>
      </c>
      <c r="G33" s="6">
        <f>SUMIFS(Sales!F:F,Sales!C:C,A33,Sales!K:K,"&gt;"&amp;$C$1,Sales!L:L,"&gt;0")</f>
        <v>936</v>
      </c>
      <c r="H33" s="236">
        <f t="shared" si="0"/>
        <v>864</v>
      </c>
      <c r="I33" s="6">
        <f t="shared" si="1"/>
        <v>0</v>
      </c>
      <c r="J33" s="6">
        <f t="shared" si="2"/>
        <v>0</v>
      </c>
      <c r="K33" s="6">
        <f t="shared" si="3"/>
        <v>864</v>
      </c>
      <c r="L33" s="236">
        <f t="shared" si="4"/>
        <v>864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72</v>
      </c>
      <c r="U33" s="6" t="str">
        <f>_xlfn.XLOOKUP(A33,'Product List'!A:A,'Product List'!F:F)</f>
        <v>Pet Supermarket,PSP</v>
      </c>
      <c r="V33" s="6" t="str">
        <f>_xlfn.XLOOKUP(A33,'Product List'!A:A,'Product List'!V:V)</f>
        <v>B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56</v>
      </c>
      <c r="B34" s="6" t="str">
        <f>VLOOKUP(A34,'Product List'!A:C,3,0)</f>
        <v>Silent Crystal Running Wheel XL</v>
      </c>
      <c r="C34" s="6">
        <v>150</v>
      </c>
      <c r="D34" s="6">
        <f>SUMIFS(Purchase!G:G,Purchase!C:C,A34,Purchase!J:J,"&gt;"&amp;$C$1)</f>
        <v>1360</v>
      </c>
      <c r="E34" s="6">
        <f>SUMIFS(Purchase!G:G,Purchase!C:C,A34,Purchase!K:K,"&gt;0",Purchase!J:J,"&gt;"&amp;$C$1)</f>
        <v>1360</v>
      </c>
      <c r="F34" s="6">
        <f>SUMIFS(Sales!F:F,Sales!C:C,A34,Sales!K:K,"&gt;"&amp;$C$1)</f>
        <v>703</v>
      </c>
      <c r="G34" s="6">
        <f>SUMIFS(Sales!F:F,Sales!C:C,A34,Sales!K:K,"&gt;"&amp;$C$1,Sales!L:L,"&gt;0")</f>
        <v>703</v>
      </c>
      <c r="H34" s="236">
        <f t="shared" si="0"/>
        <v>807</v>
      </c>
      <c r="I34" s="6">
        <f t="shared" si="1"/>
        <v>0</v>
      </c>
      <c r="J34" s="6">
        <f t="shared" si="2"/>
        <v>0</v>
      </c>
      <c r="K34" s="6">
        <f t="shared" si="3"/>
        <v>807</v>
      </c>
      <c r="L34" s="236">
        <f t="shared" si="4"/>
        <v>807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3</v>
      </c>
      <c r="U34" s="6" t="str">
        <f>_xlfn.XLOOKUP(A34,'Product List'!A:A,'Product List'!F:F)</f>
        <v>Pet Supermarket，PSP，Canada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57</v>
      </c>
      <c r="B35" s="6" t="str">
        <f>VLOOKUP(A35,'Product List'!A:C,3,0)</f>
        <v>D. MMO-COTTAGE VIEW CAGE</v>
      </c>
      <c r="C35" s="6">
        <v>0</v>
      </c>
      <c r="D35" s="6">
        <f>SUMIFS(Purchase!G:G,Purchase!C:C,A35,Purchase!J:J,"&gt;"&amp;$C$1)</f>
        <v>941</v>
      </c>
      <c r="E35" s="6">
        <f>SUMIFS(Purchase!G:G,Purchase!C:C,A35,Purchase!K:K,"&gt;0",Purchase!J:J,"&gt;"&amp;$C$1)</f>
        <v>941</v>
      </c>
      <c r="F35" s="6">
        <f>SUMIFS(Sales!F:F,Sales!C:C,A35,Sales!K:K,"&gt;"&amp;$C$1)</f>
        <v>283</v>
      </c>
      <c r="G35" s="6">
        <f>SUMIFS(Sales!F:F,Sales!C:C,A35,Sales!K:K,"&gt;"&amp;$C$1,Sales!L:L,"&gt;0")</f>
        <v>283</v>
      </c>
      <c r="H35" s="236">
        <f t="shared" si="0"/>
        <v>658</v>
      </c>
      <c r="I35" s="6">
        <f t="shared" si="1"/>
        <v>0</v>
      </c>
      <c r="J35" s="6">
        <f t="shared" si="2"/>
        <v>0</v>
      </c>
      <c r="K35" s="6">
        <f t="shared" si="3"/>
        <v>658</v>
      </c>
      <c r="L35" s="236">
        <f t="shared" si="4"/>
        <v>658</v>
      </c>
      <c r="M35" s="6">
        <f>SUMIF('Weekly Sales'!B:B,A35,'Weekly Sales'!Q:Q)</f>
        <v>12</v>
      </c>
      <c r="N35" s="6">
        <f t="shared" si="5"/>
        <v>54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216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1</v>
      </c>
      <c r="U35" s="6" t="str">
        <f>_xlfn.XLOOKUP(A35,'Product List'!A:A,'Product List'!F:F)</f>
        <v>PSP, PetcoUS, PetcoMX</v>
      </c>
      <c r="V35" s="6" t="str">
        <f>_xlfn.XLOOKUP(A35,'Product List'!A:A,'Product List'!V:V)</f>
        <v>S3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5" t="s">
        <v>58</v>
      </c>
      <c r="B36" s="6" t="str">
        <f>VLOOKUP(A36,'Product List'!A:C,3,0)</f>
        <v>Little Devil Travel Cage</v>
      </c>
      <c r="C36" s="6">
        <v>0</v>
      </c>
      <c r="D36" s="6">
        <f>SUMIFS(Purchase!G:G,Purchase!C:C,A36,Purchase!J:J,"&gt;"&amp;$C$1)</f>
        <v>1530</v>
      </c>
      <c r="E36" s="6">
        <f>SUMIFS(Purchase!G:G,Purchase!C:C,A36,Purchase!K:K,"&gt;0",Purchase!J:J,"&gt;"&amp;$C$1)</f>
        <v>1530</v>
      </c>
      <c r="F36" s="6">
        <f>SUMIFS(Sales!F:F,Sales!C:C,A36,Sales!K:K,"&gt;"&amp;$C$1)</f>
        <v>882</v>
      </c>
      <c r="G36" s="6">
        <f>SUMIFS(Sales!F:F,Sales!C:C,A36,Sales!K:K,"&gt;"&amp;$C$1,Sales!L:L,"&gt;0")</f>
        <v>882</v>
      </c>
      <c r="H36" s="236">
        <f t="shared" si="0"/>
        <v>648</v>
      </c>
      <c r="I36" s="6">
        <f t="shared" si="1"/>
        <v>0</v>
      </c>
      <c r="J36" s="6">
        <f t="shared" si="2"/>
        <v>0</v>
      </c>
      <c r="K36" s="6">
        <f t="shared" si="3"/>
        <v>648</v>
      </c>
      <c r="L36" s="236">
        <f t="shared" si="4"/>
        <v>648</v>
      </c>
      <c r="M36" s="6">
        <f>SUMIF('Weekly Sales'!B:B,A36,'Weekly Sales'!Q:Q)</f>
        <v>0</v>
      </c>
      <c r="N36" s="6">
        <f t="shared" si="5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18</v>
      </c>
      <c r="U36" s="6" t="str">
        <f>_xlfn.XLOOKUP(A36,'Product List'!A:A,'Product List'!F:F)</f>
        <v>PetcoMX,PSP，Canada</v>
      </c>
      <c r="V36" s="6" t="str">
        <f>_xlfn.XLOOKUP(A36,'Product List'!A:A,'Product List'!V:V)</f>
        <v>C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59</v>
      </c>
      <c r="B37" s="6" t="str">
        <f>VLOOKUP(A37,'Product List'!A:C,3,0)</f>
        <v>MINI/MOE SMALL ANIMAL FEEDING WATER BOTTLE HLDR GUMBALL 1EA</v>
      </c>
      <c r="C37" s="6">
        <v>0</v>
      </c>
      <c r="D37" s="6">
        <f>SUMIFS(Purchase!G:G,Purchase!C:C,A37,Purchase!J:J,"&gt;"&amp;$C$1)</f>
        <v>1282</v>
      </c>
      <c r="E37" s="6">
        <f>SUMIFS(Purchase!G:G,Purchase!C:C,A37,Purchase!K:K,"&gt;0",Purchase!J:J,"&gt;"&amp;$C$1)</f>
        <v>1282</v>
      </c>
      <c r="F37" s="6">
        <f>SUMIFS(Sales!F:F,Sales!C:C,A37,Sales!K:K,"&gt;"&amp;$C$1)</f>
        <v>636</v>
      </c>
      <c r="G37" s="6">
        <f>SUMIFS(Sales!F:F,Sales!C:C,A37,Sales!K:K,"&gt;"&amp;$C$1,Sales!L:L,"&gt;0")</f>
        <v>636</v>
      </c>
      <c r="H37" s="236">
        <f t="shared" si="0"/>
        <v>646</v>
      </c>
      <c r="I37" s="6">
        <f t="shared" si="1"/>
        <v>0</v>
      </c>
      <c r="J37" s="6">
        <f t="shared" si="2"/>
        <v>0</v>
      </c>
      <c r="K37" s="6">
        <f t="shared" si="3"/>
        <v>646</v>
      </c>
      <c r="L37" s="236">
        <f t="shared" si="4"/>
        <v>646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15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500</v>
      </c>
      <c r="S37" s="6">
        <f t="shared" si="6"/>
        <v>0</v>
      </c>
      <c r="T37" s="6">
        <f t="array" ref="T37">_xlfn.XLOOKUP(A37,'Product List'!A:A,'Product List'!J:J)</f>
        <v>34</v>
      </c>
      <c r="U37" s="6" t="str">
        <f>_xlfn.XLOOKUP(A37,'Product List'!A:A,'Product List'!F:F)</f>
        <v>PSP，Canada</v>
      </c>
      <c r="V37" s="6" t="str">
        <f>_xlfn.XLOOKUP(A37,'Product List'!A:A,'Product List'!V:V)</f>
        <v>C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6" t="s">
        <v>60</v>
      </c>
      <c r="B38" s="6" t="str">
        <f>VLOOKUP(A38,'Product List'!A:C,3,0)</f>
        <v>MINI/MOE SMALL ANIMAL BEDDING PAPER TWISTS BUBBLEGUM 1EA</v>
      </c>
      <c r="C38" s="6">
        <v>0</v>
      </c>
      <c r="D38" s="6">
        <f>SUMIFS(Purchase!G:G,Purchase!C:C,A38,Purchase!J:J,"&gt;"&amp;$C$1)</f>
        <v>1260</v>
      </c>
      <c r="E38" s="6">
        <f>SUMIFS(Purchase!G:G,Purchase!C:C,A38,Purchase!K:K,"&gt;0",Purchase!J:J,"&gt;"&amp;$C$1)</f>
        <v>1260</v>
      </c>
      <c r="F38" s="6">
        <f>SUMIFS(Sales!F:F,Sales!C:C,A38,Sales!K:K,"&gt;"&amp;$C$1)</f>
        <v>660</v>
      </c>
      <c r="G38" s="6">
        <f>SUMIFS(Sales!F:F,Sales!C:C,A38,Sales!K:K,"&gt;"&amp;$C$1,Sales!L:L,"&gt;0")</f>
        <v>660</v>
      </c>
      <c r="H38" s="236">
        <f t="shared" si="0"/>
        <v>600</v>
      </c>
      <c r="I38" s="6">
        <f t="shared" si="1"/>
        <v>0</v>
      </c>
      <c r="J38" s="6">
        <f t="shared" si="2"/>
        <v>0</v>
      </c>
      <c r="K38" s="6">
        <f t="shared" si="3"/>
        <v>600</v>
      </c>
      <c r="L38" s="236">
        <f t="shared" si="4"/>
        <v>600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f t="array" ref="T38">_xlfn.XLOOKUP(A38,'Product List'!A:A,'Product List'!J:J)</f>
        <v>30</v>
      </c>
      <c r="U38" s="6" t="str">
        <f>_xlfn.XLOOKUP(A38,'Product List'!A:A,'Product List'!F:F)</f>
        <v>PSP</v>
      </c>
      <c r="V38" s="6" t="str">
        <f>_xlfn.XLOOKUP(A38,'Product List'!A:A,'Product List'!V:V)</f>
        <v>A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61</v>
      </c>
      <c r="B39" s="6" t="str">
        <f>VLOOKUP(A39,'Product List'!A:C,3,0)</f>
        <v>MINI/MOE SMALL ANIMAL BEDDING PAPER FLK XMAS CRAN/MATCHA 1EA</v>
      </c>
      <c r="C39" s="6">
        <v>0</v>
      </c>
      <c r="D39" s="6">
        <f>SUMIFS(Purchase!G:G,Purchase!C:C,A39,Purchase!J:J,"&gt;"&amp;$C$1)</f>
        <v>1260</v>
      </c>
      <c r="E39" s="6">
        <f>SUMIFS(Purchase!G:G,Purchase!C:C,A39,Purchase!K:K,"&gt;0",Purchase!J:J,"&gt;"&amp;$C$1)</f>
        <v>1260</v>
      </c>
      <c r="F39" s="6">
        <f>SUMIFS(Sales!F:F,Sales!C:C,A39,Sales!K:K,"&gt;"&amp;$C$1)</f>
        <v>630</v>
      </c>
      <c r="G39" s="6">
        <f>SUMIFS(Sales!F:F,Sales!C:C,A39,Sales!K:K,"&gt;"&amp;$C$1,Sales!L:L,"&gt;0")</f>
        <v>630</v>
      </c>
      <c r="H39" s="236">
        <f t="shared" si="0"/>
        <v>630</v>
      </c>
      <c r="I39" s="6">
        <f t="shared" si="1"/>
        <v>0</v>
      </c>
      <c r="J39" s="6">
        <f t="shared" si="2"/>
        <v>0</v>
      </c>
      <c r="K39" s="6">
        <f t="shared" si="3"/>
        <v>630</v>
      </c>
      <c r="L39" s="236">
        <f t="shared" si="4"/>
        <v>630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14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62</v>
      </c>
      <c r="B40" s="6" t="str">
        <f>VLOOKUP(A40,'Product List'!A:C,3,0)</f>
        <v>MINI/MOE SMALL ANIMAL BEDDING CRINKLE PAPER BROWN 1EA</v>
      </c>
      <c r="C40" s="6">
        <v>0</v>
      </c>
      <c r="D40" s="6">
        <f>SUMIFS(Purchase!G:G,Purchase!C:C,A40,Purchase!J:J,"&gt;"&amp;$C$1)</f>
        <v>1260</v>
      </c>
      <c r="E40" s="6">
        <f>SUMIFS(Purchase!G:G,Purchase!C:C,A40,Purchase!K:K,"&gt;0",Purchase!J:J,"&gt;"&amp;$C$1)</f>
        <v>1260</v>
      </c>
      <c r="F40" s="6">
        <f>SUMIFS(Sales!F:F,Sales!C:C,A40,Sales!K:K,"&gt;"&amp;$C$1)</f>
        <v>630</v>
      </c>
      <c r="G40" s="6">
        <f>SUMIFS(Sales!F:F,Sales!C:C,A40,Sales!K:K,"&gt;"&amp;$C$1,Sales!L:L,"&gt;0")</f>
        <v>630</v>
      </c>
      <c r="H40" s="236">
        <f t="shared" si="0"/>
        <v>630</v>
      </c>
      <c r="I40" s="6">
        <f t="shared" si="1"/>
        <v>0</v>
      </c>
      <c r="J40" s="6">
        <f t="shared" si="2"/>
        <v>0</v>
      </c>
      <c r="K40" s="6">
        <f t="shared" si="3"/>
        <v>630</v>
      </c>
      <c r="L40" s="236">
        <f t="shared" si="4"/>
        <v>630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PSP</v>
      </c>
      <c r="V40" s="6" t="str">
        <f>_xlfn.XLOOKUP(A40,'Product List'!A:A,'Product List'!V:V)</f>
        <v>A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63</v>
      </c>
      <c r="B41" s="6" t="str">
        <f>VLOOKUP(A41,'Product List'!A:C,3,0)</f>
        <v>MINI/MOE SMALL ANIMAL BEDDING PAPER PEBBLES PSTCH/CREAM 1EA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630</v>
      </c>
      <c r="G41" s="6">
        <f>SUMIFS(Sales!F:F,Sales!C:C,A41,Sales!K:K,"&gt;"&amp;$C$1,Sales!L:L,"&gt;0")</f>
        <v>630</v>
      </c>
      <c r="H41" s="236">
        <f t="shared" si="0"/>
        <v>630</v>
      </c>
      <c r="I41" s="6">
        <f t="shared" si="1"/>
        <v>0</v>
      </c>
      <c r="J41" s="6">
        <f t="shared" si="2"/>
        <v>0</v>
      </c>
      <c r="K41" s="6">
        <f t="shared" si="3"/>
        <v>630</v>
      </c>
      <c r="L41" s="236">
        <f t="shared" si="4"/>
        <v>630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8" t="s">
        <v>64</v>
      </c>
      <c r="B42" s="6" t="str">
        <f>VLOOKUP(A42,'Product List'!A:C,3,0)</f>
        <v>MINI/MOE MUSHROOM LADDER 1EA</v>
      </c>
      <c r="C42" s="6">
        <v>0</v>
      </c>
      <c r="D42" s="6">
        <f>SUMIFS(Purchase!G:G,Purchase!C:C,A42,Purchase!J:J,"&gt;"&amp;$C$1)</f>
        <v>1260</v>
      </c>
      <c r="E42" s="6">
        <f>SUMIFS(Purchase!G:G,Purchase!C:C,A42,Purchase!K:K,"&gt;0",Purchase!J:J,"&gt;"&amp;$C$1)</f>
        <v>1260</v>
      </c>
      <c r="F42" s="6">
        <f>SUMIFS(Sales!F:F,Sales!C:C,A42,Sales!K:K,"&gt;"&amp;$C$1)</f>
        <v>630</v>
      </c>
      <c r="G42" s="6">
        <f>SUMIFS(Sales!F:F,Sales!C:C,A42,Sales!K:K,"&gt;"&amp;$C$1,Sales!L:L,"&gt;0")</f>
        <v>630</v>
      </c>
      <c r="H42" s="236">
        <f t="shared" si="0"/>
        <v>630</v>
      </c>
      <c r="I42" s="6">
        <f t="shared" si="1"/>
        <v>0</v>
      </c>
      <c r="J42" s="6">
        <f t="shared" si="2"/>
        <v>0</v>
      </c>
      <c r="K42" s="6">
        <f t="shared" si="3"/>
        <v>630</v>
      </c>
      <c r="L42" s="236">
        <f t="shared" si="4"/>
        <v>630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6"/>
        <v>0</v>
      </c>
      <c r="T42" s="6">
        <v>1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65</v>
      </c>
      <c r="B43" s="6" t="str">
        <f>VLOOKUP(A43,'Product List'!A:C,3,0)</f>
        <v>Sugar Jar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1332</v>
      </c>
      <c r="F43" s="6">
        <f>SUMIFS(Sales!F:F,Sales!C:C,A43,Sales!K:K,"&gt;"&amp;$C$1)</f>
        <v>711</v>
      </c>
      <c r="G43" s="6">
        <f>SUMIFS(Sales!F:F,Sales!C:C,A43,Sales!K:K,"&gt;"&amp;$C$1,Sales!L:L,"&gt;0")</f>
        <v>711</v>
      </c>
      <c r="H43" s="236">
        <f t="shared" si="0"/>
        <v>621</v>
      </c>
      <c r="I43" s="6">
        <f t="shared" si="1"/>
        <v>0</v>
      </c>
      <c r="J43" s="6">
        <f t="shared" si="2"/>
        <v>0</v>
      </c>
      <c r="K43" s="6">
        <f t="shared" si="3"/>
        <v>621</v>
      </c>
      <c r="L43" s="236">
        <f t="shared" si="4"/>
        <v>621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6"/>
        <v>0</v>
      </c>
      <c r="T43" s="6">
        <f t="array" ref="T43">_xlfn.XLOOKUP(A43,'Product List'!A:A,'Product List'!J:J)</f>
        <v>27</v>
      </c>
      <c r="U43" s="6" t="str">
        <f>_xlfn.XLOOKUP(A43,'Product List'!A:A,'Product List'!F:F)</f>
        <v>PetcoMX，PSP，Canada</v>
      </c>
      <c r="V43" s="6" t="str">
        <f>_xlfn.XLOOKUP(A43,'Product List'!A:A,'Product List'!V:V)</f>
        <v>C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15" t="s">
        <v>66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1306</v>
      </c>
      <c r="F44" s="6">
        <f>SUMIFS(Sales!F:F,Sales!C:C,A44,Sales!K:K,"&gt;"&amp;$C$1)</f>
        <v>685</v>
      </c>
      <c r="G44" s="6">
        <f>SUMIFS(Sales!F:F,Sales!C:C,A44,Sales!K:K,"&gt;"&amp;$C$1,Sales!L:L,"&gt;0")</f>
        <v>685</v>
      </c>
      <c r="H44" s="236">
        <f t="shared" si="0"/>
        <v>621</v>
      </c>
      <c r="I44" s="6">
        <f t="shared" si="1"/>
        <v>0</v>
      </c>
      <c r="J44" s="6">
        <f t="shared" si="2"/>
        <v>0</v>
      </c>
      <c r="K44" s="6">
        <f t="shared" si="3"/>
        <v>621</v>
      </c>
      <c r="L44" s="236">
        <f t="shared" si="4"/>
        <v>621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6"/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PetcoMX,PSP，Canada</v>
      </c>
      <c r="V44" s="6" t="str">
        <f>_xlfn.XLOOKUP(A44,'Product List'!A:A,'Product List'!V:V)</f>
        <v>C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15" t="s">
        <v>67</v>
      </c>
      <c r="B45" s="6" t="str">
        <f>VLOOKUP(A45,'Product List'!A:C,3,0)</f>
        <v>NONO Magnetic Water Bottle (220 ML)</v>
      </c>
      <c r="C45" s="6">
        <v>0</v>
      </c>
      <c r="D45" s="6">
        <f>SUMIFS(Purchase!G:G,Purchase!C:C,A45,Purchase!J:J,"&gt;"&amp;$C$1)</f>
        <v>2340</v>
      </c>
      <c r="E45" s="6">
        <f>SUMIFS(Purchase!G:G,Purchase!C:C,A45,Purchase!K:K,"&gt;0",Purchase!J:J,"&gt;"&amp;$C$1)</f>
        <v>2340</v>
      </c>
      <c r="F45" s="6">
        <f>SUMIFS(Sales!F:F,Sales!C:C,A45,Sales!K:K,"&gt;"&amp;$C$1)</f>
        <v>1740</v>
      </c>
      <c r="G45" s="6">
        <f>SUMIFS(Sales!F:F,Sales!C:C,A45,Sales!K:K,"&gt;"&amp;$C$1,Sales!L:L,"&gt;0")</f>
        <v>1740</v>
      </c>
      <c r="H45" s="236">
        <f t="shared" si="0"/>
        <v>600</v>
      </c>
      <c r="I45" s="6">
        <f t="shared" si="1"/>
        <v>0</v>
      </c>
      <c r="J45" s="6">
        <f t="shared" si="2"/>
        <v>0</v>
      </c>
      <c r="K45" s="6">
        <f t="shared" si="3"/>
        <v>600</v>
      </c>
      <c r="L45" s="236">
        <f t="shared" si="4"/>
        <v>600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60</v>
      </c>
      <c r="U45" s="6" t="str">
        <f>_xlfn.XLOOKUP(A45,'Product List'!A:A,'Product List'!F:F)</f>
        <v>PetcoMX,PSP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18" t="s">
        <v>68</v>
      </c>
      <c r="B46" s="6" t="str">
        <f>VLOOKUP(A46,'Product List'!A:C,3,0)</f>
        <v>MINI/MOE FISHBONE BRIDGE 1EA</v>
      </c>
      <c r="C46" s="6">
        <v>0</v>
      </c>
      <c r="D46" s="6">
        <f>SUMIFS(Purchase!G:G,Purchase!C:C,A46,Purchase!J:J,"&gt;"&amp;$C$1)</f>
        <v>1260</v>
      </c>
      <c r="E46" s="6">
        <f>SUMIFS(Purchase!G:G,Purchase!C:C,A46,Purchase!K:K,"&gt;0",Purchase!J:J,"&gt;"&amp;$C$1)</f>
        <v>1260</v>
      </c>
      <c r="F46" s="6">
        <f>SUMIFS(Sales!F:F,Sales!C:C,A46,Sales!K:K,"&gt;"&amp;$C$1)</f>
        <v>660</v>
      </c>
      <c r="G46" s="6">
        <f>SUMIFS(Sales!F:F,Sales!C:C,A46,Sales!K:K,"&gt;"&amp;$C$1,Sales!L:L,"&gt;0")</f>
        <v>660</v>
      </c>
      <c r="H46" s="236">
        <f t="shared" si="0"/>
        <v>600</v>
      </c>
      <c r="I46" s="6">
        <f t="shared" si="1"/>
        <v>0</v>
      </c>
      <c r="J46" s="6">
        <f t="shared" si="2"/>
        <v>0</v>
      </c>
      <c r="K46" s="6">
        <f t="shared" si="3"/>
        <v>600</v>
      </c>
      <c r="L46" s="236">
        <f t="shared" si="4"/>
        <v>600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6"/>
        <v>0</v>
      </c>
      <c r="T46" s="6">
        <v>1</v>
      </c>
      <c r="U46" s="6" t="str">
        <f>_xlfn.XLOOKUP(A46,'Product List'!A:A,'Product List'!F:F)</f>
        <v>PSP</v>
      </c>
      <c r="V46" s="6" t="str">
        <f>_xlfn.XLOOKUP(A46,'Product List'!A:A,'Product List'!V:V)</f>
        <v>F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69</v>
      </c>
      <c r="B47" s="6" t="str">
        <f>VLOOKUP(A47,'Product List'!A:C,3,0)</f>
        <v>MINI/MOE SMALL ANIMAL BEDDING PAPER PEBBLES PSTCH/CREAM 1EA</v>
      </c>
      <c r="C47" s="6">
        <v>0</v>
      </c>
      <c r="D47" s="6">
        <f>SUMIFS(Purchase!G:G,Purchase!C:C,A47,Purchase!J:J,"&gt;"&amp;$C$1)</f>
        <v>1248</v>
      </c>
      <c r="E47" s="6">
        <f>SUMIFS(Purchase!G:G,Purchase!C:C,A47,Purchase!K:K,"&gt;0",Purchase!J:J,"&gt;"&amp;$C$1)</f>
        <v>1248</v>
      </c>
      <c r="F47" s="6">
        <f>SUMIFS(Sales!F:F,Sales!C:C,A47,Sales!K:K,"&gt;"&amp;$C$1)</f>
        <v>612</v>
      </c>
      <c r="G47" s="6">
        <f>SUMIFS(Sales!F:F,Sales!C:C,A47,Sales!K:K,"&gt;"&amp;$C$1,Sales!L:L,"&gt;0")</f>
        <v>612</v>
      </c>
      <c r="H47" s="236">
        <f t="shared" si="0"/>
        <v>636</v>
      </c>
      <c r="I47" s="6">
        <f t="shared" si="1"/>
        <v>0</v>
      </c>
      <c r="J47" s="6">
        <f t="shared" si="2"/>
        <v>0</v>
      </c>
      <c r="K47" s="6">
        <f t="shared" si="3"/>
        <v>636</v>
      </c>
      <c r="L47" s="236">
        <f t="shared" si="4"/>
        <v>636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12</v>
      </c>
      <c r="U47" s="6" t="str">
        <f>_xlfn.XLOOKUP(A47,'Product List'!A:A,'Product List'!F:F)</f>
        <v>PSP</v>
      </c>
      <c r="V47" s="6" t="str">
        <f>_xlfn.XLOOKUP(A47,'Product List'!A:A,'Product List'!V:V)</f>
        <v>B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15" t="s">
        <v>70</v>
      </c>
      <c r="B48" s="6" t="str">
        <f>VLOOKUP(A48,'Product List'!A:C,3,0)</f>
        <v>Ceramic Candy Bowl</v>
      </c>
      <c r="C48" s="6">
        <v>0</v>
      </c>
      <c r="D48" s="6">
        <f>SUMIFS(Purchase!G:G,Purchase!C:C,A48,Purchase!J:J,"&gt;"&amp;$C$1)</f>
        <v>1248</v>
      </c>
      <c r="E48" s="6">
        <f>SUMIFS(Purchase!G:G,Purchase!C:C,A48,Purchase!K:K,"&gt;0",Purchase!J:J,"&gt;"&amp;$C$1)</f>
        <v>1248</v>
      </c>
      <c r="F48" s="6">
        <f>SUMIFS(Sales!F:F,Sales!C:C,A48,Sales!K:K,"&gt;"&amp;$C$1)</f>
        <v>672</v>
      </c>
      <c r="G48" s="6">
        <f>SUMIFS(Sales!F:F,Sales!C:C,A48,Sales!K:K,"&gt;"&amp;$C$1,Sales!L:L,"&gt;0")</f>
        <v>672</v>
      </c>
      <c r="H48" s="236">
        <f t="shared" si="0"/>
        <v>576</v>
      </c>
      <c r="I48" s="6">
        <f t="shared" si="1"/>
        <v>0</v>
      </c>
      <c r="J48" s="6">
        <f t="shared" si="2"/>
        <v>0</v>
      </c>
      <c r="K48" s="6">
        <f t="shared" si="3"/>
        <v>576</v>
      </c>
      <c r="L48" s="236">
        <f t="shared" si="4"/>
        <v>576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2000</v>
      </c>
      <c r="S48" s="6">
        <f t="shared" si="6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PetcoMX,PSP</v>
      </c>
      <c r="V48" s="6" t="str">
        <f>_xlfn.XLOOKUP(A48,'Product List'!A:A,'Product List'!V:V)</f>
        <v>B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6" t="s">
        <v>71</v>
      </c>
      <c r="B49" s="6" t="str">
        <f>VLOOKUP(A49,'Product List'!A:C,3,0)</f>
        <v>MINI/MOE SMALL ANIMAL HOUSING SWEET BRIDGE 1EA</v>
      </c>
      <c r="C49" s="6">
        <v>0</v>
      </c>
      <c r="D49" s="6">
        <f>SUMIFS(Purchase!G:G,Purchase!C:C,A49,Purchase!J:J,"&gt;"&amp;$C$1)</f>
        <v>1332</v>
      </c>
      <c r="E49" s="6">
        <f>SUMIFS(Purchase!G:G,Purchase!C:C,A49,Purchase!K:K,"&gt;0",Purchase!J:J,"&gt;"&amp;$C$1)</f>
        <v>1332</v>
      </c>
      <c r="F49" s="6">
        <f>SUMIFS(Sales!F:F,Sales!C:C,A49,Sales!K:K,"&gt;"&amp;$C$1)</f>
        <v>772</v>
      </c>
      <c r="G49" s="6">
        <f>SUMIFS(Sales!F:F,Sales!C:C,A49,Sales!K:K,"&gt;"&amp;$C$1,Sales!L:L,"&gt;0")</f>
        <v>772</v>
      </c>
      <c r="H49" s="236">
        <f t="shared" si="0"/>
        <v>560</v>
      </c>
      <c r="I49" s="6">
        <f t="shared" si="1"/>
        <v>0</v>
      </c>
      <c r="J49" s="6">
        <f t="shared" si="2"/>
        <v>0</v>
      </c>
      <c r="K49" s="6">
        <f t="shared" si="3"/>
        <v>560</v>
      </c>
      <c r="L49" s="236">
        <f t="shared" si="4"/>
        <v>560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70</v>
      </c>
      <c r="U49" s="6" t="str">
        <f>_xlfn.XLOOKUP(A49,'Product List'!A:A,'Product List'!F:F)</f>
        <v>PSP，Canada</v>
      </c>
      <c r="V49" s="6" t="str">
        <f>_xlfn.XLOOKUP(A49,'Product List'!A:A,'Product List'!V:V)</f>
        <v>A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15" t="s">
        <v>72</v>
      </c>
      <c r="B50" s="6" t="str">
        <f>VLOOKUP(A50,'Product List'!A:C,3,0)</f>
        <v>Forest Series Hamster Chew Toy &amp; Treat</v>
      </c>
      <c r="C50" s="6">
        <v>0</v>
      </c>
      <c r="D50" s="6">
        <f>SUMIFS(Purchase!G:G,Purchase!C:C,A50,Purchase!J:J,"&gt;"&amp;$C$1)</f>
        <v>1560</v>
      </c>
      <c r="E50" s="6">
        <f>SUMIFS(Purchase!G:G,Purchase!C:C,A50,Purchase!K:K,"&gt;0",Purchase!J:J,"&gt;"&amp;$C$1)</f>
        <v>1560</v>
      </c>
      <c r="F50" s="6">
        <f>SUMIFS(Sales!F:F,Sales!C:C,A50,Sales!K:K,"&gt;"&amp;$C$1)</f>
        <v>1020</v>
      </c>
      <c r="G50" s="6">
        <f>SUMIFS(Sales!F:F,Sales!C:C,A50,Sales!K:K,"&gt;"&amp;$C$1,Sales!L:L,"&gt;0")</f>
        <v>1020</v>
      </c>
      <c r="H50" s="236">
        <f t="shared" si="0"/>
        <v>540</v>
      </c>
      <c r="I50" s="6">
        <f t="shared" si="1"/>
        <v>0</v>
      </c>
      <c r="J50" s="6">
        <f t="shared" si="2"/>
        <v>0</v>
      </c>
      <c r="K50" s="6">
        <f t="shared" si="3"/>
        <v>540</v>
      </c>
      <c r="L50" s="236">
        <f t="shared" si="4"/>
        <v>540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60</v>
      </c>
      <c r="U50" s="6" t="str">
        <f>_xlfn.XLOOKUP(A50,'Product List'!A:A,'Product List'!F:F)</f>
        <v>Pet Supermarket,PSP</v>
      </c>
      <c r="V50" s="6" t="str">
        <f>_xlfn.XLOOKUP(A50,'Product List'!A:A,'Product List'!V:V)</f>
        <v>B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73</v>
      </c>
      <c r="B51" s="6" t="str">
        <f>VLOOKUP(A51,'Product List'!A:C,3,0)</f>
        <v>MINI/MOE GARDEN TEAPOT</v>
      </c>
      <c r="C51" s="6">
        <v>0</v>
      </c>
      <c r="D51" s="6">
        <f>SUMIFS(Purchase!G:G,Purchase!C:C,A51,Purchase!J:J,"&gt;"&amp;$C$1)</f>
        <v>1440</v>
      </c>
      <c r="E51" s="6">
        <f>SUMIFS(Purchase!G:G,Purchase!C:C,A51,Purchase!K:K,"&gt;0",Purchase!J:J,"&gt;"&amp;$C$1)</f>
        <v>1440</v>
      </c>
      <c r="F51" s="6">
        <f>SUMIFS(Sales!F:F,Sales!C:C,A51,Sales!K:K,"&gt;"&amp;$C$1)</f>
        <v>990</v>
      </c>
      <c r="G51" s="6">
        <f>SUMIFS(Sales!F:F,Sales!C:C,A51,Sales!K:K,"&gt;"&amp;$C$1,Sales!L:L,"&gt;0")</f>
        <v>990</v>
      </c>
      <c r="H51" s="236">
        <f t="shared" si="0"/>
        <v>450</v>
      </c>
      <c r="I51" s="6">
        <f t="shared" si="1"/>
        <v>0</v>
      </c>
      <c r="J51" s="6">
        <f t="shared" si="2"/>
        <v>0</v>
      </c>
      <c r="K51" s="6">
        <f t="shared" si="3"/>
        <v>450</v>
      </c>
      <c r="L51" s="236">
        <f t="shared" si="4"/>
        <v>450</v>
      </c>
      <c r="M51" s="6">
        <f>SUMIF('Weekly Sales'!B:B,A51,'Weekly Sales'!Q:Q)</f>
        <v>7</v>
      </c>
      <c r="N51" s="6">
        <f t="shared" si="5"/>
        <v>64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91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C</v>
      </c>
      <c r="W51" s="6">
        <f t="shared" si="7"/>
        <v>0</v>
      </c>
      <c r="X51" s="6">
        <f>_xlfn.XLOOKUP(V51,'Case Pack'!A:A,'Case Pack'!H:H)*W51</f>
        <v>0</v>
      </c>
    </row>
    <row r="52" spans="1:24">
      <c r="A52" s="6" t="s">
        <v>74</v>
      </c>
      <c r="B52" s="6" t="str">
        <f>VLOOKUP(A52,'Product List'!A:C,3,0)</f>
        <v>MINI/MOE MINI TV TUNNEL CAGE 1EA</v>
      </c>
      <c r="C52" s="6">
        <v>0</v>
      </c>
      <c r="D52" s="6">
        <f>SUMIFS(Purchase!G:G,Purchase!C:C,A52,Purchase!J:J,"&gt;"&amp;$C$1)</f>
        <v>1000</v>
      </c>
      <c r="E52" s="6">
        <f>SUMIFS(Purchase!G:G,Purchase!C:C,A52,Purchase!K:K,"&gt;0",Purchase!J:J,"&gt;"&amp;$C$1)</f>
        <v>1000</v>
      </c>
      <c r="F52" s="6">
        <f>SUMIFS(Sales!F:F,Sales!C:C,A52,Sales!K:K,"&gt;"&amp;$C$1)</f>
        <v>603</v>
      </c>
      <c r="G52" s="6">
        <f>SUMIFS(Sales!F:F,Sales!C:C,A52,Sales!K:K,"&gt;"&amp;$C$1,Sales!L:L,"&gt;0")</f>
        <v>603</v>
      </c>
      <c r="H52" s="236">
        <f t="shared" si="0"/>
        <v>397</v>
      </c>
      <c r="I52" s="6">
        <f t="shared" si="1"/>
        <v>0</v>
      </c>
      <c r="J52" s="6">
        <f t="shared" si="2"/>
        <v>0</v>
      </c>
      <c r="K52" s="6">
        <f t="shared" si="3"/>
        <v>397</v>
      </c>
      <c r="L52" s="236">
        <f t="shared" si="4"/>
        <v>397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v>1</v>
      </c>
      <c r="U52" s="6" t="str">
        <f>_xlfn.XLOOKUP(A52,'Product List'!A:A,'Product List'!F:F)</f>
        <v>PSP</v>
      </c>
      <c r="V52" s="6" t="str">
        <f>_xlfn.XLOOKUP(A52,'Product List'!A:A,'Product List'!V:V)</f>
        <v>S2</v>
      </c>
      <c r="W52" s="6">
        <f t="shared" si="7"/>
        <v>0</v>
      </c>
      <c r="X52" s="6">
        <f>_xlfn.XLOOKUP(V52,'Case Pack'!A:A,'Case Pack'!H:H)*W52</f>
        <v>0</v>
      </c>
    </row>
    <row r="53" spans="1:24">
      <c r="A53" s="6" t="s">
        <v>75</v>
      </c>
      <c r="B53" s="6" t="str">
        <f>VLOOKUP(A53,'Product List'!A:C,3,0)</f>
        <v>MINI/MOE IVY BURROWING BOX</v>
      </c>
      <c r="C53" s="6">
        <v>0</v>
      </c>
      <c r="D53" s="6">
        <f>SUMIFS(Purchase!G:G,Purchase!C:C,A53,Purchase!J:J,"&gt;"&amp;$C$1)</f>
        <v>1388</v>
      </c>
      <c r="E53" s="6">
        <f>SUMIFS(Purchase!G:G,Purchase!C:C,A53,Purchase!K:K,"&gt;0",Purchase!J:J,"&gt;"&amp;$C$1)</f>
        <v>1388</v>
      </c>
      <c r="F53" s="6">
        <f>SUMIFS(Sales!F:F,Sales!C:C,A53,Sales!K:K,"&gt;"&amp;$C$1)</f>
        <v>1064</v>
      </c>
      <c r="G53" s="6">
        <f>SUMIFS(Sales!F:F,Sales!C:C,A53,Sales!K:K,"&gt;"&amp;$C$1,Sales!L:L,"&gt;0")</f>
        <v>1064</v>
      </c>
      <c r="H53" s="236">
        <f t="shared" si="0"/>
        <v>324</v>
      </c>
      <c r="I53" s="6">
        <f t="shared" si="1"/>
        <v>0</v>
      </c>
      <c r="J53" s="6">
        <f t="shared" si="2"/>
        <v>0</v>
      </c>
      <c r="K53" s="6">
        <f t="shared" si="3"/>
        <v>324</v>
      </c>
      <c r="L53" s="236">
        <f t="shared" si="4"/>
        <v>324</v>
      </c>
      <c r="M53" s="6">
        <f>SUMIF('Weekly Sales'!B:B,A53,'Weekly Sales'!Q:Q)</f>
        <v>6</v>
      </c>
      <c r="N53" s="6">
        <f t="shared" si="5"/>
        <v>54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78</v>
      </c>
      <c r="R53" s="6">
        <f>_xlfn.XLOOKUP(A53,'Product List'!A:A,'Product List'!H:H)</f>
        <v>500</v>
      </c>
      <c r="S53" s="6">
        <f t="shared" si="6"/>
        <v>0</v>
      </c>
      <c r="T53" s="6">
        <f t="array" ref="T53">_xlfn.XLOOKUP(A53,'Product List'!A:A,'Product List'!J:J)</f>
        <v>4</v>
      </c>
      <c r="U53" s="6" t="str">
        <f>_xlfn.XLOOKUP(A53,'Product List'!A:A,'Product List'!F:F)</f>
        <v>PSP</v>
      </c>
      <c r="V53" s="6" t="str">
        <f>_xlfn.XLOOKUP(A53,'Product List'!A:A,'Product List'!V:V)</f>
        <v>D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76</v>
      </c>
      <c r="B54" s="6" t="str">
        <f>VLOOKUP(A54,'Product List'!A:C,3,0)</f>
        <v>MMO-STARFISH CASTLE</v>
      </c>
      <c r="C54" s="6">
        <v>504</v>
      </c>
      <c r="D54" s="6">
        <f>SUMIFS(Purchase!G:G,Purchase!C:C,A54,Purchase!J:J,"&gt;"&amp;$C$1)</f>
        <v>1840</v>
      </c>
      <c r="E54" s="6">
        <f>SUMIFS(Purchase!G:G,Purchase!C:C,A54,Purchase!K:K,"&gt;0",Purchase!J:J,"&gt;"&amp;$C$1)</f>
        <v>1840</v>
      </c>
      <c r="F54" s="6">
        <f>SUMIFS(Sales!F:F,Sales!C:C,A54,Sales!K:K,"&gt;"&amp;$C$1)</f>
        <v>2024</v>
      </c>
      <c r="G54" s="6">
        <f>SUMIFS(Sales!F:F,Sales!C:C,A54,Sales!K:K,"&gt;"&amp;$C$1,Sales!L:L,"&gt;0")</f>
        <v>2024</v>
      </c>
      <c r="H54" s="236">
        <f t="shared" si="0"/>
        <v>320</v>
      </c>
      <c r="I54" s="6">
        <f t="shared" si="1"/>
        <v>0</v>
      </c>
      <c r="J54" s="6">
        <f t="shared" si="2"/>
        <v>0</v>
      </c>
      <c r="K54" s="6">
        <f t="shared" si="3"/>
        <v>320</v>
      </c>
      <c r="L54" s="236">
        <f t="shared" si="4"/>
        <v>320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 t="shared" si="6"/>
        <v>0</v>
      </c>
      <c r="T54" s="6">
        <f t="array" ref="T54">_xlfn.XLOOKUP(A54,'Product List'!A:A,'Product List'!J:J)</f>
        <v>20</v>
      </c>
      <c r="U54" s="6" t="str">
        <f>_xlfn.XLOOKUP(A54,'Product List'!A:A,'Product List'!F:F)</f>
        <v>PetcoUS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6" t="s">
        <v>77</v>
      </c>
      <c r="B55" s="6" t="str">
        <f>VLOOKUP(A55,'Product List'!A:C,3,0)</f>
        <v>Paper straw green bedding</v>
      </c>
      <c r="C55" s="6">
        <v>0</v>
      </c>
      <c r="D55" s="6">
        <f>SUMIFS(Purchase!G:G,Purchase!C:C,A55,Purchase!J:J,"&gt;"&amp;$C$1)</f>
        <v>600</v>
      </c>
      <c r="E55" s="6">
        <f>SUMIFS(Purchase!G:G,Purchase!C:C,A55,Purchase!K:K,"&gt;0",Purchase!J:J,"&gt;"&amp;$C$1)</f>
        <v>600</v>
      </c>
      <c r="F55" s="6">
        <f>SUMIFS(Sales!F:F,Sales!C:C,A55,Sales!K:K,"&gt;"&amp;$C$1)</f>
        <v>300</v>
      </c>
      <c r="G55" s="6">
        <f>SUMIFS(Sales!F:F,Sales!C:C,A55,Sales!K:K,"&gt;"&amp;$C$1,Sales!L:L,"&gt;0")</f>
        <v>300</v>
      </c>
      <c r="H55" s="236">
        <f t="shared" si="0"/>
        <v>300</v>
      </c>
      <c r="I55" s="6">
        <f t="shared" si="1"/>
        <v>0</v>
      </c>
      <c r="J55" s="6">
        <f t="shared" si="2"/>
        <v>0</v>
      </c>
      <c r="K55" s="6">
        <f t="shared" si="3"/>
        <v>300</v>
      </c>
      <c r="L55" s="236">
        <f t="shared" si="4"/>
        <v>300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f t="array" ref="T55">_xlfn.XLOOKUP(A55,'Product List'!A:A,'Product List'!J:J)</f>
        <v>30</v>
      </c>
      <c r="U55" s="6" t="str">
        <f>_xlfn.XLOOKUP(A55,'Product List'!A:A,'Product List'!F:F)</f>
        <v>Pet Supermarket</v>
      </c>
      <c r="V55" s="6" t="str">
        <f>_xlfn.XLOOKUP(A55,'Product List'!A:A,'Product List'!V:V)</f>
        <v>C</v>
      </c>
      <c r="W55" s="6">
        <f t="shared" si="7"/>
        <v>0</v>
      </c>
      <c r="X55" s="6">
        <f>_xlfn.XLOOKUP(V55,'Case Pack'!A:A,'Case Pack'!H:H)*W55</f>
        <v>0</v>
      </c>
    </row>
    <row r="56" spans="1:24">
      <c r="A56" s="15" t="s">
        <v>78</v>
      </c>
      <c r="B56" s="6" t="str">
        <f>VLOOKUP(A56,'Product List'!A:C,3,0)</f>
        <v>Swinging Swing Hamster Toy</v>
      </c>
      <c r="C56" s="6">
        <v>144</v>
      </c>
      <c r="D56" s="6">
        <f>SUMIFS(Purchase!G:G,Purchase!C:C,A56,Purchase!J:J,"&gt;"&amp;$C$1)</f>
        <v>336</v>
      </c>
      <c r="E56" s="6">
        <f>SUMIFS(Purchase!G:G,Purchase!C:C,A56,Purchase!K:K,"&gt;0",Purchase!J:J,"&gt;"&amp;$C$1)</f>
        <v>336</v>
      </c>
      <c r="F56" s="6">
        <f>SUMIFS(Sales!F:F,Sales!C:C,A56,Sales!K:K,"&gt;"&amp;$C$1)</f>
        <v>192</v>
      </c>
      <c r="G56" s="6">
        <f>SUMIFS(Sales!F:F,Sales!C:C,A56,Sales!K:K,"&gt;"&amp;$C$1,Sales!L:L,"&gt;0")</f>
        <v>192</v>
      </c>
      <c r="H56" s="236">
        <f t="shared" si="0"/>
        <v>288</v>
      </c>
      <c r="I56" s="6">
        <f t="shared" si="1"/>
        <v>0</v>
      </c>
      <c r="J56" s="6">
        <f t="shared" si="2"/>
        <v>0</v>
      </c>
      <c r="K56" s="6">
        <f t="shared" si="3"/>
        <v>288</v>
      </c>
      <c r="L56" s="236">
        <f t="shared" si="4"/>
        <v>288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6"/>
        <v>0</v>
      </c>
      <c r="T56" s="6">
        <f t="array" ref="T56">_xlfn.XLOOKUP(A56,'Product List'!A:A,'Product List'!J:J)</f>
        <v>48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7"/>
        <v>0</v>
      </c>
      <c r="X56" s="6">
        <f>_xlfn.XLOOKUP(V56,'Case Pack'!A:A,'Case Pack'!H:H)*W56</f>
        <v>0</v>
      </c>
    </row>
    <row r="57" spans="1:24">
      <c r="A57" s="6" t="s">
        <v>79</v>
      </c>
      <c r="B57" s="6" t="str">
        <f>VLOOKUP(A57,'Product List'!A:C,3,0)</f>
        <v>MINI/MOE TREEHOUSE CABIN</v>
      </c>
      <c r="C57" s="6">
        <v>0</v>
      </c>
      <c r="D57" s="6">
        <f>SUMIFS(Purchase!G:G,Purchase!C:C,A57,Purchase!J:J,"&gt;"&amp;$C$1)</f>
        <v>2370</v>
      </c>
      <c r="E57" s="6">
        <f>SUMIFS(Purchase!G:G,Purchase!C:C,A57,Purchase!K:K,"&gt;0",Purchase!J:J,"&gt;"&amp;$C$1)</f>
        <v>1350</v>
      </c>
      <c r="F57" s="6">
        <f>SUMIFS(Sales!F:F,Sales!C:C,A57,Sales!K:K,"&gt;"&amp;$C$1)</f>
        <v>1200</v>
      </c>
      <c r="G57" s="6">
        <f>SUMIFS(Sales!F:F,Sales!C:C,A57,Sales!K:K,"&gt;"&amp;$C$1,Sales!L:L,"&gt;0")</f>
        <v>1200</v>
      </c>
      <c r="H57" s="236">
        <f t="shared" si="0"/>
        <v>150</v>
      </c>
      <c r="I57" s="6">
        <f t="shared" si="1"/>
        <v>1020</v>
      </c>
      <c r="J57" s="6">
        <f t="shared" si="2"/>
        <v>0</v>
      </c>
      <c r="K57" s="6">
        <f t="shared" si="3"/>
        <v>150</v>
      </c>
      <c r="L57" s="236">
        <f t="shared" si="4"/>
        <v>1170</v>
      </c>
      <c r="M57" s="6">
        <f>SUMIF('Weekly Sales'!B:B,A57,'Weekly Sales'!Q:Q)</f>
        <v>31</v>
      </c>
      <c r="N57" s="6">
        <f t="shared" si="5"/>
        <v>37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403</v>
      </c>
      <c r="R57" s="6">
        <f>_xlfn.XLOOKUP(A57,'Product List'!A:A,'Product List'!H:H)</f>
        <v>500</v>
      </c>
      <c r="S57" s="6">
        <f t="shared" si="6"/>
        <v>0</v>
      </c>
      <c r="T57" s="6">
        <f t="array" ref="T57">_xlfn.XLOOKUP(A57,'Product List'!A:A,'Product List'!J:J)</f>
        <v>30</v>
      </c>
      <c r="U57" s="6" t="str">
        <f>_xlfn.XLOOKUP(A57,'Product List'!A:A,'Product List'!F:F)</f>
        <v>PSP</v>
      </c>
      <c r="V57" s="6" t="str">
        <f>_xlfn.XLOOKUP(A57,'Product List'!A:A,'Product List'!V:V)</f>
        <v>C</v>
      </c>
      <c r="W57" s="6">
        <f t="shared" si="7"/>
        <v>0</v>
      </c>
      <c r="X57" s="6">
        <f>_xlfn.XLOOKUP(V57,'Case Pack'!A:A,'Case Pack'!H:H)*W57</f>
        <v>0</v>
      </c>
    </row>
    <row r="58" spans="1:24">
      <c r="A58" s="15" t="s">
        <v>80</v>
      </c>
      <c r="B58" s="6" t="str">
        <f>VLOOKUP(A58,'Product List'!A:C,3,0)</f>
        <v>Bubble water bottle (color:green)</v>
      </c>
      <c r="C58" s="6">
        <v>144</v>
      </c>
      <c r="D58" s="6">
        <f>SUMIFS(Purchase!G:G,Purchase!C:C,A58,Purchase!J:J,"&gt;"&amp;$C$1)</f>
        <v>972</v>
      </c>
      <c r="E58" s="6">
        <f>SUMIFS(Purchase!G:G,Purchase!C:C,A58,Purchase!K:K,"&gt;0",Purchase!J:J,"&gt;"&amp;$C$1)</f>
        <v>972</v>
      </c>
      <c r="F58" s="6">
        <f>SUMIFS(Sales!F:F,Sales!C:C,A58,Sales!K:K,"&gt;"&amp;$C$1)</f>
        <v>882</v>
      </c>
      <c r="G58" s="6">
        <f>SUMIFS(Sales!F:F,Sales!C:C,A58,Sales!K:K,"&gt;"&amp;$C$1,Sales!L:L,"&gt;0")</f>
        <v>882</v>
      </c>
      <c r="H58" s="236">
        <f t="shared" si="0"/>
        <v>234</v>
      </c>
      <c r="I58" s="6">
        <f t="shared" si="1"/>
        <v>0</v>
      </c>
      <c r="J58" s="6">
        <f t="shared" si="2"/>
        <v>0</v>
      </c>
      <c r="K58" s="6">
        <f t="shared" si="3"/>
        <v>234</v>
      </c>
      <c r="L58" s="236">
        <f t="shared" si="4"/>
        <v>234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18</v>
      </c>
      <c r="U58" s="6" t="str">
        <f>_xlfn.XLOOKUP(A58,'Product List'!A:A,'Product List'!F:F)</f>
        <v>Pet Supermarket,PetcoMX</v>
      </c>
      <c r="V58" s="6" t="str">
        <f>_xlfn.XLOOKUP(A58,'Product List'!A:A,'Product List'!V:V)</f>
        <v>B</v>
      </c>
      <c r="W58" s="6">
        <f t="shared" si="7"/>
        <v>0</v>
      </c>
      <c r="X58" s="6">
        <f>_xlfn.XLOOKUP(V58,'Case Pack'!A:A,'Case Pack'!H:H)*W58</f>
        <v>0</v>
      </c>
    </row>
    <row r="59" spans="1:24">
      <c r="A59" s="6" t="s">
        <v>81</v>
      </c>
      <c r="B59" s="6" t="str">
        <f>VLOOKUP(A59,'Product List'!A:C,3,0)</f>
        <v>Tree Stump Hide</v>
      </c>
      <c r="C59" s="6">
        <v>120</v>
      </c>
      <c r="D59" s="6">
        <f>SUMIFS(Purchase!G:G,Purchase!C:C,A59,Purchase!J:J,"&gt;"&amp;$C$1)</f>
        <v>348</v>
      </c>
      <c r="E59" s="6">
        <f>SUMIFS(Purchase!G:G,Purchase!C:C,A59,Purchase!K:K,"&gt;0",Purchase!J:J,"&gt;"&amp;$C$1)</f>
        <v>348</v>
      </c>
      <c r="F59" s="6">
        <f>SUMIFS(Sales!F:F,Sales!C:C,A59,Sales!K:K,"&gt;"&amp;$C$1)</f>
        <v>252</v>
      </c>
      <c r="G59" s="6">
        <f>SUMIFS(Sales!F:F,Sales!C:C,A59,Sales!K:K,"&gt;"&amp;$C$1,Sales!L:L,"&gt;0")</f>
        <v>252</v>
      </c>
      <c r="H59" s="236">
        <f t="shared" si="0"/>
        <v>216</v>
      </c>
      <c r="I59" s="6">
        <f t="shared" si="1"/>
        <v>0</v>
      </c>
      <c r="J59" s="6">
        <f t="shared" si="2"/>
        <v>0</v>
      </c>
      <c r="K59" s="6">
        <f t="shared" si="3"/>
        <v>216</v>
      </c>
      <c r="L59" s="236">
        <f t="shared" si="4"/>
        <v>216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6"/>
        <v>0</v>
      </c>
      <c r="T59" s="6">
        <f t="array" ref="T59">_xlfn.XLOOKUP(A59,'Product List'!A:A,'Product List'!J:J)</f>
        <v>24</v>
      </c>
      <c r="U59" s="6" t="str">
        <f>_xlfn.XLOOKUP(A59,'Product List'!A:A,'Product List'!F:F)</f>
        <v>Pet Supermarket，Canada</v>
      </c>
      <c r="V59" s="6" t="str">
        <f>_xlfn.XLOOKUP(A59,'Product List'!A:A,'Product List'!V:V)</f>
        <v>B</v>
      </c>
      <c r="W59" s="6">
        <f t="shared" si="7"/>
        <v>0</v>
      </c>
      <c r="X59" s="6">
        <f>_xlfn.XLOOKUP(V59,'Case Pack'!A:A,'Case Pack'!H:H)*W59</f>
        <v>0</v>
      </c>
    </row>
    <row r="60" spans="1:24">
      <c r="A60" s="6" t="s">
        <v>82</v>
      </c>
      <c r="B60" s="6" t="str">
        <f>VLOOKUP(A60,'Product List'!A:C,3,0)</f>
        <v>MMO-WAVE BRIDGE</v>
      </c>
      <c r="C60" s="6">
        <v>352</v>
      </c>
      <c r="D60" s="6">
        <f>SUMIFS(Purchase!G:G,Purchase!C:C,A60,Purchase!J:J,"&gt;"&amp;$C$1)</f>
        <v>2670</v>
      </c>
      <c r="E60" s="6">
        <f>SUMIFS(Purchase!G:G,Purchase!C:C,A60,Purchase!K:K,"&gt;0",Purchase!J:J,"&gt;"&amp;$C$1)</f>
        <v>2670</v>
      </c>
      <c r="F60" s="6">
        <f>SUMIFS(Sales!F:F,Sales!C:C,A60,Sales!K:K,"&gt;"&amp;$C$1)</f>
        <v>3015</v>
      </c>
      <c r="G60" s="6">
        <f>SUMIFS(Sales!F:F,Sales!C:C,A60,Sales!K:K,"&gt;"&amp;$C$1,Sales!L:L,"&gt;0")</f>
        <v>3015</v>
      </c>
      <c r="H60" s="236">
        <f t="shared" si="0"/>
        <v>7</v>
      </c>
      <c r="I60" s="6">
        <f t="shared" si="1"/>
        <v>0</v>
      </c>
      <c r="J60" s="6">
        <f t="shared" si="2"/>
        <v>0</v>
      </c>
      <c r="K60" s="6">
        <f t="shared" si="3"/>
        <v>7</v>
      </c>
      <c r="L60" s="236">
        <f t="shared" si="4"/>
        <v>7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33</v>
      </c>
      <c r="U60" s="6" t="str">
        <f>_xlfn.XLOOKUP(A60,'Product List'!A:A,'Product List'!F:F)</f>
        <v>PetcoUS，Canada</v>
      </c>
      <c r="V60" s="6" t="str">
        <f>_xlfn.XLOOKUP(A60,'Product List'!A:A,'Product List'!V:V)</f>
        <v>C</v>
      </c>
      <c r="W60" s="6">
        <f t="shared" si="7"/>
        <v>0</v>
      </c>
      <c r="X60" s="6">
        <f>_xlfn.XLOOKUP(V60,'Case Pack'!A:A,'Case Pack'!H:H)*W60</f>
        <v>0</v>
      </c>
    </row>
    <row r="61" spans="1:24">
      <c r="A61" s="6" t="s">
        <v>83</v>
      </c>
      <c r="B61" s="6" t="str">
        <f>VLOOKUP(A61,'Product List'!A:C,3,0)</f>
        <v>MINI/MOE RUFFLE BOWL</v>
      </c>
      <c r="C61" s="6">
        <v>1000</v>
      </c>
      <c r="D61" s="6">
        <f>SUMIFS(Purchase!G:G,Purchase!C:C,A61,Purchase!J:J,"&gt;"&amp;$C$1)</f>
        <v>12528</v>
      </c>
      <c r="E61" s="6">
        <f>SUMIFS(Purchase!G:G,Purchase!C:C,A61,Purchase!K:K,"&gt;0",Purchase!J:J,"&gt;"&amp;$C$1)</f>
        <v>3312</v>
      </c>
      <c r="F61" s="6">
        <f>SUMIFS(Sales!F:F,Sales!C:C,A61,Sales!K:K,"&gt;"&amp;$C$1)</f>
        <v>4312</v>
      </c>
      <c r="G61" s="6">
        <f>SUMIFS(Sales!F:F,Sales!C:C,A61,Sales!K:K,"&gt;"&amp;$C$1,Sales!L:L,"&gt;0")</f>
        <v>4312</v>
      </c>
      <c r="H61" s="236">
        <f t="shared" si="0"/>
        <v>0</v>
      </c>
      <c r="I61" s="6">
        <f t="shared" si="1"/>
        <v>9216</v>
      </c>
      <c r="J61" s="6">
        <f t="shared" si="2"/>
        <v>0</v>
      </c>
      <c r="K61" s="6">
        <f t="shared" si="3"/>
        <v>0</v>
      </c>
      <c r="L61" s="236">
        <f t="shared" si="4"/>
        <v>9216</v>
      </c>
      <c r="M61" s="6">
        <f>SUMIF('Weekly Sales'!B:B,A61,'Weekly Sales'!Q:Q)</f>
        <v>167</v>
      </c>
      <c r="N61" s="6">
        <f t="shared" si="5"/>
        <v>55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1535</v>
      </c>
      <c r="R61" s="6">
        <f>_xlfn.XLOOKUP(A61,'Product List'!A:A,'Product List'!H:H)</f>
        <v>2000</v>
      </c>
      <c r="S61" s="6">
        <f t="shared" si="6"/>
        <v>0</v>
      </c>
      <c r="T61" s="6">
        <f t="array" ref="T61">_xlfn.XLOOKUP(A61,'Product List'!A:A,'Product List'!J:J)</f>
        <v>48</v>
      </c>
      <c r="U61" s="6" t="str">
        <f>_xlfn.XLOOKUP(A61,'Product List'!A:A,'Product List'!F:F)</f>
        <v>PSP, PetcoUS</v>
      </c>
      <c r="V61" s="6" t="str">
        <f>_xlfn.XLOOKUP(A61,'Product List'!A:A,'Product List'!V:V)</f>
        <v>B</v>
      </c>
      <c r="W61" s="6">
        <f t="shared" si="7"/>
        <v>0</v>
      </c>
      <c r="X61" s="6">
        <f>_xlfn.XLOOKUP(V61,'Case Pack'!A:A,'Case Pack'!H:H)*W61</f>
        <v>0</v>
      </c>
    </row>
    <row r="62" spans="1:24">
      <c r="A62" s="15" t="s">
        <v>84</v>
      </c>
      <c r="B62" s="6" t="str">
        <f>VLOOKUP(A62,'Product List'!A:C,3,0)</f>
        <v>Rabbit Drinking Bottle (250ml)</v>
      </c>
      <c r="C62" s="6">
        <v>0</v>
      </c>
      <c r="D62" s="6">
        <f>SUMIFS(Purchase!G:G,Purchase!C:C,A62,Purchase!J:J,"&gt;"&amp;$C$1)</f>
        <v>1560</v>
      </c>
      <c r="E62" s="6">
        <f>SUMIFS(Purchase!G:G,Purchase!C:C,A62,Purchase!K:K,"&gt;0",Purchase!J:J,"&gt;"&amp;$C$1)</f>
        <v>1560</v>
      </c>
      <c r="F62" s="6">
        <f>SUMIFS(Sales!F:F,Sales!C:C,A62,Sales!K:K,"&gt;"&amp;$C$1)</f>
        <v>1560</v>
      </c>
      <c r="G62" s="6">
        <f>SUMIFS(Sales!F:F,Sales!C:C,A62,Sales!K:K,"&gt;"&amp;$C$1,Sales!L:L,"&gt;0")</f>
        <v>1560</v>
      </c>
      <c r="H62" s="23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6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15" t="s">
        <v>85</v>
      </c>
      <c r="B63" s="6" t="str">
        <f>VLOOKUP(A63,'Product List'!A:C,3,0)</f>
        <v>Rabbit Drinking Bottle (500ml)</v>
      </c>
      <c r="C63" s="6">
        <v>0</v>
      </c>
      <c r="D63" s="6">
        <f>SUMIFS(Purchase!G:G,Purchase!C:C,A63,Purchase!J:J,"&gt;"&amp;$C$1)</f>
        <v>1440</v>
      </c>
      <c r="E63" s="6">
        <f>SUMIFS(Purchase!G:G,Purchase!C:C,A63,Purchase!K:K,"&gt;0",Purchase!J:J,"&gt;"&amp;$C$1)</f>
        <v>1440</v>
      </c>
      <c r="F63" s="6">
        <f>SUMIFS(Sales!F:F,Sales!C:C,A63,Sales!K:K,"&gt;"&amp;$C$1)</f>
        <v>1440</v>
      </c>
      <c r="G63" s="6">
        <f>SUMIFS(Sales!F:F,Sales!C:C,A63,Sales!K:K,"&gt;"&amp;$C$1,Sales!L:L,"&gt;0")</f>
        <v>1440</v>
      </c>
      <c r="H63" s="236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6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7"/>
        <v>0</v>
      </c>
      <c r="X63" s="6" t="e">
        <f>_xlfn.XLOOKUP(V63,'Case Pack'!A:A,'Case Pack'!H:H)*W63</f>
        <v>#N/A</v>
      </c>
    </row>
    <row r="64" spans="1:24">
      <c r="A64" s="15" t="s">
        <v>86</v>
      </c>
      <c r="B64" s="6" t="str">
        <f>VLOOKUP(A64,'Product List'!A:C,3,0)</f>
        <v>Simple Rabbit Hay Feeder</v>
      </c>
      <c r="C64" s="6">
        <v>0</v>
      </c>
      <c r="D64" s="6">
        <f>SUMIFS(Purchase!G:G,Purchase!C:C,A64,Purchase!J:J,"&gt;"&amp;$C$1)</f>
        <v>1296</v>
      </c>
      <c r="E64" s="6">
        <f>SUMIFS(Purchase!G:G,Purchase!C:C,A64,Purchase!K:K,"&gt;0",Purchase!J:J,"&gt;"&amp;$C$1)</f>
        <v>1296</v>
      </c>
      <c r="F64" s="6">
        <f>SUMIFS(Sales!F:F,Sales!C:C,A64,Sales!K:K,"&gt;"&amp;$C$1)</f>
        <v>1296</v>
      </c>
      <c r="G64" s="6">
        <f>SUMIFS(Sales!F:F,Sales!C:C,A64,Sales!K:K,"&gt;"&amp;$C$1,Sales!L:L,"&gt;0")</f>
        <v>1296</v>
      </c>
      <c r="H64" s="23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6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6"/>
        <v>0</v>
      </c>
      <c r="T64" s="6">
        <v>1</v>
      </c>
      <c r="U64" s="6" t="str">
        <f>_xlfn.XLOOKUP(A64,'Product List'!A:A,'Product List'!F:F)</f>
        <v>PetcoMX，Canada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15" t="s">
        <v>87</v>
      </c>
      <c r="B65" s="6" t="str">
        <f>VLOOKUP(A65,'Product List'!A:C,3,0)</f>
        <v>Rabbit Drinking Bottle (750ml)</v>
      </c>
      <c r="C65" s="6">
        <v>0</v>
      </c>
      <c r="D65" s="6">
        <f>SUMIFS(Purchase!G:G,Purchase!C:C,A65,Purchase!J:J,"&gt;"&amp;$C$1)</f>
        <v>1200</v>
      </c>
      <c r="E65" s="6">
        <f>SUMIFS(Purchase!G:G,Purchase!C:C,A65,Purchase!K:K,"&gt;0",Purchase!J:J,"&gt;"&amp;$C$1)</f>
        <v>1200</v>
      </c>
      <c r="F65" s="6">
        <f>SUMIFS(Sales!F:F,Sales!C:C,A65,Sales!K:K,"&gt;"&amp;$C$1)</f>
        <v>1200</v>
      </c>
      <c r="G65" s="6">
        <f>SUMIFS(Sales!F:F,Sales!C:C,A65,Sales!K:K,"&gt;"&amp;$C$1,Sales!L:L,"&gt;0")</f>
        <v>1200</v>
      </c>
      <c r="H65" s="23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6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15" t="s">
        <v>88</v>
      </c>
      <c r="B66" s="6" t="str">
        <f>VLOOKUP(A66,'Product List'!A:C,3,0)</f>
        <v>Simple Rabbit Bowl</v>
      </c>
      <c r="C66" s="6">
        <v>0</v>
      </c>
      <c r="D66" s="6">
        <f>SUMIFS(Purchase!G:G,Purchase!C:C,A66,Purchase!J:J,"&gt;"&amp;$C$1)</f>
        <v>840</v>
      </c>
      <c r="E66" s="6">
        <f>SUMIFS(Purchase!G:G,Purchase!C:C,A66,Purchase!K:K,"&gt;0",Purchase!J:J,"&gt;"&amp;$C$1)</f>
        <v>840</v>
      </c>
      <c r="F66" s="6">
        <f>SUMIFS(Sales!F:F,Sales!C:C,A66,Sales!K:K,"&gt;"&amp;$C$1)</f>
        <v>840</v>
      </c>
      <c r="G66" s="6">
        <f>SUMIFS(Sales!F:F,Sales!C:C,A66,Sales!K:K,"&gt;"&amp;$C$1,Sales!L:L,"&gt;0")</f>
        <v>840</v>
      </c>
      <c r="H66" s="236">
        <f t="shared" ref="H66:H82" si="8">C66+E66-G66</f>
        <v>0</v>
      </c>
      <c r="I66" s="6">
        <f t="shared" ref="I66:I82" si="9">D66-E66</f>
        <v>0</v>
      </c>
      <c r="J66" s="6">
        <f t="shared" ref="J66:J82" si="10">F66-G66</f>
        <v>0</v>
      </c>
      <c r="K66" s="6">
        <f t="shared" ref="K66:K82" si="11">H66-J66</f>
        <v>0</v>
      </c>
      <c r="L66" s="236">
        <f t="shared" ref="L66:L82" si="12">H66+I66-J66</f>
        <v>0</v>
      </c>
      <c r="M66" s="6">
        <f>SUMIF('Weekly Sales'!B:B,A66,'Weekly Sales'!Q:Q)</f>
        <v>0</v>
      </c>
      <c r="N66" s="6">
        <f t="shared" ref="N66:N82" si="13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82" si="14">ROUNDUP(MAX(0,M66*(O66+P66+2)+Q66-L66)/T66,0)*T66</f>
        <v>0</v>
      </c>
      <c r="T66" s="6">
        <v>1</v>
      </c>
      <c r="U66" s="6" t="str">
        <f>_xlfn.XLOOKUP(A66,'Product List'!A:A,'Product List'!F:F)</f>
        <v>PetcoMX，Canada</v>
      </c>
      <c r="V66" s="6">
        <f>_xlfn.XLOOKUP(A66,'Product List'!A:A,'Product List'!V:V)</f>
        <v>0</v>
      </c>
      <c r="W66" s="6">
        <f t="shared" ref="W66:W82" si="15">S66/T66</f>
        <v>0</v>
      </c>
      <c r="X66" s="6" t="e">
        <f>_xlfn.XLOOKUP(V66,'Case Pack'!A:A,'Case Pack'!H:H)*W66</f>
        <v>#N/A</v>
      </c>
    </row>
    <row r="67" spans="1:24">
      <c r="A67" s="15" t="s">
        <v>89</v>
      </c>
      <c r="B67" s="6" t="str">
        <f>VLOOKUP(A67,'Product List'!A:C,3,0)</f>
        <v>Tulip Hay Feeder</v>
      </c>
      <c r="C67" s="6">
        <v>0</v>
      </c>
      <c r="D67" s="6">
        <f>SUMIFS(Purchase!G:G,Purchase!C:C,A67,Purchase!J:J,"&gt;"&amp;$C$1)</f>
        <v>800</v>
      </c>
      <c r="E67" s="6">
        <f>SUMIFS(Purchase!G:G,Purchase!C:C,A67,Purchase!K:K,"&gt;0",Purchase!J:J,"&gt;"&amp;$C$1)</f>
        <v>800</v>
      </c>
      <c r="F67" s="6">
        <f>SUMIFS(Sales!F:F,Sales!C:C,A67,Sales!K:K,"&gt;"&amp;$C$1)</f>
        <v>800</v>
      </c>
      <c r="G67" s="6">
        <f>SUMIFS(Sales!F:F,Sales!C:C,A67,Sales!K:K,"&gt;"&amp;$C$1,Sales!L:L,"&gt;0")</f>
        <v>800</v>
      </c>
      <c r="H67" s="236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36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PetcoMX，Canada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90</v>
      </c>
      <c r="B68" s="6" t="str">
        <f>VLOOKUP(A68,'Product List'!A:C,3,0)</f>
        <v>Little Devil Travel Cage</v>
      </c>
      <c r="C68" s="6">
        <v>0</v>
      </c>
      <c r="D68" s="6">
        <f>SUMIFS(Purchase!G:G,Purchase!C:C,A68,Purchase!J:J,"&gt;"&amp;$C$1)</f>
        <v>720</v>
      </c>
      <c r="E68" s="6">
        <f>SUMIFS(Purchase!G:G,Purchase!C:C,A68,Purchase!K:K,"&gt;0",Purchase!J:J,"&gt;"&amp;$C$1)</f>
        <v>720</v>
      </c>
      <c r="F68" s="6">
        <f>SUMIFS(Sales!F:F,Sales!C:C,A68,Sales!K:K,"&gt;"&amp;$C$1)</f>
        <v>720</v>
      </c>
      <c r="G68" s="6">
        <f>SUMIFS(Sales!F:F,Sales!C:C,A68,Sales!K:K,"&gt;"&amp;$C$1,Sales!L:L,"&gt;0")</f>
        <v>720</v>
      </c>
      <c r="H68" s="236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36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91</v>
      </c>
      <c r="B69" s="6" t="str">
        <f>VLOOKUP(A69,'Product List'!A:C,3,0)</f>
        <v>Tulip Toilet</v>
      </c>
      <c r="C69" s="6">
        <v>0</v>
      </c>
      <c r="D69" s="6">
        <f>SUMIFS(Purchase!G:G,Purchase!C:C,A69,Purchase!J:J,"&gt;"&amp;$C$1)</f>
        <v>710</v>
      </c>
      <c r="E69" s="6">
        <f>SUMIFS(Purchase!G:G,Purchase!C:C,A69,Purchase!K:K,"&gt;0",Purchase!J:J,"&gt;"&amp;$C$1)</f>
        <v>710</v>
      </c>
      <c r="F69" s="6">
        <f>SUMIFS(Sales!F:F,Sales!C:C,A69,Sales!K:K,"&gt;"&amp;$C$1)</f>
        <v>710</v>
      </c>
      <c r="G69" s="6">
        <f>SUMIFS(Sales!F:F,Sales!C:C,A69,Sales!K:K,"&gt;"&amp;$C$1,Sales!L:L,"&gt;0")</f>
        <v>710</v>
      </c>
      <c r="H69" s="236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36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PetcoMX，Canada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92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660</v>
      </c>
      <c r="E70" s="6">
        <f>SUMIFS(Purchase!G:G,Purchase!C:C,A70,Purchase!K:K,"&gt;0",Purchase!J:J,"&gt;"&amp;$C$1)</f>
        <v>660</v>
      </c>
      <c r="F70" s="6">
        <f>SUMIFS(Sales!F:F,Sales!C:C,A70,Sales!K:K,"&gt;"&amp;$C$1)</f>
        <v>660</v>
      </c>
      <c r="G70" s="6">
        <f>SUMIFS(Sales!F:F,Sales!C:C,A70,Sales!K:K,"&gt;"&amp;$C$1,Sales!L:L,"&gt;0")</f>
        <v>660</v>
      </c>
      <c r="H70" s="236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36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93</v>
      </c>
      <c r="B71" s="6" t="str">
        <f>VLOOKUP(A71,'Product List'!A:C,3,0)</f>
        <v>Crystal Outdoor Cage</v>
      </c>
      <c r="C71" s="6">
        <v>0</v>
      </c>
      <c r="D71" s="6">
        <f>SUMIFS(Purchase!G:G,Purchase!C:C,A71,Purchase!J:J,"&gt;"&amp;$C$1)</f>
        <v>504</v>
      </c>
      <c r="E71" s="6">
        <f>SUMIFS(Purchase!G:G,Purchase!C:C,A71,Purchase!K:K,"&gt;0",Purchase!J:J,"&gt;"&amp;$C$1)</f>
        <v>504</v>
      </c>
      <c r="F71" s="6">
        <f>SUMIFS(Sales!F:F,Sales!C:C,A71,Sales!K:K,"&gt;"&amp;$C$1)</f>
        <v>504</v>
      </c>
      <c r="G71" s="6">
        <f>SUMIFS(Sales!F:F,Sales!C:C,A71,Sales!K:K,"&gt;"&amp;$C$1,Sales!L:L,"&gt;0")</f>
        <v>504</v>
      </c>
      <c r="H71" s="236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36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12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6" t="s">
        <v>94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504</v>
      </c>
      <c r="E72" s="6">
        <f>SUMIFS(Purchase!G:G,Purchase!C:C,A72,Purchase!K:K,"&gt;0",Purchase!J:J,"&gt;"&amp;$C$1)</f>
        <v>504</v>
      </c>
      <c r="F72" s="6">
        <f>SUMIFS(Sales!F:F,Sales!C:C,A72,Sales!K:K,"&gt;"&amp;$C$1)</f>
        <v>504</v>
      </c>
      <c r="G72" s="6">
        <f>SUMIFS(Sales!F:F,Sales!C:C,A72,Sales!K:K,"&gt;"&amp;$C$1,Sales!L:L,"&gt;0")</f>
        <v>504</v>
      </c>
      <c r="H72" s="236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36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15" t="s">
        <v>95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460</v>
      </c>
      <c r="E73" s="6">
        <f>SUMIFS(Purchase!G:G,Purchase!C:C,A73,Purchase!K:K,"&gt;0",Purchase!J:J,"&gt;"&amp;$C$1)</f>
        <v>460</v>
      </c>
      <c r="F73" s="6">
        <f>SUMIFS(Sales!F:F,Sales!C:C,A73,Sales!K:K,"&gt;"&amp;$C$1)</f>
        <v>460</v>
      </c>
      <c r="G73" s="6">
        <f>SUMIFS(Sales!F:F,Sales!C:C,A73,Sales!K:K,"&gt;"&amp;$C$1,Sales!L:L,"&gt;0")</f>
        <v>460</v>
      </c>
      <c r="H73" s="236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36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96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408</v>
      </c>
      <c r="E74" s="6">
        <f>SUMIFS(Purchase!G:G,Purchase!C:C,A74,Purchase!K:K,"&gt;0",Purchase!J:J,"&gt;"&amp;$C$1)</f>
        <v>408</v>
      </c>
      <c r="F74" s="6">
        <f>SUMIFS(Sales!F:F,Sales!C:C,A74,Sales!K:K,"&gt;"&amp;$C$1)</f>
        <v>408</v>
      </c>
      <c r="G74" s="6">
        <f>SUMIFS(Sales!F:F,Sales!C:C,A74,Sales!K:K,"&gt;"&amp;$C$1,Sales!L:L,"&gt;0")</f>
        <v>408</v>
      </c>
      <c r="H74" s="236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36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15" t="s">
        <v>97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372</v>
      </c>
      <c r="E75" s="6">
        <f>SUMIFS(Purchase!G:G,Purchase!C:C,A75,Purchase!K:K,"&gt;0",Purchase!J:J,"&gt;"&amp;$C$1)</f>
        <v>372</v>
      </c>
      <c r="F75" s="6">
        <f>SUMIFS(Sales!F:F,Sales!C:C,A75,Sales!K:K,"&gt;"&amp;$C$1)</f>
        <v>372</v>
      </c>
      <c r="G75" s="6">
        <f>SUMIFS(Sales!F:F,Sales!C:C,A75,Sales!K:K,"&gt;"&amp;$C$1,Sales!L:L,"&gt;0")</f>
        <v>372</v>
      </c>
      <c r="H75" s="236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36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15" t="s">
        <v>98</v>
      </c>
      <c r="B76" s="6" t="str">
        <f>VLOOKUP(A76,'Product List'!A:C,3,0)</f>
        <v>Silent Crystal Running Wheel XL</v>
      </c>
      <c r="C76" s="6">
        <v>0</v>
      </c>
      <c r="D76" s="6">
        <f>SUMIFS(Purchase!G:G,Purchase!C:C,A76,Purchase!J:J,"&gt;"&amp;$C$1)</f>
        <v>336</v>
      </c>
      <c r="E76" s="6">
        <f>SUMIFS(Purchase!G:G,Purchase!C:C,A76,Purchase!K:K,"&gt;0",Purchase!J:J,"&gt;"&amp;$C$1)</f>
        <v>336</v>
      </c>
      <c r="F76" s="6">
        <f>SUMIFS(Sales!F:F,Sales!C:C,A76,Sales!K:K,"&gt;"&amp;$C$1)</f>
        <v>336</v>
      </c>
      <c r="G76" s="6">
        <f>SUMIFS(Sales!F:F,Sales!C:C,A76,Sales!K:K,"&gt;"&amp;$C$1,Sales!L:L,"&gt;0")</f>
        <v>336</v>
      </c>
      <c r="H76" s="236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36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v>1</v>
      </c>
      <c r="U76" s="6" t="str">
        <f>_xlfn.XLOOKUP(A76,'Product List'!A:A,'Product List'!F:F)</f>
        <v>PetcoMX，Canada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99</v>
      </c>
      <c r="B77" s="6" t="str">
        <f>VLOOKUP(A77,'Product List'!A:C,3,0)</f>
        <v>Modern Viewing Cage (100cm)</v>
      </c>
      <c r="C77" s="6">
        <v>0</v>
      </c>
      <c r="D77" s="6">
        <f>SUMIFS(Purchase!G:G,Purchase!C:C,A77,Purchase!J:J,"&gt;"&amp;$C$1)</f>
        <v>260</v>
      </c>
      <c r="E77" s="6">
        <f>SUMIFS(Purchase!G:G,Purchase!C:C,A77,Purchase!K:K,"&gt;0",Purchase!J:J,"&gt;"&amp;$C$1)</f>
        <v>260</v>
      </c>
      <c r="F77" s="6">
        <f>SUMIFS(Sales!F:F,Sales!C:C,A77,Sales!K:K,"&gt;"&amp;$C$1)</f>
        <v>260</v>
      </c>
      <c r="G77" s="6">
        <f>SUMIFS(Sales!F:F,Sales!C:C,A77,Sales!K:K,"&gt;"&amp;$C$1,Sales!L:L,"&gt;0")</f>
        <v>260</v>
      </c>
      <c r="H77" s="236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36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PetcoMX，Canada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100</v>
      </c>
      <c r="B78" s="6" t="str">
        <f>VLOOKUP(A78,'Product List'!A:C,3,0)</f>
        <v>Travel Cage 7.17in(18.2cm)-Little Elf</v>
      </c>
      <c r="C78" s="6">
        <v>0</v>
      </c>
      <c r="D78" s="6">
        <f>SUMIFS(Purchase!G:G,Purchase!C:C,A78,Purchase!J:J,"&gt;"&amp;$C$1)</f>
        <v>252</v>
      </c>
      <c r="E78" s="6">
        <f>SUMIFS(Purchase!G:G,Purchase!C:C,A78,Purchase!K:K,"&gt;0",Purchase!J:J,"&gt;"&amp;$C$1)</f>
        <v>252</v>
      </c>
      <c r="F78" s="6">
        <f>SUMIFS(Sales!F:F,Sales!C:C,A78,Sales!K:K,"&gt;"&amp;$C$1)</f>
        <v>252</v>
      </c>
      <c r="G78" s="6">
        <f>SUMIFS(Sales!F:F,Sales!C:C,A78,Sales!K:K,"&gt;"&amp;$C$1,Sales!L:L,"&gt;0")</f>
        <v>252</v>
      </c>
      <c r="H78" s="236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36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18</v>
      </c>
      <c r="U78" s="6" t="str">
        <f>_xlfn.XLOOKUP(A78,'Product List'!A:A,'Product List'!F:F)</f>
        <v>PetcoMX</v>
      </c>
      <c r="V78" s="6" t="str">
        <f>_xlfn.XLOOKUP(A78,'Product List'!A:A,'Product List'!V:V)</f>
        <v>C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15" t="s">
        <v>101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220</v>
      </c>
      <c r="E79" s="6">
        <f>SUMIFS(Purchase!G:G,Purchase!C:C,A79,Purchase!K:K,"&gt;0",Purchase!J:J,"&gt;"&amp;$C$1)</f>
        <v>220</v>
      </c>
      <c r="F79" s="6">
        <f>SUMIFS(Sales!F:F,Sales!C:C,A79,Sales!K:K,"&gt;"&amp;$C$1)</f>
        <v>220</v>
      </c>
      <c r="G79" s="6">
        <f>SUMIFS(Sales!F:F,Sales!C:C,A79,Sales!K:K,"&gt;"&amp;$C$1,Sales!L:L,"&gt;0")</f>
        <v>220</v>
      </c>
      <c r="H79" s="236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36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102</v>
      </c>
      <c r="B80" s="6" t="str">
        <f>VLOOKUP(A80,'Product List'!A:C,3,0)</f>
        <v>M&amp;M Water Bridge</v>
      </c>
      <c r="C80" s="6">
        <v>0</v>
      </c>
      <c r="D80" s="6">
        <f>SUMIFS(Purchase!G:G,Purchase!C:C,A80,Purchase!J:J,"&gt;"&amp;$C$1)</f>
        <v>216</v>
      </c>
      <c r="E80" s="6">
        <f>SUMIFS(Purchase!G:G,Purchase!C:C,A80,Purchase!K:K,"&gt;0",Purchase!J:J,"&gt;"&amp;$C$1)</f>
        <v>216</v>
      </c>
      <c r="F80" s="6">
        <f>SUMIFS(Sales!F:F,Sales!C:C,A80,Sales!K:K,"&gt;"&amp;$C$1)</f>
        <v>216</v>
      </c>
      <c r="G80" s="6">
        <f>SUMIFS(Sales!F:F,Sales!C:C,A80,Sales!K:K,"&gt;"&amp;$C$1,Sales!L:L,"&gt;0")</f>
        <v>216</v>
      </c>
      <c r="H80" s="236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36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36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6" t="s">
        <v>103</v>
      </c>
      <c r="B81" s="6" t="str">
        <f>VLOOKUP(A81,'Product List'!A:C,3,0)</f>
        <v>M&amp;M Woodland Gravity Water Dish 500ml</v>
      </c>
      <c r="C81" s="6">
        <v>0</v>
      </c>
      <c r="D81" s="6">
        <f>SUMIFS(Purchase!G:G,Purchase!C:C,A81,Purchase!J:J,"&gt;"&amp;$C$1)</f>
        <v>216</v>
      </c>
      <c r="E81" s="6">
        <f>SUMIFS(Purchase!G:G,Purchase!C:C,A81,Purchase!K:K,"&gt;0",Purchase!J:J,"&gt;"&amp;$C$1)</f>
        <v>216</v>
      </c>
      <c r="F81" s="6">
        <f>SUMIFS(Sales!F:F,Sales!C:C,A81,Sales!K:K,"&gt;"&amp;$C$1)</f>
        <v>216</v>
      </c>
      <c r="G81" s="6">
        <f>SUMIFS(Sales!F:F,Sales!C:C,A81,Sales!K:K,"&gt;"&amp;$C$1,Sales!L:L,"&gt;0")</f>
        <v>216</v>
      </c>
      <c r="H81" s="236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36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15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4"/>
        <v>0</v>
      </c>
      <c r="T81" s="6">
        <f t="array" ref="T81">_xlfn.XLOOKUP(A81,'Product List'!A:A,'Product List'!J:J)</f>
        <v>1</v>
      </c>
      <c r="U81" s="6" t="str">
        <f>_xlfn.XLOOKUP(A81,'Product List'!A:A,'Product List'!F:F)</f>
        <v>Canada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6" t="s">
        <v>104</v>
      </c>
      <c r="B82" s="6" t="str">
        <f>VLOOKUP(A82,'Product List'!A:C,3,0)</f>
        <v>M&amp;M Silent Crystal Running Wheel 8.5" - Clear</v>
      </c>
      <c r="C82" s="6">
        <v>0</v>
      </c>
      <c r="D82" s="6">
        <f>SUMIFS(Purchase!G:G,Purchase!C:C,A82,Purchase!J:J,"&gt;"&amp;$C$1)</f>
        <v>208</v>
      </c>
      <c r="E82" s="6">
        <f>SUMIFS(Purchase!G:G,Purchase!C:C,A82,Purchase!K:K,"&gt;0",Purchase!J:J,"&gt;"&amp;$C$1)</f>
        <v>208</v>
      </c>
      <c r="F82" s="6">
        <f>SUMIFS(Sales!F:F,Sales!C:C,A82,Sales!K:K,"&gt;"&amp;$C$1)</f>
        <v>208</v>
      </c>
      <c r="G82" s="6">
        <f>SUMIFS(Sales!F:F,Sales!C:C,A82,Sales!K:K,"&gt;"&amp;$C$1,Sales!L:L,"&gt;0")</f>
        <v>208</v>
      </c>
      <c r="H82" s="236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36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8</v>
      </c>
      <c r="U82" s="6" t="str">
        <f>_xlfn.XLOOKUP(A82,'Product List'!A:A,'Product List'!F:F)</f>
        <v>Canada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105</v>
      </c>
      <c r="B83" s="6" t="str">
        <f>VLOOKUP(A83,'Product List'!A:C,3,0)</f>
        <v>Coral Ladder</v>
      </c>
      <c r="C83" s="6">
        <v>0</v>
      </c>
      <c r="D83" s="6">
        <f>SUMIFS(Purchase!G:G,Purchase!C:C,A83,Purchase!J:J,"&gt;"&amp;$C$1)</f>
        <v>180</v>
      </c>
      <c r="E83" s="6">
        <f>SUMIFS(Purchase!G:G,Purchase!C:C,A83,Purchase!K:K,"&gt;0",Purchase!J:J,"&gt;"&amp;$C$1)</f>
        <v>180</v>
      </c>
      <c r="F83" s="6">
        <f>SUMIFS(Sales!F:F,Sales!C:C,A83,Sales!K:K,"&gt;"&amp;$C$1)</f>
        <v>180</v>
      </c>
      <c r="G83" s="6">
        <f>SUMIFS(Sales!F:F,Sales!C:C,A83,Sales!K:K,"&gt;"&amp;$C$1,Sales!L:L,"&gt;0")</f>
        <v>180</v>
      </c>
      <c r="H83" s="236">
        <f t="shared" ref="H66:H102" si="16">C83+E83-G83</f>
        <v>0</v>
      </c>
      <c r="I83" s="6">
        <f t="shared" ref="I66:I102" si="17">D83-E83</f>
        <v>0</v>
      </c>
      <c r="J83" s="6">
        <f t="shared" ref="J66:J102" si="18">F83-G83</f>
        <v>0</v>
      </c>
      <c r="K83" s="6">
        <f t="shared" ref="K66:K102" si="19">H83-J83</f>
        <v>0</v>
      </c>
      <c r="L83" s="236">
        <f t="shared" ref="L66:L102" si="20">H83+I83-J83</f>
        <v>0</v>
      </c>
      <c r="M83" s="6">
        <f>SUMIF('Weekly Sales'!B:B,A83,'Weekly Sales'!Q:Q)</f>
        <v>0</v>
      </c>
      <c r="N83" s="6">
        <f t="shared" ref="N66:N102" si="21">IF(M83=0,999,ROUNDDOWN((L83)/M83,0))</f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ref="S66:S102" si="22">ROUNDUP(MAX(0,M83*(O83+P83+2)+Q83-L83)/T83,0)*T83</f>
        <v>0</v>
      </c>
      <c r="T83" s="6">
        <f t="array" ref="T83">_xlfn.XLOOKUP(A83,'Product List'!A:A,'Product List'!J:J)</f>
        <v>30</v>
      </c>
      <c r="U83" s="6" t="str">
        <f>_xlfn.XLOOKUP(A83,'Product List'!A:A,'Product List'!F:F)</f>
        <v>Canada</v>
      </c>
      <c r="V83" s="6">
        <f>_xlfn.XLOOKUP(A83,'Product List'!A:A,'Product List'!V:V)</f>
        <v>0</v>
      </c>
      <c r="W83" s="6">
        <f t="shared" ref="W66:W102" si="23">S83/T83</f>
        <v>0</v>
      </c>
      <c r="X83" s="6" t="e">
        <f>_xlfn.XLOOKUP(V83,'Case Pack'!A:A,'Case Pack'!H:H)*W83</f>
        <v>#N/A</v>
      </c>
    </row>
    <row r="84" spans="1:24">
      <c r="A84" s="20" t="s">
        <v>106</v>
      </c>
      <c r="B84" s="6" t="str">
        <f>VLOOKUP(A84,'Product List'!A:C,3,0)</f>
        <v>Woodland Potty</v>
      </c>
      <c r="C84" s="6">
        <v>0</v>
      </c>
      <c r="D84" s="6">
        <f>SUMIFS(Purchase!G:G,Purchase!C:C,A84,Purchase!J:J,"&gt;"&amp;$C$1)</f>
        <v>180</v>
      </c>
      <c r="E84" s="6">
        <f>SUMIFS(Purchase!G:G,Purchase!C:C,A84,Purchase!K:K,"&gt;0",Purchase!J:J,"&gt;"&amp;$C$1)</f>
        <v>180</v>
      </c>
      <c r="F84" s="6">
        <f>SUMIFS(Sales!F:F,Sales!C:C,A84,Sales!K:K,"&gt;"&amp;$C$1)</f>
        <v>180</v>
      </c>
      <c r="G84" s="6">
        <f>SUMIFS(Sales!F:F,Sales!C:C,A84,Sales!K:K,"&gt;"&amp;$C$1,Sales!L:L,"&gt;0")</f>
        <v>180</v>
      </c>
      <c r="H84" s="236">
        <f t="shared" si="16"/>
        <v>0</v>
      </c>
      <c r="I84" s="6">
        <f t="shared" si="17"/>
        <v>0</v>
      </c>
      <c r="J84" s="6">
        <f t="shared" si="18"/>
        <v>0</v>
      </c>
      <c r="K84" s="6">
        <f t="shared" si="19"/>
        <v>0</v>
      </c>
      <c r="L84" s="236">
        <f t="shared" si="20"/>
        <v>0</v>
      </c>
      <c r="M84" s="6">
        <f>SUMIF('Weekly Sales'!B:B,A84,'Weekly Sales'!Q:Q)</f>
        <v>0</v>
      </c>
      <c r="N84" s="6">
        <f t="shared" si="21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22"/>
        <v>0</v>
      </c>
      <c r="T84" s="6">
        <v>1</v>
      </c>
      <c r="U84" s="6" t="str">
        <f>_xlfn.XLOOKUP(A84,'Product List'!A:A,'Product List'!F:F)</f>
        <v>PetcoMX，Canada</v>
      </c>
      <c r="V84" s="6">
        <f>_xlfn.XLOOKUP(A84,'Product List'!A:A,'Product List'!V:V)</f>
        <v>0</v>
      </c>
      <c r="W84" s="6">
        <f t="shared" si="23"/>
        <v>0</v>
      </c>
      <c r="X84" s="6" t="e">
        <f>_xlfn.XLOOKUP(V84,'Case Pack'!A:A,'Case Pack'!H:H)*W84</f>
        <v>#N/A</v>
      </c>
    </row>
    <row r="85" spans="1:24">
      <c r="A85" s="6" t="s">
        <v>107</v>
      </c>
      <c r="B85" s="6" t="str">
        <f>VLOOKUP(A85,'Product List'!A:C,3,0)</f>
        <v>Scuba Ladder</v>
      </c>
      <c r="C85" s="6">
        <v>0</v>
      </c>
      <c r="D85" s="6">
        <f>SUMIFS(Purchase!G:G,Purchase!C:C,A85,Purchase!J:J,"&gt;"&amp;$C$1)</f>
        <v>160</v>
      </c>
      <c r="E85" s="6">
        <f>SUMIFS(Purchase!G:G,Purchase!C:C,A85,Purchase!K:K,"&gt;0",Purchase!J:J,"&gt;"&amp;$C$1)</f>
        <v>160</v>
      </c>
      <c r="F85" s="6">
        <f>SUMIFS(Sales!F:F,Sales!C:C,A85,Sales!K:K,"&gt;"&amp;$C$1)</f>
        <v>160</v>
      </c>
      <c r="G85" s="6">
        <f>SUMIFS(Sales!F:F,Sales!C:C,A85,Sales!K:K,"&gt;"&amp;$C$1,Sales!L:L,"&gt;0")</f>
        <v>160</v>
      </c>
      <c r="H85" s="236">
        <f t="shared" si="16"/>
        <v>0</v>
      </c>
      <c r="I85" s="6">
        <f t="shared" si="17"/>
        <v>0</v>
      </c>
      <c r="J85" s="6">
        <f t="shared" si="18"/>
        <v>0</v>
      </c>
      <c r="K85" s="6">
        <f t="shared" si="19"/>
        <v>0</v>
      </c>
      <c r="L85" s="236">
        <f t="shared" si="20"/>
        <v>0</v>
      </c>
      <c r="M85" s="6">
        <f>SUMIF('Weekly Sales'!B:B,A85,'Weekly Sales'!Q:Q)</f>
        <v>0</v>
      </c>
      <c r="N85" s="6">
        <f t="shared" si="21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22"/>
        <v>0</v>
      </c>
      <c r="T85" s="6">
        <f t="array" ref="T85">_xlfn.XLOOKUP(A85,'Product List'!A:A,'Product List'!J:J)</f>
        <v>32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23"/>
        <v>0</v>
      </c>
      <c r="X85" s="6" t="e">
        <f>_xlfn.XLOOKUP(V85,'Case Pack'!A:A,'Case Pack'!H:H)*W85</f>
        <v>#N/A</v>
      </c>
    </row>
    <row r="86" spans="1:24">
      <c r="A86" s="6" t="s">
        <v>108</v>
      </c>
      <c r="B86" s="6" t="str">
        <f>VLOOKUP(A86,'Product List'!A:C,3,0)</f>
        <v>M&amp;M Modern Viewing Cage 80x50x50</v>
      </c>
      <c r="C86" s="6">
        <v>0</v>
      </c>
      <c r="D86" s="6">
        <f>SUMIFS(Purchase!G:G,Purchase!C:C,A86,Purchase!J:J,"&gt;"&amp;$C$1)</f>
        <v>100</v>
      </c>
      <c r="E86" s="6">
        <f>SUMIFS(Purchase!G:G,Purchase!C:C,A86,Purchase!K:K,"&gt;0",Purchase!J:J,"&gt;"&amp;$C$1)</f>
        <v>100</v>
      </c>
      <c r="F86" s="6">
        <f>SUMIFS(Sales!F:F,Sales!C:C,A86,Sales!K:K,"&gt;"&amp;$C$1)</f>
        <v>100</v>
      </c>
      <c r="G86" s="6">
        <f>SUMIFS(Sales!F:F,Sales!C:C,A86,Sales!K:K,"&gt;"&amp;$C$1,Sales!L:L,"&gt;0")</f>
        <v>100</v>
      </c>
      <c r="H86" s="236">
        <f t="shared" si="16"/>
        <v>0</v>
      </c>
      <c r="I86" s="6">
        <f t="shared" si="17"/>
        <v>0</v>
      </c>
      <c r="J86" s="6">
        <f t="shared" si="18"/>
        <v>0</v>
      </c>
      <c r="K86" s="6">
        <f t="shared" si="19"/>
        <v>0</v>
      </c>
      <c r="L86" s="236">
        <f t="shared" si="20"/>
        <v>0</v>
      </c>
      <c r="M86" s="6">
        <f>SUMIF('Weekly Sales'!B:B,A86,'Weekly Sales'!Q:Q)</f>
        <v>0</v>
      </c>
      <c r="N86" s="6">
        <f t="shared" si="21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22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23"/>
        <v>0</v>
      </c>
      <c r="X86" s="6" t="e">
        <f>_xlfn.XLOOKUP(V86,'Case Pack'!A:A,'Case Pack'!H:H)*W86</f>
        <v>#N/A</v>
      </c>
    </row>
    <row r="87" spans="1:24">
      <c r="A87" s="6" t="s">
        <v>109</v>
      </c>
      <c r="B87" s="6" t="str">
        <f>VLOOKUP(A87,'Product List'!A:C,3,0)</f>
        <v>M&amp;M Silent Crystal Running Wheel 6.7" - Clear</v>
      </c>
      <c r="C87" s="6">
        <v>0</v>
      </c>
      <c r="D87" s="6">
        <f>SUMIFS(Purchase!G:G,Purchase!C:C,A87,Purchase!J:J,"&gt;"&amp;$C$1)</f>
        <v>84</v>
      </c>
      <c r="E87" s="6">
        <f>SUMIFS(Purchase!G:G,Purchase!C:C,A87,Purchase!K:K,"&gt;0",Purchase!J:J,"&gt;"&amp;$C$1)</f>
        <v>84</v>
      </c>
      <c r="F87" s="6">
        <f>SUMIFS(Sales!F:F,Sales!C:C,A87,Sales!K:K,"&gt;"&amp;$C$1)</f>
        <v>84</v>
      </c>
      <c r="G87" s="6">
        <f>SUMIFS(Sales!F:F,Sales!C:C,A87,Sales!K:K,"&gt;"&amp;$C$1,Sales!L:L,"&gt;0")</f>
        <v>84</v>
      </c>
      <c r="H87" s="236">
        <f t="shared" si="16"/>
        <v>0</v>
      </c>
      <c r="I87" s="6">
        <f t="shared" si="17"/>
        <v>0</v>
      </c>
      <c r="J87" s="6">
        <f t="shared" si="18"/>
        <v>0</v>
      </c>
      <c r="K87" s="6">
        <f t="shared" si="19"/>
        <v>0</v>
      </c>
      <c r="L87" s="236">
        <f t="shared" si="20"/>
        <v>0</v>
      </c>
      <c r="M87" s="6">
        <f>SUMIF('Weekly Sales'!B:B,A87,'Weekly Sales'!Q:Q)</f>
        <v>0</v>
      </c>
      <c r="N87" s="6">
        <f t="shared" si="21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22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23"/>
        <v>0</v>
      </c>
      <c r="X87" s="6" t="e">
        <f>_xlfn.XLOOKUP(V87,'Case Pack'!A:A,'Case Pack'!H:H)*W87</f>
        <v>#N/A</v>
      </c>
    </row>
    <row r="88" spans="1:24">
      <c r="A88" s="6" t="s">
        <v>110</v>
      </c>
      <c r="B88" s="6" t="str">
        <f>VLOOKUP(A88,'Product List'!A:C,3,0)</f>
        <v>M&amp;M Silent Crystal Running Wheel 6.7" - Blue</v>
      </c>
      <c r="C88" s="6">
        <v>0</v>
      </c>
      <c r="D88" s="6">
        <f>SUMIFS(Purchase!G:G,Purchase!C:C,A88,Purchase!J:J,"&gt;"&amp;$C$1)</f>
        <v>60</v>
      </c>
      <c r="E88" s="6">
        <f>SUMIFS(Purchase!G:G,Purchase!C:C,A88,Purchase!K:K,"&gt;0",Purchase!J:J,"&gt;"&amp;$C$1)</f>
        <v>60</v>
      </c>
      <c r="F88" s="6">
        <f>SUMIFS(Sales!F:F,Sales!C:C,A88,Sales!K:K,"&gt;"&amp;$C$1)</f>
        <v>60</v>
      </c>
      <c r="G88" s="6">
        <f>SUMIFS(Sales!F:F,Sales!C:C,A88,Sales!K:K,"&gt;"&amp;$C$1,Sales!L:L,"&gt;0")</f>
        <v>60</v>
      </c>
      <c r="H88" s="236">
        <f t="shared" si="16"/>
        <v>0</v>
      </c>
      <c r="I88" s="6">
        <f t="shared" si="17"/>
        <v>0</v>
      </c>
      <c r="J88" s="6">
        <f t="shared" si="18"/>
        <v>0</v>
      </c>
      <c r="K88" s="6">
        <f t="shared" si="19"/>
        <v>0</v>
      </c>
      <c r="L88" s="236">
        <f t="shared" si="20"/>
        <v>0</v>
      </c>
      <c r="M88" s="6">
        <f>SUMIF('Weekly Sales'!B:B,A88,'Weekly Sales'!Q:Q)</f>
        <v>0</v>
      </c>
      <c r="N88" s="6">
        <f t="shared" si="21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22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23"/>
        <v>0</v>
      </c>
      <c r="X88" s="6" t="e">
        <f>_xlfn.XLOOKUP(V88,'Case Pack'!A:A,'Case Pack'!H:H)*W88</f>
        <v>#N/A</v>
      </c>
    </row>
    <row r="89" spans="1:24">
      <c r="A89" s="6" t="s">
        <v>111</v>
      </c>
      <c r="B89" s="6" t="str">
        <f>VLOOKUP(A89,'Product List'!A:C,3,0)</f>
        <v>M&amp;M Chocolate Mountain</v>
      </c>
      <c r="C89" s="6">
        <v>0</v>
      </c>
      <c r="D89" s="6">
        <f>SUMIFS(Purchase!G:G,Purchase!C:C,A89,Purchase!J:J,"&gt;"&amp;$C$1)</f>
        <v>54</v>
      </c>
      <c r="E89" s="6">
        <f>SUMIFS(Purchase!G:G,Purchase!C:C,A89,Purchase!K:K,"&gt;0",Purchase!J:J,"&gt;"&amp;$C$1)</f>
        <v>54</v>
      </c>
      <c r="F89" s="6">
        <f>SUMIFS(Sales!F:F,Sales!C:C,A89,Sales!K:K,"&gt;"&amp;$C$1)</f>
        <v>54</v>
      </c>
      <c r="G89" s="6">
        <f>SUMIFS(Sales!F:F,Sales!C:C,A89,Sales!K:K,"&gt;"&amp;$C$1,Sales!L:L,"&gt;0")</f>
        <v>54</v>
      </c>
      <c r="H89" s="236">
        <f t="shared" si="16"/>
        <v>0</v>
      </c>
      <c r="I89" s="6">
        <f t="shared" si="17"/>
        <v>0</v>
      </c>
      <c r="J89" s="6">
        <f t="shared" si="18"/>
        <v>0</v>
      </c>
      <c r="K89" s="6">
        <f t="shared" si="19"/>
        <v>0</v>
      </c>
      <c r="L89" s="236">
        <f t="shared" si="20"/>
        <v>0</v>
      </c>
      <c r="M89" s="6">
        <f>SUMIF('Weekly Sales'!B:B,A89,'Weekly Sales'!Q:Q)</f>
        <v>0</v>
      </c>
      <c r="N89" s="6">
        <f t="shared" si="21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22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23"/>
        <v>0</v>
      </c>
      <c r="X89" s="6" t="e">
        <f>_xlfn.XLOOKUP(V89,'Case Pack'!A:A,'Case Pack'!H:H)*W89</f>
        <v>#N/A</v>
      </c>
    </row>
    <row r="90" spans="1:24">
      <c r="A90" s="20" t="s">
        <v>112</v>
      </c>
      <c r="B90" s="6" t="str">
        <f>VLOOKUP(A90,'Product List'!A:C,3,0)</f>
        <v>Cheese Bowl</v>
      </c>
      <c r="C90" s="6">
        <v>0</v>
      </c>
      <c r="D90" s="6">
        <f>SUMIFS(Purchase!G:G,Purchase!C:C,A90,Purchase!J:J,"&gt;"&amp;$C$1)</f>
        <v>48</v>
      </c>
      <c r="E90" s="6">
        <f>SUMIFS(Purchase!G:G,Purchase!C:C,A90,Purchase!K:K,"&gt;0",Purchase!J:J,"&gt;"&amp;$C$1)</f>
        <v>48</v>
      </c>
      <c r="F90" s="6">
        <f>SUMIFS(Sales!F:F,Sales!C:C,A90,Sales!K:K,"&gt;"&amp;$C$1)</f>
        <v>48</v>
      </c>
      <c r="G90" s="6">
        <f>SUMIFS(Sales!F:F,Sales!C:C,A90,Sales!K:K,"&gt;"&amp;$C$1,Sales!L:L,"&gt;0")</f>
        <v>48</v>
      </c>
      <c r="H90" s="236">
        <f t="shared" si="16"/>
        <v>0</v>
      </c>
      <c r="I90" s="6">
        <f t="shared" si="17"/>
        <v>0</v>
      </c>
      <c r="J90" s="6">
        <f t="shared" si="18"/>
        <v>0</v>
      </c>
      <c r="K90" s="6">
        <f t="shared" si="19"/>
        <v>0</v>
      </c>
      <c r="L90" s="236">
        <f t="shared" si="20"/>
        <v>0</v>
      </c>
      <c r="M90" s="6">
        <f>SUMIF('Weekly Sales'!B:B,A90,'Weekly Sales'!Q:Q)</f>
        <v>0</v>
      </c>
      <c r="N90" s="6">
        <f t="shared" si="21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22"/>
        <v>0</v>
      </c>
      <c r="T90" s="6">
        <v>1</v>
      </c>
      <c r="U90" s="6" t="str">
        <f>_xlfn.XLOOKUP(A90,'Product List'!A:A,'Product List'!F:F)</f>
        <v>PetcoMX，Canada</v>
      </c>
      <c r="V90" s="6">
        <f>_xlfn.XLOOKUP(A90,'Product List'!A:A,'Product List'!V:V)</f>
        <v>0</v>
      </c>
      <c r="W90" s="6">
        <f t="shared" si="23"/>
        <v>0</v>
      </c>
      <c r="X90" s="6" t="e">
        <f>_xlfn.XLOOKUP(V90,'Case Pack'!A:A,'Case Pack'!H:H)*W90</f>
        <v>#N/A</v>
      </c>
    </row>
    <row r="91" spans="1:24">
      <c r="A91" s="6" t="s">
        <v>113</v>
      </c>
      <c r="B91" s="6" t="str">
        <f>VLOOKUP(A91,'Product List'!A:C,3,0)</f>
        <v>M&amp;M Classic Potty</v>
      </c>
      <c r="C91" s="6">
        <v>0</v>
      </c>
      <c r="D91" s="6">
        <f>SUMIFS(Purchase!G:G,Purchase!C:C,A91,Purchase!J:J,"&gt;"&amp;$C$1)</f>
        <v>36</v>
      </c>
      <c r="E91" s="6">
        <f>SUMIFS(Purchase!G:G,Purchase!C:C,A91,Purchase!K:K,"&gt;0",Purchase!J:J,"&gt;"&amp;$C$1)</f>
        <v>36</v>
      </c>
      <c r="F91" s="6">
        <f>SUMIFS(Sales!F:F,Sales!C:C,A91,Sales!K:K,"&gt;"&amp;$C$1)</f>
        <v>36</v>
      </c>
      <c r="G91" s="6">
        <f>SUMIFS(Sales!F:F,Sales!C:C,A91,Sales!K:K,"&gt;"&amp;$C$1,Sales!L:L,"&gt;0")</f>
        <v>36</v>
      </c>
      <c r="H91" s="236">
        <f t="shared" si="16"/>
        <v>0</v>
      </c>
      <c r="I91" s="6">
        <f t="shared" si="17"/>
        <v>0</v>
      </c>
      <c r="J91" s="6">
        <f t="shared" si="18"/>
        <v>0</v>
      </c>
      <c r="K91" s="6">
        <f t="shared" si="19"/>
        <v>0</v>
      </c>
      <c r="L91" s="236">
        <f t="shared" si="20"/>
        <v>0</v>
      </c>
      <c r="M91" s="6">
        <f>SUMIF('Weekly Sales'!B:B,A91,'Weekly Sales'!Q:Q)</f>
        <v>0</v>
      </c>
      <c r="N91" s="6">
        <f t="shared" si="21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22"/>
        <v>0</v>
      </c>
      <c r="T91" s="6">
        <f t="array" ref="T91">_xlfn.XLOOKUP(A91,'Product List'!A:A,'Product List'!J:J)</f>
        <v>18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23"/>
        <v>0</v>
      </c>
      <c r="X91" s="6" t="e">
        <f>_xlfn.XLOOKUP(V91,'Case Pack'!A:A,'Case Pack'!H:H)*W91</f>
        <v>#N/A</v>
      </c>
    </row>
    <row r="92" spans="1:24">
      <c r="A92" s="15" t="s">
        <v>114</v>
      </c>
      <c r="B92" s="6" t="str">
        <f>VLOOKUP(A92,'Product List'!A:C,3,0)</f>
        <v>Ceramic Candy Dish</v>
      </c>
      <c r="C92" s="6">
        <v>0</v>
      </c>
      <c r="D92" s="6">
        <f>SUMIFS(Purchase!G:G,Purchase!C:C,A92,Purchase!J:J,"&gt;"&amp;$C$1)</f>
        <v>30</v>
      </c>
      <c r="E92" s="6">
        <f>SUMIFS(Purchase!G:G,Purchase!C:C,A92,Purchase!K:K,"&gt;0",Purchase!J:J,"&gt;"&amp;$C$1)</f>
        <v>30</v>
      </c>
      <c r="F92" s="6">
        <f>SUMIFS(Sales!F:F,Sales!C:C,A92,Sales!K:K,"&gt;"&amp;$C$1)</f>
        <v>30</v>
      </c>
      <c r="G92" s="6">
        <f>SUMIFS(Sales!F:F,Sales!C:C,A92,Sales!K:K,"&gt;"&amp;$C$1,Sales!L:L,"&gt;0")</f>
        <v>30</v>
      </c>
      <c r="H92" s="236">
        <f t="shared" si="16"/>
        <v>0</v>
      </c>
      <c r="I92" s="6">
        <f t="shared" si="17"/>
        <v>0</v>
      </c>
      <c r="J92" s="6">
        <f t="shared" si="18"/>
        <v>0</v>
      </c>
      <c r="K92" s="6">
        <f t="shared" si="19"/>
        <v>0</v>
      </c>
      <c r="L92" s="236">
        <f t="shared" si="20"/>
        <v>0</v>
      </c>
      <c r="M92" s="6">
        <f>SUMIF('Weekly Sales'!B:B,A92,'Weekly Sales'!Q:Q)</f>
        <v>0</v>
      </c>
      <c r="N92" s="6">
        <f t="shared" si="21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22"/>
        <v>0</v>
      </c>
      <c r="T92" s="6">
        <v>1</v>
      </c>
      <c r="U92" s="6" t="str">
        <f>_xlfn.XLOOKUP(A92,'Product List'!A:A,'Product List'!F:F)</f>
        <v>PetcoMX，Canada</v>
      </c>
      <c r="V92" s="6">
        <f>_xlfn.XLOOKUP(A92,'Product List'!A:A,'Product List'!V:V)</f>
        <v>0</v>
      </c>
      <c r="W92" s="6">
        <f t="shared" si="23"/>
        <v>0</v>
      </c>
      <c r="X92" s="6" t="e">
        <f>_xlfn.XLOOKUP(V92,'Case Pack'!A:A,'Case Pack'!H:H)*W92</f>
        <v>#N/A</v>
      </c>
    </row>
    <row r="93" spans="1:24">
      <c r="A93" s="6" t="s">
        <v>115</v>
      </c>
      <c r="B93" s="6" t="str">
        <f>VLOOKUP(A93,'Product List'!A:C,3,0)</f>
        <v>M&amp;M Silent Crystal Running Wheel XL - Blue</v>
      </c>
      <c r="C93" s="6">
        <v>0</v>
      </c>
      <c r="D93" s="6">
        <f>SUMIFS(Purchase!G:G,Purchase!C:C,A93,Purchase!J:J,"&gt;"&amp;$C$1)</f>
        <v>24</v>
      </c>
      <c r="E93" s="6">
        <f>SUMIFS(Purchase!G:G,Purchase!C:C,A93,Purchase!K:K,"&gt;0",Purchase!J:J,"&gt;"&amp;$C$1)</f>
        <v>24</v>
      </c>
      <c r="F93" s="6">
        <f>SUMIFS(Sales!F:F,Sales!C:C,A93,Sales!K:K,"&gt;"&amp;$C$1)</f>
        <v>24</v>
      </c>
      <c r="G93" s="6">
        <f>SUMIFS(Sales!F:F,Sales!C:C,A93,Sales!K:K,"&gt;"&amp;$C$1,Sales!L:L,"&gt;0")</f>
        <v>24</v>
      </c>
      <c r="H93" s="236">
        <f t="shared" si="16"/>
        <v>0</v>
      </c>
      <c r="I93" s="6">
        <f t="shared" si="17"/>
        <v>0</v>
      </c>
      <c r="J93" s="6">
        <f t="shared" si="18"/>
        <v>0</v>
      </c>
      <c r="K93" s="6">
        <f t="shared" si="19"/>
        <v>0</v>
      </c>
      <c r="L93" s="236">
        <f t="shared" si="20"/>
        <v>0</v>
      </c>
      <c r="M93" s="6">
        <f>SUMIF('Weekly Sales'!B:B,A93,'Weekly Sales'!Q:Q)</f>
        <v>0</v>
      </c>
      <c r="N93" s="6">
        <f t="shared" si="21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22"/>
        <v>0</v>
      </c>
      <c r="T93" s="6">
        <f t="array" ref="T93">_xlfn.XLOOKUP(A93,'Product List'!A:A,'Product List'!J:J)</f>
        <v>3</v>
      </c>
      <c r="U93" s="6" t="str">
        <f>_xlfn.XLOOKUP(A93,'Product List'!A:A,'Product List'!F:F)</f>
        <v>Canada</v>
      </c>
      <c r="V93" s="6" t="str">
        <f>_xlfn.XLOOKUP(A93,'Product List'!A:A,'Product List'!V:V)</f>
        <v>C</v>
      </c>
      <c r="W93" s="6">
        <f t="shared" si="23"/>
        <v>0</v>
      </c>
      <c r="X93" s="6">
        <f>_xlfn.XLOOKUP(V93,'Case Pack'!A:A,'Case Pack'!H:H)*W93</f>
        <v>0</v>
      </c>
    </row>
    <row r="94" spans="1:24">
      <c r="A94" s="6" t="s">
        <v>116</v>
      </c>
      <c r="B94" s="6" t="str">
        <f>VLOOKUP(A94,'Product List'!A:C,3,0)</f>
        <v>M&amp;M Cheese Shoppe</v>
      </c>
      <c r="C94" s="6">
        <v>0</v>
      </c>
      <c r="D94" s="6">
        <f>SUMIFS(Purchase!G:G,Purchase!C:C,A94,Purchase!J:J,"&gt;"&amp;$C$1)</f>
        <v>16</v>
      </c>
      <c r="E94" s="6">
        <f>SUMIFS(Purchase!G:G,Purchase!C:C,A94,Purchase!K:K,"&gt;0",Purchase!J:J,"&gt;"&amp;$C$1)</f>
        <v>16</v>
      </c>
      <c r="F94" s="6">
        <f>SUMIFS(Sales!F:F,Sales!C:C,A94,Sales!K:K,"&gt;"&amp;$C$1)</f>
        <v>16</v>
      </c>
      <c r="G94" s="6">
        <f>SUMIFS(Sales!F:F,Sales!C:C,A94,Sales!K:K,"&gt;"&amp;$C$1,Sales!L:L,"&gt;0")</f>
        <v>16</v>
      </c>
      <c r="H94" s="236">
        <f t="shared" si="16"/>
        <v>0</v>
      </c>
      <c r="I94" s="6">
        <f t="shared" si="17"/>
        <v>0</v>
      </c>
      <c r="J94" s="6">
        <f t="shared" si="18"/>
        <v>0</v>
      </c>
      <c r="K94" s="6">
        <f t="shared" si="19"/>
        <v>0</v>
      </c>
      <c r="L94" s="236">
        <f t="shared" si="20"/>
        <v>0</v>
      </c>
      <c r="M94" s="6">
        <f>SUMIF('Weekly Sales'!B:B,A94,'Weekly Sales'!Q:Q)</f>
        <v>0</v>
      </c>
      <c r="N94" s="6">
        <f t="shared" si="21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22"/>
        <v>0</v>
      </c>
      <c r="T94" s="6">
        <f t="array" ref="T94">_xlfn.XLOOKUP(A94,'Product List'!A:A,'Product List'!J:J)</f>
        <v>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23"/>
        <v>0</v>
      </c>
      <c r="X94" s="6" t="e">
        <f>_xlfn.XLOOKUP(V94,'Case Pack'!A:A,'Case Pack'!H:H)*W94</f>
        <v>#N/A</v>
      </c>
    </row>
    <row r="95" spans="1:24">
      <c r="A95" s="6" t="s">
        <v>117</v>
      </c>
      <c r="B95" s="6" t="str">
        <f>VLOOKUP(A95,'Product List'!A:C,3,0)</f>
        <v>M&amp;M Silent Crystal Running Wheel 8.5" - Blue</v>
      </c>
      <c r="C95" s="6">
        <v>0</v>
      </c>
      <c r="D95" s="6">
        <f>SUMIFS(Purchase!G:G,Purchase!C:C,A95,Purchase!J:J,"&gt;"&amp;$C$1)</f>
        <v>8</v>
      </c>
      <c r="E95" s="6">
        <f>SUMIFS(Purchase!G:G,Purchase!C:C,A95,Purchase!K:K,"&gt;0",Purchase!J:J,"&gt;"&amp;$C$1)</f>
        <v>8</v>
      </c>
      <c r="F95" s="6">
        <f>SUMIFS(Sales!F:F,Sales!C:C,A95,Sales!K:K,"&gt;"&amp;$C$1)</f>
        <v>8</v>
      </c>
      <c r="G95" s="6">
        <f>SUMIFS(Sales!F:F,Sales!C:C,A95,Sales!K:K,"&gt;"&amp;$C$1,Sales!L:L,"&gt;0")</f>
        <v>8</v>
      </c>
      <c r="H95" s="236">
        <f t="shared" si="16"/>
        <v>0</v>
      </c>
      <c r="I95" s="6">
        <f t="shared" si="17"/>
        <v>0</v>
      </c>
      <c r="J95" s="6">
        <f t="shared" si="18"/>
        <v>0</v>
      </c>
      <c r="K95" s="6">
        <f t="shared" si="19"/>
        <v>0</v>
      </c>
      <c r="L95" s="236">
        <f t="shared" si="20"/>
        <v>0</v>
      </c>
      <c r="M95" s="6">
        <f>SUMIF('Weekly Sales'!B:B,A95,'Weekly Sales'!Q:Q)</f>
        <v>0</v>
      </c>
      <c r="N95" s="6">
        <f t="shared" si="21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22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Canada</v>
      </c>
      <c r="V95" s="6" t="str">
        <f>_xlfn.XLOOKUP(A95,'Product List'!A:A,'Product List'!V:V)</f>
        <v>C</v>
      </c>
      <c r="W95" s="6">
        <f t="shared" si="23"/>
        <v>0</v>
      </c>
      <c r="X95" s="6">
        <f>_xlfn.XLOOKUP(V95,'Case Pack'!A:A,'Case Pack'!H:H)*W95</f>
        <v>0</v>
      </c>
    </row>
    <row r="96" spans="1:24">
      <c r="A96" s="15" t="s">
        <v>118</v>
      </c>
      <c r="B96" s="6" t="str">
        <f>VLOOKUP(A96,'Product List'!A:C,3,0)</f>
        <v>Ceramic Candy Hide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36">
        <f t="shared" si="16"/>
        <v>0</v>
      </c>
      <c r="I96" s="6">
        <f t="shared" si="17"/>
        <v>0</v>
      </c>
      <c r="J96" s="6">
        <f t="shared" si="18"/>
        <v>0</v>
      </c>
      <c r="K96" s="6">
        <f t="shared" si="19"/>
        <v>0</v>
      </c>
      <c r="L96" s="236">
        <f t="shared" si="20"/>
        <v>0</v>
      </c>
      <c r="M96" s="6">
        <f>SUMIF('Weekly Sales'!B:B,A96,'Weekly Sales'!Q:Q)</f>
        <v>0</v>
      </c>
      <c r="N96" s="6">
        <f t="shared" si="21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2000</v>
      </c>
      <c r="S96" s="6">
        <f t="shared" si="22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23"/>
        <v>0</v>
      </c>
      <c r="X96" s="6" t="e">
        <f>_xlfn.XLOOKUP(V96,'Case Pack'!A:A,'Case Pack'!H:H)*W96</f>
        <v>#N/A</v>
      </c>
    </row>
    <row r="97" spans="1:24">
      <c r="A97" s="15" t="s">
        <v>119</v>
      </c>
      <c r="B97" s="6" t="str">
        <f>VLOOKUP(A97,'Product List'!A:C,3,0)</f>
        <v>Rabbit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36">
        <f t="shared" si="16"/>
        <v>0</v>
      </c>
      <c r="I97" s="6">
        <f t="shared" si="17"/>
        <v>0</v>
      </c>
      <c r="J97" s="6">
        <f t="shared" si="18"/>
        <v>0</v>
      </c>
      <c r="K97" s="6">
        <f t="shared" si="19"/>
        <v>0</v>
      </c>
      <c r="L97" s="236">
        <f t="shared" si="20"/>
        <v>0</v>
      </c>
      <c r="M97" s="6">
        <f>SUMIF('Weekly Sales'!B:B,A97,'Weekly Sales'!Q:Q)</f>
        <v>0</v>
      </c>
      <c r="N97" s="6">
        <f t="shared" si="21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22"/>
        <v>0</v>
      </c>
      <c r="T97" s="6"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23"/>
        <v>0</v>
      </c>
      <c r="X97" s="6" t="e">
        <f>_xlfn.XLOOKUP(V97,'Case Pack'!A:A,'Case Pack'!H:H)*W97</f>
        <v>#N/A</v>
      </c>
    </row>
    <row r="98" spans="1:24">
      <c r="A98" s="15" t="s">
        <v>120</v>
      </c>
      <c r="B98" s="6" t="str">
        <f>VLOOKUP(A98,'Product List'!A:C,3,0)</f>
        <v>Rabbit Triangle Toilet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36">
        <f t="shared" si="16"/>
        <v>0</v>
      </c>
      <c r="I98" s="6">
        <f t="shared" si="17"/>
        <v>0</v>
      </c>
      <c r="J98" s="6">
        <f t="shared" si="18"/>
        <v>0</v>
      </c>
      <c r="K98" s="6">
        <f t="shared" si="19"/>
        <v>0</v>
      </c>
      <c r="L98" s="236">
        <f t="shared" si="20"/>
        <v>0</v>
      </c>
      <c r="M98" s="6">
        <f>SUMIF('Weekly Sales'!B:B,A98,'Weekly Sales'!Q:Q)</f>
        <v>0</v>
      </c>
      <c r="N98" s="6">
        <f t="shared" si="21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22"/>
        <v>0</v>
      </c>
      <c r="T98" s="6">
        <v>1</v>
      </c>
      <c r="U98" s="6" t="str">
        <f>_xlfn.XLOOKUP(A98,'Product List'!A:A,'Product List'!F:F)</f>
        <v>PetcoMX</v>
      </c>
      <c r="V98" s="6">
        <f>_xlfn.XLOOKUP(A98,'Product List'!A:A,'Product List'!V:V)</f>
        <v>0</v>
      </c>
      <c r="W98" s="6">
        <f t="shared" si="23"/>
        <v>0</v>
      </c>
      <c r="X98" s="6" t="e">
        <f>_xlfn.XLOOKUP(V98,'Case Pack'!A:A,'Case Pack'!H:H)*W98</f>
        <v>#N/A</v>
      </c>
    </row>
    <row r="99" spans="1:24">
      <c r="A99" s="20" t="s">
        <v>121</v>
      </c>
      <c r="B99" s="6" t="str">
        <f>VLOOKUP(A99,'Product List'!A:C,3,0)</f>
        <v>Simple Rabbit Bowl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36">
        <f t="shared" si="16"/>
        <v>0</v>
      </c>
      <c r="I99" s="6">
        <f t="shared" si="17"/>
        <v>0</v>
      </c>
      <c r="J99" s="6">
        <f t="shared" si="18"/>
        <v>0</v>
      </c>
      <c r="K99" s="6">
        <f t="shared" si="19"/>
        <v>0</v>
      </c>
      <c r="L99" s="236">
        <f t="shared" si="20"/>
        <v>0</v>
      </c>
      <c r="M99" s="6">
        <f>SUMIF('Weekly Sales'!B:B,A99,'Weekly Sales'!Q:Q)</f>
        <v>0</v>
      </c>
      <c r="N99" s="6">
        <f t="shared" si="21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22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23"/>
        <v>0</v>
      </c>
      <c r="X99" s="6" t="e">
        <f>_xlfn.XLOOKUP(V99,'Case Pack'!A:A,'Case Pack'!H:H)*W99</f>
        <v>#N/A</v>
      </c>
    </row>
    <row r="100" spans="1:24">
      <c r="A100" s="15" t="s">
        <v>122</v>
      </c>
      <c r="B100" s="6" t="str">
        <f>VLOOKUP(A100,'Product List'!A:C,3,0)</f>
        <v>XL Garden Travel Cage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36">
        <f t="shared" si="16"/>
        <v>0</v>
      </c>
      <c r="I100" s="6">
        <f t="shared" si="17"/>
        <v>0</v>
      </c>
      <c r="J100" s="6">
        <f t="shared" si="18"/>
        <v>0</v>
      </c>
      <c r="K100" s="6">
        <f t="shared" si="19"/>
        <v>0</v>
      </c>
      <c r="L100" s="236">
        <f t="shared" si="20"/>
        <v>0</v>
      </c>
      <c r="M100" s="6">
        <f>SUMIF('Weekly Sales'!B:B,A100,'Weekly Sales'!Q:Q)</f>
        <v>0</v>
      </c>
      <c r="N100" s="6">
        <f t="shared" si="21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22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23"/>
        <v>0</v>
      </c>
      <c r="X100" s="6" t="e">
        <f>_xlfn.XLOOKUP(V100,'Case Pack'!A:A,'Case Pack'!H:H)*W100</f>
        <v>#N/A</v>
      </c>
    </row>
    <row r="101" spans="1:24">
      <c r="A101" s="6" t="s">
        <v>123</v>
      </c>
      <c r="B101" s="6" t="str">
        <f>VLOOKUP(A101,'Product List'!A:C,3,0)</f>
        <v>MINI/MOE ROCKING BIRDHOUSE HIDE 1EA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36">
        <f t="shared" si="16"/>
        <v>0</v>
      </c>
      <c r="I101" s="6">
        <f t="shared" si="17"/>
        <v>0</v>
      </c>
      <c r="J101" s="6">
        <f t="shared" si="18"/>
        <v>0</v>
      </c>
      <c r="K101" s="6">
        <f t="shared" si="19"/>
        <v>0</v>
      </c>
      <c r="L101" s="236">
        <f t="shared" si="20"/>
        <v>0</v>
      </c>
      <c r="M101" s="6">
        <f>SUMIF('Weekly Sales'!B:B,A101,'Weekly Sales'!Q:Q)</f>
        <v>0</v>
      </c>
      <c r="N101" s="6">
        <f t="shared" si="21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22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23"/>
        <v>0</v>
      </c>
      <c r="X101" s="6">
        <f>_xlfn.XLOOKUP(V101,'Case Pack'!A:A,'Case Pack'!H:H)*W101</f>
        <v>0</v>
      </c>
    </row>
    <row r="102" spans="1:24">
      <c r="A102" s="15" t="s">
        <v>124</v>
      </c>
      <c r="B102" s="6" t="str">
        <f>VLOOKUP(A102,'Product List'!A:C,3,0)</f>
        <v>Cheese Shop Hideout - Small</v>
      </c>
      <c r="C102" s="6">
        <v>0</v>
      </c>
      <c r="D102" s="6">
        <f>SUMIFS(Purchase!G:G,Purchase!C:C,A102,Purchase!J:J,"&gt;"&amp;$C$1)</f>
        <v>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0</v>
      </c>
      <c r="G102" s="6">
        <f>SUMIFS(Sales!F:F,Sales!C:C,A102,Sales!K:K,"&gt;"&amp;$C$1,Sales!L:L,"&gt;0")</f>
        <v>0</v>
      </c>
      <c r="H102" s="236">
        <f t="shared" si="16"/>
        <v>0</v>
      </c>
      <c r="I102" s="6">
        <f t="shared" si="17"/>
        <v>0</v>
      </c>
      <c r="J102" s="6">
        <f t="shared" si="18"/>
        <v>0</v>
      </c>
      <c r="K102" s="6">
        <f t="shared" si="19"/>
        <v>0</v>
      </c>
      <c r="L102" s="236">
        <f t="shared" si="20"/>
        <v>0</v>
      </c>
      <c r="M102" s="6">
        <f>SUMIF('Weekly Sales'!B:B,A102,'Weekly Sales'!Q:Q)</f>
        <v>0</v>
      </c>
      <c r="N102" s="6">
        <f t="shared" si="21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2000</v>
      </c>
      <c r="S102" s="6">
        <f t="shared" si="22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23"/>
        <v>0</v>
      </c>
      <c r="X102" s="6" t="e">
        <f>_xlfn.XLOOKUP(V102,'Case Pack'!A:A,'Case Pack'!H:H)*W102</f>
        <v>#N/A</v>
      </c>
    </row>
    <row r="103" spans="1:24">
      <c r="C103" s="237"/>
      <c r="D103" s="237"/>
      <c r="H103" s="238"/>
      <c r="L103" s="238"/>
    </row>
    <row r="104" spans="1:24">
      <c r="C104" s="237"/>
      <c r="D104" s="237"/>
      <c r="H104" s="238"/>
      <c r="L104" s="238"/>
    </row>
    <row r="105" spans="1:24">
      <c r="C105" s="237"/>
      <c r="D105" s="237"/>
      <c r="H105" s="238"/>
      <c r="L105" s="238"/>
    </row>
    <row r="106" spans="1:24">
      <c r="C106" s="237"/>
      <c r="D106" s="237"/>
      <c r="H106" s="238"/>
      <c r="L106" s="238"/>
    </row>
    <row r="107" spans="1:24">
      <c r="C107" s="237"/>
      <c r="D107" s="237"/>
      <c r="H107" s="238"/>
      <c r="L107" s="238"/>
    </row>
    <row r="108" spans="1:24">
      <c r="C108" s="237"/>
      <c r="D108" s="237"/>
      <c r="H108" s="238"/>
      <c r="L108" s="238"/>
    </row>
    <row r="109" spans="1:24">
      <c r="C109" s="237"/>
      <c r="D109" s="237"/>
      <c r="H109" s="238"/>
      <c r="L109" s="238"/>
    </row>
    <row r="110" spans="1:24">
      <c r="C110" s="237"/>
      <c r="D110" s="237"/>
      <c r="H110" s="238"/>
      <c r="L110" s="238"/>
    </row>
    <row r="111" spans="1:24">
      <c r="C111" s="237"/>
      <c r="D111" s="237"/>
      <c r="H111" s="238"/>
      <c r="L111" s="238"/>
    </row>
    <row r="112" spans="1:24">
      <c r="C112" s="237"/>
      <c r="D112" s="237"/>
      <c r="H112" s="238"/>
      <c r="L112" s="238"/>
    </row>
    <row r="113" spans="3:12">
      <c r="C113" s="237"/>
      <c r="D113" s="237"/>
      <c r="H113" s="238"/>
      <c r="L113" s="238"/>
    </row>
    <row r="114" spans="3:12">
      <c r="C114" s="237"/>
      <c r="D114" s="237"/>
      <c r="H114" s="238"/>
      <c r="L114" s="238"/>
    </row>
    <row r="115" spans="3:12">
      <c r="C115" s="237"/>
      <c r="D115" s="237"/>
      <c r="H115" s="238"/>
      <c r="L115" s="238"/>
    </row>
    <row r="116" spans="3:12">
      <c r="C116" s="237"/>
      <c r="D116" s="237"/>
      <c r="H116" s="238"/>
      <c r="L116" s="238"/>
    </row>
    <row r="117" spans="3:12">
      <c r="C117" s="237"/>
      <c r="D117" s="237"/>
      <c r="H117" s="238"/>
      <c r="L117" s="238"/>
    </row>
    <row r="118" spans="3:12">
      <c r="C118" s="237"/>
      <c r="D118" s="237"/>
      <c r="H118" s="238"/>
      <c r="L118" s="238"/>
    </row>
    <row r="119" spans="3:12">
      <c r="C119" s="237"/>
      <c r="D119" s="237"/>
      <c r="H119" s="238"/>
      <c r="L119" s="238"/>
    </row>
    <row r="120" spans="3:12">
      <c r="C120" s="237"/>
      <c r="D120" s="237"/>
      <c r="H120" s="238"/>
      <c r="L120" s="238"/>
    </row>
    <row r="121" spans="3:12">
      <c r="C121" s="237"/>
      <c r="D121" s="237"/>
      <c r="H121" s="238"/>
      <c r="L121" s="238"/>
    </row>
    <row r="122" spans="3:12">
      <c r="C122" s="237"/>
      <c r="D122" s="237"/>
      <c r="H122" s="238"/>
      <c r="L122" s="238"/>
    </row>
    <row r="123" spans="3:12">
      <c r="C123" s="237"/>
      <c r="D123" s="237"/>
      <c r="H123" s="238"/>
      <c r="L123" s="238"/>
    </row>
    <row r="124" spans="3:12">
      <c r="C124" s="237"/>
      <c r="D124" s="237"/>
      <c r="H124" s="238"/>
      <c r="L124" s="238"/>
    </row>
    <row r="125" spans="3:12">
      <c r="C125" s="237"/>
      <c r="D125" s="237"/>
      <c r="H125" s="238"/>
      <c r="L125" s="238"/>
    </row>
    <row r="126" spans="3:12">
      <c r="C126" s="237"/>
      <c r="D126" s="237"/>
      <c r="H126" s="238"/>
      <c r="L126" s="238"/>
    </row>
    <row r="127" spans="3:12">
      <c r="C127" s="237"/>
      <c r="D127" s="237"/>
      <c r="H127" s="238"/>
      <c r="L127" s="238"/>
    </row>
    <row r="128" spans="3:12">
      <c r="C128" s="237"/>
      <c r="D128" s="237"/>
      <c r="H128" s="238"/>
      <c r="L128" s="238"/>
    </row>
    <row r="129" spans="3:12">
      <c r="C129" s="237"/>
      <c r="D129" s="237"/>
      <c r="H129" s="238"/>
      <c r="L129" s="238"/>
    </row>
    <row r="130" spans="3:12">
      <c r="C130" s="237"/>
      <c r="D130" s="237"/>
      <c r="H130" s="238"/>
      <c r="L130" s="238"/>
    </row>
    <row r="131" spans="3:12">
      <c r="C131" s="237"/>
      <c r="D131" s="237"/>
      <c r="H131" s="238"/>
      <c r="L131" s="238"/>
    </row>
    <row r="132" spans="3:12">
      <c r="C132" s="237"/>
      <c r="D132" s="237"/>
      <c r="H132" s="238"/>
      <c r="L132" s="238"/>
    </row>
    <row r="133" spans="3:12">
      <c r="C133" s="237"/>
      <c r="D133" s="237"/>
      <c r="H133" s="238"/>
      <c r="L133" s="238"/>
    </row>
    <row r="134" spans="3:12">
      <c r="C134" s="237"/>
      <c r="D134" s="237"/>
      <c r="H134" s="238"/>
      <c r="L134" s="238"/>
    </row>
    <row r="135" spans="3:12">
      <c r="C135" s="237"/>
      <c r="D135" s="237"/>
      <c r="H135" s="238"/>
      <c r="L135" s="238"/>
    </row>
    <row r="136" spans="3:12">
      <c r="C136" s="237"/>
      <c r="D136" s="237"/>
      <c r="H136" s="238"/>
      <c r="L136" s="238"/>
    </row>
    <row r="137" spans="3:12">
      <c r="C137" s="237"/>
      <c r="D137" s="237"/>
      <c r="H137" s="238"/>
      <c r="L137" s="238"/>
    </row>
    <row r="138" spans="3:12">
      <c r="C138" s="237"/>
      <c r="D138" s="237"/>
      <c r="H138" s="238"/>
      <c r="L138" s="238"/>
    </row>
    <row r="139" spans="3:12">
      <c r="C139" s="237"/>
      <c r="D139" s="237"/>
      <c r="H139" s="238"/>
      <c r="L139" s="238"/>
    </row>
    <row r="140" spans="3:12">
      <c r="C140" s="237"/>
      <c r="D140" s="237"/>
      <c r="H140" s="238"/>
      <c r="L140" s="238"/>
    </row>
    <row r="141" spans="3:12">
      <c r="C141" s="237"/>
      <c r="D141" s="237"/>
      <c r="H141" s="238"/>
      <c r="L141" s="238"/>
    </row>
    <row r="142" spans="3:12">
      <c r="C142" s="237"/>
      <c r="D142" s="237"/>
      <c r="H142" s="238"/>
      <c r="L142" s="238"/>
    </row>
    <row r="143" spans="3:12">
      <c r="C143" s="237"/>
      <c r="D143" s="237"/>
      <c r="H143" s="238"/>
      <c r="L143" s="238"/>
    </row>
    <row r="144" spans="3:12">
      <c r="C144" s="237"/>
      <c r="D144" s="237"/>
      <c r="H144" s="238"/>
      <c r="L144" s="238"/>
    </row>
    <row r="145" spans="3:12">
      <c r="C145" s="237"/>
      <c r="D145" s="237"/>
      <c r="H145" s="238"/>
      <c r="L145" s="238"/>
    </row>
    <row r="146" spans="3:12">
      <c r="C146" s="237"/>
      <c r="D146" s="237"/>
      <c r="H146" s="238"/>
      <c r="L146" s="238"/>
    </row>
    <row r="147" spans="3:12">
      <c r="C147" s="237"/>
      <c r="D147" s="237"/>
      <c r="H147" s="238"/>
      <c r="L147" s="238"/>
    </row>
    <row r="148" spans="3:12">
      <c r="C148" s="237"/>
      <c r="D148" s="237"/>
      <c r="H148" s="238"/>
      <c r="L148" s="238"/>
    </row>
    <row r="149" spans="3:12">
      <c r="C149" s="237"/>
      <c r="D149" s="237"/>
      <c r="H149" s="238"/>
      <c r="L149" s="238"/>
    </row>
    <row r="150" spans="3:12">
      <c r="C150" s="237"/>
      <c r="D150" s="237"/>
      <c r="H150" s="238"/>
      <c r="L150" s="238"/>
    </row>
    <row r="151" spans="3:12">
      <c r="C151" s="237"/>
      <c r="D151" s="237"/>
      <c r="H151" s="238"/>
      <c r="L151" s="238"/>
    </row>
    <row r="152" spans="3:12">
      <c r="C152" s="237"/>
      <c r="D152" s="237"/>
      <c r="H152" s="238"/>
      <c r="L152" s="238"/>
    </row>
    <row r="153" spans="3:12">
      <c r="C153" s="237"/>
      <c r="D153" s="237"/>
      <c r="H153" s="238"/>
      <c r="L153" s="238"/>
    </row>
    <row r="154" spans="3:12">
      <c r="C154" s="237"/>
      <c r="D154" s="237"/>
      <c r="H154" s="238"/>
      <c r="L154" s="238"/>
    </row>
    <row r="155" spans="3:12">
      <c r="C155" s="237"/>
      <c r="D155" s="237"/>
      <c r="H155" s="238"/>
      <c r="L155" s="238"/>
    </row>
    <row r="156" spans="3:12">
      <c r="C156" s="237"/>
      <c r="D156" s="237"/>
      <c r="H156" s="238"/>
      <c r="L156" s="238"/>
    </row>
    <row r="157" spans="3:12">
      <c r="C157" s="237"/>
      <c r="D157" s="237"/>
      <c r="H157" s="238"/>
      <c r="L157" s="238"/>
    </row>
    <row r="158" spans="3:12">
      <c r="C158" s="237"/>
      <c r="D158" s="237"/>
      <c r="H158" s="238"/>
      <c r="L158" s="238"/>
    </row>
    <row r="159" spans="3:12">
      <c r="C159" s="237"/>
      <c r="D159" s="237"/>
      <c r="H159" s="238"/>
      <c r="L159" s="238"/>
    </row>
    <row r="160" spans="3:12">
      <c r="C160" s="237"/>
      <c r="D160" s="237"/>
      <c r="H160" s="238"/>
      <c r="L160" s="238"/>
    </row>
    <row r="161" spans="3:12">
      <c r="C161" s="237"/>
      <c r="D161" s="237"/>
      <c r="H161" s="238"/>
      <c r="L161" s="238"/>
    </row>
    <row r="162" spans="3:12">
      <c r="C162" s="237"/>
      <c r="D162" s="237"/>
      <c r="H162" s="238"/>
      <c r="L162" s="238"/>
    </row>
    <row r="163" spans="3:12">
      <c r="C163" s="237"/>
      <c r="D163" s="237"/>
      <c r="H163" s="238"/>
      <c r="L163" s="238"/>
    </row>
    <row r="164" spans="3:12">
      <c r="C164" s="237"/>
      <c r="D164" s="237"/>
      <c r="H164" s="238"/>
      <c r="L164" s="238"/>
    </row>
    <row r="165" spans="3:12">
      <c r="C165" s="237"/>
      <c r="D165" s="237"/>
      <c r="H165" s="238"/>
      <c r="L165" s="238"/>
    </row>
    <row r="166" spans="3:12">
      <c r="C166" s="237"/>
      <c r="D166" s="237"/>
      <c r="H166" s="238"/>
      <c r="L166" s="238"/>
    </row>
    <row r="167" spans="3:12">
      <c r="C167" s="237"/>
      <c r="D167" s="237"/>
      <c r="H167" s="238"/>
      <c r="L167" s="238"/>
    </row>
    <row r="168" spans="3:12">
      <c r="C168" s="237"/>
      <c r="D168" s="237"/>
      <c r="H168" s="238"/>
      <c r="L168" s="238"/>
    </row>
    <row r="169" spans="3:12">
      <c r="C169" s="237"/>
      <c r="D169" s="237"/>
      <c r="H169" s="238"/>
      <c r="L169" s="238"/>
    </row>
    <row r="170" spans="3:12">
      <c r="C170" s="237"/>
      <c r="D170" s="237"/>
      <c r="H170" s="238"/>
      <c r="L170" s="238"/>
    </row>
    <row r="171" spans="3:12">
      <c r="C171" s="237"/>
      <c r="D171" s="237"/>
      <c r="H171" s="238"/>
      <c r="L171" s="238"/>
    </row>
    <row r="172" spans="3:12">
      <c r="C172" s="237"/>
      <c r="D172" s="237"/>
      <c r="H172" s="238"/>
      <c r="L172" s="238"/>
    </row>
    <row r="173" spans="3:12">
      <c r="C173" s="237"/>
      <c r="D173" s="237"/>
      <c r="H173" s="238"/>
      <c r="L173" s="238"/>
    </row>
    <row r="174" spans="3:12">
      <c r="C174" s="237"/>
      <c r="D174" s="237"/>
      <c r="H174" s="238"/>
      <c r="L174" s="238"/>
    </row>
    <row r="175" spans="3:12">
      <c r="C175" s="237"/>
      <c r="D175" s="237"/>
      <c r="H175" s="238"/>
      <c r="L175" s="238"/>
    </row>
    <row r="176" spans="3:12">
      <c r="C176" s="237"/>
      <c r="D176" s="237"/>
      <c r="H176" s="238"/>
      <c r="L176" s="238"/>
    </row>
    <row r="177" spans="3:12">
      <c r="C177" s="237"/>
      <c r="D177" s="237"/>
      <c r="H177" s="238"/>
      <c r="L177" s="238"/>
    </row>
    <row r="178" spans="3:12">
      <c r="C178" s="237"/>
      <c r="D178" s="237"/>
      <c r="H178" s="238"/>
      <c r="L178" s="238"/>
    </row>
    <row r="179" spans="3:12">
      <c r="C179" s="237"/>
      <c r="D179" s="237"/>
      <c r="H179" s="238"/>
      <c r="L179" s="238"/>
    </row>
    <row r="180" spans="3:12">
      <c r="C180" s="237"/>
      <c r="D180" s="237"/>
      <c r="H180" s="238"/>
      <c r="L180" s="238"/>
    </row>
    <row r="181" spans="3:12">
      <c r="C181" s="237"/>
      <c r="D181" s="237"/>
      <c r="H181" s="238"/>
      <c r="L181" s="238"/>
    </row>
    <row r="182" spans="3:12">
      <c r="C182" s="237"/>
      <c r="D182" s="237"/>
      <c r="H182" s="238"/>
      <c r="L182" s="238"/>
    </row>
    <row r="183" spans="3:12">
      <c r="C183" s="237"/>
      <c r="D183" s="237"/>
      <c r="H183" s="238"/>
      <c r="L183" s="238"/>
    </row>
    <row r="184" spans="3:12">
      <c r="C184" s="237"/>
      <c r="D184" s="237"/>
      <c r="H184" s="238"/>
      <c r="L184" s="238"/>
    </row>
    <row r="185" spans="3:12">
      <c r="C185" s="237"/>
      <c r="D185" s="237"/>
      <c r="H185" s="238"/>
      <c r="L185" s="238"/>
    </row>
    <row r="186" spans="3:12">
      <c r="C186" s="237"/>
      <c r="D186" s="237"/>
      <c r="H186" s="238"/>
      <c r="L186" s="238"/>
    </row>
    <row r="187" spans="3:12">
      <c r="C187" s="237"/>
      <c r="D187" s="237"/>
      <c r="H187" s="238"/>
      <c r="L187" s="238"/>
    </row>
    <row r="188" spans="3:12">
      <c r="C188" s="237"/>
      <c r="D188" s="237"/>
      <c r="H188" s="238"/>
      <c r="L188" s="238"/>
    </row>
    <row r="189" spans="3:12">
      <c r="C189" s="237"/>
      <c r="D189" s="237"/>
      <c r="H189" s="238"/>
      <c r="L189" s="238"/>
    </row>
    <row r="190" spans="3:12">
      <c r="C190" s="237"/>
      <c r="D190" s="237"/>
      <c r="H190" s="238"/>
      <c r="L190" s="238"/>
    </row>
    <row r="191" spans="3:12">
      <c r="C191" s="237"/>
      <c r="D191" s="237"/>
      <c r="H191" s="238"/>
      <c r="L191" s="238"/>
    </row>
    <row r="192" spans="3:12">
      <c r="C192" s="237"/>
      <c r="D192" s="237"/>
      <c r="H192" s="238"/>
      <c r="L192" s="238"/>
    </row>
    <row r="193" spans="3:12">
      <c r="C193" s="237"/>
      <c r="D193" s="237"/>
      <c r="H193" s="238"/>
      <c r="L193" s="238"/>
    </row>
    <row r="194" spans="3:12">
      <c r="C194" s="237"/>
      <c r="D194" s="237"/>
      <c r="H194" s="238"/>
      <c r="L194" s="238"/>
    </row>
    <row r="195" spans="3:12">
      <c r="C195" s="237"/>
      <c r="D195" s="237"/>
      <c r="H195" s="238"/>
      <c r="L195" s="238"/>
    </row>
    <row r="196" spans="3:12">
      <c r="C196" s="237"/>
      <c r="D196" s="237"/>
      <c r="H196" s="238"/>
      <c r="L196" s="238"/>
    </row>
    <row r="197" spans="3:12">
      <c r="C197" s="237"/>
      <c r="D197" s="237"/>
      <c r="H197" s="238"/>
      <c r="L197" s="238"/>
    </row>
    <row r="198" spans="3:12">
      <c r="C198" s="237"/>
      <c r="D198" s="237"/>
      <c r="H198" s="238"/>
      <c r="L198" s="238"/>
    </row>
    <row r="199" spans="3:12">
      <c r="C199" s="237"/>
      <c r="D199" s="237"/>
      <c r="H199" s="238"/>
      <c r="L199" s="238"/>
    </row>
    <row r="200" spans="3:12">
      <c r="C200" s="237"/>
      <c r="D200" s="237"/>
      <c r="H200" s="238"/>
      <c r="L200" s="238"/>
    </row>
    <row r="201" spans="3:12">
      <c r="C201" s="237"/>
      <c r="D201" s="237"/>
      <c r="H201" s="238"/>
      <c r="L201" s="238"/>
    </row>
    <row r="202" spans="3:12">
      <c r="C202" s="237"/>
      <c r="D202" s="237"/>
      <c r="H202" s="238"/>
      <c r="L202" s="238"/>
    </row>
    <row r="203" spans="3:12">
      <c r="C203" s="237"/>
      <c r="D203" s="237"/>
      <c r="H203" s="238"/>
      <c r="L203" s="238"/>
    </row>
    <row r="204" spans="3:12">
      <c r="C204" s="237"/>
      <c r="D204" s="237"/>
      <c r="H204" s="238"/>
      <c r="L204" s="238"/>
    </row>
    <row r="205" spans="3:12">
      <c r="C205" s="237"/>
      <c r="D205" s="237"/>
      <c r="H205" s="238"/>
      <c r="L205" s="238"/>
    </row>
    <row r="206" spans="3:12">
      <c r="C206" s="237"/>
      <c r="D206" s="237"/>
      <c r="H206" s="238"/>
      <c r="L206" s="238"/>
    </row>
    <row r="207" spans="3:12">
      <c r="C207" s="237"/>
      <c r="D207" s="237"/>
      <c r="H207" s="238"/>
      <c r="L207" s="238"/>
    </row>
    <row r="208" spans="3:12">
      <c r="C208" s="237"/>
      <c r="D208" s="237"/>
      <c r="H208" s="238"/>
      <c r="L208" s="238"/>
    </row>
    <row r="209" spans="3:12">
      <c r="C209" s="237"/>
      <c r="D209" s="237"/>
      <c r="H209" s="238"/>
      <c r="L209" s="238"/>
    </row>
    <row r="210" spans="3:12">
      <c r="C210" s="237"/>
      <c r="D210" s="237"/>
      <c r="H210" s="238"/>
      <c r="L210" s="238"/>
    </row>
    <row r="211" spans="3:12">
      <c r="C211" s="237"/>
      <c r="D211" s="237"/>
      <c r="H211" s="238"/>
      <c r="L211" s="238"/>
    </row>
    <row r="212" spans="3:12">
      <c r="C212" s="237"/>
      <c r="D212" s="237"/>
      <c r="H212" s="238"/>
      <c r="L212" s="238"/>
    </row>
    <row r="213" spans="3:12">
      <c r="C213" s="237"/>
      <c r="D213" s="237"/>
      <c r="H213" s="238"/>
      <c r="L213" s="238"/>
    </row>
    <row r="214" spans="3:12">
      <c r="C214" s="237"/>
      <c r="D214" s="237"/>
      <c r="H214" s="238"/>
      <c r="L214" s="238"/>
    </row>
    <row r="215" spans="3:12">
      <c r="C215" s="237"/>
      <c r="D215" s="237"/>
      <c r="H215" s="238"/>
      <c r="L215" s="238"/>
    </row>
    <row r="216" spans="3:12">
      <c r="C216" s="237"/>
      <c r="D216" s="237"/>
      <c r="H216" s="238"/>
      <c r="L216" s="238"/>
    </row>
    <row r="217" spans="3:12">
      <c r="C217" s="237"/>
      <c r="D217" s="237"/>
      <c r="H217" s="238"/>
      <c r="L217" s="238"/>
    </row>
    <row r="218" spans="3:12">
      <c r="C218" s="237"/>
      <c r="D218" s="237"/>
      <c r="H218" s="238"/>
      <c r="L218" s="238"/>
    </row>
    <row r="219" spans="3:12">
      <c r="C219" s="237"/>
      <c r="D219" s="237"/>
      <c r="H219" s="238"/>
      <c r="L219" s="238"/>
    </row>
    <row r="220" spans="3:12">
      <c r="C220" s="237"/>
      <c r="D220" s="237"/>
      <c r="H220" s="238"/>
      <c r="L220" s="238"/>
    </row>
    <row r="221" spans="3:12">
      <c r="C221" s="237"/>
      <c r="D221" s="237"/>
      <c r="H221" s="238"/>
      <c r="L221" s="238"/>
    </row>
    <row r="222" spans="3:12">
      <c r="C222" s="237"/>
      <c r="D222" s="237"/>
      <c r="H222" s="238"/>
      <c r="L222" s="238"/>
    </row>
    <row r="223" spans="3:12">
      <c r="C223" s="237"/>
      <c r="D223" s="237"/>
      <c r="H223" s="238"/>
      <c r="L223" s="238"/>
    </row>
    <row r="224" spans="3:12">
      <c r="C224" s="237"/>
      <c r="D224" s="237"/>
      <c r="H224" s="238"/>
      <c r="L224" s="238"/>
    </row>
    <row r="225" spans="3:12">
      <c r="C225" s="237"/>
      <c r="D225" s="237"/>
      <c r="H225" s="238"/>
      <c r="L225" s="238"/>
    </row>
    <row r="226" spans="3:12">
      <c r="C226" s="237"/>
      <c r="D226" s="237"/>
      <c r="H226" s="238"/>
      <c r="L226" s="238"/>
    </row>
    <row r="227" spans="3:12">
      <c r="C227" s="237"/>
      <c r="D227" s="237"/>
      <c r="H227" s="238"/>
      <c r="L227" s="238"/>
    </row>
    <row r="228" spans="3:12">
      <c r="C228" s="237"/>
      <c r="D228" s="237"/>
      <c r="H228" s="238"/>
      <c r="L228" s="238"/>
    </row>
    <row r="229" spans="3:12">
      <c r="C229" s="237"/>
      <c r="D229" s="237"/>
      <c r="H229" s="238"/>
      <c r="L229" s="238"/>
    </row>
    <row r="230" spans="3:12">
      <c r="C230" s="237"/>
      <c r="D230" s="237"/>
      <c r="H230" s="238"/>
      <c r="L230" s="238"/>
    </row>
    <row r="231" spans="3:12">
      <c r="C231" s="237"/>
      <c r="D231" s="237"/>
      <c r="H231" s="238"/>
      <c r="L231" s="238"/>
    </row>
    <row r="232" spans="3:12">
      <c r="C232" s="237"/>
      <c r="D232" s="237"/>
      <c r="H232" s="238"/>
      <c r="L232" s="238"/>
    </row>
    <row r="233" spans="3:12">
      <c r="C233" s="237"/>
      <c r="D233" s="237"/>
      <c r="H233" s="238"/>
      <c r="L233" s="238"/>
    </row>
    <row r="234" spans="3:12">
      <c r="C234" s="237"/>
      <c r="D234" s="237"/>
      <c r="H234" s="238"/>
      <c r="L234" s="238"/>
    </row>
    <row r="235" spans="3:12">
      <c r="C235" s="237"/>
      <c r="D235" s="237"/>
      <c r="H235" s="238"/>
      <c r="L235" s="238"/>
    </row>
    <row r="236" spans="3:12">
      <c r="C236" s="237"/>
      <c r="D236" s="237"/>
      <c r="H236" s="238"/>
      <c r="L236" s="238"/>
    </row>
    <row r="237" spans="3:12">
      <c r="C237" s="237"/>
      <c r="D237" s="237"/>
      <c r="H237" s="238"/>
      <c r="L237" s="238"/>
    </row>
    <row r="238" spans="3:12">
      <c r="C238" s="237"/>
      <c r="D238" s="237"/>
      <c r="H238" s="238"/>
      <c r="L238" s="238"/>
    </row>
    <row r="239" spans="3:12">
      <c r="C239" s="237"/>
      <c r="D239" s="237"/>
      <c r="H239" s="238"/>
      <c r="L239" s="238"/>
    </row>
    <row r="240" spans="3:12">
      <c r="C240" s="237"/>
      <c r="D240" s="237"/>
      <c r="H240" s="238"/>
      <c r="L240" s="238"/>
    </row>
    <row r="241" spans="3:12">
      <c r="C241" s="237"/>
      <c r="D241" s="237"/>
      <c r="H241" s="238"/>
      <c r="L241" s="238"/>
    </row>
    <row r="242" spans="3:12">
      <c r="C242" s="237"/>
      <c r="D242" s="237"/>
      <c r="H242" s="238"/>
      <c r="L242" s="238"/>
    </row>
    <row r="243" spans="3:12">
      <c r="C243" s="237"/>
      <c r="D243" s="237"/>
      <c r="H243" s="238"/>
      <c r="L243" s="238"/>
    </row>
    <row r="244" spans="3:12">
      <c r="C244" s="237"/>
      <c r="D244" s="237"/>
      <c r="H244" s="238"/>
      <c r="L244" s="238"/>
    </row>
    <row r="245" spans="3:12">
      <c r="C245" s="237"/>
      <c r="D245" s="237"/>
      <c r="H245" s="238"/>
      <c r="L245" s="238"/>
    </row>
    <row r="246" spans="3:12">
      <c r="C246" s="237"/>
      <c r="D246" s="237"/>
      <c r="H246" s="238"/>
      <c r="L246" s="238"/>
    </row>
    <row r="247" spans="3:12">
      <c r="C247" s="237"/>
      <c r="D247" s="237"/>
      <c r="H247" s="238"/>
      <c r="L247" s="238"/>
    </row>
    <row r="248" spans="3:12">
      <c r="C248" s="237"/>
      <c r="D248" s="237"/>
      <c r="H248" s="238"/>
      <c r="L248" s="238"/>
    </row>
    <row r="249" spans="3:12">
      <c r="C249" s="237"/>
      <c r="D249" s="237"/>
      <c r="H249" s="238"/>
      <c r="L249" s="238"/>
    </row>
    <row r="250" spans="3:12">
      <c r="C250" s="237"/>
      <c r="D250" s="237"/>
      <c r="H250" s="238"/>
      <c r="L250" s="238"/>
    </row>
    <row r="251" spans="3:12">
      <c r="C251" s="237"/>
      <c r="D251" s="237"/>
      <c r="H251" s="238"/>
      <c r="L251" s="238"/>
    </row>
    <row r="252" spans="3:12">
      <c r="C252" s="237"/>
      <c r="D252" s="237"/>
      <c r="H252" s="238"/>
      <c r="L252" s="238"/>
    </row>
    <row r="253" spans="3:12">
      <c r="C253" s="237"/>
      <c r="D253" s="237"/>
      <c r="H253" s="238"/>
      <c r="L253" s="238"/>
    </row>
    <row r="254" spans="3:12">
      <c r="C254" s="237"/>
      <c r="D254" s="237"/>
      <c r="H254" s="238"/>
      <c r="L254" s="238"/>
    </row>
    <row r="255" spans="3:12">
      <c r="C255" s="237"/>
      <c r="D255" s="237"/>
      <c r="H255" s="238"/>
      <c r="L255" s="238"/>
    </row>
    <row r="256" spans="3:12">
      <c r="C256" s="237"/>
      <c r="D256" s="237"/>
      <c r="H256" s="238"/>
      <c r="L256" s="238"/>
    </row>
    <row r="257" spans="3:12">
      <c r="C257" s="237"/>
      <c r="D257" s="237"/>
      <c r="H257" s="238"/>
      <c r="L257" s="238"/>
    </row>
    <row r="258" spans="3:12">
      <c r="C258" s="237"/>
      <c r="D258" s="237"/>
      <c r="H258" s="238"/>
      <c r="L258" s="238"/>
    </row>
    <row r="259" spans="3:12">
      <c r="C259" s="237"/>
      <c r="D259" s="237"/>
      <c r="H259" s="238"/>
      <c r="L259" s="238"/>
    </row>
    <row r="260" spans="3:12">
      <c r="C260" s="237"/>
      <c r="D260" s="237"/>
      <c r="H260" s="238"/>
      <c r="L260" s="238"/>
    </row>
    <row r="261" spans="3:12">
      <c r="C261" s="237"/>
      <c r="D261" s="237"/>
      <c r="H261" s="238"/>
      <c r="L261" s="238"/>
    </row>
    <row r="262" spans="3:12">
      <c r="C262" s="237"/>
      <c r="D262" s="237"/>
      <c r="H262" s="238"/>
      <c r="L262" s="238"/>
    </row>
    <row r="263" spans="3:12">
      <c r="C263" s="237"/>
      <c r="D263" s="237"/>
      <c r="H263" s="238"/>
      <c r="L263" s="238"/>
    </row>
    <row r="264" spans="3:12">
      <c r="C264" s="237"/>
      <c r="D264" s="237"/>
      <c r="H264" s="238"/>
      <c r="L264" s="238"/>
    </row>
    <row r="265" spans="3:12">
      <c r="C265" s="237"/>
      <c r="D265" s="237"/>
      <c r="H265" s="238"/>
      <c r="L265" s="238"/>
    </row>
    <row r="266" spans="3:12">
      <c r="C266" s="237"/>
      <c r="D266" s="237"/>
      <c r="H266" s="238"/>
      <c r="L266" s="238"/>
    </row>
    <row r="267" spans="3:12">
      <c r="C267" s="237"/>
      <c r="D267" s="237"/>
      <c r="H267" s="238"/>
      <c r="L267" s="238"/>
    </row>
    <row r="268" spans="3:12">
      <c r="C268" s="237"/>
      <c r="D268" s="237"/>
      <c r="H268" s="238"/>
      <c r="L268" s="238"/>
    </row>
    <row r="269" spans="3:12">
      <c r="C269" s="237"/>
      <c r="D269" s="237"/>
      <c r="H269" s="238"/>
      <c r="L269" s="238"/>
    </row>
    <row r="270" spans="3:12">
      <c r="C270" s="237"/>
      <c r="D270" s="237"/>
      <c r="H270" s="238"/>
      <c r="L270" s="238"/>
    </row>
    <row r="271" spans="3:12">
      <c r="C271" s="237"/>
      <c r="D271" s="237"/>
      <c r="H271" s="238"/>
      <c r="L271" s="238"/>
    </row>
    <row r="272" spans="3:12">
      <c r="C272" s="237"/>
      <c r="D272" s="237"/>
      <c r="H272" s="238"/>
      <c r="L272" s="238"/>
    </row>
    <row r="273" spans="3:12">
      <c r="C273" s="237"/>
      <c r="D273" s="237"/>
      <c r="H273" s="238"/>
      <c r="L273" s="238"/>
    </row>
    <row r="274" spans="3:12">
      <c r="C274" s="237"/>
      <c r="D274" s="237"/>
      <c r="H274" s="238"/>
      <c r="L274" s="238"/>
    </row>
    <row r="275" spans="3:12">
      <c r="C275" s="237"/>
      <c r="D275" s="237"/>
      <c r="H275" s="238"/>
      <c r="L275" s="238"/>
    </row>
    <row r="276" spans="3:12">
      <c r="C276" s="237"/>
      <c r="D276" s="237"/>
      <c r="H276" s="238"/>
      <c r="L276" s="238"/>
    </row>
    <row r="277" spans="3:12">
      <c r="C277" s="237"/>
      <c r="D277" s="237"/>
      <c r="H277" s="238"/>
      <c r="L277" s="238"/>
    </row>
    <row r="278" spans="3:12">
      <c r="C278" s="237"/>
      <c r="D278" s="237"/>
      <c r="H278" s="238"/>
      <c r="L278" s="238"/>
    </row>
    <row r="279" spans="3:12">
      <c r="C279" s="237"/>
      <c r="D279" s="237"/>
      <c r="H279" s="238"/>
      <c r="L279" s="238"/>
    </row>
    <row r="280" spans="3:12">
      <c r="C280" s="237"/>
      <c r="D280" s="237"/>
      <c r="H280" s="238"/>
      <c r="L280" s="238"/>
    </row>
    <row r="281" spans="3:12">
      <c r="C281" s="237"/>
      <c r="D281" s="237"/>
      <c r="H281" s="238"/>
      <c r="L281" s="238"/>
    </row>
    <row r="282" spans="3:12">
      <c r="C282" s="237"/>
      <c r="D282" s="237"/>
      <c r="H282" s="238"/>
      <c r="L282" s="238"/>
    </row>
    <row r="283" spans="3:12">
      <c r="C283" s="237"/>
      <c r="D283" s="237"/>
      <c r="H283" s="238"/>
      <c r="L283" s="238"/>
    </row>
    <row r="284" spans="3:12">
      <c r="C284" s="237"/>
      <c r="D284" s="237"/>
      <c r="H284" s="238"/>
      <c r="L284" s="238"/>
    </row>
    <row r="285" spans="3:12">
      <c r="C285" s="237"/>
      <c r="D285" s="237"/>
      <c r="H285" s="238"/>
      <c r="L285" s="238"/>
    </row>
    <row r="286" spans="3:12">
      <c r="C286" s="237"/>
      <c r="D286" s="237"/>
      <c r="H286" s="238"/>
      <c r="L286" s="238"/>
    </row>
    <row r="287" spans="3:12">
      <c r="C287" s="237"/>
      <c r="D287" s="237"/>
      <c r="H287" s="238"/>
      <c r="L287" s="238"/>
    </row>
    <row r="288" spans="3:12">
      <c r="C288" s="237"/>
      <c r="D288" s="237"/>
      <c r="H288" s="238"/>
      <c r="L288" s="238"/>
    </row>
    <row r="289" spans="3:12">
      <c r="C289" s="237"/>
      <c r="D289" s="237"/>
      <c r="H289" s="238"/>
      <c r="L289" s="238"/>
    </row>
    <row r="290" spans="3:12">
      <c r="C290" s="237"/>
      <c r="D290" s="237"/>
      <c r="H290" s="238"/>
      <c r="L290" s="238"/>
    </row>
    <row r="291" spans="3:12">
      <c r="C291" s="237"/>
      <c r="D291" s="237"/>
      <c r="H291" s="238"/>
      <c r="L291" s="238"/>
    </row>
    <row r="292" spans="3:12">
      <c r="C292" s="237"/>
      <c r="D292" s="237"/>
      <c r="H292" s="238"/>
      <c r="L292" s="238"/>
    </row>
    <row r="293" spans="3:12">
      <c r="C293" s="237"/>
      <c r="D293" s="237"/>
      <c r="H293" s="238"/>
      <c r="L293" s="238"/>
    </row>
    <row r="294" spans="3:12">
      <c r="C294" s="237"/>
      <c r="D294" s="237"/>
      <c r="H294" s="238"/>
      <c r="L294" s="238"/>
    </row>
    <row r="295" spans="3:12">
      <c r="C295" s="237"/>
      <c r="D295" s="237"/>
      <c r="H295" s="238"/>
      <c r="L295" s="238"/>
    </row>
    <row r="296" spans="3:12">
      <c r="C296" s="237"/>
      <c r="D296" s="237"/>
      <c r="H296" s="238"/>
      <c r="L296" s="238"/>
    </row>
    <row r="297" spans="3:12">
      <c r="C297" s="237"/>
      <c r="D297" s="237"/>
      <c r="H297" s="238"/>
      <c r="L297" s="238"/>
    </row>
    <row r="298" spans="3:12">
      <c r="C298" s="237"/>
      <c r="D298" s="237"/>
      <c r="H298" s="238"/>
      <c r="L298" s="238"/>
    </row>
    <row r="299" spans="3:12">
      <c r="C299" s="237"/>
      <c r="D299" s="237"/>
      <c r="H299" s="238"/>
      <c r="L299" s="238"/>
    </row>
    <row r="300" spans="3:12">
      <c r="C300" s="237"/>
      <c r="D300" s="237"/>
      <c r="H300" s="238"/>
      <c r="L300" s="238"/>
    </row>
    <row r="301" spans="3:12">
      <c r="C301" s="237"/>
      <c r="D301" s="237"/>
      <c r="H301" s="238"/>
      <c r="L301" s="238"/>
    </row>
    <row r="302" spans="3:12">
      <c r="C302" s="237"/>
      <c r="D302" s="237"/>
      <c r="H302" s="238"/>
      <c r="L302" s="238"/>
    </row>
    <row r="303" spans="3:12">
      <c r="C303" s="237"/>
      <c r="D303" s="237"/>
      <c r="H303" s="238"/>
      <c r="L303" s="238"/>
    </row>
    <row r="304" spans="3:12">
      <c r="C304" s="237"/>
      <c r="D304" s="237"/>
      <c r="H304" s="238"/>
      <c r="L304" s="238"/>
    </row>
    <row r="305" spans="3:12">
      <c r="C305" s="237"/>
      <c r="D305" s="237"/>
      <c r="H305" s="238"/>
      <c r="L305" s="238"/>
    </row>
    <row r="306" spans="3:12">
      <c r="C306" s="237"/>
      <c r="D306" s="237"/>
      <c r="H306" s="238"/>
      <c r="L306" s="238"/>
    </row>
    <row r="307" spans="3:12">
      <c r="C307" s="237"/>
      <c r="D307" s="237"/>
      <c r="H307" s="238"/>
      <c r="L307" s="238"/>
    </row>
    <row r="308" spans="3:12">
      <c r="C308" s="237"/>
      <c r="D308" s="237"/>
      <c r="H308" s="238"/>
      <c r="L308" s="238"/>
    </row>
    <row r="309" spans="3:12">
      <c r="C309" s="237"/>
      <c r="D309" s="237"/>
      <c r="H309" s="238"/>
      <c r="L309" s="238"/>
    </row>
    <row r="310" spans="3:12">
      <c r="C310" s="237"/>
      <c r="D310" s="237"/>
      <c r="H310" s="238"/>
      <c r="L310" s="238"/>
    </row>
    <row r="311" spans="3:12">
      <c r="C311" s="237"/>
      <c r="D311" s="237"/>
      <c r="H311" s="238"/>
      <c r="L311" s="238"/>
    </row>
    <row r="312" spans="3:12">
      <c r="C312" s="237"/>
      <c r="D312" s="237"/>
      <c r="H312" s="238"/>
      <c r="L312" s="238"/>
    </row>
    <row r="313" spans="3:12">
      <c r="C313" s="237"/>
      <c r="D313" s="237"/>
      <c r="H313" s="238"/>
      <c r="L313" s="238"/>
    </row>
    <row r="314" spans="3:12">
      <c r="C314" s="237"/>
      <c r="D314" s="237"/>
      <c r="H314" s="238"/>
      <c r="L314" s="238"/>
    </row>
    <row r="315" spans="3:12">
      <c r="C315" s="237"/>
      <c r="D315" s="237"/>
      <c r="H315" s="238"/>
      <c r="L315" s="238"/>
    </row>
    <row r="316" spans="3:12">
      <c r="C316" s="237"/>
      <c r="D316" s="237"/>
      <c r="H316" s="238"/>
      <c r="L316" s="238"/>
    </row>
    <row r="317" spans="3:12">
      <c r="C317" s="237"/>
      <c r="D317" s="237"/>
      <c r="H317" s="238"/>
      <c r="L317" s="238"/>
    </row>
    <row r="318" spans="3:12">
      <c r="C318" s="237"/>
      <c r="D318" s="237"/>
      <c r="H318" s="238"/>
      <c r="L318" s="238"/>
    </row>
    <row r="319" spans="3:12">
      <c r="C319" s="237"/>
      <c r="D319" s="237"/>
      <c r="H319" s="238"/>
      <c r="L319" s="238"/>
    </row>
    <row r="320" spans="3:12">
      <c r="C320" s="237"/>
      <c r="D320" s="237"/>
      <c r="H320" s="238"/>
      <c r="L320" s="238"/>
    </row>
    <row r="321" spans="3:12">
      <c r="C321" s="237"/>
      <c r="D321" s="237"/>
      <c r="H321" s="238"/>
      <c r="L321" s="238"/>
    </row>
    <row r="322" spans="3:12">
      <c r="C322" s="237"/>
      <c r="D322" s="237"/>
      <c r="H322" s="238"/>
      <c r="L322" s="238"/>
    </row>
    <row r="323" spans="3:12">
      <c r="C323" s="237"/>
      <c r="D323" s="237"/>
      <c r="H323" s="238"/>
      <c r="L323" s="238"/>
    </row>
    <row r="324" spans="3:12">
      <c r="C324" s="237"/>
      <c r="D324" s="237"/>
      <c r="H324" s="238"/>
      <c r="L324" s="238"/>
    </row>
    <row r="325" spans="3:12">
      <c r="C325" s="237"/>
      <c r="D325" s="237"/>
      <c r="H325" s="238"/>
      <c r="L325" s="238"/>
    </row>
    <row r="326" spans="3:12">
      <c r="C326" s="237"/>
      <c r="D326" s="237"/>
      <c r="H326" s="238"/>
      <c r="L326" s="238"/>
    </row>
    <row r="327" spans="3:12">
      <c r="C327" s="237"/>
      <c r="D327" s="237"/>
      <c r="H327" s="238"/>
      <c r="L327" s="238"/>
    </row>
    <row r="328" spans="3:12">
      <c r="C328" s="237"/>
      <c r="D328" s="237"/>
      <c r="H328" s="238"/>
      <c r="L328" s="238"/>
    </row>
    <row r="329" spans="3:12">
      <c r="C329" s="237"/>
      <c r="D329" s="237"/>
      <c r="H329" s="238"/>
      <c r="L329" s="238"/>
    </row>
    <row r="330" spans="3:12">
      <c r="C330" s="237"/>
      <c r="D330" s="237"/>
      <c r="H330" s="238"/>
      <c r="L330" s="238"/>
    </row>
    <row r="331" spans="3:12">
      <c r="C331" s="237"/>
      <c r="D331" s="237"/>
      <c r="H331" s="238"/>
      <c r="L331" s="238"/>
    </row>
    <row r="332" spans="3:12">
      <c r="C332" s="237"/>
      <c r="D332" s="237"/>
      <c r="H332" s="238"/>
      <c r="L332" s="238"/>
    </row>
    <row r="333" spans="3:12">
      <c r="C333" s="237"/>
      <c r="D333" s="237"/>
      <c r="H333" s="238"/>
      <c r="L333" s="238"/>
    </row>
    <row r="334" spans="3:12">
      <c r="C334" s="237"/>
      <c r="D334" s="237"/>
      <c r="H334" s="238"/>
      <c r="L334" s="238"/>
    </row>
    <row r="335" spans="3:12">
      <c r="C335" s="237"/>
      <c r="D335" s="237"/>
      <c r="H335" s="238"/>
      <c r="L335" s="238"/>
    </row>
    <row r="336" spans="3:12">
      <c r="C336" s="237"/>
      <c r="D336" s="237"/>
      <c r="H336" s="238"/>
      <c r="L336" s="238"/>
    </row>
    <row r="337" spans="3:12">
      <c r="C337" s="237"/>
      <c r="D337" s="237"/>
      <c r="H337" s="238"/>
      <c r="L337" s="238"/>
    </row>
    <row r="338" spans="3:12">
      <c r="C338" s="237"/>
      <c r="D338" s="237"/>
      <c r="H338" s="238"/>
      <c r="L338" s="238"/>
    </row>
    <row r="339" spans="3:12">
      <c r="C339" s="237"/>
      <c r="D339" s="237"/>
      <c r="H339" s="238"/>
      <c r="L339" s="238"/>
    </row>
    <row r="340" spans="3:12">
      <c r="C340" s="237"/>
      <c r="D340" s="237"/>
      <c r="H340" s="238"/>
      <c r="L340" s="238"/>
    </row>
    <row r="341" spans="3:12">
      <c r="C341" s="237"/>
      <c r="D341" s="237"/>
      <c r="H341" s="238"/>
      <c r="L341" s="238"/>
    </row>
    <row r="342" spans="3:12">
      <c r="C342" s="237"/>
      <c r="D342" s="237"/>
      <c r="H342" s="238"/>
      <c r="L342" s="238"/>
    </row>
    <row r="343" spans="3:12">
      <c r="C343" s="237"/>
      <c r="D343" s="237"/>
      <c r="H343" s="238"/>
      <c r="L343" s="238"/>
    </row>
    <row r="344" spans="3:12">
      <c r="C344" s="237"/>
      <c r="D344" s="237"/>
      <c r="H344" s="238"/>
      <c r="L344" s="238"/>
    </row>
    <row r="345" spans="3:12">
      <c r="C345" s="237"/>
      <c r="D345" s="237"/>
      <c r="H345" s="238"/>
      <c r="L345" s="238"/>
    </row>
    <row r="346" spans="3:12">
      <c r="C346" s="237"/>
      <c r="D346" s="237"/>
      <c r="H346" s="238"/>
      <c r="L346" s="238"/>
    </row>
    <row r="347" spans="3:12">
      <c r="C347" s="237"/>
      <c r="D347" s="237"/>
      <c r="H347" s="238"/>
      <c r="L347" s="238"/>
    </row>
    <row r="348" spans="3:12">
      <c r="C348" s="237"/>
      <c r="D348" s="237"/>
      <c r="H348" s="238"/>
      <c r="L348" s="238"/>
    </row>
    <row r="349" spans="3:12">
      <c r="C349" s="237"/>
      <c r="D349" s="237"/>
      <c r="H349" s="238"/>
      <c r="L349" s="238"/>
    </row>
    <row r="350" spans="3:12">
      <c r="C350" s="237"/>
      <c r="D350" s="237"/>
      <c r="H350" s="238"/>
      <c r="L350" s="238"/>
    </row>
    <row r="351" spans="3:12">
      <c r="C351" s="237"/>
      <c r="D351" s="237"/>
      <c r="H351" s="238"/>
      <c r="L351" s="238"/>
    </row>
    <row r="352" spans="3:12">
      <c r="C352" s="237"/>
      <c r="D352" s="237"/>
      <c r="H352" s="238"/>
      <c r="L352" s="238"/>
    </row>
    <row r="353" spans="3:12">
      <c r="C353" s="237"/>
      <c r="D353" s="237"/>
      <c r="H353" s="238"/>
      <c r="L353" s="238"/>
    </row>
    <row r="354" spans="3:12">
      <c r="C354" s="237"/>
      <c r="D354" s="237"/>
      <c r="H354" s="238"/>
      <c r="L354" s="238"/>
    </row>
    <row r="355" spans="3:12">
      <c r="C355" s="237"/>
      <c r="D355" s="237"/>
      <c r="H355" s="238"/>
      <c r="L355" s="238"/>
    </row>
    <row r="356" spans="3:12">
      <c r="C356" s="237"/>
      <c r="D356" s="237"/>
      <c r="H356" s="238"/>
      <c r="L356" s="238"/>
    </row>
    <row r="357" spans="3:12">
      <c r="C357" s="237"/>
      <c r="D357" s="237"/>
      <c r="H357" s="238"/>
      <c r="L357" s="238"/>
    </row>
    <row r="358" spans="3:12">
      <c r="C358" s="237"/>
      <c r="D358" s="237"/>
      <c r="H358" s="238"/>
      <c r="L358" s="238"/>
    </row>
    <row r="359" spans="3:12">
      <c r="C359" s="237"/>
      <c r="D359" s="237"/>
      <c r="H359" s="238"/>
      <c r="L359" s="238"/>
    </row>
    <row r="360" spans="3:12">
      <c r="C360" s="237"/>
      <c r="D360" s="237"/>
      <c r="H360" s="238"/>
      <c r="L360" s="238"/>
    </row>
    <row r="361" spans="3:12">
      <c r="C361" s="237"/>
      <c r="D361" s="237"/>
      <c r="H361" s="238"/>
      <c r="L361" s="238"/>
    </row>
    <row r="362" spans="3:12">
      <c r="C362" s="237"/>
      <c r="D362" s="237"/>
      <c r="H362" s="238"/>
      <c r="L362" s="238"/>
    </row>
    <row r="363" spans="3:12">
      <c r="C363" s="237"/>
      <c r="D363" s="237"/>
      <c r="H363" s="238"/>
      <c r="L363" s="238"/>
    </row>
    <row r="364" spans="3:12">
      <c r="C364" s="237"/>
      <c r="D364" s="237"/>
      <c r="H364" s="238"/>
      <c r="L364" s="238"/>
    </row>
    <row r="365" spans="3:12">
      <c r="C365" s="237"/>
      <c r="D365" s="237"/>
      <c r="H365" s="238"/>
      <c r="L365" s="238"/>
    </row>
    <row r="366" spans="3:12">
      <c r="C366" s="237"/>
      <c r="D366" s="237"/>
      <c r="H366" s="238"/>
      <c r="L366" s="238"/>
    </row>
    <row r="367" spans="3:12">
      <c r="C367" s="237"/>
      <c r="D367" s="237"/>
      <c r="H367" s="238"/>
      <c r="L367" s="238"/>
    </row>
    <row r="368" spans="3:12">
      <c r="C368" s="237"/>
      <c r="D368" s="237"/>
      <c r="H368" s="238"/>
      <c r="L368" s="238"/>
    </row>
    <row r="369" spans="3:12">
      <c r="C369" s="237"/>
      <c r="D369" s="237"/>
      <c r="H369" s="238"/>
      <c r="L369" s="238"/>
    </row>
    <row r="370" spans="3:12">
      <c r="C370" s="237"/>
      <c r="D370" s="237"/>
      <c r="H370" s="238"/>
      <c r="L370" s="238"/>
    </row>
    <row r="371" spans="3:12">
      <c r="C371" s="237"/>
      <c r="D371" s="237"/>
      <c r="H371" s="238"/>
      <c r="L371" s="238"/>
    </row>
    <row r="372" spans="3:12">
      <c r="C372" s="237"/>
      <c r="D372" s="237"/>
      <c r="H372" s="238"/>
      <c r="L372" s="238"/>
    </row>
    <row r="373" spans="3:12">
      <c r="C373" s="237"/>
      <c r="D373" s="237"/>
      <c r="H373" s="238"/>
      <c r="L373" s="238"/>
    </row>
    <row r="374" spans="3:12">
      <c r="C374" s="237"/>
      <c r="D374" s="237"/>
      <c r="H374" s="238"/>
      <c r="L374" s="238"/>
    </row>
    <row r="375" spans="3:12">
      <c r="C375" s="237"/>
      <c r="D375" s="237"/>
      <c r="H375" s="238"/>
      <c r="L375" s="238"/>
    </row>
    <row r="376" spans="3:12">
      <c r="C376" s="237"/>
      <c r="D376" s="237"/>
      <c r="H376" s="238"/>
      <c r="L376" s="238"/>
    </row>
    <row r="377" spans="3:12">
      <c r="C377" s="237"/>
      <c r="D377" s="237"/>
      <c r="H377" s="238"/>
      <c r="L377" s="238"/>
    </row>
    <row r="378" spans="3:12">
      <c r="C378" s="237"/>
      <c r="D378" s="237"/>
      <c r="H378" s="238"/>
      <c r="L378" s="238"/>
    </row>
    <row r="379" spans="3:12">
      <c r="C379" s="237"/>
      <c r="D379" s="237"/>
      <c r="H379" s="238"/>
      <c r="L379" s="238"/>
    </row>
    <row r="380" spans="3:12">
      <c r="C380" s="237"/>
      <c r="D380" s="237"/>
      <c r="H380" s="238"/>
      <c r="L380" s="238"/>
    </row>
    <row r="381" spans="3:12">
      <c r="C381" s="237"/>
      <c r="D381" s="237"/>
      <c r="H381" s="238"/>
      <c r="L381" s="238"/>
    </row>
    <row r="382" spans="3:12">
      <c r="C382" s="237"/>
      <c r="D382" s="237"/>
      <c r="H382" s="238"/>
      <c r="L382" s="238"/>
    </row>
    <row r="383" spans="3:12">
      <c r="C383" s="237"/>
      <c r="D383" s="237"/>
      <c r="H383" s="238"/>
      <c r="L383" s="238"/>
    </row>
    <row r="384" spans="3:12">
      <c r="C384" s="237"/>
      <c r="D384" s="237"/>
      <c r="H384" s="238"/>
      <c r="L384" s="238"/>
    </row>
    <row r="385" spans="3:12">
      <c r="C385" s="237"/>
      <c r="D385" s="237"/>
      <c r="H385" s="238"/>
      <c r="L385" s="238"/>
    </row>
    <row r="386" spans="3:12">
      <c r="C386" s="237"/>
      <c r="D386" s="237"/>
      <c r="H386" s="238"/>
      <c r="L386" s="238"/>
    </row>
    <row r="387" spans="3:12">
      <c r="C387" s="237"/>
      <c r="D387" s="237"/>
      <c r="H387" s="238"/>
      <c r="L387" s="238"/>
    </row>
    <row r="388" spans="3:12">
      <c r="C388" s="237"/>
      <c r="D388" s="237"/>
      <c r="H388" s="238"/>
      <c r="L388" s="238"/>
    </row>
    <row r="389" spans="3:12">
      <c r="C389" s="237"/>
      <c r="D389" s="237"/>
      <c r="H389" s="238"/>
      <c r="L389" s="238"/>
    </row>
    <row r="390" spans="3:12">
      <c r="C390" s="237"/>
      <c r="D390" s="237"/>
      <c r="H390" s="238"/>
      <c r="L390" s="238"/>
    </row>
    <row r="391" spans="3:12">
      <c r="C391" s="237"/>
      <c r="D391" s="237"/>
      <c r="H391" s="238"/>
      <c r="L391" s="238"/>
    </row>
    <row r="392" spans="3:12">
      <c r="C392" s="237"/>
      <c r="D392" s="237"/>
      <c r="H392" s="238"/>
      <c r="L392" s="238"/>
    </row>
    <row r="393" spans="3:12">
      <c r="C393" s="237"/>
      <c r="D393" s="237"/>
      <c r="H393" s="238"/>
      <c r="L393" s="238"/>
    </row>
    <row r="394" spans="3:12">
      <c r="C394" s="237"/>
      <c r="D394" s="237"/>
      <c r="H394" s="238"/>
      <c r="L394" s="238"/>
    </row>
    <row r="395" spans="3:12">
      <c r="C395" s="237"/>
      <c r="D395" s="237"/>
      <c r="H395" s="238"/>
      <c r="L395" s="238"/>
    </row>
    <row r="396" spans="3:12">
      <c r="C396" s="237"/>
      <c r="D396" s="237"/>
      <c r="H396" s="238"/>
      <c r="L396" s="238"/>
    </row>
    <row r="397" spans="3:12">
      <c r="C397" s="237"/>
      <c r="D397" s="237"/>
      <c r="H397" s="238"/>
      <c r="L397" s="238"/>
    </row>
    <row r="398" spans="3:12">
      <c r="C398" s="237"/>
      <c r="D398" s="237"/>
      <c r="H398" s="238"/>
      <c r="L398" s="238"/>
    </row>
    <row r="399" spans="3:12">
      <c r="C399" s="237"/>
      <c r="D399" s="237"/>
      <c r="H399" s="238"/>
      <c r="L399" s="238"/>
    </row>
    <row r="400" spans="3:12">
      <c r="C400" s="237"/>
      <c r="D400" s="237"/>
      <c r="H400" s="238"/>
      <c r="L400" s="238"/>
    </row>
    <row r="401" spans="3:12">
      <c r="C401" s="237"/>
      <c r="D401" s="237"/>
      <c r="H401" s="238"/>
      <c r="L401" s="238"/>
    </row>
    <row r="402" spans="3:12">
      <c r="C402" s="237"/>
      <c r="D402" s="237"/>
      <c r="H402" s="238"/>
      <c r="L402" s="238"/>
    </row>
    <row r="403" spans="3:12">
      <c r="C403" s="237"/>
      <c r="D403" s="237"/>
      <c r="H403" s="238"/>
      <c r="L403" s="238"/>
    </row>
    <row r="404" spans="3:12">
      <c r="C404" s="237"/>
      <c r="D404" s="237"/>
      <c r="H404" s="238"/>
      <c r="L404" s="238"/>
    </row>
    <row r="405" spans="3:12">
      <c r="C405" s="237"/>
      <c r="D405" s="237"/>
      <c r="H405" s="238"/>
      <c r="L405" s="238"/>
    </row>
    <row r="406" spans="3:12">
      <c r="C406" s="237"/>
      <c r="D406" s="237"/>
      <c r="H406" s="238"/>
      <c r="L406" s="238"/>
    </row>
    <row r="407" spans="3:12">
      <c r="C407" s="237"/>
      <c r="D407" s="237"/>
      <c r="H407" s="238"/>
      <c r="L407" s="238"/>
    </row>
    <row r="408" spans="3:12">
      <c r="C408" s="237"/>
      <c r="D408" s="237"/>
      <c r="H408" s="238"/>
      <c r="L408" s="238"/>
    </row>
    <row r="409" spans="3:12">
      <c r="C409" s="237"/>
      <c r="D409" s="237"/>
      <c r="H409" s="238"/>
      <c r="L409" s="238"/>
    </row>
    <row r="410" spans="3:12">
      <c r="C410" s="237"/>
      <c r="D410" s="237"/>
      <c r="H410" s="238"/>
      <c r="L410" s="238"/>
    </row>
    <row r="411" spans="3:12">
      <c r="C411" s="237"/>
      <c r="D411" s="237"/>
      <c r="H411" s="238"/>
      <c r="L411" s="238"/>
    </row>
    <row r="412" spans="3:12">
      <c r="C412" s="237"/>
      <c r="D412" s="237"/>
      <c r="H412" s="238"/>
      <c r="L412" s="238"/>
    </row>
    <row r="413" spans="3:12">
      <c r="C413" s="237"/>
      <c r="D413" s="237"/>
      <c r="H413" s="238"/>
      <c r="L413" s="238"/>
    </row>
    <row r="414" spans="3:12">
      <c r="C414" s="237"/>
      <c r="D414" s="237"/>
      <c r="H414" s="238"/>
      <c r="L414" s="238"/>
    </row>
    <row r="415" spans="3:12">
      <c r="C415" s="237"/>
      <c r="D415" s="237"/>
      <c r="H415" s="238"/>
      <c r="L415" s="238"/>
    </row>
    <row r="416" spans="3:12">
      <c r="C416" s="237"/>
      <c r="D416" s="237"/>
      <c r="H416" s="238"/>
      <c r="L416" s="238"/>
    </row>
    <row r="417" spans="3:12">
      <c r="C417" s="237"/>
      <c r="D417" s="237"/>
      <c r="H417" s="238"/>
      <c r="L417" s="238"/>
    </row>
    <row r="418" spans="3:12">
      <c r="C418" s="237"/>
      <c r="D418" s="237"/>
      <c r="H418" s="238"/>
      <c r="L418" s="238"/>
    </row>
    <row r="419" spans="3:12">
      <c r="C419" s="237"/>
      <c r="D419" s="237"/>
      <c r="H419" s="238"/>
      <c r="L419" s="238"/>
    </row>
    <row r="420" spans="3:12">
      <c r="C420" s="237"/>
      <c r="D420" s="237"/>
      <c r="H420" s="238"/>
      <c r="L420" s="238"/>
    </row>
    <row r="421" spans="3:12">
      <c r="C421" s="237"/>
      <c r="D421" s="237"/>
      <c r="H421" s="238"/>
      <c r="L421" s="238"/>
    </row>
    <row r="422" spans="3:12">
      <c r="C422" s="237"/>
      <c r="D422" s="237"/>
      <c r="H422" s="238"/>
      <c r="L422" s="238"/>
    </row>
    <row r="423" spans="3:12">
      <c r="C423" s="237"/>
      <c r="D423" s="237"/>
      <c r="H423" s="238"/>
      <c r="L423" s="238"/>
    </row>
    <row r="424" spans="3:12">
      <c r="C424" s="237"/>
      <c r="D424" s="237"/>
      <c r="H424" s="238"/>
      <c r="L424" s="238"/>
    </row>
    <row r="425" spans="3:12">
      <c r="C425" s="237"/>
      <c r="D425" s="237"/>
      <c r="H425" s="238"/>
      <c r="L425" s="238"/>
    </row>
    <row r="426" spans="3:12">
      <c r="C426" s="237"/>
      <c r="D426" s="237"/>
      <c r="H426" s="238"/>
      <c r="L426" s="238"/>
    </row>
    <row r="427" spans="3:12">
      <c r="C427" s="237"/>
      <c r="D427" s="237"/>
      <c r="H427" s="238"/>
      <c r="L427" s="238"/>
    </row>
    <row r="428" spans="3:12">
      <c r="C428" s="237"/>
      <c r="D428" s="237"/>
      <c r="H428" s="238"/>
      <c r="L428" s="238"/>
    </row>
    <row r="429" spans="3:12">
      <c r="C429" s="237"/>
      <c r="D429" s="237"/>
      <c r="H429" s="238"/>
      <c r="L429" s="238"/>
    </row>
    <row r="430" spans="3:12">
      <c r="C430" s="237"/>
      <c r="D430" s="237"/>
      <c r="H430" s="238"/>
      <c r="L430" s="238"/>
    </row>
    <row r="431" spans="3:12">
      <c r="C431" s="237"/>
      <c r="D431" s="237"/>
      <c r="H431" s="238"/>
      <c r="L431" s="238"/>
    </row>
    <row r="432" spans="3:12">
      <c r="C432" s="237"/>
      <c r="D432" s="237"/>
      <c r="H432" s="238"/>
      <c r="L432" s="238"/>
    </row>
    <row r="433" spans="3:12">
      <c r="C433" s="237"/>
      <c r="D433" s="237"/>
      <c r="H433" s="238"/>
      <c r="L433" s="238"/>
    </row>
    <row r="434" spans="3:12">
      <c r="C434" s="237"/>
      <c r="D434" s="237"/>
      <c r="H434" s="238"/>
      <c r="L434" s="238"/>
    </row>
    <row r="435" spans="3:12">
      <c r="C435" s="237"/>
      <c r="D435" s="237"/>
      <c r="H435" s="238"/>
      <c r="L435" s="238"/>
    </row>
    <row r="436" spans="3:12">
      <c r="C436" s="237"/>
      <c r="D436" s="237"/>
      <c r="H436" s="238"/>
      <c r="L436" s="238"/>
    </row>
    <row r="437" spans="3:12">
      <c r="C437" s="237"/>
      <c r="D437" s="237"/>
      <c r="H437" s="238"/>
      <c r="L437" s="238"/>
    </row>
    <row r="438" spans="3:12">
      <c r="C438" s="237"/>
      <c r="D438" s="237"/>
      <c r="H438" s="238"/>
      <c r="L438" s="238"/>
    </row>
    <row r="439" spans="3:12">
      <c r="C439" s="237"/>
      <c r="D439" s="237"/>
      <c r="H439" s="238"/>
      <c r="L439" s="238"/>
    </row>
    <row r="440" spans="3:12">
      <c r="C440" s="237"/>
      <c r="D440" s="237"/>
      <c r="H440" s="238"/>
      <c r="L440" s="238"/>
    </row>
    <row r="441" spans="3:12">
      <c r="C441" s="237"/>
      <c r="D441" s="237"/>
      <c r="H441" s="238"/>
      <c r="L441" s="238"/>
    </row>
    <row r="442" spans="3:12">
      <c r="C442" s="237"/>
      <c r="D442" s="237"/>
      <c r="H442" s="238"/>
      <c r="L442" s="238"/>
    </row>
    <row r="443" spans="3:12">
      <c r="C443" s="237"/>
      <c r="D443" s="237"/>
      <c r="H443" s="238"/>
      <c r="L443" s="238"/>
    </row>
    <row r="444" spans="3:12">
      <c r="C444" s="237"/>
      <c r="D444" s="237"/>
      <c r="H444" s="238"/>
      <c r="L444" s="238"/>
    </row>
    <row r="445" spans="3:12">
      <c r="C445" s="237"/>
      <c r="D445" s="237"/>
      <c r="H445" s="238"/>
      <c r="L445" s="238"/>
    </row>
    <row r="446" spans="3:12">
      <c r="C446" s="237"/>
      <c r="D446" s="237"/>
      <c r="H446" s="238"/>
      <c r="L446" s="238"/>
    </row>
    <row r="447" spans="3:12">
      <c r="C447" s="237"/>
      <c r="D447" s="237"/>
      <c r="H447" s="238"/>
      <c r="L447" s="238"/>
    </row>
    <row r="448" spans="3:12">
      <c r="C448" s="237"/>
      <c r="D448" s="237"/>
      <c r="H448" s="238"/>
      <c r="L448" s="238"/>
    </row>
    <row r="449" spans="3:12">
      <c r="C449" s="237"/>
      <c r="D449" s="237"/>
      <c r="H449" s="238"/>
      <c r="L449" s="238"/>
    </row>
    <row r="450" spans="3:12">
      <c r="C450" s="237"/>
      <c r="D450" s="237"/>
      <c r="H450" s="238"/>
      <c r="L450" s="238"/>
    </row>
    <row r="451" spans="3:12">
      <c r="C451" s="237"/>
      <c r="D451" s="237"/>
      <c r="H451" s="238"/>
      <c r="L451" s="238"/>
    </row>
    <row r="452" spans="3:12">
      <c r="C452" s="237"/>
      <c r="D452" s="237"/>
      <c r="H452" s="238"/>
      <c r="L452" s="238"/>
    </row>
    <row r="453" spans="3:12">
      <c r="C453" s="237"/>
      <c r="D453" s="237"/>
      <c r="H453" s="238"/>
      <c r="L453" s="238"/>
    </row>
    <row r="454" spans="3:12">
      <c r="C454" s="237"/>
      <c r="D454" s="237"/>
      <c r="H454" s="238"/>
      <c r="L454" s="238"/>
    </row>
    <row r="455" spans="3:12">
      <c r="C455" s="237"/>
      <c r="D455" s="237"/>
      <c r="H455" s="238"/>
      <c r="L455" s="238"/>
    </row>
    <row r="456" spans="3:12">
      <c r="C456" s="237"/>
      <c r="D456" s="237"/>
      <c r="H456" s="238"/>
      <c r="L456" s="238"/>
    </row>
    <row r="457" spans="3:12">
      <c r="C457" s="237"/>
      <c r="D457" s="237"/>
      <c r="H457" s="238"/>
      <c r="L457" s="238"/>
    </row>
    <row r="458" spans="3:12">
      <c r="C458" s="237"/>
      <c r="D458" s="237"/>
      <c r="H458" s="238"/>
      <c r="L458" s="238"/>
    </row>
    <row r="459" spans="3:12">
      <c r="C459" s="237"/>
      <c r="D459" s="237"/>
      <c r="H459" s="238"/>
      <c r="L459" s="238"/>
    </row>
    <row r="460" spans="3:12">
      <c r="C460" s="237"/>
      <c r="D460" s="237"/>
      <c r="H460" s="238"/>
      <c r="L460" s="238"/>
    </row>
    <row r="461" spans="3:12">
      <c r="C461" s="237"/>
      <c r="D461" s="237"/>
      <c r="H461" s="238"/>
      <c r="L461" s="238"/>
    </row>
    <row r="462" spans="3:12">
      <c r="C462" s="237"/>
      <c r="D462" s="237"/>
      <c r="H462" s="238"/>
      <c r="L462" s="238"/>
    </row>
    <row r="463" spans="3:12">
      <c r="C463" s="237"/>
      <c r="D463" s="237"/>
      <c r="H463" s="238"/>
      <c r="L463" s="238"/>
    </row>
    <row r="464" spans="3:12">
      <c r="C464" s="237"/>
      <c r="D464" s="237"/>
      <c r="H464" s="238"/>
      <c r="L464" s="238"/>
    </row>
    <row r="465" spans="3:12">
      <c r="C465" s="237"/>
      <c r="D465" s="237"/>
      <c r="H465" s="238"/>
      <c r="L465" s="238"/>
    </row>
    <row r="466" spans="3:12">
      <c r="C466" s="237"/>
      <c r="D466" s="237"/>
      <c r="H466" s="238"/>
      <c r="L466" s="238"/>
    </row>
    <row r="467" spans="3:12">
      <c r="C467" s="237"/>
      <c r="D467" s="237"/>
      <c r="H467" s="238"/>
      <c r="L467" s="238"/>
    </row>
    <row r="468" spans="3:12">
      <c r="C468" s="237"/>
      <c r="D468" s="237"/>
      <c r="H468" s="238"/>
      <c r="L468" s="238"/>
    </row>
    <row r="469" spans="3:12">
      <c r="C469" s="237"/>
      <c r="D469" s="237"/>
      <c r="H469" s="238"/>
      <c r="L469" s="238"/>
    </row>
    <row r="470" spans="3:12">
      <c r="C470" s="237"/>
      <c r="D470" s="237"/>
      <c r="H470" s="238"/>
      <c r="L470" s="238"/>
    </row>
    <row r="471" spans="3:12">
      <c r="C471" s="237"/>
      <c r="D471" s="237"/>
      <c r="H471" s="238"/>
      <c r="L471" s="238"/>
    </row>
    <row r="472" spans="3:12">
      <c r="C472" s="237"/>
      <c r="D472" s="237"/>
      <c r="H472" s="238"/>
      <c r="L472" s="238"/>
    </row>
    <row r="473" spans="3:12">
      <c r="C473" s="237"/>
      <c r="D473" s="237"/>
      <c r="H473" s="238"/>
      <c r="L473" s="238"/>
    </row>
    <row r="474" spans="3:12">
      <c r="C474" s="237"/>
      <c r="D474" s="237"/>
      <c r="H474" s="238"/>
      <c r="L474" s="238"/>
    </row>
    <row r="475" spans="3:12">
      <c r="C475" s="237"/>
      <c r="D475" s="237"/>
      <c r="H475" s="238"/>
      <c r="L475" s="238"/>
    </row>
    <row r="476" spans="3:12">
      <c r="C476" s="237"/>
      <c r="D476" s="237"/>
      <c r="H476" s="238"/>
      <c r="L476" s="238"/>
    </row>
    <row r="477" spans="3:12">
      <c r="C477" s="237"/>
      <c r="D477" s="237"/>
      <c r="H477" s="238"/>
      <c r="L477" s="238"/>
    </row>
    <row r="478" spans="3:12">
      <c r="C478" s="237"/>
      <c r="D478" s="237"/>
      <c r="H478" s="238"/>
      <c r="L478" s="238"/>
    </row>
    <row r="479" spans="3:12">
      <c r="C479" s="237"/>
      <c r="D479" s="237"/>
      <c r="H479" s="238"/>
      <c r="L479" s="238"/>
    </row>
    <row r="480" spans="3:12">
      <c r="C480" s="237"/>
      <c r="D480" s="237"/>
      <c r="H480" s="238"/>
      <c r="L480" s="238"/>
    </row>
    <row r="481" spans="3:12">
      <c r="C481" s="237"/>
      <c r="D481" s="237"/>
      <c r="H481" s="238"/>
      <c r="L481" s="238"/>
    </row>
    <row r="482" spans="3:12">
      <c r="C482" s="237"/>
      <c r="D482" s="237"/>
      <c r="H482" s="238"/>
      <c r="L482" s="238"/>
    </row>
    <row r="483" spans="3:12">
      <c r="C483" s="237"/>
      <c r="D483" s="237"/>
      <c r="H483" s="238"/>
      <c r="L483" s="238"/>
    </row>
    <row r="484" spans="3:12">
      <c r="C484" s="237"/>
      <c r="D484" s="237"/>
      <c r="H484" s="238"/>
      <c r="L484" s="238"/>
    </row>
    <row r="485" spans="3:12">
      <c r="C485" s="237"/>
      <c r="D485" s="237"/>
      <c r="H485" s="238"/>
      <c r="L485" s="238"/>
    </row>
    <row r="486" spans="3:12">
      <c r="C486" s="237"/>
      <c r="D486" s="237"/>
      <c r="H486" s="238"/>
      <c r="L486" s="238"/>
    </row>
    <row r="487" spans="3:12">
      <c r="C487" s="237"/>
      <c r="D487" s="237"/>
      <c r="H487" s="238"/>
      <c r="L487" s="238"/>
    </row>
    <row r="488" spans="3:12">
      <c r="C488" s="237"/>
      <c r="D488" s="237"/>
      <c r="H488" s="238"/>
      <c r="L488" s="238"/>
    </row>
    <row r="489" spans="3:12">
      <c r="C489" s="237"/>
      <c r="D489" s="237"/>
      <c r="H489" s="238"/>
      <c r="L489" s="238"/>
    </row>
    <row r="490" spans="3:12">
      <c r="C490" s="237"/>
      <c r="D490" s="237"/>
      <c r="H490" s="238"/>
      <c r="L490" s="238"/>
    </row>
    <row r="491" spans="3:12">
      <c r="C491" s="237"/>
      <c r="D491" s="237"/>
      <c r="H491" s="238"/>
      <c r="L491" s="238"/>
    </row>
    <row r="492" spans="3:12">
      <c r="C492" s="237"/>
      <c r="D492" s="237"/>
      <c r="H492" s="238"/>
      <c r="L492" s="238"/>
    </row>
    <row r="493" spans="3:12">
      <c r="C493" s="237"/>
      <c r="D493" s="237"/>
      <c r="H493" s="238"/>
      <c r="L493" s="238"/>
    </row>
    <row r="494" spans="3:12">
      <c r="C494" s="237"/>
      <c r="D494" s="237"/>
      <c r="H494" s="238"/>
      <c r="L494" s="238"/>
    </row>
    <row r="495" spans="3:12">
      <c r="C495" s="237"/>
      <c r="D495" s="237"/>
      <c r="H495" s="238"/>
      <c r="L495" s="238"/>
    </row>
    <row r="496" spans="3:12">
      <c r="C496" s="237"/>
      <c r="D496" s="237"/>
      <c r="H496" s="238"/>
      <c r="L496" s="238"/>
    </row>
    <row r="497" spans="3:12">
      <c r="C497" s="237"/>
      <c r="D497" s="237"/>
      <c r="H497" s="238"/>
      <c r="L497" s="238"/>
    </row>
    <row r="498" spans="3:12">
      <c r="C498" s="237"/>
      <c r="D498" s="237"/>
      <c r="H498" s="238"/>
      <c r="L498" s="238"/>
    </row>
    <row r="499" spans="3:12">
      <c r="C499" s="237"/>
      <c r="D499" s="237"/>
      <c r="H499" s="238"/>
      <c r="L499" s="238"/>
    </row>
    <row r="500" spans="3:12">
      <c r="C500" s="237"/>
      <c r="D500" s="237"/>
      <c r="H500" s="238"/>
      <c r="L500" s="238"/>
    </row>
    <row r="501" spans="3:12">
      <c r="C501" s="237"/>
      <c r="D501" s="237"/>
      <c r="H501" s="238"/>
      <c r="L501" s="238"/>
    </row>
    <row r="502" spans="3:12">
      <c r="C502" s="237"/>
      <c r="D502" s="237"/>
      <c r="H502" s="238"/>
      <c r="L502" s="238"/>
    </row>
    <row r="503" spans="3:12">
      <c r="C503" s="237"/>
      <c r="D503" s="237"/>
      <c r="H503" s="238"/>
      <c r="L503" s="238"/>
    </row>
    <row r="504" spans="3:12">
      <c r="C504" s="237"/>
      <c r="D504" s="237"/>
      <c r="H504" s="238"/>
      <c r="L504" s="238"/>
    </row>
    <row r="505" spans="3:12">
      <c r="C505" s="237"/>
      <c r="D505" s="237"/>
      <c r="H505" s="238"/>
      <c r="L505" s="238"/>
    </row>
    <row r="506" spans="3:12">
      <c r="C506" s="237"/>
      <c r="D506" s="237"/>
      <c r="H506" s="238"/>
      <c r="L506" s="238"/>
    </row>
    <row r="507" spans="3:12">
      <c r="C507" s="237"/>
      <c r="D507" s="237"/>
      <c r="H507" s="238"/>
      <c r="L507" s="238"/>
    </row>
    <row r="508" spans="3:12">
      <c r="C508" s="237"/>
      <c r="D508" s="237"/>
      <c r="H508" s="238"/>
      <c r="L508" s="238"/>
    </row>
    <row r="509" spans="3:12">
      <c r="C509" s="237"/>
      <c r="D509" s="237"/>
      <c r="H509" s="238"/>
      <c r="L509" s="238"/>
    </row>
    <row r="510" spans="3:12">
      <c r="C510" s="237"/>
      <c r="D510" s="237"/>
      <c r="H510" s="238"/>
      <c r="L510" s="238"/>
    </row>
    <row r="511" spans="3:12">
      <c r="C511" s="237"/>
      <c r="D511" s="237"/>
      <c r="H511" s="238"/>
      <c r="L511" s="238"/>
    </row>
    <row r="512" spans="3:12">
      <c r="C512" s="237"/>
      <c r="D512" s="237"/>
      <c r="H512" s="238"/>
      <c r="L512" s="238"/>
    </row>
    <row r="513" spans="3:12">
      <c r="C513" s="237"/>
      <c r="D513" s="237"/>
      <c r="H513" s="238"/>
      <c r="L513" s="238"/>
    </row>
    <row r="514" spans="3:12">
      <c r="C514" s="237"/>
      <c r="D514" s="237"/>
      <c r="H514" s="238"/>
      <c r="L514" s="238"/>
    </row>
    <row r="515" spans="3:12">
      <c r="C515" s="237"/>
      <c r="D515" s="237"/>
      <c r="H515" s="238"/>
      <c r="L515" s="238"/>
    </row>
    <row r="516" spans="3:12">
      <c r="C516" s="237"/>
      <c r="D516" s="237"/>
      <c r="H516" s="238"/>
      <c r="L516" s="238"/>
    </row>
    <row r="517" spans="3:12">
      <c r="C517" s="237"/>
      <c r="D517" s="237"/>
      <c r="H517" s="238"/>
      <c r="L517" s="238"/>
    </row>
    <row r="518" spans="3:12">
      <c r="C518" s="237"/>
      <c r="D518" s="237"/>
      <c r="H518" s="238"/>
      <c r="L518" s="238"/>
    </row>
    <row r="519" spans="3:12">
      <c r="C519" s="237"/>
      <c r="D519" s="237"/>
      <c r="H519" s="238"/>
      <c r="L519" s="238"/>
    </row>
    <row r="520" spans="3:12">
      <c r="C520" s="237"/>
      <c r="D520" s="237"/>
      <c r="H520" s="238"/>
      <c r="L520" s="238"/>
    </row>
    <row r="521" spans="3:12">
      <c r="C521" s="237"/>
      <c r="D521" s="237"/>
      <c r="H521" s="238"/>
      <c r="L521" s="238"/>
    </row>
    <row r="522" spans="3:12">
      <c r="C522" s="237"/>
      <c r="D522" s="237"/>
      <c r="H522" s="238"/>
      <c r="L522" s="238"/>
    </row>
    <row r="523" spans="3:12">
      <c r="C523" s="237"/>
      <c r="D523" s="237"/>
      <c r="H523" s="238"/>
      <c r="L523" s="238"/>
    </row>
    <row r="524" spans="3:12">
      <c r="C524" s="237"/>
      <c r="D524" s="237"/>
      <c r="H524" s="238"/>
      <c r="L524" s="238"/>
    </row>
    <row r="525" spans="3:12">
      <c r="C525" s="237"/>
      <c r="D525" s="237"/>
      <c r="H525" s="238"/>
      <c r="L525" s="238"/>
    </row>
    <row r="526" spans="3:12">
      <c r="C526" s="237"/>
      <c r="D526" s="237"/>
      <c r="H526" s="238"/>
      <c r="L526" s="238"/>
    </row>
    <row r="527" spans="3:12">
      <c r="C527" s="237"/>
      <c r="D527" s="237"/>
      <c r="H527" s="238"/>
      <c r="L527" s="238"/>
    </row>
    <row r="528" spans="3:12">
      <c r="C528" s="237"/>
      <c r="D528" s="237"/>
      <c r="H528" s="238"/>
      <c r="L528" s="238"/>
    </row>
    <row r="529" spans="3:12">
      <c r="C529" s="237"/>
      <c r="D529" s="237"/>
      <c r="H529" s="238"/>
      <c r="L529" s="238"/>
    </row>
    <row r="530" spans="3:12">
      <c r="C530" s="237"/>
      <c r="D530" s="237"/>
      <c r="H530" s="238"/>
      <c r="L530" s="238"/>
    </row>
    <row r="531" spans="3:12">
      <c r="C531" s="237"/>
      <c r="D531" s="237"/>
      <c r="H531" s="238"/>
      <c r="L531" s="238"/>
    </row>
    <row r="532" spans="3:12">
      <c r="C532" s="237"/>
      <c r="D532" s="237"/>
      <c r="H532" s="238"/>
      <c r="L532" s="238"/>
    </row>
    <row r="533" spans="3:12">
      <c r="C533" s="237"/>
      <c r="D533" s="237"/>
      <c r="H533" s="238"/>
      <c r="L533" s="238"/>
    </row>
    <row r="534" spans="3:12">
      <c r="C534" s="237"/>
      <c r="D534" s="237"/>
      <c r="H534" s="238"/>
      <c r="L534" s="238"/>
    </row>
    <row r="535" spans="3:12">
      <c r="C535" s="237"/>
      <c r="D535" s="237"/>
      <c r="H535" s="238"/>
      <c r="L535" s="238"/>
    </row>
    <row r="536" spans="3:12">
      <c r="C536" s="237"/>
      <c r="D536" s="237"/>
      <c r="H536" s="238"/>
      <c r="L536" s="238"/>
    </row>
    <row r="537" spans="3:12">
      <c r="C537" s="237"/>
      <c r="D537" s="237"/>
      <c r="H537" s="238"/>
      <c r="L537" s="238"/>
    </row>
    <row r="538" spans="3:12">
      <c r="C538" s="237"/>
      <c r="D538" s="237"/>
      <c r="H538" s="238"/>
      <c r="L538" s="238"/>
    </row>
    <row r="539" spans="3:12">
      <c r="C539" s="237"/>
      <c r="D539" s="237"/>
      <c r="H539" s="238"/>
      <c r="L539" s="238"/>
    </row>
    <row r="540" spans="3:12">
      <c r="C540" s="237"/>
      <c r="D540" s="237"/>
      <c r="H540" s="238"/>
      <c r="L540" s="238"/>
    </row>
    <row r="541" spans="3:12">
      <c r="C541" s="237"/>
      <c r="D541" s="237"/>
      <c r="H541" s="238"/>
      <c r="L541" s="238"/>
    </row>
    <row r="542" spans="3:12">
      <c r="C542" s="237"/>
      <c r="D542" s="237"/>
      <c r="H542" s="238"/>
      <c r="L542" s="238"/>
    </row>
    <row r="543" spans="3:12">
      <c r="C543" s="237"/>
      <c r="D543" s="237"/>
      <c r="H543" s="238"/>
      <c r="L543" s="238"/>
    </row>
    <row r="544" spans="3:12">
      <c r="C544" s="237"/>
      <c r="D544" s="237"/>
      <c r="H544" s="238"/>
      <c r="L544" s="238"/>
    </row>
    <row r="545" spans="3:12">
      <c r="C545" s="237"/>
      <c r="D545" s="237"/>
      <c r="H545" s="238"/>
      <c r="L545" s="238"/>
    </row>
    <row r="546" spans="3:12">
      <c r="C546" s="237"/>
      <c r="D546" s="237"/>
      <c r="H546" s="238"/>
      <c r="L546" s="238"/>
    </row>
    <row r="547" spans="3:12">
      <c r="C547" s="237"/>
      <c r="D547" s="237"/>
      <c r="H547" s="238"/>
      <c r="L547" s="238"/>
    </row>
    <row r="548" spans="3:12">
      <c r="C548" s="237"/>
      <c r="D548" s="237"/>
      <c r="H548" s="238"/>
      <c r="L548" s="238"/>
    </row>
    <row r="549" spans="3:12">
      <c r="C549" s="237"/>
      <c r="D549" s="237"/>
      <c r="H549" s="238"/>
      <c r="L549" s="238"/>
    </row>
    <row r="550" spans="3:12">
      <c r="C550" s="237"/>
      <c r="D550" s="237"/>
      <c r="H550" s="238"/>
      <c r="L550" s="238"/>
    </row>
    <row r="551" spans="3:12">
      <c r="C551" s="237"/>
      <c r="D551" s="237"/>
      <c r="H551" s="238"/>
      <c r="L551" s="238"/>
    </row>
    <row r="552" spans="3:12">
      <c r="C552" s="237"/>
      <c r="D552" s="237"/>
      <c r="H552" s="238"/>
      <c r="L552" s="238"/>
    </row>
    <row r="553" spans="3:12">
      <c r="C553" s="237"/>
      <c r="D553" s="237"/>
      <c r="H553" s="238"/>
      <c r="L553" s="238"/>
    </row>
    <row r="554" spans="3:12">
      <c r="C554" s="237"/>
      <c r="D554" s="237"/>
      <c r="H554" s="238"/>
      <c r="L554" s="238"/>
    </row>
    <row r="555" spans="3:12">
      <c r="C555" s="237"/>
      <c r="D555" s="237"/>
      <c r="H555" s="238"/>
      <c r="L555" s="238"/>
    </row>
    <row r="556" spans="3:12">
      <c r="C556" s="237"/>
      <c r="D556" s="237"/>
      <c r="H556" s="238"/>
      <c r="L556" s="238"/>
    </row>
    <row r="557" spans="3:12">
      <c r="C557" s="237"/>
      <c r="D557" s="237"/>
      <c r="H557" s="238"/>
      <c r="L557" s="238"/>
    </row>
    <row r="558" spans="3:12">
      <c r="C558" s="237"/>
      <c r="D558" s="237"/>
      <c r="H558" s="238"/>
      <c r="L558" s="238"/>
    </row>
    <row r="559" spans="3:12">
      <c r="C559" s="237"/>
      <c r="D559" s="237"/>
      <c r="H559" s="238"/>
      <c r="L559" s="238"/>
    </row>
    <row r="560" spans="3:12">
      <c r="C560" s="237"/>
      <c r="D560" s="237"/>
      <c r="H560" s="238"/>
      <c r="L560" s="238"/>
    </row>
    <row r="561" spans="3:12">
      <c r="C561" s="237"/>
      <c r="D561" s="237"/>
      <c r="H561" s="238"/>
      <c r="L561" s="238"/>
    </row>
    <row r="562" spans="3:12">
      <c r="C562" s="237"/>
      <c r="D562" s="237"/>
      <c r="H562" s="238"/>
      <c r="L562" s="238"/>
    </row>
    <row r="563" spans="3:12">
      <c r="C563" s="237"/>
      <c r="D563" s="237"/>
      <c r="H563" s="238"/>
      <c r="L563" s="238"/>
    </row>
    <row r="564" spans="3:12">
      <c r="C564" s="237"/>
      <c r="D564" s="237"/>
      <c r="H564" s="238"/>
      <c r="L564" s="238"/>
    </row>
    <row r="565" spans="3:12">
      <c r="C565" s="237"/>
      <c r="D565" s="237"/>
      <c r="H565" s="238"/>
      <c r="L565" s="238"/>
    </row>
    <row r="566" spans="3:12">
      <c r="C566" s="237"/>
      <c r="D566" s="237"/>
      <c r="H566" s="238"/>
      <c r="L566" s="238"/>
    </row>
    <row r="567" spans="3:12">
      <c r="C567" s="237"/>
      <c r="D567" s="237"/>
      <c r="H567" s="238"/>
      <c r="L567" s="238"/>
    </row>
    <row r="568" spans="3:12">
      <c r="C568" s="237"/>
      <c r="D568" s="237"/>
      <c r="H568" s="238"/>
      <c r="L568" s="238"/>
    </row>
    <row r="569" spans="3:12">
      <c r="C569" s="237"/>
      <c r="D569" s="237"/>
      <c r="H569" s="238"/>
      <c r="L569" s="238"/>
    </row>
    <row r="570" spans="3:12">
      <c r="C570" s="237"/>
      <c r="D570" s="237"/>
      <c r="H570" s="238"/>
      <c r="L570" s="238"/>
    </row>
    <row r="571" spans="3:12">
      <c r="C571" s="237"/>
      <c r="D571" s="237"/>
      <c r="H571" s="238"/>
      <c r="L571" s="238"/>
    </row>
    <row r="572" spans="3:12">
      <c r="C572" s="237"/>
      <c r="D572" s="237"/>
      <c r="H572" s="238"/>
      <c r="L572" s="238"/>
    </row>
    <row r="573" spans="3:12">
      <c r="C573" s="237"/>
      <c r="D573" s="237"/>
      <c r="H573" s="238"/>
      <c r="L573" s="238"/>
    </row>
    <row r="574" spans="3:12">
      <c r="C574" s="237"/>
      <c r="D574" s="237"/>
      <c r="H574" s="238"/>
      <c r="L574" s="238"/>
    </row>
    <row r="575" spans="3:12">
      <c r="C575" s="237"/>
      <c r="D575" s="237"/>
      <c r="H575" s="238"/>
      <c r="L575" s="238"/>
    </row>
    <row r="576" spans="3:12">
      <c r="C576" s="237"/>
      <c r="D576" s="237"/>
      <c r="H576" s="238"/>
      <c r="L576" s="238"/>
    </row>
    <row r="577" spans="3:12">
      <c r="C577" s="237"/>
      <c r="D577" s="237"/>
      <c r="H577" s="238"/>
      <c r="L577" s="238"/>
    </row>
    <row r="578" spans="3:12">
      <c r="C578" s="237"/>
      <c r="D578" s="237"/>
      <c r="H578" s="238"/>
      <c r="L578" s="238"/>
    </row>
    <row r="579" spans="3:12">
      <c r="C579" s="237"/>
      <c r="D579" s="237"/>
      <c r="H579" s="238"/>
      <c r="L579" s="238"/>
    </row>
    <row r="580" spans="3:12">
      <c r="C580" s="237"/>
      <c r="D580" s="237"/>
      <c r="H580" s="238"/>
      <c r="L580" s="238"/>
    </row>
    <row r="581" spans="3:12">
      <c r="C581" s="237"/>
      <c r="D581" s="237"/>
      <c r="H581" s="238"/>
      <c r="L581" s="238"/>
    </row>
    <row r="582" spans="3:12">
      <c r="C582" s="237"/>
      <c r="D582" s="237"/>
      <c r="H582" s="238"/>
      <c r="L582" s="238"/>
    </row>
    <row r="583" spans="3:12">
      <c r="C583" s="237"/>
      <c r="D583" s="237"/>
      <c r="H583" s="238"/>
      <c r="L583" s="238"/>
    </row>
    <row r="584" spans="3:12">
      <c r="C584" s="237"/>
      <c r="D584" s="237"/>
      <c r="H584" s="238"/>
      <c r="L584" s="238"/>
    </row>
    <row r="585" spans="3:12">
      <c r="C585" s="237"/>
      <c r="D585" s="237"/>
      <c r="H585" s="238"/>
      <c r="L585" s="238"/>
    </row>
    <row r="586" spans="3:12">
      <c r="C586" s="237"/>
      <c r="D586" s="237"/>
      <c r="H586" s="238"/>
      <c r="L586" s="238"/>
    </row>
    <row r="587" spans="3:12">
      <c r="C587" s="237"/>
      <c r="D587" s="237"/>
      <c r="H587" s="238"/>
      <c r="L587" s="238"/>
    </row>
    <row r="588" spans="3:12">
      <c r="C588" s="237"/>
      <c r="D588" s="237"/>
      <c r="H588" s="238"/>
      <c r="L588" s="238"/>
    </row>
    <row r="589" spans="3:12">
      <c r="C589" s="237"/>
      <c r="D589" s="237"/>
      <c r="H589" s="238"/>
      <c r="L589" s="238"/>
    </row>
    <row r="590" spans="3:12">
      <c r="C590" s="237"/>
      <c r="D590" s="237"/>
      <c r="H590" s="238"/>
      <c r="L590" s="238"/>
    </row>
    <row r="591" spans="3:12">
      <c r="C591" s="237"/>
      <c r="D591" s="237"/>
      <c r="H591" s="238"/>
      <c r="L591" s="238"/>
    </row>
    <row r="592" spans="3:12">
      <c r="C592" s="237"/>
      <c r="D592" s="237"/>
      <c r="H592" s="238"/>
      <c r="L592" s="238"/>
    </row>
    <row r="593" spans="3:12">
      <c r="C593" s="237"/>
      <c r="D593" s="237"/>
      <c r="H593" s="238"/>
      <c r="L593" s="238"/>
    </row>
    <row r="594" spans="3:12">
      <c r="C594" s="237"/>
      <c r="D594" s="237"/>
      <c r="H594" s="238"/>
      <c r="L594" s="238"/>
    </row>
    <row r="595" spans="3:12">
      <c r="C595" s="237"/>
      <c r="D595" s="237"/>
      <c r="H595" s="238"/>
      <c r="L595" s="238"/>
    </row>
    <row r="596" spans="3:12">
      <c r="C596" s="237"/>
      <c r="D596" s="237"/>
      <c r="H596" s="238"/>
      <c r="L596" s="238"/>
    </row>
    <row r="597" spans="3:12">
      <c r="C597" s="237"/>
      <c r="D597" s="237"/>
      <c r="H597" s="238"/>
      <c r="L597" s="238"/>
    </row>
    <row r="598" spans="3:12">
      <c r="C598" s="237"/>
      <c r="D598" s="237"/>
      <c r="H598" s="238"/>
      <c r="L598" s="238"/>
    </row>
    <row r="599" spans="3:12">
      <c r="C599" s="237"/>
      <c r="D599" s="237"/>
      <c r="H599" s="238"/>
      <c r="L599" s="238"/>
    </row>
    <row r="600" spans="3:12">
      <c r="C600" s="237"/>
      <c r="D600" s="237"/>
      <c r="H600" s="238"/>
      <c r="L600" s="238"/>
    </row>
    <row r="601" spans="3:12">
      <c r="C601" s="237"/>
      <c r="D601" s="237"/>
      <c r="H601" s="238"/>
      <c r="L601" s="238"/>
    </row>
    <row r="602" spans="3:12">
      <c r="C602" s="237"/>
      <c r="D602" s="237"/>
      <c r="H602" s="238"/>
      <c r="L602" s="238"/>
    </row>
    <row r="603" spans="3:12">
      <c r="C603" s="237"/>
      <c r="D603" s="237"/>
      <c r="H603" s="238"/>
      <c r="L603" s="238"/>
    </row>
    <row r="604" spans="3:12">
      <c r="C604" s="237"/>
      <c r="D604" s="237"/>
      <c r="H604" s="238"/>
      <c r="L604" s="238"/>
    </row>
    <row r="605" spans="3:12">
      <c r="C605" s="237"/>
      <c r="D605" s="237"/>
      <c r="H605" s="238"/>
      <c r="L605" s="238"/>
    </row>
    <row r="606" spans="3:12">
      <c r="C606" s="237"/>
      <c r="D606" s="237"/>
      <c r="H606" s="238"/>
      <c r="L606" s="238"/>
    </row>
    <row r="607" spans="3:12">
      <c r="C607" s="237"/>
      <c r="D607" s="237"/>
      <c r="H607" s="238"/>
      <c r="L607" s="238"/>
    </row>
    <row r="608" spans="3:12">
      <c r="C608" s="237"/>
      <c r="D608" s="237"/>
      <c r="H608" s="238"/>
      <c r="L608" s="238"/>
    </row>
    <row r="609" spans="3:12">
      <c r="C609" s="237"/>
      <c r="D609" s="237"/>
      <c r="H609" s="238"/>
      <c r="L609" s="238"/>
    </row>
    <row r="610" spans="3:12">
      <c r="C610" s="237"/>
      <c r="D610" s="237"/>
      <c r="H610" s="238"/>
      <c r="L610" s="238"/>
    </row>
    <row r="611" spans="3:12">
      <c r="C611" s="237"/>
      <c r="D611" s="237"/>
      <c r="H611" s="238"/>
      <c r="L611" s="238"/>
    </row>
    <row r="612" spans="3:12">
      <c r="C612" s="237"/>
      <c r="D612" s="237"/>
      <c r="H612" s="238"/>
      <c r="L612" s="238"/>
    </row>
    <row r="613" spans="3:12">
      <c r="C613" s="237"/>
      <c r="D613" s="237"/>
      <c r="H613" s="238"/>
      <c r="L613" s="238"/>
    </row>
    <row r="614" spans="3:12">
      <c r="C614" s="237"/>
      <c r="D614" s="237"/>
      <c r="H614" s="238"/>
      <c r="L614" s="238"/>
    </row>
    <row r="615" spans="3:12">
      <c r="C615" s="237"/>
      <c r="D615" s="237"/>
      <c r="H615" s="238"/>
      <c r="L615" s="238"/>
    </row>
    <row r="616" spans="3:12">
      <c r="C616" s="237"/>
      <c r="D616" s="237"/>
      <c r="H616" s="238"/>
      <c r="L616" s="238"/>
    </row>
    <row r="617" spans="3:12">
      <c r="C617" s="237"/>
      <c r="D617" s="237"/>
      <c r="H617" s="238"/>
      <c r="L617" s="238"/>
    </row>
    <row r="618" spans="3:12">
      <c r="C618" s="237"/>
      <c r="D618" s="237"/>
      <c r="H618" s="238"/>
      <c r="L618" s="238"/>
    </row>
    <row r="619" spans="3:12">
      <c r="C619" s="237"/>
      <c r="D619" s="237"/>
      <c r="H619" s="238"/>
      <c r="L619" s="238"/>
    </row>
    <row r="620" spans="3:12">
      <c r="C620" s="237"/>
      <c r="D620" s="237"/>
      <c r="H620" s="238"/>
      <c r="L620" s="238"/>
    </row>
    <row r="621" spans="3:12">
      <c r="C621" s="237"/>
      <c r="D621" s="237"/>
      <c r="H621" s="238"/>
      <c r="L621" s="238"/>
    </row>
    <row r="622" spans="3:12">
      <c r="C622" s="237"/>
      <c r="D622" s="237"/>
      <c r="H622" s="238"/>
      <c r="L622" s="238"/>
    </row>
    <row r="623" spans="3:12">
      <c r="C623" s="237"/>
      <c r="D623" s="237"/>
      <c r="H623" s="238"/>
      <c r="L623" s="238"/>
    </row>
    <row r="624" spans="3:12">
      <c r="C624" s="237"/>
      <c r="D624" s="237"/>
      <c r="H624" s="238"/>
      <c r="L624" s="238"/>
    </row>
    <row r="625" spans="3:12">
      <c r="C625" s="237"/>
      <c r="D625" s="237"/>
      <c r="H625" s="238"/>
      <c r="L625" s="238"/>
    </row>
    <row r="626" spans="3:12">
      <c r="C626" s="237"/>
      <c r="D626" s="237"/>
      <c r="H626" s="238"/>
      <c r="L626" s="238"/>
    </row>
    <row r="627" spans="3:12">
      <c r="C627" s="237"/>
      <c r="D627" s="237"/>
      <c r="H627" s="238"/>
      <c r="L627" s="238"/>
    </row>
    <row r="628" spans="3:12">
      <c r="C628" s="237"/>
      <c r="D628" s="237"/>
      <c r="H628" s="238"/>
      <c r="L628" s="238"/>
    </row>
    <row r="629" spans="3:12">
      <c r="C629" s="237"/>
      <c r="D629" s="237"/>
      <c r="H629" s="238"/>
      <c r="L629" s="238"/>
    </row>
    <row r="630" spans="3:12">
      <c r="C630" s="237"/>
      <c r="D630" s="237"/>
      <c r="H630" s="238"/>
      <c r="L630" s="238"/>
    </row>
    <row r="631" spans="3:12">
      <c r="C631" s="237"/>
      <c r="D631" s="237"/>
      <c r="H631" s="238"/>
      <c r="L631" s="238"/>
    </row>
    <row r="632" spans="3:12">
      <c r="C632" s="237"/>
      <c r="D632" s="237"/>
      <c r="H632" s="238"/>
      <c r="L632" s="238"/>
    </row>
    <row r="633" spans="3:12">
      <c r="C633" s="237"/>
      <c r="D633" s="237"/>
      <c r="H633" s="238"/>
      <c r="L633" s="238"/>
    </row>
    <row r="634" spans="3:12">
      <c r="C634" s="237"/>
      <c r="D634" s="237"/>
      <c r="H634" s="238"/>
      <c r="L634" s="238"/>
    </row>
    <row r="635" spans="3:12">
      <c r="C635" s="237"/>
      <c r="D635" s="237"/>
      <c r="H635" s="238"/>
      <c r="L635" s="238"/>
    </row>
    <row r="636" spans="3:12">
      <c r="C636" s="237"/>
      <c r="D636" s="237"/>
      <c r="H636" s="238"/>
      <c r="L636" s="238"/>
    </row>
    <row r="637" spans="3:12">
      <c r="C637" s="237"/>
      <c r="D637" s="237"/>
      <c r="H637" s="238"/>
      <c r="L637" s="238"/>
    </row>
    <row r="638" spans="3:12">
      <c r="C638" s="237"/>
      <c r="D638" s="237"/>
      <c r="H638" s="238"/>
      <c r="L638" s="238"/>
    </row>
    <row r="639" spans="3:12">
      <c r="C639" s="237"/>
      <c r="D639" s="237"/>
      <c r="H639" s="238"/>
      <c r="L639" s="238"/>
    </row>
    <row r="640" spans="3:12">
      <c r="C640" s="237"/>
      <c r="D640" s="237"/>
      <c r="H640" s="238"/>
      <c r="L640" s="238"/>
    </row>
    <row r="641" spans="3:12">
      <c r="C641" s="237"/>
      <c r="D641" s="237"/>
      <c r="H641" s="238"/>
      <c r="L641" s="238"/>
    </row>
    <row r="642" spans="3:12">
      <c r="C642" s="237"/>
      <c r="D642" s="237"/>
      <c r="H642" s="238"/>
      <c r="L642" s="238"/>
    </row>
    <row r="643" spans="3:12">
      <c r="C643" s="237"/>
      <c r="D643" s="237"/>
      <c r="H643" s="238"/>
      <c r="L643" s="238"/>
    </row>
    <row r="644" spans="3:12">
      <c r="C644" s="237"/>
      <c r="D644" s="237"/>
      <c r="H644" s="238"/>
      <c r="L644" s="238"/>
    </row>
    <row r="645" spans="3:12">
      <c r="C645" s="237"/>
      <c r="D645" s="237"/>
      <c r="H645" s="238"/>
      <c r="L645" s="238"/>
    </row>
    <row r="646" spans="3:12">
      <c r="C646" s="237"/>
      <c r="D646" s="237"/>
      <c r="H646" s="238"/>
      <c r="L646" s="238"/>
    </row>
    <row r="647" spans="3:12">
      <c r="C647" s="237"/>
      <c r="D647" s="237"/>
      <c r="H647" s="238"/>
      <c r="L647" s="238"/>
    </row>
    <row r="648" spans="3:12">
      <c r="C648" s="237"/>
      <c r="D648" s="237"/>
      <c r="H648" s="238"/>
      <c r="L648" s="238"/>
    </row>
    <row r="649" spans="3:12">
      <c r="C649" s="237"/>
      <c r="D649" s="237"/>
      <c r="H649" s="238"/>
      <c r="L649" s="238"/>
    </row>
    <row r="650" spans="3:12">
      <c r="C650" s="237"/>
      <c r="D650" s="237"/>
      <c r="H650" s="238"/>
      <c r="L650" s="238"/>
    </row>
    <row r="651" spans="3:12">
      <c r="C651" s="237"/>
      <c r="D651" s="237"/>
      <c r="H651" s="238"/>
      <c r="L651" s="238"/>
    </row>
    <row r="652" spans="3:12">
      <c r="C652" s="237"/>
      <c r="D652" s="237"/>
      <c r="H652" s="238"/>
      <c r="L652" s="238"/>
    </row>
    <row r="653" spans="3:12">
      <c r="C653" s="237"/>
      <c r="D653" s="237"/>
      <c r="H653" s="238"/>
      <c r="L653" s="238"/>
    </row>
    <row r="654" spans="3:12">
      <c r="C654" s="237"/>
      <c r="D654" s="237"/>
      <c r="H654" s="238"/>
      <c r="L654" s="238"/>
    </row>
    <row r="655" spans="3:12">
      <c r="C655" s="237"/>
      <c r="D655" s="237"/>
      <c r="H655" s="238"/>
      <c r="L655" s="238"/>
    </row>
    <row r="656" spans="3:12">
      <c r="C656" s="237"/>
      <c r="D656" s="237"/>
      <c r="H656" s="238"/>
      <c r="L656" s="238"/>
    </row>
    <row r="657" spans="3:12">
      <c r="C657" s="237"/>
      <c r="D657" s="237"/>
      <c r="H657" s="238"/>
      <c r="L657" s="238"/>
    </row>
    <row r="658" spans="3:12">
      <c r="C658" s="237"/>
      <c r="D658" s="237"/>
      <c r="H658" s="238"/>
      <c r="L658" s="238"/>
    </row>
    <row r="659" spans="3:12">
      <c r="C659" s="237"/>
      <c r="D659" s="237"/>
      <c r="H659" s="238"/>
      <c r="L659" s="238"/>
    </row>
    <row r="660" spans="3:12">
      <c r="C660" s="237"/>
      <c r="D660" s="237"/>
      <c r="H660" s="238"/>
      <c r="L660" s="238"/>
    </row>
    <row r="661" spans="3:12">
      <c r="C661" s="237"/>
      <c r="D661" s="237"/>
      <c r="H661" s="238"/>
      <c r="L661" s="238"/>
    </row>
    <row r="662" spans="3:12">
      <c r="C662" s="237"/>
      <c r="D662" s="237"/>
      <c r="H662" s="238"/>
      <c r="L662" s="238"/>
    </row>
    <row r="663" spans="3:12">
      <c r="C663" s="237"/>
      <c r="D663" s="237"/>
      <c r="H663" s="238"/>
      <c r="L663" s="238"/>
    </row>
    <row r="664" spans="3:12">
      <c r="C664" s="237"/>
      <c r="D664" s="237"/>
      <c r="H664" s="238"/>
      <c r="L664" s="238"/>
    </row>
    <row r="665" spans="3:12">
      <c r="C665" s="237"/>
      <c r="D665" s="237"/>
      <c r="H665" s="238"/>
      <c r="L665" s="238"/>
    </row>
    <row r="666" spans="3:12">
      <c r="C666" s="237"/>
      <c r="D666" s="237"/>
      <c r="H666" s="238"/>
      <c r="L666" s="238"/>
    </row>
    <row r="667" spans="3:12">
      <c r="C667" s="237"/>
      <c r="D667" s="237"/>
      <c r="H667" s="238"/>
      <c r="L667" s="238"/>
    </row>
    <row r="668" spans="3:12">
      <c r="C668" s="237"/>
      <c r="D668" s="237"/>
      <c r="H668" s="238"/>
      <c r="L668" s="238"/>
    </row>
    <row r="669" spans="3:12">
      <c r="C669" s="237"/>
      <c r="D669" s="237"/>
      <c r="H669" s="238"/>
      <c r="L669" s="238"/>
    </row>
    <row r="670" spans="3:12">
      <c r="C670" s="237"/>
      <c r="D670" s="237"/>
      <c r="H670" s="238"/>
      <c r="L670" s="238"/>
    </row>
    <row r="671" spans="3:12">
      <c r="C671" s="237"/>
      <c r="D671" s="237"/>
      <c r="H671" s="238"/>
      <c r="L671" s="238"/>
    </row>
    <row r="672" spans="3:12">
      <c r="C672" s="237"/>
      <c r="D672" s="237"/>
      <c r="H672" s="238"/>
      <c r="L672" s="238"/>
    </row>
    <row r="673" spans="3:12">
      <c r="C673" s="237"/>
      <c r="D673" s="237"/>
      <c r="H673" s="238"/>
      <c r="L673" s="238"/>
    </row>
    <row r="674" spans="3:12">
      <c r="C674" s="237"/>
      <c r="D674" s="237"/>
      <c r="H674" s="238"/>
      <c r="L674" s="238"/>
    </row>
    <row r="675" spans="3:12">
      <c r="C675" s="237"/>
      <c r="D675" s="237"/>
      <c r="H675" s="238"/>
      <c r="L675" s="238"/>
    </row>
    <row r="676" spans="3:12">
      <c r="C676" s="237"/>
      <c r="D676" s="237"/>
      <c r="H676" s="238"/>
      <c r="L676" s="238"/>
    </row>
    <row r="677" spans="3:12">
      <c r="C677" s="237"/>
      <c r="D677" s="237"/>
      <c r="H677" s="238"/>
      <c r="L677" s="238"/>
    </row>
    <row r="678" spans="3:12">
      <c r="C678" s="237"/>
      <c r="D678" s="237"/>
      <c r="H678" s="238"/>
      <c r="L678" s="238"/>
    </row>
    <row r="679" spans="3:12">
      <c r="C679" s="237"/>
      <c r="D679" s="237"/>
      <c r="H679" s="238"/>
      <c r="L679" s="238"/>
    </row>
    <row r="680" spans="3:12">
      <c r="C680" s="237"/>
      <c r="D680" s="237"/>
      <c r="H680" s="238"/>
      <c r="L680" s="238"/>
    </row>
    <row r="681" spans="3:12">
      <c r="C681" s="237"/>
      <c r="D681" s="237"/>
      <c r="H681" s="238"/>
      <c r="L681" s="238"/>
    </row>
    <row r="682" spans="3:12">
      <c r="C682" s="237"/>
      <c r="D682" s="237"/>
      <c r="H682" s="238"/>
      <c r="L682" s="238"/>
    </row>
    <row r="683" spans="3:12">
      <c r="C683" s="237"/>
      <c r="D683" s="237"/>
      <c r="H683" s="238"/>
      <c r="L683" s="238"/>
    </row>
    <row r="684" spans="3:12">
      <c r="C684" s="237"/>
      <c r="D684" s="237"/>
      <c r="H684" s="238"/>
      <c r="L684" s="238"/>
    </row>
    <row r="685" spans="3:12">
      <c r="C685" s="237"/>
      <c r="D685" s="237"/>
      <c r="H685" s="238"/>
      <c r="L685" s="238"/>
    </row>
    <row r="686" spans="3:12">
      <c r="C686" s="237"/>
      <c r="D686" s="237"/>
      <c r="H686" s="238"/>
      <c r="L686" s="238"/>
    </row>
    <row r="687" spans="3:12">
      <c r="C687" s="237"/>
      <c r="D687" s="237"/>
      <c r="H687" s="238"/>
      <c r="L687" s="238"/>
    </row>
    <row r="688" spans="3:12">
      <c r="C688" s="237"/>
      <c r="D688" s="237"/>
      <c r="H688" s="238"/>
      <c r="L688" s="238"/>
    </row>
    <row r="689" spans="3:12">
      <c r="C689" s="237"/>
      <c r="D689" s="237"/>
      <c r="H689" s="238"/>
      <c r="L689" s="238"/>
    </row>
    <row r="690" spans="3:12">
      <c r="C690" s="237"/>
      <c r="D690" s="237"/>
      <c r="H690" s="238"/>
      <c r="L690" s="238"/>
    </row>
    <row r="691" spans="3:12">
      <c r="C691" s="237"/>
      <c r="D691" s="237"/>
      <c r="H691" s="238"/>
      <c r="L691" s="238"/>
    </row>
    <row r="692" spans="3:12">
      <c r="C692" s="237"/>
      <c r="D692" s="237"/>
      <c r="H692" s="238"/>
      <c r="L692" s="238"/>
    </row>
    <row r="693" spans="3:12">
      <c r="C693" s="237"/>
      <c r="D693" s="237"/>
      <c r="H693" s="238"/>
      <c r="L693" s="238"/>
    </row>
    <row r="694" spans="3:12">
      <c r="C694" s="237"/>
      <c r="D694" s="237"/>
      <c r="H694" s="238"/>
      <c r="L694" s="238"/>
    </row>
    <row r="695" spans="3:12">
      <c r="C695" s="237"/>
      <c r="D695" s="237"/>
      <c r="H695" s="238"/>
      <c r="L695" s="238"/>
    </row>
    <row r="696" spans="3:12">
      <c r="C696" s="237"/>
      <c r="D696" s="237"/>
      <c r="H696" s="238"/>
      <c r="L696" s="238"/>
    </row>
    <row r="697" spans="3:12">
      <c r="C697" s="237"/>
      <c r="D697" s="237"/>
      <c r="H697" s="238"/>
      <c r="L697" s="238"/>
    </row>
    <row r="698" spans="3:12">
      <c r="C698" s="237"/>
      <c r="D698" s="237"/>
      <c r="H698" s="238"/>
      <c r="L698" s="238"/>
    </row>
    <row r="699" spans="3:12">
      <c r="C699" s="237"/>
      <c r="D699" s="237"/>
      <c r="H699" s="238"/>
      <c r="L699" s="238"/>
    </row>
    <row r="700" spans="3:12">
      <c r="C700" s="237"/>
      <c r="D700" s="237"/>
      <c r="H700" s="238"/>
      <c r="L700" s="238"/>
    </row>
    <row r="701" spans="3:12">
      <c r="C701" s="237"/>
      <c r="D701" s="237"/>
      <c r="H701" s="238"/>
      <c r="L701" s="238"/>
    </row>
    <row r="702" spans="3:12">
      <c r="C702" s="237"/>
      <c r="D702" s="237"/>
      <c r="H702" s="238"/>
      <c r="L702" s="238"/>
    </row>
    <row r="703" spans="3:12">
      <c r="C703" s="237"/>
      <c r="D703" s="237"/>
      <c r="H703" s="238"/>
      <c r="L703" s="238"/>
    </row>
    <row r="704" spans="3:12">
      <c r="C704" s="237"/>
      <c r="D704" s="237"/>
      <c r="H704" s="238"/>
      <c r="L704" s="238"/>
    </row>
    <row r="705" spans="3:12">
      <c r="C705" s="237"/>
      <c r="D705" s="237"/>
      <c r="H705" s="238"/>
      <c r="L705" s="238"/>
    </row>
    <row r="706" spans="3:12">
      <c r="C706" s="237"/>
      <c r="D706" s="237"/>
      <c r="H706" s="238"/>
      <c r="L706" s="238"/>
    </row>
    <row r="707" spans="3:12">
      <c r="C707" s="237"/>
      <c r="D707" s="237"/>
      <c r="H707" s="238"/>
      <c r="L707" s="238"/>
    </row>
    <row r="708" spans="3:12">
      <c r="C708" s="237"/>
      <c r="D708" s="237"/>
      <c r="H708" s="238"/>
      <c r="L708" s="238"/>
    </row>
    <row r="709" spans="3:12">
      <c r="C709" s="237"/>
      <c r="D709" s="237"/>
      <c r="H709" s="238"/>
      <c r="L709" s="238"/>
    </row>
    <row r="710" spans="3:12">
      <c r="C710" s="237"/>
      <c r="D710" s="237"/>
      <c r="H710" s="238"/>
      <c r="L710" s="238"/>
    </row>
    <row r="711" spans="3:12">
      <c r="C711" s="237"/>
      <c r="D711" s="237"/>
      <c r="H711" s="238"/>
      <c r="L711" s="238"/>
    </row>
    <row r="712" spans="3:12">
      <c r="C712" s="237"/>
      <c r="D712" s="237"/>
      <c r="H712" s="238"/>
      <c r="L712" s="238"/>
    </row>
    <row r="713" spans="3:12">
      <c r="C713" s="237"/>
      <c r="D713" s="237"/>
      <c r="H713" s="238"/>
      <c r="L713" s="238"/>
    </row>
    <row r="714" spans="3:12">
      <c r="C714" s="237"/>
      <c r="D714" s="237"/>
      <c r="H714" s="238"/>
      <c r="L714" s="238"/>
    </row>
    <row r="715" spans="3:12">
      <c r="C715" s="237"/>
      <c r="D715" s="237"/>
      <c r="H715" s="238"/>
      <c r="L715" s="238"/>
    </row>
    <row r="716" spans="3:12">
      <c r="C716" s="237"/>
      <c r="D716" s="237"/>
      <c r="H716" s="238"/>
      <c r="L716" s="238"/>
    </row>
    <row r="717" spans="3:12">
      <c r="C717" s="237"/>
      <c r="D717" s="237"/>
      <c r="H717" s="238"/>
      <c r="L717" s="238"/>
    </row>
    <row r="718" spans="3:12">
      <c r="C718" s="237"/>
      <c r="D718" s="237"/>
      <c r="H718" s="238"/>
      <c r="L718" s="238"/>
    </row>
    <row r="719" spans="3:12">
      <c r="C719" s="237"/>
      <c r="D719" s="237"/>
      <c r="H719" s="238"/>
      <c r="L719" s="238"/>
    </row>
    <row r="720" spans="3:12">
      <c r="C720" s="237"/>
      <c r="D720" s="237"/>
      <c r="H720" s="238"/>
      <c r="L720" s="238"/>
    </row>
    <row r="721" spans="3:12">
      <c r="C721" s="237"/>
      <c r="D721" s="237"/>
      <c r="H721" s="238"/>
      <c r="L721" s="238"/>
    </row>
    <row r="722" spans="3:12">
      <c r="C722" s="237"/>
      <c r="D722" s="237"/>
      <c r="H722" s="238"/>
      <c r="L722" s="238"/>
    </row>
    <row r="723" spans="3:12">
      <c r="C723" s="237"/>
      <c r="D723" s="237"/>
      <c r="H723" s="238"/>
      <c r="L723" s="238"/>
    </row>
    <row r="724" spans="3:12">
      <c r="C724" s="237"/>
      <c r="D724" s="237"/>
      <c r="H724" s="238"/>
      <c r="L724" s="238"/>
    </row>
    <row r="725" spans="3:12">
      <c r="C725" s="237"/>
      <c r="D725" s="237"/>
      <c r="H725" s="238"/>
      <c r="L725" s="238"/>
    </row>
    <row r="726" spans="3:12">
      <c r="C726" s="237"/>
      <c r="D726" s="237"/>
      <c r="H726" s="238"/>
      <c r="L726" s="238"/>
    </row>
    <row r="727" spans="3:12">
      <c r="C727" s="237"/>
      <c r="D727" s="237"/>
      <c r="H727" s="238"/>
      <c r="L727" s="238"/>
    </row>
    <row r="728" spans="3:12">
      <c r="C728" s="237"/>
      <c r="D728" s="237"/>
      <c r="H728" s="238"/>
      <c r="L728" s="238"/>
    </row>
    <row r="729" spans="3:12">
      <c r="C729" s="237"/>
      <c r="D729" s="237"/>
      <c r="H729" s="238"/>
      <c r="L729" s="238"/>
    </row>
    <row r="730" spans="3:12">
      <c r="C730" s="237"/>
      <c r="D730" s="237"/>
      <c r="H730" s="238"/>
      <c r="L730" s="238"/>
    </row>
    <row r="731" spans="3:12">
      <c r="C731" s="237"/>
      <c r="D731" s="237"/>
      <c r="H731" s="238"/>
      <c r="L731" s="238"/>
    </row>
    <row r="732" spans="3:12">
      <c r="C732" s="237"/>
      <c r="D732" s="237"/>
      <c r="H732" s="238"/>
      <c r="L732" s="238"/>
    </row>
    <row r="733" spans="3:12">
      <c r="C733" s="237"/>
      <c r="D733" s="237"/>
      <c r="H733" s="238"/>
      <c r="L733" s="238"/>
    </row>
    <row r="734" spans="3:12">
      <c r="C734" s="237"/>
      <c r="D734" s="237"/>
      <c r="H734" s="238"/>
      <c r="L734" s="238"/>
    </row>
    <row r="735" spans="3:12">
      <c r="C735" s="237"/>
      <c r="D735" s="237"/>
      <c r="H735" s="238"/>
      <c r="L735" s="238"/>
    </row>
    <row r="736" spans="3:12">
      <c r="C736" s="237"/>
      <c r="D736" s="237"/>
      <c r="H736" s="238"/>
      <c r="L736" s="238"/>
    </row>
    <row r="737" spans="3:12">
      <c r="C737" s="237"/>
      <c r="D737" s="237"/>
      <c r="H737" s="238"/>
      <c r="L737" s="238"/>
    </row>
    <row r="738" spans="3:12">
      <c r="C738" s="237"/>
      <c r="D738" s="237"/>
      <c r="H738" s="238"/>
      <c r="L738" s="238"/>
    </row>
    <row r="739" spans="3:12">
      <c r="C739" s="237"/>
      <c r="D739" s="237"/>
      <c r="H739" s="238"/>
      <c r="L739" s="238"/>
    </row>
    <row r="740" spans="3:12">
      <c r="C740" s="237"/>
      <c r="D740" s="237"/>
      <c r="H740" s="238"/>
      <c r="L740" s="238"/>
    </row>
    <row r="741" spans="3:12">
      <c r="C741" s="237"/>
      <c r="D741" s="237"/>
      <c r="H741" s="238"/>
      <c r="L741" s="238"/>
    </row>
    <row r="742" spans="3:12">
      <c r="C742" s="237"/>
      <c r="D742" s="237"/>
      <c r="H742" s="238"/>
      <c r="L742" s="238"/>
    </row>
    <row r="743" spans="3:12">
      <c r="C743" s="237"/>
      <c r="D743" s="237"/>
      <c r="H743" s="238"/>
      <c r="L743" s="238"/>
    </row>
    <row r="744" spans="3:12">
      <c r="C744" s="237"/>
      <c r="D744" s="237"/>
      <c r="H744" s="238"/>
      <c r="L744" s="238"/>
    </row>
    <row r="745" spans="3:12">
      <c r="C745" s="237"/>
      <c r="D745" s="237"/>
      <c r="H745" s="238"/>
      <c r="L745" s="238"/>
    </row>
    <row r="746" spans="3:12">
      <c r="C746" s="237"/>
      <c r="D746" s="237"/>
      <c r="H746" s="238"/>
      <c r="L746" s="238"/>
    </row>
    <row r="747" spans="3:12">
      <c r="C747" s="237"/>
      <c r="D747" s="237"/>
      <c r="H747" s="238"/>
      <c r="L747" s="238"/>
    </row>
    <row r="748" spans="3:12">
      <c r="C748" s="237"/>
      <c r="D748" s="237"/>
      <c r="H748" s="238"/>
      <c r="L748" s="238"/>
    </row>
    <row r="749" spans="3:12">
      <c r="C749" s="237"/>
      <c r="D749" s="237"/>
      <c r="H749" s="238"/>
      <c r="L749" s="238"/>
    </row>
    <row r="750" spans="3:12">
      <c r="C750" s="237"/>
      <c r="D750" s="237"/>
      <c r="H750" s="238"/>
      <c r="L750" s="238"/>
    </row>
    <row r="751" spans="3:12">
      <c r="C751" s="237"/>
      <c r="D751" s="237"/>
      <c r="H751" s="238"/>
      <c r="L751" s="238"/>
    </row>
    <row r="752" spans="3:12">
      <c r="C752" s="237"/>
      <c r="D752" s="237"/>
      <c r="H752" s="238"/>
      <c r="L752" s="238"/>
    </row>
    <row r="753" spans="3:12">
      <c r="C753" s="237"/>
      <c r="D753" s="237"/>
      <c r="H753" s="238"/>
      <c r="L753" s="238"/>
    </row>
    <row r="754" spans="3:12">
      <c r="C754" s="237"/>
      <c r="D754" s="237"/>
      <c r="H754" s="238"/>
      <c r="L754" s="238"/>
    </row>
    <row r="755" spans="3:12">
      <c r="C755" s="237"/>
      <c r="D755" s="237"/>
      <c r="H755" s="238"/>
      <c r="L755" s="238"/>
    </row>
    <row r="756" spans="3:12">
      <c r="C756" s="237"/>
      <c r="D756" s="237"/>
      <c r="H756" s="238"/>
      <c r="L756" s="238"/>
    </row>
    <row r="757" spans="3:12">
      <c r="C757" s="237"/>
      <c r="D757" s="237"/>
      <c r="H757" s="238"/>
      <c r="L757" s="238"/>
    </row>
    <row r="758" spans="3:12">
      <c r="C758" s="237"/>
      <c r="D758" s="237"/>
      <c r="H758" s="238"/>
      <c r="L758" s="238"/>
    </row>
    <row r="759" spans="3:12">
      <c r="C759" s="237"/>
      <c r="D759" s="237"/>
      <c r="H759" s="238"/>
      <c r="L759" s="238"/>
    </row>
    <row r="760" spans="3:12">
      <c r="C760" s="237"/>
      <c r="D760" s="237"/>
      <c r="H760" s="238"/>
      <c r="L760" s="238"/>
    </row>
    <row r="761" spans="3:12">
      <c r="C761" s="237"/>
      <c r="D761" s="237"/>
      <c r="H761" s="238"/>
      <c r="L761" s="238"/>
    </row>
    <row r="762" spans="3:12">
      <c r="C762" s="237"/>
      <c r="D762" s="237"/>
      <c r="H762" s="238"/>
      <c r="L762" s="238"/>
    </row>
    <row r="763" spans="3:12">
      <c r="C763" s="237"/>
      <c r="D763" s="237"/>
      <c r="H763" s="238"/>
      <c r="L763" s="238"/>
    </row>
    <row r="764" spans="3:12">
      <c r="C764" s="237"/>
      <c r="D764" s="237"/>
      <c r="H764" s="238"/>
      <c r="L764" s="238"/>
    </row>
    <row r="765" spans="3:12">
      <c r="C765" s="237"/>
      <c r="D765" s="237"/>
      <c r="H765" s="238"/>
      <c r="L765" s="238"/>
    </row>
    <row r="766" spans="3:12">
      <c r="C766" s="237"/>
      <c r="D766" s="237"/>
      <c r="H766" s="238"/>
      <c r="L766" s="238"/>
    </row>
    <row r="767" spans="3:12">
      <c r="C767" s="237"/>
      <c r="D767" s="237"/>
      <c r="H767" s="238"/>
      <c r="L767" s="238"/>
    </row>
    <row r="768" spans="3:12">
      <c r="C768" s="237"/>
      <c r="D768" s="237"/>
      <c r="H768" s="238"/>
      <c r="L768" s="238"/>
    </row>
    <row r="769" spans="3:12">
      <c r="C769" s="237"/>
      <c r="D769" s="237"/>
      <c r="H769" s="238"/>
      <c r="L769" s="238"/>
    </row>
    <row r="770" spans="3:12">
      <c r="C770" s="237"/>
      <c r="D770" s="237"/>
      <c r="H770" s="238"/>
      <c r="L770" s="238"/>
    </row>
    <row r="771" spans="3:12">
      <c r="C771" s="237"/>
      <c r="D771" s="237"/>
      <c r="H771" s="238"/>
      <c r="L771" s="238"/>
    </row>
    <row r="772" spans="3:12">
      <c r="C772" s="237"/>
      <c r="D772" s="237"/>
      <c r="H772" s="238"/>
      <c r="L772" s="238"/>
    </row>
    <row r="773" spans="3:12">
      <c r="C773" s="237"/>
      <c r="D773" s="237"/>
      <c r="H773" s="238"/>
      <c r="L773" s="238"/>
    </row>
    <row r="774" spans="3:12">
      <c r="C774" s="237"/>
      <c r="D774" s="237"/>
      <c r="H774" s="238"/>
      <c r="L774" s="238"/>
    </row>
    <row r="775" spans="3:12">
      <c r="C775" s="237"/>
      <c r="D775" s="237"/>
      <c r="H775" s="238"/>
      <c r="L775" s="238"/>
    </row>
    <row r="776" spans="3:12">
      <c r="C776" s="237"/>
      <c r="D776" s="237"/>
      <c r="H776" s="238"/>
      <c r="L776" s="238"/>
    </row>
    <row r="777" spans="3:12">
      <c r="C777" s="237"/>
      <c r="D777" s="237"/>
      <c r="H777" s="238"/>
      <c r="L777" s="238"/>
    </row>
    <row r="778" spans="3:12">
      <c r="C778" s="237"/>
      <c r="D778" s="237"/>
      <c r="H778" s="238"/>
      <c r="L778" s="238"/>
    </row>
    <row r="779" spans="3:12">
      <c r="C779" s="237"/>
      <c r="D779" s="237"/>
      <c r="H779" s="238"/>
      <c r="L779" s="238"/>
    </row>
    <row r="780" spans="3:12">
      <c r="C780" s="237"/>
      <c r="D780" s="237"/>
      <c r="H780" s="238"/>
      <c r="L780" s="238"/>
    </row>
    <row r="781" spans="3:12">
      <c r="C781" s="237"/>
      <c r="D781" s="237"/>
      <c r="H781" s="238"/>
      <c r="L781" s="238"/>
    </row>
    <row r="782" spans="3:12">
      <c r="C782" s="237"/>
      <c r="D782" s="237"/>
      <c r="H782" s="238"/>
      <c r="L782" s="238"/>
    </row>
    <row r="783" spans="3:12">
      <c r="C783" s="237"/>
      <c r="D783" s="237"/>
      <c r="H783" s="238"/>
      <c r="L783" s="238"/>
    </row>
    <row r="784" spans="3:12">
      <c r="C784" s="237"/>
      <c r="D784" s="237"/>
      <c r="H784" s="238"/>
      <c r="L784" s="238"/>
    </row>
    <row r="785" spans="3:12">
      <c r="C785" s="237"/>
      <c r="D785" s="237"/>
      <c r="H785" s="238"/>
      <c r="L785" s="238"/>
    </row>
    <row r="786" spans="3:12">
      <c r="C786" s="237"/>
      <c r="D786" s="237"/>
      <c r="H786" s="238"/>
      <c r="L786" s="238"/>
    </row>
    <row r="787" spans="3:12">
      <c r="C787" s="237"/>
      <c r="D787" s="237"/>
      <c r="H787" s="238"/>
      <c r="L787" s="238"/>
    </row>
    <row r="788" spans="3:12">
      <c r="C788" s="237"/>
      <c r="D788" s="237"/>
      <c r="H788" s="238"/>
      <c r="L788" s="238"/>
    </row>
    <row r="789" spans="3:12">
      <c r="C789" s="237"/>
      <c r="D789" s="237"/>
      <c r="H789" s="238"/>
      <c r="L789" s="238"/>
    </row>
    <row r="790" spans="3:12">
      <c r="C790" s="237"/>
      <c r="D790" s="237"/>
      <c r="H790" s="238"/>
      <c r="L790" s="238"/>
    </row>
    <row r="791" spans="3:12">
      <c r="C791" s="237"/>
      <c r="D791" s="237"/>
      <c r="H791" s="238"/>
      <c r="L791" s="238"/>
    </row>
    <row r="792" spans="3:12">
      <c r="C792" s="237"/>
      <c r="D792" s="237"/>
      <c r="H792" s="238"/>
      <c r="L792" s="238"/>
    </row>
    <row r="793" spans="3:12">
      <c r="C793" s="237"/>
      <c r="D793" s="237"/>
      <c r="H793" s="238"/>
      <c r="L793" s="238"/>
    </row>
    <row r="794" spans="3:12">
      <c r="C794" s="237"/>
      <c r="D794" s="237"/>
      <c r="H794" s="238"/>
      <c r="L794" s="238"/>
    </row>
    <row r="795" spans="3:12">
      <c r="C795" s="237"/>
      <c r="D795" s="237"/>
      <c r="H795" s="238"/>
      <c r="L795" s="238"/>
    </row>
    <row r="796" spans="3:12">
      <c r="C796" s="237"/>
      <c r="D796" s="237"/>
      <c r="H796" s="238"/>
      <c r="L796" s="238"/>
    </row>
    <row r="797" spans="3:12">
      <c r="C797" s="237"/>
      <c r="D797" s="237"/>
      <c r="H797" s="238"/>
      <c r="L797" s="238"/>
    </row>
    <row r="798" spans="3:12">
      <c r="C798" s="237"/>
      <c r="D798" s="237"/>
      <c r="H798" s="238"/>
      <c r="L798" s="238"/>
    </row>
    <row r="799" spans="3:12">
      <c r="C799" s="237"/>
      <c r="D799" s="237"/>
      <c r="H799" s="238"/>
      <c r="L799" s="238"/>
    </row>
    <row r="800" spans="3:12">
      <c r="C800" s="237"/>
      <c r="D800" s="237"/>
      <c r="H800" s="238"/>
      <c r="L800" s="238"/>
    </row>
    <row r="801" spans="3:12">
      <c r="C801" s="237"/>
      <c r="D801" s="237"/>
      <c r="H801" s="238"/>
      <c r="L801" s="238"/>
    </row>
    <row r="802" spans="3:12">
      <c r="C802" s="237"/>
      <c r="D802" s="237"/>
      <c r="H802" s="238"/>
      <c r="L802" s="238"/>
    </row>
    <row r="803" spans="3:12">
      <c r="C803" s="237"/>
      <c r="D803" s="237"/>
      <c r="H803" s="238"/>
      <c r="L803" s="238"/>
    </row>
    <row r="804" spans="3:12">
      <c r="C804" s="237"/>
      <c r="D804" s="237"/>
      <c r="H804" s="238"/>
      <c r="L804" s="238"/>
    </row>
    <row r="805" spans="3:12">
      <c r="C805" s="237"/>
      <c r="D805" s="237"/>
      <c r="H805" s="238"/>
      <c r="L805" s="238"/>
    </row>
    <row r="806" spans="3:12">
      <c r="C806" s="237"/>
      <c r="D806" s="237"/>
      <c r="H806" s="238"/>
      <c r="L806" s="238"/>
    </row>
    <row r="807" spans="3:12">
      <c r="C807" s="237"/>
      <c r="D807" s="237"/>
      <c r="H807" s="238"/>
      <c r="L807" s="238"/>
    </row>
    <row r="808" spans="3:12">
      <c r="C808" s="237"/>
      <c r="D808" s="237"/>
      <c r="H808" s="238"/>
      <c r="L808" s="238"/>
    </row>
    <row r="809" spans="3:12">
      <c r="C809" s="237"/>
      <c r="D809" s="237"/>
      <c r="H809" s="238"/>
      <c r="L809" s="238"/>
    </row>
    <row r="810" spans="3:12">
      <c r="C810" s="237"/>
      <c r="D810" s="237"/>
      <c r="H810" s="238"/>
      <c r="L810" s="238"/>
    </row>
    <row r="811" spans="3:12">
      <c r="C811" s="237"/>
      <c r="D811" s="237"/>
      <c r="H811" s="238"/>
      <c r="L811" s="238"/>
    </row>
    <row r="812" spans="3:12">
      <c r="C812" s="237"/>
      <c r="D812" s="237"/>
      <c r="H812" s="238"/>
      <c r="L812" s="238"/>
    </row>
    <row r="813" spans="3:12">
      <c r="C813" s="237"/>
      <c r="D813" s="237"/>
      <c r="H813" s="238"/>
      <c r="L813" s="238"/>
    </row>
    <row r="814" spans="3:12">
      <c r="C814" s="237"/>
      <c r="D814" s="237"/>
      <c r="H814" s="238"/>
      <c r="L814" s="238"/>
    </row>
    <row r="815" spans="3:12">
      <c r="C815" s="237"/>
      <c r="D815" s="237"/>
      <c r="H815" s="238"/>
      <c r="L815" s="238"/>
    </row>
    <row r="816" spans="3:12">
      <c r="C816" s="237"/>
      <c r="D816" s="237"/>
      <c r="H816" s="238"/>
      <c r="L816" s="238"/>
    </row>
    <row r="817" spans="3:12">
      <c r="C817" s="237"/>
      <c r="D817" s="237"/>
      <c r="H817" s="238"/>
      <c r="L817" s="238"/>
    </row>
    <row r="818" spans="3:12">
      <c r="C818" s="237"/>
      <c r="D818" s="237"/>
      <c r="H818" s="238"/>
      <c r="L818" s="238"/>
    </row>
    <row r="819" spans="3:12">
      <c r="C819" s="237"/>
      <c r="D819" s="237"/>
      <c r="H819" s="238"/>
      <c r="L819" s="238"/>
    </row>
    <row r="820" spans="3:12">
      <c r="C820" s="237"/>
      <c r="D820" s="237"/>
      <c r="H820" s="238"/>
      <c r="L820" s="238"/>
    </row>
    <row r="821" spans="3:12">
      <c r="C821" s="237"/>
      <c r="D821" s="237"/>
      <c r="H821" s="238"/>
      <c r="L821" s="238"/>
    </row>
    <row r="822" spans="3:12">
      <c r="C822" s="237"/>
      <c r="D822" s="237"/>
      <c r="H822" s="238"/>
      <c r="L822" s="238"/>
    </row>
    <row r="823" spans="3:12">
      <c r="C823" s="237"/>
      <c r="D823" s="237"/>
      <c r="H823" s="238"/>
      <c r="L823" s="238"/>
    </row>
    <row r="824" spans="3:12">
      <c r="C824" s="237"/>
      <c r="D824" s="237"/>
      <c r="H824" s="238"/>
      <c r="L824" s="238"/>
    </row>
    <row r="825" spans="3:12">
      <c r="C825" s="237"/>
      <c r="D825" s="237"/>
      <c r="H825" s="238"/>
      <c r="L825" s="238"/>
    </row>
    <row r="826" spans="3:12">
      <c r="C826" s="237"/>
      <c r="D826" s="237"/>
      <c r="H826" s="238"/>
      <c r="L826" s="238"/>
    </row>
    <row r="827" spans="3:12">
      <c r="C827" s="237"/>
      <c r="D827" s="237"/>
      <c r="H827" s="238"/>
      <c r="L827" s="238"/>
    </row>
    <row r="828" spans="3:12">
      <c r="C828" s="237"/>
      <c r="D828" s="237"/>
      <c r="H828" s="238"/>
      <c r="L828" s="238"/>
    </row>
    <row r="829" spans="3:12">
      <c r="C829" s="237"/>
      <c r="D829" s="237"/>
      <c r="H829" s="238"/>
      <c r="L829" s="238"/>
    </row>
    <row r="830" spans="3:12">
      <c r="C830" s="237"/>
      <c r="D830" s="237"/>
      <c r="H830" s="238"/>
      <c r="L830" s="238"/>
    </row>
    <row r="831" spans="3:12">
      <c r="C831" s="237"/>
      <c r="D831" s="237"/>
      <c r="H831" s="238"/>
      <c r="L831" s="238"/>
    </row>
    <row r="832" spans="3:12">
      <c r="C832" s="237"/>
      <c r="D832" s="237"/>
      <c r="H832" s="238"/>
      <c r="L832" s="238"/>
    </row>
    <row r="833" spans="3:12">
      <c r="C833" s="237"/>
      <c r="D833" s="237"/>
      <c r="H833" s="238"/>
      <c r="L833" s="238"/>
    </row>
    <row r="834" spans="3:12">
      <c r="C834" s="237"/>
      <c r="D834" s="237"/>
      <c r="H834" s="238"/>
      <c r="L834" s="238"/>
    </row>
    <row r="835" spans="3:12">
      <c r="C835" s="237"/>
      <c r="D835" s="237"/>
      <c r="H835" s="238"/>
      <c r="L835" s="238"/>
    </row>
    <row r="836" spans="3:12">
      <c r="C836" s="237"/>
      <c r="D836" s="237"/>
      <c r="H836" s="238"/>
      <c r="L836" s="238"/>
    </row>
    <row r="837" spans="3:12">
      <c r="C837" s="237"/>
      <c r="D837" s="237"/>
      <c r="H837" s="238"/>
      <c r="L837" s="238"/>
    </row>
    <row r="838" spans="3:12">
      <c r="C838" s="237"/>
      <c r="D838" s="237"/>
      <c r="H838" s="238"/>
      <c r="L838" s="238"/>
    </row>
    <row r="839" spans="3:12">
      <c r="C839" s="237"/>
      <c r="D839" s="237"/>
      <c r="H839" s="238"/>
      <c r="L839" s="238"/>
    </row>
    <row r="840" spans="3:12">
      <c r="C840" s="237"/>
      <c r="D840" s="237"/>
      <c r="H840" s="238"/>
      <c r="L840" s="238"/>
    </row>
    <row r="841" spans="3:12">
      <c r="C841" s="237"/>
      <c r="D841" s="237"/>
      <c r="H841" s="238"/>
      <c r="L841" s="238"/>
    </row>
    <row r="842" spans="3:12">
      <c r="C842" s="237"/>
      <c r="D842" s="237"/>
      <c r="H842" s="238"/>
      <c r="L842" s="238"/>
    </row>
    <row r="843" spans="3:12">
      <c r="C843" s="237"/>
      <c r="D843" s="237"/>
      <c r="H843" s="238"/>
      <c r="L843" s="238"/>
    </row>
    <row r="844" spans="3:12">
      <c r="C844" s="237"/>
      <c r="D844" s="237"/>
      <c r="H844" s="238"/>
      <c r="L844" s="238"/>
    </row>
    <row r="845" spans="3:12">
      <c r="C845" s="237"/>
      <c r="D845" s="237"/>
      <c r="H845" s="238"/>
      <c r="L845" s="238"/>
    </row>
    <row r="846" spans="3:12">
      <c r="C846" s="237"/>
      <c r="D846" s="237"/>
      <c r="H846" s="238"/>
      <c r="L846" s="238"/>
    </row>
    <row r="847" spans="3:12">
      <c r="C847" s="237"/>
      <c r="D847" s="237"/>
      <c r="H847" s="238"/>
      <c r="L847" s="238"/>
    </row>
    <row r="848" spans="3:12">
      <c r="C848" s="237"/>
      <c r="D848" s="237"/>
      <c r="H848" s="238"/>
      <c r="L848" s="238"/>
    </row>
    <row r="849" spans="3:12">
      <c r="C849" s="237"/>
      <c r="D849" s="237"/>
      <c r="H849" s="238"/>
      <c r="L849" s="238"/>
    </row>
    <row r="850" spans="3:12">
      <c r="C850" s="237"/>
      <c r="D850" s="237"/>
      <c r="H850" s="238"/>
      <c r="L850" s="238"/>
    </row>
    <row r="851" spans="3:12">
      <c r="C851" s="237"/>
      <c r="D851" s="237"/>
      <c r="H851" s="238"/>
      <c r="L851" s="238"/>
    </row>
    <row r="852" spans="3:12">
      <c r="C852" s="237"/>
      <c r="D852" s="237"/>
      <c r="H852" s="238"/>
      <c r="L852" s="238"/>
    </row>
    <row r="853" spans="3:12">
      <c r="C853" s="237"/>
      <c r="D853" s="237"/>
      <c r="H853" s="238"/>
      <c r="L853" s="238"/>
    </row>
    <row r="854" spans="3:12">
      <c r="C854" s="237"/>
      <c r="D854" s="237"/>
      <c r="H854" s="238"/>
      <c r="L854" s="238"/>
    </row>
    <row r="855" spans="3:12">
      <c r="C855" s="237"/>
      <c r="D855" s="237"/>
      <c r="H855" s="238"/>
      <c r="L855" s="238"/>
    </row>
    <row r="856" spans="3:12">
      <c r="C856" s="237"/>
      <c r="D856" s="237"/>
      <c r="H856" s="238"/>
      <c r="L856" s="238"/>
    </row>
    <row r="857" spans="3:12">
      <c r="C857" s="237"/>
      <c r="D857" s="237"/>
      <c r="H857" s="238"/>
      <c r="L857" s="238"/>
    </row>
    <row r="858" spans="3:12">
      <c r="C858" s="237"/>
      <c r="D858" s="237"/>
      <c r="H858" s="238"/>
      <c r="L858" s="238"/>
    </row>
    <row r="859" spans="3:12">
      <c r="C859" s="237"/>
      <c r="D859" s="237"/>
      <c r="H859" s="238"/>
      <c r="L859" s="238"/>
    </row>
    <row r="860" spans="3:12">
      <c r="C860" s="237"/>
      <c r="D860" s="237"/>
      <c r="H860" s="238"/>
      <c r="L860" s="238"/>
    </row>
    <row r="861" spans="3:12">
      <c r="C861" s="237"/>
      <c r="D861" s="237"/>
      <c r="H861" s="238"/>
      <c r="L861" s="238"/>
    </row>
    <row r="862" spans="3:12">
      <c r="C862" s="237"/>
      <c r="D862" s="237"/>
      <c r="H862" s="238"/>
      <c r="L862" s="238"/>
    </row>
    <row r="863" spans="3:12">
      <c r="C863" s="237"/>
      <c r="D863" s="237"/>
      <c r="H863" s="238"/>
      <c r="L863" s="238"/>
    </row>
    <row r="864" spans="3:12">
      <c r="C864" s="237"/>
      <c r="D864" s="237"/>
      <c r="H864" s="238"/>
      <c r="L864" s="238"/>
    </row>
    <row r="865" spans="3:12">
      <c r="C865" s="237"/>
      <c r="D865" s="237"/>
      <c r="H865" s="238"/>
      <c r="L865" s="238"/>
    </row>
    <row r="866" spans="3:12">
      <c r="C866" s="237"/>
      <c r="D866" s="237"/>
      <c r="H866" s="238"/>
      <c r="L866" s="238"/>
    </row>
    <row r="867" spans="3:12">
      <c r="C867" s="237"/>
      <c r="D867" s="237"/>
      <c r="H867" s="238"/>
      <c r="L867" s="238"/>
    </row>
    <row r="868" spans="3:12">
      <c r="C868" s="237"/>
      <c r="D868" s="237"/>
      <c r="H868" s="238"/>
      <c r="L868" s="238"/>
    </row>
    <row r="869" spans="3:12">
      <c r="C869" s="237"/>
      <c r="D869" s="237"/>
      <c r="H869" s="238"/>
      <c r="L869" s="238"/>
    </row>
    <row r="870" spans="3:12">
      <c r="C870" s="237"/>
      <c r="D870" s="237"/>
      <c r="H870" s="238"/>
      <c r="L870" s="238"/>
    </row>
    <row r="871" spans="3:12">
      <c r="C871" s="237"/>
      <c r="D871" s="237"/>
      <c r="H871" s="238"/>
      <c r="L871" s="238"/>
    </row>
    <row r="872" spans="3:12">
      <c r="C872" s="237"/>
      <c r="D872" s="237"/>
      <c r="H872" s="238"/>
      <c r="L872" s="238"/>
    </row>
    <row r="873" spans="3:12">
      <c r="C873" s="237"/>
      <c r="D873" s="237"/>
      <c r="H873" s="238"/>
      <c r="L873" s="238"/>
    </row>
    <row r="874" spans="3:12">
      <c r="C874" s="237"/>
      <c r="D874" s="237"/>
      <c r="H874" s="238"/>
      <c r="L874" s="238"/>
    </row>
    <row r="875" spans="3:12">
      <c r="C875" s="237"/>
      <c r="D875" s="237"/>
      <c r="H875" s="238"/>
      <c r="L875" s="238"/>
    </row>
    <row r="876" spans="3:12">
      <c r="C876" s="237"/>
      <c r="D876" s="237"/>
      <c r="H876" s="238"/>
      <c r="L876" s="238"/>
    </row>
    <row r="877" spans="3:12">
      <c r="C877" s="237"/>
      <c r="D877" s="237"/>
      <c r="H877" s="238"/>
      <c r="L877" s="238"/>
    </row>
    <row r="878" spans="3:12">
      <c r="C878" s="237"/>
      <c r="D878" s="237"/>
      <c r="H878" s="238"/>
      <c r="L878" s="238"/>
    </row>
    <row r="879" spans="3:12">
      <c r="C879" s="237"/>
      <c r="D879" s="237"/>
      <c r="H879" s="238"/>
      <c r="L879" s="238"/>
    </row>
    <row r="880" spans="3:12">
      <c r="C880" s="237"/>
      <c r="D880" s="237"/>
      <c r="H880" s="238"/>
      <c r="L880" s="238"/>
    </row>
    <row r="881" spans="3:12">
      <c r="C881" s="237"/>
      <c r="D881" s="237"/>
      <c r="H881" s="238"/>
      <c r="L881" s="238"/>
    </row>
    <row r="882" spans="3:12">
      <c r="C882" s="237"/>
      <c r="D882" s="237"/>
      <c r="H882" s="238"/>
      <c r="L882" s="238"/>
    </row>
    <row r="883" spans="3:12">
      <c r="C883" s="237"/>
      <c r="D883" s="237"/>
      <c r="H883" s="238"/>
      <c r="L883" s="238"/>
    </row>
    <row r="884" spans="3:12">
      <c r="C884" s="237"/>
      <c r="D884" s="237"/>
      <c r="H884" s="238"/>
      <c r="L884" s="238"/>
    </row>
    <row r="885" spans="3:12">
      <c r="C885" s="237"/>
      <c r="D885" s="237"/>
      <c r="H885" s="238"/>
      <c r="L885" s="238"/>
    </row>
    <row r="886" spans="3:12">
      <c r="C886" s="237"/>
      <c r="D886" s="237"/>
      <c r="H886" s="238"/>
      <c r="L886" s="238"/>
    </row>
    <row r="887" spans="3:12">
      <c r="C887" s="237"/>
      <c r="D887" s="237"/>
      <c r="H887" s="238"/>
      <c r="L887" s="238"/>
    </row>
    <row r="888" spans="3:12">
      <c r="C888" s="237"/>
      <c r="D888" s="237"/>
      <c r="H888" s="238"/>
      <c r="L888" s="238"/>
    </row>
    <row r="889" spans="3:12">
      <c r="C889" s="237"/>
      <c r="D889" s="237"/>
      <c r="H889" s="238"/>
      <c r="L889" s="238"/>
    </row>
    <row r="890" spans="3:12">
      <c r="C890" s="237"/>
      <c r="D890" s="237"/>
      <c r="H890" s="238"/>
      <c r="L890" s="238"/>
    </row>
    <row r="891" spans="3:12">
      <c r="C891" s="237"/>
      <c r="D891" s="237"/>
      <c r="H891" s="238"/>
      <c r="L891" s="238"/>
    </row>
    <row r="892" spans="3:12">
      <c r="C892" s="237"/>
      <c r="D892" s="237"/>
      <c r="H892" s="238"/>
      <c r="L892" s="238"/>
    </row>
    <row r="893" spans="3:12">
      <c r="C893" s="237"/>
      <c r="D893" s="237"/>
      <c r="H893" s="238"/>
      <c r="L893" s="238"/>
    </row>
    <row r="894" spans="3:12">
      <c r="C894" s="237"/>
      <c r="D894" s="237"/>
      <c r="H894" s="238"/>
      <c r="L894" s="238"/>
    </row>
    <row r="895" spans="3:12">
      <c r="C895" s="237"/>
      <c r="D895" s="237"/>
      <c r="H895" s="238"/>
      <c r="L895" s="238"/>
    </row>
    <row r="896" spans="3:12">
      <c r="C896" s="237"/>
      <c r="D896" s="237"/>
      <c r="H896" s="238"/>
      <c r="L896" s="238"/>
    </row>
    <row r="897" spans="3:12">
      <c r="C897" s="237"/>
      <c r="D897" s="237"/>
      <c r="H897" s="238"/>
      <c r="L897" s="238"/>
    </row>
    <row r="898" spans="3:12">
      <c r="C898" s="237"/>
      <c r="D898" s="237"/>
      <c r="H898" s="238"/>
      <c r="L898" s="238"/>
    </row>
    <row r="899" spans="3:12">
      <c r="C899" s="237"/>
      <c r="D899" s="237"/>
      <c r="H899" s="238"/>
      <c r="L899" s="238"/>
    </row>
    <row r="900" spans="3:12">
      <c r="C900" s="237"/>
      <c r="D900" s="237"/>
      <c r="H900" s="238"/>
      <c r="L900" s="238"/>
    </row>
    <row r="901" spans="3:12">
      <c r="C901" s="237"/>
      <c r="D901" s="237"/>
      <c r="H901" s="238"/>
      <c r="L901" s="238"/>
    </row>
    <row r="902" spans="3:12">
      <c r="C902" s="237"/>
      <c r="D902" s="237"/>
      <c r="H902" s="238"/>
      <c r="L902" s="238"/>
    </row>
    <row r="903" spans="3:12">
      <c r="C903" s="237"/>
      <c r="D903" s="237"/>
      <c r="H903" s="238"/>
      <c r="L903" s="238"/>
    </row>
    <row r="904" spans="3:12">
      <c r="C904" s="237"/>
      <c r="D904" s="237"/>
      <c r="H904" s="238"/>
      <c r="L904" s="238"/>
    </row>
    <row r="905" spans="3:12">
      <c r="C905" s="237"/>
      <c r="D905" s="237"/>
      <c r="H905" s="238"/>
      <c r="L905" s="238"/>
    </row>
    <row r="906" spans="3:12">
      <c r="C906" s="237"/>
      <c r="D906" s="237"/>
      <c r="H906" s="238"/>
      <c r="L906" s="238"/>
    </row>
    <row r="907" spans="3:12">
      <c r="C907" s="237"/>
      <c r="D907" s="237"/>
      <c r="H907" s="238"/>
      <c r="L907" s="238"/>
    </row>
    <row r="908" spans="3:12">
      <c r="C908" s="237"/>
      <c r="D908" s="237"/>
      <c r="H908" s="238"/>
      <c r="L908" s="238"/>
    </row>
    <row r="909" spans="3:12">
      <c r="C909" s="237"/>
      <c r="D909" s="237"/>
      <c r="H909" s="238"/>
      <c r="L909" s="238"/>
    </row>
    <row r="910" spans="3:12">
      <c r="C910" s="237"/>
      <c r="D910" s="237"/>
      <c r="H910" s="238"/>
      <c r="L910" s="238"/>
    </row>
    <row r="911" spans="3:12">
      <c r="C911" s="237"/>
      <c r="D911" s="237"/>
      <c r="H911" s="238"/>
      <c r="L911" s="238"/>
    </row>
    <row r="912" spans="3:12">
      <c r="C912" s="237"/>
      <c r="D912" s="237"/>
      <c r="H912" s="238"/>
      <c r="L912" s="238"/>
    </row>
    <row r="913" spans="3:12">
      <c r="C913" s="237"/>
      <c r="D913" s="237"/>
      <c r="H913" s="238"/>
      <c r="L913" s="238"/>
    </row>
    <row r="914" spans="3:12">
      <c r="C914" s="237"/>
      <c r="D914" s="237"/>
      <c r="H914" s="238"/>
      <c r="L914" s="238"/>
    </row>
    <row r="915" spans="3:12">
      <c r="C915" s="237"/>
      <c r="D915" s="237"/>
      <c r="H915" s="238"/>
      <c r="L915" s="238"/>
    </row>
    <row r="916" spans="3:12">
      <c r="C916" s="237"/>
      <c r="D916" s="237"/>
      <c r="H916" s="238"/>
      <c r="L916" s="238"/>
    </row>
    <row r="917" spans="3:12">
      <c r="C917" s="237"/>
      <c r="D917" s="237"/>
      <c r="H917" s="238"/>
      <c r="L917" s="238"/>
    </row>
    <row r="918" spans="3:12">
      <c r="C918" s="237"/>
      <c r="D918" s="237"/>
      <c r="H918" s="238"/>
      <c r="L918" s="238"/>
    </row>
    <row r="919" spans="3:12">
      <c r="C919" s="237"/>
      <c r="D919" s="237"/>
      <c r="H919" s="238"/>
      <c r="L919" s="238"/>
    </row>
    <row r="920" spans="3:12">
      <c r="C920" s="237"/>
      <c r="D920" s="237"/>
      <c r="H920" s="238"/>
      <c r="L920" s="238"/>
    </row>
    <row r="921" spans="3:12">
      <c r="C921" s="237"/>
      <c r="D921" s="237"/>
      <c r="H921" s="238"/>
      <c r="L921" s="238"/>
    </row>
    <row r="922" spans="3:12">
      <c r="C922" s="237"/>
      <c r="D922" s="237"/>
      <c r="H922" s="238"/>
      <c r="L922" s="238"/>
    </row>
    <row r="923" spans="3:12">
      <c r="C923" s="237"/>
      <c r="D923" s="237"/>
      <c r="H923" s="238"/>
      <c r="L923" s="238"/>
    </row>
    <row r="924" spans="3:12">
      <c r="C924" s="237"/>
      <c r="D924" s="237"/>
      <c r="H924" s="238"/>
      <c r="L924" s="238"/>
    </row>
    <row r="925" spans="3:12">
      <c r="C925" s="237"/>
      <c r="D925" s="237"/>
      <c r="H925" s="238"/>
      <c r="L925" s="238"/>
    </row>
    <row r="926" spans="3:12">
      <c r="C926" s="237"/>
      <c r="D926" s="237"/>
      <c r="H926" s="238"/>
      <c r="L926" s="238"/>
    </row>
    <row r="927" spans="3:12">
      <c r="C927" s="237"/>
      <c r="D927" s="237"/>
      <c r="H927" s="238"/>
      <c r="L927" s="238"/>
    </row>
    <row r="928" spans="3:12">
      <c r="C928" s="237"/>
      <c r="D928" s="237"/>
      <c r="H928" s="238"/>
      <c r="L928" s="238"/>
    </row>
    <row r="929" spans="3:12">
      <c r="C929" s="237"/>
      <c r="D929" s="237"/>
      <c r="H929" s="238"/>
      <c r="L929" s="238"/>
    </row>
    <row r="930" spans="3:12">
      <c r="C930" s="237"/>
      <c r="D930" s="237"/>
      <c r="H930" s="238"/>
      <c r="L930" s="238"/>
    </row>
    <row r="931" spans="3:12">
      <c r="C931" s="237"/>
      <c r="D931" s="237"/>
      <c r="H931" s="238"/>
      <c r="L931" s="238"/>
    </row>
    <row r="932" spans="3:12">
      <c r="C932" s="237"/>
      <c r="D932" s="237"/>
      <c r="H932" s="238"/>
      <c r="L932" s="238"/>
    </row>
    <row r="933" spans="3:12">
      <c r="C933" s="237"/>
      <c r="D933" s="237"/>
      <c r="H933" s="238"/>
      <c r="L933" s="238"/>
    </row>
    <row r="934" spans="3:12">
      <c r="C934" s="237"/>
      <c r="D934" s="237"/>
      <c r="H934" s="238"/>
      <c r="L934" s="238"/>
    </row>
    <row r="935" spans="3:12">
      <c r="C935" s="237"/>
      <c r="D935" s="237"/>
      <c r="H935" s="238"/>
      <c r="L935" s="238"/>
    </row>
    <row r="936" spans="3:12">
      <c r="C936" s="237"/>
      <c r="D936" s="237"/>
      <c r="H936" s="238"/>
      <c r="L936" s="238"/>
    </row>
    <row r="937" spans="3:12">
      <c r="C937" s="237"/>
      <c r="D937" s="237"/>
      <c r="H937" s="238"/>
      <c r="L937" s="238"/>
    </row>
    <row r="938" spans="3:12">
      <c r="C938" s="237"/>
      <c r="D938" s="237"/>
      <c r="H938" s="238"/>
      <c r="L938" s="238"/>
    </row>
    <row r="939" spans="3:12">
      <c r="C939" s="237"/>
      <c r="D939" s="237"/>
      <c r="H939" s="238"/>
      <c r="L939" s="238"/>
    </row>
    <row r="940" spans="3:12">
      <c r="C940" s="237"/>
      <c r="D940" s="237"/>
      <c r="H940" s="238"/>
      <c r="L940" s="238"/>
    </row>
    <row r="941" spans="3:12">
      <c r="C941" s="237"/>
      <c r="D941" s="237"/>
      <c r="H941" s="238"/>
      <c r="L941" s="238"/>
    </row>
    <row r="942" spans="3:12">
      <c r="C942" s="237"/>
      <c r="D942" s="237"/>
      <c r="H942" s="238"/>
      <c r="L942" s="238"/>
    </row>
    <row r="943" spans="3:12">
      <c r="C943" s="237"/>
      <c r="D943" s="237"/>
      <c r="H943" s="238"/>
      <c r="L943" s="238"/>
    </row>
    <row r="944" spans="3:12">
      <c r="C944" s="237"/>
      <c r="D944" s="237"/>
      <c r="H944" s="238"/>
      <c r="L944" s="238"/>
    </row>
    <row r="945" spans="3:12">
      <c r="C945" s="237"/>
      <c r="D945" s="237"/>
      <c r="H945" s="238"/>
      <c r="L945" s="238"/>
    </row>
    <row r="946" spans="3:12">
      <c r="C946" s="237"/>
      <c r="D946" s="237"/>
      <c r="H946" s="238"/>
      <c r="L946" s="238"/>
    </row>
    <row r="947" spans="3:12">
      <c r="C947" s="237"/>
      <c r="D947" s="237"/>
      <c r="H947" s="238"/>
      <c r="L947" s="238"/>
    </row>
    <row r="948" spans="3:12">
      <c r="C948" s="237"/>
      <c r="D948" s="237"/>
      <c r="H948" s="238"/>
      <c r="L948" s="238"/>
    </row>
    <row r="949" spans="3:12">
      <c r="C949" s="237"/>
      <c r="D949" s="237"/>
      <c r="H949" s="238"/>
      <c r="L949" s="238"/>
    </row>
    <row r="950" spans="3:12">
      <c r="C950" s="237"/>
      <c r="D950" s="237"/>
      <c r="H950" s="238"/>
      <c r="L950" s="238"/>
    </row>
    <row r="951" spans="3:12">
      <c r="C951" s="237"/>
      <c r="D951" s="237"/>
      <c r="H951" s="238"/>
      <c r="L951" s="238"/>
    </row>
    <row r="952" spans="3:12">
      <c r="C952" s="237"/>
      <c r="D952" s="237"/>
      <c r="H952" s="238"/>
      <c r="L952" s="238"/>
    </row>
    <row r="953" spans="3:12">
      <c r="C953" s="237"/>
      <c r="D953" s="237"/>
      <c r="H953" s="238"/>
      <c r="L953" s="238"/>
    </row>
    <row r="954" spans="3:12">
      <c r="C954" s="237"/>
      <c r="D954" s="237"/>
      <c r="H954" s="238"/>
      <c r="L954" s="238"/>
    </row>
    <row r="955" spans="3:12">
      <c r="C955" s="237"/>
      <c r="D955" s="237"/>
      <c r="H955" s="238"/>
      <c r="L955" s="238"/>
    </row>
    <row r="956" spans="3:12">
      <c r="C956" s="237"/>
      <c r="D956" s="237"/>
      <c r="H956" s="238"/>
      <c r="L956" s="238"/>
    </row>
    <row r="957" spans="3:12">
      <c r="C957" s="237"/>
      <c r="D957" s="237"/>
      <c r="H957" s="238"/>
      <c r="L957" s="238"/>
    </row>
    <row r="958" spans="3:12">
      <c r="C958" s="237"/>
      <c r="D958" s="237"/>
      <c r="H958" s="238"/>
      <c r="L958" s="238"/>
    </row>
    <row r="959" spans="3:12">
      <c r="C959" s="237"/>
      <c r="D959" s="237"/>
      <c r="H959" s="238"/>
      <c r="L959" s="238"/>
    </row>
    <row r="960" spans="3:12">
      <c r="C960" s="237"/>
      <c r="D960" s="237"/>
      <c r="H960" s="238"/>
      <c r="L960" s="238"/>
    </row>
    <row r="961" spans="3:12">
      <c r="C961" s="237"/>
      <c r="D961" s="237"/>
      <c r="H961" s="238"/>
      <c r="L961" s="238"/>
    </row>
    <row r="962" spans="3:12">
      <c r="C962" s="237"/>
      <c r="D962" s="237"/>
      <c r="H962" s="238"/>
      <c r="L962" s="238"/>
    </row>
    <row r="963" spans="3:12">
      <c r="C963" s="237"/>
      <c r="D963" s="237"/>
      <c r="H963" s="238"/>
      <c r="L963" s="238"/>
    </row>
    <row r="964" spans="3:12">
      <c r="C964" s="237"/>
      <c r="D964" s="237"/>
      <c r="H964" s="238"/>
      <c r="L964" s="238"/>
    </row>
    <row r="965" spans="3:12">
      <c r="C965" s="237"/>
      <c r="D965" s="237"/>
      <c r="H965" s="238"/>
      <c r="L965" s="238"/>
    </row>
    <row r="966" spans="3:12">
      <c r="C966" s="237"/>
      <c r="D966" s="237"/>
      <c r="H966" s="238"/>
      <c r="L966" s="238"/>
    </row>
    <row r="967" spans="3:12">
      <c r="C967" s="237"/>
      <c r="D967" s="237"/>
      <c r="H967" s="238"/>
      <c r="L967" s="238"/>
    </row>
    <row r="968" spans="3:12">
      <c r="C968" s="237"/>
      <c r="D968" s="237"/>
      <c r="H968" s="238"/>
      <c r="L968" s="238"/>
    </row>
    <row r="969" spans="3:12">
      <c r="C969" s="237"/>
      <c r="D969" s="237"/>
      <c r="H969" s="238"/>
      <c r="L969" s="238"/>
    </row>
    <row r="970" spans="3:12">
      <c r="C970" s="237"/>
      <c r="D970" s="237"/>
      <c r="H970" s="238"/>
      <c r="L970" s="238"/>
    </row>
    <row r="971" spans="3:12">
      <c r="C971" s="237"/>
      <c r="D971" s="237"/>
      <c r="H971" s="238"/>
      <c r="L971" s="238"/>
    </row>
    <row r="973" spans="3:12">
      <c r="K973" s="3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S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workbookViewId="0">
      <pane ySplit="1" topLeftCell="A194" activePane="bottomLeft" state="frozen"/>
      <selection/>
      <selection pane="bottomLeft" activeCell="H319" sqref="H319:H326"/>
    </sheetView>
  </sheetViews>
  <sheetFormatPr defaultColWidth="12.6285714285714" defaultRowHeight="12.75"/>
  <cols>
    <col min="2" max="2" width="38.3333333333333" customWidth="1"/>
    <col min="3" max="3" width="17.9428571428571" style="202" customWidth="1"/>
    <col min="4" max="4" width="16" style="203"/>
    <col min="5" max="5" width="11.5142857142857" customWidth="1"/>
    <col min="6" max="6" width="30.1428571428571" customWidth="1"/>
    <col min="7" max="7" width="15.5047619047619" style="204" customWidth="1"/>
    <col min="8" max="8" width="17.2857142857143" style="193" customWidth="1"/>
    <col min="9" max="9" width="12.6285714285714" style="193"/>
    <col min="10" max="12" width="12.6285714285714" style="140"/>
    <col min="13" max="13" width="9.85714285714286" customWidth="1"/>
    <col min="14" max="14" width="9.71428571428571" customWidth="1"/>
    <col min="15" max="15" width="11.7142857142857" style="4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5" t="s">
        <v>125</v>
      </c>
      <c r="B1" s="5" t="s">
        <v>1</v>
      </c>
      <c r="C1" s="206" t="s">
        <v>126</v>
      </c>
      <c r="D1" s="207" t="s">
        <v>127</v>
      </c>
      <c r="E1" s="205" t="s">
        <v>128</v>
      </c>
      <c r="F1" s="205" t="s">
        <v>129</v>
      </c>
      <c r="G1" s="208" t="s">
        <v>130</v>
      </c>
      <c r="H1" s="193" t="s">
        <v>131</v>
      </c>
      <c r="I1" s="209" t="s">
        <v>132</v>
      </c>
      <c r="J1" s="210" t="s">
        <v>133</v>
      </c>
      <c r="K1" s="197" t="s">
        <v>134</v>
      </c>
      <c r="L1" s="140" t="s">
        <v>135</v>
      </c>
      <c r="M1" s="205" t="s">
        <v>20</v>
      </c>
      <c r="N1" s="205" t="s">
        <v>18</v>
      </c>
      <c r="O1" s="208" t="s">
        <v>136</v>
      </c>
      <c r="P1" s="205" t="s">
        <v>137</v>
      </c>
      <c r="Q1" s="205" t="s">
        <v>138</v>
      </c>
      <c r="R1" s="205" t="s">
        <v>139</v>
      </c>
      <c r="S1" s="205" t="s">
        <v>140</v>
      </c>
    </row>
    <row r="2" spans="1:19">
      <c r="A2" s="211">
        <v>46023</v>
      </c>
      <c r="B2" s="6" t="str">
        <f>VLOOKUP(C2,'Product List'!A:C,3,0)</f>
        <v>MINI/MOE RUFFLE BOWL</v>
      </c>
      <c r="C2" s="129" t="s">
        <v>83</v>
      </c>
      <c r="D2" s="173">
        <f>VLOOKUP(C2,'Product List'!A:B,2,0)</f>
        <v>850030338969</v>
      </c>
      <c r="E2" s="95" t="s">
        <v>141</v>
      </c>
      <c r="F2" s="95" t="s">
        <v>141</v>
      </c>
      <c r="G2" s="99">
        <v>240</v>
      </c>
      <c r="H2" s="212" t="s">
        <v>142</v>
      </c>
      <c r="I2" s="212" t="s">
        <v>142</v>
      </c>
      <c r="J2" s="140">
        <v>46063</v>
      </c>
      <c r="K2" s="140">
        <v>46063</v>
      </c>
      <c r="L2" s="212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99">
        <f t="shared" ref="O2:O65" si="0">G2/N2</f>
        <v>5</v>
      </c>
      <c r="P2" s="213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211">
        <v>46023</v>
      </c>
      <c r="B3" s="6" t="str">
        <f>VLOOKUP(C3,'Product List'!A:C,3,0)</f>
        <v>MINI/MOE WOODLAND POTTY</v>
      </c>
      <c r="C3" s="129" t="s">
        <v>30</v>
      </c>
      <c r="D3" s="173">
        <f>VLOOKUP(C3,'Product List'!A:B,2,0)</f>
        <v>760762457077</v>
      </c>
      <c r="E3" s="95" t="s">
        <v>141</v>
      </c>
      <c r="F3" s="95" t="s">
        <v>141</v>
      </c>
      <c r="G3" s="99">
        <v>756</v>
      </c>
      <c r="H3" s="212" t="s">
        <v>142</v>
      </c>
      <c r="I3" s="212" t="s">
        <v>142</v>
      </c>
      <c r="J3" s="140">
        <v>46063</v>
      </c>
      <c r="K3" s="140">
        <v>46063</v>
      </c>
      <c r="L3" s="212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99">
        <f t="shared" si="0"/>
        <v>21</v>
      </c>
      <c r="P3" s="213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211">
        <v>46023</v>
      </c>
      <c r="B4" s="6" t="str">
        <f>VLOOKUP(C4,'Product List'!A:C,3,0)</f>
        <v>MINI/MOE BENDABLE BIRCHWOOD FENCE</v>
      </c>
      <c r="C4" s="129" t="s">
        <v>34</v>
      </c>
      <c r="D4" s="173">
        <f>VLOOKUP(C4,'Product List'!A:B,2,0)</f>
        <v>850030338150</v>
      </c>
      <c r="E4" s="95" t="s">
        <v>141</v>
      </c>
      <c r="F4" s="95" t="s">
        <v>141</v>
      </c>
      <c r="G4" s="99">
        <v>1224</v>
      </c>
      <c r="H4" s="212" t="s">
        <v>142</v>
      </c>
      <c r="I4" s="212" t="s">
        <v>142</v>
      </c>
      <c r="J4" s="140">
        <v>46063</v>
      </c>
      <c r="K4" s="140">
        <v>46063</v>
      </c>
      <c r="L4" s="212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99">
        <f t="shared" si="0"/>
        <v>38.25</v>
      </c>
      <c r="P4" s="213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211">
        <v>46023</v>
      </c>
      <c r="B5" s="6" t="str">
        <f>VLOOKUP(C5,'Product List'!A:C,3,0)</f>
        <v>MINI/MOE SILENT CRSTL RUN WHEEL XL 11.5 1EA</v>
      </c>
      <c r="C5" s="129" t="s">
        <v>31</v>
      </c>
      <c r="D5" s="173">
        <f>VLOOKUP(C5,'Product List'!A:B,2,0)</f>
        <v>850030338518</v>
      </c>
      <c r="E5" s="95" t="s">
        <v>141</v>
      </c>
      <c r="F5" s="95" t="s">
        <v>141</v>
      </c>
      <c r="G5" s="99">
        <v>1324</v>
      </c>
      <c r="H5" s="212" t="s">
        <v>142</v>
      </c>
      <c r="I5" s="212" t="s">
        <v>142</v>
      </c>
      <c r="J5" s="140">
        <v>46063</v>
      </c>
      <c r="K5" s="140">
        <v>46063</v>
      </c>
      <c r="L5" s="212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99">
        <f t="shared" si="0"/>
        <v>441.333333333333</v>
      </c>
      <c r="P5" s="213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211">
        <v>46023</v>
      </c>
      <c r="B6" s="6" t="str">
        <f>VLOOKUP(C6,'Product List'!A:C,3,0)</f>
        <v>D. MMO-COTTAGE VIEW CAGE</v>
      </c>
      <c r="C6" s="129" t="s">
        <v>57</v>
      </c>
      <c r="D6" s="173">
        <f>VLOOKUP(C6,'Product List'!A:B,2,0)</f>
        <v>850030338730</v>
      </c>
      <c r="E6" s="95" t="s">
        <v>141</v>
      </c>
      <c r="F6" s="95" t="s">
        <v>141</v>
      </c>
      <c r="G6" s="99">
        <v>761</v>
      </c>
      <c r="H6" s="212" t="s">
        <v>142</v>
      </c>
      <c r="I6" s="212" t="s">
        <v>142</v>
      </c>
      <c r="J6" s="140">
        <v>46063</v>
      </c>
      <c r="K6" s="140">
        <v>46063</v>
      </c>
      <c r="L6" s="212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99">
        <f t="shared" si="0"/>
        <v>761</v>
      </c>
      <c r="P6" s="213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211">
        <v>46023</v>
      </c>
      <c r="B7" s="6" t="str">
        <f>VLOOKUP(C7,'Product List'!A:C,3,0)</f>
        <v>MINI/MOE TV VIEWING CAGE</v>
      </c>
      <c r="C7" s="129" t="s">
        <v>27</v>
      </c>
      <c r="D7" s="173">
        <f>VLOOKUP(C7,'Product List'!A:B,2,0)</f>
        <v>850030338761</v>
      </c>
      <c r="E7" s="95" t="s">
        <v>141</v>
      </c>
      <c r="F7" s="95" t="s">
        <v>141</v>
      </c>
      <c r="G7" s="99">
        <v>2218</v>
      </c>
      <c r="H7" s="212" t="s">
        <v>142</v>
      </c>
      <c r="I7" s="212" t="s">
        <v>142</v>
      </c>
      <c r="J7" s="140">
        <v>46063</v>
      </c>
      <c r="K7" s="140">
        <v>46063</v>
      </c>
      <c r="L7" s="212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99">
        <f t="shared" si="0"/>
        <v>2218</v>
      </c>
      <c r="P7" s="213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211">
        <v>46023</v>
      </c>
      <c r="B8" s="6" t="str">
        <f>VLOOKUP(C8,'Product List'!A:C,3,0)</f>
        <v>MINI/MOE TULIP WATER BOTTLE</v>
      </c>
      <c r="C8" s="129" t="s">
        <v>29</v>
      </c>
      <c r="D8" s="173">
        <f>VLOOKUP(C8,'Product List'!A:B,2,0)</f>
        <v>850062627567</v>
      </c>
      <c r="E8" s="95" t="s">
        <v>141</v>
      </c>
      <c r="F8" s="95" t="s">
        <v>141</v>
      </c>
      <c r="G8" s="99">
        <v>1260</v>
      </c>
      <c r="H8" s="212" t="s">
        <v>142</v>
      </c>
      <c r="I8" s="212" t="s">
        <v>142</v>
      </c>
      <c r="J8" s="140">
        <v>46063</v>
      </c>
      <c r="K8" s="140">
        <v>46063</v>
      </c>
      <c r="L8" s="212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99">
        <f t="shared" si="0"/>
        <v>21</v>
      </c>
      <c r="P8" s="213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211">
        <v>46023</v>
      </c>
      <c r="B9" s="6" t="str">
        <f>VLOOKUP(C9,'Product List'!A:C,3,0)</f>
        <v>MINI/MOE SILENT CRSTL RUN WHEEL LG 8.5-Green</v>
      </c>
      <c r="C9" s="129" t="s">
        <v>32</v>
      </c>
      <c r="D9" s="173">
        <f>VLOOKUP(C9,'Product List'!A:B,2,0)</f>
        <v>698746777135</v>
      </c>
      <c r="E9" s="95" t="s">
        <v>141</v>
      </c>
      <c r="F9" s="95" t="s">
        <v>141</v>
      </c>
      <c r="G9" s="99">
        <v>1820</v>
      </c>
      <c r="H9" s="212" t="s">
        <v>142</v>
      </c>
      <c r="I9" s="212" t="s">
        <v>142</v>
      </c>
      <c r="J9" s="140">
        <v>46063</v>
      </c>
      <c r="K9" s="140">
        <v>46063</v>
      </c>
      <c r="L9" s="212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99">
        <f t="shared" si="0"/>
        <v>227.5</v>
      </c>
      <c r="P9" s="213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211">
        <v>46023</v>
      </c>
      <c r="B10" s="6" t="str">
        <f>VLOOKUP(C10,'Product List'!A:C,3,0)</f>
        <v>MMO-COTTON NESTING BALLS</v>
      </c>
      <c r="C10" s="129" t="s">
        <v>43</v>
      </c>
      <c r="D10" s="173">
        <f>VLOOKUP(C10,'Product List'!A:B,2,0)</f>
        <v>850030338198</v>
      </c>
      <c r="E10" s="95" t="s">
        <v>141</v>
      </c>
      <c r="F10" s="95" t="s">
        <v>141</v>
      </c>
      <c r="G10" s="99">
        <v>1240</v>
      </c>
      <c r="H10" s="212" t="s">
        <v>142</v>
      </c>
      <c r="I10" s="212" t="s">
        <v>142</v>
      </c>
      <c r="J10" s="140">
        <v>46063</v>
      </c>
      <c r="K10" s="140">
        <v>46063</v>
      </c>
      <c r="L10" s="212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99">
        <f t="shared" si="0"/>
        <v>38.75</v>
      </c>
      <c r="P10" s="213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211">
        <v>46023</v>
      </c>
      <c r="B11" s="6" t="str">
        <f>VLOOKUP(C11,'Product List'!A:C,3,0)</f>
        <v>MMO-BUBBLE WATER BOTTLE</v>
      </c>
      <c r="C11" s="129" t="s">
        <v>38</v>
      </c>
      <c r="D11" s="173">
        <f>VLOOKUP(C11,'Product List'!A:B,2,0)</f>
        <v>760762456971</v>
      </c>
      <c r="E11" s="95" t="s">
        <v>141</v>
      </c>
      <c r="F11" s="95" t="s">
        <v>141</v>
      </c>
      <c r="G11" s="99">
        <v>1116</v>
      </c>
      <c r="H11" s="212" t="s">
        <v>142</v>
      </c>
      <c r="I11" s="212" t="s">
        <v>142</v>
      </c>
      <c r="J11" s="140">
        <v>46063</v>
      </c>
      <c r="K11" s="140">
        <v>46063</v>
      </c>
      <c r="L11" s="212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99">
        <f t="shared" si="0"/>
        <v>26.5714285714286</v>
      </c>
      <c r="P11" s="213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211">
        <v>46023</v>
      </c>
      <c r="B12" s="6" t="str">
        <f>VLOOKUP(C12,'Product List'!A:C,3,0)</f>
        <v>MMO-CLOUD WATER BOTTLE</v>
      </c>
      <c r="C12" s="129" t="s">
        <v>37</v>
      </c>
      <c r="D12" s="173">
        <f>VLOOKUP(C12,'Product List'!A:B,2,0)</f>
        <v>850030338112</v>
      </c>
      <c r="E12" s="95" t="s">
        <v>141</v>
      </c>
      <c r="F12" s="95" t="s">
        <v>141</v>
      </c>
      <c r="G12" s="99">
        <v>1440</v>
      </c>
      <c r="H12" s="212" t="s">
        <v>142</v>
      </c>
      <c r="I12" s="212" t="s">
        <v>142</v>
      </c>
      <c r="J12" s="140">
        <v>46063</v>
      </c>
      <c r="K12" s="140">
        <v>46063</v>
      </c>
      <c r="L12" s="212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99">
        <f t="shared" si="0"/>
        <v>28.8</v>
      </c>
      <c r="P12" s="213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211">
        <v>46023</v>
      </c>
      <c r="B13" s="6" t="str">
        <f>VLOOKUP(C13,'Product List'!A:C,3,0)</f>
        <v>MMO-PAPER PEBBLES</v>
      </c>
      <c r="C13" s="129" t="s">
        <v>42</v>
      </c>
      <c r="D13" s="173">
        <f>VLOOKUP(C13,'Product List'!A:B,2,0)</f>
        <v>850067049258</v>
      </c>
      <c r="E13" s="95" t="s">
        <v>141</v>
      </c>
      <c r="F13" s="95" t="s">
        <v>141</v>
      </c>
      <c r="G13" s="99">
        <v>1100</v>
      </c>
      <c r="H13" s="212" t="s">
        <v>142</v>
      </c>
      <c r="I13" s="212" t="s">
        <v>142</v>
      </c>
      <c r="J13" s="140">
        <v>46063</v>
      </c>
      <c r="K13" s="140">
        <v>46063</v>
      </c>
      <c r="L13" s="212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99">
        <f t="shared" si="0"/>
        <v>91.6666666666667</v>
      </c>
      <c r="P13" s="213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211">
        <v>46023</v>
      </c>
      <c r="B14" s="6" t="str">
        <f>VLOOKUP(C14,'Product List'!A:C,3,0)</f>
        <v>MMO-PAPER TWIST BLU/WHT</v>
      </c>
      <c r="C14" s="129" t="s">
        <v>44</v>
      </c>
      <c r="D14" s="173">
        <f>VLOOKUP(C14,'Product List'!A:B,2,0)</f>
        <v>850030338075</v>
      </c>
      <c r="E14" s="95" t="s">
        <v>141</v>
      </c>
      <c r="F14" s="95" t="s">
        <v>141</v>
      </c>
      <c r="G14" s="99">
        <v>1242</v>
      </c>
      <c r="H14" s="212" t="s">
        <v>142</v>
      </c>
      <c r="I14" s="212" t="s">
        <v>142</v>
      </c>
      <c r="J14" s="140">
        <v>46063</v>
      </c>
      <c r="K14" s="140">
        <v>46063</v>
      </c>
      <c r="L14" s="212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99">
        <f t="shared" si="0"/>
        <v>41.4</v>
      </c>
      <c r="P14" s="213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211">
        <v>46023</v>
      </c>
      <c r="B15" s="6" t="str">
        <f>VLOOKUP(C15,'Product List'!A:C,3,0)</f>
        <v>MINI/MOE RUFFLE BOWL</v>
      </c>
      <c r="C15" s="129" t="s">
        <v>83</v>
      </c>
      <c r="D15" s="173">
        <f>VLOOKUP(C15,'Product List'!A:B,2,0)</f>
        <v>850030338969</v>
      </c>
      <c r="E15" s="95" t="s">
        <v>141</v>
      </c>
      <c r="F15" s="95" t="s">
        <v>141</v>
      </c>
      <c r="G15" s="99">
        <v>1472</v>
      </c>
      <c r="H15" s="212" t="s">
        <v>142</v>
      </c>
      <c r="I15" s="212" t="s">
        <v>142</v>
      </c>
      <c r="J15" s="140">
        <v>46063</v>
      </c>
      <c r="K15" s="140">
        <v>46063</v>
      </c>
      <c r="L15" s="212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99">
        <f t="shared" si="0"/>
        <v>30.6666666666667</v>
      </c>
      <c r="P15" s="213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211">
        <v>46023</v>
      </c>
      <c r="B16" s="6" t="str">
        <f>VLOOKUP(C16,'Product List'!A:C,3,0)</f>
        <v>MMO-STARFISH CASTLE</v>
      </c>
      <c r="C16" s="129" t="s">
        <v>76</v>
      </c>
      <c r="D16" s="173">
        <f>VLOOKUP(C16,'Product List'!A:B,2,0)</f>
        <v>850030338433</v>
      </c>
      <c r="E16" s="95" t="s">
        <v>141</v>
      </c>
      <c r="F16" s="95" t="s">
        <v>141</v>
      </c>
      <c r="G16" s="99">
        <v>1008</v>
      </c>
      <c r="H16" s="212" t="s">
        <v>142</v>
      </c>
      <c r="I16" s="212" t="s">
        <v>142</v>
      </c>
      <c r="J16" s="140">
        <v>46063</v>
      </c>
      <c r="K16" s="140">
        <v>46063</v>
      </c>
      <c r="L16" s="212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99">
        <f t="shared" si="0"/>
        <v>50.4</v>
      </c>
      <c r="P16" s="213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211">
        <v>46023</v>
      </c>
      <c r="B17" s="6" t="str">
        <f>VLOOKUP(C17,'Product List'!A:C,3,0)</f>
        <v>MMO-WAVE BRIDGE</v>
      </c>
      <c r="C17" s="129" t="s">
        <v>82</v>
      </c>
      <c r="D17" s="173">
        <f>VLOOKUP(C17,'Product List'!A:B,2,0)</f>
        <v>850030338440</v>
      </c>
      <c r="E17" s="95" t="s">
        <v>141</v>
      </c>
      <c r="F17" s="95" t="s">
        <v>141</v>
      </c>
      <c r="G17" s="99">
        <v>1088</v>
      </c>
      <c r="H17" s="212" t="s">
        <v>142</v>
      </c>
      <c r="I17" s="212" t="s">
        <v>142</v>
      </c>
      <c r="J17" s="140">
        <v>46063</v>
      </c>
      <c r="K17" s="140">
        <v>46063</v>
      </c>
      <c r="L17" s="212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99">
        <f t="shared" si="0"/>
        <v>32.969696969697</v>
      </c>
      <c r="P17" s="213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211">
        <v>46079</v>
      </c>
      <c r="B18" s="6" t="str">
        <f>VLOOKUP(C18,'Product List'!A:C,3,0)</f>
        <v>MMO-CAMP LUNCH BOX CHEW</v>
      </c>
      <c r="C18" s="129" t="s">
        <v>40</v>
      </c>
      <c r="D18" s="173">
        <f>VLOOKUP(C18,'Product List'!A:B,2,0)</f>
        <v>698746777012</v>
      </c>
      <c r="E18" s="95" t="s">
        <v>143</v>
      </c>
      <c r="F18" s="95" t="s">
        <v>143</v>
      </c>
      <c r="G18" s="99">
        <v>1368</v>
      </c>
      <c r="H18" s="212" t="s">
        <v>142</v>
      </c>
      <c r="I18" s="212" t="s">
        <v>142</v>
      </c>
      <c r="J18" s="140">
        <v>46122</v>
      </c>
      <c r="K18" s="140">
        <v>46122</v>
      </c>
      <c r="L18" s="212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99">
        <f t="shared" si="0"/>
        <v>19</v>
      </c>
      <c r="P18" s="213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211">
        <v>46079</v>
      </c>
      <c r="B19" s="6" t="str">
        <f>VLOOKUP(C19,'Product List'!A:C,3,0)</f>
        <v>MMO-GREEN APPLE CHEW</v>
      </c>
      <c r="C19" s="129" t="s">
        <v>39</v>
      </c>
      <c r="D19" s="173">
        <f>VLOOKUP(C19,'Product List'!A:B,2,0)</f>
        <v>698746777081</v>
      </c>
      <c r="E19" s="95" t="s">
        <v>143</v>
      </c>
      <c r="F19" s="95" t="s">
        <v>143</v>
      </c>
      <c r="G19" s="99">
        <v>1440</v>
      </c>
      <c r="H19" s="212" t="s">
        <v>142</v>
      </c>
      <c r="I19" s="212" t="s">
        <v>142</v>
      </c>
      <c r="J19" s="140">
        <v>46122</v>
      </c>
      <c r="K19" s="140">
        <v>46122</v>
      </c>
      <c r="L19" s="212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99">
        <f t="shared" si="0"/>
        <v>30</v>
      </c>
      <c r="P19" s="213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211">
        <v>46079</v>
      </c>
      <c r="B20" s="6" t="str">
        <f>VLOOKUP(C20,'Product List'!A:C,3,0)</f>
        <v>MMO-SHELL PEARL HAMSTER CHEW</v>
      </c>
      <c r="C20" s="129" t="s">
        <v>48</v>
      </c>
      <c r="D20" s="173">
        <f>VLOOKUP(C20,'Product List'!A:B,2,0)</f>
        <v>698746777074</v>
      </c>
      <c r="E20" s="95" t="s">
        <v>143</v>
      </c>
      <c r="F20" s="95" t="s">
        <v>143</v>
      </c>
      <c r="G20" s="99">
        <v>1216</v>
      </c>
      <c r="H20" s="212" t="s">
        <v>142</v>
      </c>
      <c r="I20" s="212" t="s">
        <v>142</v>
      </c>
      <c r="J20" s="140">
        <v>46122</v>
      </c>
      <c r="K20" s="140">
        <v>46122</v>
      </c>
      <c r="L20" s="212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99">
        <f t="shared" si="0"/>
        <v>19</v>
      </c>
      <c r="P20" s="213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211">
        <v>46084</v>
      </c>
      <c r="B21" s="6" t="str">
        <f>VLOOKUP(C21,'Product List'!A:C,3,0)</f>
        <v>MMO-SHELL PEARL HAMSTER CHEW</v>
      </c>
      <c r="C21" s="129" t="s">
        <v>48</v>
      </c>
      <c r="D21" s="173">
        <f>VLOOKUP(C21,'Product List'!A:B,2,0)</f>
        <v>698746777074</v>
      </c>
      <c r="E21" s="95" t="s">
        <v>144</v>
      </c>
      <c r="F21" s="95" t="s">
        <v>144</v>
      </c>
      <c r="G21" s="99">
        <v>896</v>
      </c>
      <c r="H21" s="212" t="s">
        <v>142</v>
      </c>
      <c r="I21" s="212" t="s">
        <v>142</v>
      </c>
      <c r="J21" s="140">
        <v>46148</v>
      </c>
      <c r="K21" s="140">
        <v>46148</v>
      </c>
      <c r="L21" s="212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99">
        <f t="shared" si="0"/>
        <v>14</v>
      </c>
      <c r="P21" s="213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211">
        <v>46084</v>
      </c>
      <c r="B22" s="6" t="str">
        <f>VLOOKUP(C22,'Product List'!A:C,3,0)</f>
        <v>MMO-GREEN APPLE CHEW</v>
      </c>
      <c r="C22" s="129" t="s">
        <v>39</v>
      </c>
      <c r="D22" s="173">
        <f>VLOOKUP(C22,'Product List'!A:B,2,0)</f>
        <v>698746777081</v>
      </c>
      <c r="E22" s="95" t="s">
        <v>144</v>
      </c>
      <c r="F22" s="95" t="s">
        <v>144</v>
      </c>
      <c r="G22" s="99">
        <v>960</v>
      </c>
      <c r="H22" s="212" t="s">
        <v>142</v>
      </c>
      <c r="I22" s="212" t="s">
        <v>142</v>
      </c>
      <c r="J22" s="140">
        <v>46148</v>
      </c>
      <c r="K22" s="140">
        <v>46148</v>
      </c>
      <c r="L22" s="212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99">
        <f t="shared" si="0"/>
        <v>20</v>
      </c>
      <c r="P22" s="213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211">
        <v>46084</v>
      </c>
      <c r="B23" s="6" t="str">
        <f>VLOOKUP(C23,'Product List'!A:C,3,0)</f>
        <v>MMO-CAMP LUNCH BOX CHEW</v>
      </c>
      <c r="C23" s="129" t="s">
        <v>40</v>
      </c>
      <c r="D23" s="173">
        <f>VLOOKUP(C23,'Product List'!A:B,2,0)</f>
        <v>698746777012</v>
      </c>
      <c r="E23" s="95" t="s">
        <v>144</v>
      </c>
      <c r="F23" s="95" t="s">
        <v>144</v>
      </c>
      <c r="G23" s="99">
        <v>648</v>
      </c>
      <c r="H23" s="212" t="s">
        <v>142</v>
      </c>
      <c r="I23" s="212" t="s">
        <v>142</v>
      </c>
      <c r="J23" s="140">
        <v>46148</v>
      </c>
      <c r="K23" s="140">
        <v>46148</v>
      </c>
      <c r="L23" s="212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99">
        <f t="shared" si="0"/>
        <v>9</v>
      </c>
      <c r="P23" s="213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211">
        <v>46079</v>
      </c>
      <c r="B24" s="6" t="str">
        <f>VLOOKUP(C24,'Product List'!A:C,3,0)</f>
        <v>Forest Series Hamster Chew Toy &amp; Treat</v>
      </c>
      <c r="C24" s="129" t="s">
        <v>72</v>
      </c>
      <c r="D24" s="173">
        <f>VLOOKUP(C24,'Product List'!A:B,2,0)</f>
        <v>698746777005</v>
      </c>
      <c r="E24" s="95" t="s">
        <v>145</v>
      </c>
      <c r="F24" s="95" t="s">
        <v>145</v>
      </c>
      <c r="G24" s="99">
        <v>1440</v>
      </c>
      <c r="H24" s="212" t="s">
        <v>142</v>
      </c>
      <c r="I24" s="212" t="s">
        <v>142</v>
      </c>
      <c r="J24" s="140">
        <v>46148</v>
      </c>
      <c r="K24" s="140">
        <v>46148</v>
      </c>
      <c r="L24" s="212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99">
        <f t="shared" si="0"/>
        <v>24</v>
      </c>
      <c r="P24" s="213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211">
        <v>46079</v>
      </c>
      <c r="B25" s="6" t="str">
        <f>VLOOKUP(C25,'Product List'!A:C,3,0)</f>
        <v>Mushroom Spiral Staircase</v>
      </c>
      <c r="C25" s="129" t="s">
        <v>55</v>
      </c>
      <c r="D25" s="173">
        <f>VLOOKUP(C25,'Product List'!A:B,2,0)</f>
        <v>698746777029</v>
      </c>
      <c r="E25" s="95" t="s">
        <v>145</v>
      </c>
      <c r="F25" s="95" t="s">
        <v>145</v>
      </c>
      <c r="G25" s="99">
        <v>648</v>
      </c>
      <c r="H25" s="212" t="s">
        <v>142</v>
      </c>
      <c r="I25" s="212" t="s">
        <v>142</v>
      </c>
      <c r="J25" s="140">
        <v>46148</v>
      </c>
      <c r="K25" s="140">
        <v>46148</v>
      </c>
      <c r="L25" s="212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99">
        <f t="shared" si="0"/>
        <v>9</v>
      </c>
      <c r="P25" s="213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211">
        <v>46079</v>
      </c>
      <c r="B26" s="6" t="str">
        <f>VLOOKUP(C26,'Product List'!A:C,3,0)</f>
        <v>Forest Series Hamster Chew Toy &amp; Treat</v>
      </c>
      <c r="C26" s="129" t="s">
        <v>72</v>
      </c>
      <c r="D26" s="173">
        <f>VLOOKUP(C26,'Product List'!A:B,2,0)</f>
        <v>698746777005</v>
      </c>
      <c r="E26" s="95" t="s">
        <v>146</v>
      </c>
      <c r="F26" s="95" t="s">
        <v>146</v>
      </c>
      <c r="G26" s="99">
        <v>120</v>
      </c>
      <c r="H26" s="212" t="s">
        <v>142</v>
      </c>
      <c r="I26" s="212" t="s">
        <v>142</v>
      </c>
      <c r="J26" s="140">
        <v>46148</v>
      </c>
      <c r="K26" s="140">
        <v>46148</v>
      </c>
      <c r="L26" s="212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99">
        <f t="shared" si="0"/>
        <v>2</v>
      </c>
      <c r="P26" s="213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211">
        <v>46079</v>
      </c>
      <c r="B27" s="6" t="str">
        <f>VLOOKUP(C27,'Product List'!A:C,3,0)</f>
        <v>MMO-CAMP LUNCH BOX CHEW</v>
      </c>
      <c r="C27" s="129" t="s">
        <v>40</v>
      </c>
      <c r="D27" s="173">
        <f>VLOOKUP(C27,'Product List'!A:B,2,0)</f>
        <v>698746777012</v>
      </c>
      <c r="E27" s="95" t="s">
        <v>146</v>
      </c>
      <c r="F27" s="95" t="s">
        <v>146</v>
      </c>
      <c r="G27" s="99">
        <v>504</v>
      </c>
      <c r="H27" s="212" t="s">
        <v>142</v>
      </c>
      <c r="I27" s="212" t="s">
        <v>142</v>
      </c>
      <c r="J27" s="140">
        <v>46148</v>
      </c>
      <c r="K27" s="140">
        <v>46148</v>
      </c>
      <c r="L27" s="212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99">
        <f t="shared" si="0"/>
        <v>7</v>
      </c>
      <c r="P27" s="213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211">
        <v>46079</v>
      </c>
      <c r="B28" s="6" t="str">
        <f>VLOOKUP(C28,'Product List'!A:C,3,0)</f>
        <v>Swinging Swing Hamster Toy</v>
      </c>
      <c r="C28" s="129" t="s">
        <v>78</v>
      </c>
      <c r="D28" s="173">
        <f>VLOOKUP(C28,'Product List'!A:B,2,0)</f>
        <v>698746777036</v>
      </c>
      <c r="E28" s="95" t="s">
        <v>146</v>
      </c>
      <c r="F28" s="95" t="s">
        <v>146</v>
      </c>
      <c r="G28" s="99">
        <v>96</v>
      </c>
      <c r="H28" s="212" t="s">
        <v>142</v>
      </c>
      <c r="I28" s="212" t="s">
        <v>142</v>
      </c>
      <c r="J28" s="140">
        <v>46159</v>
      </c>
      <c r="K28" s="140">
        <v>46160</v>
      </c>
      <c r="L28" s="212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99">
        <f t="shared" si="0"/>
        <v>2</v>
      </c>
      <c r="P28" s="213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211">
        <v>46079</v>
      </c>
      <c r="B29" s="6" t="str">
        <f>VLOOKUP(C29,'Product List'!A:C,3,0)</f>
        <v>Tree Stump Hide</v>
      </c>
      <c r="C29" s="129" t="s">
        <v>81</v>
      </c>
      <c r="D29" s="173">
        <f>VLOOKUP(C29,'Product List'!A:B,2,0)</f>
        <v>850030338235</v>
      </c>
      <c r="E29" s="95" t="s">
        <v>146</v>
      </c>
      <c r="F29" s="95" t="s">
        <v>146</v>
      </c>
      <c r="G29" s="99">
        <v>96</v>
      </c>
      <c r="H29" s="212" t="s">
        <v>142</v>
      </c>
      <c r="I29" s="212" t="s">
        <v>142</v>
      </c>
      <c r="J29" s="140">
        <v>46159</v>
      </c>
      <c r="K29" s="140">
        <v>46160</v>
      </c>
      <c r="L29" s="212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99">
        <f t="shared" si="0"/>
        <v>4</v>
      </c>
      <c r="P29" s="213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211">
        <v>46079</v>
      </c>
      <c r="B30" s="6" t="str">
        <f>VLOOKUP(C30,'Product List'!A:C,3,0)</f>
        <v>MINI/MOE CAMPING TENT HIDE</v>
      </c>
      <c r="C30" s="129" t="s">
        <v>25</v>
      </c>
      <c r="D30" s="173">
        <f>VLOOKUP(C30,'Product List'!A:B,2,0)</f>
        <v>850030338082</v>
      </c>
      <c r="E30" s="95" t="s">
        <v>146</v>
      </c>
      <c r="F30" s="95" t="s">
        <v>146</v>
      </c>
      <c r="G30" s="99">
        <v>72</v>
      </c>
      <c r="H30" s="212" t="s">
        <v>142</v>
      </c>
      <c r="I30" s="212" t="s">
        <v>142</v>
      </c>
      <c r="J30" s="140">
        <v>46159</v>
      </c>
      <c r="K30" s="140">
        <v>46160</v>
      </c>
      <c r="L30" s="212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99">
        <f t="shared" si="0"/>
        <v>6</v>
      </c>
      <c r="P30" s="213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211">
        <v>46079</v>
      </c>
      <c r="B31" s="6" t="str">
        <f>VLOOKUP(C31,'Product List'!A:C,3,0)</f>
        <v>Bubble water bottle (color:green)</v>
      </c>
      <c r="C31" s="129" t="s">
        <v>80</v>
      </c>
      <c r="D31" s="173">
        <f>VLOOKUP(C31,'Product List'!A:B,2,0)</f>
        <v>634413994429</v>
      </c>
      <c r="E31" s="95" t="s">
        <v>146</v>
      </c>
      <c r="F31" s="95" t="s">
        <v>146</v>
      </c>
      <c r="G31" s="99">
        <v>72</v>
      </c>
      <c r="H31" s="212" t="s">
        <v>142</v>
      </c>
      <c r="I31" s="212" t="s">
        <v>142</v>
      </c>
      <c r="J31" s="140">
        <v>46159</v>
      </c>
      <c r="K31" s="140">
        <v>46160</v>
      </c>
      <c r="L31" s="212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99">
        <f t="shared" si="0"/>
        <v>4</v>
      </c>
      <c r="P31" s="213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211">
        <v>46079</v>
      </c>
      <c r="B32" s="6" t="str">
        <f>VLOOKUP(C32,'Product List'!A:C,3,0)</f>
        <v>Cotton multi color bedding</v>
      </c>
      <c r="C32" s="129" t="s">
        <v>50</v>
      </c>
      <c r="D32" s="173">
        <f>VLOOKUP(C32,'Product List'!A:B,2,0)</f>
        <v>698746777067</v>
      </c>
      <c r="E32" s="95" t="s">
        <v>146</v>
      </c>
      <c r="F32" s="95" t="s">
        <v>146</v>
      </c>
      <c r="G32" s="99">
        <v>320</v>
      </c>
      <c r="H32" s="212" t="s">
        <v>142</v>
      </c>
      <c r="I32" s="212" t="s">
        <v>142</v>
      </c>
      <c r="J32" s="140">
        <v>46159</v>
      </c>
      <c r="K32" s="140">
        <v>46160</v>
      </c>
      <c r="L32" s="212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99">
        <f t="shared" si="0"/>
        <v>10</v>
      </c>
      <c r="P32" s="213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211">
        <v>46079</v>
      </c>
      <c r="B33" s="6" t="str">
        <f>VLOOKUP(C33,'Product List'!A:C,3,0)</f>
        <v>MMO-PAPER PEBBLES</v>
      </c>
      <c r="C33" s="129" t="s">
        <v>42</v>
      </c>
      <c r="D33" s="173">
        <f>VLOOKUP(C33,'Product List'!A:B,2,0)</f>
        <v>850067049258</v>
      </c>
      <c r="E33" s="95" t="s">
        <v>146</v>
      </c>
      <c r="F33" s="95" t="s">
        <v>146</v>
      </c>
      <c r="G33" s="99">
        <v>300</v>
      </c>
      <c r="H33" s="212" t="s">
        <v>142</v>
      </c>
      <c r="I33" s="212" t="s">
        <v>142</v>
      </c>
      <c r="J33" s="140">
        <v>46159</v>
      </c>
      <c r="K33" s="140">
        <v>46160</v>
      </c>
      <c r="L33" s="212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99">
        <f t="shared" si="0"/>
        <v>25</v>
      </c>
      <c r="P33" s="213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211">
        <v>46079</v>
      </c>
      <c r="B34" s="6" t="str">
        <f>VLOOKUP(C34,'Product List'!A:C,3,0)</f>
        <v>Paper straw green bedding</v>
      </c>
      <c r="C34" s="129" t="s">
        <v>77</v>
      </c>
      <c r="D34" s="173">
        <f>VLOOKUP(C34,'Product List'!A:B,2,0)</f>
        <v>860006392840</v>
      </c>
      <c r="E34" s="95" t="s">
        <v>146</v>
      </c>
      <c r="F34" s="95" t="s">
        <v>146</v>
      </c>
      <c r="G34" s="99">
        <v>300</v>
      </c>
      <c r="H34" s="212" t="s">
        <v>142</v>
      </c>
      <c r="I34" s="212" t="s">
        <v>142</v>
      </c>
      <c r="J34" s="140">
        <v>46159</v>
      </c>
      <c r="K34" s="140">
        <v>46160</v>
      </c>
      <c r="L34" s="212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99">
        <f t="shared" si="0"/>
        <v>10</v>
      </c>
      <c r="P34" s="213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211">
        <v>46079</v>
      </c>
      <c r="B35" s="6" t="str">
        <f>VLOOKUP(C35,'Product List'!A:C,3,0)</f>
        <v>MINI/MOE SILENT CRSTL RUN WHEEL LG 8.5-White</v>
      </c>
      <c r="C35" s="129" t="s">
        <v>41</v>
      </c>
      <c r="D35" s="173">
        <f>VLOOKUP(C35,'Product List'!A:B,2,0)</f>
        <v>850062627680</v>
      </c>
      <c r="E35" s="95" t="s">
        <v>146</v>
      </c>
      <c r="F35" s="95" t="s">
        <v>146</v>
      </c>
      <c r="G35" s="99">
        <v>208</v>
      </c>
      <c r="H35" s="212" t="s">
        <v>142</v>
      </c>
      <c r="I35" s="212" t="s">
        <v>142</v>
      </c>
      <c r="J35" s="140">
        <v>46159</v>
      </c>
      <c r="K35" s="140">
        <v>46160</v>
      </c>
      <c r="L35" s="212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99">
        <f t="shared" si="0"/>
        <v>26</v>
      </c>
      <c r="P35" s="213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211">
        <v>46079</v>
      </c>
      <c r="B36" s="6" t="str">
        <f>VLOOKUP(C36,'Product List'!A:C,3,0)</f>
        <v>MINI/MOE TV VIEWING CAGE</v>
      </c>
      <c r="C36" s="129" t="s">
        <v>27</v>
      </c>
      <c r="D36" s="173">
        <f>VLOOKUP(C36,'Product List'!A:B,2,0)</f>
        <v>850030338761</v>
      </c>
      <c r="E36" s="95" t="s">
        <v>146</v>
      </c>
      <c r="F36" s="95" t="s">
        <v>146</v>
      </c>
      <c r="G36" s="99">
        <v>200</v>
      </c>
      <c r="H36" s="212" t="s">
        <v>142</v>
      </c>
      <c r="I36" s="212" t="s">
        <v>142</v>
      </c>
      <c r="J36" s="140">
        <v>46152</v>
      </c>
      <c r="K36" s="140">
        <v>46147</v>
      </c>
      <c r="L36" s="212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99">
        <f t="shared" si="0"/>
        <v>200</v>
      </c>
      <c r="P36" s="213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211">
        <v>46079</v>
      </c>
      <c r="B37" s="6" t="str">
        <f>VLOOKUP(C37,'Product List'!A:C,3,0)</f>
        <v>Paper twist brown / white bedding</v>
      </c>
      <c r="C37" s="129" t="s">
        <v>54</v>
      </c>
      <c r="D37" s="173">
        <f>VLOOKUP(C37,'Product List'!A:B,2,0)</f>
        <v>698746777050</v>
      </c>
      <c r="E37" s="95" t="s">
        <v>146</v>
      </c>
      <c r="F37" s="95" t="s">
        <v>146</v>
      </c>
      <c r="G37" s="99">
        <v>300</v>
      </c>
      <c r="H37" s="212" t="s">
        <v>142</v>
      </c>
      <c r="I37" s="212" t="s">
        <v>142</v>
      </c>
      <c r="J37" s="140">
        <v>46152</v>
      </c>
      <c r="K37" s="140">
        <v>46147</v>
      </c>
      <c r="L37" s="212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99">
        <f t="shared" si="0"/>
        <v>10</v>
      </c>
      <c r="P37" s="213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211">
        <v>46081</v>
      </c>
      <c r="B38" s="6" t="str">
        <f>VLOOKUP(C38,'Product List'!A:C,3,0)</f>
        <v>MINI/MOE TV VIEWING CAGE</v>
      </c>
      <c r="C38" s="129" t="s">
        <v>27</v>
      </c>
      <c r="D38" s="173">
        <f>VLOOKUP(C38,'Product List'!A:B,2,0)</f>
        <v>850030338761</v>
      </c>
      <c r="E38" s="95" t="s">
        <v>147</v>
      </c>
      <c r="F38" s="95" t="s">
        <v>147</v>
      </c>
      <c r="G38" s="99">
        <v>1692</v>
      </c>
      <c r="H38" s="212" t="s">
        <v>142</v>
      </c>
      <c r="I38" s="212" t="s">
        <v>142</v>
      </c>
      <c r="J38" s="140">
        <v>46146</v>
      </c>
      <c r="K38" s="140">
        <v>46147</v>
      </c>
      <c r="L38" s="212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99">
        <f t="shared" si="0"/>
        <v>1692</v>
      </c>
      <c r="P38" s="213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211">
        <v>46081</v>
      </c>
      <c r="B39" s="6" t="str">
        <f>VLOOKUP(C39,'Product List'!A:C,3,0)</f>
        <v>MINI/MOE SILENT CRSTL RUN WHEEL LG 8.5-White</v>
      </c>
      <c r="C39" s="129" t="s">
        <v>41</v>
      </c>
      <c r="D39" s="173">
        <f>VLOOKUP(C39,'Product List'!A:B,2,0)</f>
        <v>850062627680</v>
      </c>
      <c r="E39" s="95" t="s">
        <v>147</v>
      </c>
      <c r="F39" s="95" t="s">
        <v>147</v>
      </c>
      <c r="G39" s="99">
        <v>2352</v>
      </c>
      <c r="H39" s="212" t="s">
        <v>142</v>
      </c>
      <c r="I39" s="212" t="s">
        <v>142</v>
      </c>
      <c r="J39" s="140">
        <v>46146</v>
      </c>
      <c r="K39" s="140">
        <v>46147</v>
      </c>
      <c r="L39" s="212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99">
        <f t="shared" si="0"/>
        <v>294</v>
      </c>
      <c r="P39" s="213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211">
        <v>46081</v>
      </c>
      <c r="B40" s="6" t="str">
        <f>VLOOKUP(C40,'Product List'!A:C,3,0)</f>
        <v>MMO-CLOUD WATER BOTTLE</v>
      </c>
      <c r="C40" s="129" t="s">
        <v>37</v>
      </c>
      <c r="D40" s="173">
        <f>VLOOKUP(C40,'Product List'!A:B,2,0)</f>
        <v>850030338112</v>
      </c>
      <c r="E40" s="95" t="s">
        <v>147</v>
      </c>
      <c r="F40" s="95" t="s">
        <v>147</v>
      </c>
      <c r="G40" s="99">
        <v>2900</v>
      </c>
      <c r="H40" s="212" t="s">
        <v>142</v>
      </c>
      <c r="I40" s="212" t="s">
        <v>142</v>
      </c>
      <c r="J40" s="140">
        <v>46146</v>
      </c>
      <c r="K40" s="140">
        <v>46147</v>
      </c>
      <c r="L40" s="212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99">
        <f t="shared" si="0"/>
        <v>58</v>
      </c>
      <c r="P40" s="213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211">
        <v>46081</v>
      </c>
      <c r="B41" s="6" t="str">
        <f>VLOOKUP(C41,'Product List'!A:C,3,0)</f>
        <v>MMO-BUBBLE WATER BOTTLE</v>
      </c>
      <c r="C41" s="129" t="s">
        <v>38</v>
      </c>
      <c r="D41" s="173">
        <f>VLOOKUP(C41,'Product List'!A:B,2,0)</f>
        <v>760762456971</v>
      </c>
      <c r="E41" s="95" t="s">
        <v>147</v>
      </c>
      <c r="F41" s="95" t="s">
        <v>147</v>
      </c>
      <c r="G41" s="99">
        <v>2478</v>
      </c>
      <c r="H41" s="212" t="s">
        <v>142</v>
      </c>
      <c r="I41" s="212" t="s">
        <v>142</v>
      </c>
      <c r="J41" s="140">
        <v>46146</v>
      </c>
      <c r="K41" s="140">
        <v>46147</v>
      </c>
      <c r="L41" s="212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99">
        <f t="shared" si="0"/>
        <v>59</v>
      </c>
      <c r="P41" s="213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211">
        <v>46081</v>
      </c>
      <c r="B42" s="6" t="str">
        <f>VLOOKUP(C42,'Product List'!A:C,3,0)</f>
        <v>MINI/MOE RUFFLE BOWL</v>
      </c>
      <c r="C42" s="129" t="s">
        <v>83</v>
      </c>
      <c r="D42" s="173">
        <f>VLOOKUP(C42,'Product List'!A:B,2,0)</f>
        <v>850030338969</v>
      </c>
      <c r="E42" s="95" t="s">
        <v>147</v>
      </c>
      <c r="F42" s="95" t="s">
        <v>147</v>
      </c>
      <c r="G42" s="99">
        <v>96</v>
      </c>
      <c r="H42" s="212" t="s">
        <v>142</v>
      </c>
      <c r="I42" s="212" t="s">
        <v>142</v>
      </c>
      <c r="J42" s="140">
        <v>46160</v>
      </c>
      <c r="K42" s="140">
        <v>46159</v>
      </c>
      <c r="L42" s="212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99">
        <f t="shared" si="0"/>
        <v>2</v>
      </c>
      <c r="P42" s="213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211">
        <v>46081</v>
      </c>
      <c r="B43" s="6" t="str">
        <f>VLOOKUP(C43,'Product List'!A:C,3,0)</f>
        <v>MMO-WAVE BRIDGE</v>
      </c>
      <c r="C43" s="129" t="s">
        <v>82</v>
      </c>
      <c r="D43" s="173">
        <f>VLOOKUP(C43,'Product List'!A:B,2,0)</f>
        <v>850030338440</v>
      </c>
      <c r="E43" s="95" t="s">
        <v>147</v>
      </c>
      <c r="F43" s="95" t="s">
        <v>147</v>
      </c>
      <c r="G43" s="99">
        <v>429</v>
      </c>
      <c r="H43" s="212" t="s">
        <v>142</v>
      </c>
      <c r="I43" s="212" t="s">
        <v>142</v>
      </c>
      <c r="J43" s="140">
        <v>46160</v>
      </c>
      <c r="K43" s="140">
        <v>46159</v>
      </c>
      <c r="L43" s="212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99">
        <f t="shared" si="0"/>
        <v>13</v>
      </c>
      <c r="P43" s="213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211">
        <v>46081</v>
      </c>
      <c r="B44" s="6" t="str">
        <f>VLOOKUP(C44,'Product List'!A:C,3,0)</f>
        <v>MINI/MOE BENDABLE BIRCHWOOD FENCE</v>
      </c>
      <c r="C44" s="129" t="s">
        <v>34</v>
      </c>
      <c r="D44" s="173">
        <f>VLOOKUP(C44,'Product List'!A:B,2,0)</f>
        <v>850030338150</v>
      </c>
      <c r="E44" s="214" t="s">
        <v>148</v>
      </c>
      <c r="F44" s="95" t="s">
        <v>147</v>
      </c>
      <c r="G44" s="99">
        <v>672</v>
      </c>
      <c r="H44" s="212">
        <v>46162</v>
      </c>
      <c r="I44" s="212">
        <v>46163</v>
      </c>
      <c r="J44" s="140">
        <v>46188</v>
      </c>
      <c r="K44" s="140">
        <v>46191</v>
      </c>
      <c r="L44" s="212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99">
        <f t="shared" si="0"/>
        <v>21</v>
      </c>
      <c r="P44" s="213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211">
        <v>46081</v>
      </c>
      <c r="B45" s="6" t="str">
        <f>VLOOKUP(C45,'Product List'!A:C,3,0)</f>
        <v>MMO-STARFISH CASTLE</v>
      </c>
      <c r="C45" s="129" t="s">
        <v>76</v>
      </c>
      <c r="D45" s="173">
        <f>VLOOKUP(C45,'Product List'!A:B,2,0)</f>
        <v>850030338433</v>
      </c>
      <c r="E45" s="214" t="s">
        <v>148</v>
      </c>
      <c r="F45" s="95" t="s">
        <v>147</v>
      </c>
      <c r="G45" s="99">
        <v>1840</v>
      </c>
      <c r="H45" s="212">
        <v>46162</v>
      </c>
      <c r="I45" s="212">
        <v>46163</v>
      </c>
      <c r="J45" s="140">
        <v>46188</v>
      </c>
      <c r="K45" s="140">
        <v>46191</v>
      </c>
      <c r="L45" s="212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99">
        <f t="shared" si="0"/>
        <v>92</v>
      </c>
      <c r="P45" s="213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211">
        <v>46081</v>
      </c>
      <c r="B46" s="6" t="str">
        <f>VLOOKUP(C46,'Product List'!A:C,3,0)</f>
        <v>MINI/MOE RUFFLE BOWL</v>
      </c>
      <c r="C46" s="129" t="s">
        <v>83</v>
      </c>
      <c r="D46" s="173">
        <f>VLOOKUP(C46,'Product List'!A:B,2,0)</f>
        <v>850030338969</v>
      </c>
      <c r="E46" s="214" t="s">
        <v>148</v>
      </c>
      <c r="F46" s="95" t="s">
        <v>147</v>
      </c>
      <c r="G46" s="99">
        <v>2976</v>
      </c>
      <c r="H46" s="212">
        <v>46162</v>
      </c>
      <c r="I46" s="212">
        <v>46163</v>
      </c>
      <c r="J46" s="140">
        <v>46188</v>
      </c>
      <c r="K46" s="140">
        <v>46191</v>
      </c>
      <c r="L46" s="212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99">
        <f t="shared" si="0"/>
        <v>62</v>
      </c>
      <c r="P46" s="213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211">
        <v>46081</v>
      </c>
      <c r="B47" s="6" t="str">
        <f>VLOOKUP(C47,'Product List'!A:C,3,0)</f>
        <v>MMO-PAPER PEBBLES</v>
      </c>
      <c r="C47" s="129" t="s">
        <v>42</v>
      </c>
      <c r="D47" s="173">
        <f>VLOOKUP(C47,'Product List'!A:B,2,0)</f>
        <v>850067049258</v>
      </c>
      <c r="E47" s="214" t="s">
        <v>148</v>
      </c>
      <c r="F47" s="95" t="s">
        <v>147</v>
      </c>
      <c r="G47" s="99">
        <v>1740</v>
      </c>
      <c r="H47" s="212">
        <v>46162</v>
      </c>
      <c r="I47" s="212">
        <v>46163</v>
      </c>
      <c r="J47" s="140">
        <v>46188</v>
      </c>
      <c r="K47" s="140">
        <v>46191</v>
      </c>
      <c r="L47" s="212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99">
        <f t="shared" si="0"/>
        <v>145</v>
      </c>
      <c r="P47" s="213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211">
        <v>46081</v>
      </c>
      <c r="B48" s="6" t="str">
        <f>VLOOKUP(C48,'Product List'!A:C,3,0)</f>
        <v>MMO-PAPER TWIST BLU/WHT</v>
      </c>
      <c r="C48" s="129" t="s">
        <v>44</v>
      </c>
      <c r="D48" s="173">
        <f>VLOOKUP(C48,'Product List'!A:B,2,0)</f>
        <v>850030338075</v>
      </c>
      <c r="E48" s="214" t="s">
        <v>148</v>
      </c>
      <c r="F48" s="95" t="s">
        <v>147</v>
      </c>
      <c r="G48" s="99">
        <v>1920</v>
      </c>
      <c r="H48" s="212">
        <v>46162</v>
      </c>
      <c r="I48" s="212">
        <v>46163</v>
      </c>
      <c r="J48" s="140">
        <v>46188</v>
      </c>
      <c r="K48" s="140">
        <v>46191</v>
      </c>
      <c r="L48" s="212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99">
        <f t="shared" si="0"/>
        <v>64</v>
      </c>
      <c r="P48" s="213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211">
        <v>46081</v>
      </c>
      <c r="B49" s="6" t="str">
        <f>VLOOKUP(C49,'Product List'!A:C,3,0)</f>
        <v>MMO-COTTON NESTING BALLS</v>
      </c>
      <c r="C49" s="129" t="s">
        <v>43</v>
      </c>
      <c r="D49" s="173">
        <f>VLOOKUP(C49,'Product List'!A:B,2,0)</f>
        <v>850030338198</v>
      </c>
      <c r="E49" s="214" t="s">
        <v>148</v>
      </c>
      <c r="F49" s="95" t="s">
        <v>147</v>
      </c>
      <c r="G49" s="99">
        <v>2368</v>
      </c>
      <c r="H49" s="212">
        <v>46162</v>
      </c>
      <c r="I49" s="212">
        <v>46163</v>
      </c>
      <c r="J49" s="140">
        <v>46188</v>
      </c>
      <c r="K49" s="140">
        <v>46191</v>
      </c>
      <c r="L49" s="212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99">
        <f t="shared" si="0"/>
        <v>74</v>
      </c>
      <c r="P49" s="213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211">
        <v>46081</v>
      </c>
      <c r="B50" s="6" t="str">
        <f>VLOOKUP(C50,'Product List'!A:C,3,0)</f>
        <v>MMO-WAVE BRIDGE</v>
      </c>
      <c r="C50" s="129" t="s">
        <v>82</v>
      </c>
      <c r="D50" s="173">
        <f>VLOOKUP(C50,'Product List'!A:B,2,0)</f>
        <v>850030338440</v>
      </c>
      <c r="E50" s="214" t="s">
        <v>148</v>
      </c>
      <c r="F50" s="95" t="s">
        <v>147</v>
      </c>
      <c r="G50" s="99">
        <v>2079</v>
      </c>
      <c r="H50" s="212">
        <v>46157</v>
      </c>
      <c r="I50" s="212">
        <v>46160</v>
      </c>
      <c r="J50" s="140">
        <v>46203</v>
      </c>
      <c r="K50" s="140">
        <v>46183</v>
      </c>
      <c r="L50" s="212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99">
        <f t="shared" si="0"/>
        <v>63</v>
      </c>
      <c r="P50" s="213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211">
        <v>46079</v>
      </c>
      <c r="B51" s="6" t="str">
        <f>VLOOKUP(C51,'Product List'!A:C,3,0)</f>
        <v>MINI/MOE TV VIEWING CAGE</v>
      </c>
      <c r="C51" s="129" t="s">
        <v>27</v>
      </c>
      <c r="D51" s="173">
        <f>VLOOKUP(C51,'Product List'!A:B,2,0)</f>
        <v>850030338761</v>
      </c>
      <c r="E51" s="95" t="s">
        <v>155</v>
      </c>
      <c r="F51" s="95" t="s">
        <v>155</v>
      </c>
      <c r="G51" s="99">
        <v>1108</v>
      </c>
      <c r="H51" s="212" t="s">
        <v>142</v>
      </c>
      <c r="I51" s="212" t="s">
        <v>142</v>
      </c>
      <c r="J51" s="140">
        <v>46160</v>
      </c>
      <c r="K51" s="140">
        <v>46154</v>
      </c>
      <c r="L51" s="212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99">
        <f t="shared" si="0"/>
        <v>1108</v>
      </c>
      <c r="P51" s="213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211">
        <v>46079</v>
      </c>
      <c r="B52" s="6" t="str">
        <f>VLOOKUP(C52,'Product List'!A:C,3,0)</f>
        <v>MINI/MOE SILENT CRSTL RUN WHEEL XL 11.5 1EA</v>
      </c>
      <c r="C52" s="129" t="s">
        <v>31</v>
      </c>
      <c r="D52" s="173">
        <f>VLOOKUP(C52,'Product List'!A:B,2,0)</f>
        <v>850030338518</v>
      </c>
      <c r="E52" s="95" t="s">
        <v>155</v>
      </c>
      <c r="F52" s="95" t="s">
        <v>155</v>
      </c>
      <c r="G52" s="99">
        <v>1260</v>
      </c>
      <c r="H52" s="212" t="s">
        <v>142</v>
      </c>
      <c r="I52" s="212" t="s">
        <v>142</v>
      </c>
      <c r="J52" s="140">
        <v>46160</v>
      </c>
      <c r="K52" s="140">
        <v>46167</v>
      </c>
      <c r="L52" s="212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99">
        <f t="shared" si="0"/>
        <v>420</v>
      </c>
      <c r="P52" s="213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211">
        <v>46079</v>
      </c>
      <c r="B53" s="6" t="str">
        <f>VLOOKUP(C53,'Product List'!A:C,3,0)</f>
        <v>D. MMO-COTTAGE VIEW CAGE</v>
      </c>
      <c r="C53" s="129" t="s">
        <v>57</v>
      </c>
      <c r="D53" s="173">
        <f>VLOOKUP(C53,'Product List'!A:B,2,0)</f>
        <v>850030338730</v>
      </c>
      <c r="E53" s="95" t="s">
        <v>155</v>
      </c>
      <c r="F53" s="95" t="s">
        <v>155</v>
      </c>
      <c r="G53" s="99">
        <v>734</v>
      </c>
      <c r="H53" s="212" t="s">
        <v>142</v>
      </c>
      <c r="I53" s="212" t="s">
        <v>142</v>
      </c>
      <c r="J53" s="140">
        <v>46160</v>
      </c>
      <c r="K53" s="140">
        <v>46154</v>
      </c>
      <c r="L53" s="212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99">
        <f t="shared" si="0"/>
        <v>734</v>
      </c>
      <c r="P53" s="213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211">
        <v>46079</v>
      </c>
      <c r="B54" s="6" t="str">
        <f>VLOOKUP(C54,'Product List'!A:C,3,0)</f>
        <v>MINI/MOE SILENT CRSTL RUN WHEEL LG 8.5-Green</v>
      </c>
      <c r="C54" s="129" t="s">
        <v>32</v>
      </c>
      <c r="D54" s="173">
        <f>VLOOKUP(C54,'Product List'!A:B,2,0)</f>
        <v>698746777135</v>
      </c>
      <c r="E54" s="95" t="s">
        <v>155</v>
      </c>
      <c r="F54" s="95" t="s">
        <v>155</v>
      </c>
      <c r="G54" s="99">
        <v>696</v>
      </c>
      <c r="H54" s="212" t="s">
        <v>142</v>
      </c>
      <c r="I54" s="212" t="s">
        <v>142</v>
      </c>
      <c r="J54" s="140">
        <v>46160</v>
      </c>
      <c r="K54" s="140">
        <v>46154</v>
      </c>
      <c r="L54" s="212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99">
        <f t="shared" si="0"/>
        <v>87</v>
      </c>
      <c r="P54" s="213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211">
        <v>46079</v>
      </c>
      <c r="B55" s="6" t="str">
        <f>VLOOKUP(C55,'Product List'!A:C,3,0)</f>
        <v>MINI/MOE WOODLAND POTTY</v>
      </c>
      <c r="C55" s="129" t="s">
        <v>30</v>
      </c>
      <c r="D55" s="173">
        <f>VLOOKUP(C55,'Product List'!A:B,2,0)</f>
        <v>760762457077</v>
      </c>
      <c r="E55" s="95" t="s">
        <v>155</v>
      </c>
      <c r="F55" s="95" t="s">
        <v>155</v>
      </c>
      <c r="G55" s="99">
        <v>792</v>
      </c>
      <c r="H55" s="212" t="s">
        <v>142</v>
      </c>
      <c r="I55" s="212" t="s">
        <v>142</v>
      </c>
      <c r="J55" s="140">
        <v>46160</v>
      </c>
      <c r="K55" s="140">
        <v>46154</v>
      </c>
      <c r="L55" s="212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99">
        <f t="shared" si="0"/>
        <v>22</v>
      </c>
      <c r="P55" s="213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211">
        <v>46079</v>
      </c>
      <c r="B56" s="6" t="str">
        <f>VLOOKUP(C56,'Product List'!A:C,3,0)</f>
        <v>MINI/MOE TULIP WATER BOTTLE</v>
      </c>
      <c r="C56" s="129" t="s">
        <v>29</v>
      </c>
      <c r="D56" s="173">
        <f>VLOOKUP(C56,'Product List'!A:B,2,0)</f>
        <v>850062627567</v>
      </c>
      <c r="E56" s="95" t="s">
        <v>155</v>
      </c>
      <c r="F56" s="95" t="s">
        <v>155</v>
      </c>
      <c r="G56" s="99">
        <v>1140</v>
      </c>
      <c r="H56" s="212" t="s">
        <v>142</v>
      </c>
      <c r="I56" s="212" t="s">
        <v>142</v>
      </c>
      <c r="J56" s="140">
        <v>46160</v>
      </c>
      <c r="K56" s="140">
        <v>46154</v>
      </c>
      <c r="L56" s="212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99">
        <f t="shared" si="0"/>
        <v>19</v>
      </c>
      <c r="P56" s="213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211">
        <v>46079</v>
      </c>
      <c r="B57" s="6" t="str">
        <f>VLOOKUP(C57,'Product List'!A:C,3,0)</f>
        <v>MINI/MOE GARDEN TEAPOT</v>
      </c>
      <c r="C57" s="129" t="s">
        <v>73</v>
      </c>
      <c r="D57" s="173">
        <f>VLOOKUP(C57,'Product List'!A:B,2,0)</f>
        <v>760762457015</v>
      </c>
      <c r="E57" s="95" t="s">
        <v>155</v>
      </c>
      <c r="F57" s="95" t="s">
        <v>155</v>
      </c>
      <c r="G57" s="99">
        <v>210</v>
      </c>
      <c r="H57" s="212" t="s">
        <v>142</v>
      </c>
      <c r="I57" s="212" t="s">
        <v>142</v>
      </c>
      <c r="J57" s="140">
        <v>46160</v>
      </c>
      <c r="K57" s="140">
        <v>46154</v>
      </c>
      <c r="L57" s="212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99">
        <f t="shared" si="0"/>
        <v>7</v>
      </c>
      <c r="P57" s="213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211">
        <v>46079</v>
      </c>
      <c r="B58" s="6" t="str">
        <f>VLOOKUP(C58,'Product List'!A:C,3,0)</f>
        <v>MINI/MOE MUSHROOM CABIN</v>
      </c>
      <c r="C58" s="129" t="s">
        <v>33</v>
      </c>
      <c r="D58" s="173">
        <f>VLOOKUP(C58,'Product List'!A:B,2,0)</f>
        <v>760762457008</v>
      </c>
      <c r="E58" s="95" t="s">
        <v>155</v>
      </c>
      <c r="F58" s="95" t="s">
        <v>155</v>
      </c>
      <c r="G58" s="99">
        <v>528</v>
      </c>
      <c r="H58" s="212" t="s">
        <v>142</v>
      </c>
      <c r="I58" s="212" t="s">
        <v>142</v>
      </c>
      <c r="J58" s="140">
        <v>46148</v>
      </c>
      <c r="K58" s="140">
        <v>46149</v>
      </c>
      <c r="L58" s="212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99">
        <f t="shared" si="0"/>
        <v>33</v>
      </c>
      <c r="P58" s="213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211">
        <v>46079</v>
      </c>
      <c r="B59" s="6" t="str">
        <f>VLOOKUP(C59,'Product List'!A:C,3,0)</f>
        <v>MINI/MOE TREEHOUSE CABIN</v>
      </c>
      <c r="C59" s="129" t="s">
        <v>79</v>
      </c>
      <c r="D59" s="173">
        <f>VLOOKUP(C59,'Product List'!A:B,2,0)</f>
        <v>760762457022</v>
      </c>
      <c r="E59" s="95" t="s">
        <v>155</v>
      </c>
      <c r="F59" s="95" t="s">
        <v>155</v>
      </c>
      <c r="G59" s="99">
        <v>570</v>
      </c>
      <c r="H59" s="212" t="s">
        <v>142</v>
      </c>
      <c r="I59" s="212" t="s">
        <v>142</v>
      </c>
      <c r="J59" s="140">
        <v>46148</v>
      </c>
      <c r="K59" s="140">
        <v>46149</v>
      </c>
      <c r="L59" s="212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99">
        <f t="shared" si="0"/>
        <v>19</v>
      </c>
      <c r="P59" s="213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211">
        <v>46079</v>
      </c>
      <c r="B60" s="6" t="str">
        <f>VLOOKUP(C60,'Product List'!A:C,3,0)</f>
        <v>MINI/MOE CAMPING TENT HIDE</v>
      </c>
      <c r="C60" s="129" t="s">
        <v>25</v>
      </c>
      <c r="D60" s="173">
        <f>VLOOKUP(C60,'Product List'!A:B,2,0)</f>
        <v>850030338082</v>
      </c>
      <c r="E60" s="95" t="s">
        <v>155</v>
      </c>
      <c r="F60" s="95" t="s">
        <v>155</v>
      </c>
      <c r="G60" s="99">
        <v>576</v>
      </c>
      <c r="H60" s="212" t="s">
        <v>142</v>
      </c>
      <c r="I60" s="212" t="s">
        <v>142</v>
      </c>
      <c r="J60" s="140">
        <v>46148</v>
      </c>
      <c r="K60" s="140">
        <v>46149</v>
      </c>
      <c r="L60" s="212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99">
        <f t="shared" si="0"/>
        <v>48</v>
      </c>
      <c r="P60" s="213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211">
        <v>46079</v>
      </c>
      <c r="B61" s="6" t="str">
        <f>VLOOKUP(C61,'Product List'!A:C,3,0)</f>
        <v>MINI/MOE MUSHROOM CABIN</v>
      </c>
      <c r="C61" s="129" t="s">
        <v>33</v>
      </c>
      <c r="D61" s="173">
        <f>VLOOKUP(C61,'Product List'!A:B,2,0)</f>
        <v>760762457008</v>
      </c>
      <c r="E61" s="214" t="s">
        <v>156</v>
      </c>
      <c r="F61" s="95" t="s">
        <v>155</v>
      </c>
      <c r="G61" s="99">
        <v>816</v>
      </c>
      <c r="H61" s="212">
        <v>46157</v>
      </c>
      <c r="I61" s="212">
        <v>46160</v>
      </c>
      <c r="J61" s="140">
        <v>46180</v>
      </c>
      <c r="K61" s="140">
        <v>46183</v>
      </c>
      <c r="L61" s="212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99">
        <f t="shared" si="0"/>
        <v>51</v>
      </c>
      <c r="P61" s="213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211">
        <v>46079</v>
      </c>
      <c r="B62" s="6" t="str">
        <f>VLOOKUP(C62,'Product List'!A:C,3,0)</f>
        <v>MINI/MOE GARDEN TEAPOT</v>
      </c>
      <c r="C62" s="129" t="s">
        <v>73</v>
      </c>
      <c r="D62" s="173">
        <f>VLOOKUP(C62,'Product List'!A:B,2,0)</f>
        <v>760762457015</v>
      </c>
      <c r="E62" s="214" t="s">
        <v>156</v>
      </c>
      <c r="F62" s="95" t="s">
        <v>155</v>
      </c>
      <c r="G62" s="99">
        <v>1230</v>
      </c>
      <c r="H62" s="212">
        <v>46157</v>
      </c>
      <c r="I62" s="212">
        <v>46160</v>
      </c>
      <c r="J62" s="140">
        <v>46180</v>
      </c>
      <c r="K62" s="140">
        <v>46183</v>
      </c>
      <c r="L62" s="212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99">
        <f t="shared" si="0"/>
        <v>41</v>
      </c>
      <c r="P62" s="213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211">
        <v>46079</v>
      </c>
      <c r="B63" s="6" t="str">
        <f>VLOOKUP(C63,'Product List'!A:C,3,0)</f>
        <v>MINI/MOE TREEHOUSE CABIN</v>
      </c>
      <c r="C63" s="129" t="s">
        <v>79</v>
      </c>
      <c r="D63" s="173">
        <f>VLOOKUP(C63,'Product List'!A:B,2,0)</f>
        <v>760762457022</v>
      </c>
      <c r="E63" s="214" t="s">
        <v>156</v>
      </c>
      <c r="F63" s="95" t="s">
        <v>155</v>
      </c>
      <c r="G63" s="99">
        <v>780</v>
      </c>
      <c r="H63" s="212">
        <v>46157</v>
      </c>
      <c r="I63" s="212">
        <v>46160</v>
      </c>
      <c r="J63" s="140">
        <v>46180</v>
      </c>
      <c r="K63" s="140">
        <v>46183</v>
      </c>
      <c r="L63" s="212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99">
        <f t="shared" si="0"/>
        <v>26</v>
      </c>
      <c r="P63" s="213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211">
        <v>46079</v>
      </c>
      <c r="B64" s="6" t="str">
        <f>VLOOKUP(C64,'Product List'!A:C,3,0)</f>
        <v>MINI/MOE IVY BURROWING BOX</v>
      </c>
      <c r="C64" s="129" t="s">
        <v>75</v>
      </c>
      <c r="D64" s="173">
        <f>VLOOKUP(C64,'Product List'!A:B,2,0)</f>
        <v>850030338051</v>
      </c>
      <c r="E64" s="214" t="s">
        <v>156</v>
      </c>
      <c r="F64" s="95" t="s">
        <v>155</v>
      </c>
      <c r="G64" s="99">
        <v>1388</v>
      </c>
      <c r="H64" s="212">
        <v>46157</v>
      </c>
      <c r="I64" s="212">
        <v>46160</v>
      </c>
      <c r="J64" s="140">
        <v>46180</v>
      </c>
      <c r="K64" s="140">
        <v>46183</v>
      </c>
      <c r="L64" s="212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99">
        <f t="shared" si="0"/>
        <v>347</v>
      </c>
      <c r="P64" s="213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211">
        <v>46079</v>
      </c>
      <c r="B65" s="6" t="str">
        <f>VLOOKUP(C65,'Product List'!A:C,3,0)</f>
        <v>MINI/MOE CAMPING TENT HIDE</v>
      </c>
      <c r="C65" s="129" t="s">
        <v>25</v>
      </c>
      <c r="D65" s="173">
        <f>VLOOKUP(C65,'Product List'!A:B,2,0)</f>
        <v>850030338082</v>
      </c>
      <c r="E65" s="214" t="s">
        <v>156</v>
      </c>
      <c r="F65" s="95" t="s">
        <v>155</v>
      </c>
      <c r="G65" s="99">
        <v>912</v>
      </c>
      <c r="H65" s="212">
        <v>46187</v>
      </c>
      <c r="I65" s="212">
        <f>IF(Q65="","",_xlfn.XLOOKUP(Q65,'Shipment Control'!A:A,'Shipment Control'!G:G))</f>
        <v>46192</v>
      </c>
      <c r="J65" s="140">
        <f>IF(Q65="",H65+30,_xlfn.XLOOKUP(Q65,'Shipment Control'!A:A,'Shipment Control'!H:H))</f>
        <v>46218</v>
      </c>
      <c r="K65" s="140">
        <v>46224</v>
      </c>
      <c r="L65" s="212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99">
        <f t="shared" si="0"/>
        <v>76</v>
      </c>
      <c r="P65" s="213">
        <f>_xlfn.XLOOKUP(M65,'Case Pack'!A:A,'Case Pack'!H:H)*O65</f>
        <v>5.57945837037037</v>
      </c>
      <c r="Q65" s="215" t="s">
        <v>157</v>
      </c>
      <c r="R65" s="6" t="s">
        <v>158</v>
      </c>
      <c r="S65" s="6" t="s">
        <v>159</v>
      </c>
    </row>
    <row r="66" customFormat="1" spans="1:19">
      <c r="A66" s="211">
        <v>46079</v>
      </c>
      <c r="B66" s="6" t="str">
        <f>VLOOKUP(C66,'Product List'!A:C,3,0)</f>
        <v>MINI/MOE CAMPING TENT HIDE</v>
      </c>
      <c r="C66" s="129" t="s">
        <v>25</v>
      </c>
      <c r="D66" s="173">
        <f>VLOOKUP(C66,'Product List'!A:B,2,0)</f>
        <v>850030338082</v>
      </c>
      <c r="E66" s="214" t="s">
        <v>156</v>
      </c>
      <c r="F66" s="95" t="s">
        <v>155</v>
      </c>
      <c r="G66" s="99">
        <v>780</v>
      </c>
      <c r="H66" s="212">
        <v>46157</v>
      </c>
      <c r="I66" s="212">
        <v>46160</v>
      </c>
      <c r="J66" s="140">
        <v>46180</v>
      </c>
      <c r="K66" s="140">
        <v>46183</v>
      </c>
      <c r="L66" s="212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99">
        <f t="shared" ref="O66:O100" si="1">G66/N66</f>
        <v>65</v>
      </c>
      <c r="P66" s="213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211">
        <v>46079</v>
      </c>
      <c r="B67" s="6" t="str">
        <f>VLOOKUP(C67,'Product List'!A:C,3,0)</f>
        <v>MINI/MOE BENDABLE BIRCHWOOD FENCE</v>
      </c>
      <c r="C67" s="129" t="s">
        <v>34</v>
      </c>
      <c r="D67" s="173">
        <f>VLOOKUP(C67,'Product List'!A:B,2,0)</f>
        <v>850030338150</v>
      </c>
      <c r="E67" s="214" t="s">
        <v>156</v>
      </c>
      <c r="F67" s="95" t="s">
        <v>155</v>
      </c>
      <c r="G67" s="99">
        <v>1216</v>
      </c>
      <c r="H67" s="212">
        <v>46157</v>
      </c>
      <c r="I67" s="212">
        <v>46160</v>
      </c>
      <c r="J67" s="140">
        <v>46180</v>
      </c>
      <c r="K67" s="140">
        <v>46183</v>
      </c>
      <c r="L67" s="212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99">
        <f t="shared" si="1"/>
        <v>38</v>
      </c>
      <c r="P67" s="213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211">
        <v>46079</v>
      </c>
      <c r="B68" s="6" t="str">
        <f>VLOOKUP(C68,'Product List'!A:C,3,0)</f>
        <v>MINI/MOE RUFFLE BOWL</v>
      </c>
      <c r="C68" s="129" t="s">
        <v>83</v>
      </c>
      <c r="D68" s="173">
        <f>VLOOKUP(C68,'Product List'!A:B,2,0)</f>
        <v>850030338969</v>
      </c>
      <c r="E68" s="214" t="s">
        <v>156</v>
      </c>
      <c r="F68" s="95" t="s">
        <v>155</v>
      </c>
      <c r="G68" s="99">
        <v>240</v>
      </c>
      <c r="H68" s="212">
        <v>46157</v>
      </c>
      <c r="I68" s="212">
        <v>46160</v>
      </c>
      <c r="J68" s="140">
        <v>46180</v>
      </c>
      <c r="K68" s="140">
        <v>46183</v>
      </c>
      <c r="L68" s="212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99">
        <f t="shared" si="1"/>
        <v>5</v>
      </c>
      <c r="P68" s="213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211">
        <v>46079</v>
      </c>
      <c r="B69" s="6" t="str">
        <f>VLOOKUP(C69,'Product List'!A:C,3,0)</f>
        <v>D. MMO-COTTAGE VIEW CAGE</v>
      </c>
      <c r="C69" s="129" t="s">
        <v>57</v>
      </c>
      <c r="D69" s="173">
        <f>VLOOKUP(C69,'Product List'!A:B,2,0)</f>
        <v>850030338730</v>
      </c>
      <c r="E69" s="214" t="s">
        <v>156</v>
      </c>
      <c r="F69" s="95" t="s">
        <v>155</v>
      </c>
      <c r="G69" s="99">
        <v>7</v>
      </c>
      <c r="H69" s="212">
        <v>46162</v>
      </c>
      <c r="I69" s="212">
        <v>46163</v>
      </c>
      <c r="J69" s="140">
        <v>46188</v>
      </c>
      <c r="K69" s="140">
        <v>46191</v>
      </c>
      <c r="L69" s="212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99">
        <f t="shared" si="1"/>
        <v>7</v>
      </c>
      <c r="P69" s="213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211">
        <v>46079</v>
      </c>
      <c r="B70" s="6" t="str">
        <f>VLOOKUP(C70,'Product List'!A:C,3,0)</f>
        <v>MINI/MOE SILENT CRSTL RUN WHEEL XL 11.5 1EA</v>
      </c>
      <c r="C70" s="129" t="s">
        <v>31</v>
      </c>
      <c r="D70" s="173">
        <f>VLOOKUP(C70,'Product List'!A:B,2,0)</f>
        <v>850030338518</v>
      </c>
      <c r="E70" s="214" t="s">
        <v>156</v>
      </c>
      <c r="F70" s="95" t="s">
        <v>155</v>
      </c>
      <c r="G70" s="99">
        <v>66</v>
      </c>
      <c r="H70" s="212">
        <v>46162</v>
      </c>
      <c r="I70" s="212">
        <v>46163</v>
      </c>
      <c r="J70" s="140">
        <v>46188</v>
      </c>
      <c r="K70" s="140">
        <v>46191</v>
      </c>
      <c r="L70" s="212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99">
        <f t="shared" si="1"/>
        <v>22</v>
      </c>
      <c r="P70" s="213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211">
        <v>46079</v>
      </c>
      <c r="B71" s="6" t="str">
        <f>VLOOKUP(C71,'Product List'!A:C,3,0)</f>
        <v>MINI/MOE TULIP WATER BOTTLE</v>
      </c>
      <c r="C71" s="129" t="s">
        <v>29</v>
      </c>
      <c r="D71" s="173">
        <f>VLOOKUP(C71,'Product List'!A:B,2,0)</f>
        <v>850062627567</v>
      </c>
      <c r="E71" s="214" t="s">
        <v>156</v>
      </c>
      <c r="F71" s="95" t="s">
        <v>155</v>
      </c>
      <c r="G71" s="99">
        <v>180</v>
      </c>
      <c r="H71" s="212">
        <v>46162</v>
      </c>
      <c r="I71" s="212">
        <v>46163</v>
      </c>
      <c r="J71" s="140">
        <v>46188</v>
      </c>
      <c r="K71" s="140">
        <v>46191</v>
      </c>
      <c r="L71" s="212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99">
        <f t="shared" si="1"/>
        <v>3</v>
      </c>
      <c r="P71" s="213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211">
        <v>46079</v>
      </c>
      <c r="B72" s="6" t="str">
        <f>VLOOKUP(C72,'Product List'!A:C,3,0)</f>
        <v>MINI/MOE SILENT CRSTL RUN WHEEL LG 8.5-Green</v>
      </c>
      <c r="C72" s="129" t="s">
        <v>32</v>
      </c>
      <c r="D72" s="173">
        <f>VLOOKUP(C72,'Product List'!A:B,2,0)</f>
        <v>698746777135</v>
      </c>
      <c r="E72" s="214" t="s">
        <v>156</v>
      </c>
      <c r="F72" s="95" t="s">
        <v>155</v>
      </c>
      <c r="G72" s="99">
        <v>48</v>
      </c>
      <c r="H72" s="212">
        <v>46162</v>
      </c>
      <c r="I72" s="212">
        <v>46163</v>
      </c>
      <c r="J72" s="140">
        <v>46188</v>
      </c>
      <c r="K72" s="140">
        <v>46191</v>
      </c>
      <c r="L72" s="212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99">
        <f t="shared" si="1"/>
        <v>6</v>
      </c>
      <c r="P72" s="213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211">
        <v>46079</v>
      </c>
      <c r="B73" s="6" t="str">
        <f>VLOOKUP(C73,'Product List'!A:C,3,0)</f>
        <v>MINI/MOE WOODLAND POTTY</v>
      </c>
      <c r="C73" s="129" t="s">
        <v>30</v>
      </c>
      <c r="D73" s="173">
        <f>VLOOKUP(C73,'Product List'!A:B,2,0)</f>
        <v>760762457077</v>
      </c>
      <c r="E73" s="214" t="s">
        <v>156</v>
      </c>
      <c r="F73" s="95" t="s">
        <v>155</v>
      </c>
      <c r="G73" s="99">
        <v>108</v>
      </c>
      <c r="H73" s="212">
        <v>46162</v>
      </c>
      <c r="I73" s="212">
        <v>46163</v>
      </c>
      <c r="J73" s="140">
        <v>46188</v>
      </c>
      <c r="K73" s="140">
        <v>46191</v>
      </c>
      <c r="L73" s="212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99">
        <f t="shared" si="1"/>
        <v>3</v>
      </c>
      <c r="P73" s="213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211">
        <v>46079</v>
      </c>
      <c r="B74" s="6" t="str">
        <f>VLOOKUP(C74,'Product List'!A:C,3,0)</f>
        <v>MINI/MOE TULIP WATER BOTTLE</v>
      </c>
      <c r="C74" s="129" t="s">
        <v>29</v>
      </c>
      <c r="D74" s="173">
        <f>VLOOKUP(C74,'Product List'!A:B,2,0)</f>
        <v>850062627567</v>
      </c>
      <c r="E74" s="214" t="s">
        <v>156</v>
      </c>
      <c r="F74" s="95" t="s">
        <v>155</v>
      </c>
      <c r="G74" s="99">
        <v>1140</v>
      </c>
      <c r="H74" s="212">
        <v>46162</v>
      </c>
      <c r="I74" s="212">
        <v>46163</v>
      </c>
      <c r="J74" s="140">
        <v>46188</v>
      </c>
      <c r="K74" s="140">
        <v>46191</v>
      </c>
      <c r="L74" s="212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99">
        <f t="shared" si="1"/>
        <v>19</v>
      </c>
      <c r="P74" s="213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211">
        <v>46125</v>
      </c>
      <c r="B75" s="6" t="str">
        <f>VLOOKUP(C75,'Product List'!A:C,3,0)</f>
        <v>MINI/MOE TV VIEWING CAGE</v>
      </c>
      <c r="C75" s="129" t="s">
        <v>27</v>
      </c>
      <c r="D75" s="173">
        <f>VLOOKUP(C75,'Product List'!A:B,2,0)</f>
        <v>850030338761</v>
      </c>
      <c r="E75" s="214" t="s">
        <v>160</v>
      </c>
      <c r="F75" s="95" t="s">
        <v>161</v>
      </c>
      <c r="G75" s="99">
        <v>5712</v>
      </c>
      <c r="H75" s="212">
        <v>46148</v>
      </c>
      <c r="I75" s="212">
        <v>46154</v>
      </c>
      <c r="J75" s="140">
        <v>46188</v>
      </c>
      <c r="K75" s="140">
        <v>46184</v>
      </c>
      <c r="L75" s="21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99">
        <f t="shared" si="1"/>
        <v>5712</v>
      </c>
      <c r="P75" s="213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211">
        <v>46125</v>
      </c>
      <c r="B76" s="6" t="str">
        <f>VLOOKUP(C76,'Product List'!A:C,3,0)</f>
        <v>MINI/MOE TV VIEWING CAGE</v>
      </c>
      <c r="C76" s="129" t="s">
        <v>27</v>
      </c>
      <c r="D76" s="173">
        <f>VLOOKUP(C76,'Product List'!A:B,2,0)</f>
        <v>850030338761</v>
      </c>
      <c r="E76" s="214" t="s">
        <v>160</v>
      </c>
      <c r="F76" s="95" t="s">
        <v>161</v>
      </c>
      <c r="G76" s="181">
        <v>155</v>
      </c>
      <c r="H76" s="212">
        <v>46162</v>
      </c>
      <c r="I76" s="212">
        <v>46163</v>
      </c>
      <c r="J76" s="140">
        <v>46188</v>
      </c>
      <c r="K76" s="140">
        <v>46191</v>
      </c>
      <c r="L76" s="21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99">
        <f t="shared" si="1"/>
        <v>155</v>
      </c>
      <c r="P76" s="213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211">
        <v>46125</v>
      </c>
      <c r="B77" s="6" t="str">
        <f>VLOOKUP(C77,'Product List'!A:C,3,0)</f>
        <v>MINI/MOE TV VIEWING CAGE</v>
      </c>
      <c r="C77" s="129" t="s">
        <v>27</v>
      </c>
      <c r="D77" s="173">
        <f>VLOOKUP(C77,'Product List'!A:B,2,0)</f>
        <v>850030338761</v>
      </c>
      <c r="E77" s="214" t="s">
        <v>160</v>
      </c>
      <c r="F77" s="95" t="s">
        <v>161</v>
      </c>
      <c r="G77" s="99">
        <v>332</v>
      </c>
      <c r="H77" s="212">
        <v>46170</v>
      </c>
      <c r="I77" s="212">
        <f>IF(Q77="","",_xlfn.XLOOKUP(Q77,'Shipment Control'!A:A,'Shipment Control'!G:G))</f>
        <v>46170</v>
      </c>
      <c r="J77" s="140">
        <f>IF(Q77="",H77+30,_xlfn.XLOOKUP(Q77,'Shipment Control'!A:A,'Shipment Control'!H:H))</f>
        <v>46195</v>
      </c>
      <c r="K77" s="140">
        <v>46203</v>
      </c>
      <c r="L77" s="21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99">
        <f t="shared" si="1"/>
        <v>332</v>
      </c>
      <c r="P77" s="213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211">
        <v>46125</v>
      </c>
      <c r="B78" s="6" t="str">
        <f>VLOOKUP(C78,'Product List'!A:C,3,0)</f>
        <v>MINI/MOE TV VIEWING CAGE</v>
      </c>
      <c r="C78" s="129" t="s">
        <v>27</v>
      </c>
      <c r="D78" s="173">
        <f>VLOOKUP(C78,'Product List'!A:B,2,0)</f>
        <v>850030338761</v>
      </c>
      <c r="E78" s="214" t="s">
        <v>160</v>
      </c>
      <c r="F78" s="95" t="s">
        <v>161</v>
      </c>
      <c r="G78" s="99">
        <v>61</v>
      </c>
      <c r="H78" s="212">
        <v>46187</v>
      </c>
      <c r="I78" s="212">
        <f>IF(Q78="","",_xlfn.XLOOKUP(Q78,'Shipment Control'!A:A,'Shipment Control'!G:G))</f>
        <v>46192</v>
      </c>
      <c r="J78" s="140">
        <f>IF(Q78="",H78+30,_xlfn.XLOOKUP(Q78,'Shipment Control'!A:A,'Shipment Control'!H:H))</f>
        <v>46218</v>
      </c>
      <c r="K78" s="140">
        <v>46224</v>
      </c>
      <c r="L78" s="21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99">
        <f t="shared" si="1"/>
        <v>61</v>
      </c>
      <c r="P78" s="213">
        <f>_xlfn.XLOOKUP(M78,'Case Pack'!A:A,'Case Pack'!H:H)*O78</f>
        <v>4.51256406813333</v>
      </c>
      <c r="Q78" s="215" t="s">
        <v>157</v>
      </c>
      <c r="R78" s="6" t="s">
        <v>158</v>
      </c>
      <c r="S78" s="6" t="s">
        <v>159</v>
      </c>
    </row>
    <row r="79" customFormat="1" spans="1:19">
      <c r="A79" s="211">
        <v>46125</v>
      </c>
      <c r="B79" s="6" t="str">
        <f>VLOOKUP(C79,'Product List'!A:C,3,0)</f>
        <v>MINI &amp; MOE MAG CONECT WTR BTL 4 OZ</v>
      </c>
      <c r="C79" s="129" t="s">
        <v>36</v>
      </c>
      <c r="D79" s="173">
        <f>VLOOKUP(C79,'Product List'!A:B,2,0)</f>
        <v>698746777319</v>
      </c>
      <c r="E79" s="214" t="s">
        <v>160</v>
      </c>
      <c r="F79" s="95" t="s">
        <v>161</v>
      </c>
      <c r="G79" s="99">
        <v>5400</v>
      </c>
      <c r="H79" s="212">
        <v>46189</v>
      </c>
      <c r="I79" s="212">
        <f>IF(Q79="","",_xlfn.XLOOKUP(Q79,'Shipment Control'!A:A,'Shipment Control'!G:G))</f>
        <v>46194</v>
      </c>
      <c r="J79" s="140">
        <f>IF(Q79="",H79+30,_xlfn.XLOOKUP(Q79,'Shipment Control'!A:A,'Shipment Control'!H:H))</f>
        <v>46211</v>
      </c>
      <c r="K79" s="140">
        <v>46220</v>
      </c>
      <c r="L79" s="21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99">
        <f t="shared" si="1"/>
        <v>100</v>
      </c>
      <c r="P79" s="213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211">
        <v>46125</v>
      </c>
      <c r="B80" s="6" t="str">
        <f>VLOOKUP(C80,'Product List'!A:C,3,0)</f>
        <v>MINI &amp; MOE COTTAGE HIDE</v>
      </c>
      <c r="C80" s="129" t="s">
        <v>28</v>
      </c>
      <c r="D80" s="173">
        <f>VLOOKUP(C80,'Product List'!A:B,2,0)</f>
        <v>850030338211</v>
      </c>
      <c r="E80" s="214" t="s">
        <v>160</v>
      </c>
      <c r="F80" s="95" t="s">
        <v>161</v>
      </c>
      <c r="G80" s="99">
        <v>5520</v>
      </c>
      <c r="H80" s="212">
        <v>46191</v>
      </c>
      <c r="I80" s="212">
        <f>IF(Q80="","",_xlfn.XLOOKUP(Q80,'Shipment Control'!A:A,'Shipment Control'!G:G))</f>
        <v>46199</v>
      </c>
      <c r="J80" s="140">
        <f>IF(Q80="",H80+30,_xlfn.XLOOKUP(Q80,'Shipment Control'!A:A,'Shipment Control'!H:H))</f>
        <v>46213</v>
      </c>
      <c r="K80" s="140">
        <v>46225</v>
      </c>
      <c r="L80" s="21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99">
        <f t="shared" si="1"/>
        <v>230</v>
      </c>
      <c r="P80" s="213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211">
        <v>46125</v>
      </c>
      <c r="B81" s="6" t="str">
        <f>VLOOKUP(C81,'Product List'!A:C,3,0)</f>
        <v>MINI &amp; MOE TREE DECOR CHEW</v>
      </c>
      <c r="C81" s="129" t="s">
        <v>26</v>
      </c>
      <c r="D81" s="173">
        <f>VLOOKUP(C81,'Product List'!A:B,2,0)</f>
        <v>698746777333</v>
      </c>
      <c r="E81" s="214" t="s">
        <v>160</v>
      </c>
      <c r="F81" s="95" t="s">
        <v>161</v>
      </c>
      <c r="G81" s="99">
        <v>2240</v>
      </c>
      <c r="H81" s="212">
        <v>46182</v>
      </c>
      <c r="I81" s="212">
        <f>IF(Q81="","",_xlfn.XLOOKUP(Q81,'Shipment Control'!A:A,'Shipment Control'!G:G))</f>
        <v>46190</v>
      </c>
      <c r="J81" s="140">
        <f>IF(Q81="",H81+30,_xlfn.XLOOKUP(Q81,'Shipment Control'!A:A,'Shipment Control'!H:H))</f>
        <v>46204</v>
      </c>
      <c r="K81" s="140">
        <v>46218</v>
      </c>
      <c r="L81" s="21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99">
        <f t="shared" si="1"/>
        <v>80</v>
      </c>
      <c r="P81" s="213">
        <f>_xlfn.XLOOKUP(M81,'Case Pack'!A:A,'Case Pack'!H:H)*O81</f>
        <v>5.87311407407407</v>
      </c>
      <c r="Q81" s="176" t="s">
        <v>173</v>
      </c>
      <c r="R81" s="216" t="s">
        <v>174</v>
      </c>
      <c r="S81" s="217"/>
    </row>
    <row r="82" customFormat="1" spans="1:20">
      <c r="A82" s="211">
        <v>46125</v>
      </c>
      <c r="B82" s="6" t="str">
        <f>VLOOKUP(C82,'Product List'!A:C,3,0)</f>
        <v>MINI &amp; MOE TREE DECOR CHEW</v>
      </c>
      <c r="C82" s="129" t="s">
        <v>26</v>
      </c>
      <c r="D82" s="173">
        <f>VLOOKUP(C82,'Product List'!A:B,2,0)</f>
        <v>698746777333</v>
      </c>
      <c r="E82" s="214" t="s">
        <v>160</v>
      </c>
      <c r="F82" s="95" t="s">
        <v>161</v>
      </c>
      <c r="G82" s="99">
        <v>3584</v>
      </c>
      <c r="H82" s="212">
        <v>46182</v>
      </c>
      <c r="I82" s="212">
        <f>IF(Q82="","",_xlfn.XLOOKUP(Q82,'Shipment Control'!A:A,'Shipment Control'!G:G))</f>
        <v>46190</v>
      </c>
      <c r="J82" s="140">
        <f>IF(Q82="",H82+30,_xlfn.XLOOKUP(Q82,'Shipment Control'!A:A,'Shipment Control'!H:H))</f>
        <v>46204</v>
      </c>
      <c r="K82" s="140">
        <v>46224</v>
      </c>
      <c r="L82" s="21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99">
        <f t="shared" si="1"/>
        <v>128</v>
      </c>
      <c r="P82" s="213">
        <f>_xlfn.XLOOKUP(M82,'Case Pack'!A:A,'Case Pack'!H:H)*O82</f>
        <v>9.39698251851852</v>
      </c>
      <c r="Q82" s="176" t="s">
        <v>175</v>
      </c>
      <c r="R82" s="216" t="s">
        <v>174</v>
      </c>
      <c r="S82" s="217"/>
    </row>
    <row r="83" customFormat="1" spans="1:20">
      <c r="A83" s="211">
        <v>46125</v>
      </c>
      <c r="B83" s="6" t="str">
        <f>VLOOKUP(C83,'Product List'!A:C,3,0)</f>
        <v>MINI &amp; MOE GARDEN DECOR CHEW</v>
      </c>
      <c r="C83" s="129" t="s">
        <v>23</v>
      </c>
      <c r="D83" s="173">
        <f>VLOOKUP(C83,'Product List'!A:B,2,0)</f>
        <v>698746777326</v>
      </c>
      <c r="E83" s="214" t="s">
        <v>160</v>
      </c>
      <c r="F83" s="95" t="s">
        <v>161</v>
      </c>
      <c r="G83" s="99">
        <v>3330</v>
      </c>
      <c r="H83" s="212">
        <v>46182</v>
      </c>
      <c r="I83" s="212">
        <f>IF(Q83="","",_xlfn.XLOOKUP(Q83,'Shipment Control'!A:A,'Shipment Control'!G:G))</f>
        <v>46190</v>
      </c>
      <c r="J83" s="140">
        <f>IF(Q83="",H83+30,_xlfn.XLOOKUP(Q83,'Shipment Control'!A:A,'Shipment Control'!H:H))</f>
        <v>46204</v>
      </c>
      <c r="K83" s="140">
        <v>46218</v>
      </c>
      <c r="L83" s="21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99">
        <f t="shared" si="1"/>
        <v>74</v>
      </c>
      <c r="P83" s="213">
        <f>_xlfn.XLOOKUP(M83,'Case Pack'!A:A,'Case Pack'!H:H)*O83</f>
        <v>5.43263051851852</v>
      </c>
      <c r="Q83" s="176" t="s">
        <v>173</v>
      </c>
      <c r="R83" s="216" t="s">
        <v>174</v>
      </c>
      <c r="S83" s="217"/>
    </row>
    <row r="84" customFormat="1" spans="1:20">
      <c r="A84" s="211">
        <v>46125</v>
      </c>
      <c r="B84" s="6" t="str">
        <f>VLOOKUP(C84,'Product List'!A:C,3,0)</f>
        <v>MINI &amp; MOE GARDEN DECOR CHEW</v>
      </c>
      <c r="C84" s="129" t="s">
        <v>23</v>
      </c>
      <c r="D84" s="173">
        <f>VLOOKUP(C84,'Product List'!A:B,2,0)</f>
        <v>698746777326</v>
      </c>
      <c r="E84" s="214" t="s">
        <v>160</v>
      </c>
      <c r="F84" s="95" t="s">
        <v>161</v>
      </c>
      <c r="G84" s="99">
        <v>2520</v>
      </c>
      <c r="H84" s="212">
        <v>46182</v>
      </c>
      <c r="I84" s="212">
        <f>IF(Q84="","",_xlfn.XLOOKUP(Q84,'Shipment Control'!A:A,'Shipment Control'!G:G))</f>
        <v>46190</v>
      </c>
      <c r="J84" s="140">
        <f>IF(Q84="",H84+30,_xlfn.XLOOKUP(Q84,'Shipment Control'!A:A,'Shipment Control'!H:H))</f>
        <v>46204</v>
      </c>
      <c r="K84" s="140">
        <v>46224</v>
      </c>
      <c r="L84" s="21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99">
        <f t="shared" si="1"/>
        <v>56</v>
      </c>
      <c r="P84" s="213">
        <f>_xlfn.XLOOKUP(M84,'Case Pack'!A:A,'Case Pack'!H:H)*O84</f>
        <v>4.11117985185185</v>
      </c>
      <c r="Q84" s="176" t="s">
        <v>175</v>
      </c>
      <c r="R84" s="216" t="s">
        <v>174</v>
      </c>
      <c r="S84" s="217"/>
    </row>
    <row r="85" customFormat="1" spans="1:20">
      <c r="A85" s="211">
        <v>46125</v>
      </c>
      <c r="B85" s="6" t="str">
        <f>VLOOKUP(C85,'Product List'!A:C,3,0)</f>
        <v>MINI/MOE CAMPING TENT HIDE</v>
      </c>
      <c r="C85" s="129" t="s">
        <v>25</v>
      </c>
      <c r="D85" s="173">
        <f>VLOOKUP(C85,'Product List'!A:B,2,0)</f>
        <v>850030338082</v>
      </c>
      <c r="E85" s="214" t="s">
        <v>160</v>
      </c>
      <c r="F85" s="95" t="s">
        <v>161</v>
      </c>
      <c r="G85" s="99">
        <v>5892</v>
      </c>
      <c r="H85" s="212">
        <v>46187</v>
      </c>
      <c r="I85" s="212">
        <f>IF(Q85="","",_xlfn.XLOOKUP(Q85,'Shipment Control'!A:A,'Shipment Control'!G:G))</f>
        <v>46192</v>
      </c>
      <c r="J85" s="140">
        <f>IF(Q85="",H85+30,_xlfn.XLOOKUP(Q85,'Shipment Control'!A:A,'Shipment Control'!H:H))</f>
        <v>46218</v>
      </c>
      <c r="K85" s="140">
        <v>46224</v>
      </c>
      <c r="L85" s="212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99">
        <f t="shared" si="1"/>
        <v>491</v>
      </c>
      <c r="P85" s="213">
        <f>_xlfn.XLOOKUP(M85,'Case Pack'!A:A,'Case Pack'!H:H)*O85</f>
        <v>36.0462376296296</v>
      </c>
      <c r="Q85" s="215" t="s">
        <v>157</v>
      </c>
      <c r="R85" s="6" t="s">
        <v>158</v>
      </c>
      <c r="S85" s="6" t="s">
        <v>159</v>
      </c>
    </row>
    <row r="86" customFormat="1" spans="1:20">
      <c r="A86" s="211">
        <v>46125</v>
      </c>
      <c r="B86" s="6" t="str">
        <f>VLOOKUP(C86,'Product List'!A:C,3,0)</f>
        <v>MINI &amp; MOE WOODEN BRIDGE</v>
      </c>
      <c r="C86" s="129" t="s">
        <v>24</v>
      </c>
      <c r="D86" s="173">
        <f>VLOOKUP(C86,'Product List'!A:B,2,0)</f>
        <v>698746776756</v>
      </c>
      <c r="E86" s="214" t="s">
        <v>160</v>
      </c>
      <c r="F86" s="95" t="s">
        <v>161</v>
      </c>
      <c r="G86" s="99">
        <v>6624</v>
      </c>
      <c r="H86" s="212">
        <v>46191</v>
      </c>
      <c r="I86" s="212">
        <f>IF(Q86="","",_xlfn.XLOOKUP(Q86,'Shipment Control'!A:A,'Shipment Control'!G:G))</f>
        <v>46199</v>
      </c>
      <c r="J86" s="140">
        <f>IF(Q86="",H86+30,_xlfn.XLOOKUP(Q86,'Shipment Control'!A:A,'Shipment Control'!H:H))</f>
        <v>46213</v>
      </c>
      <c r="K86" s="140">
        <v>46225</v>
      </c>
      <c r="L86" s="21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99">
        <f t="shared" si="1"/>
        <v>138</v>
      </c>
      <c r="P86" s="213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211">
        <v>46125</v>
      </c>
      <c r="B87" s="6" t="str">
        <f>VLOOKUP(C87,'Product List'!A:C,3,0)</f>
        <v>MINI/MOE TV VIEWING CAGE</v>
      </c>
      <c r="C87" s="129" t="s">
        <v>27</v>
      </c>
      <c r="D87" s="173">
        <f>VLOOKUP(C87,'Product List'!A:B,2,0)</f>
        <v>850030338761</v>
      </c>
      <c r="E87" s="214" t="s">
        <v>176</v>
      </c>
      <c r="F87" s="214" t="s">
        <v>177</v>
      </c>
      <c r="G87" s="99">
        <v>208</v>
      </c>
      <c r="H87" s="212">
        <v>46187</v>
      </c>
      <c r="I87" s="212">
        <f>IF(Q87="","",_xlfn.XLOOKUP(Q87,'Shipment Control'!A:A,'Shipment Control'!G:G))</f>
        <v>46192</v>
      </c>
      <c r="J87" s="140">
        <f>IF(Q87="",H87+30,_xlfn.XLOOKUP(Q87,'Shipment Control'!A:A,'Shipment Control'!H:H))</f>
        <v>46218</v>
      </c>
      <c r="K87" s="140">
        <v>46224</v>
      </c>
      <c r="L87" s="21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99">
        <f t="shared" si="1"/>
        <v>208</v>
      </c>
      <c r="P87" s="213">
        <f>_xlfn.XLOOKUP(M87,'Case Pack'!A:A,'Case Pack'!H:H)*O87</f>
        <v>15.3871037077333</v>
      </c>
      <c r="Q87" s="215" t="s">
        <v>157</v>
      </c>
      <c r="R87" s="6" t="s">
        <v>158</v>
      </c>
      <c r="S87" s="6" t="s">
        <v>159</v>
      </c>
    </row>
    <row r="88" customFormat="1" spans="1:20">
      <c r="A88" s="211">
        <v>46125</v>
      </c>
      <c r="B88" s="6" t="str">
        <f>VLOOKUP(C88,'Product List'!A:C,3,0)</f>
        <v>MINI/MOE TV VIEWING CAGE</v>
      </c>
      <c r="C88" s="129" t="s">
        <v>27</v>
      </c>
      <c r="D88" s="173">
        <f>VLOOKUP(C88,'Product List'!A:B,2,0)</f>
        <v>850030338761</v>
      </c>
      <c r="E88" s="214" t="s">
        <v>176</v>
      </c>
      <c r="F88" s="214" t="s">
        <v>177</v>
      </c>
      <c r="G88" s="99">
        <v>18</v>
      </c>
      <c r="H88" s="212">
        <v>46189</v>
      </c>
      <c r="I88" s="212">
        <f>IF(Q88="","",_xlfn.XLOOKUP(Q88,'Shipment Control'!A:A,'Shipment Control'!G:G))</f>
        <v>46194</v>
      </c>
      <c r="J88" s="140">
        <f>IF(Q88="",H88+30,_xlfn.XLOOKUP(Q88,'Shipment Control'!A:A,'Shipment Control'!H:H))</f>
        <v>46212</v>
      </c>
      <c r="K88" s="140">
        <v>46223</v>
      </c>
      <c r="L88" s="21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99">
        <f t="shared" si="1"/>
        <v>18</v>
      </c>
      <c r="P88" s="213">
        <f>_xlfn.XLOOKUP(M88,'Case Pack'!A:A,'Case Pack'!H:H)*O88</f>
        <v>1.3315762824</v>
      </c>
      <c r="Q88" s="6" t="s">
        <v>178</v>
      </c>
      <c r="R88" s="218" t="s">
        <v>179</v>
      </c>
      <c r="S88" s="6" t="s">
        <v>180</v>
      </c>
    </row>
    <row r="89" customFormat="1" spans="1:20">
      <c r="A89" s="211">
        <v>46125</v>
      </c>
      <c r="B89" s="6" t="str">
        <f>VLOOKUP(C89,'Product List'!A:C,3,0)</f>
        <v>MINI/MOE TV VIEWING CAGE</v>
      </c>
      <c r="C89" s="129" t="s">
        <v>27</v>
      </c>
      <c r="D89" s="173">
        <f>VLOOKUP(C89,'Product List'!A:B,2,0)</f>
        <v>850030338761</v>
      </c>
      <c r="E89" s="214" t="s">
        <v>176</v>
      </c>
      <c r="F89" s="214" t="s">
        <v>177</v>
      </c>
      <c r="G89" s="99">
        <v>574</v>
      </c>
      <c r="H89" s="212">
        <v>46189</v>
      </c>
      <c r="I89" s="212">
        <f>IF(Q89="","",_xlfn.XLOOKUP(Q89,'Shipment Control'!A:A,'Shipment Control'!G:G))</f>
        <v>46194</v>
      </c>
      <c r="J89" s="140">
        <f>IF(Q89="",H89+30,_xlfn.XLOOKUP(Q89,'Shipment Control'!A:A,'Shipment Control'!H:H))</f>
        <v>46211</v>
      </c>
      <c r="K89" s="140">
        <v>46220</v>
      </c>
      <c r="L89" s="21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99">
        <f t="shared" si="1"/>
        <v>574</v>
      </c>
      <c r="P89" s="213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211">
        <v>46129</v>
      </c>
      <c r="B90" s="6" t="str">
        <f>VLOOKUP(C90,'Product List'!A:C,3,0)</f>
        <v>MINI &amp; MOE MAG CONECT WTR BTL 4 OZ</v>
      </c>
      <c r="C90" s="129" t="s">
        <v>36</v>
      </c>
      <c r="D90" s="173">
        <f>VLOOKUP(C90,'Product List'!A:B,2,0)</f>
        <v>698746777319</v>
      </c>
      <c r="E90" s="214" t="s">
        <v>176</v>
      </c>
      <c r="F90" s="95" t="s">
        <v>181</v>
      </c>
      <c r="G90" s="99">
        <v>7506</v>
      </c>
      <c r="H90" s="212">
        <v>46189</v>
      </c>
      <c r="I90" s="212">
        <f>IF(Q90="","",_xlfn.XLOOKUP(Q90,'Shipment Control'!A:A,'Shipment Control'!G:G))</f>
        <v>46194</v>
      </c>
      <c r="J90" s="140">
        <f>IF(Q90="",H90+30,_xlfn.XLOOKUP(Q90,'Shipment Control'!A:A,'Shipment Control'!H:H))</f>
        <v>46211</v>
      </c>
      <c r="K90" s="140">
        <v>46220</v>
      </c>
      <c r="L90" s="212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99">
        <f t="shared" si="1"/>
        <v>139</v>
      </c>
      <c r="P90" s="213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211">
        <v>46129</v>
      </c>
      <c r="B91" s="6" t="str">
        <f>VLOOKUP(C91,'Product List'!A:C,3,0)</f>
        <v>MINI &amp; MOE MAG CONECT WTR BTL 4 OZ</v>
      </c>
      <c r="C91" s="129" t="s">
        <v>36</v>
      </c>
      <c r="D91" s="173">
        <f>VLOOKUP(C91,'Product List'!A:B,2,0)</f>
        <v>698746777319</v>
      </c>
      <c r="E91" s="214" t="s">
        <v>176</v>
      </c>
      <c r="F91" s="95" t="s">
        <v>181</v>
      </c>
      <c r="G91" s="99">
        <v>2700</v>
      </c>
      <c r="H91" s="193">
        <v>46220</v>
      </c>
      <c r="I91" s="212">
        <f>IF(Q91="","",_xlfn.XLOOKUP(Q91,'Shipment Control'!A:A,'Shipment Control'!G:G))</f>
        <v>46224</v>
      </c>
      <c r="J91" s="140">
        <f>IF(Q91="",H91+30,_xlfn.XLOOKUP(Q91,'Shipment Control'!A:A,'Shipment Control'!H:H))</f>
        <v>46239</v>
      </c>
      <c r="K91" s="140">
        <v>46244</v>
      </c>
      <c r="L91" s="212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99">
        <f t="shared" si="1"/>
        <v>50</v>
      </c>
      <c r="P91" s="213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211">
        <v>46129</v>
      </c>
      <c r="B92" s="6" t="str">
        <f>VLOOKUP(C92,'Product List'!A:C,3,0)</f>
        <v>MINI &amp; MOE COTTAGE HIDE</v>
      </c>
      <c r="C92" s="129" t="s">
        <v>28</v>
      </c>
      <c r="D92" s="173">
        <f>VLOOKUP(C92,'Product List'!A:B,2,0)</f>
        <v>850030338211</v>
      </c>
      <c r="E92" s="214" t="s">
        <v>176</v>
      </c>
      <c r="F92" s="95" t="s">
        <v>181</v>
      </c>
      <c r="G92" s="99">
        <v>1032</v>
      </c>
      <c r="H92" s="212">
        <v>46191</v>
      </c>
      <c r="I92" s="212">
        <f>IF(Q92="","",_xlfn.XLOOKUP(Q92,'Shipment Control'!A:A,'Shipment Control'!G:G))</f>
        <v>46199</v>
      </c>
      <c r="J92" s="140">
        <f>IF(Q92="",H92+30,_xlfn.XLOOKUP(Q92,'Shipment Control'!A:A,'Shipment Control'!H:H))</f>
        <v>46213</v>
      </c>
      <c r="K92" s="140">
        <v>46225</v>
      </c>
      <c r="L92" s="212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99">
        <f t="shared" si="1"/>
        <v>43</v>
      </c>
      <c r="P92" s="213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3" t="s">
        <v>185</v>
      </c>
    </row>
    <row r="93" customFormat="1" spans="1:20">
      <c r="A93" s="211">
        <v>46129</v>
      </c>
      <c r="B93" s="6" t="str">
        <f>VLOOKUP(C93,'Product List'!A:C,3,0)</f>
        <v>MINI &amp; MOE TREE DECOR CHEW</v>
      </c>
      <c r="C93" s="129" t="s">
        <v>26</v>
      </c>
      <c r="D93" s="173">
        <f>VLOOKUP(C93,'Product List'!A:B,2,0)</f>
        <v>698746777333</v>
      </c>
      <c r="E93" s="214" t="s">
        <v>176</v>
      </c>
      <c r="F93" s="95" t="s">
        <v>181</v>
      </c>
      <c r="G93" s="99">
        <v>5096</v>
      </c>
      <c r="H93" s="212">
        <v>46197</v>
      </c>
      <c r="I93" s="212">
        <v>46204</v>
      </c>
      <c r="J93" s="140">
        <f>IF(Q93="",H93+30,_xlfn.XLOOKUP(Q93,'Shipment Control'!A:A,'Shipment Control'!H:H))</f>
        <v>46218</v>
      </c>
      <c r="K93" s="140">
        <v>46226</v>
      </c>
      <c r="L93" s="212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99">
        <f t="shared" si="1"/>
        <v>182</v>
      </c>
      <c r="P93" s="213">
        <f>_xlfn.XLOOKUP(M93,'Case Pack'!A:A,'Case Pack'!H:H)*O93</f>
        <v>13.3613345185185</v>
      </c>
      <c r="Q93" s="218" t="s">
        <v>186</v>
      </c>
      <c r="R93" s="219" t="s">
        <v>174</v>
      </c>
      <c r="S93" s="220"/>
    </row>
    <row r="94" customFormat="1" spans="1:20">
      <c r="A94" s="211">
        <v>46129</v>
      </c>
      <c r="B94" s="6" t="str">
        <f>VLOOKUP(C94,'Product List'!A:C,3,0)</f>
        <v>MINI &amp; MOE GARDEN DECOR CHEW</v>
      </c>
      <c r="C94" s="129" t="s">
        <v>23</v>
      </c>
      <c r="D94" s="173">
        <f>VLOOKUP(C94,'Product List'!A:B,2,0)</f>
        <v>698746777326</v>
      </c>
      <c r="E94" s="214" t="s">
        <v>176</v>
      </c>
      <c r="F94" s="95" t="s">
        <v>181</v>
      </c>
      <c r="G94" s="99">
        <v>5130</v>
      </c>
      <c r="H94" s="212">
        <v>46197</v>
      </c>
      <c r="I94" s="212">
        <v>46204</v>
      </c>
      <c r="J94" s="140">
        <f>IF(Q94="",H94+30,_xlfn.XLOOKUP(Q94,'Shipment Control'!A:A,'Shipment Control'!H:H))</f>
        <v>46218</v>
      </c>
      <c r="K94" s="140">
        <v>46226</v>
      </c>
      <c r="L94" s="212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99">
        <f t="shared" si="1"/>
        <v>114</v>
      </c>
      <c r="P94" s="213">
        <f>_xlfn.XLOOKUP(M94,'Case Pack'!A:A,'Case Pack'!H:H)*O94</f>
        <v>8.36918755555556</v>
      </c>
      <c r="Q94" s="218" t="s">
        <v>186</v>
      </c>
      <c r="R94" s="219" t="s">
        <v>174</v>
      </c>
      <c r="S94" s="220"/>
    </row>
    <row r="95" customFormat="1" spans="1:20">
      <c r="A95" s="211">
        <v>46129</v>
      </c>
      <c r="B95" s="6" t="str">
        <f>VLOOKUP(C95,'Product List'!A:C,3,0)</f>
        <v>MINI/MOE CAMPING TENT HIDE</v>
      </c>
      <c r="C95" s="129" t="s">
        <v>25</v>
      </c>
      <c r="D95" s="173">
        <f>VLOOKUP(C95,'Product List'!A:B,2,0)</f>
        <v>850030338082</v>
      </c>
      <c r="E95" s="214" t="s">
        <v>176</v>
      </c>
      <c r="F95" s="129" t="s">
        <v>181</v>
      </c>
      <c r="G95" s="99">
        <v>1632</v>
      </c>
      <c r="H95" s="212">
        <v>46218</v>
      </c>
      <c r="I95" s="212">
        <f>IF(Q95="","",_xlfn.XLOOKUP(Q95,'Shipment Control'!A:A,'Shipment Control'!G:G))</f>
        <v>46218</v>
      </c>
      <c r="J95" s="140">
        <f>IF(Q95="",H95+30,_xlfn.XLOOKUP(Q95,'Shipment Control'!A:A,'Shipment Control'!H:H))</f>
        <v>46248</v>
      </c>
      <c r="K95" s="140">
        <v>46253</v>
      </c>
      <c r="L95" s="212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99">
        <f t="shared" si="1"/>
        <v>136</v>
      </c>
      <c r="P95" s="213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211">
        <v>46129</v>
      </c>
      <c r="B96" s="6" t="str">
        <f>VLOOKUP(C96,'Product List'!A:C,3,0)</f>
        <v>MINI &amp; MOE WOODEN BRIDGE</v>
      </c>
      <c r="C96" s="129" t="s">
        <v>24</v>
      </c>
      <c r="D96" s="173">
        <f>VLOOKUP(C96,'Product List'!A:B,2,0)</f>
        <v>698746776756</v>
      </c>
      <c r="E96" s="214" t="s">
        <v>176</v>
      </c>
      <c r="F96" s="95" t="s">
        <v>181</v>
      </c>
      <c r="G96" s="99">
        <v>1632</v>
      </c>
      <c r="H96" s="212">
        <v>46191</v>
      </c>
      <c r="I96" s="212">
        <f>IF(Q96="","",_xlfn.XLOOKUP(Q96,'Shipment Control'!A:A,'Shipment Control'!G:G))</f>
        <v>46199</v>
      </c>
      <c r="J96" s="140">
        <f>IF(Q96="",H96+30,_xlfn.XLOOKUP(Q96,'Shipment Control'!A:A,'Shipment Control'!H:H))</f>
        <v>46213</v>
      </c>
      <c r="K96" s="140">
        <v>46225</v>
      </c>
      <c r="L96" s="212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99">
        <f t="shared" si="1"/>
        <v>34</v>
      </c>
      <c r="P96" s="213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211">
        <v>46129</v>
      </c>
      <c r="B97" s="6" t="str">
        <f>VLOOKUP(C97,'Product List'!A:C,3,0)</f>
        <v>MINI/MOE TV VIEWING CAGE</v>
      </c>
      <c r="C97" s="129" t="s">
        <v>27</v>
      </c>
      <c r="D97" s="173">
        <f>VLOOKUP(C97,'Product List'!A:B,2,0)</f>
        <v>850030338761</v>
      </c>
      <c r="E97" s="214" t="s">
        <v>176</v>
      </c>
      <c r="F97" s="95" t="s">
        <v>181</v>
      </c>
      <c r="G97" s="99">
        <v>91</v>
      </c>
      <c r="H97" s="212">
        <v>46187</v>
      </c>
      <c r="I97" s="212">
        <f>IF(Q97="","",_xlfn.XLOOKUP(Q97,'Shipment Control'!A:A,'Shipment Control'!G:G))</f>
        <v>46192</v>
      </c>
      <c r="J97" s="140">
        <f>IF(Q97="",H97+30,_xlfn.XLOOKUP(Q97,'Shipment Control'!A:A,'Shipment Control'!H:H))</f>
        <v>46218</v>
      </c>
      <c r="K97" s="140">
        <v>46224</v>
      </c>
      <c r="L97" s="212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99">
        <f t="shared" si="1"/>
        <v>91</v>
      </c>
      <c r="P97" s="213">
        <f>_xlfn.XLOOKUP(M97,'Case Pack'!A:A,'Case Pack'!H:H)*O97</f>
        <v>6.73185787213333</v>
      </c>
      <c r="Q97" s="215" t="s">
        <v>157</v>
      </c>
      <c r="R97" s="6" t="s">
        <v>158</v>
      </c>
      <c r="S97" s="6" t="s">
        <v>159</v>
      </c>
    </row>
    <row r="98" customFormat="1" spans="1:19">
      <c r="A98" s="211">
        <v>46129</v>
      </c>
      <c r="B98" s="6" t="str">
        <f>VLOOKUP(C98,'Product List'!A:C,3,0)</f>
        <v>MINI/MOE TV VIEWING CAGE</v>
      </c>
      <c r="C98" s="129" t="s">
        <v>27</v>
      </c>
      <c r="D98" s="173">
        <f>VLOOKUP(C98,'Product List'!A:B,2,0)</f>
        <v>850030338761</v>
      </c>
      <c r="E98" s="214" t="s">
        <v>176</v>
      </c>
      <c r="F98" s="95" t="s">
        <v>181</v>
      </c>
      <c r="G98" s="99">
        <v>11</v>
      </c>
      <c r="H98" s="212">
        <v>46189</v>
      </c>
      <c r="I98" s="212">
        <f>IF(Q98="","",_xlfn.XLOOKUP(Q98,'Shipment Control'!A:A,'Shipment Control'!G:G))</f>
        <v>46194</v>
      </c>
      <c r="J98" s="140">
        <f>IF(Q98="",H98+30,_xlfn.XLOOKUP(Q98,'Shipment Control'!A:A,'Shipment Control'!H:H))</f>
        <v>46212</v>
      </c>
      <c r="K98" s="140">
        <v>46223</v>
      </c>
      <c r="L98" s="212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99">
        <f t="shared" si="1"/>
        <v>11</v>
      </c>
      <c r="P98" s="213">
        <f>_xlfn.XLOOKUP(M98,'Case Pack'!A:A,'Case Pack'!H:H)*O98</f>
        <v>0.813741061466667</v>
      </c>
      <c r="Q98" s="6" t="s">
        <v>178</v>
      </c>
      <c r="R98" s="218" t="s">
        <v>179</v>
      </c>
      <c r="S98" s="6" t="s">
        <v>180</v>
      </c>
    </row>
    <row r="99" customFormat="1" spans="1:19">
      <c r="A99" s="211">
        <v>46129</v>
      </c>
      <c r="B99" s="6" t="str">
        <f>VLOOKUP(C99,'Product List'!A:C,3,0)</f>
        <v>MINI/MOE TV VIEWING CAGE</v>
      </c>
      <c r="C99" s="129" t="s">
        <v>27</v>
      </c>
      <c r="D99" s="173">
        <f>VLOOKUP(C99,'Product List'!A:B,2,0)</f>
        <v>850030338761</v>
      </c>
      <c r="E99" s="214" t="s">
        <v>176</v>
      </c>
      <c r="F99" s="95" t="s">
        <v>181</v>
      </c>
      <c r="G99" s="99">
        <v>4</v>
      </c>
      <c r="H99" s="212">
        <v>46189</v>
      </c>
      <c r="I99" s="212">
        <f>IF(Q99="","",_xlfn.XLOOKUP(Q99,'Shipment Control'!A:A,'Shipment Control'!G:G))</f>
        <v>46194</v>
      </c>
      <c r="J99" s="140">
        <f>IF(Q99="",H99+30,_xlfn.XLOOKUP(Q99,'Shipment Control'!A:A,'Shipment Control'!H:H))</f>
        <v>46212</v>
      </c>
      <c r="K99" s="197">
        <v>46224</v>
      </c>
      <c r="L99" s="212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99">
        <f t="shared" si="1"/>
        <v>4</v>
      </c>
      <c r="P99" s="213">
        <f>_xlfn.XLOOKUP(M99,'Case Pack'!A:A,'Case Pack'!H:H)*O99</f>
        <v>0.295905840533333</v>
      </c>
      <c r="Q99" s="6" t="s">
        <v>190</v>
      </c>
      <c r="R99" s="218" t="s">
        <v>191</v>
      </c>
      <c r="S99" s="6" t="s">
        <v>192</v>
      </c>
    </row>
    <row r="100" customFormat="1" spans="1:19">
      <c r="A100" s="211">
        <v>46129</v>
      </c>
      <c r="B100" s="6" t="str">
        <f>VLOOKUP(C100,'Product List'!A:C,3,0)</f>
        <v>MINI/MOE TV VIEWING CAGE</v>
      </c>
      <c r="C100" s="129" t="s">
        <v>27</v>
      </c>
      <c r="D100" s="173">
        <f>VLOOKUP(C100,'Product List'!A:B,2,0)</f>
        <v>850030338761</v>
      </c>
      <c r="E100" s="214" t="s">
        <v>176</v>
      </c>
      <c r="F100" s="95" t="s">
        <v>181</v>
      </c>
      <c r="G100" s="99">
        <v>952</v>
      </c>
      <c r="H100" s="212">
        <v>46198</v>
      </c>
      <c r="I100" s="212">
        <f>IF(Q100="","",_xlfn.XLOOKUP(Q100,'Shipment Control'!A:A,'Shipment Control'!G:G))</f>
        <v>46202</v>
      </c>
      <c r="J100" s="140">
        <f>IF(Q100="",H100+30,_xlfn.XLOOKUP(Q100,'Shipment Control'!A:A,'Shipment Control'!H:H))</f>
        <v>46220</v>
      </c>
      <c r="K100" s="140">
        <v>46226</v>
      </c>
      <c r="L100" s="212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99">
        <f t="shared" si="1"/>
        <v>952</v>
      </c>
      <c r="P100" s="213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211">
        <v>46129</v>
      </c>
      <c r="B101" s="6" t="s">
        <v>196</v>
      </c>
      <c r="C101" s="129" t="s">
        <v>27</v>
      </c>
      <c r="D101" s="173">
        <f>VLOOKUP(C101,'Product List'!A:B,2,0)</f>
        <v>850030338761</v>
      </c>
      <c r="E101" s="214" t="s">
        <v>176</v>
      </c>
      <c r="F101" s="95" t="s">
        <v>181</v>
      </c>
      <c r="G101" s="99">
        <v>197</v>
      </c>
      <c r="H101" s="212">
        <v>46189</v>
      </c>
      <c r="I101" s="212">
        <v>46194</v>
      </c>
      <c r="J101" s="140">
        <v>46212</v>
      </c>
      <c r="K101" s="140">
        <v>46218</v>
      </c>
      <c r="L101" s="212" t="s">
        <v>142</v>
      </c>
      <c r="M101" s="19" t="s">
        <v>197</v>
      </c>
      <c r="N101" s="19">
        <v>1</v>
      </c>
      <c r="O101" s="99">
        <v>197</v>
      </c>
      <c r="P101" s="213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211">
        <v>46140</v>
      </c>
      <c r="B102" s="6" t="str">
        <f>VLOOKUP(C102,'Product List'!A:C,3,0)</f>
        <v>MMO-SHELL PEARL HAMSTER CHEW</v>
      </c>
      <c r="C102" s="129" t="s">
        <v>48</v>
      </c>
      <c r="D102" s="173">
        <f>VLOOKUP(C102,'Product List'!A:B,2,0)</f>
        <v>698746777074</v>
      </c>
      <c r="E102" s="214" t="s">
        <v>201</v>
      </c>
      <c r="F102" s="95" t="s">
        <v>202</v>
      </c>
      <c r="G102" s="99">
        <v>64</v>
      </c>
      <c r="H102" s="212">
        <v>46179</v>
      </c>
      <c r="I102" s="212">
        <v>46181</v>
      </c>
      <c r="J102" s="140">
        <v>46203</v>
      </c>
      <c r="K102" s="140">
        <v>46185</v>
      </c>
      <c r="L102" s="212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99">
        <f t="shared" ref="O102:O165" si="2">G102/N102</f>
        <v>1</v>
      </c>
      <c r="P102" s="213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211">
        <v>46140</v>
      </c>
      <c r="B103" s="6" t="str">
        <f>VLOOKUP(C103,'Product List'!A:C,3,0)</f>
        <v>MMO-GREEN APPLE CHEW</v>
      </c>
      <c r="C103" s="129" t="s">
        <v>39</v>
      </c>
      <c r="D103" s="173">
        <f>VLOOKUP(C103,'Product List'!A:B,2,0)</f>
        <v>698746777081</v>
      </c>
      <c r="E103" s="214" t="s">
        <v>201</v>
      </c>
      <c r="F103" s="95" t="s">
        <v>202</v>
      </c>
      <c r="G103" s="99">
        <v>240</v>
      </c>
      <c r="H103" s="212">
        <v>46179</v>
      </c>
      <c r="I103" s="212">
        <v>46181</v>
      </c>
      <c r="J103" s="140">
        <v>46203</v>
      </c>
      <c r="K103" s="140">
        <v>46185</v>
      </c>
      <c r="L103" s="212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99">
        <f t="shared" si="2"/>
        <v>5</v>
      </c>
      <c r="P103" s="213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211">
        <v>46140</v>
      </c>
      <c r="B104" s="6" t="str">
        <f>VLOOKUP(C104,'Product List'!A:C,3,0)</f>
        <v>MMO-CAMP LUNCH BOX CHEW</v>
      </c>
      <c r="C104" s="129" t="s">
        <v>40</v>
      </c>
      <c r="D104" s="173">
        <f>VLOOKUP(C104,'Product List'!A:B,2,0)</f>
        <v>698746777012</v>
      </c>
      <c r="E104" s="214" t="s">
        <v>201</v>
      </c>
      <c r="F104" s="95" t="s">
        <v>202</v>
      </c>
      <c r="G104" s="99">
        <v>648</v>
      </c>
      <c r="H104" s="212">
        <v>46179</v>
      </c>
      <c r="I104" s="212">
        <v>46181</v>
      </c>
      <c r="J104" s="140">
        <v>46203</v>
      </c>
      <c r="K104" s="140">
        <v>46185</v>
      </c>
      <c r="L104" s="212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99">
        <f t="shared" si="2"/>
        <v>9</v>
      </c>
      <c r="P104" s="213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211">
        <v>46140</v>
      </c>
      <c r="B105" s="6" t="str">
        <f>VLOOKUP(C105,'Product List'!A:C,3,0)</f>
        <v>MMO-SHELL PEARL HAMSTER CHEW</v>
      </c>
      <c r="C105" s="129" t="s">
        <v>48</v>
      </c>
      <c r="D105" s="173">
        <f>VLOOKUP(C105,'Product List'!A:B,2,0)</f>
        <v>698746777074</v>
      </c>
      <c r="E105" s="214" t="s">
        <v>201</v>
      </c>
      <c r="F105" s="95" t="s">
        <v>202</v>
      </c>
      <c r="G105" s="99">
        <v>768</v>
      </c>
      <c r="H105" s="212">
        <v>46182</v>
      </c>
      <c r="I105" s="212">
        <f>IF(Q105="","",_xlfn.XLOOKUP(Q105,'Shipment Control'!A:A,'Shipment Control'!G:G))</f>
        <v>46190</v>
      </c>
      <c r="J105" s="140">
        <f>IF(Q105="",H105+30,_xlfn.XLOOKUP(Q105,'Shipment Control'!A:A,'Shipment Control'!H:H))</f>
        <v>46204</v>
      </c>
      <c r="K105" s="140">
        <v>46218</v>
      </c>
      <c r="L105" s="212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99">
        <f t="shared" si="2"/>
        <v>12</v>
      </c>
      <c r="P105" s="213">
        <f>_xlfn.XLOOKUP(M105,'Case Pack'!A:A,'Case Pack'!H:H)*O105</f>
        <v>0.880967111111111</v>
      </c>
      <c r="Q105" s="176" t="s">
        <v>173</v>
      </c>
      <c r="R105" s="219" t="s">
        <v>174</v>
      </c>
      <c r="S105" s="220"/>
    </row>
    <row r="106" customFormat="1" spans="1:19">
      <c r="A106" s="211">
        <v>46140</v>
      </c>
      <c r="B106" s="6" t="str">
        <f>VLOOKUP(C106,'Product List'!A:C,3,0)</f>
        <v>MMO-SHELL PEARL HAMSTER CHEW</v>
      </c>
      <c r="C106" s="129" t="s">
        <v>48</v>
      </c>
      <c r="D106" s="173">
        <f>VLOOKUP(C106,'Product List'!A:B,2,0)</f>
        <v>698746777074</v>
      </c>
      <c r="E106" s="214" t="s">
        <v>201</v>
      </c>
      <c r="F106" s="95" t="s">
        <v>202</v>
      </c>
      <c r="G106" s="99">
        <v>192</v>
      </c>
      <c r="H106" s="212">
        <v>46182</v>
      </c>
      <c r="I106" s="212">
        <f>IF(Q106="","",_xlfn.XLOOKUP(Q106,'Shipment Control'!A:A,'Shipment Control'!G:G))</f>
        <v>46190</v>
      </c>
      <c r="J106" s="140">
        <f>IF(Q106="",H106+30,_xlfn.XLOOKUP(Q106,'Shipment Control'!A:A,'Shipment Control'!H:H))</f>
        <v>46204</v>
      </c>
      <c r="K106" s="140">
        <v>46224</v>
      </c>
      <c r="L106" s="212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99">
        <f t="shared" si="2"/>
        <v>3</v>
      </c>
      <c r="P106" s="213">
        <f>_xlfn.XLOOKUP(M106,'Case Pack'!A:A,'Case Pack'!H:H)*O106</f>
        <v>0.220241777777778</v>
      </c>
      <c r="Q106" s="176" t="s">
        <v>175</v>
      </c>
      <c r="R106" s="219" t="s">
        <v>174</v>
      </c>
      <c r="S106" s="220"/>
    </row>
    <row r="107" customFormat="1" spans="1:19">
      <c r="A107" s="211">
        <v>46140</v>
      </c>
      <c r="B107" s="6" t="str">
        <f>VLOOKUP(C107,'Product List'!A:C,3,0)</f>
        <v>MMO-GREEN APPLE CHEW</v>
      </c>
      <c r="C107" s="129" t="s">
        <v>39</v>
      </c>
      <c r="D107" s="173">
        <f>VLOOKUP(C107,'Product List'!A:B,2,0)</f>
        <v>698746777081</v>
      </c>
      <c r="E107" s="214" t="s">
        <v>201</v>
      </c>
      <c r="F107" s="95" t="s">
        <v>202</v>
      </c>
      <c r="G107" s="99">
        <v>768</v>
      </c>
      <c r="H107" s="212">
        <v>46182</v>
      </c>
      <c r="I107" s="212">
        <f>IF(Q107="","",_xlfn.XLOOKUP(Q107,'Shipment Control'!A:A,'Shipment Control'!G:G))</f>
        <v>46190</v>
      </c>
      <c r="J107" s="140">
        <f>IF(Q107="",H107+30,_xlfn.XLOOKUP(Q107,'Shipment Control'!A:A,'Shipment Control'!H:H))</f>
        <v>46204</v>
      </c>
      <c r="K107" s="140">
        <v>46224</v>
      </c>
      <c r="L107" s="212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99">
        <f t="shared" si="2"/>
        <v>16</v>
      </c>
      <c r="P107" s="213">
        <f>_xlfn.XLOOKUP(M107,'Case Pack'!A:A,'Case Pack'!H:H)*O107</f>
        <v>1.17462281481481</v>
      </c>
      <c r="Q107" s="176" t="s">
        <v>175</v>
      </c>
      <c r="R107" s="219" t="s">
        <v>174</v>
      </c>
      <c r="S107" s="220"/>
    </row>
    <row r="108" customFormat="1" spans="1:19">
      <c r="A108" s="211">
        <v>46140</v>
      </c>
      <c r="B108" s="6" t="str">
        <f>VLOOKUP(C108,'Product List'!A:C,3,0)</f>
        <v>MMO-CAMP LUNCH BOX CHEW</v>
      </c>
      <c r="C108" s="129" t="s">
        <v>40</v>
      </c>
      <c r="D108" s="173">
        <f>VLOOKUP(C108,'Product List'!A:B,2,0)</f>
        <v>698746777012</v>
      </c>
      <c r="E108" s="214" t="s">
        <v>201</v>
      </c>
      <c r="F108" s="95" t="s">
        <v>202</v>
      </c>
      <c r="G108" s="99">
        <v>360</v>
      </c>
      <c r="H108" s="212">
        <v>46182</v>
      </c>
      <c r="I108" s="212">
        <f>IF(Q108="","",_xlfn.XLOOKUP(Q108,'Shipment Control'!A:A,'Shipment Control'!G:G))</f>
        <v>46190</v>
      </c>
      <c r="J108" s="140">
        <f>IF(Q108="",H108+30,_xlfn.XLOOKUP(Q108,'Shipment Control'!A:A,'Shipment Control'!H:H))</f>
        <v>46204</v>
      </c>
      <c r="K108" s="140">
        <v>46218</v>
      </c>
      <c r="L108" s="212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99">
        <f t="shared" si="2"/>
        <v>5</v>
      </c>
      <c r="P108" s="213">
        <f>_xlfn.XLOOKUP(M108,'Case Pack'!A:A,'Case Pack'!H:H)*O108</f>
        <v>0.36706962962963</v>
      </c>
      <c r="Q108" s="176" t="s">
        <v>173</v>
      </c>
      <c r="R108" s="219" t="s">
        <v>174</v>
      </c>
      <c r="S108" s="220"/>
    </row>
    <row r="109" customFormat="1" spans="1:19">
      <c r="A109" s="211">
        <v>46140</v>
      </c>
      <c r="B109" s="6" t="str">
        <f>VLOOKUP(C109,'Product List'!A:C,3,0)</f>
        <v>MMO-CLOUD WATER BOTTLE</v>
      </c>
      <c r="C109" s="129" t="s">
        <v>37</v>
      </c>
      <c r="D109" s="173">
        <f>VLOOKUP(C109,'Product List'!A:B,2,0)</f>
        <v>850030338112</v>
      </c>
      <c r="E109" s="214" t="s">
        <v>204</v>
      </c>
      <c r="F109" s="95" t="s">
        <v>205</v>
      </c>
      <c r="G109" s="99">
        <v>7650</v>
      </c>
      <c r="H109" s="212">
        <v>46170</v>
      </c>
      <c r="I109" s="212">
        <f>IF(Q109="","",_xlfn.XLOOKUP(Q109,'Shipment Control'!A:A,'Shipment Control'!G:G))</f>
        <v>46170</v>
      </c>
      <c r="J109" s="140">
        <f>IF(Q109="",H109+30,_xlfn.XLOOKUP(Q109,'Shipment Control'!A:A,'Shipment Control'!H:H))</f>
        <v>46195</v>
      </c>
      <c r="K109" s="140">
        <v>46203</v>
      </c>
      <c r="L109" s="21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99">
        <f t="shared" si="2"/>
        <v>153</v>
      </c>
      <c r="P109" s="213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211">
        <v>46140</v>
      </c>
      <c r="B110" s="6" t="str">
        <f>VLOOKUP(C110,'Product List'!A:C,3,0)</f>
        <v>MMO-BUBBLE WATER BOTTLE</v>
      </c>
      <c r="C110" s="129" t="s">
        <v>38</v>
      </c>
      <c r="D110" s="173">
        <f>VLOOKUP(C110,'Product List'!A:B,2,0)</f>
        <v>760762456971</v>
      </c>
      <c r="E110" s="214" t="s">
        <v>204</v>
      </c>
      <c r="F110" s="95" t="s">
        <v>205</v>
      </c>
      <c r="G110" s="99">
        <v>6804</v>
      </c>
      <c r="H110" s="212">
        <v>46170</v>
      </c>
      <c r="I110" s="212">
        <f>IF(Q110="","",_xlfn.XLOOKUP(Q110,'Shipment Control'!A:A,'Shipment Control'!G:G))</f>
        <v>46170</v>
      </c>
      <c r="J110" s="140">
        <f>IF(Q110="",H110+30,_xlfn.XLOOKUP(Q110,'Shipment Control'!A:A,'Shipment Control'!H:H))</f>
        <v>46195</v>
      </c>
      <c r="K110" s="140">
        <v>46203</v>
      </c>
      <c r="L110" s="21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99">
        <f t="shared" si="2"/>
        <v>162</v>
      </c>
      <c r="P110" s="213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211">
        <v>46170</v>
      </c>
      <c r="B111" s="6" t="str">
        <f>VLOOKUP(C111,'Product List'!A:C,3,0)</f>
        <v>MMO-SHELL PEARL HAMSTER CHEW</v>
      </c>
      <c r="C111" s="129" t="s">
        <v>48</v>
      </c>
      <c r="D111" s="173">
        <f>VLOOKUP(C111,'Product List'!A:B,2,0)</f>
        <v>698746777074</v>
      </c>
      <c r="E111" s="214" t="s">
        <v>206</v>
      </c>
      <c r="F111" s="95" t="s">
        <v>207</v>
      </c>
      <c r="G111" s="99">
        <v>1280</v>
      </c>
      <c r="H111" s="212">
        <v>46202</v>
      </c>
      <c r="I111" s="212">
        <f>IF(Q111="","",_xlfn.XLOOKUP(Q111,'Shipment Control'!A:A,'Shipment Control'!G:G))</f>
        <v>46211</v>
      </c>
      <c r="J111" s="140">
        <f>IF(Q111="",H111+30,_xlfn.XLOOKUP(Q111,'Shipment Control'!A:A,'Shipment Control'!H:H))</f>
        <v>46224</v>
      </c>
      <c r="K111" s="140">
        <v>46232</v>
      </c>
      <c r="L111" s="212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99">
        <f t="shared" si="2"/>
        <v>20</v>
      </c>
      <c r="P111" s="213">
        <f>_xlfn.XLOOKUP(M111,'Case Pack'!A:A,'Case Pack'!H:H)*O111</f>
        <v>1.46827851851852</v>
      </c>
      <c r="Q111" s="6" t="s">
        <v>208</v>
      </c>
      <c r="R111" s="219" t="s">
        <v>174</v>
      </c>
      <c r="S111" s="220"/>
    </row>
    <row r="112" customFormat="1" spans="1:19">
      <c r="A112" s="211">
        <v>46170</v>
      </c>
      <c r="B112" s="6" t="str">
        <f>VLOOKUP(C112,'Product List'!A:C,3,0)</f>
        <v>MMO-GREEN APPLE CHEW</v>
      </c>
      <c r="C112" s="129" t="s">
        <v>39</v>
      </c>
      <c r="D112" s="173">
        <f>VLOOKUP(C112,'Product List'!A:B,2,0)</f>
        <v>698746777081</v>
      </c>
      <c r="E112" s="214" t="s">
        <v>206</v>
      </c>
      <c r="F112" s="95" t="s">
        <v>207</v>
      </c>
      <c r="G112" s="99">
        <v>1200</v>
      </c>
      <c r="H112" s="212">
        <v>46202</v>
      </c>
      <c r="I112" s="212">
        <f>IF(Q112="","",_xlfn.XLOOKUP(Q112,'Shipment Control'!A:A,'Shipment Control'!G:G))</f>
        <v>46211</v>
      </c>
      <c r="J112" s="140">
        <f>IF(Q112="",H112+30,_xlfn.XLOOKUP(Q112,'Shipment Control'!A:A,'Shipment Control'!H:H))</f>
        <v>46224</v>
      </c>
      <c r="K112" s="140">
        <v>46232</v>
      </c>
      <c r="L112" s="212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99">
        <f t="shared" si="2"/>
        <v>25</v>
      </c>
      <c r="P112" s="213">
        <f>_xlfn.XLOOKUP(M112,'Case Pack'!A:A,'Case Pack'!H:H)*O112</f>
        <v>1.83534814814815</v>
      </c>
      <c r="Q112" s="6" t="s">
        <v>208</v>
      </c>
      <c r="R112" s="219" t="s">
        <v>174</v>
      </c>
      <c r="S112" s="220"/>
    </row>
    <row r="113" customFormat="1" spans="1:19">
      <c r="A113" s="211">
        <v>46170</v>
      </c>
      <c r="B113" s="6" t="str">
        <f>VLOOKUP(C113,'Product List'!A:C,3,0)</f>
        <v>MMO-CAMP LUNCH BOX CHEW</v>
      </c>
      <c r="C113" s="129" t="s">
        <v>40</v>
      </c>
      <c r="D113" s="173">
        <f>VLOOKUP(C113,'Product List'!A:B,2,0)</f>
        <v>698746777012</v>
      </c>
      <c r="E113" s="214" t="s">
        <v>206</v>
      </c>
      <c r="F113" s="95" t="s">
        <v>207</v>
      </c>
      <c r="G113" s="99">
        <v>1368</v>
      </c>
      <c r="H113" s="212">
        <v>46202</v>
      </c>
      <c r="I113" s="212">
        <f>IF(Q113="","",_xlfn.XLOOKUP(Q113,'Shipment Control'!A:A,'Shipment Control'!G:G))</f>
        <v>46211</v>
      </c>
      <c r="J113" s="140">
        <f>IF(Q113="",H113+30,_xlfn.XLOOKUP(Q113,'Shipment Control'!A:A,'Shipment Control'!H:H))</f>
        <v>46224</v>
      </c>
      <c r="K113" s="140">
        <v>46232</v>
      </c>
      <c r="L113" s="212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99">
        <f t="shared" si="2"/>
        <v>19</v>
      </c>
      <c r="P113" s="213">
        <f>_xlfn.XLOOKUP(M113,'Case Pack'!A:A,'Case Pack'!H:H)*O113</f>
        <v>1.39486459259259</v>
      </c>
      <c r="Q113" s="6" t="s">
        <v>208</v>
      </c>
      <c r="R113" s="219" t="s">
        <v>174</v>
      </c>
      <c r="S113" s="220"/>
    </row>
    <row r="114" customFormat="1" spans="1:19">
      <c r="A114" s="211">
        <v>46162</v>
      </c>
      <c r="B114" s="6" t="str">
        <f>VLOOKUP(C114,'Product List'!A:C,3,0)</f>
        <v>MINI/MOE SMALL ANIMAL BEDDING PAPER TWISTS</v>
      </c>
      <c r="C114" s="174" t="s">
        <v>51</v>
      </c>
      <c r="D114" s="173">
        <f>VLOOKUP(C114,'Product List'!A:B,2,0)</f>
        <v>698746777210</v>
      </c>
      <c r="E114" s="214" t="s">
        <v>209</v>
      </c>
      <c r="F114" s="95" t="s">
        <v>210</v>
      </c>
      <c r="G114" s="99">
        <v>30</v>
      </c>
      <c r="H114" s="212">
        <v>46227</v>
      </c>
      <c r="I114" s="212" t="str">
        <f>IF(Q114="","",_xlfn.XLOOKUP(Q114,'Shipment Control'!A:A,'Shipment Control'!G:G))</f>
        <v/>
      </c>
      <c r="J114" s="140">
        <f>IF(Q114="",H114+30,_xlfn.XLOOKUP(Q114,'Shipment Control'!A:A,'Shipment Control'!H:H))</f>
        <v>46257</v>
      </c>
      <c r="K114" s="140"/>
      <c r="L114" s="21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99">
        <f t="shared" si="2"/>
        <v>1</v>
      </c>
      <c r="P114" s="213">
        <f>_xlfn.XLOOKUP(M114,'Case Pack'!A:A,'Case Pack'!H:H)*O114</f>
        <v>0.110120888888889</v>
      </c>
      <c r="Q114" s="6"/>
      <c r="R114" s="6"/>
      <c r="S114" s="6"/>
    </row>
    <row r="115" customFormat="1" spans="1:19">
      <c r="A115" s="211">
        <v>46162</v>
      </c>
      <c r="B115" s="6" t="str">
        <f>VLOOKUP(C115,'Product List'!A:C,3,0)</f>
        <v>MINI/MOE SMALL ANIMAL BEDDING PAPER TWISTS</v>
      </c>
      <c r="C115" s="129" t="s">
        <v>51</v>
      </c>
      <c r="D115" s="173">
        <f>VLOOKUP(C115,'Product List'!A:B,2,0)</f>
        <v>698746777210</v>
      </c>
      <c r="E115" s="214" t="s">
        <v>209</v>
      </c>
      <c r="F115" s="95" t="s">
        <v>210</v>
      </c>
      <c r="G115" s="99">
        <v>1830</v>
      </c>
      <c r="H115" s="212">
        <v>46189</v>
      </c>
      <c r="I115" s="212">
        <f>IF(Q115="","",_xlfn.XLOOKUP(Q115,'Shipment Control'!A:A,'Shipment Control'!G:G))</f>
        <v>46194</v>
      </c>
      <c r="J115" s="140">
        <f>IF(Q115="",H115+30,_xlfn.XLOOKUP(Q115,'Shipment Control'!A:A,'Shipment Control'!H:H))</f>
        <v>46212</v>
      </c>
      <c r="K115" s="140">
        <v>46224</v>
      </c>
      <c r="L115" s="21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99">
        <f t="shared" si="2"/>
        <v>61</v>
      </c>
      <c r="P115" s="213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211">
        <v>46162</v>
      </c>
      <c r="B116" s="6" t="str">
        <f>VLOOKUP(C116,'Product List'!A:C,3,0)</f>
        <v>MINI/MOE SMALL ANIMAL BEDDING CRINKLE PAPER BROWN 1EA</v>
      </c>
      <c r="C116" s="129" t="s">
        <v>62</v>
      </c>
      <c r="D116" s="173">
        <f>VLOOKUP(C116,'Product List'!A:B,2,0)</f>
        <v>698746777364</v>
      </c>
      <c r="E116" s="214" t="s">
        <v>209</v>
      </c>
      <c r="F116" s="95" t="s">
        <v>210</v>
      </c>
      <c r="G116" s="99">
        <v>690</v>
      </c>
      <c r="H116" s="212">
        <v>46189</v>
      </c>
      <c r="I116" s="212">
        <f>IF(Q116="","",_xlfn.XLOOKUP(Q116,'Shipment Control'!A:A,'Shipment Control'!G:G))</f>
        <v>46194</v>
      </c>
      <c r="J116" s="140">
        <f>IF(Q116="",H116+30,_xlfn.XLOOKUP(Q116,'Shipment Control'!A:A,'Shipment Control'!H:H))</f>
        <v>46212</v>
      </c>
      <c r="K116" s="140">
        <v>46224</v>
      </c>
      <c r="L116" s="21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99">
        <f t="shared" si="2"/>
        <v>23</v>
      </c>
      <c r="P116" s="213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211">
        <v>46162</v>
      </c>
      <c r="B117" s="6" t="str">
        <f>VLOOKUP(C117,'Product List'!A:C,3,0)</f>
        <v>MINI/MOE SMALL ANIMAL BEDDING ROLLED PAPER FOREST MIX 1EA</v>
      </c>
      <c r="C117" s="129" t="s">
        <v>45</v>
      </c>
      <c r="D117" s="173">
        <f>VLOOKUP(C117,'Product List'!A:B,2,0)</f>
        <v>698746777418</v>
      </c>
      <c r="E117" s="214" t="s">
        <v>209</v>
      </c>
      <c r="F117" s="95" t="s">
        <v>210</v>
      </c>
      <c r="G117" s="99">
        <v>1860</v>
      </c>
      <c r="H117" s="212">
        <v>46189</v>
      </c>
      <c r="I117" s="212">
        <f>IF(Q117="","",_xlfn.XLOOKUP(Q117,'Shipment Control'!A:A,'Shipment Control'!G:G))</f>
        <v>46194</v>
      </c>
      <c r="J117" s="140">
        <f>IF(Q117="",H117+30,_xlfn.XLOOKUP(Q117,'Shipment Control'!A:A,'Shipment Control'!H:H))</f>
        <v>46212</v>
      </c>
      <c r="K117" s="140">
        <v>46224</v>
      </c>
      <c r="L117" s="21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99">
        <f t="shared" si="2"/>
        <v>62</v>
      </c>
      <c r="P117" s="213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211">
        <v>46162</v>
      </c>
      <c r="B118" s="6" t="str">
        <f>VLOOKUP(C118,'Product List'!A:C,3,0)</f>
        <v>MINI/MOE SMALL ANIMAL BEDDING PAPER FLAKE LAV FIELD 50LT</v>
      </c>
      <c r="C118" s="129" t="s">
        <v>46</v>
      </c>
      <c r="D118" s="173">
        <f>VLOOKUP(C118,'Product List'!A:B,2,0)</f>
        <v>698746777463</v>
      </c>
      <c r="E118" s="214" t="s">
        <v>209</v>
      </c>
      <c r="F118" s="95" t="s">
        <v>210</v>
      </c>
      <c r="G118" s="99">
        <v>1848</v>
      </c>
      <c r="H118" s="212">
        <v>46189</v>
      </c>
      <c r="I118" s="212">
        <f>IF(Q118="","",_xlfn.XLOOKUP(Q118,'Shipment Control'!A:A,'Shipment Control'!G:G))</f>
        <v>46194</v>
      </c>
      <c r="J118" s="140">
        <f>IF(Q118="",H118+30,_xlfn.XLOOKUP(Q118,'Shipment Control'!A:A,'Shipment Control'!H:H))</f>
        <v>46212</v>
      </c>
      <c r="K118" s="140">
        <v>46224</v>
      </c>
      <c r="L118" s="21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99">
        <f t="shared" si="2"/>
        <v>132</v>
      </c>
      <c r="P118" s="213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211">
        <v>46162</v>
      </c>
      <c r="B119" s="6" t="str">
        <f>VLOOKUP(C119,'Product List'!A:C,3,0)</f>
        <v>MINI/MOE SMALL ANIMAL BEDDING NESTING COTTON BALLS LAV 23LT</v>
      </c>
      <c r="C119" s="129" t="s">
        <v>49</v>
      </c>
      <c r="D119" s="173">
        <f>VLOOKUP(C119,'Product List'!A:B,2,0)</f>
        <v>698746777531</v>
      </c>
      <c r="E119" s="214" t="s">
        <v>209</v>
      </c>
      <c r="F119" s="95" t="s">
        <v>210</v>
      </c>
      <c r="G119" s="99">
        <v>1888</v>
      </c>
      <c r="H119" s="212">
        <v>46189</v>
      </c>
      <c r="I119" s="212">
        <f>IF(Q119="","",_xlfn.XLOOKUP(Q119,'Shipment Control'!A:A,'Shipment Control'!G:G))</f>
        <v>46194</v>
      </c>
      <c r="J119" s="140">
        <f>IF(Q119="",H119+30,_xlfn.XLOOKUP(Q119,'Shipment Control'!A:A,'Shipment Control'!H:H))</f>
        <v>46212</v>
      </c>
      <c r="K119" s="140">
        <v>46224</v>
      </c>
      <c r="L119" s="21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99">
        <f t="shared" si="2"/>
        <v>59</v>
      </c>
      <c r="P119" s="213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211">
        <v>46162</v>
      </c>
      <c r="B120" s="6" t="str">
        <f>VLOOKUP(C120,'Product List'!A:C,3,0)</f>
        <v>MINI/MOE SMALL ANIMAL BEDDING PAPER PEBBLES OCEAN BLUE 23LT</v>
      </c>
      <c r="C120" s="129" t="s">
        <v>47</v>
      </c>
      <c r="D120" s="173">
        <f>VLOOKUP(C120,'Product List'!A:B,2,0)</f>
        <v>698746777562</v>
      </c>
      <c r="E120" s="214" t="s">
        <v>209</v>
      </c>
      <c r="F120" s="95" t="s">
        <v>210</v>
      </c>
      <c r="G120" s="99">
        <v>1848</v>
      </c>
      <c r="H120" s="212">
        <v>46189</v>
      </c>
      <c r="I120" s="212">
        <f>IF(Q120="","",_xlfn.XLOOKUP(Q120,'Shipment Control'!A:A,'Shipment Control'!G:G))</f>
        <v>46194</v>
      </c>
      <c r="J120" s="140">
        <f>IF(Q120="",H120+30,_xlfn.XLOOKUP(Q120,'Shipment Control'!A:A,'Shipment Control'!H:H))</f>
        <v>46212</v>
      </c>
      <c r="K120" s="140">
        <v>46223</v>
      </c>
      <c r="L120" s="21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99">
        <f t="shared" si="2"/>
        <v>154</v>
      </c>
      <c r="P120" s="213">
        <f>_xlfn.XLOOKUP(M120,'Case Pack'!A:A,'Case Pack'!H:H)*O120</f>
        <v>11.3057445925926</v>
      </c>
      <c r="Q120" s="6" t="s">
        <v>178</v>
      </c>
      <c r="R120" s="218" t="s">
        <v>179</v>
      </c>
      <c r="S120" s="6" t="s">
        <v>180</v>
      </c>
    </row>
    <row r="121" customFormat="1" spans="1:19">
      <c r="A121" s="211">
        <v>46170</v>
      </c>
      <c r="B121" s="6" t="str">
        <f>VLOOKUP(C121,'Product List'!A:C,3,0)</f>
        <v>MMO-CAMP LUNCH BOX CHEW</v>
      </c>
      <c r="C121" s="129" t="s">
        <v>40</v>
      </c>
      <c r="D121" s="173">
        <f>VLOOKUP(C121,'Product List'!A:B,2,0)</f>
        <v>698746777012</v>
      </c>
      <c r="E121" s="214" t="s">
        <v>214</v>
      </c>
      <c r="F121" s="129" t="s">
        <v>215</v>
      </c>
      <c r="G121" s="99">
        <v>360</v>
      </c>
      <c r="H121" s="212">
        <v>46217</v>
      </c>
      <c r="I121" s="212">
        <f>IF(Q121="","",_xlfn.XLOOKUP(Q121,'Shipment Control'!A:A,'Shipment Control'!G:G))</f>
        <v>46225</v>
      </c>
      <c r="J121" s="140">
        <f>IF(Q121="",H121+30,_xlfn.XLOOKUP(Q121,'Shipment Control'!A:A,'Shipment Control'!H:H))</f>
        <v>46239</v>
      </c>
      <c r="K121" s="140">
        <v>46249</v>
      </c>
      <c r="L121" s="212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99">
        <f t="shared" si="2"/>
        <v>5</v>
      </c>
      <c r="P121" s="213">
        <f>_xlfn.XLOOKUP(M121,'Case Pack'!A:A,'Case Pack'!H:H)*O121</f>
        <v>0.36706962962963</v>
      </c>
      <c r="Q121" s="6" t="s">
        <v>216</v>
      </c>
      <c r="R121" s="221" t="s">
        <v>174</v>
      </c>
      <c r="S121" s="222"/>
    </row>
    <row r="122" customFormat="1" spans="1:19">
      <c r="A122" s="211">
        <v>46170</v>
      </c>
      <c r="B122" s="6" t="str">
        <f>VLOOKUP(C122,'Product List'!A:C,3,0)</f>
        <v>Mushroom Spiral Staircase</v>
      </c>
      <c r="C122" s="129" t="s">
        <v>55</v>
      </c>
      <c r="D122" s="173">
        <f>VLOOKUP(C122,'Product List'!A:B,2,0)</f>
        <v>698746777029</v>
      </c>
      <c r="E122" s="214" t="s">
        <v>214</v>
      </c>
      <c r="F122" s="95" t="s">
        <v>215</v>
      </c>
      <c r="G122" s="99">
        <v>288</v>
      </c>
      <c r="H122" s="212">
        <v>46209</v>
      </c>
      <c r="I122" s="212">
        <f>IF(Q122="","",_xlfn.XLOOKUP(Q122,'Shipment Control'!A:A,'Shipment Control'!G:G))</f>
        <v>46218</v>
      </c>
      <c r="J122" s="140">
        <f>IF(Q122="",H122+30,_xlfn.XLOOKUP(Q122,'Shipment Control'!A:A,'Shipment Control'!H:H))</f>
        <v>46248</v>
      </c>
      <c r="K122" s="140">
        <v>46253</v>
      </c>
      <c r="L122" s="212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99">
        <f t="shared" si="2"/>
        <v>4</v>
      </c>
      <c r="P122" s="213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211">
        <v>46170</v>
      </c>
      <c r="B123" s="6" t="str">
        <f>VLOOKUP(C123,'Product List'!A:C,3,0)</f>
        <v>Swinging Swing Hamster Toy</v>
      </c>
      <c r="C123" s="129" t="s">
        <v>78</v>
      </c>
      <c r="D123" s="173">
        <f>VLOOKUP(C123,'Product List'!A:B,2,0)</f>
        <v>698746777036</v>
      </c>
      <c r="E123" s="214" t="s">
        <v>214</v>
      </c>
      <c r="F123" s="95" t="s">
        <v>215</v>
      </c>
      <c r="G123" s="108">
        <v>240</v>
      </c>
      <c r="H123" s="212">
        <v>46227</v>
      </c>
      <c r="I123" s="212">
        <f>IF(Q123="","",_xlfn.XLOOKUP(Q123,'Shipment Control'!A:A,'Shipment Control'!G:G))</f>
        <v>46238</v>
      </c>
      <c r="J123" s="140">
        <f>IF(Q123="",H123+30,_xlfn.XLOOKUP(Q123,'Shipment Control'!A:A,'Shipment Control'!H:H))</f>
        <v>46252</v>
      </c>
      <c r="K123" s="140">
        <v>46255</v>
      </c>
      <c r="L123" s="212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99">
        <f t="shared" si="2"/>
        <v>5</v>
      </c>
      <c r="P123" s="213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211">
        <v>46170</v>
      </c>
      <c r="B124" s="6" t="str">
        <f>VLOOKUP(C124,'Product List'!A:C,3,0)</f>
        <v>Tree Stump Hide</v>
      </c>
      <c r="C124" s="129" t="s">
        <v>81</v>
      </c>
      <c r="D124" s="173">
        <f>VLOOKUP(C124,'Product List'!A:B,2,0)</f>
        <v>850030338235</v>
      </c>
      <c r="E124" s="214" t="s">
        <v>214</v>
      </c>
      <c r="F124" s="95" t="s">
        <v>215</v>
      </c>
      <c r="G124" s="108">
        <v>216</v>
      </c>
      <c r="H124" s="212">
        <v>46227</v>
      </c>
      <c r="I124" s="212">
        <f>IF(Q124="","",_xlfn.XLOOKUP(Q124,'Shipment Control'!A:A,'Shipment Control'!G:G))</f>
        <v>46238</v>
      </c>
      <c r="J124" s="140">
        <f>IF(Q124="",H124+30,_xlfn.XLOOKUP(Q124,'Shipment Control'!A:A,'Shipment Control'!H:H))</f>
        <v>46252</v>
      </c>
      <c r="K124" s="140">
        <v>46255</v>
      </c>
      <c r="L124" s="212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99">
        <f t="shared" si="2"/>
        <v>9</v>
      </c>
      <c r="P124" s="213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211">
        <v>46170</v>
      </c>
      <c r="B125" s="6" t="str">
        <f>VLOOKUP(C125,'Product List'!A:C,3,0)</f>
        <v>MINI/MOE CAMPING TENT HIDE</v>
      </c>
      <c r="C125" s="129" t="s">
        <v>25</v>
      </c>
      <c r="D125" s="173">
        <f>VLOOKUP(C125,'Product List'!A:B,2,0)</f>
        <v>850030338082</v>
      </c>
      <c r="E125" s="214" t="s">
        <v>214</v>
      </c>
      <c r="F125" s="95" t="s">
        <v>215</v>
      </c>
      <c r="G125" s="99">
        <v>204</v>
      </c>
      <c r="H125" s="212">
        <v>46218</v>
      </c>
      <c r="I125" s="212">
        <f>IF(Q125="","",_xlfn.XLOOKUP(Q125,'Shipment Control'!A:A,'Shipment Control'!G:G))</f>
        <v>46218</v>
      </c>
      <c r="J125" s="140">
        <f>IF(Q125="",H125+30,_xlfn.XLOOKUP(Q125,'Shipment Control'!A:A,'Shipment Control'!H:H))</f>
        <v>46248</v>
      </c>
      <c r="K125" s="140">
        <v>46253</v>
      </c>
      <c r="L125" s="212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99">
        <f t="shared" si="2"/>
        <v>17</v>
      </c>
      <c r="P125" s="213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211">
        <v>46170</v>
      </c>
      <c r="B126" s="6" t="str">
        <f>VLOOKUP(C126,'Product List'!A:C,3,0)</f>
        <v>Bubble water bottle (color:green)</v>
      </c>
      <c r="C126" s="129" t="s">
        <v>80</v>
      </c>
      <c r="D126" s="173">
        <f>VLOOKUP(C126,'Product List'!A:B,2,0)</f>
        <v>634413994429</v>
      </c>
      <c r="E126" s="214" t="s">
        <v>214</v>
      </c>
      <c r="F126" s="95" t="s">
        <v>215</v>
      </c>
      <c r="G126" s="99">
        <v>216</v>
      </c>
      <c r="H126" s="212">
        <v>46213</v>
      </c>
      <c r="I126" s="212">
        <f>IF(Q126="","",_xlfn.XLOOKUP(Q126,'Shipment Control'!A:A,'Shipment Control'!G:G))</f>
        <v>46209</v>
      </c>
      <c r="J126" s="140">
        <f>IF(Q126="",H126+30,_xlfn.XLOOKUP(Q126,'Shipment Control'!A:A,'Shipment Control'!H:H))</f>
        <v>46231</v>
      </c>
      <c r="K126" s="140">
        <v>46235</v>
      </c>
      <c r="L126" s="212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99">
        <f t="shared" si="2"/>
        <v>12</v>
      </c>
      <c r="P126" s="213">
        <f>_xlfn.XLOOKUP(M126,'Case Pack'!A:A,'Case Pack'!H:H)*O126</f>
        <v>0.880967111111111</v>
      </c>
      <c r="Q126" s="176" t="s">
        <v>220</v>
      </c>
      <c r="R126" s="223" t="s">
        <v>221</v>
      </c>
      <c r="S126" s="223" t="s">
        <v>222</v>
      </c>
    </row>
    <row r="127" customFormat="1" spans="1:19">
      <c r="A127" s="211">
        <v>46170</v>
      </c>
      <c r="B127" s="6" t="str">
        <f>VLOOKUP(C127,'Product List'!A:C,3,0)</f>
        <v>Cotton multi color bedding</v>
      </c>
      <c r="C127" s="129" t="s">
        <v>50</v>
      </c>
      <c r="D127" s="173">
        <f>VLOOKUP(C127,'Product List'!A:B,2,0)</f>
        <v>698746777067</v>
      </c>
      <c r="E127" s="214" t="s">
        <v>214</v>
      </c>
      <c r="F127" s="95" t="s">
        <v>215</v>
      </c>
      <c r="G127" s="99">
        <v>320</v>
      </c>
      <c r="H127" s="212">
        <v>46213</v>
      </c>
      <c r="I127" s="212">
        <f>IF(Q127="","",_xlfn.XLOOKUP(Q127,'Shipment Control'!A:A,'Shipment Control'!G:G))</f>
        <v>46209</v>
      </c>
      <c r="J127" s="140">
        <f>IF(Q127="",H127+30,_xlfn.XLOOKUP(Q127,'Shipment Control'!A:A,'Shipment Control'!H:H))</f>
        <v>46231</v>
      </c>
      <c r="K127" s="140">
        <v>46235</v>
      </c>
      <c r="L127" s="212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99">
        <f t="shared" si="2"/>
        <v>10</v>
      </c>
      <c r="P127" s="213">
        <f>_xlfn.XLOOKUP(M127,'Case Pack'!A:A,'Case Pack'!H:H)*O127</f>
        <v>1.10120888888889</v>
      </c>
      <c r="Q127" s="176" t="s">
        <v>220</v>
      </c>
      <c r="R127" s="223" t="s">
        <v>221</v>
      </c>
      <c r="S127" s="223" t="s">
        <v>222</v>
      </c>
    </row>
    <row r="128" customFormat="1" spans="1:19">
      <c r="A128" s="211">
        <v>46170</v>
      </c>
      <c r="B128" s="6" t="str">
        <f>VLOOKUP(C128,'Product List'!A:C,3,0)</f>
        <v>MMO-PAPER PEBBLES</v>
      </c>
      <c r="C128" s="129" t="s">
        <v>42</v>
      </c>
      <c r="D128" s="173">
        <f>VLOOKUP(C128,'Product List'!A:B,2,0)</f>
        <v>850067049258</v>
      </c>
      <c r="E128" s="214" t="s">
        <v>214</v>
      </c>
      <c r="F128" s="95" t="s">
        <v>215</v>
      </c>
      <c r="G128" s="99">
        <v>300</v>
      </c>
      <c r="H128" s="212">
        <v>46220</v>
      </c>
      <c r="I128" s="212">
        <f>IF(Q128="","",_xlfn.XLOOKUP(Q128,'Shipment Control'!A:A,'Shipment Control'!G:G))</f>
        <v>46224</v>
      </c>
      <c r="J128" s="140">
        <f>IF(Q128="",H128+30,_xlfn.XLOOKUP(Q128,'Shipment Control'!A:A,'Shipment Control'!H:H))</f>
        <v>46239</v>
      </c>
      <c r="K128" s="140">
        <v>46244</v>
      </c>
      <c r="L128" s="212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99">
        <f t="shared" si="2"/>
        <v>25</v>
      </c>
      <c r="P128" s="213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211">
        <v>46170</v>
      </c>
      <c r="B129" s="6" t="str">
        <f>VLOOKUP(C129,'Product List'!A:C,3,0)</f>
        <v>Paper straw green bedding</v>
      </c>
      <c r="C129" s="129" t="s">
        <v>77</v>
      </c>
      <c r="D129" s="173">
        <f>VLOOKUP(C129,'Product List'!A:B,2,0)</f>
        <v>860006392840</v>
      </c>
      <c r="E129" s="214" t="s">
        <v>214</v>
      </c>
      <c r="F129" s="95" t="s">
        <v>215</v>
      </c>
      <c r="G129" s="99">
        <v>300</v>
      </c>
      <c r="H129" s="212">
        <v>46213</v>
      </c>
      <c r="I129" s="212">
        <f>IF(Q129="","",_xlfn.XLOOKUP(Q129,'Shipment Control'!A:A,'Shipment Control'!G:G))</f>
        <v>46209</v>
      </c>
      <c r="J129" s="140">
        <f>IF(Q129="",H129+30,_xlfn.XLOOKUP(Q129,'Shipment Control'!A:A,'Shipment Control'!H:H))</f>
        <v>46231</v>
      </c>
      <c r="K129" s="140">
        <v>46235</v>
      </c>
      <c r="L129" s="212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99">
        <f t="shared" si="2"/>
        <v>10</v>
      </c>
      <c r="P129" s="213">
        <f>_xlfn.XLOOKUP(M129,'Case Pack'!A:A,'Case Pack'!H:H)*O129</f>
        <v>1.57315555555556</v>
      </c>
      <c r="Q129" s="176" t="s">
        <v>220</v>
      </c>
      <c r="R129" s="223" t="s">
        <v>221</v>
      </c>
      <c r="S129" s="223" t="s">
        <v>222</v>
      </c>
    </row>
    <row r="130" customFormat="1" spans="1:19">
      <c r="A130" s="211">
        <v>46170</v>
      </c>
      <c r="B130" s="6" t="str">
        <f>VLOOKUP(C130,'Product List'!A:C,3,0)</f>
        <v>Paper twist brown / white bedding</v>
      </c>
      <c r="C130" s="129" t="s">
        <v>54</v>
      </c>
      <c r="D130" s="173">
        <f>VLOOKUP(C130,'Product List'!A:B,2,0)</f>
        <v>698746777050</v>
      </c>
      <c r="E130" s="214" t="s">
        <v>214</v>
      </c>
      <c r="F130" s="95" t="s">
        <v>215</v>
      </c>
      <c r="G130" s="108">
        <v>300</v>
      </c>
      <c r="H130" s="212">
        <v>46227</v>
      </c>
      <c r="I130" s="212">
        <f>IF(Q130="","",_xlfn.XLOOKUP(Q130,'Shipment Control'!A:A,'Shipment Control'!G:G))</f>
        <v>46238</v>
      </c>
      <c r="J130" s="140">
        <f>IF(Q130="",H130+30,_xlfn.XLOOKUP(Q130,'Shipment Control'!A:A,'Shipment Control'!H:H))</f>
        <v>46252</v>
      </c>
      <c r="K130" s="140">
        <v>46255</v>
      </c>
      <c r="L130" s="212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99">
        <f t="shared" si="2"/>
        <v>10</v>
      </c>
      <c r="P130" s="213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211">
        <v>46170</v>
      </c>
      <c r="B131" s="6" t="str">
        <f>VLOOKUP(C131,'Product List'!A:C,3,0)</f>
        <v>Silent Crystal Running Wheel XL</v>
      </c>
      <c r="C131" s="129" t="s">
        <v>56</v>
      </c>
      <c r="D131" s="173">
        <f>VLOOKUP(C131,'Product List'!A:B,2,0)</f>
        <v>850030338464</v>
      </c>
      <c r="E131" s="214" t="s">
        <v>214</v>
      </c>
      <c r="F131" s="95" t="s">
        <v>215</v>
      </c>
      <c r="G131" s="99">
        <v>102</v>
      </c>
      <c r="H131" s="212">
        <v>46213</v>
      </c>
      <c r="I131" s="212">
        <f>IF(Q131="","",_xlfn.XLOOKUP(Q131,'Shipment Control'!A:A,'Shipment Control'!G:G))</f>
        <v>46209</v>
      </c>
      <c r="J131" s="140">
        <f>IF(Q131="",H131+30,_xlfn.XLOOKUP(Q131,'Shipment Control'!A:A,'Shipment Control'!H:H))</f>
        <v>46231</v>
      </c>
      <c r="K131" s="140">
        <v>46235</v>
      </c>
      <c r="L131" s="212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99">
        <f t="shared" si="2"/>
        <v>34</v>
      </c>
      <c r="P131" s="213">
        <f>_xlfn.XLOOKUP(M131,'Case Pack'!A:A,'Case Pack'!H:H)*O131</f>
        <v>5.34872888888889</v>
      </c>
      <c r="Q131" s="176" t="s">
        <v>220</v>
      </c>
      <c r="R131" s="223" t="s">
        <v>221</v>
      </c>
      <c r="S131" s="223" t="s">
        <v>222</v>
      </c>
    </row>
    <row r="132" customFormat="1" spans="1:19">
      <c r="A132" s="211">
        <v>46170</v>
      </c>
      <c r="B132" s="6" t="str">
        <f>VLOOKUP(C132,'Product List'!A:C,3,0)</f>
        <v>MINI/MOE SILENT CRSTL RUN WHEEL LG 8.5-White</v>
      </c>
      <c r="C132" s="129" t="s">
        <v>41</v>
      </c>
      <c r="D132" s="173">
        <f>VLOOKUP(C132,'Product List'!A:B,2,0)</f>
        <v>850062627680</v>
      </c>
      <c r="E132" s="214" t="s">
        <v>214</v>
      </c>
      <c r="F132" s="95" t="s">
        <v>215</v>
      </c>
      <c r="G132" s="99">
        <v>104</v>
      </c>
      <c r="H132" s="212">
        <v>46213</v>
      </c>
      <c r="I132" s="212">
        <f>IF(Q132="","",_xlfn.XLOOKUP(Q132,'Shipment Control'!A:A,'Shipment Control'!G:G))</f>
        <v>46209</v>
      </c>
      <c r="J132" s="140">
        <f>IF(Q132="",H132+30,_xlfn.XLOOKUP(Q132,'Shipment Control'!A:A,'Shipment Control'!H:H))</f>
        <v>46231</v>
      </c>
      <c r="K132" s="140">
        <v>46235</v>
      </c>
      <c r="L132" s="212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99">
        <f t="shared" si="2"/>
        <v>13</v>
      </c>
      <c r="P132" s="213">
        <f>_xlfn.XLOOKUP(M132,'Case Pack'!A:A,'Case Pack'!H:H)*O132</f>
        <v>2.04510222222222</v>
      </c>
      <c r="Q132" s="176" t="s">
        <v>220</v>
      </c>
      <c r="R132" s="223" t="s">
        <v>221</v>
      </c>
      <c r="S132" s="223" t="s">
        <v>222</v>
      </c>
    </row>
    <row r="133" customFormat="1" spans="1:19">
      <c r="A133" s="211">
        <v>46170</v>
      </c>
      <c r="B133" s="6" t="str">
        <f>VLOOKUP(C133,'Product List'!A:C,3,0)</f>
        <v>MINI/MOE SILENT CRSTL RUN WHEEL LG 8.5-White</v>
      </c>
      <c r="C133" s="129" t="s">
        <v>41</v>
      </c>
      <c r="D133" s="173">
        <f>VLOOKUP(C133,'Product List'!A:B,2,0)</f>
        <v>850062627680</v>
      </c>
      <c r="E133" s="214" t="s">
        <v>214</v>
      </c>
      <c r="F133" s="95" t="s">
        <v>215</v>
      </c>
      <c r="G133" s="99">
        <v>104</v>
      </c>
      <c r="H133" s="212">
        <v>46213</v>
      </c>
      <c r="I133" s="212">
        <f>IF(Q133="","",_xlfn.XLOOKUP(Q133,'Shipment Control'!A:A,'Shipment Control'!G:G))</f>
        <v>46218</v>
      </c>
      <c r="J133" s="140">
        <f>IF(Q133="",H133+30,_xlfn.XLOOKUP(Q133,'Shipment Control'!A:A,'Shipment Control'!H:H))</f>
        <v>46248</v>
      </c>
      <c r="K133" s="140">
        <v>46253</v>
      </c>
      <c r="L133" s="212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99">
        <f t="shared" si="2"/>
        <v>13</v>
      </c>
      <c r="P133" s="213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211">
        <v>46162</v>
      </c>
      <c r="B134" s="6" t="str">
        <f>VLOOKUP(C134,'Product List'!A:C,3,0)</f>
        <v>MINI/MOE SMALL ANIMAL BEDDING PAPER TWISTS</v>
      </c>
      <c r="C134" s="129" t="s">
        <v>51</v>
      </c>
      <c r="D134" s="173">
        <f>VLOOKUP(C134,'Product List'!A:B,2,0)</f>
        <v>698746777210</v>
      </c>
      <c r="E134" s="214" t="s">
        <v>223</v>
      </c>
      <c r="F134" s="95" t="s">
        <v>224</v>
      </c>
      <c r="G134" s="108">
        <v>1560</v>
      </c>
      <c r="H134" s="212">
        <v>46227</v>
      </c>
      <c r="I134" s="212">
        <f>IF(Q134="","",_xlfn.XLOOKUP(Q134,'Shipment Control'!A:A,'Shipment Control'!G:G))</f>
        <v>46238</v>
      </c>
      <c r="J134" s="140">
        <f>IF(Q134="",H134+30,_xlfn.XLOOKUP(Q134,'Shipment Control'!A:A,'Shipment Control'!H:H))</f>
        <v>46252</v>
      </c>
      <c r="K134" s="140">
        <v>46255</v>
      </c>
      <c r="L134" s="212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99">
        <f t="shared" si="2"/>
        <v>52</v>
      </c>
      <c r="P134" s="213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211">
        <v>46162</v>
      </c>
      <c r="B135" s="6" t="str">
        <f>VLOOKUP(C135,'Product List'!A:C,3,0)</f>
        <v>MINI/MOE SMALL ANIMAL BEDDING CRINKLE PAPER BROWN 1EA</v>
      </c>
      <c r="C135" s="129" t="s">
        <v>62</v>
      </c>
      <c r="D135" s="173">
        <f>VLOOKUP(C135,'Product List'!A:B,2,0)</f>
        <v>698746777364</v>
      </c>
      <c r="E135" s="214" t="s">
        <v>223</v>
      </c>
      <c r="F135" s="95" t="s">
        <v>224</v>
      </c>
      <c r="G135" s="108">
        <v>570</v>
      </c>
      <c r="H135" s="212">
        <v>46227</v>
      </c>
      <c r="I135" s="212">
        <f>IF(Q135="","",_xlfn.XLOOKUP(Q135,'Shipment Control'!A:A,'Shipment Control'!G:G))</f>
        <v>46238</v>
      </c>
      <c r="J135" s="140">
        <f>IF(Q135="",H135+30,_xlfn.XLOOKUP(Q135,'Shipment Control'!A:A,'Shipment Control'!H:H))</f>
        <v>46252</v>
      </c>
      <c r="K135" s="140">
        <v>46255</v>
      </c>
      <c r="L135" s="212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99">
        <f t="shared" si="2"/>
        <v>19</v>
      </c>
      <c r="P135" s="213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211">
        <v>46162</v>
      </c>
      <c r="B136" s="6" t="str">
        <f>VLOOKUP(C136,'Product List'!A:C,3,0)</f>
        <v>MINI/MOE SMALL ANIMAL BEDDING ROLLED PAPER FOREST MIX 1EA</v>
      </c>
      <c r="C136" s="129" t="s">
        <v>45</v>
      </c>
      <c r="D136" s="173">
        <f>VLOOKUP(C136,'Product List'!A:B,2,0)</f>
        <v>698746777418</v>
      </c>
      <c r="E136" s="214" t="s">
        <v>223</v>
      </c>
      <c r="F136" s="95" t="s">
        <v>224</v>
      </c>
      <c r="G136" s="108">
        <v>1560</v>
      </c>
      <c r="H136" s="212">
        <v>46227</v>
      </c>
      <c r="I136" s="212">
        <f>IF(Q136="","",_xlfn.XLOOKUP(Q136,'Shipment Control'!A:A,'Shipment Control'!G:G))</f>
        <v>46238</v>
      </c>
      <c r="J136" s="140">
        <f>IF(Q136="",H136+30,_xlfn.XLOOKUP(Q136,'Shipment Control'!A:A,'Shipment Control'!H:H))</f>
        <v>46252</v>
      </c>
      <c r="K136" s="140">
        <v>46255</v>
      </c>
      <c r="L136" s="212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99">
        <f t="shared" si="2"/>
        <v>52</v>
      </c>
      <c r="P136" s="213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211">
        <v>46162</v>
      </c>
      <c r="B137" s="6" t="str">
        <f>VLOOKUP(C137,'Product List'!A:C,3,0)</f>
        <v>MINI/MOE SMALL ANIMAL BEDDING PAPER FLAKE LAV FIELD 50LT</v>
      </c>
      <c r="C137" s="129" t="s">
        <v>46</v>
      </c>
      <c r="D137" s="173">
        <f>VLOOKUP(C137,'Product List'!A:B,2,0)</f>
        <v>698746777463</v>
      </c>
      <c r="E137" s="214" t="s">
        <v>223</v>
      </c>
      <c r="F137" s="95" t="s">
        <v>224</v>
      </c>
      <c r="G137" s="108">
        <v>1512</v>
      </c>
      <c r="H137" s="212">
        <v>46227</v>
      </c>
      <c r="I137" s="212">
        <f>IF(Q137="","",_xlfn.XLOOKUP(Q137,'Shipment Control'!A:A,'Shipment Control'!G:G))</f>
        <v>46238</v>
      </c>
      <c r="J137" s="140">
        <f>IF(Q137="",H137+30,_xlfn.XLOOKUP(Q137,'Shipment Control'!A:A,'Shipment Control'!H:H))</f>
        <v>46252</v>
      </c>
      <c r="K137" s="140">
        <v>46255</v>
      </c>
      <c r="L137" s="212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99">
        <f t="shared" si="2"/>
        <v>108</v>
      </c>
      <c r="P137" s="213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211">
        <v>46162</v>
      </c>
      <c r="B138" s="6" t="str">
        <f>VLOOKUP(C138,'Product List'!A:C,3,0)</f>
        <v>MINI/MOE SMALL ANIMAL BEDDING NESTING COTTON BALLS LAV 23LT</v>
      </c>
      <c r="C138" s="129" t="s">
        <v>49</v>
      </c>
      <c r="D138" s="173">
        <f>VLOOKUP(C138,'Product List'!A:B,2,0)</f>
        <v>698746777531</v>
      </c>
      <c r="E138" s="214" t="s">
        <v>223</v>
      </c>
      <c r="F138" s="95" t="s">
        <v>224</v>
      </c>
      <c r="G138" s="108">
        <v>1344</v>
      </c>
      <c r="H138" s="212">
        <v>46227</v>
      </c>
      <c r="I138" s="212">
        <f>IF(Q138="","",_xlfn.XLOOKUP(Q138,'Shipment Control'!A:A,'Shipment Control'!G:G))</f>
        <v>46238</v>
      </c>
      <c r="J138" s="140">
        <f>IF(Q138="",H138+30,_xlfn.XLOOKUP(Q138,'Shipment Control'!A:A,'Shipment Control'!H:H))</f>
        <v>46252</v>
      </c>
      <c r="K138" s="140">
        <v>46255</v>
      </c>
      <c r="L138" s="212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99">
        <f t="shared" si="2"/>
        <v>42</v>
      </c>
      <c r="P138" s="213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211">
        <v>46162</v>
      </c>
      <c r="B139" s="6" t="str">
        <f>VLOOKUP(C139,'Product List'!A:C,3,0)</f>
        <v>MINI/MOE SMALL ANIMAL BEDDING NESTING COTTON BALLS LAV 23LT</v>
      </c>
      <c r="C139" s="129" t="s">
        <v>49</v>
      </c>
      <c r="D139" s="173">
        <f>VLOOKUP(C139,'Product List'!A:B,2,0)</f>
        <v>698746777531</v>
      </c>
      <c r="E139" s="214" t="s">
        <v>223</v>
      </c>
      <c r="F139" s="95" t="s">
        <v>224</v>
      </c>
      <c r="G139" s="99">
        <v>224</v>
      </c>
      <c r="H139" s="212">
        <v>46227</v>
      </c>
      <c r="I139" s="212">
        <f>IF(Q139="","",_xlfn.XLOOKUP(Q139,'Shipment Control'!A:A,'Shipment Control'!G:G))</f>
        <v>46258</v>
      </c>
      <c r="J139" s="140">
        <f>IF(Q139="",H139+30,_xlfn.XLOOKUP(Q139,'Shipment Control'!A:A,'Shipment Control'!H:H))</f>
        <v>46277</v>
      </c>
      <c r="K139" s="140"/>
      <c r="L139" s="212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99">
        <f t="shared" si="2"/>
        <v>7</v>
      </c>
      <c r="P139" s="213">
        <f>_xlfn.XLOOKUP(M139,'Case Pack'!A:A,'Case Pack'!H:H)*O139</f>
        <v>0.770846222222222</v>
      </c>
      <c r="Q139" s="19" t="s">
        <v>225</v>
      </c>
      <c r="R139" s="19" t="s">
        <v>226</v>
      </c>
      <c r="S139" s="19" t="s">
        <v>227</v>
      </c>
    </row>
    <row r="140" customFormat="1" spans="1:19">
      <c r="A140" s="211">
        <v>46162</v>
      </c>
      <c r="B140" s="6" t="str">
        <f>VLOOKUP(C140,'Product List'!A:C,3,0)</f>
        <v>MINI/MOE SMALL ANIMAL BEDDING PAPER PEBBLES OCEAN BLUE 23LT</v>
      </c>
      <c r="C140" s="129" t="s">
        <v>47</v>
      </c>
      <c r="D140" s="173">
        <f>VLOOKUP(C140,'Product List'!A:B,2,0)</f>
        <v>698746777562</v>
      </c>
      <c r="E140" s="214" t="s">
        <v>223</v>
      </c>
      <c r="F140" s="95" t="s">
        <v>224</v>
      </c>
      <c r="G140" s="108">
        <v>1512</v>
      </c>
      <c r="H140" s="212">
        <v>46227</v>
      </c>
      <c r="I140" s="212">
        <f>IF(Q140="","",_xlfn.XLOOKUP(Q140,'Shipment Control'!A:A,'Shipment Control'!G:G))</f>
        <v>46238</v>
      </c>
      <c r="J140" s="140">
        <f>IF(Q140="",H140+30,_xlfn.XLOOKUP(Q140,'Shipment Control'!A:A,'Shipment Control'!H:H))</f>
        <v>46252</v>
      </c>
      <c r="K140" s="140">
        <v>46255</v>
      </c>
      <c r="L140" s="212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99">
        <f t="shared" si="2"/>
        <v>126</v>
      </c>
      <c r="P140" s="213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211">
        <v>46151</v>
      </c>
      <c r="B141" s="6" t="str">
        <f>VLOOKUP(C141,'Product List'!A:C,3,0)</f>
        <v>NONO Magnetic Water Bottle (220 ML)</v>
      </c>
      <c r="C141" s="129" t="s">
        <v>67</v>
      </c>
      <c r="D141" s="173">
        <f>VLOOKUP(C141,'Product List'!A:B,2,0)</f>
        <v>698746776688</v>
      </c>
      <c r="E141" s="214" t="s">
        <v>228</v>
      </c>
      <c r="F141" s="95" t="s">
        <v>229</v>
      </c>
      <c r="G141" s="99">
        <v>1260</v>
      </c>
      <c r="H141" s="212">
        <v>46189</v>
      </c>
      <c r="I141" s="212">
        <f>IF(Q141="","",_xlfn.XLOOKUP(Q141,'Shipment Control'!A:A,'Shipment Control'!G:G))</f>
        <v>46194</v>
      </c>
      <c r="J141" s="140">
        <f>IF(Q141="",H141+30,_xlfn.XLOOKUP(Q141,'Shipment Control'!A:A,'Shipment Control'!H:H))</f>
        <v>46212</v>
      </c>
      <c r="K141" s="140">
        <v>46223</v>
      </c>
      <c r="L141" s="21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99">
        <f t="shared" si="2"/>
        <v>21</v>
      </c>
      <c r="P141" s="213">
        <f>_xlfn.XLOOKUP(M141,'Case Pack'!A:A,'Case Pack'!H:H)*O141</f>
        <v>2.31253866666667</v>
      </c>
      <c r="Q141" s="6" t="s">
        <v>178</v>
      </c>
      <c r="R141" s="218" t="s">
        <v>179</v>
      </c>
      <c r="S141" s="6" t="s">
        <v>180</v>
      </c>
    </row>
    <row r="142" customFormat="1" spans="1:19">
      <c r="A142" s="211">
        <v>46151</v>
      </c>
      <c r="B142" s="6" t="str">
        <f>VLOOKUP(C142,'Product List'!A:C,3,0)</f>
        <v>MMO-CAMP LUNCH BOX CHEW</v>
      </c>
      <c r="C142" s="129" t="s">
        <v>40</v>
      </c>
      <c r="D142" s="173">
        <f>VLOOKUP(C142,'Product List'!A:B,2,0)</f>
        <v>698746777012</v>
      </c>
      <c r="E142" s="214" t="s">
        <v>228</v>
      </c>
      <c r="F142" s="95" t="s">
        <v>229</v>
      </c>
      <c r="G142" s="99">
        <v>216</v>
      </c>
      <c r="H142" s="212">
        <v>46182</v>
      </c>
      <c r="I142" s="212">
        <f>IF(Q142="","",_xlfn.XLOOKUP(Q142,'Shipment Control'!A:A,'Shipment Control'!G:G))</f>
        <v>46190</v>
      </c>
      <c r="J142" s="140">
        <f>IF(Q142="",H142+30,_xlfn.XLOOKUP(Q142,'Shipment Control'!A:A,'Shipment Control'!H:H))</f>
        <v>46204</v>
      </c>
      <c r="K142" s="140">
        <v>46218</v>
      </c>
      <c r="L142" s="21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99">
        <f t="shared" si="2"/>
        <v>3</v>
      </c>
      <c r="P142" s="213">
        <f>_xlfn.XLOOKUP(M142,'Case Pack'!A:A,'Case Pack'!H:H)*O142</f>
        <v>0.220241777777778</v>
      </c>
      <c r="Q142" s="176" t="s">
        <v>173</v>
      </c>
      <c r="R142" s="221" t="s">
        <v>174</v>
      </c>
      <c r="S142" s="222"/>
    </row>
    <row r="143" customFormat="1" spans="1:19">
      <c r="A143" s="211">
        <v>46151</v>
      </c>
      <c r="B143" s="6" t="str">
        <f>VLOOKUP(C143,'Product List'!A:C,3,0)</f>
        <v>MMO-CAMP LUNCH BOX CHEW</v>
      </c>
      <c r="C143" s="129" t="s">
        <v>40</v>
      </c>
      <c r="D143" s="173">
        <f>VLOOKUP(C143,'Product List'!A:B,2,0)</f>
        <v>698746777012</v>
      </c>
      <c r="E143" s="214" t="s">
        <v>228</v>
      </c>
      <c r="F143" s="95" t="s">
        <v>229</v>
      </c>
      <c r="G143" s="99">
        <v>1008</v>
      </c>
      <c r="H143" s="212">
        <v>46182</v>
      </c>
      <c r="I143" s="212">
        <f>IF(Q143="","",_xlfn.XLOOKUP(Q143,'Shipment Control'!A:A,'Shipment Control'!G:G))</f>
        <v>46190</v>
      </c>
      <c r="J143" s="140">
        <f>IF(Q143="",H143+30,_xlfn.XLOOKUP(Q143,'Shipment Control'!A:A,'Shipment Control'!H:H))</f>
        <v>46204</v>
      </c>
      <c r="K143" s="140">
        <v>46224</v>
      </c>
      <c r="L143" s="21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99">
        <f t="shared" si="2"/>
        <v>14</v>
      </c>
      <c r="P143" s="213">
        <f>_xlfn.XLOOKUP(M143,'Case Pack'!A:A,'Case Pack'!H:H)*O143</f>
        <v>1.02779496296296</v>
      </c>
      <c r="Q143" s="176" t="s">
        <v>175</v>
      </c>
      <c r="R143" s="221" t="s">
        <v>174</v>
      </c>
      <c r="S143" s="222"/>
    </row>
    <row r="144" customFormat="1" spans="1:19">
      <c r="A144" s="211">
        <v>46151</v>
      </c>
      <c r="B144" s="6" t="str">
        <f>VLOOKUP(C144,'Product List'!A:C,3,0)</f>
        <v>Mushroom Spiral Staircase</v>
      </c>
      <c r="C144" s="129" t="s">
        <v>55</v>
      </c>
      <c r="D144" s="173">
        <f>VLOOKUP(C144,'Product List'!A:B,2,0)</f>
        <v>698746777029</v>
      </c>
      <c r="E144" s="214" t="s">
        <v>228</v>
      </c>
      <c r="F144" s="129" t="s">
        <v>229</v>
      </c>
      <c r="G144" s="99">
        <v>720</v>
      </c>
      <c r="H144" s="212">
        <v>46213</v>
      </c>
      <c r="I144" s="212">
        <f>IF(Q144="","",_xlfn.XLOOKUP(Q144,'Shipment Control'!A:A,'Shipment Control'!G:G))</f>
        <v>46218</v>
      </c>
      <c r="J144" s="140">
        <f>IF(Q144="",H144+30,_xlfn.XLOOKUP(Q144,'Shipment Control'!A:A,'Shipment Control'!H:H))</f>
        <v>46248</v>
      </c>
      <c r="K144" s="140">
        <v>46253</v>
      </c>
      <c r="L144" s="21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99">
        <f t="shared" si="2"/>
        <v>10</v>
      </c>
      <c r="P144" s="213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211">
        <v>46151</v>
      </c>
      <c r="B145" s="6" t="str">
        <f>VLOOKUP(C145,'Product List'!A:C,3,0)</f>
        <v>Paper twist brown / white bedding</v>
      </c>
      <c r="C145" s="129" t="s">
        <v>54</v>
      </c>
      <c r="D145" s="173">
        <f>VLOOKUP(C145,'Product List'!A:B,2,0)</f>
        <v>698746777050</v>
      </c>
      <c r="E145" s="214" t="s">
        <v>228</v>
      </c>
      <c r="F145" s="95" t="s">
        <v>229</v>
      </c>
      <c r="G145" s="99">
        <v>1260</v>
      </c>
      <c r="H145" s="212">
        <v>46189</v>
      </c>
      <c r="I145" s="212">
        <f>IF(Q145="","",_xlfn.XLOOKUP(Q145,'Shipment Control'!A:A,'Shipment Control'!G:G))</f>
        <v>46194</v>
      </c>
      <c r="J145" s="140">
        <f>IF(Q145="",H145+30,_xlfn.XLOOKUP(Q145,'Shipment Control'!A:A,'Shipment Control'!H:H))</f>
        <v>46212</v>
      </c>
      <c r="K145" s="140">
        <v>46224</v>
      </c>
      <c r="L145" s="212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99">
        <f t="shared" si="2"/>
        <v>42</v>
      </c>
      <c r="P145" s="213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211">
        <v>46151</v>
      </c>
      <c r="B146" s="6" t="str">
        <f>VLOOKUP(C146,'Product List'!A:C,3,0)</f>
        <v>Cotton multi color bedding</v>
      </c>
      <c r="C146" s="129" t="s">
        <v>50</v>
      </c>
      <c r="D146" s="173">
        <f>VLOOKUP(C146,'Product List'!A:B,2,0)</f>
        <v>698746777067</v>
      </c>
      <c r="E146" s="214" t="s">
        <v>228</v>
      </c>
      <c r="F146" s="95" t="s">
        <v>229</v>
      </c>
      <c r="G146" s="99">
        <v>1280</v>
      </c>
      <c r="H146" s="212">
        <v>46189</v>
      </c>
      <c r="I146" s="212">
        <f>IF(Q146="","",_xlfn.XLOOKUP(Q146,'Shipment Control'!A:A,'Shipment Control'!G:G))</f>
        <v>46194</v>
      </c>
      <c r="J146" s="140">
        <f>IF(Q146="",H146+30,_xlfn.XLOOKUP(Q146,'Shipment Control'!A:A,'Shipment Control'!H:H))</f>
        <v>46212</v>
      </c>
      <c r="K146" s="140">
        <v>46224</v>
      </c>
      <c r="L146" s="21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99">
        <f t="shared" si="2"/>
        <v>40</v>
      </c>
      <c r="P146" s="213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211">
        <v>46151</v>
      </c>
      <c r="B147" s="6" t="str">
        <f>VLOOKUP(C147,'Product List'!A:C,3,0)</f>
        <v>MMO-GREEN APPLE CHEW</v>
      </c>
      <c r="C147" s="129" t="s">
        <v>39</v>
      </c>
      <c r="D147" s="173">
        <f>VLOOKUP(C147,'Product List'!A:B,2,0)</f>
        <v>698746777081</v>
      </c>
      <c r="E147" s="214" t="s">
        <v>228</v>
      </c>
      <c r="F147" s="95" t="s">
        <v>229</v>
      </c>
      <c r="G147" s="99">
        <v>1248</v>
      </c>
      <c r="H147" s="212">
        <v>46182</v>
      </c>
      <c r="I147" s="212">
        <f>IF(Q147="","",_xlfn.XLOOKUP(Q147,'Shipment Control'!A:A,'Shipment Control'!G:G))</f>
        <v>46190</v>
      </c>
      <c r="J147" s="140">
        <f>IF(Q147="",H147+30,_xlfn.XLOOKUP(Q147,'Shipment Control'!A:A,'Shipment Control'!H:H))</f>
        <v>46204</v>
      </c>
      <c r="K147" s="140">
        <v>46218</v>
      </c>
      <c r="L147" s="212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99">
        <f t="shared" si="2"/>
        <v>26</v>
      </c>
      <c r="P147" s="213">
        <f>_xlfn.XLOOKUP(M147,'Case Pack'!A:A,'Case Pack'!H:H)*O147</f>
        <v>1.90876207407407</v>
      </c>
      <c r="Q147" s="176" t="s">
        <v>173</v>
      </c>
      <c r="R147" s="216" t="s">
        <v>174</v>
      </c>
      <c r="S147" s="217"/>
    </row>
    <row r="148" customFormat="1" spans="1:19">
      <c r="A148" s="211">
        <v>46151</v>
      </c>
      <c r="B148" s="6" t="str">
        <f>VLOOKUP(C148,'Product List'!A:C,3,0)</f>
        <v>MINI/MOE SMALL ANIMAL BEDDING PAPER PEBBLES PSTCH/CREAM 1EA</v>
      </c>
      <c r="C148" s="129" t="s">
        <v>63</v>
      </c>
      <c r="D148" s="173">
        <f>VLOOKUP(C148,'Product List'!A:B,2,0)</f>
        <v>698746777180</v>
      </c>
      <c r="E148" s="214" t="s">
        <v>228</v>
      </c>
      <c r="F148" s="95" t="s">
        <v>229</v>
      </c>
      <c r="G148" s="99">
        <v>1260</v>
      </c>
      <c r="H148" s="212">
        <v>46189</v>
      </c>
      <c r="I148" s="212">
        <f>IF(Q148="","",_xlfn.XLOOKUP(Q148,'Shipment Control'!A:A,'Shipment Control'!G:G))</f>
        <v>46194</v>
      </c>
      <c r="J148" s="140">
        <f>IF(Q148="",H148+30,_xlfn.XLOOKUP(Q148,'Shipment Control'!A:A,'Shipment Control'!H:H))</f>
        <v>46212</v>
      </c>
      <c r="K148" s="140">
        <v>46223</v>
      </c>
      <c r="L148" s="212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99">
        <f t="shared" si="2"/>
        <v>42</v>
      </c>
      <c r="P148" s="213">
        <f>_xlfn.XLOOKUP(M148,'Case Pack'!A:A,'Case Pack'!H:H)*O148</f>
        <v>4.62507733333333</v>
      </c>
      <c r="Q148" s="6" t="s">
        <v>178</v>
      </c>
      <c r="R148" s="218" t="s">
        <v>179</v>
      </c>
      <c r="S148" s="6" t="s">
        <v>180</v>
      </c>
    </row>
    <row r="149" customFormat="1" spans="1:19">
      <c r="A149" s="211">
        <v>46151</v>
      </c>
      <c r="B149" s="6" t="str">
        <f>VLOOKUP(C149,'Product List'!A:C,3,0)</f>
        <v>MINI/MOE SMALL ANIMAL BEDDING PAPER TWISTS BUBBLEGUM 1EA</v>
      </c>
      <c r="C149" s="129" t="s">
        <v>60</v>
      </c>
      <c r="D149" s="173">
        <f>VLOOKUP(C149,'Product List'!A:B,2,0)</f>
        <v>850081655015</v>
      </c>
      <c r="E149" s="214" t="s">
        <v>228</v>
      </c>
      <c r="F149" s="95" t="s">
        <v>229</v>
      </c>
      <c r="G149" s="99">
        <v>1260</v>
      </c>
      <c r="H149" s="212">
        <v>46189</v>
      </c>
      <c r="I149" s="212">
        <f>IF(Q149="","",_xlfn.XLOOKUP(Q149,'Shipment Control'!A:A,'Shipment Control'!G:G))</f>
        <v>46194</v>
      </c>
      <c r="J149" s="140">
        <f>IF(Q149="",H149+30,_xlfn.XLOOKUP(Q149,'Shipment Control'!A:A,'Shipment Control'!H:H))</f>
        <v>46212</v>
      </c>
      <c r="K149" s="140">
        <v>46223</v>
      </c>
      <c r="L149" s="21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99">
        <f t="shared" si="2"/>
        <v>42</v>
      </c>
      <c r="P149" s="213">
        <f>_xlfn.XLOOKUP(M149,'Case Pack'!A:A,'Case Pack'!H:H)*O149</f>
        <v>4.62507733333333</v>
      </c>
      <c r="Q149" s="6" t="s">
        <v>178</v>
      </c>
      <c r="R149" s="218" t="s">
        <v>179</v>
      </c>
      <c r="S149" s="6" t="s">
        <v>180</v>
      </c>
    </row>
    <row r="150" customFormat="1" spans="1:19">
      <c r="A150" s="211">
        <v>46151</v>
      </c>
      <c r="B150" s="6" t="str">
        <f>VLOOKUP(C150,'Product List'!A:C,3,0)</f>
        <v>MINI/MOE SMALL ANIMAL BEDDING PAPER FLK XMAS CRAN/MATCHA 1EA</v>
      </c>
      <c r="C150" s="129" t="s">
        <v>61</v>
      </c>
      <c r="D150" s="173">
        <f>VLOOKUP(C150,'Product List'!A:B,2,0)</f>
        <v>698746777203</v>
      </c>
      <c r="E150" s="214" t="s">
        <v>228</v>
      </c>
      <c r="F150" s="95" t="s">
        <v>229</v>
      </c>
      <c r="G150" s="99">
        <v>1008</v>
      </c>
      <c r="H150" s="212">
        <v>46189</v>
      </c>
      <c r="I150" s="212">
        <f>IF(Q150="","",_xlfn.XLOOKUP(Q150,'Shipment Control'!A:A,'Shipment Control'!G:G))</f>
        <v>46194</v>
      </c>
      <c r="J150" s="140">
        <f>IF(Q150="",H150+30,_xlfn.XLOOKUP(Q150,'Shipment Control'!A:A,'Shipment Control'!H:H))</f>
        <v>46212</v>
      </c>
      <c r="K150" s="140">
        <v>46224</v>
      </c>
      <c r="L150" s="212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99">
        <f t="shared" si="2"/>
        <v>72</v>
      </c>
      <c r="P150" s="213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211">
        <v>46151</v>
      </c>
      <c r="B151" s="6" t="str">
        <f>VLOOKUP(C151,'Product List'!A:C,3,0)</f>
        <v>MINI/MOE SMALL ANIMAL BEDDING PAPER FLK XMAS CRAN/MATCHA 1EA</v>
      </c>
      <c r="C151" s="129" t="s">
        <v>61</v>
      </c>
      <c r="D151" s="173">
        <f>VLOOKUP(C151,'Product List'!A:B,2,0)</f>
        <v>698746777203</v>
      </c>
      <c r="E151" s="214" t="s">
        <v>228</v>
      </c>
      <c r="F151" s="95" t="s">
        <v>229</v>
      </c>
      <c r="G151" s="99">
        <v>252</v>
      </c>
      <c r="H151" s="212">
        <v>46189</v>
      </c>
      <c r="I151" s="212">
        <f>IF(Q151="","",_xlfn.XLOOKUP(Q151,'Shipment Control'!A:A,'Shipment Control'!G:G))</f>
        <v>46194</v>
      </c>
      <c r="J151" s="140">
        <f>IF(Q151="",H151+30,_xlfn.XLOOKUP(Q151,'Shipment Control'!A:A,'Shipment Control'!H:H))</f>
        <v>46212</v>
      </c>
      <c r="K151" s="140">
        <v>46218</v>
      </c>
      <c r="L151" s="21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99">
        <f t="shared" si="2"/>
        <v>18</v>
      </c>
      <c r="P151" s="213">
        <f>_xlfn.XLOOKUP(M151,'Case Pack'!A:A,'Case Pack'!H:H)*O151</f>
        <v>2.83168</v>
      </c>
      <c r="Q151" s="6" t="s">
        <v>198</v>
      </c>
      <c r="R151" s="218" t="s">
        <v>199</v>
      </c>
      <c r="S151" s="6" t="s">
        <v>200</v>
      </c>
    </row>
    <row r="152" customFormat="1" spans="1:19">
      <c r="A152" s="211">
        <v>46151</v>
      </c>
      <c r="B152" s="6" t="str">
        <f>VLOOKUP(C152,'Product List'!A:C,3,0)</f>
        <v>MINI/MOE SMALL ANIMAL BEDDING PAPER PEBBLES PSTCH/CREAM 1EA</v>
      </c>
      <c r="C152" s="129" t="s">
        <v>69</v>
      </c>
      <c r="D152" s="173">
        <f>VLOOKUP(C152,'Product List'!A:B,2,0)</f>
        <v>698746777500</v>
      </c>
      <c r="E152" s="214" t="s">
        <v>228</v>
      </c>
      <c r="F152" s="95" t="s">
        <v>229</v>
      </c>
      <c r="G152" s="99">
        <v>1248</v>
      </c>
      <c r="H152" s="212">
        <v>46189</v>
      </c>
      <c r="I152" s="212">
        <f>IF(Q152="","",_xlfn.XLOOKUP(Q152,'Shipment Control'!A:A,'Shipment Control'!G:G))</f>
        <v>46194</v>
      </c>
      <c r="J152" s="140">
        <f>IF(Q152="",H152+30,_xlfn.XLOOKUP(Q152,'Shipment Control'!A:A,'Shipment Control'!H:H))</f>
        <v>46212</v>
      </c>
      <c r="K152" s="140">
        <v>46218</v>
      </c>
      <c r="L152" s="212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99">
        <f t="shared" si="2"/>
        <v>104</v>
      </c>
      <c r="P152" s="213">
        <f>_xlfn.XLOOKUP(M152,'Case Pack'!A:A,'Case Pack'!H:H)*O152</f>
        <v>7.6350482962963</v>
      </c>
      <c r="Q152" s="6" t="s">
        <v>198</v>
      </c>
      <c r="R152" s="218" t="s">
        <v>199</v>
      </c>
      <c r="S152" s="6" t="s">
        <v>200</v>
      </c>
    </row>
    <row r="153" customFormat="1" spans="1:19">
      <c r="A153" s="211">
        <v>46151</v>
      </c>
      <c r="B153" s="6" t="str">
        <f>VLOOKUP(C153,'Product List'!A:C,3,0)</f>
        <v>MMO-BUBBLE WATER BOTTLE</v>
      </c>
      <c r="C153" s="129" t="s">
        <v>38</v>
      </c>
      <c r="D153" s="173">
        <f>VLOOKUP(C153,'Product List'!A:B,2,0)</f>
        <v>760762456971</v>
      </c>
      <c r="E153" s="214" t="s">
        <v>228</v>
      </c>
      <c r="F153" s="95" t="s">
        <v>229</v>
      </c>
      <c r="G153" s="99">
        <v>1260</v>
      </c>
      <c r="H153" s="212">
        <v>46189</v>
      </c>
      <c r="I153" s="212">
        <f>IF(Q153="","",_xlfn.XLOOKUP(Q153,'Shipment Control'!A:A,'Shipment Control'!G:G))</f>
        <v>46194</v>
      </c>
      <c r="J153" s="140">
        <f>IF(Q153="",H153+30,_xlfn.XLOOKUP(Q153,'Shipment Control'!A:A,'Shipment Control'!H:H))</f>
        <v>46212</v>
      </c>
      <c r="K153" s="140">
        <v>46218</v>
      </c>
      <c r="L153" s="212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99">
        <f t="shared" si="2"/>
        <v>30</v>
      </c>
      <c r="P153" s="213">
        <f>_xlfn.XLOOKUP(M153,'Case Pack'!A:A,'Case Pack'!H:H)*O153</f>
        <v>4.71946666666667</v>
      </c>
      <c r="Q153" s="6" t="s">
        <v>198</v>
      </c>
      <c r="R153" s="218" t="s">
        <v>199</v>
      </c>
      <c r="S153" s="6" t="s">
        <v>200</v>
      </c>
    </row>
    <row r="154" customFormat="1" spans="1:19">
      <c r="A154" s="211">
        <v>46151</v>
      </c>
      <c r="B154" s="6" t="str">
        <f>VLOOKUP(C154,'Product List'!A:C,3,0)</f>
        <v>MINI/MOE MUSHROOM LADDER 1EA</v>
      </c>
      <c r="C154" s="129" t="s">
        <v>64</v>
      </c>
      <c r="D154" s="173">
        <f>VLOOKUP(C154,'Product List'!A:B,2,0)</f>
        <v>760762456995</v>
      </c>
      <c r="E154" s="214" t="s">
        <v>228</v>
      </c>
      <c r="F154" s="129" t="s">
        <v>229</v>
      </c>
      <c r="G154" s="99">
        <v>1260</v>
      </c>
      <c r="H154" s="212">
        <v>46213</v>
      </c>
      <c r="I154" s="212">
        <f>IF(Q154="","",_xlfn.XLOOKUP(Q154,'Shipment Control'!A:A,'Shipment Control'!G:G))</f>
        <v>46218</v>
      </c>
      <c r="J154" s="140">
        <f>IF(Q154="",H154+30,_xlfn.XLOOKUP(Q154,'Shipment Control'!A:A,'Shipment Control'!H:H))</f>
        <v>46248</v>
      </c>
      <c r="K154" s="140">
        <v>46253</v>
      </c>
      <c r="L154" s="212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99">
        <f t="shared" si="2"/>
        <v>42</v>
      </c>
      <c r="P154" s="213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211">
        <v>46151</v>
      </c>
      <c r="B155" s="6" t="str">
        <f>VLOOKUP(C155,'Product List'!A:C,3,0)</f>
        <v>MINI/MOE FISHBONE BRIDGE 1EA</v>
      </c>
      <c r="C155" s="129" t="s">
        <v>68</v>
      </c>
      <c r="D155" s="173">
        <f>VLOOKUP(C155,'Product List'!A:B,2,0)</f>
        <v>760762457039</v>
      </c>
      <c r="E155" s="214" t="s">
        <v>228</v>
      </c>
      <c r="F155" s="129" t="s">
        <v>229</v>
      </c>
      <c r="G155" s="99">
        <v>1260</v>
      </c>
      <c r="H155" s="212">
        <v>46213</v>
      </c>
      <c r="I155" s="212">
        <f>IF(Q155="","",_xlfn.XLOOKUP(Q155,'Shipment Control'!A:A,'Shipment Control'!G:G))</f>
        <v>46218</v>
      </c>
      <c r="J155" s="140">
        <f>IF(Q155="",H155+30,_xlfn.XLOOKUP(Q155,'Shipment Control'!A:A,'Shipment Control'!H:H))</f>
        <v>46248</v>
      </c>
      <c r="K155" s="140">
        <v>46253</v>
      </c>
      <c r="L155" s="212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99">
        <f t="shared" si="2"/>
        <v>42</v>
      </c>
      <c r="P155" s="213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211">
        <v>46151</v>
      </c>
      <c r="B156" s="6" t="str">
        <f>VLOOKUP(C156,'Product List'!A:C,3,0)</f>
        <v>Ceramic Candy Bowl</v>
      </c>
      <c r="C156" s="129" t="s">
        <v>70</v>
      </c>
      <c r="D156" s="173">
        <f>VLOOKUP(C156,'Product List'!A:B,2,0)</f>
        <v>850030338174</v>
      </c>
      <c r="E156" s="214" t="s">
        <v>228</v>
      </c>
      <c r="F156" s="129" t="s">
        <v>229</v>
      </c>
      <c r="G156" s="99">
        <v>1248</v>
      </c>
      <c r="H156" s="212">
        <v>46189</v>
      </c>
      <c r="I156" s="212">
        <f>IF(Q156="","",_xlfn.XLOOKUP(Q156,'Shipment Control'!A:A,'Shipment Control'!G:G))</f>
        <v>46194</v>
      </c>
      <c r="J156" s="140">
        <f>IF(Q156="",H156+30,_xlfn.XLOOKUP(Q156,'Shipment Control'!A:A,'Shipment Control'!H:H))</f>
        <v>46212</v>
      </c>
      <c r="K156" s="140">
        <v>46218</v>
      </c>
      <c r="L156" s="212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99">
        <f t="shared" si="2"/>
        <v>26</v>
      </c>
      <c r="P156" s="213">
        <f>_xlfn.XLOOKUP(M156,'Case Pack'!A:A,'Case Pack'!H:H)*O156</f>
        <v>1.90876207407407</v>
      </c>
      <c r="Q156" s="6" t="s">
        <v>198</v>
      </c>
      <c r="R156" s="218" t="s">
        <v>199</v>
      </c>
      <c r="S156" s="6" t="s">
        <v>200</v>
      </c>
    </row>
    <row r="157" customFormat="1" spans="1:19">
      <c r="A157" s="211">
        <v>46151</v>
      </c>
      <c r="B157" s="6" t="str">
        <f>VLOOKUP(C157,'Product List'!A:C,3,0)</f>
        <v>Sugar Jar</v>
      </c>
      <c r="C157" s="129" t="s">
        <v>65</v>
      </c>
      <c r="D157" s="173">
        <f>VLOOKUP(C157,'Product List'!A:B,2,0)</f>
        <v>850030338273</v>
      </c>
      <c r="E157" s="214" t="s">
        <v>228</v>
      </c>
      <c r="F157" s="129" t="s">
        <v>229</v>
      </c>
      <c r="G157" s="99">
        <v>1242</v>
      </c>
      <c r="H157" s="212">
        <v>46213</v>
      </c>
      <c r="I157" s="212">
        <f>IF(Q157="","",_xlfn.XLOOKUP(Q157,'Shipment Control'!A:A,'Shipment Control'!G:G))</f>
        <v>46218</v>
      </c>
      <c r="J157" s="140">
        <f>IF(Q157="",H157+30,_xlfn.XLOOKUP(Q157,'Shipment Control'!A:A,'Shipment Control'!H:H))</f>
        <v>46248</v>
      </c>
      <c r="K157" s="140">
        <v>46253</v>
      </c>
      <c r="L157" s="212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99">
        <f t="shared" si="2"/>
        <v>46</v>
      </c>
      <c r="P157" s="213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211">
        <v>46151</v>
      </c>
      <c r="B158" s="6" t="str">
        <f>VLOOKUP(C158,'Product List'!A:C,3,0)</f>
        <v>Candy House</v>
      </c>
      <c r="C158" s="129" t="s">
        <v>66</v>
      </c>
      <c r="D158" s="173">
        <f>VLOOKUP(C158,'Product List'!A:B,2,0)</f>
        <v>850030338280</v>
      </c>
      <c r="E158" s="214" t="s">
        <v>228</v>
      </c>
      <c r="F158" s="129" t="s">
        <v>229</v>
      </c>
      <c r="G158" s="99">
        <v>1242</v>
      </c>
      <c r="H158" s="212">
        <v>46213</v>
      </c>
      <c r="I158" s="212">
        <f>IF(Q158="","",_xlfn.XLOOKUP(Q158,'Shipment Control'!A:A,'Shipment Control'!G:G))</f>
        <v>46218</v>
      </c>
      <c r="J158" s="140">
        <f>IF(Q158="",H158+30,_xlfn.XLOOKUP(Q158,'Shipment Control'!A:A,'Shipment Control'!H:H))</f>
        <v>46248</v>
      </c>
      <c r="K158" s="140">
        <v>46253</v>
      </c>
      <c r="L158" s="21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99">
        <f t="shared" si="2"/>
        <v>46</v>
      </c>
      <c r="P158" s="213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211">
        <v>46151</v>
      </c>
      <c r="B159" s="6" t="str">
        <f>VLOOKUP(C159,'Product List'!A:C,3,0)</f>
        <v>MINI/MOE SMALL ANIMAL HOUSING CAKE HOUSE 1EA</v>
      </c>
      <c r="C159" s="129" t="s">
        <v>53</v>
      </c>
      <c r="D159" s="173">
        <f>VLOOKUP(C159,'Product List'!A:B,2,0)</f>
        <v>850030338297</v>
      </c>
      <c r="E159" s="214" t="s">
        <v>228</v>
      </c>
      <c r="F159" s="129" t="s">
        <v>229</v>
      </c>
      <c r="G159" s="99">
        <v>1248</v>
      </c>
      <c r="H159" s="212">
        <v>46213</v>
      </c>
      <c r="I159" s="212">
        <f>IF(Q159="","",_xlfn.XLOOKUP(Q159,'Shipment Control'!A:A,'Shipment Control'!G:G))</f>
        <v>46218</v>
      </c>
      <c r="J159" s="140">
        <f>IF(Q159="",H159+30,_xlfn.XLOOKUP(Q159,'Shipment Control'!A:A,'Shipment Control'!H:H))</f>
        <v>46248</v>
      </c>
      <c r="K159" s="140">
        <v>46253</v>
      </c>
      <c r="L159" s="21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99">
        <f t="shared" si="2"/>
        <v>96</v>
      </c>
      <c r="P159" s="213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211">
        <v>46151</v>
      </c>
      <c r="B160" s="6" t="str">
        <f>VLOOKUP(C160,'Product List'!A:C,3,0)</f>
        <v>MINI/MOE SMALL ANIMAL HOUSING SWEET BRIDGE 1EA</v>
      </c>
      <c r="C160" s="129" t="s">
        <v>71</v>
      </c>
      <c r="D160" s="173">
        <f>VLOOKUP(C160,'Product List'!A:B,2,0)</f>
        <v>850030338303</v>
      </c>
      <c r="E160" s="214" t="s">
        <v>228</v>
      </c>
      <c r="F160" s="129" t="s">
        <v>229</v>
      </c>
      <c r="G160" s="99">
        <v>1260</v>
      </c>
      <c r="H160" s="212">
        <v>46213</v>
      </c>
      <c r="I160" s="212">
        <f>IF(Q160="","",_xlfn.XLOOKUP(Q160,'Shipment Control'!A:A,'Shipment Control'!G:G))</f>
        <v>46218</v>
      </c>
      <c r="J160" s="140">
        <f>IF(Q160="",H160+30,_xlfn.XLOOKUP(Q160,'Shipment Control'!A:A,'Shipment Control'!H:H))</f>
        <v>46248</v>
      </c>
      <c r="K160" s="140">
        <v>46253</v>
      </c>
      <c r="L160" s="212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99">
        <f t="shared" si="2"/>
        <v>18</v>
      </c>
      <c r="P160" s="213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211">
        <v>46151</v>
      </c>
      <c r="B161" s="6" t="str">
        <f>VLOOKUP(C161,'Product List'!A:C,3,0)</f>
        <v>MINI/MOE SMALL ANIMAL FEEDING WATER BOTTLE HLDR GUMBALL 1EA</v>
      </c>
      <c r="C161" s="129" t="s">
        <v>59</v>
      </c>
      <c r="D161" s="173">
        <f>VLOOKUP(C161,'Product List'!A:B,2,0)</f>
        <v>850030338341</v>
      </c>
      <c r="E161" s="214" t="s">
        <v>228</v>
      </c>
      <c r="F161" s="129" t="s">
        <v>229</v>
      </c>
      <c r="G161" s="99">
        <v>1258</v>
      </c>
      <c r="H161" s="212">
        <v>46213</v>
      </c>
      <c r="I161" s="212">
        <f>IF(Q161="","",_xlfn.XLOOKUP(Q161,'Shipment Control'!A:A,'Shipment Control'!G:G))</f>
        <v>46218</v>
      </c>
      <c r="J161" s="140">
        <f>IF(Q161="",H161+30,_xlfn.XLOOKUP(Q161,'Shipment Control'!A:A,'Shipment Control'!H:H))</f>
        <v>46248</v>
      </c>
      <c r="K161" s="140">
        <v>46253</v>
      </c>
      <c r="L161" s="212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99">
        <f t="shared" si="2"/>
        <v>37</v>
      </c>
      <c r="P161" s="213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211">
        <v>46151</v>
      </c>
      <c r="B162" s="6" t="str">
        <f>VLOOKUP(C162,'Product List'!A:C,3,0)</f>
        <v>MINI/MOE MINI TV TUNNEL CAGE 1EA</v>
      </c>
      <c r="C162" s="129" t="s">
        <v>74</v>
      </c>
      <c r="D162" s="173">
        <f>VLOOKUP(C162,'Product List'!A:B,2,0)</f>
        <v>760762457053</v>
      </c>
      <c r="E162" s="214" t="s">
        <v>228</v>
      </c>
      <c r="F162" s="95" t="s">
        <v>229</v>
      </c>
      <c r="G162" s="99">
        <v>1000</v>
      </c>
      <c r="H162" s="212">
        <v>46189</v>
      </c>
      <c r="I162" s="212">
        <f>IF(Q162="","",_xlfn.XLOOKUP(Q162,'Shipment Control'!A:A,'Shipment Control'!G:G))</f>
        <v>46194</v>
      </c>
      <c r="J162" s="140">
        <f>IF(Q162="",H162+30,_xlfn.XLOOKUP(Q162,'Shipment Control'!A:A,'Shipment Control'!H:H))</f>
        <v>46212</v>
      </c>
      <c r="K162" s="140">
        <v>46218</v>
      </c>
      <c r="L162" s="212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99">
        <f t="shared" si="2"/>
        <v>1000</v>
      </c>
      <c r="P162" s="213">
        <f>_xlfn.XLOOKUP(M162,'Case Pack'!A:A,'Case Pack'!H:H)*O162</f>
        <v>48.0525524394667</v>
      </c>
      <c r="Q162" s="6" t="s">
        <v>198</v>
      </c>
      <c r="R162" s="218" t="s">
        <v>199</v>
      </c>
      <c r="S162" s="6" t="s">
        <v>200</v>
      </c>
    </row>
    <row r="163" customFormat="1" spans="1:19">
      <c r="A163" s="211">
        <v>46151</v>
      </c>
      <c r="B163" s="6" t="str">
        <f>VLOOKUP(C163,'Product List'!A:C,3,0)</f>
        <v>Silent Crystal Running Wheel XL</v>
      </c>
      <c r="C163" s="129" t="s">
        <v>56</v>
      </c>
      <c r="D163" s="173">
        <f>VLOOKUP(C163,'Product List'!A:B,2,0)</f>
        <v>850030338464</v>
      </c>
      <c r="E163" s="214" t="s">
        <v>228</v>
      </c>
      <c r="F163" s="95" t="s">
        <v>229</v>
      </c>
      <c r="G163" s="99">
        <v>1254</v>
      </c>
      <c r="H163" s="212">
        <v>46189</v>
      </c>
      <c r="I163" s="212">
        <f>IF(Q163="","",_xlfn.XLOOKUP(Q163,'Shipment Control'!A:A,'Shipment Control'!G:G))</f>
        <v>46194</v>
      </c>
      <c r="J163" s="140">
        <f>IF(Q163="",H163+30,_xlfn.XLOOKUP(Q163,'Shipment Control'!A:A,'Shipment Control'!H:H))</f>
        <v>46212</v>
      </c>
      <c r="K163" s="140">
        <v>46224</v>
      </c>
      <c r="L163" s="212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99">
        <f t="shared" si="2"/>
        <v>418</v>
      </c>
      <c r="P163" s="213">
        <f>_xlfn.XLOOKUP(M163,'Case Pack'!A:A,'Case Pack'!H:H)*O163</f>
        <v>65.7579022222222</v>
      </c>
      <c r="Q163" s="6" t="s">
        <v>190</v>
      </c>
      <c r="R163" s="218" t="s">
        <v>191</v>
      </c>
      <c r="S163" s="6" t="s">
        <v>192</v>
      </c>
    </row>
    <row r="164" customFormat="1" spans="1:19">
      <c r="A164" s="211">
        <v>46151</v>
      </c>
      <c r="B164" s="6" t="str">
        <f>VLOOKUP(C164,'Product List'!A:C,3,0)</f>
        <v>Little Devil Travel Cage</v>
      </c>
      <c r="C164" s="129" t="s">
        <v>58</v>
      </c>
      <c r="D164" s="173">
        <f>VLOOKUP(C164,'Product List'!A:B,2,0)</f>
        <v>850030338921</v>
      </c>
      <c r="E164" s="214" t="s">
        <v>228</v>
      </c>
      <c r="F164" s="95" t="s">
        <v>229</v>
      </c>
      <c r="G164" s="99">
        <v>1260</v>
      </c>
      <c r="H164" s="212">
        <v>46189</v>
      </c>
      <c r="I164" s="212">
        <f>IF(Q164="","",_xlfn.XLOOKUP(Q164,'Shipment Control'!A:A,'Shipment Control'!G:G))</f>
        <v>46194</v>
      </c>
      <c r="J164" s="140">
        <f>IF(Q164="",H164+30,_xlfn.XLOOKUP(Q164,'Shipment Control'!A:A,'Shipment Control'!H:H))</f>
        <v>46212</v>
      </c>
      <c r="K164" s="140">
        <v>46223</v>
      </c>
      <c r="L164" s="21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99">
        <f t="shared" si="2"/>
        <v>70</v>
      </c>
      <c r="P164" s="213">
        <f>_xlfn.XLOOKUP(M164,'Case Pack'!A:A,'Case Pack'!H:H)*O164</f>
        <v>11.0120888888889</v>
      </c>
      <c r="Q164" s="6" t="s">
        <v>178</v>
      </c>
      <c r="R164" s="218" t="s">
        <v>179</v>
      </c>
      <c r="S164" s="6" t="s">
        <v>180</v>
      </c>
    </row>
    <row r="165" customFormat="1" spans="1:19">
      <c r="A165" s="211">
        <v>46151</v>
      </c>
      <c r="B165" s="6" t="str">
        <f>VLOOKUP(C165,'Product List'!A:C,3,0)</f>
        <v>Crystal Outdoor Cage</v>
      </c>
      <c r="C165" s="129" t="s">
        <v>52</v>
      </c>
      <c r="D165" s="173">
        <f>VLOOKUP(C165,'Product List'!A:B,2,0)</f>
        <v>698746777579</v>
      </c>
      <c r="E165" s="214" t="s">
        <v>228</v>
      </c>
      <c r="F165" s="95" t="s">
        <v>229</v>
      </c>
      <c r="G165" s="99">
        <v>1250</v>
      </c>
      <c r="H165" s="212">
        <v>46189</v>
      </c>
      <c r="I165" s="212">
        <f>IF(Q165="","",_xlfn.XLOOKUP(Q165,'Shipment Control'!A:A,'Shipment Control'!G:G))</f>
        <v>46194</v>
      </c>
      <c r="J165" s="140">
        <f>IF(Q165="",H165+30,_xlfn.XLOOKUP(Q165,'Shipment Control'!A:A,'Shipment Control'!H:H))</f>
        <v>46212</v>
      </c>
      <c r="K165" s="140">
        <v>46223</v>
      </c>
      <c r="L165" s="212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99">
        <f t="shared" si="2"/>
        <v>250</v>
      </c>
      <c r="P165" s="213">
        <f>_xlfn.XLOOKUP(M165,'Case Pack'!A:A,'Case Pack'!H:H)*O165</f>
        <v>27.5302222222222</v>
      </c>
      <c r="Q165" s="6" t="s">
        <v>178</v>
      </c>
      <c r="R165" s="218" t="s">
        <v>179</v>
      </c>
      <c r="S165" s="6" t="s">
        <v>180</v>
      </c>
    </row>
    <row r="166" customFormat="1" spans="1:19">
      <c r="A166" s="211">
        <v>46188</v>
      </c>
      <c r="B166" s="6" t="str">
        <f>VLOOKUP(C166,'Product List'!A:C,3,0)</f>
        <v>MINI/MOE SILENT CRSTL RUN WHEEL LG 8.5-White</v>
      </c>
      <c r="C166" s="129" t="s">
        <v>41</v>
      </c>
      <c r="D166" s="173">
        <f>VLOOKUP(C166,'Product List'!A:B,2,0)</f>
        <v>850062627680</v>
      </c>
      <c r="E166" s="214" t="s">
        <v>230</v>
      </c>
      <c r="F166" s="95" t="s">
        <v>231</v>
      </c>
      <c r="G166" s="99">
        <v>136</v>
      </c>
      <c r="H166" s="212">
        <v>46223</v>
      </c>
      <c r="I166" s="212">
        <f>IF(Q166="","",_xlfn.XLOOKUP(Q166,'Shipment Control'!A:A,'Shipment Control'!G:G))</f>
        <v>46218</v>
      </c>
      <c r="J166" s="140">
        <f>IF(Q166="",H166+30,_xlfn.XLOOKUP(Q166,'Shipment Control'!A:A,'Shipment Control'!H:H))</f>
        <v>46248</v>
      </c>
      <c r="K166" s="140">
        <v>46253</v>
      </c>
      <c r="L166" s="212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99">
        <f t="shared" ref="O166:O186" si="3">G166/N166</f>
        <v>17</v>
      </c>
      <c r="P166" s="213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211">
        <v>46188</v>
      </c>
      <c r="B167" s="6" t="str">
        <f>VLOOKUP(C167,'Product List'!A:C,3,0)</f>
        <v>MINI/MOE SILENT CRSTL RUN WHEEL LG 8.5-White</v>
      </c>
      <c r="C167" s="129" t="s">
        <v>41</v>
      </c>
      <c r="D167" s="173">
        <f>VLOOKUP(C167,'Product List'!A:B,2,0)</f>
        <v>850062627680</v>
      </c>
      <c r="E167" s="214" t="s">
        <v>230</v>
      </c>
      <c r="F167" s="214" t="s">
        <v>232</v>
      </c>
      <c r="G167" s="99">
        <v>1048</v>
      </c>
      <c r="H167" s="193">
        <v>46220</v>
      </c>
      <c r="I167" s="212">
        <f>IF(Q167="","",_xlfn.XLOOKUP(Q167,'Shipment Control'!A:A,'Shipment Control'!G:G))</f>
        <v>46224</v>
      </c>
      <c r="J167" s="140">
        <f>IF(Q167="",H167+30,_xlfn.XLOOKUP(Q167,'Shipment Control'!A:A,'Shipment Control'!H:H))</f>
        <v>46239</v>
      </c>
      <c r="K167" s="140">
        <v>46244</v>
      </c>
      <c r="L167" s="212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99">
        <f t="shared" si="3"/>
        <v>131</v>
      </c>
      <c r="P167" s="213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211">
        <v>46188</v>
      </c>
      <c r="B168" s="6" t="str">
        <f>VLOOKUP(C168,'Product List'!A:C,3,0)</f>
        <v>MMO-GREEN APPLE CHEW</v>
      </c>
      <c r="C168" s="129" t="s">
        <v>39</v>
      </c>
      <c r="D168" s="173">
        <f>VLOOKUP(C168,'Product List'!A:B,2,0)</f>
        <v>698746777081</v>
      </c>
      <c r="E168" s="214" t="s">
        <v>230</v>
      </c>
      <c r="F168" s="214" t="s">
        <v>232</v>
      </c>
      <c r="G168" s="99">
        <v>2064</v>
      </c>
      <c r="H168" s="212">
        <v>46217</v>
      </c>
      <c r="I168" s="212">
        <f>IF(Q168="","",_xlfn.XLOOKUP(Q168,'Shipment Control'!A:A,'Shipment Control'!G:G))</f>
        <v>46225</v>
      </c>
      <c r="J168" s="140">
        <f>IF(Q168="",H168+30,_xlfn.XLOOKUP(Q168,'Shipment Control'!A:A,'Shipment Control'!H:H))</f>
        <v>46239</v>
      </c>
      <c r="K168" s="140">
        <v>46249</v>
      </c>
      <c r="L168" s="212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99">
        <f t="shared" si="3"/>
        <v>43</v>
      </c>
      <c r="P168" s="213">
        <f>_xlfn.XLOOKUP(M168,'Case Pack'!A:A,'Case Pack'!H:H)*O168</f>
        <v>3.15679881481481</v>
      </c>
      <c r="Q168" s="6" t="s">
        <v>216</v>
      </c>
      <c r="R168" s="221" t="s">
        <v>174</v>
      </c>
      <c r="S168" s="222"/>
    </row>
    <row r="169" customFormat="1" spans="1:19">
      <c r="A169" s="211">
        <v>46188</v>
      </c>
      <c r="B169" s="6" t="str">
        <f>VLOOKUP(C169,'Product List'!A:C,3,0)</f>
        <v>MMO-CAMP LUNCH BOX CHEW</v>
      </c>
      <c r="C169" s="129" t="s">
        <v>40</v>
      </c>
      <c r="D169" s="173">
        <f>VLOOKUP(C169,'Product List'!A:B,2,0)</f>
        <v>698746777012</v>
      </c>
      <c r="E169" s="214" t="s">
        <v>230</v>
      </c>
      <c r="F169" s="214" t="s">
        <v>232</v>
      </c>
      <c r="G169" s="99">
        <v>1152</v>
      </c>
      <c r="H169" s="212">
        <v>46217</v>
      </c>
      <c r="I169" s="212">
        <f>IF(Q169="","",_xlfn.XLOOKUP(Q169,'Shipment Control'!A:A,'Shipment Control'!G:G))</f>
        <v>46225</v>
      </c>
      <c r="J169" s="140">
        <f>IF(Q169="",H169+30,_xlfn.XLOOKUP(Q169,'Shipment Control'!A:A,'Shipment Control'!H:H))</f>
        <v>46239</v>
      </c>
      <c r="K169" s="140">
        <v>46249</v>
      </c>
      <c r="L169" s="212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99">
        <f t="shared" si="3"/>
        <v>16</v>
      </c>
      <c r="P169" s="213">
        <f>_xlfn.XLOOKUP(M169,'Case Pack'!A:A,'Case Pack'!H:H)*O169</f>
        <v>1.17462281481481</v>
      </c>
      <c r="Q169" s="6" t="s">
        <v>216</v>
      </c>
      <c r="R169" s="221" t="s">
        <v>174</v>
      </c>
      <c r="S169" s="222"/>
    </row>
    <row r="170" customFormat="1" spans="1:19">
      <c r="A170" s="211">
        <v>46188</v>
      </c>
      <c r="B170" s="6" t="str">
        <f>VLOOKUP(C170,'Product List'!A:C,3,0)</f>
        <v>MMO-BUBBLE WATER BOTTLE</v>
      </c>
      <c r="C170" s="129" t="s">
        <v>38</v>
      </c>
      <c r="D170" s="173">
        <f>VLOOKUP(C170,'Product List'!A:B,2,0)</f>
        <v>760762456971</v>
      </c>
      <c r="E170" s="214" t="s">
        <v>230</v>
      </c>
      <c r="F170" s="214" t="s">
        <v>232</v>
      </c>
      <c r="G170" s="99">
        <v>3318</v>
      </c>
      <c r="H170" s="193">
        <v>46220</v>
      </c>
      <c r="I170" s="212">
        <f>IF(Q170="","",_xlfn.XLOOKUP(Q170,'Shipment Control'!A:A,'Shipment Control'!G:G))</f>
        <v>46224</v>
      </c>
      <c r="J170" s="140">
        <f>IF(Q170="",H170+30,_xlfn.XLOOKUP(Q170,'Shipment Control'!A:A,'Shipment Control'!H:H))</f>
        <v>46239</v>
      </c>
      <c r="K170" s="140">
        <v>46244</v>
      </c>
      <c r="L170" s="212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99">
        <f t="shared" si="3"/>
        <v>79</v>
      </c>
      <c r="P170" s="213">
        <f>_xlfn.XLOOKUP(M170,'Case Pack'!A:A,'Case Pack'!H:H)*O170</f>
        <v>12.4279288888889</v>
      </c>
      <c r="Q170" s="224" t="s">
        <v>182</v>
      </c>
      <c r="R170" s="6" t="s">
        <v>183</v>
      </c>
      <c r="S170" s="19" t="s">
        <v>184</v>
      </c>
    </row>
    <row r="171" customFormat="1" spans="1:19">
      <c r="A171" s="211">
        <v>46188</v>
      </c>
      <c r="B171" s="6" t="str">
        <f>VLOOKUP(C171,'Product List'!A:C,3,0)</f>
        <v>MMO-CLOUD WATER BOTTLE</v>
      </c>
      <c r="C171" s="129" t="s">
        <v>37</v>
      </c>
      <c r="D171" s="173">
        <f>VLOOKUP(C171,'Product List'!A:B,2,0)</f>
        <v>850030338112</v>
      </c>
      <c r="E171" s="214" t="s">
        <v>230</v>
      </c>
      <c r="F171" s="214" t="s">
        <v>232</v>
      </c>
      <c r="G171" s="99">
        <v>2900</v>
      </c>
      <c r="H171" s="193">
        <v>46220</v>
      </c>
      <c r="I171" s="212">
        <f>IF(Q171="","",_xlfn.XLOOKUP(Q171,'Shipment Control'!A:A,'Shipment Control'!G:G))</f>
        <v>46224</v>
      </c>
      <c r="J171" s="140">
        <f>IF(Q171="",H171+30,_xlfn.XLOOKUP(Q171,'Shipment Control'!A:A,'Shipment Control'!H:H))</f>
        <v>46239</v>
      </c>
      <c r="K171" s="140">
        <v>46244</v>
      </c>
      <c r="L171" s="212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99">
        <f t="shared" si="3"/>
        <v>58</v>
      </c>
      <c r="P171" s="213">
        <f>_xlfn.XLOOKUP(M171,'Case Pack'!A:A,'Case Pack'!H:H)*O171</f>
        <v>6.38701155555555</v>
      </c>
      <c r="Q171" s="224" t="s">
        <v>182</v>
      </c>
      <c r="R171" s="6" t="s">
        <v>183</v>
      </c>
      <c r="S171" s="19" t="s">
        <v>184</v>
      </c>
    </row>
    <row r="172" customFormat="1" spans="1:19">
      <c r="A172" s="211">
        <v>46188</v>
      </c>
      <c r="B172" s="6" t="str">
        <f>VLOOKUP(C172,'Product List'!A:C,3,0)</f>
        <v>MINI/MOE RUFFLE BOWL</v>
      </c>
      <c r="C172" s="129" t="s">
        <v>83</v>
      </c>
      <c r="D172" s="173">
        <f>VLOOKUP(C172,'Product List'!A:B,2,0)</f>
        <v>850030338969</v>
      </c>
      <c r="E172" s="214" t="s">
        <v>230</v>
      </c>
      <c r="F172" s="214" t="s">
        <v>232</v>
      </c>
      <c r="G172" s="99">
        <v>3984</v>
      </c>
      <c r="H172" s="212">
        <v>46249</v>
      </c>
      <c r="I172" s="212">
        <f>IF(Q172="","",_xlfn.XLOOKUP(Q172,'Shipment Control'!A:A,'Shipment Control'!G:G))</f>
        <v>46258</v>
      </c>
      <c r="J172" s="140">
        <f>IF(Q172="",H172+30,_xlfn.XLOOKUP(Q172,'Shipment Control'!A:A,'Shipment Control'!H:H))</f>
        <v>46277</v>
      </c>
      <c r="K172" s="140"/>
      <c r="L172" s="212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99">
        <f t="shared" si="3"/>
        <v>83</v>
      </c>
      <c r="P172" s="213">
        <f>_xlfn.XLOOKUP(M172,'Case Pack'!A:A,'Case Pack'!H:H)*O172</f>
        <v>6.09335585185185</v>
      </c>
      <c r="Q172" s="19" t="s">
        <v>225</v>
      </c>
      <c r="R172" s="19" t="s">
        <v>226</v>
      </c>
      <c r="S172" s="19" t="s">
        <v>227</v>
      </c>
    </row>
    <row r="173" customFormat="1" spans="1:19">
      <c r="A173" s="211">
        <v>46188</v>
      </c>
      <c r="B173" s="6" t="str">
        <f>VLOOKUP(C173,'Product List'!A:C,3,0)</f>
        <v>MMO-PAPER PEBBLES</v>
      </c>
      <c r="C173" s="129" t="s">
        <v>42</v>
      </c>
      <c r="D173" s="173">
        <f>VLOOKUP(C173,'Product List'!A:B,2,0)</f>
        <v>850067049258</v>
      </c>
      <c r="E173" s="214" t="s">
        <v>230</v>
      </c>
      <c r="F173" s="214" t="s">
        <v>232</v>
      </c>
      <c r="G173" s="99">
        <v>432</v>
      </c>
      <c r="H173" s="193">
        <v>46220</v>
      </c>
      <c r="I173" s="212">
        <f>IF(Q173="","",_xlfn.XLOOKUP(Q173,'Shipment Control'!A:A,'Shipment Control'!G:G))</f>
        <v>46224</v>
      </c>
      <c r="J173" s="140">
        <f>IF(Q173="",H173+30,_xlfn.XLOOKUP(Q173,'Shipment Control'!A:A,'Shipment Control'!H:H))</f>
        <v>46239</v>
      </c>
      <c r="K173" s="140">
        <v>46244</v>
      </c>
      <c r="L173" s="212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99">
        <f t="shared" si="3"/>
        <v>36</v>
      </c>
      <c r="P173" s="213">
        <f>_xlfn.XLOOKUP(M173,'Case Pack'!A:A,'Case Pack'!H:H)*O173</f>
        <v>2.64290133333333</v>
      </c>
      <c r="Q173" s="224" t="s">
        <v>182</v>
      </c>
      <c r="R173" s="6" t="s">
        <v>183</v>
      </c>
      <c r="S173" s="19" t="s">
        <v>184</v>
      </c>
    </row>
    <row r="174" customFormat="1" spans="1:19">
      <c r="A174" s="211">
        <v>46190</v>
      </c>
      <c r="B174" s="6" t="str">
        <f>VLOOKUP(C174,'Product List'!A:C,3,0)</f>
        <v>MINI/MOE SILENT CRSTL RUN WHEEL LG 8.5-White</v>
      </c>
      <c r="C174" s="129" t="s">
        <v>41</v>
      </c>
      <c r="D174" s="173">
        <f>VLOOKUP(C174,'Product List'!A:B,2,0)</f>
        <v>850062627680</v>
      </c>
      <c r="E174" s="214" t="s">
        <v>233</v>
      </c>
      <c r="F174" s="214" t="s">
        <v>234</v>
      </c>
      <c r="G174" s="108">
        <v>776</v>
      </c>
      <c r="H174" s="212">
        <v>46227</v>
      </c>
      <c r="I174" s="212">
        <f>IF(Q174="","",_xlfn.XLOOKUP(Q174,'Shipment Control'!A:A,'Shipment Control'!G:G))</f>
        <v>46238</v>
      </c>
      <c r="J174" s="140">
        <f>IF(Q174="",H174+30,_xlfn.XLOOKUP(Q174,'Shipment Control'!A:A,'Shipment Control'!H:H))</f>
        <v>46252</v>
      </c>
      <c r="K174" s="140">
        <v>46255</v>
      </c>
      <c r="L174" s="212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99">
        <f t="shared" si="3"/>
        <v>97</v>
      </c>
      <c r="P174" s="213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211">
        <v>46190</v>
      </c>
      <c r="B175" s="6" t="str">
        <f>VLOOKUP(C175,'Product List'!A:C,3,0)</f>
        <v>MMO-GREEN APPLE CHEW</v>
      </c>
      <c r="C175" s="129" t="s">
        <v>39</v>
      </c>
      <c r="D175" s="173">
        <f>VLOOKUP(C175,'Product List'!A:B,2,0)</f>
        <v>698746777081</v>
      </c>
      <c r="E175" s="214" t="s">
        <v>233</v>
      </c>
      <c r="F175" s="214" t="s">
        <v>234</v>
      </c>
      <c r="G175" s="99">
        <v>1200</v>
      </c>
      <c r="H175" s="212">
        <v>46217</v>
      </c>
      <c r="I175" s="212">
        <f>IF(Q175="","",_xlfn.XLOOKUP(Q175,'Shipment Control'!A:A,'Shipment Control'!G:G))</f>
        <v>46225</v>
      </c>
      <c r="J175" s="140">
        <f>IF(Q175="",H175+30,_xlfn.XLOOKUP(Q175,'Shipment Control'!A:A,'Shipment Control'!H:H))</f>
        <v>46239</v>
      </c>
      <c r="K175" s="140">
        <v>46249</v>
      </c>
      <c r="L175" s="212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99">
        <f t="shared" si="3"/>
        <v>25</v>
      </c>
      <c r="P175" s="213">
        <f>_xlfn.XLOOKUP(M175,'Case Pack'!A:A,'Case Pack'!H:H)*O175</f>
        <v>1.83534814814815</v>
      </c>
      <c r="Q175" s="6" t="s">
        <v>216</v>
      </c>
      <c r="R175" s="221" t="s">
        <v>174</v>
      </c>
      <c r="S175" s="222"/>
    </row>
    <row r="176" customFormat="1" spans="1:19">
      <c r="A176" s="211">
        <v>46190</v>
      </c>
      <c r="B176" s="6" t="str">
        <f>VLOOKUP(C176,'Product List'!A:C,3,0)</f>
        <v>MMO-CAMP LUNCH BOX CHEW</v>
      </c>
      <c r="C176" s="129" t="s">
        <v>40</v>
      </c>
      <c r="D176" s="173">
        <f>VLOOKUP(C176,'Product List'!A:B,2,0)</f>
        <v>698746777012</v>
      </c>
      <c r="E176" s="214" t="s">
        <v>233</v>
      </c>
      <c r="F176" s="214" t="s">
        <v>234</v>
      </c>
      <c r="G176" s="99">
        <v>1080</v>
      </c>
      <c r="H176" s="212">
        <v>46217</v>
      </c>
      <c r="I176" s="212">
        <f>IF(Q176="","",_xlfn.XLOOKUP(Q176,'Shipment Control'!A:A,'Shipment Control'!G:G))</f>
        <v>46225</v>
      </c>
      <c r="J176" s="140">
        <f>IF(Q176="",H176+30,_xlfn.XLOOKUP(Q176,'Shipment Control'!A:A,'Shipment Control'!H:H))</f>
        <v>46239</v>
      </c>
      <c r="K176" s="140">
        <v>46249</v>
      </c>
      <c r="L176" s="212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99">
        <f t="shared" si="3"/>
        <v>15</v>
      </c>
      <c r="P176" s="213">
        <f>_xlfn.XLOOKUP(M176,'Case Pack'!A:A,'Case Pack'!H:H)*O176</f>
        <v>1.10120888888889</v>
      </c>
      <c r="Q176" s="6" t="s">
        <v>216</v>
      </c>
      <c r="R176" s="221" t="s">
        <v>174</v>
      </c>
      <c r="S176" s="222"/>
    </row>
    <row r="177" customFormat="1" spans="1:26">
      <c r="A177" s="211">
        <v>46190</v>
      </c>
      <c r="B177" s="6" t="str">
        <f>VLOOKUP(C177,'Product List'!A:C,3,0)</f>
        <v>MMO-SHELL PEARL HAMSTER CHEW</v>
      </c>
      <c r="C177" s="129" t="s">
        <v>48</v>
      </c>
      <c r="D177" s="173">
        <f>VLOOKUP(C177,'Product List'!A:B,2,0)</f>
        <v>698746777074</v>
      </c>
      <c r="E177" s="214" t="s">
        <v>233</v>
      </c>
      <c r="F177" s="214" t="s">
        <v>234</v>
      </c>
      <c r="G177" s="99">
        <v>128</v>
      </c>
      <c r="H177" s="212">
        <v>46217</v>
      </c>
      <c r="I177" s="212">
        <f>IF(Q177="","",_xlfn.XLOOKUP(Q177,'Shipment Control'!A:A,'Shipment Control'!G:G))</f>
        <v>46225</v>
      </c>
      <c r="J177" s="140">
        <f>IF(Q177="",H177+30,_xlfn.XLOOKUP(Q177,'Shipment Control'!A:A,'Shipment Control'!H:H))</f>
        <v>46239</v>
      </c>
      <c r="K177" s="140">
        <v>46249</v>
      </c>
      <c r="L177" s="212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99">
        <f t="shared" si="3"/>
        <v>2</v>
      </c>
      <c r="P177" s="213">
        <f>_xlfn.XLOOKUP(M177,'Case Pack'!A:A,'Case Pack'!H:H)*O177</f>
        <v>0.146827851851852</v>
      </c>
      <c r="Q177" s="6" t="s">
        <v>216</v>
      </c>
      <c r="R177" s="219" t="s">
        <v>174</v>
      </c>
      <c r="S177" s="220"/>
    </row>
    <row r="178" customFormat="1" spans="1:26">
      <c r="A178" s="211">
        <v>46190</v>
      </c>
      <c r="B178" s="6" t="str">
        <f>VLOOKUP(C178,'Product List'!A:C,3,0)</f>
        <v>MMO-BUBBLE WATER BOTTLE</v>
      </c>
      <c r="C178" s="129" t="s">
        <v>38</v>
      </c>
      <c r="D178" s="173">
        <f>VLOOKUP(C178,'Product List'!A:B,2,0)</f>
        <v>760762456971</v>
      </c>
      <c r="E178" s="214" t="s">
        <v>233</v>
      </c>
      <c r="F178" s="214" t="s">
        <v>234</v>
      </c>
      <c r="G178" s="99">
        <v>1848</v>
      </c>
      <c r="H178" s="193">
        <v>46220</v>
      </c>
      <c r="I178" s="212">
        <f>IF(Q178="","",_xlfn.XLOOKUP(Q178,'Shipment Control'!A:A,'Shipment Control'!G:G))</f>
        <v>46224</v>
      </c>
      <c r="J178" s="140">
        <f>IF(Q178="",H178+30,_xlfn.XLOOKUP(Q178,'Shipment Control'!A:A,'Shipment Control'!H:H))</f>
        <v>46239</v>
      </c>
      <c r="K178" s="140">
        <v>46244</v>
      </c>
      <c r="L178" s="212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99">
        <f t="shared" si="3"/>
        <v>44</v>
      </c>
      <c r="P178" s="213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211">
        <v>46190</v>
      </c>
      <c r="B179" s="6" t="str">
        <f>VLOOKUP(C179,'Product List'!A:C,3,0)</f>
        <v>MMO-PAPER TWIST BLU/WHT</v>
      </c>
      <c r="C179" s="129" t="s">
        <v>44</v>
      </c>
      <c r="D179" s="173">
        <f>VLOOKUP(C179,'Product List'!A:B,2,0)</f>
        <v>850030338075</v>
      </c>
      <c r="E179" s="214" t="s">
        <v>233</v>
      </c>
      <c r="F179" s="214" t="s">
        <v>234</v>
      </c>
      <c r="G179" s="99">
        <v>240</v>
      </c>
      <c r="H179" s="193">
        <v>46220</v>
      </c>
      <c r="I179" s="212">
        <f>IF(Q179="","",_xlfn.XLOOKUP(Q179,'Shipment Control'!A:A,'Shipment Control'!G:G))</f>
        <v>46224</v>
      </c>
      <c r="J179" s="140">
        <f>IF(Q179="",H179+30,_xlfn.XLOOKUP(Q179,'Shipment Control'!A:A,'Shipment Control'!H:H))</f>
        <v>46239</v>
      </c>
      <c r="K179" s="140">
        <v>46244</v>
      </c>
      <c r="L179" s="212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99">
        <f t="shared" si="3"/>
        <v>8</v>
      </c>
      <c r="P179" s="213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25"/>
      <c r="Y179" s="225"/>
      <c r="Z179" s="225"/>
    </row>
    <row r="180" customFormat="1" spans="1:26">
      <c r="A180" s="211">
        <v>46190</v>
      </c>
      <c r="B180" s="6" t="str">
        <f>VLOOKUP(C180,'Product List'!A:C,3,0)</f>
        <v>MMO-CLOUD WATER BOTTLE</v>
      </c>
      <c r="C180" s="129" t="s">
        <v>37</v>
      </c>
      <c r="D180" s="173">
        <f>VLOOKUP(C180,'Product List'!A:B,2,0)</f>
        <v>850030338112</v>
      </c>
      <c r="E180" s="214" t="s">
        <v>233</v>
      </c>
      <c r="F180" s="214" t="s">
        <v>234</v>
      </c>
      <c r="G180" s="99">
        <v>1950</v>
      </c>
      <c r="H180" s="193">
        <v>46220</v>
      </c>
      <c r="I180" s="212">
        <f>IF(Q180="","",_xlfn.XLOOKUP(Q180,'Shipment Control'!A:A,'Shipment Control'!G:G))</f>
        <v>46224</v>
      </c>
      <c r="J180" s="140">
        <f>IF(Q180="",H180+30,_xlfn.XLOOKUP(Q180,'Shipment Control'!A:A,'Shipment Control'!H:H))</f>
        <v>46239</v>
      </c>
      <c r="K180" s="140">
        <v>46244</v>
      </c>
      <c r="L180" s="212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99">
        <f t="shared" si="3"/>
        <v>39</v>
      </c>
      <c r="P180" s="213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211">
        <v>46190</v>
      </c>
      <c r="B181" s="6" t="str">
        <f>VLOOKUP(C181,'Product List'!A:C,3,0)</f>
        <v>MINI/MOE RUFFLE BOWL</v>
      </c>
      <c r="C181" s="129" t="s">
        <v>83</v>
      </c>
      <c r="D181" s="173">
        <f>VLOOKUP(C181,'Product List'!A:B,2,0)</f>
        <v>850030338969</v>
      </c>
      <c r="E181" s="214" t="s">
        <v>233</v>
      </c>
      <c r="F181" s="214" t="s">
        <v>234</v>
      </c>
      <c r="G181" s="99">
        <v>576</v>
      </c>
      <c r="H181" s="212">
        <v>46249</v>
      </c>
      <c r="I181" s="212">
        <f>IF(Q181="","",_xlfn.XLOOKUP(Q181,'Shipment Control'!A:A,'Shipment Control'!G:G))</f>
        <v>46258</v>
      </c>
      <c r="J181" s="140">
        <f>IF(Q181="",H181+30,_xlfn.XLOOKUP(Q181,'Shipment Control'!A:A,'Shipment Control'!H:H))</f>
        <v>46277</v>
      </c>
      <c r="K181" s="140"/>
      <c r="L181" s="212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99">
        <f t="shared" si="3"/>
        <v>12</v>
      </c>
      <c r="P181" s="213">
        <f>_xlfn.XLOOKUP(M181,'Case Pack'!A:A,'Case Pack'!H:H)*O181</f>
        <v>0.880967111111111</v>
      </c>
      <c r="Q181" s="19" t="s">
        <v>225</v>
      </c>
      <c r="R181" s="19" t="s">
        <v>226</v>
      </c>
      <c r="S181" s="19" t="s">
        <v>227</v>
      </c>
    </row>
    <row r="182" customFormat="1" spans="1:26">
      <c r="A182" s="211">
        <v>46190</v>
      </c>
      <c r="B182" s="6" t="str">
        <f>VLOOKUP(C182,'Product List'!A:C,3,0)</f>
        <v>MMO-PAPER PEBBLES</v>
      </c>
      <c r="C182" s="129" t="s">
        <v>42</v>
      </c>
      <c r="D182" s="173">
        <f>VLOOKUP(C182,'Product List'!A:B,2,0)</f>
        <v>850067049258</v>
      </c>
      <c r="E182" s="214" t="s">
        <v>233</v>
      </c>
      <c r="F182" s="214" t="s">
        <v>234</v>
      </c>
      <c r="G182" s="99">
        <v>780</v>
      </c>
      <c r="H182" s="193">
        <v>46220</v>
      </c>
      <c r="I182" s="212">
        <f>IF(Q182="","",_xlfn.XLOOKUP(Q182,'Shipment Control'!A:A,'Shipment Control'!G:G))</f>
        <v>46224</v>
      </c>
      <c r="J182" s="140">
        <f>IF(Q182="",H182+30,_xlfn.XLOOKUP(Q182,'Shipment Control'!A:A,'Shipment Control'!H:H))</f>
        <v>46239</v>
      </c>
      <c r="K182" s="140">
        <v>46244</v>
      </c>
      <c r="L182" s="212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99">
        <f t="shared" si="3"/>
        <v>65</v>
      </c>
      <c r="P182" s="213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211">
        <v>46190</v>
      </c>
      <c r="B183" s="6" t="str">
        <f>VLOOKUP(C183,'Product List'!A:C,3,0)</f>
        <v>MMO-COTTON NESTING BALLS</v>
      </c>
      <c r="C183" s="129" t="s">
        <v>43</v>
      </c>
      <c r="D183" s="173">
        <f>VLOOKUP(C183,'Product List'!A:B,2,0)</f>
        <v>850030338198</v>
      </c>
      <c r="E183" s="214" t="s">
        <v>233</v>
      </c>
      <c r="F183" s="214" t="s">
        <v>234</v>
      </c>
      <c r="G183" s="108">
        <v>992</v>
      </c>
      <c r="H183" s="212">
        <v>46227</v>
      </c>
      <c r="I183" s="212">
        <f>IF(Q183="","",_xlfn.XLOOKUP(Q183,'Shipment Control'!A:A,'Shipment Control'!G:G))</f>
        <v>46238</v>
      </c>
      <c r="J183" s="140">
        <f>IF(Q183="",H183+30,_xlfn.XLOOKUP(Q183,'Shipment Control'!A:A,'Shipment Control'!H:H))</f>
        <v>46252</v>
      </c>
      <c r="K183" s="140">
        <v>46255</v>
      </c>
      <c r="L183" s="212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99">
        <f t="shared" si="3"/>
        <v>31</v>
      </c>
      <c r="P183" s="213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211">
        <v>46202</v>
      </c>
      <c r="B184" s="6" t="str">
        <f>VLOOKUP(C184,'Product List'!A:C,3,0)</f>
        <v>MMO-CLOUD WATER BOTTLE</v>
      </c>
      <c r="C184" s="161" t="s">
        <v>37</v>
      </c>
      <c r="D184" s="173">
        <f>VLOOKUP(C184,'Product List'!A:B,2,0)</f>
        <v>850030338112</v>
      </c>
      <c r="E184" s="95"/>
      <c r="F184" s="214" t="s">
        <v>235</v>
      </c>
      <c r="G184" s="99">
        <v>2280</v>
      </c>
      <c r="H184" s="212">
        <v>46237</v>
      </c>
      <c r="I184" s="212">
        <f>IF(Q184="","",_xlfn.XLOOKUP(Q184,'Shipment Control'!A:A,'Shipment Control'!G:G))</f>
        <v>46265</v>
      </c>
      <c r="J184" s="140">
        <f>IF(Q184="",H184+30,_xlfn.XLOOKUP(Q184,'Shipment Control'!A:A,'Shipment Control'!H:H))</f>
        <v>46265</v>
      </c>
      <c r="K184" s="140">
        <v>46265</v>
      </c>
      <c r="L184" s="212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99">
        <f t="shared" si="3"/>
        <v>45.6</v>
      </c>
      <c r="P184" s="213">
        <f>_xlfn.XLOOKUP(M184,'Case Pack'!A:A,'Case Pack'!H:H)*O184</f>
        <v>5.02151253333333</v>
      </c>
      <c r="Q184" s="6" t="s">
        <v>236</v>
      </c>
      <c r="R184" s="6" t="s">
        <v>237</v>
      </c>
      <c r="S184" s="6" t="s">
        <v>238</v>
      </c>
    </row>
    <row r="185" spans="1:26">
      <c r="A185" s="211">
        <v>46202</v>
      </c>
      <c r="B185" s="6" t="str">
        <f>VLOOKUP(C185,'Product List'!A:C,3,0)</f>
        <v>MINI/MOE TULIP WATER BOTTLE</v>
      </c>
      <c r="C185" s="129" t="s">
        <v>29</v>
      </c>
      <c r="D185" s="173">
        <f>VLOOKUP(C185,'Product List'!A:B,2,0)</f>
        <v>850062627567</v>
      </c>
      <c r="E185" s="201"/>
      <c r="F185" s="214" t="s">
        <v>235</v>
      </c>
      <c r="G185" s="99">
        <v>1560</v>
      </c>
      <c r="H185" s="212">
        <v>46237</v>
      </c>
      <c r="I185" s="212">
        <f>IF(Q185="","",_xlfn.XLOOKUP(Q185,'Shipment Control'!A:A,'Shipment Control'!G:G))</f>
        <v>46265</v>
      </c>
      <c r="J185" s="140">
        <f>IF(Q185="",H185+30,_xlfn.XLOOKUP(Q185,'Shipment Control'!A:A,'Shipment Control'!H:H))</f>
        <v>46265</v>
      </c>
      <c r="K185" s="140">
        <v>46265</v>
      </c>
      <c r="L185" s="212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99">
        <f t="shared" si="3"/>
        <v>26</v>
      </c>
      <c r="P185" s="213">
        <f>_xlfn.XLOOKUP(M185,'Case Pack'!A:A,'Case Pack'!H:H)*O185</f>
        <v>4.09020444444444</v>
      </c>
      <c r="Q185" s="6" t="s">
        <v>236</v>
      </c>
      <c r="R185" s="6" t="s">
        <v>237</v>
      </c>
      <c r="S185" s="6" t="s">
        <v>238</v>
      </c>
    </row>
    <row r="186" spans="1:26">
      <c r="A186" s="211">
        <v>46202</v>
      </c>
      <c r="B186" s="6" t="str">
        <f>VLOOKUP(C186,'Product List'!A:C,3,0)</f>
        <v>Simple Rabbit Hay Feeder</v>
      </c>
      <c r="C186" s="129" t="s">
        <v>86</v>
      </c>
      <c r="D186" s="173">
        <f>VLOOKUP(C186,'Product List'!A:B,2,0)</f>
        <v>850062627390</v>
      </c>
      <c r="E186" s="201"/>
      <c r="F186" s="214" t="s">
        <v>235</v>
      </c>
      <c r="G186" s="99">
        <v>1116</v>
      </c>
      <c r="H186" s="212">
        <v>46237</v>
      </c>
      <c r="I186" s="212">
        <f>IF(Q186="","",_xlfn.XLOOKUP(Q186,'Shipment Control'!A:A,'Shipment Control'!G:G))</f>
        <v>46265</v>
      </c>
      <c r="J186" s="140">
        <f>IF(Q186="",H186+30,_xlfn.XLOOKUP(Q186,'Shipment Control'!A:A,'Shipment Control'!H:H))</f>
        <v>46265</v>
      </c>
      <c r="K186" s="140">
        <v>46265</v>
      </c>
      <c r="L186" s="212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99">
        <f t="shared" si="3"/>
        <v>31</v>
      </c>
      <c r="P186" s="213" t="e">
        <f>_xlfn.XLOOKUP(M186,'Case Pack'!A:A,'Case Pack'!H:H)*O186</f>
        <v>#N/A</v>
      </c>
      <c r="Q186" s="6" t="s">
        <v>236</v>
      </c>
      <c r="R186" s="6" t="s">
        <v>237</v>
      </c>
      <c r="S186" s="6" t="s">
        <v>238</v>
      </c>
    </row>
    <row r="187" spans="1:26">
      <c r="A187" s="211">
        <v>46202</v>
      </c>
      <c r="B187" s="6" t="str">
        <f>VLOOKUP(C187,'Product List'!A:C,3,0)</f>
        <v>Rabbit Drinking Bottle (250ml)</v>
      </c>
      <c r="C187" s="129" t="s">
        <v>84</v>
      </c>
      <c r="D187" s="173">
        <f>VLOOKUP(C187,'Product List'!A:B,2,0)</f>
        <v>698746776534</v>
      </c>
      <c r="E187" s="201"/>
      <c r="F187" s="214" t="s">
        <v>235</v>
      </c>
      <c r="G187" s="99">
        <v>1560</v>
      </c>
      <c r="H187" s="212">
        <v>46237</v>
      </c>
      <c r="I187" s="212">
        <f>IF(Q187="","",_xlfn.XLOOKUP(Q187,'Shipment Control'!A:A,'Shipment Control'!G:G))</f>
        <v>46265</v>
      </c>
      <c r="J187" s="140">
        <f>IF(Q187="",H187+30,_xlfn.XLOOKUP(Q187,'Shipment Control'!A:A,'Shipment Control'!H:H))</f>
        <v>46265</v>
      </c>
      <c r="K187" s="140">
        <v>46265</v>
      </c>
      <c r="L187" s="212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99">
        <f t="shared" ref="O187:O193" si="4">G187/N187</f>
        <v>13</v>
      </c>
      <c r="P187" s="213" t="e">
        <f>_xlfn.XLOOKUP(M187,'Case Pack'!A:A,'Case Pack'!H:H)*O187</f>
        <v>#N/A</v>
      </c>
      <c r="Q187" s="6" t="s">
        <v>236</v>
      </c>
      <c r="R187" s="6" t="s">
        <v>237</v>
      </c>
      <c r="S187" s="6" t="s">
        <v>238</v>
      </c>
    </row>
    <row r="188" spans="1:26">
      <c r="A188" s="211">
        <v>46202</v>
      </c>
      <c r="B188" s="6" t="str">
        <f>VLOOKUP(C188,'Product List'!A:C,3,0)</f>
        <v>Rabbit Drinking Bottle (500ml)</v>
      </c>
      <c r="C188" s="129" t="s">
        <v>85</v>
      </c>
      <c r="D188" s="173">
        <f>VLOOKUP(C188,'Product List'!A:B,2,0)</f>
        <v>698746776541</v>
      </c>
      <c r="E188" s="201"/>
      <c r="F188" s="214" t="s">
        <v>235</v>
      </c>
      <c r="G188" s="99">
        <v>1440</v>
      </c>
      <c r="H188" s="212">
        <v>46237</v>
      </c>
      <c r="I188" s="212">
        <f>IF(Q188="","",_xlfn.XLOOKUP(Q188,'Shipment Control'!A:A,'Shipment Control'!G:G))</f>
        <v>46265</v>
      </c>
      <c r="J188" s="140">
        <f>IF(Q188="",H188+30,_xlfn.XLOOKUP(Q188,'Shipment Control'!A:A,'Shipment Control'!H:H))</f>
        <v>46265</v>
      </c>
      <c r="K188" s="140">
        <v>46265</v>
      </c>
      <c r="L188" s="212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99">
        <f t="shared" si="4"/>
        <v>18</v>
      </c>
      <c r="P188" s="213" t="e">
        <f>_xlfn.XLOOKUP(M188,'Case Pack'!A:A,'Case Pack'!H:H)*O188</f>
        <v>#N/A</v>
      </c>
      <c r="Q188" s="6" t="s">
        <v>236</v>
      </c>
      <c r="R188" s="6" t="s">
        <v>237</v>
      </c>
      <c r="S188" s="6" t="s">
        <v>238</v>
      </c>
    </row>
    <row r="189" spans="1:26">
      <c r="A189" s="211">
        <v>46202</v>
      </c>
      <c r="B189" s="6" t="str">
        <f>VLOOKUP(C189,'Product List'!A:C,3,0)</f>
        <v>Rabbit Drinking Bottle (750ml)</v>
      </c>
      <c r="C189" s="129" t="s">
        <v>87</v>
      </c>
      <c r="D189" s="173">
        <f>VLOOKUP(C189,'Product List'!A:B,2,0)</f>
        <v>698746776558</v>
      </c>
      <c r="E189" s="201"/>
      <c r="F189" s="214" t="s">
        <v>235</v>
      </c>
      <c r="G189" s="99">
        <v>1200</v>
      </c>
      <c r="H189" s="212">
        <v>46237</v>
      </c>
      <c r="I189" s="212">
        <f>IF(Q189="","",_xlfn.XLOOKUP(Q189,'Shipment Control'!A:A,'Shipment Control'!G:G))</f>
        <v>46265</v>
      </c>
      <c r="J189" s="140">
        <f>IF(Q189="",H189+30,_xlfn.XLOOKUP(Q189,'Shipment Control'!A:A,'Shipment Control'!H:H))</f>
        <v>46265</v>
      </c>
      <c r="K189" s="140">
        <v>46265</v>
      </c>
      <c r="L189" s="212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99">
        <f t="shared" si="4"/>
        <v>20</v>
      </c>
      <c r="P189" s="213" t="e">
        <f>_xlfn.XLOOKUP(M189,'Case Pack'!A:A,'Case Pack'!H:H)*O189</f>
        <v>#N/A</v>
      </c>
      <c r="Q189" s="6" t="s">
        <v>236</v>
      </c>
      <c r="R189" s="6" t="s">
        <v>237</v>
      </c>
      <c r="S189" s="6" t="s">
        <v>238</v>
      </c>
    </row>
    <row r="190" spans="1:26">
      <c r="A190" s="211">
        <v>46202</v>
      </c>
      <c r="B190" s="6" t="str">
        <f>VLOOKUP(C190,'Product List'!A:C,3,0)</f>
        <v>Travel Cage 7.17in(18.2cm)-Little Elf</v>
      </c>
      <c r="C190" s="161" t="s">
        <v>100</v>
      </c>
      <c r="D190" s="173">
        <f>VLOOKUP(C190,'Product List'!A:B,2,0)</f>
        <v>850081655367</v>
      </c>
      <c r="E190" s="201"/>
      <c r="F190" s="214" t="s">
        <v>235</v>
      </c>
      <c r="G190" s="99">
        <v>252</v>
      </c>
      <c r="H190" s="212">
        <v>46237</v>
      </c>
      <c r="I190" s="212">
        <f>IF(Q190="","",_xlfn.XLOOKUP(Q190,'Shipment Control'!A:A,'Shipment Control'!G:G))</f>
        <v>46265</v>
      </c>
      <c r="J190" s="140">
        <f>IF(Q190="",H190+30,_xlfn.XLOOKUP(Q190,'Shipment Control'!A:A,'Shipment Control'!H:H))</f>
        <v>46265</v>
      </c>
      <c r="K190" s="140">
        <v>46265</v>
      </c>
      <c r="L190" s="212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99">
        <f t="shared" si="4"/>
        <v>14</v>
      </c>
      <c r="P190" s="213">
        <f>_xlfn.XLOOKUP(M190,'Case Pack'!A:A,'Case Pack'!H:H)*O190</f>
        <v>2.20241777777778</v>
      </c>
      <c r="Q190" s="6" t="s">
        <v>236</v>
      </c>
      <c r="R190" s="6" t="s">
        <v>237</v>
      </c>
      <c r="S190" s="6" t="s">
        <v>238</v>
      </c>
    </row>
    <row r="191" spans="1:26">
      <c r="A191" s="211">
        <v>46202</v>
      </c>
      <c r="B191" s="6" t="str">
        <f>VLOOKUP(C191,'Product List'!A:C,3,0)</f>
        <v>Little Devil Travel Cage</v>
      </c>
      <c r="C191" s="161" t="s">
        <v>58</v>
      </c>
      <c r="D191" s="173">
        <f>VLOOKUP(C191,'Product List'!A:B,2,0)</f>
        <v>850030338921</v>
      </c>
      <c r="E191" s="201"/>
      <c r="F191" s="214" t="s">
        <v>235</v>
      </c>
      <c r="G191" s="99">
        <v>252</v>
      </c>
      <c r="H191" s="212">
        <v>46237</v>
      </c>
      <c r="I191" s="212">
        <f>IF(Q191="","",_xlfn.XLOOKUP(Q191,'Shipment Control'!A:A,'Shipment Control'!G:G))</f>
        <v>46265</v>
      </c>
      <c r="J191" s="140">
        <f>IF(Q191="",H191+30,_xlfn.XLOOKUP(Q191,'Shipment Control'!A:A,'Shipment Control'!H:H))</f>
        <v>46265</v>
      </c>
      <c r="K191" s="140">
        <v>46265</v>
      </c>
      <c r="L191" s="212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99">
        <f t="shared" si="4"/>
        <v>14</v>
      </c>
      <c r="P191" s="213">
        <f>_xlfn.XLOOKUP(M191,'Case Pack'!A:A,'Case Pack'!H:H)*O191</f>
        <v>2.20241777777778</v>
      </c>
      <c r="Q191" s="6" t="s">
        <v>236</v>
      </c>
      <c r="R191" s="6" t="s">
        <v>237</v>
      </c>
      <c r="S191" s="6" t="s">
        <v>238</v>
      </c>
    </row>
    <row r="192" customFormat="1" spans="1:26">
      <c r="A192" s="211">
        <v>46202</v>
      </c>
      <c r="B192" s="6" t="str">
        <f>VLOOKUP(C192,'Product List'!A:C,3,0)</f>
        <v>Crystal Outdoor Cage</v>
      </c>
      <c r="C192" s="129" t="s">
        <v>52</v>
      </c>
      <c r="D192" s="173">
        <f>VLOOKUP(C192,'Product List'!A:B,2,0)</f>
        <v>698746777579</v>
      </c>
      <c r="E192" s="201"/>
      <c r="F192" s="214" t="s">
        <v>235</v>
      </c>
      <c r="G192" s="99">
        <v>504</v>
      </c>
      <c r="H192" s="212">
        <v>46237</v>
      </c>
      <c r="I192" s="212">
        <f>IF(Q192="","",_xlfn.XLOOKUP(Q192,'Shipment Control'!A:A,'Shipment Control'!G:G))</f>
        <v>46265</v>
      </c>
      <c r="J192" s="140">
        <f>IF(Q192="",H192+30,_xlfn.XLOOKUP(Q192,'Shipment Control'!A:A,'Shipment Control'!H:H))</f>
        <v>46265</v>
      </c>
      <c r="K192" s="140">
        <v>46265</v>
      </c>
      <c r="L192" s="212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99">
        <f t="shared" si="4"/>
        <v>100.8</v>
      </c>
      <c r="P192" s="213">
        <f>_xlfn.XLOOKUP(M192,'Case Pack'!A:A,'Case Pack'!H:H)*O192</f>
        <v>11.1001856</v>
      </c>
      <c r="Q192" s="6" t="s">
        <v>236</v>
      </c>
      <c r="R192" s="6" t="s">
        <v>237</v>
      </c>
      <c r="S192" s="6" t="s">
        <v>238</v>
      </c>
    </row>
    <row r="193" spans="1:19">
      <c r="A193" s="211">
        <v>46202</v>
      </c>
      <c r="B193" s="6" t="str">
        <f>VLOOKUP(C193,'Product List'!A:C,3,0)</f>
        <v>Simple Rabbit Bowl</v>
      </c>
      <c r="C193" s="129" t="s">
        <v>88</v>
      </c>
      <c r="D193" s="173">
        <f>VLOOKUP(C193,'Product List'!A:B,2,0)</f>
        <v>850062627383</v>
      </c>
      <c r="E193" s="201"/>
      <c r="F193" s="214" t="s">
        <v>235</v>
      </c>
      <c r="G193" s="99">
        <v>720</v>
      </c>
      <c r="H193" s="212">
        <v>46237</v>
      </c>
      <c r="I193" s="212">
        <f>IF(Q193="","",_xlfn.XLOOKUP(Q193,'Shipment Control'!A:A,'Shipment Control'!G:G))</f>
        <v>46265</v>
      </c>
      <c r="J193" s="140">
        <f>IF(Q193="",H193+30,_xlfn.XLOOKUP(Q193,'Shipment Control'!A:A,'Shipment Control'!H:H))</f>
        <v>46265</v>
      </c>
      <c r="K193" s="140">
        <v>46265</v>
      </c>
      <c r="L193" s="212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99">
        <f t="shared" si="4"/>
        <v>12</v>
      </c>
      <c r="P193" s="213" t="e">
        <f>_xlfn.XLOOKUP(M193,'Case Pack'!A:A,'Case Pack'!H:H)*O193</f>
        <v>#N/A</v>
      </c>
      <c r="Q193" s="201" t="s">
        <v>239</v>
      </c>
      <c r="R193" s="201" t="s">
        <v>240</v>
      </c>
      <c r="S193" s="201" t="s">
        <v>241</v>
      </c>
    </row>
    <row r="194" spans="1:19">
      <c r="A194" s="211">
        <v>46202</v>
      </c>
      <c r="B194" s="6" t="str">
        <f>VLOOKUP(C194,'Product List'!A:C,3,0)</f>
        <v>Simple Hay/Grass Feeder</v>
      </c>
      <c r="C194" s="161" t="s">
        <v>92</v>
      </c>
      <c r="D194" s="173">
        <f>VLOOKUP(C194,'Product List'!A:B,2,0)</f>
        <v>698746776527</v>
      </c>
      <c r="E194" s="201"/>
      <c r="F194" s="214" t="s">
        <v>235</v>
      </c>
      <c r="G194" s="99">
        <v>660</v>
      </c>
      <c r="H194" s="212">
        <v>46237</v>
      </c>
      <c r="I194" s="212">
        <f>IF(Q194="","",_xlfn.XLOOKUP(Q194,'Shipment Control'!A:A,'Shipment Control'!G:G))</f>
        <v>46265</v>
      </c>
      <c r="J194" s="140">
        <f>IF(Q194="",H194+30,_xlfn.XLOOKUP(Q194,'Shipment Control'!A:A,'Shipment Control'!H:H))</f>
        <v>46265</v>
      </c>
      <c r="K194" s="140">
        <v>46265</v>
      </c>
      <c r="L194" s="212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99">
        <f t="shared" ref="O194:O229" si="5">G194/N194</f>
        <v>11</v>
      </c>
      <c r="P194" s="213" t="e">
        <f>_xlfn.XLOOKUP(M194,'Case Pack'!A:A,'Case Pack'!H:H)*O194</f>
        <v>#N/A</v>
      </c>
      <c r="Q194" s="201" t="s">
        <v>239</v>
      </c>
      <c r="R194" s="201" t="s">
        <v>240</v>
      </c>
      <c r="S194" s="201" t="s">
        <v>241</v>
      </c>
    </row>
    <row r="195" spans="1:19">
      <c r="A195" s="211">
        <v>46202</v>
      </c>
      <c r="B195" s="6" t="str">
        <f>VLOOKUP(C195,'Product List'!A:C,3,0)</f>
        <v>NONO Magnetic Water Bottle (220 ML)</v>
      </c>
      <c r="C195" s="129" t="s">
        <v>67</v>
      </c>
      <c r="D195" s="173">
        <f>VLOOKUP(C195,'Product List'!A:B,2,0)</f>
        <v>698746776688</v>
      </c>
      <c r="E195" s="201"/>
      <c r="F195" s="214" t="s">
        <v>235</v>
      </c>
      <c r="G195" s="99">
        <v>1080</v>
      </c>
      <c r="H195" s="212">
        <v>46237</v>
      </c>
      <c r="I195" s="212">
        <f>IF(Q195="","",_xlfn.XLOOKUP(Q195,'Shipment Control'!A:A,'Shipment Control'!G:G))</f>
        <v>46265</v>
      </c>
      <c r="J195" s="140">
        <f>IF(Q195="",H195+30,_xlfn.XLOOKUP(Q195,'Shipment Control'!A:A,'Shipment Control'!H:H))</f>
        <v>46265</v>
      </c>
      <c r="K195" s="140">
        <v>46265</v>
      </c>
      <c r="L195" s="212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99">
        <f t="shared" si="5"/>
        <v>18</v>
      </c>
      <c r="P195" s="213">
        <f>_xlfn.XLOOKUP(M195,'Case Pack'!A:A,'Case Pack'!H:H)*O195</f>
        <v>1.982176</v>
      </c>
      <c r="Q195" s="6" t="s">
        <v>236</v>
      </c>
      <c r="R195" s="6" t="s">
        <v>237</v>
      </c>
      <c r="S195" s="6" t="s">
        <v>238</v>
      </c>
    </row>
    <row r="196" spans="1:19">
      <c r="A196" s="211">
        <v>46202</v>
      </c>
      <c r="B196" s="6" t="str">
        <f>VLOOKUP(C196,'Product List'!A:C,3,0)</f>
        <v>Little Devil Travel Cage</v>
      </c>
      <c r="C196" s="129" t="s">
        <v>90</v>
      </c>
      <c r="D196" s="173">
        <f>VLOOKUP(C196,'Product List'!A:B,2,0)</f>
        <v>850081655008</v>
      </c>
      <c r="E196" s="201"/>
      <c r="F196" s="214" t="s">
        <v>235</v>
      </c>
      <c r="G196" s="99">
        <v>720</v>
      </c>
      <c r="H196" s="212">
        <v>46237</v>
      </c>
      <c r="I196" s="212">
        <f>IF(Q196="","",_xlfn.XLOOKUP(Q196,'Shipment Control'!A:A,'Shipment Control'!G:G))</f>
        <v>46265</v>
      </c>
      <c r="J196" s="140">
        <f>IF(Q196="",H196+30,_xlfn.XLOOKUP(Q196,'Shipment Control'!A:A,'Shipment Control'!H:H))</f>
        <v>46265</v>
      </c>
      <c r="K196" s="140">
        <v>46265</v>
      </c>
      <c r="L196" s="212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99">
        <f t="shared" si="5"/>
        <v>720</v>
      </c>
      <c r="P196" s="213" t="e">
        <f>_xlfn.XLOOKUP(M196,'Case Pack'!A:A,'Case Pack'!H:H)*O196</f>
        <v>#N/A</v>
      </c>
      <c r="Q196" s="6" t="s">
        <v>236</v>
      </c>
      <c r="R196" s="6" t="s">
        <v>237</v>
      </c>
      <c r="S196" s="6" t="s">
        <v>238</v>
      </c>
    </row>
    <row r="197" spans="1:19">
      <c r="A197" s="211">
        <v>46202</v>
      </c>
      <c r="B197" s="6" t="str">
        <f>VLOOKUP(C197,'Product List'!A:C,3,0)</f>
        <v>Tulip Toilet</v>
      </c>
      <c r="C197" s="129" t="s">
        <v>91</v>
      </c>
      <c r="D197" s="173">
        <f>VLOOKUP(C197,'Product List'!A:B,2,0)</f>
        <v>850062627413</v>
      </c>
      <c r="E197" s="201"/>
      <c r="F197" s="214" t="s">
        <v>235</v>
      </c>
      <c r="G197" s="99">
        <v>470</v>
      </c>
      <c r="H197" s="212">
        <v>46237</v>
      </c>
      <c r="I197" s="212">
        <f>IF(Q197="","",_xlfn.XLOOKUP(Q197,'Shipment Control'!A:A,'Shipment Control'!G:G))</f>
        <v>46265</v>
      </c>
      <c r="J197" s="140">
        <f>IF(Q197="",H197+30,_xlfn.XLOOKUP(Q197,'Shipment Control'!A:A,'Shipment Control'!H:H))</f>
        <v>46265</v>
      </c>
      <c r="K197" s="140">
        <v>46265</v>
      </c>
      <c r="L197" s="212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99">
        <f t="shared" si="5"/>
        <v>47</v>
      </c>
      <c r="P197" s="213" t="e">
        <f>_xlfn.XLOOKUP(M197,'Case Pack'!A:A,'Case Pack'!H:H)*O197</f>
        <v>#N/A</v>
      </c>
      <c r="Q197" s="6" t="s">
        <v>236</v>
      </c>
      <c r="R197" s="6" t="s">
        <v>237</v>
      </c>
      <c r="S197" s="6" t="s">
        <v>238</v>
      </c>
    </row>
    <row r="198" spans="1:19">
      <c r="A198" s="211">
        <v>46202</v>
      </c>
      <c r="B198" s="6" t="str">
        <f>VLOOKUP(C198,'Product List'!A:C,3,0)</f>
        <v>Tulip Hay Feeder</v>
      </c>
      <c r="C198" s="129" t="s">
        <v>89</v>
      </c>
      <c r="D198" s="173">
        <f>VLOOKUP(C198,'Product List'!A:B,2,0)</f>
        <v>850062627406</v>
      </c>
      <c r="E198" s="201"/>
      <c r="F198" s="214" t="s">
        <v>235</v>
      </c>
      <c r="G198" s="99">
        <v>552</v>
      </c>
      <c r="H198" s="212">
        <v>46237</v>
      </c>
      <c r="I198" s="212">
        <f>IF(Q198="","",_xlfn.XLOOKUP(Q198,'Shipment Control'!A:A,'Shipment Control'!G:G))</f>
        <v>46265</v>
      </c>
      <c r="J198" s="140">
        <f>IF(Q198="",H198+30,_xlfn.XLOOKUP(Q198,'Shipment Control'!A:A,'Shipment Control'!H:H))</f>
        <v>46265</v>
      </c>
      <c r="K198" s="140">
        <v>46265</v>
      </c>
      <c r="L198" s="212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99">
        <f t="shared" si="5"/>
        <v>69</v>
      </c>
      <c r="P198" s="213" t="e">
        <f>_xlfn.XLOOKUP(M198,'Case Pack'!A:A,'Case Pack'!H:H)*O198</f>
        <v>#N/A</v>
      </c>
      <c r="Q198" s="6" t="s">
        <v>242</v>
      </c>
      <c r="R198" s="6" t="s">
        <v>243</v>
      </c>
      <c r="S198" s="6" t="s">
        <v>244</v>
      </c>
    </row>
    <row r="199" spans="1:19">
      <c r="A199" s="211">
        <v>46202</v>
      </c>
      <c r="B199" s="6" t="str">
        <f>VLOOKUP(C199,'Product List'!A:C,3,0)</f>
        <v>MINI/MOE SILENT CRSTL RUN WHEEL LG 8.5-White</v>
      </c>
      <c r="C199" s="129" t="s">
        <v>41</v>
      </c>
      <c r="D199" s="173">
        <f>VLOOKUP(C199,'Product List'!A:B,2,0)</f>
        <v>850062627680</v>
      </c>
      <c r="E199" s="201"/>
      <c r="F199" s="214" t="s">
        <v>235</v>
      </c>
      <c r="G199" s="99">
        <v>456</v>
      </c>
      <c r="H199" s="212">
        <v>46237</v>
      </c>
      <c r="I199" s="212">
        <f>IF(Q199="","",_xlfn.XLOOKUP(Q199,'Shipment Control'!A:A,'Shipment Control'!G:G))</f>
        <v>46265</v>
      </c>
      <c r="J199" s="140">
        <f>IF(Q199="",H199+30,_xlfn.XLOOKUP(Q199,'Shipment Control'!A:A,'Shipment Control'!H:H))</f>
        <v>46265</v>
      </c>
      <c r="K199" s="140">
        <v>46265</v>
      </c>
      <c r="L199" s="212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99">
        <f t="shared" si="5"/>
        <v>57</v>
      </c>
      <c r="P199" s="213">
        <f>_xlfn.XLOOKUP(M199,'Case Pack'!A:A,'Case Pack'!H:H)*O199</f>
        <v>8.96698666666667</v>
      </c>
      <c r="Q199" s="6" t="s">
        <v>242</v>
      </c>
      <c r="R199" s="6" t="s">
        <v>243</v>
      </c>
      <c r="S199" s="6" t="s">
        <v>244</v>
      </c>
    </row>
    <row r="200" spans="1:19">
      <c r="A200" s="211">
        <v>46202</v>
      </c>
      <c r="B200" s="6" t="str">
        <f>VLOOKUP(C200,'Product List'!A:C,3,0)</f>
        <v>Bubble water bottle (color:green)</v>
      </c>
      <c r="C200" s="129" t="s">
        <v>80</v>
      </c>
      <c r="D200" s="173">
        <f>VLOOKUP(C200,'Product List'!A:B,2,0)</f>
        <v>634413994429</v>
      </c>
      <c r="E200" s="201"/>
      <c r="F200" s="214" t="s">
        <v>235</v>
      </c>
      <c r="G200" s="99">
        <v>684</v>
      </c>
      <c r="H200" s="212">
        <v>46237</v>
      </c>
      <c r="I200" s="212">
        <f>IF(Q200="","",_xlfn.XLOOKUP(Q200,'Shipment Control'!A:A,'Shipment Control'!G:G))</f>
        <v>46265</v>
      </c>
      <c r="J200" s="140">
        <f>IF(Q200="",H200+30,_xlfn.XLOOKUP(Q200,'Shipment Control'!A:A,'Shipment Control'!H:H))</f>
        <v>46265</v>
      </c>
      <c r="K200" s="140">
        <v>46265</v>
      </c>
      <c r="L200" s="212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99">
        <f t="shared" si="5"/>
        <v>38</v>
      </c>
      <c r="P200" s="213">
        <f>_xlfn.XLOOKUP(M200,'Case Pack'!A:A,'Case Pack'!H:H)*O200</f>
        <v>2.78972918518519</v>
      </c>
      <c r="Q200" s="6" t="s">
        <v>242</v>
      </c>
      <c r="R200" s="6" t="s">
        <v>243</v>
      </c>
      <c r="S200" s="6" t="s">
        <v>244</v>
      </c>
    </row>
    <row r="201" spans="1:19">
      <c r="A201" s="211">
        <v>46202</v>
      </c>
      <c r="B201" s="6" t="str">
        <f>VLOOKUP(C201,'Product List'!A:C,3,0)</f>
        <v>MINI/MOE TV VIEWING CAGE</v>
      </c>
      <c r="C201" s="129" t="s">
        <v>27</v>
      </c>
      <c r="D201" s="173">
        <f>VLOOKUP(C201,'Product List'!A:B,2,0)</f>
        <v>850030338761</v>
      </c>
      <c r="E201" s="201"/>
      <c r="F201" s="214" t="s">
        <v>235</v>
      </c>
      <c r="G201" s="99">
        <v>350</v>
      </c>
      <c r="H201" s="212">
        <v>46237</v>
      </c>
      <c r="I201" s="212">
        <f>IF(Q201="","",_xlfn.XLOOKUP(Q201,'Shipment Control'!A:A,'Shipment Control'!G:G))</f>
        <v>46265</v>
      </c>
      <c r="J201" s="140">
        <f>IF(Q201="",H201+30,_xlfn.XLOOKUP(Q201,'Shipment Control'!A:A,'Shipment Control'!H:H))</f>
        <v>46265</v>
      </c>
      <c r="K201" s="140">
        <v>46265</v>
      </c>
      <c r="L201" s="212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99">
        <f t="shared" si="5"/>
        <v>350</v>
      </c>
      <c r="P201" s="213">
        <f>_xlfn.XLOOKUP(M201,'Case Pack'!A:A,'Case Pack'!H:H)*O201</f>
        <v>25.8917610466667</v>
      </c>
      <c r="Q201" s="6" t="s">
        <v>236</v>
      </c>
      <c r="R201" s="6" t="s">
        <v>237</v>
      </c>
      <c r="S201" s="6" t="s">
        <v>238</v>
      </c>
    </row>
    <row r="202" spans="1:19">
      <c r="A202" s="211">
        <v>46202</v>
      </c>
      <c r="B202" s="6" t="str">
        <f>VLOOKUP(C202,'Product List'!A:C,3,0)</f>
        <v>Modern Viewing Cage (100cm)</v>
      </c>
      <c r="C202" s="129" t="s">
        <v>99</v>
      </c>
      <c r="D202" s="173">
        <f>VLOOKUP(C202,'Product List'!A:B,2,0)</f>
        <v>850030338358</v>
      </c>
      <c r="E202" s="201"/>
      <c r="F202" s="214" t="s">
        <v>235</v>
      </c>
      <c r="G202" s="99">
        <v>200</v>
      </c>
      <c r="H202" s="212">
        <v>46237</v>
      </c>
      <c r="I202" s="212">
        <f>IF(Q202="","",_xlfn.XLOOKUP(Q202,'Shipment Control'!A:A,'Shipment Control'!G:G))</f>
        <v>46265</v>
      </c>
      <c r="J202" s="140">
        <f>IF(Q202="",H202+30,_xlfn.XLOOKUP(Q202,'Shipment Control'!A:A,'Shipment Control'!H:H))</f>
        <v>46265</v>
      </c>
      <c r="K202" s="140">
        <v>46265</v>
      </c>
      <c r="L202" s="212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99">
        <f t="shared" si="5"/>
        <v>200</v>
      </c>
      <c r="P202" s="213" t="e">
        <f>_xlfn.XLOOKUP(M202,'Case Pack'!A:A,'Case Pack'!H:H)*O202</f>
        <v>#N/A</v>
      </c>
      <c r="Q202" s="201" t="s">
        <v>239</v>
      </c>
      <c r="R202" s="201" t="s">
        <v>240</v>
      </c>
      <c r="S202" s="201" t="s">
        <v>241</v>
      </c>
    </row>
    <row r="203" spans="1:19">
      <c r="A203" s="211">
        <v>46202</v>
      </c>
      <c r="B203" s="6" t="str">
        <f>VLOOKUP(C203,'Product List'!A:C,3,0)</f>
        <v>Silent Crystal Running Wheel XL</v>
      </c>
      <c r="C203" s="129" t="s">
        <v>98</v>
      </c>
      <c r="D203" s="173">
        <f>VLOOKUP(C203,'Product List'!A:B,2,0)</f>
        <v>850030338501</v>
      </c>
      <c r="E203" s="201"/>
      <c r="F203" s="214" t="s">
        <v>235</v>
      </c>
      <c r="G203" s="99">
        <v>316</v>
      </c>
      <c r="H203" s="212">
        <v>46237</v>
      </c>
      <c r="I203" s="212">
        <f>IF(Q203="","",_xlfn.XLOOKUP(Q203,'Shipment Control'!A:A,'Shipment Control'!G:G))</f>
        <v>46265</v>
      </c>
      <c r="J203" s="140">
        <f>IF(Q203="",H203+30,_xlfn.XLOOKUP(Q203,'Shipment Control'!A:A,'Shipment Control'!H:H))</f>
        <v>46265</v>
      </c>
      <c r="K203" s="140">
        <v>46265</v>
      </c>
      <c r="L203" s="212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99">
        <f t="shared" si="5"/>
        <v>79</v>
      </c>
      <c r="P203" s="213" t="e">
        <f>_xlfn.XLOOKUP(M203,'Case Pack'!A:A,'Case Pack'!H:H)*O203</f>
        <v>#N/A</v>
      </c>
      <c r="Q203" s="6" t="s">
        <v>242</v>
      </c>
      <c r="R203" s="6" t="s">
        <v>243</v>
      </c>
      <c r="S203" s="6" t="s">
        <v>244</v>
      </c>
    </row>
    <row r="204" spans="1:19">
      <c r="A204" s="211">
        <v>46202</v>
      </c>
      <c r="B204" s="6" t="str">
        <f>VLOOKUP(C204,'Product List'!A:C,3,0)</f>
        <v>triangle-shaped rabbit toilet(big)</v>
      </c>
      <c r="C204" s="161" t="s">
        <v>95</v>
      </c>
      <c r="D204" s="173">
        <f>VLOOKUP(C204,'Product List'!A:B,2,0)</f>
        <v>698746776572</v>
      </c>
      <c r="E204" s="201"/>
      <c r="F204" s="214" t="s">
        <v>235</v>
      </c>
      <c r="G204" s="99">
        <v>460</v>
      </c>
      <c r="H204" s="212">
        <v>46237</v>
      </c>
      <c r="I204" s="212">
        <f>IF(Q204="","",_xlfn.XLOOKUP(Q204,'Shipment Control'!A:A,'Shipment Control'!G:G))</f>
        <v>46265</v>
      </c>
      <c r="J204" s="140">
        <f>IF(Q204="",H204+30,_xlfn.XLOOKUP(Q204,'Shipment Control'!A:A,'Shipment Control'!H:H))</f>
        <v>46265</v>
      </c>
      <c r="K204" s="140">
        <v>46265</v>
      </c>
      <c r="L204" s="212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99">
        <f t="shared" si="5"/>
        <v>23</v>
      </c>
      <c r="P204" s="213" t="e">
        <f>_xlfn.XLOOKUP(M204,'Case Pack'!A:A,'Case Pack'!H:H)*O204</f>
        <v>#N/A</v>
      </c>
      <c r="Q204" s="201" t="s">
        <v>239</v>
      </c>
      <c r="R204" s="201" t="s">
        <v>240</v>
      </c>
      <c r="S204" s="201" t="s">
        <v>241</v>
      </c>
    </row>
    <row r="205" spans="1:19">
      <c r="A205" s="211">
        <v>46202</v>
      </c>
      <c r="B205" s="6" t="str">
        <f>VLOOKUP(C205,'Product List'!A:C,3,0)</f>
        <v>D. MMO-COTTAGE VIEW CAGE</v>
      </c>
      <c r="C205" s="129" t="s">
        <v>57</v>
      </c>
      <c r="D205" s="173">
        <f>VLOOKUP(C205,'Product List'!A:B,2,0)</f>
        <v>850030338730</v>
      </c>
      <c r="E205" s="201"/>
      <c r="F205" s="214" t="s">
        <v>235</v>
      </c>
      <c r="G205" s="99">
        <v>200</v>
      </c>
      <c r="H205" s="212">
        <v>46237</v>
      </c>
      <c r="I205" s="212">
        <f>IF(Q205="","",_xlfn.XLOOKUP(Q205,'Shipment Control'!A:A,'Shipment Control'!G:G))</f>
        <v>46265</v>
      </c>
      <c r="J205" s="140">
        <f>IF(Q205="",H205+30,_xlfn.XLOOKUP(Q205,'Shipment Control'!A:A,'Shipment Control'!H:H))</f>
        <v>46265</v>
      </c>
      <c r="K205" s="140">
        <v>46265</v>
      </c>
      <c r="L205" s="212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99">
        <f t="shared" si="5"/>
        <v>200</v>
      </c>
      <c r="P205" s="213">
        <f>_xlfn.XLOOKUP(M205,'Case Pack'!A:A,'Case Pack'!H:H)*O205</f>
        <v>28.4411532272</v>
      </c>
      <c r="Q205" s="201" t="s">
        <v>239</v>
      </c>
      <c r="R205" s="201" t="s">
        <v>240</v>
      </c>
      <c r="S205" s="201" t="s">
        <v>241</v>
      </c>
    </row>
    <row r="206" spans="1:19">
      <c r="A206" s="211">
        <v>46202</v>
      </c>
      <c r="B206" s="6" t="str">
        <f>VLOOKUP(C206,'Product List'!A:C,3,0)</f>
        <v>XL Garden Travel Cage</v>
      </c>
      <c r="C206" s="129" t="s">
        <v>97</v>
      </c>
      <c r="D206" s="173">
        <f>VLOOKUP(C206,'Product List'!A:B,2,0)</f>
        <v>698746776664</v>
      </c>
      <c r="E206" s="201"/>
      <c r="F206" s="214" t="s">
        <v>235</v>
      </c>
      <c r="G206" s="99">
        <v>372</v>
      </c>
      <c r="H206" s="212">
        <v>46237</v>
      </c>
      <c r="I206" s="212">
        <f>IF(Q206="","",_xlfn.XLOOKUP(Q206,'Shipment Control'!A:A,'Shipment Control'!G:G))</f>
        <v>46265</v>
      </c>
      <c r="J206" s="140">
        <f>IF(Q206="",H206+30,_xlfn.XLOOKUP(Q206,'Shipment Control'!A:A,'Shipment Control'!H:H))</f>
        <v>46265</v>
      </c>
      <c r="K206" s="140">
        <v>46265</v>
      </c>
      <c r="L206" s="212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99">
        <f t="shared" si="5"/>
        <v>93</v>
      </c>
      <c r="P206" s="213" t="e">
        <f>_xlfn.XLOOKUP(M206,'Case Pack'!A:A,'Case Pack'!H:H)*O206</f>
        <v>#N/A</v>
      </c>
      <c r="Q206" s="6" t="s">
        <v>242</v>
      </c>
      <c r="R206" s="6" t="s">
        <v>243</v>
      </c>
      <c r="S206" s="6" t="s">
        <v>244</v>
      </c>
    </row>
    <row r="207" spans="1:19">
      <c r="A207" s="211">
        <v>46202</v>
      </c>
      <c r="B207" s="6" t="str">
        <f>VLOOKUP(C207,'Product List'!A:C,3,0)</f>
        <v>XL Garden Travel Cage</v>
      </c>
      <c r="C207" s="129" t="s">
        <v>96</v>
      </c>
      <c r="D207" s="173">
        <f>VLOOKUP(C207,'Product List'!A:B,2,0)</f>
        <v>698746776671</v>
      </c>
      <c r="E207" s="201"/>
      <c r="F207" s="214" t="s">
        <v>235</v>
      </c>
      <c r="G207" s="99">
        <v>408</v>
      </c>
      <c r="H207" s="212">
        <v>46237</v>
      </c>
      <c r="I207" s="212">
        <f>IF(Q207="","",_xlfn.XLOOKUP(Q207,'Shipment Control'!A:A,'Shipment Control'!G:G))</f>
        <v>46265</v>
      </c>
      <c r="J207" s="140">
        <f>IF(Q207="",H207+30,_xlfn.XLOOKUP(Q207,'Shipment Control'!A:A,'Shipment Control'!H:H))</f>
        <v>46265</v>
      </c>
      <c r="K207" s="140">
        <v>46265</v>
      </c>
      <c r="L207" s="212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99">
        <f t="shared" si="5"/>
        <v>102</v>
      </c>
      <c r="P207" s="213" t="e">
        <f>_xlfn.XLOOKUP(M207,'Case Pack'!A:A,'Case Pack'!H:H)*O207</f>
        <v>#N/A</v>
      </c>
      <c r="Q207" s="6" t="s">
        <v>242</v>
      </c>
      <c r="R207" s="6" t="s">
        <v>243</v>
      </c>
      <c r="S207" s="6" t="s">
        <v>244</v>
      </c>
    </row>
    <row r="208" spans="1:19">
      <c r="A208" s="211">
        <v>46202</v>
      </c>
      <c r="B208" s="6" t="str">
        <f>VLOOKUP(C208,'Product List'!A:C,3,0)</f>
        <v>XL Garden Travel Cage</v>
      </c>
      <c r="C208" s="129" t="s">
        <v>101</v>
      </c>
      <c r="D208" s="173">
        <f>VLOOKUP(C208,'Product List'!A:B,2,0)</f>
        <v>760762457060</v>
      </c>
      <c r="E208" s="201"/>
      <c r="F208" s="214" t="s">
        <v>235</v>
      </c>
      <c r="G208" s="99">
        <v>220</v>
      </c>
      <c r="H208" s="212">
        <v>46237</v>
      </c>
      <c r="I208" s="212">
        <f>IF(Q208="","",_xlfn.XLOOKUP(Q208,'Shipment Control'!A:A,'Shipment Control'!G:G))</f>
        <v>46265</v>
      </c>
      <c r="J208" s="140">
        <f>IF(Q208="",H208+30,_xlfn.XLOOKUP(Q208,'Shipment Control'!A:A,'Shipment Control'!H:H))</f>
        <v>46265</v>
      </c>
      <c r="K208" s="140">
        <v>46265</v>
      </c>
      <c r="L208" s="212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99">
        <f t="shared" si="5"/>
        <v>55</v>
      </c>
      <c r="P208" s="213" t="e">
        <f>_xlfn.XLOOKUP(M208,'Case Pack'!A:A,'Case Pack'!H:H)*O208</f>
        <v>#N/A</v>
      </c>
      <c r="Q208" s="6" t="s">
        <v>242</v>
      </c>
      <c r="R208" s="6" t="s">
        <v>243</v>
      </c>
      <c r="S208" s="6" t="s">
        <v>244</v>
      </c>
    </row>
    <row r="209" spans="1:19">
      <c r="A209" s="211">
        <v>46202</v>
      </c>
      <c r="B209" s="6" t="str">
        <f>VLOOKUP(C209,'Product List'!A:C,3,0)</f>
        <v>Crystal Outdoor Cage</v>
      </c>
      <c r="C209" s="129" t="s">
        <v>93</v>
      </c>
      <c r="D209" s="173">
        <f>VLOOKUP(C209,'Product List'!A:B,2,0)</f>
        <v>698746777111</v>
      </c>
      <c r="E209" s="201"/>
      <c r="F209" s="214" t="s">
        <v>235</v>
      </c>
      <c r="G209" s="99">
        <v>504</v>
      </c>
      <c r="H209" s="212">
        <v>46237</v>
      </c>
      <c r="I209" s="212">
        <f>IF(Q209="","",_xlfn.XLOOKUP(Q209,'Shipment Control'!A:A,'Shipment Control'!G:G))</f>
        <v>46265</v>
      </c>
      <c r="J209" s="140">
        <f>IF(Q209="",H209+30,_xlfn.XLOOKUP(Q209,'Shipment Control'!A:A,'Shipment Control'!H:H))</f>
        <v>46265</v>
      </c>
      <c r="K209" s="140">
        <v>46265</v>
      </c>
      <c r="L209" s="212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99">
        <f t="shared" si="5"/>
        <v>42</v>
      </c>
      <c r="P209" s="213" t="e">
        <f>_xlfn.XLOOKUP(M209,'Case Pack'!A:A,'Case Pack'!H:H)*O209</f>
        <v>#N/A</v>
      </c>
      <c r="Q209" s="201" t="s">
        <v>239</v>
      </c>
      <c r="R209" s="201" t="s">
        <v>240</v>
      </c>
      <c r="S209" s="201" t="s">
        <v>241</v>
      </c>
    </row>
    <row r="210" spans="1:19">
      <c r="A210" s="211">
        <v>46202</v>
      </c>
      <c r="B210" s="6" t="str">
        <f>VLOOKUP(C210,'Product List'!A:C,3,0)</f>
        <v>Crystal Outdoor Cage</v>
      </c>
      <c r="C210" s="129" t="s">
        <v>94</v>
      </c>
      <c r="D210" s="173">
        <f>VLOOKUP(C210,'Product List'!A:B,2,0)</f>
        <v>698746777128</v>
      </c>
      <c r="E210" s="201"/>
      <c r="F210" s="214" t="s">
        <v>235</v>
      </c>
      <c r="G210" s="99">
        <v>504</v>
      </c>
      <c r="H210" s="212">
        <v>46237</v>
      </c>
      <c r="I210" s="212">
        <f>IF(Q210="","",_xlfn.XLOOKUP(Q210,'Shipment Control'!A:A,'Shipment Control'!G:G))</f>
        <v>46265</v>
      </c>
      <c r="J210" s="140">
        <f>IF(Q210="",H210+30,_xlfn.XLOOKUP(Q210,'Shipment Control'!A:A,'Shipment Control'!H:H))</f>
        <v>46265</v>
      </c>
      <c r="K210" s="140">
        <v>46265</v>
      </c>
      <c r="L210" s="212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99">
        <f t="shared" si="5"/>
        <v>42</v>
      </c>
      <c r="P210" s="213" t="e">
        <f>_xlfn.XLOOKUP(M210,'Case Pack'!A:A,'Case Pack'!H:H)*O210</f>
        <v>#N/A</v>
      </c>
      <c r="Q210" s="201" t="s">
        <v>239</v>
      </c>
      <c r="R210" s="201" t="s">
        <v>240</v>
      </c>
      <c r="S210" s="201" t="s">
        <v>241</v>
      </c>
    </row>
    <row r="211" spans="1:19">
      <c r="A211" s="211">
        <v>46202</v>
      </c>
      <c r="B211" s="6" t="str">
        <f>VLOOKUP(C211,'Product List'!A:C,3,0)</f>
        <v>MINI/MOE TV VIEWING CAGE</v>
      </c>
      <c r="C211" s="129" t="s">
        <v>27</v>
      </c>
      <c r="D211" s="173">
        <f>VLOOKUP(C211,'Product List'!A:B,2,0)</f>
        <v>850030338761</v>
      </c>
      <c r="E211" s="201"/>
      <c r="F211" s="226" t="s">
        <v>245</v>
      </c>
      <c r="G211" s="162">
        <v>260</v>
      </c>
      <c r="H211" s="227">
        <v>46226</v>
      </c>
      <c r="I211" s="209" t="s">
        <v>142</v>
      </c>
      <c r="J211" s="140">
        <v>46230</v>
      </c>
      <c r="K211" s="140">
        <v>46230</v>
      </c>
      <c r="L211" s="212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99">
        <f t="shared" si="5"/>
        <v>260</v>
      </c>
      <c r="P211" s="213">
        <f>_xlfn.XLOOKUP(M211,'Case Pack'!A:A,'Case Pack'!H:H)*O211</f>
        <v>19.2338796346667</v>
      </c>
      <c r="Q211" s="201"/>
      <c r="R211" s="201"/>
      <c r="S211" s="201"/>
    </row>
    <row r="212" spans="1:19">
      <c r="A212" s="211">
        <v>46202</v>
      </c>
      <c r="B212" s="6" t="str">
        <f>VLOOKUP(C212,'Product List'!A:C,3,0)</f>
        <v>M&amp;M Modern Viewing Cage 80x50x50</v>
      </c>
      <c r="C212" s="129" t="s">
        <v>108</v>
      </c>
      <c r="D212" s="173">
        <f>VLOOKUP(C212,'Product List'!A:B,2,0)</f>
        <v>850030338914</v>
      </c>
      <c r="E212" s="201"/>
      <c r="F212" s="226" t="s">
        <v>245</v>
      </c>
      <c r="G212" s="162">
        <v>100</v>
      </c>
      <c r="H212" s="227">
        <v>46226</v>
      </c>
      <c r="I212" s="209" t="s">
        <v>142</v>
      </c>
      <c r="J212" s="140">
        <v>46230</v>
      </c>
      <c r="K212" s="140">
        <v>46230</v>
      </c>
      <c r="L212" s="212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99">
        <f t="shared" si="5"/>
        <v>100</v>
      </c>
      <c r="P212" s="213" t="e">
        <f>_xlfn.XLOOKUP(M212,'Case Pack'!A:A,'Case Pack'!H:H)*O212</f>
        <v>#N/A</v>
      </c>
      <c r="Q212" s="201"/>
      <c r="R212" s="201"/>
      <c r="S212" s="201"/>
    </row>
    <row r="213" spans="1:19">
      <c r="A213" s="211">
        <v>46202</v>
      </c>
      <c r="B213" s="6" t="str">
        <f>VLOOKUP(C213,'Product List'!A:C,3,0)</f>
        <v>Modern Viewing Cage (100cm)</v>
      </c>
      <c r="C213" s="129" t="s">
        <v>99</v>
      </c>
      <c r="D213" s="173">
        <f>VLOOKUP(C213,'Product List'!A:B,2,0)</f>
        <v>850030338358</v>
      </c>
      <c r="E213" s="201"/>
      <c r="F213" s="226" t="s">
        <v>245</v>
      </c>
      <c r="G213" s="162">
        <v>60</v>
      </c>
      <c r="H213" s="227">
        <v>46226</v>
      </c>
      <c r="I213" s="209" t="s">
        <v>142</v>
      </c>
      <c r="J213" s="140">
        <v>46230</v>
      </c>
      <c r="K213" s="140">
        <v>46230</v>
      </c>
      <c r="L213" s="212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99">
        <f t="shared" si="5"/>
        <v>60</v>
      </c>
      <c r="P213" s="213" t="e">
        <f>_xlfn.XLOOKUP(M213,'Case Pack'!A:A,'Case Pack'!H:H)*O213</f>
        <v>#N/A</v>
      </c>
      <c r="Q213" s="201"/>
      <c r="R213" s="201"/>
      <c r="S213" s="201"/>
    </row>
    <row r="214" spans="1:19">
      <c r="A214" s="211">
        <v>46202</v>
      </c>
      <c r="B214" s="6" t="str">
        <f>VLOOKUP(C214,'Product List'!A:C,3,0)</f>
        <v>Little Devil Travel Cage</v>
      </c>
      <c r="C214" s="129" t="s">
        <v>58</v>
      </c>
      <c r="D214" s="173">
        <f>VLOOKUP(C214,'Product List'!A:B,2,0)</f>
        <v>850030338921</v>
      </c>
      <c r="E214" s="201"/>
      <c r="F214" s="226" t="s">
        <v>245</v>
      </c>
      <c r="G214" s="162">
        <v>18</v>
      </c>
      <c r="H214" s="227">
        <v>46226</v>
      </c>
      <c r="I214" s="209" t="s">
        <v>142</v>
      </c>
      <c r="J214" s="140">
        <v>46230</v>
      </c>
      <c r="K214" s="140">
        <v>46230</v>
      </c>
      <c r="L214" s="212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99">
        <f t="shared" si="5"/>
        <v>1</v>
      </c>
      <c r="P214" s="213">
        <f>_xlfn.XLOOKUP(M214,'Case Pack'!A:A,'Case Pack'!H:H)*O214</f>
        <v>0.157315555555556</v>
      </c>
      <c r="Q214" s="201"/>
      <c r="R214" s="201"/>
      <c r="S214" s="201"/>
    </row>
    <row r="215" spans="1:19">
      <c r="A215" s="211">
        <v>46202</v>
      </c>
      <c r="B215" s="6" t="str">
        <f>VLOOKUP(C215,'Product List'!A:C,3,0)</f>
        <v>Crystal Outdoor Cage</v>
      </c>
      <c r="C215" s="129" t="s">
        <v>52</v>
      </c>
      <c r="D215" s="173">
        <f>VLOOKUP(C215,'Product List'!A:B,2,0)</f>
        <v>698746777579</v>
      </c>
      <c r="E215" s="201"/>
      <c r="F215" s="226" t="s">
        <v>245</v>
      </c>
      <c r="G215" s="162">
        <v>24</v>
      </c>
      <c r="H215" s="227">
        <v>46226</v>
      </c>
      <c r="I215" s="209" t="s">
        <v>142</v>
      </c>
      <c r="J215" s="140">
        <v>46230</v>
      </c>
      <c r="K215" s="140">
        <v>46230</v>
      </c>
      <c r="L215" s="212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99">
        <f t="shared" si="5"/>
        <v>4.8</v>
      </c>
      <c r="P215" s="213">
        <f>_xlfn.XLOOKUP(M215,'Case Pack'!A:A,'Case Pack'!H:H)*O215</f>
        <v>0.528580266666667</v>
      </c>
      <c r="Q215" s="201"/>
      <c r="R215" s="201"/>
      <c r="S215" s="201"/>
    </row>
    <row r="216" spans="1:19">
      <c r="A216" s="211">
        <v>46202</v>
      </c>
      <c r="B216" s="6" t="str">
        <f>VLOOKUP(C216,'Product List'!A:C,3,0)</f>
        <v>Cotton multi color bedding</v>
      </c>
      <c r="C216" s="129" t="s">
        <v>50</v>
      </c>
      <c r="D216" s="173">
        <f>VLOOKUP(C216,'Product List'!A:B,2,0)</f>
        <v>698746777067</v>
      </c>
      <c r="E216" s="201"/>
      <c r="F216" s="226" t="s">
        <v>245</v>
      </c>
      <c r="G216" s="162">
        <v>600</v>
      </c>
      <c r="H216" s="227">
        <v>46226</v>
      </c>
      <c r="I216" s="209" t="s">
        <v>142</v>
      </c>
      <c r="J216" s="140">
        <v>46230</v>
      </c>
      <c r="K216" s="140">
        <v>46230</v>
      </c>
      <c r="L216" s="212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99">
        <f t="shared" si="5"/>
        <v>18.75</v>
      </c>
      <c r="P216" s="213">
        <f>_xlfn.XLOOKUP(M216,'Case Pack'!A:A,'Case Pack'!H:H)*O216</f>
        <v>2.06476666666667</v>
      </c>
      <c r="Q216" s="201"/>
      <c r="R216" s="201"/>
      <c r="S216" s="201"/>
    </row>
    <row r="217" spans="1:19">
      <c r="A217" s="211">
        <v>46202</v>
      </c>
      <c r="B217" s="6" t="str">
        <f>VLOOKUP(C217,'Product List'!A:C,3,0)</f>
        <v>M&amp;M Silent Crystal Running Wheel 8.5" - Blue</v>
      </c>
      <c r="C217" s="129" t="s">
        <v>117</v>
      </c>
      <c r="D217" s="173">
        <f>VLOOKUP(C217,'Product List'!A:B,2,0)</f>
        <v>850062627673</v>
      </c>
      <c r="E217" s="201"/>
      <c r="F217" s="226" t="s">
        <v>245</v>
      </c>
      <c r="G217" s="162">
        <v>8</v>
      </c>
      <c r="H217" s="227">
        <v>46226</v>
      </c>
      <c r="I217" s="209" t="s">
        <v>142</v>
      </c>
      <c r="J217" s="140">
        <v>46230</v>
      </c>
      <c r="K217" s="140">
        <v>46230</v>
      </c>
      <c r="L217" s="212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99">
        <f t="shared" si="5"/>
        <v>1</v>
      </c>
      <c r="P217" s="213">
        <f>_xlfn.XLOOKUP(M217,'Case Pack'!A:A,'Case Pack'!H:H)*O217</f>
        <v>0.157315555555556</v>
      </c>
      <c r="Q217" s="201"/>
      <c r="R217" s="201"/>
      <c r="S217" s="201"/>
    </row>
    <row r="218" spans="1:19">
      <c r="A218" s="211">
        <v>46202</v>
      </c>
      <c r="B218" s="6" t="str">
        <f>VLOOKUP(C218,'Product List'!A:C,3,0)</f>
        <v>M&amp;M Silent Crystal Running Wheel 8.5" - Clear</v>
      </c>
      <c r="C218" s="129" t="s">
        <v>104</v>
      </c>
      <c r="D218" s="173">
        <f>VLOOKUP(C218,'Product List'!A:B,2,0)</f>
        <v>850062627710</v>
      </c>
      <c r="E218" s="201"/>
      <c r="F218" s="226" t="s">
        <v>245</v>
      </c>
      <c r="G218" s="162">
        <v>208</v>
      </c>
      <c r="H218" s="227">
        <v>46226</v>
      </c>
      <c r="I218" s="209" t="s">
        <v>142</v>
      </c>
      <c r="J218" s="140">
        <v>46230</v>
      </c>
      <c r="K218" s="140">
        <v>46230</v>
      </c>
      <c r="L218" s="212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99">
        <f t="shared" si="5"/>
        <v>26</v>
      </c>
      <c r="P218" s="213">
        <f>_xlfn.XLOOKUP(M218,'Case Pack'!A:A,'Case Pack'!H:H)*O218</f>
        <v>4.09020444444444</v>
      </c>
      <c r="Q218" s="201"/>
      <c r="R218" s="201"/>
      <c r="S218" s="201"/>
    </row>
    <row r="219" spans="1:19">
      <c r="A219" s="211">
        <v>46202</v>
      </c>
      <c r="B219" s="6" t="str">
        <f>VLOOKUP(C219,'Product List'!A:C,3,0)</f>
        <v>Silent Crystal Running Wheel XL</v>
      </c>
      <c r="C219" s="129" t="s">
        <v>56</v>
      </c>
      <c r="D219" s="173">
        <f>VLOOKUP(C219,'Product List'!A:B,2,0)</f>
        <v>850030338464</v>
      </c>
      <c r="E219" s="201"/>
      <c r="F219" s="226" t="s">
        <v>245</v>
      </c>
      <c r="G219" s="162">
        <v>4</v>
      </c>
      <c r="H219" s="227">
        <v>46226</v>
      </c>
      <c r="I219" s="209" t="s">
        <v>142</v>
      </c>
      <c r="J219" s="140">
        <v>46230</v>
      </c>
      <c r="K219" s="140">
        <v>46230</v>
      </c>
      <c r="L219" s="212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99">
        <f t="shared" si="5"/>
        <v>1.33333333333333</v>
      </c>
      <c r="P219" s="213">
        <f>_xlfn.XLOOKUP(M219,'Case Pack'!A:A,'Case Pack'!H:H)*O219</f>
        <v>0.209754074074074</v>
      </c>
      <c r="Q219" s="201"/>
      <c r="R219" s="201"/>
      <c r="S219" s="201"/>
    </row>
    <row r="220" spans="1:19">
      <c r="A220" s="211">
        <v>46202</v>
      </c>
      <c r="B220" s="6" t="str">
        <f>VLOOKUP(C220,'Product List'!A:C,3,0)</f>
        <v>Silent Crystal Running Wheel XL</v>
      </c>
      <c r="C220" s="129" t="s">
        <v>98</v>
      </c>
      <c r="D220" s="173">
        <f>VLOOKUP(C220,'Product List'!A:B,2,0)</f>
        <v>850030338501</v>
      </c>
      <c r="E220" s="201"/>
      <c r="F220" s="226" t="s">
        <v>245</v>
      </c>
      <c r="G220" s="162">
        <v>20</v>
      </c>
      <c r="H220" s="227">
        <v>46226</v>
      </c>
      <c r="I220" s="209" t="s">
        <v>142</v>
      </c>
      <c r="J220" s="140">
        <v>46230</v>
      </c>
      <c r="K220" s="140">
        <v>46230</v>
      </c>
      <c r="L220" s="212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99">
        <f t="shared" si="5"/>
        <v>5</v>
      </c>
      <c r="P220" s="213" t="e">
        <f>_xlfn.XLOOKUP(M220,'Case Pack'!A:A,'Case Pack'!H:H)*O220</f>
        <v>#N/A</v>
      </c>
      <c r="Q220" s="201"/>
      <c r="R220" s="201"/>
      <c r="S220" s="201"/>
    </row>
    <row r="221" spans="1:19">
      <c r="A221" s="211">
        <v>46202</v>
      </c>
      <c r="B221" s="6" t="str">
        <f>VLOOKUP(C221,'Product List'!A:C,3,0)</f>
        <v>MINI/MOE SILENT CRSTL RUN WHEEL XL 11.5 1EA</v>
      </c>
      <c r="C221" s="129" t="s">
        <v>31</v>
      </c>
      <c r="D221" s="173">
        <f>VLOOKUP(C221,'Product List'!A:B,2,0)</f>
        <v>850030338518</v>
      </c>
      <c r="E221" s="201"/>
      <c r="F221" s="226" t="s">
        <v>245</v>
      </c>
      <c r="G221" s="162">
        <v>12</v>
      </c>
      <c r="H221" s="227">
        <v>46226</v>
      </c>
      <c r="I221" s="209" t="s">
        <v>142</v>
      </c>
      <c r="J221" s="140">
        <v>46230</v>
      </c>
      <c r="K221" s="140">
        <v>46230</v>
      </c>
      <c r="L221" s="212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99">
        <f t="shared" si="5"/>
        <v>4</v>
      </c>
      <c r="P221" s="213">
        <f>_xlfn.XLOOKUP(M221,'Case Pack'!A:A,'Case Pack'!H:H)*O221</f>
        <v>0.629262222222222</v>
      </c>
      <c r="Q221" s="201"/>
      <c r="R221" s="201"/>
      <c r="S221" s="201"/>
    </row>
    <row r="222" spans="1:19">
      <c r="A222" s="211">
        <v>46202</v>
      </c>
      <c r="B222" s="6" t="str">
        <f>VLOOKUP(C222,'Product List'!A:C,3,0)</f>
        <v>M&amp;M Silent Crystal Running Wheel XL - Blue</v>
      </c>
      <c r="C222" s="129" t="s">
        <v>115</v>
      </c>
      <c r="D222" s="173">
        <f>VLOOKUP(C222,'Product List'!A:B,2,0)</f>
        <v>850030338495</v>
      </c>
      <c r="E222" s="201"/>
      <c r="F222" s="226" t="s">
        <v>245</v>
      </c>
      <c r="G222" s="162">
        <v>24</v>
      </c>
      <c r="H222" s="227">
        <v>46226</v>
      </c>
      <c r="I222" s="209" t="s">
        <v>142</v>
      </c>
      <c r="J222" s="140">
        <v>46230</v>
      </c>
      <c r="K222" s="140">
        <v>46230</v>
      </c>
      <c r="L222" s="212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99">
        <f t="shared" si="5"/>
        <v>8</v>
      </c>
      <c r="P222" s="213">
        <f>_xlfn.XLOOKUP(M222,'Case Pack'!A:A,'Case Pack'!H:H)*O222</f>
        <v>1.25852444444444</v>
      </c>
      <c r="Q222" s="201"/>
      <c r="R222" s="201"/>
      <c r="S222" s="201"/>
    </row>
    <row r="223" spans="1:19">
      <c r="A223" s="211">
        <v>46202</v>
      </c>
      <c r="B223" s="6" t="str">
        <f>VLOOKUP(C223,'Product List'!A:C,3,0)</f>
        <v>MMO-CLOUD WATER BOTTLE</v>
      </c>
      <c r="C223" s="129" t="s">
        <v>37</v>
      </c>
      <c r="D223" s="173">
        <f>VLOOKUP(C223,'Product List'!A:B,2,0)</f>
        <v>850030338112</v>
      </c>
      <c r="E223" s="201"/>
      <c r="F223" s="226" t="s">
        <v>245</v>
      </c>
      <c r="G223" s="162">
        <v>240</v>
      </c>
      <c r="H223" s="227">
        <v>46226</v>
      </c>
      <c r="I223" s="209" t="s">
        <v>142</v>
      </c>
      <c r="J223" s="140">
        <v>46230</v>
      </c>
      <c r="K223" s="140">
        <v>46230</v>
      </c>
      <c r="L223" s="212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99">
        <f t="shared" si="5"/>
        <v>4.8</v>
      </c>
      <c r="P223" s="213">
        <f>_xlfn.XLOOKUP(M223,'Case Pack'!A:A,'Case Pack'!H:H)*O223</f>
        <v>0.528580266666667</v>
      </c>
      <c r="Q223" s="201"/>
      <c r="R223" s="201"/>
      <c r="S223" s="201"/>
    </row>
    <row r="224" spans="1:19">
      <c r="A224" s="211">
        <v>46202</v>
      </c>
      <c r="B224" s="6" t="str">
        <f>VLOOKUP(C224,'Product List'!A:C,3,0)</f>
        <v>MINI/MOE CAMPING TENT HIDE</v>
      </c>
      <c r="C224" s="129" t="s">
        <v>25</v>
      </c>
      <c r="D224" s="173">
        <f>VLOOKUP(C224,'Product List'!A:B,2,0)</f>
        <v>850030338082</v>
      </c>
      <c r="E224" s="201"/>
      <c r="F224" s="226" t="s">
        <v>245</v>
      </c>
      <c r="G224" s="162">
        <v>96</v>
      </c>
      <c r="H224" s="227">
        <v>46226</v>
      </c>
      <c r="I224" s="209" t="s">
        <v>142</v>
      </c>
      <c r="J224" s="140">
        <v>46230</v>
      </c>
      <c r="K224" s="140">
        <v>46230</v>
      </c>
      <c r="L224" s="212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99">
        <f t="shared" si="5"/>
        <v>8</v>
      </c>
      <c r="P224" s="213">
        <f>_xlfn.XLOOKUP(M224,'Case Pack'!A:A,'Case Pack'!H:H)*O224</f>
        <v>0.587311407407407</v>
      </c>
      <c r="Q224" s="201"/>
      <c r="R224" s="201"/>
      <c r="S224" s="201"/>
    </row>
    <row r="225" spans="1:19">
      <c r="A225" s="211">
        <v>46202</v>
      </c>
      <c r="B225" s="6" t="str">
        <f>VLOOKUP(C225,'Product List'!A:C,3,0)</f>
        <v>Simple Rabbit Bowl</v>
      </c>
      <c r="C225" s="129" t="s">
        <v>88</v>
      </c>
      <c r="D225" s="173">
        <f>VLOOKUP(C225,'Product List'!A:B,2,0)</f>
        <v>850062627383</v>
      </c>
      <c r="E225" s="201"/>
      <c r="F225" s="226" t="s">
        <v>245</v>
      </c>
      <c r="G225" s="162">
        <v>120</v>
      </c>
      <c r="H225" s="227">
        <v>46226</v>
      </c>
      <c r="I225" s="209" t="s">
        <v>142</v>
      </c>
      <c r="J225" s="140">
        <v>46230</v>
      </c>
      <c r="K225" s="140">
        <v>46230</v>
      </c>
      <c r="L225" s="212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99">
        <f t="shared" si="5"/>
        <v>2</v>
      </c>
      <c r="P225" s="213" t="e">
        <f>_xlfn.XLOOKUP(M225,'Case Pack'!A:A,'Case Pack'!H:H)*O225</f>
        <v>#N/A</v>
      </c>
      <c r="Q225" s="201"/>
      <c r="R225" s="201"/>
      <c r="S225" s="201"/>
    </row>
    <row r="226" spans="1:19">
      <c r="A226" s="211">
        <v>46202</v>
      </c>
      <c r="B226" s="6" t="str">
        <f>VLOOKUP(C226,'Product List'!A:C,3,0)</f>
        <v>Simple Rabbit Hay Feeder</v>
      </c>
      <c r="C226" s="129" t="s">
        <v>86</v>
      </c>
      <c r="D226" s="173">
        <f>VLOOKUP(C226,'Product List'!A:B,2,0)</f>
        <v>850062627390</v>
      </c>
      <c r="E226" s="201"/>
      <c r="F226" s="226" t="s">
        <v>245</v>
      </c>
      <c r="G226" s="162">
        <v>180</v>
      </c>
      <c r="H226" s="227">
        <v>46226</v>
      </c>
      <c r="I226" s="209" t="s">
        <v>142</v>
      </c>
      <c r="J226" s="140">
        <v>46230</v>
      </c>
      <c r="K226" s="140">
        <v>46230</v>
      </c>
      <c r="L226" s="212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99">
        <f t="shared" si="5"/>
        <v>5</v>
      </c>
      <c r="P226" s="213" t="e">
        <f>_xlfn.XLOOKUP(M226,'Case Pack'!A:A,'Case Pack'!H:H)*O226</f>
        <v>#N/A</v>
      </c>
      <c r="Q226" s="201"/>
      <c r="R226" s="201"/>
      <c r="S226" s="201"/>
    </row>
    <row r="227" spans="1:19">
      <c r="A227" s="211">
        <v>46202</v>
      </c>
      <c r="B227" s="6" t="str">
        <f>VLOOKUP(C227,'Product List'!A:C,3,0)</f>
        <v>Tulip Hay Feeder</v>
      </c>
      <c r="C227" s="129" t="s">
        <v>89</v>
      </c>
      <c r="D227" s="173">
        <f>VLOOKUP(C227,'Product List'!A:B,2,0)</f>
        <v>850062627406</v>
      </c>
      <c r="E227" s="201"/>
      <c r="F227" s="226" t="s">
        <v>245</v>
      </c>
      <c r="G227" s="162">
        <v>248</v>
      </c>
      <c r="H227" s="227">
        <v>46226</v>
      </c>
      <c r="I227" s="209" t="s">
        <v>142</v>
      </c>
      <c r="J227" s="140">
        <v>46230</v>
      </c>
      <c r="K227" s="140">
        <v>46230</v>
      </c>
      <c r="L227" s="212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99">
        <f t="shared" si="5"/>
        <v>31</v>
      </c>
      <c r="P227" s="213" t="e">
        <f>_xlfn.XLOOKUP(M227,'Case Pack'!A:A,'Case Pack'!H:H)*O227</f>
        <v>#N/A</v>
      </c>
      <c r="Q227" s="201"/>
      <c r="R227" s="201"/>
      <c r="S227" s="201"/>
    </row>
    <row r="228" spans="1:19">
      <c r="A228" s="211">
        <v>46202</v>
      </c>
      <c r="B228" s="6" t="str">
        <f>VLOOKUP(C228,'Product List'!A:C,3,0)</f>
        <v>Tulip Toilet</v>
      </c>
      <c r="C228" s="129" t="s">
        <v>91</v>
      </c>
      <c r="D228" s="173">
        <f>VLOOKUP(C228,'Product List'!A:B,2,0)</f>
        <v>850062627413</v>
      </c>
      <c r="E228" s="201"/>
      <c r="F228" s="226" t="s">
        <v>245</v>
      </c>
      <c r="G228" s="162">
        <v>240</v>
      </c>
      <c r="H228" s="227">
        <v>46226</v>
      </c>
      <c r="I228" s="209" t="s">
        <v>142</v>
      </c>
      <c r="J228" s="140">
        <v>46230</v>
      </c>
      <c r="K228" s="140">
        <v>46230</v>
      </c>
      <c r="L228" s="212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99">
        <f t="shared" si="5"/>
        <v>24</v>
      </c>
      <c r="P228" s="213" t="e">
        <f>_xlfn.XLOOKUP(M228,'Case Pack'!A:A,'Case Pack'!H:H)*O228</f>
        <v>#N/A</v>
      </c>
      <c r="Q228" s="201"/>
      <c r="R228" s="201"/>
      <c r="S228" s="201"/>
    </row>
    <row r="229" spans="1:19">
      <c r="A229" s="211">
        <v>46202</v>
      </c>
      <c r="B229" s="6" t="str">
        <f>VLOOKUP(C229,'Product List'!A:C,3,0)</f>
        <v>Cheese Bowl</v>
      </c>
      <c r="C229" s="129" t="s">
        <v>112</v>
      </c>
      <c r="D229" s="173">
        <f>VLOOKUP(C229,'Product List'!A:B,2,0)</f>
        <v>850030338181</v>
      </c>
      <c r="E229" s="201"/>
      <c r="F229" s="226" t="s">
        <v>245</v>
      </c>
      <c r="G229" s="162">
        <v>48</v>
      </c>
      <c r="H229" s="227">
        <v>46226</v>
      </c>
      <c r="I229" s="209" t="s">
        <v>142</v>
      </c>
      <c r="J229" s="140">
        <v>46230</v>
      </c>
      <c r="K229" s="140">
        <v>46230</v>
      </c>
      <c r="L229" s="212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99">
        <f t="shared" si="5"/>
        <v>1</v>
      </c>
      <c r="P229" s="213" t="e">
        <f>_xlfn.XLOOKUP(M229,'Case Pack'!A:A,'Case Pack'!H:H)*O229</f>
        <v>#N/A</v>
      </c>
      <c r="Q229" s="201"/>
      <c r="R229" s="201"/>
      <c r="S229" s="201"/>
    </row>
    <row r="230" spans="1:19">
      <c r="A230" s="211">
        <v>46202</v>
      </c>
      <c r="B230" s="6" t="str">
        <f>VLOOKUP(C230,'Product List'!A:C,3,0)</f>
        <v>M&amp;M Cheese Shoppe</v>
      </c>
      <c r="C230" s="129" t="s">
        <v>116</v>
      </c>
      <c r="D230" s="173">
        <f>VLOOKUP(C230,'Product List'!A:B,2,0)</f>
        <v>850030338044</v>
      </c>
      <c r="E230" s="201"/>
      <c r="F230" s="226" t="s">
        <v>245</v>
      </c>
      <c r="G230" s="162">
        <v>16</v>
      </c>
      <c r="H230" s="227">
        <v>46226</v>
      </c>
      <c r="I230" s="209" t="s">
        <v>142</v>
      </c>
      <c r="J230" s="140">
        <v>46230</v>
      </c>
      <c r="K230" s="140">
        <v>46230</v>
      </c>
      <c r="L230" s="212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99">
        <f t="shared" ref="O230:O283" si="6">G230/N230</f>
        <v>2</v>
      </c>
      <c r="P230" s="213" t="e">
        <f>_xlfn.XLOOKUP(M230,'Case Pack'!A:A,'Case Pack'!H:H)*O230</f>
        <v>#N/A</v>
      </c>
      <c r="Q230" s="201"/>
      <c r="R230" s="201"/>
      <c r="S230" s="201"/>
    </row>
    <row r="231" spans="1:19">
      <c r="A231" s="211">
        <v>46202</v>
      </c>
      <c r="B231" s="6" t="str">
        <f>VLOOKUP(C231,'Product List'!A:C,3,0)</f>
        <v>M&amp;M Woodland Gravity Water Dish 500ml</v>
      </c>
      <c r="C231" s="129" t="s">
        <v>103</v>
      </c>
      <c r="D231" s="173">
        <f>VLOOKUP(C231,'Product List'!A:B,2,0)</f>
        <v>850030338136</v>
      </c>
      <c r="E231" s="201"/>
      <c r="F231" s="226" t="s">
        <v>245</v>
      </c>
      <c r="G231" s="162">
        <v>216</v>
      </c>
      <c r="H231" s="227">
        <v>46226</v>
      </c>
      <c r="I231" s="209" t="s">
        <v>142</v>
      </c>
      <c r="J231" s="140">
        <v>46230</v>
      </c>
      <c r="K231" s="140">
        <v>46230</v>
      </c>
      <c r="L231" s="212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99">
        <f t="shared" si="6"/>
        <v>216</v>
      </c>
      <c r="P231" s="213" t="e">
        <f>_xlfn.XLOOKUP(M231,'Case Pack'!A:A,'Case Pack'!H:H)*O231</f>
        <v>#N/A</v>
      </c>
      <c r="Q231" s="201"/>
      <c r="R231" s="201"/>
      <c r="S231" s="201"/>
    </row>
    <row r="232" spans="1:19">
      <c r="A232" s="211">
        <v>46202</v>
      </c>
      <c r="B232" s="6" t="str">
        <f>VLOOKUP(C232,'Product List'!A:C,3,0)</f>
        <v>Woodland Potty</v>
      </c>
      <c r="C232" s="129" t="s">
        <v>106</v>
      </c>
      <c r="D232" s="173">
        <f>VLOOKUP(C232,'Product List'!A:B,2,0)</f>
        <v>850030338570</v>
      </c>
      <c r="E232" s="201"/>
      <c r="F232" s="226" t="s">
        <v>245</v>
      </c>
      <c r="G232" s="162">
        <v>180</v>
      </c>
      <c r="H232" s="227">
        <v>46226</v>
      </c>
      <c r="I232" s="209" t="s">
        <v>142</v>
      </c>
      <c r="J232" s="140">
        <v>46230</v>
      </c>
      <c r="K232" s="140">
        <v>46230</v>
      </c>
      <c r="L232" s="212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99">
        <f t="shared" si="6"/>
        <v>5</v>
      </c>
      <c r="P232" s="213" t="e">
        <f>_xlfn.XLOOKUP(M232,'Case Pack'!A:A,'Case Pack'!H:H)*O232</f>
        <v>#N/A</v>
      </c>
      <c r="Q232" s="201"/>
      <c r="R232" s="201"/>
      <c r="S232" s="201"/>
    </row>
    <row r="233" spans="1:19">
      <c r="A233" s="211">
        <v>46202</v>
      </c>
      <c r="B233" s="6" t="str">
        <f>VLOOKUP(C233,'Product List'!A:C,3,0)</f>
        <v>Tree Stump Hide</v>
      </c>
      <c r="C233" s="129" t="s">
        <v>81</v>
      </c>
      <c r="D233" s="173">
        <f>VLOOKUP(C233,'Product List'!A:B,2,0)</f>
        <v>850030338235</v>
      </c>
      <c r="E233" s="201"/>
      <c r="F233" s="226" t="s">
        <v>245</v>
      </c>
      <c r="G233" s="162">
        <v>36</v>
      </c>
      <c r="H233" s="227">
        <v>46226</v>
      </c>
      <c r="I233" s="209" t="s">
        <v>142</v>
      </c>
      <c r="J233" s="140">
        <v>46230</v>
      </c>
      <c r="K233" s="140">
        <v>46230</v>
      </c>
      <c r="L233" s="212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99">
        <f t="shared" si="6"/>
        <v>1.5</v>
      </c>
      <c r="P233" s="213">
        <f>_xlfn.XLOOKUP(M233,'Case Pack'!A:A,'Case Pack'!H:H)*O233</f>
        <v>0.110120888888889</v>
      </c>
      <c r="Q233" s="201"/>
      <c r="R233" s="201"/>
      <c r="S233" s="201"/>
    </row>
    <row r="234" spans="1:19">
      <c r="A234" s="211">
        <v>46202</v>
      </c>
      <c r="B234" s="6" t="str">
        <f>VLOOKUP(C234,'Product List'!A:C,3,0)</f>
        <v>M&amp;M Classic Potty</v>
      </c>
      <c r="C234" s="129" t="s">
        <v>113</v>
      </c>
      <c r="D234" s="173">
        <f>VLOOKUP(C234,'Product List'!A:B,2,0)</f>
        <v>850030338587</v>
      </c>
      <c r="E234" s="201"/>
      <c r="F234" s="226" t="s">
        <v>245</v>
      </c>
      <c r="G234" s="162">
        <v>36</v>
      </c>
      <c r="H234" s="227">
        <v>46226</v>
      </c>
      <c r="I234" s="209" t="s">
        <v>142</v>
      </c>
      <c r="J234" s="140">
        <v>46230</v>
      </c>
      <c r="K234" s="140">
        <v>46230</v>
      </c>
      <c r="L234" s="212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99">
        <f t="shared" si="6"/>
        <v>2</v>
      </c>
      <c r="P234" s="213" t="e">
        <f>_xlfn.XLOOKUP(M234,'Case Pack'!A:A,'Case Pack'!H:H)*O234</f>
        <v>#N/A</v>
      </c>
      <c r="Q234" s="201"/>
      <c r="R234" s="201"/>
      <c r="S234" s="201"/>
    </row>
    <row r="235" spans="1:19">
      <c r="A235" s="211">
        <v>46202</v>
      </c>
      <c r="B235" s="6" t="str">
        <f>VLOOKUP(C235,'Product List'!A:C,3,0)</f>
        <v>MINI/MOE SMALL ANIMAL FEEDING WATER BOTTLE HLDR GUMBALL 1EA</v>
      </c>
      <c r="C235" s="129" t="s">
        <v>59</v>
      </c>
      <c r="D235" s="173">
        <f>VLOOKUP(C235,'Product List'!A:B,2,0)</f>
        <v>850030338341</v>
      </c>
      <c r="E235" s="201"/>
      <c r="F235" s="226" t="s">
        <v>245</v>
      </c>
      <c r="G235" s="162">
        <v>24</v>
      </c>
      <c r="H235" s="227">
        <v>46226</v>
      </c>
      <c r="I235" s="209" t="s">
        <v>142</v>
      </c>
      <c r="J235" s="140">
        <v>46230</v>
      </c>
      <c r="K235" s="140">
        <v>46230</v>
      </c>
      <c r="L235" s="212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99">
        <f t="shared" si="6"/>
        <v>0.705882352941177</v>
      </c>
      <c r="P235" s="213">
        <f>_xlfn.XLOOKUP(M235,'Case Pack'!A:A,'Case Pack'!H:H)*O235</f>
        <v>0.111046274509804</v>
      </c>
      <c r="Q235" s="201"/>
      <c r="R235" s="201"/>
      <c r="S235" s="201"/>
    </row>
    <row r="236" spans="1:19">
      <c r="A236" s="211">
        <v>46202</v>
      </c>
      <c r="B236" s="6" t="str">
        <f>VLOOKUP(C236,'Product List'!A:C,3,0)</f>
        <v>MINI/MOE SMALL ANIMAL HOUSING SWEET BRIDGE 1EA</v>
      </c>
      <c r="C236" s="129" t="s">
        <v>71</v>
      </c>
      <c r="D236" s="173">
        <f>VLOOKUP(C236,'Product List'!A:B,2,0)</f>
        <v>850030338303</v>
      </c>
      <c r="E236" s="201"/>
      <c r="F236" s="226" t="s">
        <v>245</v>
      </c>
      <c r="G236" s="162">
        <v>72</v>
      </c>
      <c r="H236" s="227">
        <v>46226</v>
      </c>
      <c r="I236" s="209" t="s">
        <v>142</v>
      </c>
      <c r="J236" s="140">
        <v>46230</v>
      </c>
      <c r="K236" s="140">
        <v>46230</v>
      </c>
      <c r="L236" s="212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99">
        <f t="shared" si="6"/>
        <v>1.02857142857143</v>
      </c>
      <c r="P236" s="213">
        <f>_xlfn.XLOOKUP(M236,'Case Pack'!A:A,'Case Pack'!H:H)*O236</f>
        <v>0.1132672</v>
      </c>
      <c r="Q236" s="201"/>
      <c r="R236" s="201"/>
      <c r="S236" s="201"/>
    </row>
    <row r="237" spans="1:19">
      <c r="A237" s="211">
        <v>46202</v>
      </c>
      <c r="B237" s="6" t="str">
        <f>VLOOKUP(C237,'Product List'!A:C,3,0)</f>
        <v>Candy House</v>
      </c>
      <c r="C237" s="129" t="s">
        <v>66</v>
      </c>
      <c r="D237" s="173">
        <f>VLOOKUP(C237,'Product List'!A:B,2,0)</f>
        <v>850030338280</v>
      </c>
      <c r="E237" s="201"/>
      <c r="F237" s="226" t="s">
        <v>245</v>
      </c>
      <c r="G237" s="162">
        <v>64</v>
      </c>
      <c r="H237" s="227">
        <v>46226</v>
      </c>
      <c r="I237" s="209" t="s">
        <v>142</v>
      </c>
      <c r="J237" s="140">
        <v>46230</v>
      </c>
      <c r="K237" s="140">
        <v>46230</v>
      </c>
      <c r="L237" s="212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99">
        <f t="shared" si="6"/>
        <v>2.37037037037037</v>
      </c>
      <c r="P237" s="213">
        <f>_xlfn.XLOOKUP(M237,'Case Pack'!A:A,'Case Pack'!H:H)*O237</f>
        <v>0.372896131687243</v>
      </c>
      <c r="Q237" s="201"/>
      <c r="R237" s="201"/>
      <c r="S237" s="201"/>
    </row>
    <row r="238" spans="1:19">
      <c r="A238" s="211">
        <v>46202</v>
      </c>
      <c r="B238" s="6" t="str">
        <f>VLOOKUP(C238,'Product List'!A:C,3,0)</f>
        <v>MINI/MOE SMALL ANIMAL HOUSING CAKE HOUSE 1EA</v>
      </c>
      <c r="C238" s="129" t="s">
        <v>53</v>
      </c>
      <c r="D238" s="173">
        <f>VLOOKUP(C238,'Product List'!A:B,2,0)</f>
        <v>850030338297</v>
      </c>
      <c r="E238" s="201"/>
      <c r="F238" s="226" t="s">
        <v>245</v>
      </c>
      <c r="G238" s="162">
        <v>36</v>
      </c>
      <c r="H238" s="227">
        <v>46226</v>
      </c>
      <c r="I238" s="209" t="s">
        <v>142</v>
      </c>
      <c r="J238" s="140">
        <v>46230</v>
      </c>
      <c r="K238" s="140">
        <v>46230</v>
      </c>
      <c r="L238" s="212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99">
        <f t="shared" si="6"/>
        <v>2.76923076923077</v>
      </c>
      <c r="P238" s="213">
        <f>_xlfn.XLOOKUP(M238,'Case Pack'!A:A,'Case Pack'!H:H)*O238</f>
        <v>0.435643076923077</v>
      </c>
      <c r="Q238" s="201"/>
      <c r="R238" s="201"/>
      <c r="S238" s="201"/>
    </row>
    <row r="239" spans="1:19">
      <c r="A239" s="211">
        <v>46202</v>
      </c>
      <c r="B239" s="6" t="str">
        <f>VLOOKUP(C239,'Product List'!A:C,3,0)</f>
        <v>M&amp;M Chocolate Mountain</v>
      </c>
      <c r="C239" s="129" t="s">
        <v>111</v>
      </c>
      <c r="D239" s="173">
        <f>VLOOKUP(C239,'Product List'!A:B,2,0)</f>
        <v>850030338266</v>
      </c>
      <c r="E239" s="201"/>
      <c r="F239" s="226" t="s">
        <v>245</v>
      </c>
      <c r="G239" s="162">
        <v>54</v>
      </c>
      <c r="H239" s="227">
        <v>46226</v>
      </c>
      <c r="I239" s="209" t="s">
        <v>142</v>
      </c>
      <c r="J239" s="140">
        <v>46230</v>
      </c>
      <c r="K239" s="140">
        <v>46230</v>
      </c>
      <c r="L239" s="212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99">
        <f t="shared" si="6"/>
        <v>3</v>
      </c>
      <c r="P239" s="213" t="e">
        <f>_xlfn.XLOOKUP(M239,'Case Pack'!A:A,'Case Pack'!H:H)*O239</f>
        <v>#N/A</v>
      </c>
      <c r="Q239" s="201"/>
      <c r="R239" s="201"/>
      <c r="S239" s="201"/>
    </row>
    <row r="240" spans="1:19">
      <c r="A240" s="211">
        <v>46202</v>
      </c>
      <c r="B240" s="6" t="str">
        <f>VLOOKUP(C240,'Product List'!A:C,3,0)</f>
        <v>Sugar Jar</v>
      </c>
      <c r="C240" s="129" t="s">
        <v>65</v>
      </c>
      <c r="D240" s="173">
        <f>VLOOKUP(C240,'Product List'!A:B,2,0)</f>
        <v>850030338273</v>
      </c>
      <c r="E240" s="201"/>
      <c r="F240" s="226" t="s">
        <v>245</v>
      </c>
      <c r="G240" s="162">
        <v>90</v>
      </c>
      <c r="H240" s="227">
        <v>46226</v>
      </c>
      <c r="I240" s="209" t="s">
        <v>142</v>
      </c>
      <c r="J240" s="140">
        <v>46230</v>
      </c>
      <c r="K240" s="140">
        <v>46230</v>
      </c>
      <c r="L240" s="212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99">
        <f t="shared" si="6"/>
        <v>3.33333333333333</v>
      </c>
      <c r="P240" s="213">
        <f>_xlfn.XLOOKUP(M240,'Case Pack'!A:A,'Case Pack'!H:H)*O240</f>
        <v>0.524385185185185</v>
      </c>
      <c r="Q240" s="201"/>
      <c r="R240" s="201"/>
      <c r="S240" s="201"/>
    </row>
    <row r="241" spans="1:19">
      <c r="A241" s="211">
        <v>46202</v>
      </c>
      <c r="B241" s="6" t="str">
        <f>VLOOKUP(C241,'Product List'!A:C,3,0)</f>
        <v>Ceramic Candy Dish</v>
      </c>
      <c r="C241" s="129" t="s">
        <v>114</v>
      </c>
      <c r="D241" s="173">
        <f>VLOOKUP(C241,'Product List'!A:B,2,0)</f>
        <v>850062627802</v>
      </c>
      <c r="E241" s="201"/>
      <c r="F241" s="226" t="s">
        <v>245</v>
      </c>
      <c r="G241" s="162">
        <v>30</v>
      </c>
      <c r="H241" s="227">
        <v>46226</v>
      </c>
      <c r="I241" s="209" t="s">
        <v>142</v>
      </c>
      <c r="J241" s="140">
        <v>46230</v>
      </c>
      <c r="K241" s="140">
        <v>46230</v>
      </c>
      <c r="L241" s="212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99">
        <f t="shared" si="6"/>
        <v>1</v>
      </c>
      <c r="P241" s="213" t="e">
        <f>_xlfn.XLOOKUP(M241,'Case Pack'!A:A,'Case Pack'!H:H)*O241</f>
        <v>#N/A</v>
      </c>
      <c r="Q241" s="201"/>
      <c r="R241" s="201"/>
      <c r="S241" s="201"/>
    </row>
    <row r="242" spans="1:19">
      <c r="A242" s="211">
        <v>46202</v>
      </c>
      <c r="B242" s="6" t="str">
        <f>VLOOKUP(C242,'Product List'!A:C,3,0)</f>
        <v>M&amp;M Water Bridge</v>
      </c>
      <c r="C242" s="129" t="s">
        <v>102</v>
      </c>
      <c r="D242" s="173">
        <f>VLOOKUP(C242,'Product List'!A:B,2,0)</f>
        <v>850030338372</v>
      </c>
      <c r="E242" s="201"/>
      <c r="F242" s="226" t="s">
        <v>245</v>
      </c>
      <c r="G242" s="162">
        <v>216</v>
      </c>
      <c r="H242" s="227">
        <v>46226</v>
      </c>
      <c r="I242" s="209" t="s">
        <v>142</v>
      </c>
      <c r="J242" s="140">
        <v>46230</v>
      </c>
      <c r="K242" s="140">
        <v>46230</v>
      </c>
      <c r="L242" s="212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99">
        <f t="shared" si="6"/>
        <v>6</v>
      </c>
      <c r="P242" s="213" t="e">
        <f>_xlfn.XLOOKUP(M242,'Case Pack'!A:A,'Case Pack'!H:H)*O242</f>
        <v>#N/A</v>
      </c>
      <c r="Q242" s="201"/>
      <c r="R242" s="201"/>
      <c r="S242" s="201"/>
    </row>
    <row r="243" spans="1:19">
      <c r="A243" s="211">
        <v>46202</v>
      </c>
      <c r="B243" s="6" t="str">
        <f>VLOOKUP(C243,'Product List'!A:C,3,0)</f>
        <v>M&amp;M Silent Crystal Running Wheel 6.7" - Clear</v>
      </c>
      <c r="C243" s="129" t="s">
        <v>109</v>
      </c>
      <c r="D243" s="173">
        <f>VLOOKUP(C243,'Product List'!A:B,2,0)</f>
        <v>850062627635</v>
      </c>
      <c r="E243" s="201"/>
      <c r="F243" s="226" t="s">
        <v>245</v>
      </c>
      <c r="G243" s="162">
        <v>84</v>
      </c>
      <c r="H243" s="227">
        <v>46226</v>
      </c>
      <c r="I243" s="209" t="s">
        <v>142</v>
      </c>
      <c r="J243" s="140">
        <v>46230</v>
      </c>
      <c r="K243" s="140">
        <v>46230</v>
      </c>
      <c r="L243" s="212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99">
        <f t="shared" si="6"/>
        <v>84</v>
      </c>
      <c r="P243" s="213" t="e">
        <f>_xlfn.XLOOKUP(M243,'Case Pack'!A:A,'Case Pack'!H:H)*O243</f>
        <v>#N/A</v>
      </c>
      <c r="Q243" s="201"/>
      <c r="R243" s="201"/>
      <c r="S243" s="201"/>
    </row>
    <row r="244" spans="1:19">
      <c r="A244" s="211">
        <v>46202</v>
      </c>
      <c r="B244" s="6" t="str">
        <f>VLOOKUP(C244,'Product List'!A:C,3,0)</f>
        <v>M&amp;M Silent Crystal Running Wheel 6.7" - Blue</v>
      </c>
      <c r="C244" s="129" t="s">
        <v>110</v>
      </c>
      <c r="D244" s="173">
        <f>VLOOKUP(C244,'Product List'!A:B,2,0)</f>
        <v>850062627628</v>
      </c>
      <c r="E244" s="201"/>
      <c r="F244" s="226" t="s">
        <v>245</v>
      </c>
      <c r="G244" s="162">
        <v>60</v>
      </c>
      <c r="H244" s="227">
        <v>46226</v>
      </c>
      <c r="I244" s="209" t="s">
        <v>142</v>
      </c>
      <c r="J244" s="140">
        <v>46230</v>
      </c>
      <c r="K244" s="140">
        <v>46230</v>
      </c>
      <c r="L244" s="212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99">
        <f t="shared" si="6"/>
        <v>60</v>
      </c>
      <c r="P244" s="213" t="e">
        <f>_xlfn.XLOOKUP(M244,'Case Pack'!A:A,'Case Pack'!H:H)*O244</f>
        <v>#N/A</v>
      </c>
      <c r="Q244" s="201"/>
      <c r="R244" s="201"/>
      <c r="S244" s="201"/>
    </row>
    <row r="245" spans="1:19">
      <c r="A245" s="211">
        <v>46202</v>
      </c>
      <c r="B245" s="6" t="str">
        <f>VLOOKUP(C245,'Product List'!A:C,3,0)</f>
        <v>MINI &amp; MOE COTTAGE HIDE</v>
      </c>
      <c r="C245" s="129" t="s">
        <v>28</v>
      </c>
      <c r="D245" s="173">
        <f>VLOOKUP(C245,'Product List'!A:B,2,0)</f>
        <v>850030338211</v>
      </c>
      <c r="E245" s="201"/>
      <c r="F245" s="226" t="s">
        <v>245</v>
      </c>
      <c r="G245" s="162">
        <v>162</v>
      </c>
      <c r="H245" s="227">
        <v>46226</v>
      </c>
      <c r="I245" s="209" t="s">
        <v>142</v>
      </c>
      <c r="J245" s="140">
        <v>46230</v>
      </c>
      <c r="K245" s="140">
        <v>46230</v>
      </c>
      <c r="L245" s="212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99">
        <f t="shared" si="6"/>
        <v>6.75</v>
      </c>
      <c r="P245" s="213">
        <f>_xlfn.XLOOKUP(M245,'Case Pack'!A:A,'Case Pack'!H:H)*O245</f>
        <v>1.06188</v>
      </c>
      <c r="Q245" s="201"/>
      <c r="R245" s="201"/>
      <c r="S245" s="201"/>
    </row>
    <row r="246" spans="1:19">
      <c r="A246" s="211">
        <v>46202</v>
      </c>
      <c r="B246" s="6" t="str">
        <f>VLOOKUP(C246,'Product List'!A:C,3,0)</f>
        <v>MMO-WAVE BRIDGE</v>
      </c>
      <c r="C246" s="129" t="s">
        <v>82</v>
      </c>
      <c r="D246" s="173">
        <f>VLOOKUP(C246,'Product List'!A:B,2,0)</f>
        <v>850030338440</v>
      </c>
      <c r="E246" s="201"/>
      <c r="F246" s="226" t="s">
        <v>245</v>
      </c>
      <c r="G246" s="162">
        <v>162</v>
      </c>
      <c r="H246" s="227">
        <v>46226</v>
      </c>
      <c r="I246" s="209" t="s">
        <v>142</v>
      </c>
      <c r="J246" s="140">
        <v>46230</v>
      </c>
      <c r="K246" s="140">
        <v>46230</v>
      </c>
      <c r="L246" s="212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99">
        <f t="shared" si="6"/>
        <v>4.90909090909091</v>
      </c>
      <c r="P246" s="213">
        <f>_xlfn.XLOOKUP(M246,'Case Pack'!A:A,'Case Pack'!H:H)*O246</f>
        <v>0.772276363636364</v>
      </c>
      <c r="Q246" s="201"/>
      <c r="R246" s="201"/>
      <c r="S246" s="201"/>
    </row>
    <row r="247" spans="1:19">
      <c r="A247" s="211">
        <v>46202</v>
      </c>
      <c r="B247" s="6" t="str">
        <f>VLOOKUP(C247,'Product List'!A:C,3,0)</f>
        <v>Scuba Ladder</v>
      </c>
      <c r="C247" s="129" t="s">
        <v>107</v>
      </c>
      <c r="D247" s="173">
        <f>VLOOKUP(C247,'Product List'!A:B,2,0)</f>
        <v>850030338389</v>
      </c>
      <c r="E247" s="201"/>
      <c r="F247" s="226" t="s">
        <v>245</v>
      </c>
      <c r="G247" s="162">
        <v>160</v>
      </c>
      <c r="H247" s="227">
        <v>46226</v>
      </c>
      <c r="I247" s="209" t="s">
        <v>142</v>
      </c>
      <c r="J247" s="140">
        <v>46230</v>
      </c>
      <c r="K247" s="140">
        <v>46230</v>
      </c>
      <c r="L247" s="212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99">
        <f t="shared" si="6"/>
        <v>5</v>
      </c>
      <c r="P247" s="213" t="e">
        <f>_xlfn.XLOOKUP(M247,'Case Pack'!A:A,'Case Pack'!H:H)*O247</f>
        <v>#N/A</v>
      </c>
      <c r="Q247" s="201"/>
      <c r="R247" s="201"/>
      <c r="S247" s="201"/>
    </row>
    <row r="248" spans="1:19">
      <c r="A248" s="211">
        <v>46202</v>
      </c>
      <c r="B248" s="6" t="str">
        <f>VLOOKUP(C248,'Product List'!A:C,3,0)</f>
        <v>Coral Ladder</v>
      </c>
      <c r="C248" s="129" t="s">
        <v>105</v>
      </c>
      <c r="D248" s="173">
        <f>VLOOKUP(C248,'Product List'!A:B,2,0)</f>
        <v>850030338242</v>
      </c>
      <c r="E248" s="201"/>
      <c r="F248" s="226" t="s">
        <v>245</v>
      </c>
      <c r="G248" s="162">
        <v>180</v>
      </c>
      <c r="H248" s="227">
        <v>46226</v>
      </c>
      <c r="I248" s="209" t="s">
        <v>142</v>
      </c>
      <c r="J248" s="140">
        <v>46230</v>
      </c>
      <c r="K248" s="140">
        <v>46230</v>
      </c>
      <c r="L248" s="212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99">
        <f t="shared" si="6"/>
        <v>6</v>
      </c>
      <c r="P248" s="213" t="e">
        <f>_xlfn.XLOOKUP(M248,'Case Pack'!A:A,'Case Pack'!H:H)*O248</f>
        <v>#N/A</v>
      </c>
      <c r="Q248" s="201"/>
      <c r="R248" s="201"/>
      <c r="S248" s="201"/>
    </row>
    <row r="249" spans="1:19">
      <c r="A249" s="211">
        <v>46204</v>
      </c>
      <c r="B249" s="6" t="str">
        <f>VLOOKUP(C249,'Product List'!A:C,3,0)</f>
        <v>MINI/MOE SILENT CRSTL RUN WHEEL LG 8.5-White</v>
      </c>
      <c r="C249" s="129" t="s">
        <v>41</v>
      </c>
      <c r="D249" s="173">
        <f>VLOOKUP(C249,'Product List'!A:B,2,0)</f>
        <v>850062627680</v>
      </c>
      <c r="E249" s="20" t="s">
        <v>246</v>
      </c>
      <c r="F249" s="6" t="s">
        <v>247</v>
      </c>
      <c r="G249" s="99">
        <v>312</v>
      </c>
      <c r="H249" s="212">
        <v>46249</v>
      </c>
      <c r="I249" s="212">
        <f>IF(Q249="","",_xlfn.XLOOKUP(Q249,'Shipment Control'!A:A,'Shipment Control'!G:G))</f>
        <v>46258</v>
      </c>
      <c r="J249" s="140">
        <f>IF(Q249="",H249+30,_xlfn.XLOOKUP(Q249,'Shipment Control'!A:A,'Shipment Control'!H:H))</f>
        <v>46277</v>
      </c>
      <c r="L249" s="212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99">
        <f t="shared" si="6"/>
        <v>39</v>
      </c>
      <c r="P249" s="213">
        <f>_xlfn.XLOOKUP(M249,'Case Pack'!A:A,'Case Pack'!H:H)*O249</f>
        <v>6.13530666666667</v>
      </c>
      <c r="Q249" s="19" t="s">
        <v>225</v>
      </c>
      <c r="R249" s="19" t="s">
        <v>226</v>
      </c>
      <c r="S249" s="19" t="s">
        <v>227</v>
      </c>
    </row>
    <row r="250" spans="1:19">
      <c r="A250" s="211">
        <v>46204</v>
      </c>
      <c r="B250" s="6" t="str">
        <f>VLOOKUP(C250,'Product List'!A:C,3,0)</f>
        <v>MMO-CAMP LUNCH BOX CHEW</v>
      </c>
      <c r="C250" s="129" t="s">
        <v>40</v>
      </c>
      <c r="D250" s="173">
        <f>VLOOKUP(C250,'Product List'!A:B,2,0)</f>
        <v>698746777012</v>
      </c>
      <c r="E250" s="20" t="s">
        <v>246</v>
      </c>
      <c r="F250" s="6" t="s">
        <v>247</v>
      </c>
      <c r="G250" s="99">
        <v>1008</v>
      </c>
      <c r="H250" s="212">
        <v>46247</v>
      </c>
      <c r="I250" s="212">
        <f>IF(Q250="","",_xlfn.XLOOKUP(Q250,'Shipment Control'!A:A,'Shipment Control'!G:G))</f>
        <v>46260</v>
      </c>
      <c r="J250" s="140">
        <f>IF(Q250="",H250+30,_xlfn.XLOOKUP(Q250,'Shipment Control'!A:A,'Shipment Control'!H:H))</f>
        <v>46274</v>
      </c>
      <c r="L250" s="212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99">
        <f t="shared" si="6"/>
        <v>14</v>
      </c>
      <c r="P250" s="213">
        <f>_xlfn.XLOOKUP(M250,'Case Pack'!A:A,'Case Pack'!H:H)*O250</f>
        <v>1.02779496296296</v>
      </c>
      <c r="Q250" s="228" t="s">
        <v>248</v>
      </c>
      <c r="R250" s="221" t="s">
        <v>174</v>
      </c>
      <c r="S250" s="222"/>
    </row>
    <row r="251" spans="1:19">
      <c r="A251" s="211">
        <v>46204</v>
      </c>
      <c r="B251" s="6" t="str">
        <f>VLOOKUP(C251,'Product List'!A:C,3,0)</f>
        <v>MMO-SHELL PEARL HAMSTER CHEW</v>
      </c>
      <c r="C251" s="129" t="s">
        <v>48</v>
      </c>
      <c r="D251" s="173">
        <f>VLOOKUP(C251,'Product List'!A:B,2,0)</f>
        <v>698746777074</v>
      </c>
      <c r="E251" s="20" t="s">
        <v>246</v>
      </c>
      <c r="F251" s="6" t="s">
        <v>247</v>
      </c>
      <c r="G251" s="99">
        <v>1024</v>
      </c>
      <c r="H251" s="212">
        <v>46247</v>
      </c>
      <c r="I251" s="212">
        <f>IF(Q251="","",_xlfn.XLOOKUP(Q251,'Shipment Control'!A:A,'Shipment Control'!G:G))</f>
        <v>46260</v>
      </c>
      <c r="J251" s="140">
        <f>IF(Q251="",H251+30,_xlfn.XLOOKUP(Q251,'Shipment Control'!A:A,'Shipment Control'!H:H))</f>
        <v>46274</v>
      </c>
      <c r="L251" s="212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99">
        <f t="shared" si="6"/>
        <v>16</v>
      </c>
      <c r="P251" s="213">
        <f>_xlfn.XLOOKUP(M251,'Case Pack'!A:A,'Case Pack'!H:H)*O251</f>
        <v>1.17462281481481</v>
      </c>
      <c r="Q251" s="228" t="s">
        <v>248</v>
      </c>
      <c r="R251" s="219" t="s">
        <v>174</v>
      </c>
      <c r="S251" s="220"/>
    </row>
    <row r="252" spans="1:19">
      <c r="A252" s="211">
        <v>46204</v>
      </c>
      <c r="B252" s="6" t="str">
        <f>VLOOKUP(C252,'Product List'!A:C,3,0)</f>
        <v>MMO-PAPER TWIST BLU/WHT</v>
      </c>
      <c r="C252" s="129" t="s">
        <v>44</v>
      </c>
      <c r="D252" s="173">
        <f>VLOOKUP(C252,'Product List'!A:B,2,0)</f>
        <v>850030338075</v>
      </c>
      <c r="E252" s="20" t="s">
        <v>246</v>
      </c>
      <c r="F252" s="6" t="s">
        <v>247</v>
      </c>
      <c r="G252" s="99">
        <v>1020</v>
      </c>
      <c r="H252" s="212">
        <v>46249</v>
      </c>
      <c r="I252" s="212">
        <f>IF(Q252="","",_xlfn.XLOOKUP(Q252,'Shipment Control'!A:A,'Shipment Control'!G:G))</f>
        <v>46258</v>
      </c>
      <c r="J252" s="140">
        <f>IF(Q252="",H252+30,_xlfn.XLOOKUP(Q252,'Shipment Control'!A:A,'Shipment Control'!H:H))</f>
        <v>46277</v>
      </c>
      <c r="L252" s="212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99">
        <f t="shared" si="6"/>
        <v>34</v>
      </c>
      <c r="P252" s="213">
        <f>_xlfn.XLOOKUP(M252,'Case Pack'!A:A,'Case Pack'!H:H)*O252</f>
        <v>3.74411022222222</v>
      </c>
      <c r="Q252" s="19" t="s">
        <v>225</v>
      </c>
      <c r="R252" s="19" t="s">
        <v>226</v>
      </c>
      <c r="S252" s="19" t="s">
        <v>227</v>
      </c>
    </row>
    <row r="253" spans="1:19">
      <c r="A253" s="211">
        <v>46204</v>
      </c>
      <c r="B253" s="6" t="str">
        <f>VLOOKUP(C253,'Product List'!A:C,3,0)</f>
        <v>MINI/MOE RUFFLE BOWL</v>
      </c>
      <c r="C253" s="129" t="s">
        <v>83</v>
      </c>
      <c r="D253" s="173">
        <f>VLOOKUP(C253,'Product List'!A:B,2,0)</f>
        <v>850030338969</v>
      </c>
      <c r="E253" s="20" t="s">
        <v>246</v>
      </c>
      <c r="F253" s="6" t="s">
        <v>247</v>
      </c>
      <c r="G253" s="99">
        <v>1920</v>
      </c>
      <c r="H253" s="212">
        <v>46266</v>
      </c>
      <c r="I253" s="212">
        <f>IF(Q253="","",_xlfn.XLOOKUP(Q253,'Shipment Control'!A:A,'Shipment Control'!G:G))</f>
        <v>46258</v>
      </c>
      <c r="J253" s="140">
        <f>IF(Q253="",H253+30,_xlfn.XLOOKUP(Q253,'Shipment Control'!A:A,'Shipment Control'!H:H))</f>
        <v>46277</v>
      </c>
      <c r="L253" s="212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99">
        <f t="shared" si="6"/>
        <v>40</v>
      </c>
      <c r="P253" s="213">
        <f>_xlfn.XLOOKUP(M253,'Case Pack'!A:A,'Case Pack'!H:H)*O253</f>
        <v>2.93655703703704</v>
      </c>
      <c r="Q253" s="19" t="s">
        <v>225</v>
      </c>
      <c r="R253" s="19" t="s">
        <v>226</v>
      </c>
      <c r="S253" s="19" t="s">
        <v>227</v>
      </c>
    </row>
    <row r="254" spans="1:19">
      <c r="A254" s="211">
        <v>46204</v>
      </c>
      <c r="B254" s="6" t="str">
        <f>VLOOKUP(C254,'Product List'!A:C,3,0)</f>
        <v>MMO-PAPER PEBBLES</v>
      </c>
      <c r="C254" s="129" t="s">
        <v>42</v>
      </c>
      <c r="D254" s="173">
        <f>VLOOKUP(C254,'Product List'!A:B,2,0)</f>
        <v>850067049258</v>
      </c>
      <c r="E254" s="20" t="s">
        <v>246</v>
      </c>
      <c r="F254" s="6" t="s">
        <v>247</v>
      </c>
      <c r="G254" s="99">
        <v>1008</v>
      </c>
      <c r="H254" s="212">
        <v>46249</v>
      </c>
      <c r="I254" s="212">
        <f>IF(Q254="","",_xlfn.XLOOKUP(Q254,'Shipment Control'!A:A,'Shipment Control'!G:G))</f>
        <v>46258</v>
      </c>
      <c r="J254" s="140">
        <f>IF(Q254="",H254+30,_xlfn.XLOOKUP(Q254,'Shipment Control'!A:A,'Shipment Control'!H:H))</f>
        <v>46277</v>
      </c>
      <c r="L254" s="212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99">
        <f t="shared" si="6"/>
        <v>84</v>
      </c>
      <c r="P254" s="213">
        <f>_xlfn.XLOOKUP(M254,'Case Pack'!A:A,'Case Pack'!H:H)*O254</f>
        <v>6.16676977777778</v>
      </c>
      <c r="Q254" s="19" t="s">
        <v>225</v>
      </c>
      <c r="R254" s="19" t="s">
        <v>226</v>
      </c>
      <c r="S254" s="19" t="s">
        <v>227</v>
      </c>
    </row>
    <row r="255" spans="1:19">
      <c r="A255" s="211">
        <v>46204</v>
      </c>
      <c r="B255" s="6" t="str">
        <f>VLOOKUP(C255,'Product List'!A:C,3,0)</f>
        <v>MMO-COTTON NESTING BALLS</v>
      </c>
      <c r="C255" s="129" t="s">
        <v>43</v>
      </c>
      <c r="D255" s="173">
        <f>VLOOKUP(C255,'Product List'!A:B,2,0)</f>
        <v>850030338198</v>
      </c>
      <c r="E255" s="20" t="s">
        <v>246</v>
      </c>
      <c r="F255" s="6" t="s">
        <v>247</v>
      </c>
      <c r="G255" s="99">
        <v>992</v>
      </c>
      <c r="H255" s="212">
        <v>46249</v>
      </c>
      <c r="I255" s="212">
        <f>IF(Q255="","",_xlfn.XLOOKUP(Q255,'Shipment Control'!A:A,'Shipment Control'!G:G))</f>
        <v>46258</v>
      </c>
      <c r="J255" s="140">
        <f>IF(Q255="",H255+30,_xlfn.XLOOKUP(Q255,'Shipment Control'!A:A,'Shipment Control'!H:H))</f>
        <v>46277</v>
      </c>
      <c r="L255" s="212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99">
        <f t="shared" si="6"/>
        <v>31</v>
      </c>
      <c r="P255" s="213">
        <f>_xlfn.XLOOKUP(M255,'Case Pack'!A:A,'Case Pack'!H:H)*O255</f>
        <v>3.41374755555556</v>
      </c>
      <c r="Q255" s="19" t="s">
        <v>225</v>
      </c>
      <c r="R255" s="19" t="s">
        <v>226</v>
      </c>
      <c r="S255" s="19" t="s">
        <v>227</v>
      </c>
    </row>
    <row r="256" customFormat="1" spans="1:19">
      <c r="A256" s="211">
        <v>46204</v>
      </c>
      <c r="B256" s="6" t="str">
        <f>VLOOKUP(C256,'Product List'!A:C,3,0)</f>
        <v>MMO-COTTON NESTING BALLS</v>
      </c>
      <c r="C256" s="129" t="s">
        <v>43</v>
      </c>
      <c r="D256" s="173">
        <f>VLOOKUP(C256,'Product List'!A:B,2,0)</f>
        <v>850030338198</v>
      </c>
      <c r="E256" s="20" t="s">
        <v>246</v>
      </c>
      <c r="F256" s="6" t="s">
        <v>247</v>
      </c>
      <c r="G256" s="99">
        <v>32</v>
      </c>
      <c r="H256" s="212">
        <v>46264</v>
      </c>
      <c r="I256" s="212">
        <f>IF(Q256="","",_xlfn.XLOOKUP(Q256,'Shipment Control'!A:A,'Shipment Control'!G:G))</f>
        <v>46281</v>
      </c>
      <c r="J256" s="140">
        <f>IF(Q256="",H256+30,_xlfn.XLOOKUP(Q256,'Shipment Control'!A:A,'Shipment Control'!H:H))</f>
        <v>46294</v>
      </c>
      <c r="K256" s="140"/>
      <c r="L256" s="212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99">
        <f t="shared" si="6"/>
        <v>1</v>
      </c>
      <c r="P256" s="213">
        <f>_xlfn.XLOOKUP(M256,'Case Pack'!A:A,'Case Pack'!H:H)*O256</f>
        <v>0.110120888888889</v>
      </c>
      <c r="Q256" s="19" t="s">
        <v>249</v>
      </c>
      <c r="R256" s="19" t="s">
        <v>250</v>
      </c>
      <c r="S256" s="19" t="s">
        <v>251</v>
      </c>
    </row>
    <row r="257" spans="1:21">
      <c r="A257" s="211">
        <v>46219</v>
      </c>
      <c r="B257" s="6" t="str">
        <f>VLOOKUP(C257,'Product List'!A:C,3,0)</f>
        <v>MINI/MOE TV VIEWING CAGE</v>
      </c>
      <c r="C257" s="129" t="s">
        <v>27</v>
      </c>
      <c r="D257" s="173">
        <f>VLOOKUP(C257,'Product List'!A:B,2,0)</f>
        <v>850030338761</v>
      </c>
      <c r="E257" s="20" t="s">
        <v>252</v>
      </c>
      <c r="F257" s="6" t="s">
        <v>253</v>
      </c>
      <c r="G257" s="181">
        <v>264</v>
      </c>
      <c r="H257" s="212">
        <v>46264</v>
      </c>
      <c r="I257" s="212">
        <f>IF(Q257="","",_xlfn.XLOOKUP(Q257,'Shipment Control'!A:A,'Shipment Control'!G:G))</f>
        <v>46281</v>
      </c>
      <c r="J257" s="140">
        <f>IF(Q257="",H257+30,_xlfn.XLOOKUP(Q257,'Shipment Control'!A:A,'Shipment Control'!H:H))</f>
        <v>46294</v>
      </c>
      <c r="L257" s="212" t="s">
        <v>142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99">
        <f t="shared" si="6"/>
        <v>264</v>
      </c>
      <c r="P257" s="213">
        <f>_xlfn.XLOOKUP(M257,'Case Pack'!A:A,'Case Pack'!H:H)*O257</f>
        <v>19.5297854752</v>
      </c>
      <c r="Q257" s="19" t="s">
        <v>249</v>
      </c>
      <c r="R257" s="19" t="s">
        <v>250</v>
      </c>
      <c r="S257" s="19" t="s">
        <v>251</v>
      </c>
    </row>
    <row r="258" customFormat="1" spans="1:21">
      <c r="A258" s="211">
        <v>46219</v>
      </c>
      <c r="B258" s="6" t="str">
        <f>VLOOKUP(C258,'Product List'!A:C,3,0)</f>
        <v>MINI/MOE TV VIEWING CAGE</v>
      </c>
      <c r="C258" s="129" t="s">
        <v>27</v>
      </c>
      <c r="D258" s="173">
        <f>VLOOKUP(C258,'Product List'!A:B,2,0)</f>
        <v>850030338761</v>
      </c>
      <c r="E258" s="20" t="s">
        <v>252</v>
      </c>
      <c r="F258" s="6" t="s">
        <v>253</v>
      </c>
      <c r="G258" s="181">
        <v>952</v>
      </c>
      <c r="H258" s="212">
        <v>46255</v>
      </c>
      <c r="I258" s="212">
        <f>IF(Q258="","",_xlfn.XLOOKUP(Q258,'Shipment Control'!A:A,'Shipment Control'!G:G))</f>
        <v>46266</v>
      </c>
      <c r="J258" s="140">
        <f>IF(Q258="",H258+30,_xlfn.XLOOKUP(Q258,'Shipment Control'!A:A,'Shipment Control'!H:H))</f>
        <v>46285</v>
      </c>
      <c r="K258" s="140"/>
      <c r="L258" s="212" t="s">
        <v>142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99">
        <f t="shared" si="6"/>
        <v>952</v>
      </c>
      <c r="P258" s="213">
        <f>_xlfn.XLOOKUP(M258,'Case Pack'!A:A,'Case Pack'!H:H)*O258</f>
        <v>70.4255900469333</v>
      </c>
      <c r="Q258" s="19" t="s">
        <v>254</v>
      </c>
      <c r="R258" s="19" t="s">
        <v>255</v>
      </c>
      <c r="S258" s="19" t="s">
        <v>256</v>
      </c>
    </row>
    <row r="259" customFormat="1" spans="1:21">
      <c r="A259" s="211">
        <v>46219</v>
      </c>
      <c r="B259" s="6" t="str">
        <f>VLOOKUP(C259,'Product List'!A:C,3,0)</f>
        <v>MINI/MOE TV VIEWING CAGE</v>
      </c>
      <c r="C259" s="129" t="s">
        <v>27</v>
      </c>
      <c r="D259" s="173">
        <f>VLOOKUP(C259,'Product List'!A:B,2,0)</f>
        <v>850030338761</v>
      </c>
      <c r="E259" s="20" t="s">
        <v>252</v>
      </c>
      <c r="F259" s="6" t="s">
        <v>253</v>
      </c>
      <c r="G259" s="99">
        <v>952</v>
      </c>
      <c r="H259" s="212">
        <v>46255</v>
      </c>
      <c r="I259" s="212">
        <v>46259</v>
      </c>
      <c r="J259" s="140">
        <f>IF(Q259="",H259+30,_xlfn.XLOOKUP(Q259,'Shipment Control'!A:A,'Shipment Control'!H:H))</f>
        <v>46282</v>
      </c>
      <c r="K259" s="140"/>
      <c r="L259" s="212" t="s">
        <v>142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99">
        <f t="shared" si="6"/>
        <v>952</v>
      </c>
      <c r="P259" s="213">
        <f>_xlfn.XLOOKUP(M259,'Case Pack'!A:A,'Case Pack'!H:H)*O259</f>
        <v>70.4255900469333</v>
      </c>
      <c r="Q259" s="19" t="s">
        <v>257</v>
      </c>
      <c r="R259" s="19" t="s">
        <v>258</v>
      </c>
      <c r="S259" s="19" t="s">
        <v>259</v>
      </c>
    </row>
    <row r="260" customFormat="1" spans="1:21">
      <c r="A260" s="211">
        <v>46219</v>
      </c>
      <c r="B260" s="6" t="str">
        <f>VLOOKUP(C260,'Product List'!A:C,3,0)</f>
        <v>MINI/MOE TV VIEWING CAGE</v>
      </c>
      <c r="C260" s="129" t="s">
        <v>27</v>
      </c>
      <c r="D260" s="173">
        <f>VLOOKUP(C260,'Product List'!A:B,2,0)</f>
        <v>850030338761</v>
      </c>
      <c r="E260" s="20" t="s">
        <v>252</v>
      </c>
      <c r="F260" s="6" t="s">
        <v>253</v>
      </c>
      <c r="G260" s="99">
        <v>952</v>
      </c>
      <c r="H260" s="212">
        <v>46255</v>
      </c>
      <c r="I260" s="212">
        <v>46259</v>
      </c>
      <c r="J260" s="140">
        <f>IF(Q260="",H260+30,_xlfn.XLOOKUP(Q260,'Shipment Control'!A:A,'Shipment Control'!H:H))</f>
        <v>46282</v>
      </c>
      <c r="K260" s="140"/>
      <c r="L260" s="212" t="s">
        <v>142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99">
        <f t="shared" si="6"/>
        <v>952</v>
      </c>
      <c r="P260" s="213">
        <f>_xlfn.XLOOKUP(M260,'Case Pack'!A:A,'Case Pack'!H:H)*O260</f>
        <v>70.4255900469333</v>
      </c>
      <c r="Q260" s="19" t="s">
        <v>260</v>
      </c>
      <c r="R260" s="19" t="s">
        <v>261</v>
      </c>
      <c r="S260" s="19" t="s">
        <v>262</v>
      </c>
      <c r="T260" s="229"/>
      <c r="U260" s="229"/>
    </row>
    <row r="261" spans="1:21">
      <c r="A261" s="211">
        <v>46219</v>
      </c>
      <c r="B261" s="6" t="str">
        <f>VLOOKUP(C261,'Product List'!A:C,3,0)</f>
        <v>MMO-CLOUD WATER BOTTLE</v>
      </c>
      <c r="C261" s="129" t="s">
        <v>37</v>
      </c>
      <c r="D261" s="173">
        <f>VLOOKUP(C261,'Product List'!A:B,2,0)</f>
        <v>850030338112</v>
      </c>
      <c r="E261" s="20" t="s">
        <v>252</v>
      </c>
      <c r="F261" s="6" t="s">
        <v>253</v>
      </c>
      <c r="G261" s="99">
        <v>2200</v>
      </c>
      <c r="H261" s="212">
        <v>46255</v>
      </c>
      <c r="I261" s="212">
        <f>IF(Q261="","",_xlfn.XLOOKUP(Q261,'Shipment Control'!A:A,'Shipment Control'!G:G))</f>
        <v>46258</v>
      </c>
      <c r="J261" s="140">
        <f>IF(Q261="",H261+30,_xlfn.XLOOKUP(Q261,'Shipment Control'!A:A,'Shipment Control'!H:H))</f>
        <v>46277</v>
      </c>
      <c r="L261" s="212" t="s">
        <v>142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99">
        <f t="shared" si="6"/>
        <v>44</v>
      </c>
      <c r="P261" s="213">
        <f>_xlfn.XLOOKUP(M261,'Case Pack'!A:A,'Case Pack'!H:H)*O261</f>
        <v>4.84531911111111</v>
      </c>
      <c r="Q261" s="19" t="s">
        <v>225</v>
      </c>
      <c r="R261" s="19" t="s">
        <v>226</v>
      </c>
      <c r="S261" s="19" t="s">
        <v>227</v>
      </c>
    </row>
    <row r="262" spans="1:21">
      <c r="A262" s="211">
        <v>46219</v>
      </c>
      <c r="B262" s="6" t="str">
        <f>VLOOKUP(C262,'Product List'!A:C,3,0)</f>
        <v>MMO-BUBBLE WATER BOTTLE</v>
      </c>
      <c r="C262" s="129" t="s">
        <v>38</v>
      </c>
      <c r="D262" s="173">
        <f>VLOOKUP(C262,'Product List'!A:B,2,0)</f>
        <v>760762456971</v>
      </c>
      <c r="E262" s="20" t="s">
        <v>252</v>
      </c>
      <c r="F262" s="6" t="s">
        <v>253</v>
      </c>
      <c r="G262" s="99">
        <v>1848</v>
      </c>
      <c r="H262" s="212">
        <v>46255</v>
      </c>
      <c r="I262" s="212">
        <f>IF(Q262="","",_xlfn.XLOOKUP(Q262,'Shipment Control'!A:A,'Shipment Control'!G:G))</f>
        <v>46258</v>
      </c>
      <c r="J262" s="140">
        <f>IF(Q262="",H262+30,_xlfn.XLOOKUP(Q262,'Shipment Control'!A:A,'Shipment Control'!H:H))</f>
        <v>46277</v>
      </c>
      <c r="L262" s="212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99">
        <f t="shared" si="6"/>
        <v>44</v>
      </c>
      <c r="P262" s="213">
        <f>_xlfn.XLOOKUP(M262,'Case Pack'!A:A,'Case Pack'!H:H)*O262</f>
        <v>6.92188444444444</v>
      </c>
      <c r="Q262" s="19" t="s">
        <v>225</v>
      </c>
      <c r="R262" s="19" t="s">
        <v>226</v>
      </c>
      <c r="S262" s="19" t="s">
        <v>227</v>
      </c>
    </row>
    <row r="263" customFormat="1" spans="1:21">
      <c r="A263" s="211">
        <v>46219</v>
      </c>
      <c r="B263" s="6" t="str">
        <f>VLOOKUP(C263,'Product List'!A:C,3,0)</f>
        <v>MMO-BUBBLE WATER BOTTLE</v>
      </c>
      <c r="C263" s="129" t="s">
        <v>38</v>
      </c>
      <c r="D263" s="173">
        <f>VLOOKUP(C263,'Product List'!A:B,2,0)</f>
        <v>760762456971</v>
      </c>
      <c r="E263" s="20" t="s">
        <v>252</v>
      </c>
      <c r="F263" s="6" t="s">
        <v>253</v>
      </c>
      <c r="G263" s="99">
        <v>378</v>
      </c>
      <c r="H263" s="212">
        <v>46264</v>
      </c>
      <c r="I263" s="212">
        <f>IF(Q263="","",_xlfn.XLOOKUP(Q263,'Shipment Control'!A:A,'Shipment Control'!G:G))</f>
        <v>46281</v>
      </c>
      <c r="J263" s="140">
        <f>IF(Q263="",H263+30,_xlfn.XLOOKUP(Q263,'Shipment Control'!A:A,'Shipment Control'!H:H))</f>
        <v>46294</v>
      </c>
      <c r="K263" s="140"/>
      <c r="L263" s="212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99">
        <f t="shared" si="6"/>
        <v>9</v>
      </c>
      <c r="P263" s="213">
        <f>_xlfn.XLOOKUP(M263,'Case Pack'!A:A,'Case Pack'!H:H)*O263</f>
        <v>1.41584</v>
      </c>
      <c r="Q263" s="19" t="s">
        <v>249</v>
      </c>
      <c r="R263" s="19" t="s">
        <v>250</v>
      </c>
      <c r="S263" s="19" t="s">
        <v>251</v>
      </c>
    </row>
    <row r="264" spans="1:21">
      <c r="A264" s="211">
        <v>46219</v>
      </c>
      <c r="B264" s="6" t="str">
        <f>VLOOKUP(C264,'Product List'!A:C,3,0)</f>
        <v>MMO-COTTON NESTING BALLS</v>
      </c>
      <c r="C264" s="129" t="s">
        <v>43</v>
      </c>
      <c r="D264" s="173">
        <f>VLOOKUP(C264,'Product List'!A:B,2,0)</f>
        <v>850030338198</v>
      </c>
      <c r="E264" s="20" t="s">
        <v>252</v>
      </c>
      <c r="F264" s="6" t="s">
        <v>253</v>
      </c>
      <c r="G264" s="99">
        <v>1888</v>
      </c>
      <c r="H264" s="212">
        <v>46264</v>
      </c>
      <c r="I264" s="212">
        <f>IF(Q264="","",_xlfn.XLOOKUP(Q264,'Shipment Control'!A:A,'Shipment Control'!G:G))</f>
        <v>46281</v>
      </c>
      <c r="J264" s="140">
        <f>IF(Q264="",H264+30,_xlfn.XLOOKUP(Q264,'Shipment Control'!A:A,'Shipment Control'!H:H))</f>
        <v>46294</v>
      </c>
      <c r="L264" s="212" t="s">
        <v>142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99">
        <f t="shared" si="6"/>
        <v>59</v>
      </c>
      <c r="P264" s="213">
        <f>_xlfn.XLOOKUP(M264,'Case Pack'!A:A,'Case Pack'!H:H)*O264</f>
        <v>6.49713244444444</v>
      </c>
      <c r="Q264" s="19" t="s">
        <v>249</v>
      </c>
      <c r="R264" s="19" t="s">
        <v>250</v>
      </c>
      <c r="S264" s="19" t="s">
        <v>251</v>
      </c>
    </row>
    <row r="265" spans="1:21">
      <c r="A265" s="211">
        <v>46219</v>
      </c>
      <c r="B265" s="6" t="str">
        <f>VLOOKUP(C265,'Product List'!A:C,3,0)</f>
        <v>MMO-PAPER TWIST BLU/WHT</v>
      </c>
      <c r="C265" s="129" t="s">
        <v>44</v>
      </c>
      <c r="D265" s="173">
        <f>VLOOKUP(C265,'Product List'!A:B,2,0)</f>
        <v>850030338075</v>
      </c>
      <c r="E265" s="20" t="s">
        <v>252</v>
      </c>
      <c r="F265" s="6" t="s">
        <v>253</v>
      </c>
      <c r="G265" s="99">
        <v>1560</v>
      </c>
      <c r="H265" s="212">
        <v>46264</v>
      </c>
      <c r="I265" s="212">
        <f>IF(Q265="","",_xlfn.XLOOKUP(Q265,'Shipment Control'!A:A,'Shipment Control'!G:G))</f>
        <v>46281</v>
      </c>
      <c r="J265" s="140">
        <f>IF(Q265="",H265+30,_xlfn.XLOOKUP(Q265,'Shipment Control'!A:A,'Shipment Control'!H:H))</f>
        <v>46294</v>
      </c>
      <c r="L265" s="212" t="s">
        <v>142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99">
        <f t="shared" si="6"/>
        <v>52</v>
      </c>
      <c r="P265" s="213">
        <f>_xlfn.XLOOKUP(M265,'Case Pack'!A:A,'Case Pack'!H:H)*O265</f>
        <v>5.72628622222222</v>
      </c>
      <c r="Q265" s="19" t="s">
        <v>249</v>
      </c>
      <c r="R265" s="19" t="s">
        <v>250</v>
      </c>
      <c r="S265" s="19" t="s">
        <v>251</v>
      </c>
    </row>
    <row r="266" spans="1:21">
      <c r="A266" s="211">
        <v>46219</v>
      </c>
      <c r="B266" s="6" t="str">
        <f>VLOOKUP(C266,'Product List'!A:C,3,0)</f>
        <v>MINI/MOE RUFFLE BOWL</v>
      </c>
      <c r="C266" s="174" t="s">
        <v>83</v>
      </c>
      <c r="D266" s="173">
        <f>VLOOKUP(C266,'Product List'!A:B,2,0)</f>
        <v>850030338969</v>
      </c>
      <c r="E266" s="20" t="s">
        <v>252</v>
      </c>
      <c r="F266" s="6" t="s">
        <v>253</v>
      </c>
      <c r="G266" s="99">
        <v>2736</v>
      </c>
      <c r="H266" s="212">
        <v>46281</v>
      </c>
      <c r="I266" s="212" t="str">
        <f>IF(Q266="","",_xlfn.XLOOKUP(Q266,'Shipment Control'!A:A,'Shipment Control'!G:G))</f>
        <v/>
      </c>
      <c r="J266" s="140">
        <f>IF(Q266="",H266+30,_xlfn.XLOOKUP(Q266,'Shipment Control'!A:A,'Shipment Control'!H:H))</f>
        <v>46311</v>
      </c>
      <c r="L266" s="212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99">
        <f t="shared" si="6"/>
        <v>57</v>
      </c>
      <c r="P266" s="213">
        <f>_xlfn.XLOOKUP(M266,'Case Pack'!A:A,'Case Pack'!H:H)*O266</f>
        <v>4.18459377777778</v>
      </c>
      <c r="Q266" s="19"/>
      <c r="R266" s="19"/>
      <c r="S266" s="19"/>
    </row>
    <row r="267" spans="1:21">
      <c r="A267" s="211">
        <v>46219</v>
      </c>
      <c r="B267" s="6" t="str">
        <f>VLOOKUP(C267,'Product List'!A:C,3,0)</f>
        <v>MMO-PAPER PEBBLES</v>
      </c>
      <c r="C267" s="129" t="s">
        <v>42</v>
      </c>
      <c r="D267" s="173">
        <f>VLOOKUP(C267,'Product List'!A:B,2,0)</f>
        <v>850067049258</v>
      </c>
      <c r="E267" s="20" t="s">
        <v>252</v>
      </c>
      <c r="F267" s="6" t="s">
        <v>253</v>
      </c>
      <c r="G267" s="99">
        <v>1896</v>
      </c>
      <c r="H267" s="212">
        <v>46264</v>
      </c>
      <c r="I267" s="212">
        <f>IF(Q267="","",_xlfn.XLOOKUP(Q267,'Shipment Control'!A:A,'Shipment Control'!G:G))</f>
        <v>46281</v>
      </c>
      <c r="J267" s="140">
        <f>IF(Q267="",H267+30,_xlfn.XLOOKUP(Q267,'Shipment Control'!A:A,'Shipment Control'!H:H))</f>
        <v>46294</v>
      </c>
      <c r="L267" s="212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99">
        <f t="shared" si="6"/>
        <v>158</v>
      </c>
      <c r="P267" s="213">
        <f>_xlfn.XLOOKUP(M267,'Case Pack'!A:A,'Case Pack'!H:H)*O267</f>
        <v>11.5994002962963</v>
      </c>
      <c r="Q267" s="19" t="s">
        <v>249</v>
      </c>
      <c r="R267" s="19" t="s">
        <v>250</v>
      </c>
      <c r="S267" s="19" t="s">
        <v>251</v>
      </c>
    </row>
    <row r="268" spans="1:21">
      <c r="A268" s="211">
        <v>46219</v>
      </c>
      <c r="B268" s="6" t="str">
        <f>VLOOKUP(C268,'Product List'!A:C,3,0)</f>
        <v>MINI/MOE TULIP WATER BOTTLE</v>
      </c>
      <c r="C268" s="129" t="s">
        <v>29</v>
      </c>
      <c r="D268" s="173">
        <f>VLOOKUP(C268,'Product List'!A:B,2,0)</f>
        <v>850062627567</v>
      </c>
      <c r="E268" s="20" t="s">
        <v>252</v>
      </c>
      <c r="F268" s="6" t="s">
        <v>253</v>
      </c>
      <c r="G268" s="99">
        <v>180</v>
      </c>
      <c r="H268" s="212">
        <v>46255</v>
      </c>
      <c r="I268" s="212">
        <f>IF(Q268="","",_xlfn.XLOOKUP(Q268,'Shipment Control'!A:A,'Shipment Control'!G:G))</f>
        <v>46258</v>
      </c>
      <c r="J268" s="140">
        <f>IF(Q268="",H268+30,_xlfn.XLOOKUP(Q268,'Shipment Control'!A:A,'Shipment Control'!H:H))</f>
        <v>46277</v>
      </c>
      <c r="L268" s="212" t="s">
        <v>142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99">
        <f t="shared" si="6"/>
        <v>3</v>
      </c>
      <c r="P268" s="213">
        <f>_xlfn.XLOOKUP(M268,'Case Pack'!A:A,'Case Pack'!H:H)*O268</f>
        <v>0.471946666666667</v>
      </c>
      <c r="Q268" s="19" t="s">
        <v>225</v>
      </c>
      <c r="R268" s="19" t="s">
        <v>226</v>
      </c>
      <c r="S268" s="19" t="s">
        <v>227</v>
      </c>
    </row>
    <row r="269" spans="1:21">
      <c r="A269" s="211">
        <v>46219</v>
      </c>
      <c r="B269" s="6" t="str">
        <f>VLOOKUP(C269,'Product List'!A:C,3,0)</f>
        <v>MINI/MOE SILENT CRSTL RUN WHEEL LG 8.5-White</v>
      </c>
      <c r="C269" s="129" t="s">
        <v>41</v>
      </c>
      <c r="D269" s="173">
        <f>VLOOKUP(C269,'Product List'!A:B,2,0)</f>
        <v>850062627680</v>
      </c>
      <c r="E269" s="20" t="s">
        <v>252</v>
      </c>
      <c r="F269" s="6" t="s">
        <v>253</v>
      </c>
      <c r="G269" s="99">
        <v>1312</v>
      </c>
      <c r="H269" s="212">
        <v>46255</v>
      </c>
      <c r="I269" s="212">
        <f>IF(Q269="","",_xlfn.XLOOKUP(Q269,'Shipment Control'!A:A,'Shipment Control'!G:G))</f>
        <v>46258</v>
      </c>
      <c r="J269" s="140">
        <f>IF(Q269="",H269+30,_xlfn.XLOOKUP(Q269,'Shipment Control'!A:A,'Shipment Control'!H:H))</f>
        <v>46277</v>
      </c>
      <c r="L269" s="212" t="s">
        <v>142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99">
        <f t="shared" si="6"/>
        <v>164</v>
      </c>
      <c r="P269" s="213">
        <f>_xlfn.XLOOKUP(M269,'Case Pack'!A:A,'Case Pack'!H:H)*O269</f>
        <v>25.7997511111111</v>
      </c>
      <c r="Q269" s="19" t="s">
        <v>225</v>
      </c>
      <c r="R269" s="19" t="s">
        <v>226</v>
      </c>
      <c r="S269" s="19" t="s">
        <v>227</v>
      </c>
    </row>
    <row r="270" spans="1:21">
      <c r="A270" s="211">
        <v>46219</v>
      </c>
      <c r="B270" s="6" t="str">
        <f>VLOOKUP(C270,'Product List'!A:C,3,0)</f>
        <v>MINI/MOE TREEHOUSE CABIN</v>
      </c>
      <c r="C270" s="174" t="s">
        <v>79</v>
      </c>
      <c r="D270" s="173">
        <f>VLOOKUP(C270,'Product List'!A:B,2,0)</f>
        <v>760762457022</v>
      </c>
      <c r="E270" s="20" t="s">
        <v>252</v>
      </c>
      <c r="F270" s="6" t="s">
        <v>253</v>
      </c>
      <c r="G270" s="99">
        <v>510</v>
      </c>
      <c r="H270" s="212">
        <v>46281</v>
      </c>
      <c r="I270" s="212" t="str">
        <f>IF(Q270="","",_xlfn.XLOOKUP(Q270,'Shipment Control'!A:A,'Shipment Control'!G:G))</f>
        <v/>
      </c>
      <c r="J270" s="140">
        <f>IF(Q270="",H270+30,_xlfn.XLOOKUP(Q270,'Shipment Control'!A:A,'Shipment Control'!H:H))</f>
        <v>46311</v>
      </c>
      <c r="L270" s="212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99">
        <f t="shared" si="6"/>
        <v>17</v>
      </c>
      <c r="P270" s="213">
        <f>_xlfn.XLOOKUP(M270,'Case Pack'!A:A,'Case Pack'!H:H)*O270</f>
        <v>2.67436444444444</v>
      </c>
      <c r="Q270" s="19"/>
      <c r="R270" s="19"/>
      <c r="S270" s="19"/>
    </row>
    <row r="271" spans="1:21">
      <c r="A271" s="211">
        <v>46219</v>
      </c>
      <c r="B271" s="6" t="str">
        <f>VLOOKUP(C271,'Product List'!A:C,3,0)</f>
        <v>MMO-SHELL PEARL HAMSTER CHEW</v>
      </c>
      <c r="C271" s="129" t="s">
        <v>48</v>
      </c>
      <c r="D271" s="173">
        <f>VLOOKUP(C271,'Product List'!A:B,2,0)</f>
        <v>698746777074</v>
      </c>
      <c r="E271" s="20" t="s">
        <v>252</v>
      </c>
      <c r="F271" s="6" t="s">
        <v>253</v>
      </c>
      <c r="G271" s="99">
        <v>896</v>
      </c>
      <c r="H271" s="212">
        <v>46247</v>
      </c>
      <c r="I271" s="212">
        <f>IF(Q271="","",_xlfn.XLOOKUP(Q271,'Shipment Control'!A:A,'Shipment Control'!G:G))</f>
        <v>46260</v>
      </c>
      <c r="J271" s="140">
        <f>IF(Q271="",H271+30,_xlfn.XLOOKUP(Q271,'Shipment Control'!A:A,'Shipment Control'!H:H))</f>
        <v>46274</v>
      </c>
      <c r="L271" s="212" t="s">
        <v>142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99">
        <f t="shared" si="6"/>
        <v>14</v>
      </c>
      <c r="P271" s="213">
        <f>_xlfn.XLOOKUP(M271,'Case Pack'!A:A,'Case Pack'!H:H)*O271</f>
        <v>1.02779496296296</v>
      </c>
      <c r="Q271" s="228" t="s">
        <v>248</v>
      </c>
      <c r="R271" s="19" t="s">
        <v>174</v>
      </c>
      <c r="S271" s="19"/>
    </row>
    <row r="272" customFormat="1" spans="1:21">
      <c r="A272" s="211">
        <v>46219</v>
      </c>
      <c r="B272" s="6" t="str">
        <f>VLOOKUP(C272,'Product List'!A:C,3,0)</f>
        <v>MMO-SHELL PEARL HAMSTER CHEW</v>
      </c>
      <c r="C272" s="174" t="s">
        <v>48</v>
      </c>
      <c r="D272" s="173">
        <f>VLOOKUP(C272,'Product List'!A:B,2,0)</f>
        <v>698746777074</v>
      </c>
      <c r="E272" s="20" t="s">
        <v>252</v>
      </c>
      <c r="F272" s="6" t="s">
        <v>253</v>
      </c>
      <c r="G272" s="99">
        <v>128</v>
      </c>
      <c r="H272" s="212">
        <v>46255</v>
      </c>
      <c r="I272" s="212" t="str">
        <f>IF(Q272="","",_xlfn.XLOOKUP(Q272,'Shipment Control'!A:A,'Shipment Control'!G:G))</f>
        <v/>
      </c>
      <c r="J272" s="140">
        <f>IF(Q272="",H272+30,_xlfn.XLOOKUP(Q272,'Shipment Control'!A:A,'Shipment Control'!H:H))</f>
        <v>46285</v>
      </c>
      <c r="K272" s="140"/>
      <c r="L272" s="212" t="s">
        <v>142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99">
        <f t="shared" si="6"/>
        <v>2</v>
      </c>
      <c r="P272" s="213">
        <f>_xlfn.XLOOKUP(M272,'Case Pack'!A:A,'Case Pack'!H:H)*O272</f>
        <v>0.146827851851852</v>
      </c>
      <c r="Q272" s="19"/>
      <c r="R272" s="19"/>
      <c r="S272" s="19"/>
    </row>
    <row r="273" spans="1:19">
      <c r="A273" s="211">
        <v>46219</v>
      </c>
      <c r="B273" s="6" t="str">
        <f>VLOOKUP(C273,'Product List'!A:C,3,0)</f>
        <v>MMO-CAMP LUNCH BOX CHEW</v>
      </c>
      <c r="C273" s="129" t="s">
        <v>40</v>
      </c>
      <c r="D273" s="173">
        <f>VLOOKUP(C273,'Product List'!A:B,2,0)</f>
        <v>698746777012</v>
      </c>
      <c r="E273" s="20" t="s">
        <v>252</v>
      </c>
      <c r="F273" s="6" t="s">
        <v>253</v>
      </c>
      <c r="G273" s="108">
        <v>2448</v>
      </c>
      <c r="H273" s="212">
        <v>46247</v>
      </c>
      <c r="I273" s="212">
        <f>IF(Q273="","",_xlfn.XLOOKUP(Q273,'Shipment Control'!A:A,'Shipment Control'!G:G))</f>
        <v>46260</v>
      </c>
      <c r="J273" s="140">
        <f>IF(Q273="",H273+30,_xlfn.XLOOKUP(Q273,'Shipment Control'!A:A,'Shipment Control'!H:H))</f>
        <v>46274</v>
      </c>
      <c r="L273" s="212" t="s">
        <v>142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99">
        <f t="shared" si="6"/>
        <v>34</v>
      </c>
      <c r="P273" s="213">
        <f>_xlfn.XLOOKUP(M273,'Case Pack'!A:A,'Case Pack'!H:H)*O273</f>
        <v>2.49607348148148</v>
      </c>
      <c r="Q273" s="228" t="s">
        <v>248</v>
      </c>
      <c r="R273" s="19" t="s">
        <v>174</v>
      </c>
      <c r="S273" s="19"/>
    </row>
    <row r="274" spans="1:19">
      <c r="A274" s="211">
        <v>46219</v>
      </c>
      <c r="B274" s="6" t="str">
        <f>VLOOKUP(C274,'Product List'!A:C,3,0)</f>
        <v>MMO-GREEN APPLE CHEW</v>
      </c>
      <c r="C274" s="129" t="s">
        <v>39</v>
      </c>
      <c r="D274" s="173">
        <f>VLOOKUP(C274,'Product List'!A:B,2,0)</f>
        <v>698746777081</v>
      </c>
      <c r="E274" s="20" t="s">
        <v>252</v>
      </c>
      <c r="F274" s="6" t="s">
        <v>253</v>
      </c>
      <c r="G274" s="99">
        <v>2256</v>
      </c>
      <c r="H274" s="212">
        <v>46247</v>
      </c>
      <c r="I274" s="212">
        <f>IF(Q274="","",_xlfn.XLOOKUP(Q274,'Shipment Control'!A:A,'Shipment Control'!G:G))</f>
        <v>46260</v>
      </c>
      <c r="J274" s="140">
        <f>IF(Q274="",H274+30,_xlfn.XLOOKUP(Q274,'Shipment Control'!A:A,'Shipment Control'!H:H))</f>
        <v>46274</v>
      </c>
      <c r="L274" s="212" t="s">
        <v>142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99">
        <f t="shared" si="6"/>
        <v>47</v>
      </c>
      <c r="P274" s="213">
        <f>_xlfn.XLOOKUP(M274,'Case Pack'!A:A,'Case Pack'!H:H)*O274</f>
        <v>3.45045451851852</v>
      </c>
      <c r="Q274" s="228" t="s">
        <v>248</v>
      </c>
      <c r="R274" s="19" t="s">
        <v>174</v>
      </c>
      <c r="S274" s="19"/>
    </row>
    <row r="275" spans="1:19">
      <c r="A275" s="211">
        <v>46241</v>
      </c>
      <c r="B275" s="6" t="str">
        <f>VLOOKUP(C275,'Product List'!A:C,3,0)</f>
        <v>MINI/MOE TV VIEWING CAGE</v>
      </c>
      <c r="C275" s="174" t="s">
        <v>27</v>
      </c>
      <c r="D275" s="173">
        <f>VLOOKUP(C275,'Product List'!A:B,2,0)</f>
        <v>850030338761</v>
      </c>
      <c r="E275" s="20" t="s">
        <v>263</v>
      </c>
      <c r="F275" s="6" t="s">
        <v>264</v>
      </c>
      <c r="G275" s="99">
        <v>579</v>
      </c>
      <c r="H275" s="212">
        <v>46275</v>
      </c>
      <c r="I275" s="212" t="str">
        <f>IF(Q275="","",_xlfn.XLOOKUP(Q275,'Shipment Control'!A:A,'Shipment Control'!G:G))</f>
        <v/>
      </c>
      <c r="J275" s="140">
        <v>46305</v>
      </c>
      <c r="L275" s="212" t="s">
        <v>142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99">
        <f t="shared" si="6"/>
        <v>579</v>
      </c>
      <c r="P275" s="213">
        <f>_xlfn.XLOOKUP(M275,'Case Pack'!A:A,'Case Pack'!H:H)*O275</f>
        <v>42.8323704172</v>
      </c>
      <c r="Q275" s="19"/>
      <c r="R275" s="19"/>
      <c r="S275" s="19"/>
    </row>
    <row r="276" spans="1:19">
      <c r="A276" s="211">
        <v>46241</v>
      </c>
      <c r="B276" s="6" t="str">
        <f>VLOOKUP(C276,'Product List'!A:C,3,0)</f>
        <v>MMO-BUBBLE WATER BOTTLE</v>
      </c>
      <c r="C276" s="129" t="s">
        <v>38</v>
      </c>
      <c r="D276" s="173">
        <f>VLOOKUP(C276,'Product List'!A:B,2,0)</f>
        <v>760762456971</v>
      </c>
      <c r="E276" s="20" t="s">
        <v>263</v>
      </c>
      <c r="F276" s="6" t="s">
        <v>264</v>
      </c>
      <c r="G276" s="99">
        <v>714</v>
      </c>
      <c r="H276" s="212">
        <v>46264</v>
      </c>
      <c r="I276" s="212">
        <f>IF(Q276="","",_xlfn.XLOOKUP(Q276,'Shipment Control'!A:A,'Shipment Control'!G:G))</f>
        <v>46281</v>
      </c>
      <c r="J276" s="140">
        <v>46305</v>
      </c>
      <c r="L276" s="212" t="s">
        <v>142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99">
        <f t="shared" si="6"/>
        <v>17</v>
      </c>
      <c r="P276" s="213">
        <f>_xlfn.XLOOKUP(M276,'Case Pack'!A:A,'Case Pack'!H:H)*O276</f>
        <v>2.67436444444444</v>
      </c>
      <c r="Q276" s="19" t="s">
        <v>249</v>
      </c>
      <c r="R276" s="19" t="s">
        <v>250</v>
      </c>
      <c r="S276" s="19" t="s">
        <v>251</v>
      </c>
    </row>
    <row r="277" spans="1:19">
      <c r="A277" s="211">
        <v>46241</v>
      </c>
      <c r="B277" s="6" t="str">
        <f>VLOOKUP(C277,'Product List'!A:C,3,0)</f>
        <v>MINI/MOE TULIP WATER BOTTLE</v>
      </c>
      <c r="C277" s="129" t="s">
        <v>29</v>
      </c>
      <c r="D277" s="173">
        <f>VLOOKUP(C277,'Product List'!A:B,2,0)</f>
        <v>850062627567</v>
      </c>
      <c r="E277" s="20" t="s">
        <v>263</v>
      </c>
      <c r="F277" s="6" t="s">
        <v>264</v>
      </c>
      <c r="G277" s="99">
        <v>420</v>
      </c>
      <c r="H277" s="212">
        <v>46264</v>
      </c>
      <c r="I277" s="212">
        <f>IF(Q277="","",_xlfn.XLOOKUP(Q277,'Shipment Control'!A:A,'Shipment Control'!G:G))</f>
        <v>46281</v>
      </c>
      <c r="J277" s="140">
        <v>46305</v>
      </c>
      <c r="L277" s="212" t="s">
        <v>142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99">
        <f t="shared" si="6"/>
        <v>7</v>
      </c>
      <c r="P277" s="213">
        <f>_xlfn.XLOOKUP(M277,'Case Pack'!A:A,'Case Pack'!H:H)*O277</f>
        <v>1.10120888888889</v>
      </c>
      <c r="Q277" s="19" t="s">
        <v>249</v>
      </c>
      <c r="R277" s="19" t="s">
        <v>250</v>
      </c>
      <c r="S277" s="19" t="s">
        <v>251</v>
      </c>
    </row>
    <row r="278" spans="1:19">
      <c r="A278" s="211">
        <v>46241</v>
      </c>
      <c r="B278" s="6" t="str">
        <f>VLOOKUP(C278,'Product List'!A:C,3,0)</f>
        <v>MINI/MOE SILENT CRSTL RUN WHEEL LG 8.5-White</v>
      </c>
      <c r="C278" s="129" t="s">
        <v>41</v>
      </c>
      <c r="D278" s="173">
        <f>VLOOKUP(C278,'Product List'!A:B,2,0)</f>
        <v>850062627680</v>
      </c>
      <c r="E278" s="20" t="s">
        <v>263</v>
      </c>
      <c r="F278" s="6" t="s">
        <v>264</v>
      </c>
      <c r="G278" s="99">
        <v>984</v>
      </c>
      <c r="H278" s="212">
        <v>46264</v>
      </c>
      <c r="I278" s="212">
        <f>IF(Q278="","",_xlfn.XLOOKUP(Q278,'Shipment Control'!A:A,'Shipment Control'!G:G))</f>
        <v>46281</v>
      </c>
      <c r="J278" s="140">
        <v>46305</v>
      </c>
      <c r="L278" s="212" t="s">
        <v>142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99">
        <f t="shared" si="6"/>
        <v>123</v>
      </c>
      <c r="P278" s="213">
        <f>_xlfn.XLOOKUP(M278,'Case Pack'!A:A,'Case Pack'!H:H)*O278</f>
        <v>19.3498133333333</v>
      </c>
      <c r="Q278" s="19" t="s">
        <v>249</v>
      </c>
      <c r="R278" s="19" t="s">
        <v>250</v>
      </c>
      <c r="S278" s="19" t="s">
        <v>251</v>
      </c>
    </row>
    <row r="279" spans="1:19">
      <c r="A279" s="211">
        <v>46252</v>
      </c>
      <c r="B279" s="6" t="str">
        <f>VLOOKUP(C279,'Product List'!A:C,3,0)</f>
        <v>MINI/MOE TULIP WATER BOTTLE</v>
      </c>
      <c r="C279" s="174" t="s">
        <v>29</v>
      </c>
      <c r="D279" s="173">
        <f>VLOOKUP(C279,'Product List'!A:B,2,0)</f>
        <v>850062627567</v>
      </c>
      <c r="E279" s="20" t="s">
        <v>265</v>
      </c>
      <c r="F279" s="6" t="s">
        <v>266</v>
      </c>
      <c r="G279" s="99">
        <v>120</v>
      </c>
      <c r="H279" s="212">
        <v>46287</v>
      </c>
      <c r="I279" s="212" t="str">
        <f>IF(Q279="","",_xlfn.XLOOKUP(Q279,'Shipment Control'!A:A,'Shipment Control'!G:G))</f>
        <v/>
      </c>
      <c r="J279" s="140">
        <v>46317</v>
      </c>
      <c r="L279" s="212" t="s">
        <v>142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99">
        <f t="shared" si="6"/>
        <v>2</v>
      </c>
      <c r="P279" s="213">
        <f>_xlfn.XLOOKUP(M279,'Case Pack'!A:A,'Case Pack'!H:H)*O279</f>
        <v>0.314631111111111</v>
      </c>
      <c r="Q279" s="19"/>
      <c r="R279" s="19"/>
      <c r="S279" s="19"/>
    </row>
    <row r="280" spans="1:19">
      <c r="A280" s="211">
        <v>46252</v>
      </c>
      <c r="B280" s="6" t="str">
        <f>VLOOKUP(C280,'Product List'!A:C,3,0)</f>
        <v>MINI/MOE BENDABLE BIRCHWOOD FENCE</v>
      </c>
      <c r="C280" s="174" t="s">
        <v>34</v>
      </c>
      <c r="D280" s="173">
        <f>VLOOKUP(C280,'Product List'!A:B,2,0)</f>
        <v>850030338150</v>
      </c>
      <c r="E280" s="20" t="s">
        <v>265</v>
      </c>
      <c r="F280" s="6" t="s">
        <v>266</v>
      </c>
      <c r="G280" s="99">
        <f>576+128</f>
        <v>704</v>
      </c>
      <c r="H280" s="212">
        <v>46287</v>
      </c>
      <c r="I280" s="212" t="str">
        <f>IF(Q280="","",_xlfn.XLOOKUP(Q280,'Shipment Control'!A:A,'Shipment Control'!G:G))</f>
        <v/>
      </c>
      <c r="J280" s="140">
        <v>46317</v>
      </c>
      <c r="L280" s="212" t="s">
        <v>142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99">
        <f t="shared" si="6"/>
        <v>22</v>
      </c>
      <c r="P280" s="213">
        <f>_xlfn.XLOOKUP(M280,'Case Pack'!A:A,'Case Pack'!H:H)*O280</f>
        <v>0.807553185185185</v>
      </c>
      <c r="Q280" s="19"/>
      <c r="R280" s="19"/>
      <c r="S280" s="19"/>
    </row>
    <row r="281" spans="1:19">
      <c r="A281" s="211">
        <v>46252</v>
      </c>
      <c r="B281" s="6" t="str">
        <f>VLOOKUP(C281,'Product List'!A:C,3,0)</f>
        <v>MINI/MOE MUSHROOM CABIN</v>
      </c>
      <c r="C281" s="174" t="s">
        <v>33</v>
      </c>
      <c r="D281" s="173">
        <f>VLOOKUP(C281,'Product List'!A:B,2,0)</f>
        <v>760762457008</v>
      </c>
      <c r="E281" s="20" t="s">
        <v>265</v>
      </c>
      <c r="F281" s="6" t="s">
        <v>266</v>
      </c>
      <c r="G281" s="99">
        <v>504</v>
      </c>
      <c r="H281" s="212">
        <v>46312</v>
      </c>
      <c r="I281" s="212" t="str">
        <f>IF(Q281="","",_xlfn.XLOOKUP(Q281,'Shipment Control'!A:A,'Shipment Control'!G:G))</f>
        <v/>
      </c>
      <c r="J281" s="140">
        <v>46343</v>
      </c>
      <c r="L281" s="212" t="s">
        <v>142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99">
        <f t="shared" si="6"/>
        <v>31.5</v>
      </c>
      <c r="P281" s="213">
        <f>_xlfn.XLOOKUP(M281,'Case Pack'!A:A,'Case Pack'!H:H)*O281</f>
        <v>4.95544</v>
      </c>
      <c r="Q281" s="19"/>
      <c r="R281" s="19"/>
      <c r="S281" s="19"/>
    </row>
    <row r="282" spans="1:19">
      <c r="A282" s="211">
        <v>46252</v>
      </c>
      <c r="B282" s="6" t="str">
        <f>VLOOKUP(C282,'Product List'!A:C,3,0)</f>
        <v>MINI/MOE TREEHOUSE CABIN</v>
      </c>
      <c r="C282" s="174" t="s">
        <v>79</v>
      </c>
      <c r="D282" s="173">
        <f>VLOOKUP(C282,'Product List'!A:B,2,0)</f>
        <v>760762457022</v>
      </c>
      <c r="E282" s="20" t="s">
        <v>265</v>
      </c>
      <c r="F282" s="6" t="s">
        <v>266</v>
      </c>
      <c r="G282" s="99">
        <v>510</v>
      </c>
      <c r="H282" s="212">
        <v>46312</v>
      </c>
      <c r="I282" s="212" t="str">
        <f>IF(Q282="","",_xlfn.XLOOKUP(Q282,'Shipment Control'!A:A,'Shipment Control'!G:G))</f>
        <v/>
      </c>
      <c r="J282" s="140">
        <v>46343</v>
      </c>
      <c r="L282" s="212" t="s">
        <v>142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99">
        <f t="shared" si="6"/>
        <v>17</v>
      </c>
      <c r="P282" s="213">
        <f>_xlfn.XLOOKUP(M282,'Case Pack'!A:A,'Case Pack'!H:H)*O282</f>
        <v>2.67436444444444</v>
      </c>
      <c r="Q282" s="19"/>
      <c r="R282" s="19"/>
      <c r="S282" s="19"/>
    </row>
    <row r="283" spans="1:19">
      <c r="A283" s="211">
        <v>46252</v>
      </c>
      <c r="B283" s="6" t="str">
        <f>VLOOKUP(C283,'Product List'!A:C,3,0)</f>
        <v>MINI/MOE WOODLAND POTTY</v>
      </c>
      <c r="C283" s="174" t="s">
        <v>30</v>
      </c>
      <c r="D283" s="173">
        <f>VLOOKUP(C283,'Product List'!A:B,2,0)</f>
        <v>760762457077</v>
      </c>
      <c r="E283" s="20" t="s">
        <v>265</v>
      </c>
      <c r="F283" s="6" t="s">
        <v>266</v>
      </c>
      <c r="G283" s="99">
        <v>108</v>
      </c>
      <c r="H283" s="212">
        <v>46287</v>
      </c>
      <c r="I283" s="212" t="str">
        <f>IF(Q283="","",_xlfn.XLOOKUP(Q283,'Shipment Control'!A:A,'Shipment Control'!G:G))</f>
        <v/>
      </c>
      <c r="J283" s="140">
        <v>46317</v>
      </c>
      <c r="L283" s="212" t="s">
        <v>142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99">
        <f t="shared" si="6"/>
        <v>3</v>
      </c>
      <c r="P283" s="213">
        <f>_xlfn.XLOOKUP(M283,'Case Pack'!A:A,'Case Pack'!H:H)*O283</f>
        <v>0.471946666666667</v>
      </c>
      <c r="Q283" s="19"/>
      <c r="R283" s="19"/>
      <c r="S283" s="19"/>
    </row>
    <row r="284" spans="1:19">
      <c r="A284" s="211">
        <v>46255</v>
      </c>
      <c r="B284" s="6" t="str">
        <f>VLOOKUP(C284,'Product List'!A:C,3,0)</f>
        <v>MINI/MOE SILENT CRSTL RUN WHEEL LG 8.5-White</v>
      </c>
      <c r="C284" s="129" t="s">
        <v>41</v>
      </c>
      <c r="D284" s="173">
        <f>VLOOKUP(C284,'Product List'!A:B,2,0)</f>
        <v>850062627680</v>
      </c>
      <c r="E284" s="15"/>
      <c r="F284" s="6" t="s">
        <v>267</v>
      </c>
      <c r="G284" s="99">
        <v>456</v>
      </c>
      <c r="L284" s="212" t="s">
        <v>142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99">
        <f t="shared" ref="O284:O311" si="7">G284/N284</f>
        <v>57</v>
      </c>
      <c r="P284" s="213">
        <f>_xlfn.XLOOKUP(M284,'Case Pack'!A:A,'Case Pack'!H:H)*O284</f>
        <v>8.96698666666667</v>
      </c>
      <c r="Q284" s="19"/>
      <c r="R284" s="19"/>
      <c r="S284" s="19"/>
    </row>
    <row r="285" spans="1:19">
      <c r="A285" s="211">
        <v>46255</v>
      </c>
      <c r="B285" s="6" t="str">
        <f>VLOOKUP(C285,'Product List'!A:C,3,0)</f>
        <v>Crystal Outdoor Cage</v>
      </c>
      <c r="C285" s="129" t="s">
        <v>52</v>
      </c>
      <c r="D285" s="173">
        <f>VLOOKUP(C285,'Product List'!A:B,2,0)</f>
        <v>698746777579</v>
      </c>
      <c r="E285" s="15"/>
      <c r="F285" s="6" t="s">
        <v>267</v>
      </c>
      <c r="G285" s="99">
        <v>612</v>
      </c>
      <c r="L285" s="212" t="s">
        <v>142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99">
        <f t="shared" si="7"/>
        <v>122.4</v>
      </c>
      <c r="P285" s="213">
        <f>_xlfn.XLOOKUP(M285,'Case Pack'!A:A,'Case Pack'!H:H)*O285</f>
        <v>13.4787968</v>
      </c>
      <c r="Q285" s="19"/>
      <c r="R285" s="19"/>
      <c r="S285" s="19"/>
    </row>
    <row r="286" spans="1:19">
      <c r="A286" s="211">
        <v>46255</v>
      </c>
      <c r="B286" s="6" t="str">
        <f>VLOOKUP(C286,'Product List'!A:C,3,0)</f>
        <v>Simple Rabbit Bowl</v>
      </c>
      <c r="C286" s="129" t="s">
        <v>88</v>
      </c>
      <c r="D286" s="173">
        <f>VLOOKUP(C286,'Product List'!A:B,2,0)</f>
        <v>850062627383</v>
      </c>
      <c r="E286" s="15"/>
      <c r="F286" s="6" t="s">
        <v>267</v>
      </c>
      <c r="G286" s="99">
        <v>1020</v>
      </c>
      <c r="L286" s="212" t="s">
        <v>142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99">
        <f t="shared" si="7"/>
        <v>17</v>
      </c>
      <c r="P286" s="213" t="e">
        <f>_xlfn.XLOOKUP(M286,'Case Pack'!A:A,'Case Pack'!H:H)*O286</f>
        <v>#N/A</v>
      </c>
      <c r="Q286" s="19"/>
      <c r="R286" s="19"/>
      <c r="S286" s="19"/>
    </row>
    <row r="287" spans="1:19">
      <c r="A287" s="211">
        <v>46255</v>
      </c>
      <c r="B287" s="6" t="str">
        <f>VLOOKUP(C287,'Product List'!A:C,3,0)</f>
        <v>MINI/MOE TULIP WATER BOTTLE</v>
      </c>
      <c r="C287" s="129" t="s">
        <v>29</v>
      </c>
      <c r="D287" s="173">
        <f>VLOOKUP(C287,'Product List'!A:B,2,0)</f>
        <v>850062627567</v>
      </c>
      <c r="E287" s="15"/>
      <c r="F287" s="6" t="s">
        <v>267</v>
      </c>
      <c r="G287" s="99">
        <v>2400</v>
      </c>
      <c r="L287" s="212" t="s">
        <v>142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99">
        <f t="shared" si="7"/>
        <v>40</v>
      </c>
      <c r="P287" s="213">
        <f>_xlfn.XLOOKUP(M287,'Case Pack'!A:A,'Case Pack'!H:H)*O287</f>
        <v>6.29262222222222</v>
      </c>
      <c r="Q287" s="19"/>
      <c r="R287" s="19"/>
      <c r="S287" s="19"/>
    </row>
    <row r="288" spans="1:19">
      <c r="A288" s="211">
        <v>46255</v>
      </c>
      <c r="B288" s="6" t="str">
        <f>VLOOKUP(C288,'Product List'!A:C,3,0)</f>
        <v>Silent Crystal Running Wheel XL</v>
      </c>
      <c r="C288" s="129" t="s">
        <v>98</v>
      </c>
      <c r="D288" s="173">
        <f>VLOOKUP(C288,'Product List'!A:B,2,0)</f>
        <v>850030338501</v>
      </c>
      <c r="E288" s="15"/>
      <c r="F288" s="6" t="s">
        <v>267</v>
      </c>
      <c r="G288" s="99">
        <v>120</v>
      </c>
      <c r="L288" s="212" t="s">
        <v>142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99">
        <f t="shared" si="7"/>
        <v>30</v>
      </c>
      <c r="P288" s="213" t="e">
        <f>_xlfn.XLOOKUP(M288,'Case Pack'!A:A,'Case Pack'!H:H)*O288</f>
        <v>#N/A</v>
      </c>
      <c r="Q288" s="19"/>
      <c r="R288" s="19"/>
      <c r="S288" s="19"/>
    </row>
    <row r="289" spans="1:19">
      <c r="A289" s="211">
        <v>46255</v>
      </c>
      <c r="B289" s="6" t="str">
        <f>VLOOKUP(C289,'Product List'!A:C,3,0)</f>
        <v>Little Devil Travel Cage</v>
      </c>
      <c r="C289" s="129" t="s">
        <v>58</v>
      </c>
      <c r="D289" s="173">
        <f>VLOOKUP(C289,'Product List'!A:B,2,0)</f>
        <v>850030338921</v>
      </c>
      <c r="E289" s="15"/>
      <c r="F289" s="6" t="s">
        <v>267</v>
      </c>
      <c r="G289" s="99">
        <v>576</v>
      </c>
      <c r="L289" s="212" t="s">
        <v>142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99">
        <f t="shared" si="7"/>
        <v>32</v>
      </c>
      <c r="P289" s="213">
        <f>_xlfn.XLOOKUP(M289,'Case Pack'!A:A,'Case Pack'!H:H)*O289</f>
        <v>5.03409777777778</v>
      </c>
      <c r="Q289" s="19"/>
      <c r="R289" s="19"/>
      <c r="S289" s="19"/>
    </row>
    <row r="290" spans="1:19">
      <c r="A290" s="211">
        <v>46255</v>
      </c>
      <c r="B290" s="6" t="str">
        <f>VLOOKUP(C290,'Product List'!A:C,3,0)</f>
        <v>Cheese Bowl</v>
      </c>
      <c r="C290" s="129" t="s">
        <v>112</v>
      </c>
      <c r="D290" s="173">
        <f>VLOOKUP(C290,'Product List'!A:B,2,0)</f>
        <v>850030338181</v>
      </c>
      <c r="E290" s="15"/>
      <c r="F290" s="6" t="s">
        <v>267</v>
      </c>
      <c r="G290" s="99">
        <v>528</v>
      </c>
      <c r="L290" s="212" t="s">
        <v>142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99">
        <f t="shared" si="7"/>
        <v>11</v>
      </c>
      <c r="P290" s="213" t="e">
        <f>_xlfn.XLOOKUP(M290,'Case Pack'!A:A,'Case Pack'!H:H)*O290</f>
        <v>#N/A</v>
      </c>
      <c r="Q290" s="19"/>
      <c r="R290" s="19"/>
      <c r="S290" s="19"/>
    </row>
    <row r="291" spans="1:19">
      <c r="A291" s="211">
        <v>46255</v>
      </c>
      <c r="B291" s="6" t="str">
        <f>VLOOKUP(C291,'Product List'!A:C,3,0)</f>
        <v>Modern Viewing Cage (100cm)</v>
      </c>
      <c r="C291" s="129" t="s">
        <v>99</v>
      </c>
      <c r="D291" s="173">
        <f>VLOOKUP(C291,'Product List'!A:B,2,0)</f>
        <v>850030338358</v>
      </c>
      <c r="E291" s="15"/>
      <c r="F291" s="6" t="s">
        <v>267</v>
      </c>
      <c r="G291" s="99">
        <v>196</v>
      </c>
      <c r="L291" s="212" t="s">
        <v>142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99">
        <f t="shared" si="7"/>
        <v>196</v>
      </c>
      <c r="P291" s="213" t="e">
        <f>_xlfn.XLOOKUP(M291,'Case Pack'!A:A,'Case Pack'!H:H)*O291</f>
        <v>#N/A</v>
      </c>
      <c r="Q291" s="19"/>
      <c r="R291" s="19"/>
      <c r="S291" s="19"/>
    </row>
    <row r="292" spans="1:19">
      <c r="A292" s="211">
        <v>46255</v>
      </c>
      <c r="B292" s="6" t="str">
        <f>VLOOKUP(C292,'Product List'!A:C,3,0)</f>
        <v>Little Devil Travel Cage</v>
      </c>
      <c r="C292" s="129" t="s">
        <v>90</v>
      </c>
      <c r="D292" s="173">
        <f>VLOOKUP(C292,'Product List'!A:B,2,0)</f>
        <v>850081655008</v>
      </c>
      <c r="E292" s="15"/>
      <c r="F292" s="6" t="s">
        <v>267</v>
      </c>
      <c r="G292" s="99">
        <v>1152</v>
      </c>
      <c r="L292" s="212" t="s">
        <v>142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99">
        <f t="shared" si="7"/>
        <v>1152</v>
      </c>
      <c r="P292" s="213" t="e">
        <f>_xlfn.XLOOKUP(M292,'Case Pack'!A:A,'Case Pack'!H:H)*O292</f>
        <v>#N/A</v>
      </c>
      <c r="Q292" s="19"/>
      <c r="R292" s="19"/>
      <c r="S292" s="19"/>
    </row>
    <row r="293" spans="1:19">
      <c r="A293" s="211">
        <v>46255</v>
      </c>
      <c r="B293" s="6" t="str">
        <f>VLOOKUP(C293,'Product List'!A:C,3,0)</f>
        <v>Tulip Hay Feeder</v>
      </c>
      <c r="C293" s="129" t="s">
        <v>89</v>
      </c>
      <c r="D293" s="173">
        <f>VLOOKUP(C293,'Product List'!A:B,2,0)</f>
        <v>850062627406</v>
      </c>
      <c r="E293" s="15"/>
      <c r="F293" s="6" t="s">
        <v>267</v>
      </c>
      <c r="G293" s="99">
        <v>528</v>
      </c>
      <c r="L293" s="212" t="s">
        <v>142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99">
        <f t="shared" si="7"/>
        <v>66</v>
      </c>
      <c r="P293" s="213" t="e">
        <f>_xlfn.XLOOKUP(M293,'Case Pack'!A:A,'Case Pack'!H:H)*O293</f>
        <v>#N/A</v>
      </c>
      <c r="Q293" s="19"/>
      <c r="R293" s="19"/>
      <c r="S293" s="19"/>
    </row>
    <row r="294" spans="1:19">
      <c r="A294" s="211">
        <v>46255</v>
      </c>
      <c r="B294" s="6" t="str">
        <f>VLOOKUP(C294,'Product List'!A:C,3,0)</f>
        <v>Ceramic Candy Bowl</v>
      </c>
      <c r="C294" s="129" t="s">
        <v>70</v>
      </c>
      <c r="D294" s="173">
        <f>VLOOKUP(C294,'Product List'!A:B,2,0)</f>
        <v>850030338174</v>
      </c>
      <c r="E294" s="15"/>
      <c r="F294" s="6" t="s">
        <v>267</v>
      </c>
      <c r="G294" s="99">
        <v>288</v>
      </c>
      <c r="L294" s="212" t="s">
        <v>142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99">
        <f t="shared" si="7"/>
        <v>6</v>
      </c>
      <c r="P294" s="213">
        <f>_xlfn.XLOOKUP(M294,'Case Pack'!A:A,'Case Pack'!H:H)*O294</f>
        <v>0.440483555555556</v>
      </c>
      <c r="Q294" s="19"/>
      <c r="R294" s="19"/>
      <c r="S294" s="19"/>
    </row>
    <row r="295" spans="1:19">
      <c r="A295" s="211">
        <v>46255</v>
      </c>
      <c r="B295" s="6" t="str">
        <f>VLOOKUP(C295,'Product List'!A:C,3,0)</f>
        <v>Tulip Toilet</v>
      </c>
      <c r="C295" s="129" t="s">
        <v>91</v>
      </c>
      <c r="D295" s="173">
        <f>VLOOKUP(C295,'Product List'!A:B,2,0)</f>
        <v>850062627413</v>
      </c>
      <c r="E295" s="15"/>
      <c r="F295" s="6" t="s">
        <v>267</v>
      </c>
      <c r="G295" s="99">
        <v>700</v>
      </c>
      <c r="L295" s="212" t="s">
        <v>142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99">
        <f t="shared" si="7"/>
        <v>70</v>
      </c>
      <c r="P295" s="213" t="e">
        <f>_xlfn.XLOOKUP(M295,'Case Pack'!A:A,'Case Pack'!H:H)*O295</f>
        <v>#N/A</v>
      </c>
      <c r="Q295" s="19"/>
      <c r="R295" s="19"/>
      <c r="S295" s="19"/>
    </row>
    <row r="296" spans="1:19">
      <c r="A296" s="211">
        <v>46255</v>
      </c>
      <c r="B296" s="6" t="str">
        <f>VLOOKUP(C296,'Product List'!A:C,3,0)</f>
        <v>MMO-CLOUD WATER BOTTLE</v>
      </c>
      <c r="C296" s="161" t="s">
        <v>37</v>
      </c>
      <c r="D296" s="173">
        <f>VLOOKUP(C296,'Product List'!A:B,2,0)</f>
        <v>850030338112</v>
      </c>
      <c r="E296" s="15"/>
      <c r="F296" s="6" t="s">
        <v>267</v>
      </c>
      <c r="G296" s="99">
        <v>3360</v>
      </c>
      <c r="L296" s="212" t="s">
        <v>142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99">
        <f t="shared" si="7"/>
        <v>67.2</v>
      </c>
      <c r="P296" s="213">
        <f>_xlfn.XLOOKUP(M296,'Case Pack'!A:A,'Case Pack'!H:H)*O296</f>
        <v>7.40012373333333</v>
      </c>
      <c r="Q296" s="19"/>
      <c r="R296" s="19"/>
      <c r="S296" s="19"/>
    </row>
    <row r="297" spans="1:19">
      <c r="A297" s="211">
        <v>46255</v>
      </c>
      <c r="B297" s="6" t="str">
        <f>VLOOKUP(C297,'Product List'!A:C,3,0)</f>
        <v>MINI/MOE TV VIEWING CAGE</v>
      </c>
      <c r="C297" s="129" t="s">
        <v>27</v>
      </c>
      <c r="D297" s="173">
        <f>VLOOKUP(C297,'Product List'!A:B,2,0)</f>
        <v>850030338761</v>
      </c>
      <c r="E297" s="15"/>
      <c r="F297" s="6" t="s">
        <v>267</v>
      </c>
      <c r="G297" s="99">
        <v>389</v>
      </c>
      <c r="L297" s="212" t="s">
        <v>142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99">
        <f t="shared" si="7"/>
        <v>389</v>
      </c>
      <c r="P297" s="213">
        <f>_xlfn.XLOOKUP(M297,'Case Pack'!A:A,'Case Pack'!H:H)*O297</f>
        <v>28.7768429918667</v>
      </c>
      <c r="Q297" s="19"/>
      <c r="R297" s="19"/>
      <c r="S297" s="19"/>
    </row>
    <row r="298" spans="1:19">
      <c r="A298" s="211">
        <v>46255</v>
      </c>
      <c r="B298" s="6" t="str">
        <f>VLOOKUP(C298,'Product List'!A:C,3,0)</f>
        <v>XL Garden Travel Cage</v>
      </c>
      <c r="C298" s="129" t="s">
        <v>101</v>
      </c>
      <c r="D298" s="173">
        <f>VLOOKUP(C298,'Product List'!A:B,2,0)</f>
        <v>760762457060</v>
      </c>
      <c r="E298" s="15"/>
      <c r="F298" s="6" t="s">
        <v>267</v>
      </c>
      <c r="G298" s="99">
        <v>508</v>
      </c>
      <c r="L298" s="212" t="s">
        <v>142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99">
        <f t="shared" si="7"/>
        <v>127</v>
      </c>
      <c r="P298" s="213" t="e">
        <f>_xlfn.XLOOKUP(M298,'Case Pack'!A:A,'Case Pack'!H:H)*O298</f>
        <v>#N/A</v>
      </c>
      <c r="Q298" s="19"/>
      <c r="R298" s="19"/>
      <c r="S298" s="19"/>
    </row>
    <row r="299" spans="1:19">
      <c r="A299" s="211">
        <v>46255</v>
      </c>
      <c r="B299" s="6" t="str">
        <f>VLOOKUP(C299,'Product List'!A:C,3,0)</f>
        <v>NONO Magnetic Water Bottle (220 ML)</v>
      </c>
      <c r="C299" s="129" t="s">
        <v>67</v>
      </c>
      <c r="D299" s="173">
        <f>VLOOKUP(C299,'Product List'!A:B,2,0)</f>
        <v>698746776688</v>
      </c>
      <c r="E299" s="15"/>
      <c r="F299" s="6" t="s">
        <v>267</v>
      </c>
      <c r="G299" s="99">
        <v>900</v>
      </c>
      <c r="L299" s="212" t="s">
        <v>142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99">
        <f t="shared" si="7"/>
        <v>15</v>
      </c>
      <c r="P299" s="213">
        <f>_xlfn.XLOOKUP(M299,'Case Pack'!A:A,'Case Pack'!H:H)*O299</f>
        <v>1.65181333333333</v>
      </c>
      <c r="Q299" s="19"/>
      <c r="R299" s="19"/>
      <c r="S299" s="19"/>
    </row>
    <row r="300" spans="1:19">
      <c r="A300" s="211">
        <v>46255</v>
      </c>
      <c r="B300" s="6" t="str">
        <f>VLOOKUP(C300,'Product List'!A:C,3,0)</f>
        <v>XL Garden Travel Cage</v>
      </c>
      <c r="C300" s="129" t="s">
        <v>97</v>
      </c>
      <c r="D300" s="173">
        <f>VLOOKUP(C300,'Product List'!A:B,2,0)</f>
        <v>698746776664</v>
      </c>
      <c r="E300" s="15"/>
      <c r="F300" s="6" t="s">
        <v>267</v>
      </c>
      <c r="G300" s="99">
        <v>332</v>
      </c>
      <c r="L300" s="212" t="s">
        <v>142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99">
        <f t="shared" si="7"/>
        <v>83</v>
      </c>
      <c r="P300" s="213" t="e">
        <f>_xlfn.XLOOKUP(M300,'Case Pack'!A:A,'Case Pack'!H:H)*O300</f>
        <v>#N/A</v>
      </c>
      <c r="Q300" s="19"/>
      <c r="R300" s="19"/>
      <c r="S300" s="19"/>
    </row>
    <row r="301" spans="1:19">
      <c r="A301" s="211">
        <v>46255</v>
      </c>
      <c r="B301" s="6" t="str">
        <f>VLOOKUP(C301,'Product List'!A:C,3,0)</f>
        <v>Simple Hay/Grass Feeder</v>
      </c>
      <c r="C301" s="161" t="s">
        <v>92</v>
      </c>
      <c r="D301" s="173">
        <f>VLOOKUP(C301,'Product List'!A:B,2,0)</f>
        <v>698746776527</v>
      </c>
      <c r="E301" s="15"/>
      <c r="F301" s="6" t="s">
        <v>267</v>
      </c>
      <c r="G301" s="99">
        <v>480</v>
      </c>
      <c r="L301" s="212" t="s">
        <v>142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99">
        <f t="shared" si="7"/>
        <v>8</v>
      </c>
      <c r="P301" s="213" t="e">
        <f>_xlfn.XLOOKUP(M301,'Case Pack'!A:A,'Case Pack'!H:H)*O301</f>
        <v>#N/A</v>
      </c>
      <c r="Q301" s="19"/>
      <c r="R301" s="19"/>
      <c r="S301" s="19"/>
    </row>
    <row r="302" spans="1:19">
      <c r="A302" s="211">
        <v>46255</v>
      </c>
      <c r="B302" s="6" t="str">
        <f>VLOOKUP(C302,'Product List'!A:C,3,0)</f>
        <v>Rabbit Drinking Bottle (750ml)</v>
      </c>
      <c r="C302" s="129" t="s">
        <v>87</v>
      </c>
      <c r="D302" s="173">
        <f>VLOOKUP(C302,'Product List'!A:B,2,0)</f>
        <v>698746776558</v>
      </c>
      <c r="E302" s="15"/>
      <c r="F302" s="6" t="s">
        <v>267</v>
      </c>
      <c r="G302" s="99">
        <v>1740</v>
      </c>
      <c r="L302" s="212" t="s">
        <v>142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99">
        <f t="shared" si="7"/>
        <v>29</v>
      </c>
      <c r="P302" s="213" t="e">
        <f>_xlfn.XLOOKUP(M302,'Case Pack'!A:A,'Case Pack'!H:H)*O302</f>
        <v>#N/A</v>
      </c>
      <c r="Q302" s="19"/>
      <c r="R302" s="19"/>
      <c r="S302" s="19"/>
    </row>
    <row r="303" spans="1:19">
      <c r="A303" s="211">
        <v>46255</v>
      </c>
      <c r="B303" s="6" t="str">
        <f>VLOOKUP(C303,'Product List'!A:C,3,0)</f>
        <v>Bubble water bottle (color:green)</v>
      </c>
      <c r="C303" s="129" t="s">
        <v>80</v>
      </c>
      <c r="D303" s="173">
        <f>VLOOKUP(C303,'Product List'!A:B,2,0)</f>
        <v>634413994429</v>
      </c>
      <c r="E303" s="15"/>
      <c r="F303" s="6" t="s">
        <v>267</v>
      </c>
      <c r="G303" s="99">
        <v>540</v>
      </c>
      <c r="L303" s="212" t="s">
        <v>142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99">
        <f t="shared" si="7"/>
        <v>30</v>
      </c>
      <c r="P303" s="213">
        <f>_xlfn.XLOOKUP(M303,'Case Pack'!A:A,'Case Pack'!H:H)*O303</f>
        <v>2.20241777777778</v>
      </c>
      <c r="Q303" s="19"/>
      <c r="R303" s="19"/>
      <c r="S303" s="19"/>
    </row>
    <row r="304" spans="1:19">
      <c r="A304" s="211">
        <v>46255</v>
      </c>
      <c r="B304" s="6" t="str">
        <f>VLOOKUP(C304,'Product List'!A:C,3,0)</f>
        <v>D. MMO-COTTAGE VIEW CAGE</v>
      </c>
      <c r="C304" s="129" t="s">
        <v>57</v>
      </c>
      <c r="D304" s="173">
        <f>VLOOKUP(C304,'Product List'!A:B,2,0)</f>
        <v>850030338730</v>
      </c>
      <c r="E304" s="15"/>
      <c r="F304" s="6" t="s">
        <v>267</v>
      </c>
      <c r="G304" s="99">
        <v>119</v>
      </c>
      <c r="L304" s="212" t="s">
        <v>142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99">
        <f t="shared" si="7"/>
        <v>119</v>
      </c>
      <c r="P304" s="213">
        <f>_xlfn.XLOOKUP(M304,'Case Pack'!A:A,'Case Pack'!H:H)*O304</f>
        <v>16.922486170184</v>
      </c>
      <c r="Q304" s="19"/>
      <c r="R304" s="19"/>
      <c r="S304" s="19"/>
    </row>
    <row r="305" spans="1:20">
      <c r="A305" s="211">
        <v>46255</v>
      </c>
      <c r="B305" s="6" t="str">
        <f>VLOOKUP(C305,'Product List'!A:C,3,0)</f>
        <v>XL Garden Travel Cage</v>
      </c>
      <c r="C305" s="129" t="s">
        <v>96</v>
      </c>
      <c r="D305" s="173">
        <f>VLOOKUP(C305,'Product List'!A:B,2,0)</f>
        <v>698746776671</v>
      </c>
      <c r="E305" s="15"/>
      <c r="F305" s="6" t="s">
        <v>267</v>
      </c>
      <c r="G305" s="99">
        <v>468</v>
      </c>
      <c r="L305" s="212" t="s">
        <v>142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99">
        <f t="shared" si="7"/>
        <v>117</v>
      </c>
      <c r="P305" s="213" t="e">
        <f>_xlfn.XLOOKUP(M305,'Case Pack'!A:A,'Case Pack'!H:H)*O305</f>
        <v>#N/A</v>
      </c>
      <c r="Q305" s="19"/>
      <c r="R305" s="19"/>
      <c r="S305" s="19"/>
    </row>
    <row r="306" spans="1:20">
      <c r="A306" s="211">
        <v>46255</v>
      </c>
      <c r="B306" s="6" t="str">
        <f>VLOOKUP(C306,'Product List'!A:C,3,0)</f>
        <v>Rabbit Drinking Bottle (250ml)</v>
      </c>
      <c r="C306" s="129" t="s">
        <v>84</v>
      </c>
      <c r="D306" s="173">
        <f>VLOOKUP(C306,'Product List'!A:B,2,0)</f>
        <v>698746776534</v>
      </c>
      <c r="E306" s="15"/>
      <c r="F306" s="6" t="s">
        <v>267</v>
      </c>
      <c r="G306" s="99">
        <v>2160</v>
      </c>
      <c r="L306" s="212" t="s">
        <v>142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99">
        <f t="shared" si="7"/>
        <v>18</v>
      </c>
      <c r="P306" s="213" t="e">
        <f>_xlfn.XLOOKUP(M306,'Case Pack'!A:A,'Case Pack'!H:H)*O306</f>
        <v>#N/A</v>
      </c>
      <c r="Q306" s="19"/>
      <c r="R306" s="19"/>
      <c r="S306" s="19"/>
    </row>
    <row r="307" spans="1:20">
      <c r="A307" s="211">
        <v>46255</v>
      </c>
      <c r="B307" s="6" t="str">
        <f>VLOOKUP(C307,'Product List'!A:C,3,0)</f>
        <v>Rabbit Drinking Bottle (500ml)</v>
      </c>
      <c r="C307" s="129" t="s">
        <v>85</v>
      </c>
      <c r="D307" s="173">
        <f>VLOOKUP(C307,'Product List'!A:B,2,0)</f>
        <v>698746776541</v>
      </c>
      <c r="E307" s="15"/>
      <c r="F307" s="6" t="s">
        <v>267</v>
      </c>
      <c r="G307" s="99">
        <v>2160</v>
      </c>
      <c r="L307" s="212" t="s">
        <v>142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99">
        <f t="shared" si="7"/>
        <v>27</v>
      </c>
      <c r="P307" s="213" t="e">
        <f>_xlfn.XLOOKUP(M307,'Case Pack'!A:A,'Case Pack'!H:H)*O307</f>
        <v>#N/A</v>
      </c>
      <c r="Q307" s="19"/>
      <c r="R307" s="19"/>
      <c r="S307" s="19"/>
    </row>
    <row r="308" spans="1:20">
      <c r="A308" s="211">
        <v>46255</v>
      </c>
      <c r="B308" s="6" t="str">
        <f>VLOOKUP(C308,'Product List'!A:C,3,0)</f>
        <v>Crystal Outdoor Cage</v>
      </c>
      <c r="C308" s="129" t="s">
        <v>93</v>
      </c>
      <c r="D308" s="173">
        <f>VLOOKUP(C308,'Product List'!A:B,2,0)</f>
        <v>698746777111</v>
      </c>
      <c r="E308" s="15"/>
      <c r="F308" s="6" t="s">
        <v>267</v>
      </c>
      <c r="G308" s="99">
        <v>396</v>
      </c>
      <c r="L308" s="212" t="s">
        <v>142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99">
        <f t="shared" si="7"/>
        <v>33</v>
      </c>
      <c r="P308" s="213" t="e">
        <f>_xlfn.XLOOKUP(M308,'Case Pack'!A:A,'Case Pack'!H:H)*O308</f>
        <v>#N/A</v>
      </c>
      <c r="Q308" s="19"/>
      <c r="R308" s="19"/>
      <c r="S308" s="19"/>
    </row>
    <row r="309" spans="1:20">
      <c r="A309" s="211">
        <v>46255</v>
      </c>
      <c r="B309" s="6" t="str">
        <f>VLOOKUP(C309,'Product List'!A:C,3,0)</f>
        <v>Crystal Outdoor Cage</v>
      </c>
      <c r="C309" s="129" t="s">
        <v>94</v>
      </c>
      <c r="D309" s="173">
        <f>VLOOKUP(C309,'Product List'!A:B,2,0)</f>
        <v>698746777128</v>
      </c>
      <c r="E309" s="15"/>
      <c r="F309" s="6" t="s">
        <v>267</v>
      </c>
      <c r="G309" s="99">
        <v>396</v>
      </c>
      <c r="L309" s="212" t="s">
        <v>142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99">
        <f t="shared" si="7"/>
        <v>33</v>
      </c>
      <c r="P309" s="213" t="e">
        <f>_xlfn.XLOOKUP(M309,'Case Pack'!A:A,'Case Pack'!H:H)*O309</f>
        <v>#N/A</v>
      </c>
      <c r="Q309" s="19"/>
      <c r="R309" s="19"/>
      <c r="S309" s="19"/>
    </row>
    <row r="310" spans="1:20">
      <c r="A310" s="211">
        <v>46255</v>
      </c>
      <c r="B310" s="6" t="str">
        <f>VLOOKUP(C310,'Product List'!A:C,3,0)</f>
        <v>Travel Cage 7.17in(18.2cm)-Little Elf</v>
      </c>
      <c r="C310" s="129" t="s">
        <v>100</v>
      </c>
      <c r="D310" s="173">
        <f>VLOOKUP(C310,'Product List'!A:B,2,0)</f>
        <v>850081655367</v>
      </c>
      <c r="E310" s="15"/>
      <c r="F310" s="6" t="s">
        <v>267</v>
      </c>
      <c r="G310" s="99">
        <v>432</v>
      </c>
      <c r="L310" s="212" t="s">
        <v>142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99">
        <f t="shared" si="7"/>
        <v>24</v>
      </c>
      <c r="P310" s="213">
        <f>_xlfn.XLOOKUP(M310,'Case Pack'!A:A,'Case Pack'!H:H)*O310</f>
        <v>3.77557333333333</v>
      </c>
      <c r="Q310" s="19"/>
      <c r="R310" s="19"/>
      <c r="S310" s="19"/>
    </row>
    <row r="311" spans="1:20">
      <c r="A311" s="211">
        <v>46272</v>
      </c>
      <c r="B311" s="6" t="str">
        <f>VLOOKUP(C311,'Product List'!A:C,3,0)</f>
        <v>MMO-BUBBLE WATER BOTTLE</v>
      </c>
      <c r="C311" s="129" t="s">
        <v>38</v>
      </c>
      <c r="D311" s="173">
        <f>VLOOKUP(C311,'Product List'!A:B,2,0)</f>
        <v>760762456971</v>
      </c>
      <c r="E311" s="15"/>
      <c r="F311" s="6" t="s">
        <v>268</v>
      </c>
      <c r="G311" s="99">
        <v>3654</v>
      </c>
      <c r="H311" s="193">
        <v>46302</v>
      </c>
      <c r="J311" s="140">
        <v>46333</v>
      </c>
      <c r="L311" s="212" t="s">
        <v>142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99">
        <f t="shared" ref="O311:O318" si="8">G311/N311</f>
        <v>87</v>
      </c>
      <c r="P311" s="213">
        <f>_xlfn.XLOOKUP(M311,'Case Pack'!A:A,'Case Pack'!H:H)*O311</f>
        <v>13.6864533333333</v>
      </c>
      <c r="Q311" s="19"/>
      <c r="R311" s="19"/>
      <c r="S311" s="19"/>
    </row>
    <row r="312" spans="1:20">
      <c r="A312" s="211">
        <v>46272</v>
      </c>
      <c r="B312" s="6" t="str">
        <f>VLOOKUP(C312,'Product List'!A:C,3,0)</f>
        <v>MINI/MOE CAMPING TENT HIDE</v>
      </c>
      <c r="C312" s="129" t="s">
        <v>25</v>
      </c>
      <c r="D312" s="173">
        <f>VLOOKUP(C312,'Product List'!A:B,2,0)</f>
        <v>850030338082</v>
      </c>
      <c r="E312" s="15"/>
      <c r="F312" s="6" t="s">
        <v>268</v>
      </c>
      <c r="G312" s="99">
        <v>2088</v>
      </c>
      <c r="H312" s="193">
        <v>46326</v>
      </c>
      <c r="J312" s="140">
        <v>46356</v>
      </c>
      <c r="L312" s="212" t="s">
        <v>142</v>
      </c>
      <c r="M312" s="19" t="str">
        <f>_xlfn.XLOOKUP(C312,'Product List'!A:A,'Product List'!V:V)</f>
        <v>B</v>
      </c>
      <c r="N312" s="19">
        <f>_xlfn.XLOOKUP(C312,'Product List'!A:A,'Product List'!J:J)</f>
        <v>12</v>
      </c>
      <c r="O312" s="99">
        <f t="shared" si="8"/>
        <v>174</v>
      </c>
      <c r="P312" s="213">
        <f>_xlfn.XLOOKUP(M312,'Case Pack'!A:A,'Case Pack'!H:H)*O312</f>
        <v>12.7740231111111</v>
      </c>
      <c r="Q312" s="6"/>
      <c r="R312" s="19"/>
      <c r="S312" s="19"/>
      <c r="T312" s="6" t="s">
        <v>269</v>
      </c>
    </row>
    <row r="313" spans="1:20">
      <c r="A313" s="211">
        <v>46272</v>
      </c>
      <c r="B313" s="6" t="str">
        <f>VLOOKUP(C313,'Product List'!A:C,3,0)</f>
        <v>MINI &amp; MOE WOODEN BRIDGE</v>
      </c>
      <c r="C313" s="129" t="s">
        <v>24</v>
      </c>
      <c r="D313" s="173">
        <f>VLOOKUP(C313,'Product List'!A:B,2,0)</f>
        <v>698746776756</v>
      </c>
      <c r="E313" s="15"/>
      <c r="F313" s="6" t="s">
        <v>268</v>
      </c>
      <c r="G313" s="99">
        <v>1920</v>
      </c>
      <c r="H313" s="193">
        <v>46326</v>
      </c>
      <c r="J313" s="140">
        <v>46356</v>
      </c>
      <c r="L313" s="212" t="s">
        <v>142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99">
        <f t="shared" si="8"/>
        <v>40</v>
      </c>
      <c r="P313" s="213">
        <f>_xlfn.XLOOKUP(M313,'Case Pack'!A:A,'Case Pack'!H:H)*O313</f>
        <v>4.40483555555556</v>
      </c>
      <c r="Q313" s="19"/>
      <c r="R313" s="19"/>
      <c r="S313" s="19"/>
      <c r="T313" s="19"/>
    </row>
    <row r="314" spans="1:20">
      <c r="A314" s="211">
        <v>46272</v>
      </c>
      <c r="B314" s="6" t="str">
        <f>VLOOKUP(C314,'Product List'!A:C,3,0)</f>
        <v>MMO-CAMP LUNCH BOX CHEW</v>
      </c>
      <c r="C314" s="129" t="s">
        <v>40</v>
      </c>
      <c r="D314" s="173">
        <f>VLOOKUP(C314,'Product List'!A:B,2,0)</f>
        <v>698746777012</v>
      </c>
      <c r="E314" s="15"/>
      <c r="F314" s="6" t="s">
        <v>268</v>
      </c>
      <c r="G314" s="99">
        <v>1440</v>
      </c>
      <c r="H314" s="193">
        <v>46302</v>
      </c>
      <c r="J314" s="140">
        <v>46333</v>
      </c>
      <c r="L314" s="212" t="s">
        <v>142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99">
        <f t="shared" si="8"/>
        <v>20</v>
      </c>
      <c r="P314" s="213">
        <f>_xlfn.XLOOKUP(M314,'Case Pack'!A:A,'Case Pack'!H:H)*O314</f>
        <v>1.46827851851852</v>
      </c>
      <c r="Q314" s="19"/>
      <c r="R314" s="19"/>
      <c r="S314" s="19"/>
      <c r="T314" s="19"/>
    </row>
    <row r="315" spans="1:20">
      <c r="A315" s="211">
        <v>46272</v>
      </c>
      <c r="B315" s="6" t="str">
        <f>VLOOKUP(C315,'Product List'!A:C,3,0)</f>
        <v>MMO-GREEN APPLE CHEW</v>
      </c>
      <c r="C315" s="129" t="s">
        <v>39</v>
      </c>
      <c r="D315" s="173">
        <f>VLOOKUP(C315,'Product List'!A:B,2,0)</f>
        <v>698746777081</v>
      </c>
      <c r="E315" s="15"/>
      <c r="F315" s="6" t="s">
        <v>268</v>
      </c>
      <c r="G315" s="99">
        <v>1392</v>
      </c>
      <c r="H315" s="193">
        <v>46302</v>
      </c>
      <c r="J315" s="140">
        <v>46333</v>
      </c>
      <c r="L315" s="212" t="s">
        <v>142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99">
        <f t="shared" si="8"/>
        <v>29</v>
      </c>
      <c r="P315" s="213">
        <f>_xlfn.XLOOKUP(M315,'Case Pack'!A:A,'Case Pack'!H:H)*O315</f>
        <v>2.12900385185185</v>
      </c>
      <c r="Q315" s="19"/>
      <c r="R315" s="19"/>
      <c r="S315" s="19"/>
      <c r="T315" s="19"/>
    </row>
    <row r="316" spans="1:20">
      <c r="A316" s="211">
        <v>46272</v>
      </c>
      <c r="B316" s="6" t="str">
        <f>VLOOKUP(C316,'Product List'!A:C,3,0)</f>
        <v>MINI &amp; MOE COTTAGE HIDE</v>
      </c>
      <c r="C316" s="129" t="s">
        <v>28</v>
      </c>
      <c r="D316" s="173">
        <f>VLOOKUP(C316,'Product List'!A:B,2,0)</f>
        <v>850030338211</v>
      </c>
      <c r="E316" s="15"/>
      <c r="F316" s="6" t="s">
        <v>268</v>
      </c>
      <c r="G316" s="99">
        <v>936</v>
      </c>
      <c r="H316" s="193">
        <v>46326</v>
      </c>
      <c r="J316" s="140">
        <v>46356</v>
      </c>
      <c r="L316" s="212" t="s">
        <v>142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99">
        <f t="shared" si="8"/>
        <v>39</v>
      </c>
      <c r="P316" s="213">
        <f>_xlfn.XLOOKUP(M316,'Case Pack'!A:A,'Case Pack'!H:H)*O316</f>
        <v>6.13530666666667</v>
      </c>
      <c r="Q316" s="19"/>
      <c r="R316" s="19"/>
      <c r="S316" s="19"/>
      <c r="T316" s="19"/>
    </row>
    <row r="317" spans="1:20">
      <c r="A317" s="211">
        <v>46272</v>
      </c>
      <c r="B317" s="6" t="str">
        <f>VLOOKUP(C317,'Product List'!A:C,3,0)</f>
        <v>MINI/MOE TV VIEWING CAGE</v>
      </c>
      <c r="C317" s="129" t="s">
        <v>27</v>
      </c>
      <c r="D317" s="173">
        <f>VLOOKUP(C317,'Product List'!A:B,2,0)</f>
        <v>850030338761</v>
      </c>
      <c r="E317" s="15"/>
      <c r="F317" s="6" t="s">
        <v>268</v>
      </c>
      <c r="G317" s="99">
        <v>768</v>
      </c>
      <c r="H317" s="193">
        <v>46302</v>
      </c>
      <c r="J317" s="140">
        <v>46333</v>
      </c>
      <c r="L317" s="212" t="s">
        <v>142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99">
        <f t="shared" si="8"/>
        <v>768</v>
      </c>
      <c r="P317" s="213">
        <f>_xlfn.XLOOKUP(M317,'Case Pack'!A:A,'Case Pack'!H:H)*O317</f>
        <v>56.8139213824</v>
      </c>
      <c r="Q317" s="19"/>
      <c r="R317" s="19"/>
      <c r="S317" s="19"/>
      <c r="T317" s="19"/>
    </row>
    <row r="318" spans="1:20">
      <c r="A318" s="211">
        <v>46272</v>
      </c>
      <c r="B318" s="6" t="str">
        <f>VLOOKUP(C318,'Product List'!A:C,3,0)</f>
        <v>MINI/MOE SILENT CRSTL RUN WHEEL LG 8.5-White</v>
      </c>
      <c r="C318" s="129" t="s">
        <v>41</v>
      </c>
      <c r="D318" s="173">
        <f>VLOOKUP(C318,'Product List'!A:B,2,0)</f>
        <v>850062627680</v>
      </c>
      <c r="E318" s="15"/>
      <c r="F318" s="6" t="s">
        <v>268</v>
      </c>
      <c r="G318" s="99">
        <v>544</v>
      </c>
      <c r="H318" s="193">
        <v>46302</v>
      </c>
      <c r="J318" s="140">
        <v>46333</v>
      </c>
      <c r="L318" s="212" t="s">
        <v>142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99">
        <f t="shared" si="8"/>
        <v>68</v>
      </c>
      <c r="P318" s="213">
        <f>_xlfn.XLOOKUP(M318,'Case Pack'!A:A,'Case Pack'!H:H)*O318</f>
        <v>10.6974577777778</v>
      </c>
      <c r="Q318" s="19"/>
      <c r="R318" s="19"/>
      <c r="S318" s="19"/>
      <c r="T318" s="19"/>
    </row>
    <row r="319" spans="1:20">
      <c r="A319" s="230">
        <v>46274</v>
      </c>
      <c r="B319" s="6" t="str">
        <f>VLOOKUP(C319,'Product List'!A:C,3,0)</f>
        <v>MINI &amp; MOE GARDEN DECOR CHEW</v>
      </c>
      <c r="C319" s="15" t="s">
        <v>23</v>
      </c>
      <c r="D319" s="173">
        <f>VLOOKUP(C319,'Product List'!A:B,2,0)</f>
        <v>698746777326</v>
      </c>
      <c r="E319" s="15"/>
      <c r="F319" s="6" t="s">
        <v>270</v>
      </c>
      <c r="G319" s="99">
        <v>2070</v>
      </c>
      <c r="H319" s="193">
        <v>46304</v>
      </c>
      <c r="J319" s="140">
        <v>46335</v>
      </c>
      <c r="L319" s="212" t="s">
        <v>142</v>
      </c>
      <c r="M319" s="19" t="str">
        <f>_xlfn.XLOOKUP(C319,'Product List'!A:A,'Product List'!V:V)</f>
        <v>B</v>
      </c>
      <c r="N319" s="19">
        <f>_xlfn.XLOOKUP(C319,'Product List'!A:A,'Product List'!J:J)</f>
        <v>45</v>
      </c>
      <c r="O319" s="99">
        <f t="shared" ref="O319:O326" si="9">G319/N319</f>
        <v>46</v>
      </c>
      <c r="P319" s="213">
        <f>_xlfn.XLOOKUP(M319,'Case Pack'!A:A,'Case Pack'!H:H)*O319</f>
        <v>3.37704059259259</v>
      </c>
      <c r="Q319" s="19"/>
      <c r="R319" s="19"/>
      <c r="S319" s="19"/>
      <c r="T319" s="19"/>
    </row>
    <row r="320" spans="1:20">
      <c r="A320" s="230">
        <v>46274</v>
      </c>
      <c r="B320" s="6" t="str">
        <f>VLOOKUP(C320,'Product List'!A:C,3,0)</f>
        <v>MINI/MOE TV VIEWING CAGE</v>
      </c>
      <c r="C320" s="6" t="s">
        <v>27</v>
      </c>
      <c r="D320" s="173">
        <f>VLOOKUP(C320,'Product List'!A:B,2,0)</f>
        <v>850030338761</v>
      </c>
      <c r="E320" s="15"/>
      <c r="F320" s="6" t="s">
        <v>270</v>
      </c>
      <c r="G320" s="99">
        <v>1646</v>
      </c>
      <c r="H320" s="193">
        <v>46327</v>
      </c>
      <c r="J320" s="140">
        <v>46356</v>
      </c>
      <c r="L320" s="212" t="s">
        <v>142</v>
      </c>
      <c r="M320" s="19" t="str">
        <f>_xlfn.XLOOKUP(C320,'Product List'!A:A,'Product List'!V:V)</f>
        <v>S1</v>
      </c>
      <c r="N320" s="19">
        <f>_xlfn.XLOOKUP(C320,'Product List'!A:A,'Product List'!J:J)</f>
        <v>1</v>
      </c>
      <c r="O320" s="99">
        <f t="shared" si="9"/>
        <v>1646</v>
      </c>
      <c r="P320" s="213">
        <f>_xlfn.XLOOKUP(M320,'Case Pack'!A:A,'Case Pack'!H:H)*O320</f>
        <v>121.765253379467</v>
      </c>
      <c r="Q320" s="19"/>
      <c r="R320" s="19"/>
      <c r="S320" s="19"/>
      <c r="T320" s="19"/>
    </row>
    <row r="321" spans="1:20">
      <c r="A321" s="230">
        <v>46274</v>
      </c>
      <c r="B321" s="6" t="str">
        <f>VLOOKUP(C321,'Product List'!A:C,3,0)</f>
        <v>MMO-BUBBLE WATER BOTTLE</v>
      </c>
      <c r="C321" s="6" t="s">
        <v>38</v>
      </c>
      <c r="D321" s="173">
        <f>VLOOKUP(C321,'Product List'!A:B,2,0)</f>
        <v>760762456971</v>
      </c>
      <c r="E321" s="15"/>
      <c r="F321" s="6" t="s">
        <v>270</v>
      </c>
      <c r="G321" s="99">
        <v>1470</v>
      </c>
      <c r="H321" s="193">
        <v>46327</v>
      </c>
      <c r="J321" s="140">
        <v>46356</v>
      </c>
      <c r="L321" s="212" t="s">
        <v>142</v>
      </c>
      <c r="M321" s="19" t="str">
        <f>_xlfn.XLOOKUP(C321,'Product List'!A:A,'Product List'!V:V)</f>
        <v>C</v>
      </c>
      <c r="N321" s="19">
        <f>_xlfn.XLOOKUP(C321,'Product List'!A:A,'Product List'!J:J)</f>
        <v>42</v>
      </c>
      <c r="O321" s="99">
        <f t="shared" si="9"/>
        <v>35</v>
      </c>
      <c r="P321" s="213">
        <f>_xlfn.XLOOKUP(M321,'Case Pack'!A:A,'Case Pack'!H:H)*O321</f>
        <v>5.50604444444444</v>
      </c>
      <c r="Q321" s="19"/>
      <c r="R321" s="19"/>
      <c r="S321" s="19"/>
      <c r="T321" s="19"/>
    </row>
    <row r="322" spans="1:20">
      <c r="A322" s="230">
        <v>46274</v>
      </c>
      <c r="B322" s="6" t="str">
        <f>VLOOKUP(C322,'Product List'!A:C,3,0)</f>
        <v>MINI/MOE SILENT CRSTL RUN WHEEL LG 8.5-White</v>
      </c>
      <c r="C322" s="6" t="s">
        <v>41</v>
      </c>
      <c r="D322" s="173">
        <f>VLOOKUP(C322,'Product List'!A:B,2,0)</f>
        <v>850062627680</v>
      </c>
      <c r="E322" s="15"/>
      <c r="F322" s="6" t="s">
        <v>270</v>
      </c>
      <c r="G322" s="99">
        <v>808</v>
      </c>
      <c r="H322" s="193">
        <v>46304</v>
      </c>
      <c r="J322" s="140">
        <v>46333</v>
      </c>
      <c r="L322" s="212" t="s">
        <v>142</v>
      </c>
      <c r="M322" s="19" t="str">
        <f>_xlfn.XLOOKUP(C322,'Product List'!A:A,'Product List'!V:V)</f>
        <v>C</v>
      </c>
      <c r="N322" s="19">
        <f>_xlfn.XLOOKUP(C322,'Product List'!A:A,'Product List'!J:J)</f>
        <v>8</v>
      </c>
      <c r="O322" s="99">
        <f t="shared" si="9"/>
        <v>101</v>
      </c>
      <c r="P322" s="213">
        <f>_xlfn.XLOOKUP(M322,'Case Pack'!A:A,'Case Pack'!H:H)*O322</f>
        <v>15.8888711111111</v>
      </c>
      <c r="Q322" s="19"/>
      <c r="R322" s="19"/>
      <c r="S322" s="19"/>
      <c r="T322" s="19"/>
    </row>
    <row r="323" spans="1:20">
      <c r="A323" s="230">
        <v>46274</v>
      </c>
      <c r="B323" s="6" t="str">
        <f>VLOOKUP(C323,'Product List'!A:C,3,0)</f>
        <v>MMO-CAMP LUNCH BOX CHEW</v>
      </c>
      <c r="C323" s="15" t="s">
        <v>40</v>
      </c>
      <c r="D323" s="173">
        <f>VLOOKUP(C323,'Product List'!A:B,2,0)</f>
        <v>698746777012</v>
      </c>
      <c r="E323" s="15"/>
      <c r="F323" s="6" t="s">
        <v>270</v>
      </c>
      <c r="G323" s="99">
        <v>720</v>
      </c>
      <c r="H323" s="193">
        <v>46304</v>
      </c>
      <c r="J323" s="140">
        <v>46333</v>
      </c>
      <c r="L323" s="212" t="s">
        <v>142</v>
      </c>
      <c r="M323" s="19" t="str">
        <f>_xlfn.XLOOKUP(C323,'Product List'!A:A,'Product List'!V:V)</f>
        <v>B</v>
      </c>
      <c r="N323" s="19">
        <f>_xlfn.XLOOKUP(C323,'Product List'!A:A,'Product List'!J:J)</f>
        <v>72</v>
      </c>
      <c r="O323" s="99">
        <f t="shared" si="9"/>
        <v>10</v>
      </c>
      <c r="P323" s="213">
        <f>_xlfn.XLOOKUP(M323,'Case Pack'!A:A,'Case Pack'!H:H)*O323</f>
        <v>0.734139259259259</v>
      </c>
      <c r="Q323" s="19"/>
      <c r="R323" s="19"/>
      <c r="S323" s="19"/>
      <c r="T323" s="19"/>
    </row>
    <row r="324" spans="1:20">
      <c r="A324" s="230">
        <v>46274</v>
      </c>
      <c r="B324" s="6" t="str">
        <f>VLOOKUP(C324,'Product List'!A:C,3,0)</f>
        <v>MMO-GREEN APPLE CHEW</v>
      </c>
      <c r="C324" s="15" t="s">
        <v>39</v>
      </c>
      <c r="D324" s="173">
        <f>VLOOKUP(C324,'Product List'!A:B,2,0)</f>
        <v>698746777081</v>
      </c>
      <c r="E324" s="15"/>
      <c r="F324" s="6" t="s">
        <v>270</v>
      </c>
      <c r="G324" s="99">
        <v>720</v>
      </c>
      <c r="H324" s="193">
        <v>46327</v>
      </c>
      <c r="J324" s="140">
        <v>46356</v>
      </c>
      <c r="L324" s="212" t="s">
        <v>142</v>
      </c>
      <c r="M324" s="19" t="str">
        <f>_xlfn.XLOOKUP(C324,'Product List'!A:A,'Product List'!V:V)</f>
        <v>B</v>
      </c>
      <c r="N324" s="19">
        <f>_xlfn.XLOOKUP(C324,'Product List'!A:A,'Product List'!J:J)</f>
        <v>48</v>
      </c>
      <c r="O324" s="99">
        <f t="shared" si="9"/>
        <v>15</v>
      </c>
      <c r="P324" s="213">
        <f>_xlfn.XLOOKUP(M324,'Case Pack'!A:A,'Case Pack'!H:H)*O324</f>
        <v>1.10120888888889</v>
      </c>
      <c r="Q324" s="19"/>
      <c r="R324" s="19"/>
      <c r="S324" s="19"/>
      <c r="T324" s="19"/>
    </row>
    <row r="325" spans="1:20">
      <c r="A325" s="230">
        <v>46274</v>
      </c>
      <c r="B325" s="6" t="str">
        <f>VLOOKUP(C325,'Product List'!A:C,3,0)</f>
        <v>MINI/MOE CAMPING TENT HIDE</v>
      </c>
      <c r="C325" s="6" t="s">
        <v>25</v>
      </c>
      <c r="D325" s="173">
        <f>VLOOKUP(C325,'Product List'!A:B,2,0)</f>
        <v>850030338082</v>
      </c>
      <c r="E325" s="15"/>
      <c r="F325" s="6" t="s">
        <v>270</v>
      </c>
      <c r="G325" s="99">
        <v>684</v>
      </c>
      <c r="H325" s="193">
        <v>46304</v>
      </c>
      <c r="J325" s="140">
        <v>46333</v>
      </c>
      <c r="L325" s="212" t="s">
        <v>142</v>
      </c>
      <c r="M325" s="19" t="str">
        <f>_xlfn.XLOOKUP(C325,'Product List'!A:A,'Product List'!V:V)</f>
        <v>B</v>
      </c>
      <c r="N325" s="19">
        <f>_xlfn.XLOOKUP(C325,'Product List'!A:A,'Product List'!J:J)</f>
        <v>12</v>
      </c>
      <c r="O325" s="99">
        <f t="shared" si="9"/>
        <v>57</v>
      </c>
      <c r="P325" s="213">
        <f>_xlfn.XLOOKUP(M325,'Case Pack'!A:A,'Case Pack'!H:H)*O325</f>
        <v>4.18459377777778</v>
      </c>
      <c r="Q325" s="6"/>
      <c r="R325" s="19"/>
      <c r="S325" s="19"/>
      <c r="T325" s="6" t="s">
        <v>271</v>
      </c>
    </row>
    <row r="326" spans="1:20">
      <c r="A326" s="230">
        <v>46274</v>
      </c>
      <c r="B326" s="6" t="str">
        <f>VLOOKUP(C326,'Product List'!A:C,3,0)</f>
        <v>MINI &amp; MOE WOODEN BRIDGE</v>
      </c>
      <c r="C326" s="15" t="s">
        <v>24</v>
      </c>
      <c r="D326" s="173">
        <f>VLOOKUP(C326,'Product List'!A:B,2,0)</f>
        <v>698746776756</v>
      </c>
      <c r="E326" s="15"/>
      <c r="F326" s="6" t="s">
        <v>270</v>
      </c>
      <c r="G326" s="99">
        <v>432</v>
      </c>
      <c r="H326" s="193">
        <v>46304</v>
      </c>
      <c r="J326" s="140">
        <v>46333</v>
      </c>
      <c r="L326" s="212" t="s">
        <v>142</v>
      </c>
      <c r="M326" s="19" t="str">
        <f>_xlfn.XLOOKUP(C326,'Product List'!A:A,'Product List'!V:V)</f>
        <v>A</v>
      </c>
      <c r="N326" s="19">
        <f>_xlfn.XLOOKUP(C326,'Product List'!A:A,'Product List'!J:J)</f>
        <v>48</v>
      </c>
      <c r="O326" s="99">
        <f t="shared" si="9"/>
        <v>9</v>
      </c>
      <c r="P326" s="213">
        <f>_xlfn.XLOOKUP(M326,'Case Pack'!A:A,'Case Pack'!H:H)*O326</f>
        <v>0.991088</v>
      </c>
      <c r="Q326" s="19"/>
      <c r="R326" s="19"/>
      <c r="S326" s="19"/>
    </row>
    <row r="327" spans="1:20">
      <c r="A327" s="230"/>
      <c r="B327" s="231"/>
      <c r="C327" s="232"/>
      <c r="D327" s="233"/>
      <c r="E327" s="15"/>
      <c r="F327" s="19"/>
      <c r="G327" s="99"/>
      <c r="M327" s="19"/>
      <c r="N327" s="19"/>
      <c r="O327" s="99"/>
      <c r="P327" s="19"/>
      <c r="Q327" s="19"/>
      <c r="R327" s="19"/>
      <c r="S327" s="19"/>
    </row>
    <row r="328" spans="1:20">
      <c r="A328" s="230"/>
      <c r="B328" s="231"/>
      <c r="C328" s="232"/>
      <c r="D328" s="233"/>
      <c r="E328" s="15"/>
      <c r="F328" s="19"/>
      <c r="G328" s="99"/>
      <c r="M328" s="19"/>
      <c r="N328" s="19"/>
      <c r="O328" s="99"/>
      <c r="P328" s="19"/>
      <c r="Q328" s="19"/>
      <c r="R328" s="19"/>
      <c r="S328" s="19"/>
    </row>
    <row r="329" spans="1:20">
      <c r="A329" s="230"/>
      <c r="B329" s="231"/>
      <c r="C329" s="232"/>
      <c r="D329" s="233"/>
      <c r="E329" s="15"/>
      <c r="F329" s="19"/>
      <c r="G329" s="99"/>
      <c r="M329" s="19"/>
      <c r="N329" s="19"/>
      <c r="O329" s="99"/>
      <c r="P329" s="19"/>
      <c r="Q329" s="19"/>
      <c r="R329" s="19"/>
      <c r="S329" s="19"/>
    </row>
    <row r="330" spans="1:20">
      <c r="A330" s="230"/>
      <c r="B330" s="231"/>
      <c r="C330" s="232"/>
      <c r="D330" s="233"/>
      <c r="E330" s="15"/>
      <c r="F330" s="19"/>
      <c r="G330" s="99"/>
      <c r="M330" s="19"/>
      <c r="N330" s="19"/>
      <c r="O330" s="99"/>
      <c r="P330" s="19"/>
      <c r="Q330" s="19"/>
      <c r="R330" s="19"/>
      <c r="S330" s="19"/>
    </row>
    <row r="331" spans="1:20">
      <c r="A331" s="230"/>
      <c r="B331" s="231"/>
      <c r="C331" s="232"/>
      <c r="D331" s="233"/>
      <c r="E331" s="15"/>
      <c r="F331" s="19"/>
      <c r="G331" s="99"/>
      <c r="M331" s="19"/>
      <c r="N331" s="19"/>
      <c r="O331" s="99"/>
      <c r="P331" s="19"/>
      <c r="Q331" s="19"/>
      <c r="R331" s="19"/>
      <c r="S331" s="19"/>
    </row>
    <row r="332" spans="1:20">
      <c r="A332" s="230"/>
      <c r="B332" s="231"/>
      <c r="C332" s="232"/>
      <c r="D332" s="233"/>
      <c r="E332" s="15"/>
      <c r="F332" s="19"/>
      <c r="G332" s="99"/>
      <c r="M332" s="19"/>
      <c r="N332" s="19"/>
      <c r="O332" s="99"/>
      <c r="P332" s="19"/>
      <c r="Q332" s="19"/>
      <c r="R332" s="19"/>
      <c r="S332" s="19"/>
    </row>
    <row r="333" spans="1:20">
      <c r="A333" s="230"/>
      <c r="B333" s="231"/>
      <c r="C333" s="232"/>
      <c r="D333" s="233"/>
      <c r="E333" s="15"/>
      <c r="F333" s="19"/>
      <c r="G333" s="99"/>
      <c r="M333" s="19"/>
      <c r="N333" s="19"/>
      <c r="O333" s="99"/>
      <c r="P333" s="19"/>
      <c r="Q333" s="19"/>
      <c r="R333" s="19"/>
      <c r="S333" s="19"/>
    </row>
    <row r="334" spans="1:20">
      <c r="A334" s="230"/>
      <c r="B334" s="231"/>
      <c r="C334" s="232"/>
      <c r="D334" s="233"/>
      <c r="E334" s="15"/>
      <c r="F334" s="19"/>
      <c r="G334" s="99"/>
      <c r="M334" s="19"/>
      <c r="N334" s="19"/>
      <c r="O334" s="99"/>
      <c r="P334" s="19"/>
      <c r="Q334" s="19"/>
      <c r="R334" s="19"/>
      <c r="S334" s="19"/>
    </row>
    <row r="335" spans="1:20">
      <c r="A335" s="230"/>
      <c r="B335" s="231"/>
      <c r="C335" s="232"/>
      <c r="D335" s="233"/>
      <c r="E335" s="15"/>
      <c r="F335" s="19"/>
      <c r="G335" s="99"/>
      <c r="M335" s="19"/>
      <c r="N335" s="19"/>
      <c r="O335" s="99"/>
      <c r="P335" s="19"/>
      <c r="Q335" s="19"/>
      <c r="R335" s="19"/>
      <c r="S335" s="19"/>
    </row>
    <row r="336" spans="1:20">
      <c r="A336" s="230"/>
      <c r="B336" s="231"/>
      <c r="C336" s="232"/>
      <c r="D336" s="233"/>
      <c r="E336" s="15"/>
      <c r="F336" s="19"/>
      <c r="G336" s="99"/>
      <c r="M336" s="19"/>
      <c r="N336" s="19"/>
      <c r="O336" s="99"/>
      <c r="P336" s="19"/>
      <c r="Q336" s="19"/>
      <c r="R336" s="19"/>
      <c r="S336" s="19"/>
    </row>
    <row r="337" spans="1:19">
      <c r="A337" s="230"/>
      <c r="B337" s="231"/>
      <c r="C337" s="232"/>
      <c r="D337" s="233"/>
      <c r="E337" s="15"/>
      <c r="F337" s="19"/>
      <c r="G337" s="99"/>
      <c r="M337" s="19"/>
      <c r="N337" s="19"/>
      <c r="O337" s="99"/>
      <c r="P337" s="19"/>
      <c r="Q337" s="19"/>
      <c r="R337" s="19"/>
      <c r="S337" s="19"/>
    </row>
    <row r="338" spans="1:19">
      <c r="A338" s="230"/>
      <c r="B338" s="231"/>
      <c r="C338" s="232"/>
      <c r="D338" s="233"/>
      <c r="E338" s="15"/>
      <c r="F338" s="19"/>
      <c r="G338" s="99"/>
      <c r="M338" s="19"/>
      <c r="N338" s="19"/>
      <c r="O338" s="99"/>
      <c r="P338" s="19"/>
      <c r="Q338" s="19"/>
      <c r="R338" s="19"/>
      <c r="S338" s="19"/>
    </row>
    <row r="339" spans="1:19">
      <c r="A339" s="230"/>
      <c r="B339" s="231"/>
      <c r="C339" s="232"/>
      <c r="D339" s="233"/>
      <c r="E339" s="15"/>
      <c r="F339" s="19"/>
      <c r="G339" s="99"/>
      <c r="M339" s="19"/>
      <c r="N339" s="19"/>
      <c r="O339" s="99"/>
      <c r="P339" s="19"/>
      <c r="Q339" s="19"/>
      <c r="R339" s="19"/>
      <c r="S339" s="19"/>
    </row>
    <row r="340" spans="1:19">
      <c r="A340" s="230"/>
      <c r="B340" s="231"/>
      <c r="C340" s="232"/>
      <c r="D340" s="233"/>
      <c r="E340" s="15"/>
      <c r="F340" s="19"/>
      <c r="G340" s="99"/>
      <c r="M340" s="19"/>
      <c r="N340" s="19"/>
      <c r="O340" s="99"/>
      <c r="P340" s="19"/>
      <c r="Q340" s="19"/>
      <c r="R340" s="19"/>
      <c r="S340" s="19"/>
    </row>
    <row r="341" spans="1:19">
      <c r="A341" s="230"/>
      <c r="B341" s="231"/>
      <c r="C341" s="232"/>
      <c r="D341" s="233"/>
      <c r="E341" s="15"/>
      <c r="F341" s="19"/>
      <c r="G341" s="99"/>
      <c r="M341" s="19"/>
      <c r="N341" s="19"/>
      <c r="O341" s="99"/>
      <c r="P341" s="19"/>
      <c r="Q341" s="19"/>
      <c r="R341" s="19"/>
      <c r="S341" s="19"/>
    </row>
    <row r="342" spans="1:19">
      <c r="A342" s="230"/>
      <c r="B342" s="231"/>
      <c r="C342" s="232"/>
      <c r="D342" s="233"/>
      <c r="E342" s="15"/>
      <c r="F342" s="19"/>
      <c r="G342" s="99"/>
      <c r="M342" s="19"/>
      <c r="N342" s="19"/>
      <c r="O342" s="99"/>
      <c r="P342" s="19"/>
      <c r="Q342" s="19"/>
      <c r="R342" s="19"/>
      <c r="S342" s="19"/>
    </row>
    <row r="343" spans="1:19">
      <c r="A343" s="230"/>
      <c r="B343" s="231"/>
      <c r="C343" s="232"/>
      <c r="D343" s="233"/>
      <c r="E343" s="15"/>
      <c r="F343" s="19"/>
      <c r="G343" s="99"/>
      <c r="M343" s="19"/>
      <c r="N343" s="19"/>
      <c r="O343" s="99"/>
      <c r="P343" s="19"/>
      <c r="Q343" s="19"/>
      <c r="R343" s="19"/>
      <c r="S343" s="19"/>
    </row>
    <row r="344" spans="1:19">
      <c r="A344" s="230"/>
      <c r="B344" s="231"/>
      <c r="C344" s="232"/>
      <c r="D344" s="233"/>
      <c r="E344" s="15"/>
      <c r="F344" s="19"/>
      <c r="G344" s="99"/>
      <c r="M344" s="19"/>
      <c r="N344" s="19"/>
      <c r="O344" s="99"/>
      <c r="P344" s="19"/>
      <c r="Q344" s="19"/>
      <c r="R344" s="19"/>
      <c r="S344" s="19"/>
    </row>
    <row r="345" spans="1:19">
      <c r="A345" s="230"/>
      <c r="B345" s="231"/>
      <c r="C345" s="232"/>
      <c r="D345" s="233"/>
      <c r="E345" s="15"/>
      <c r="F345" s="19"/>
      <c r="G345" s="99"/>
      <c r="M345" s="19"/>
      <c r="N345" s="19"/>
      <c r="O345" s="99"/>
      <c r="P345" s="19"/>
      <c r="Q345" s="19"/>
      <c r="R345" s="19"/>
      <c r="S345" s="19"/>
    </row>
    <row r="346" spans="1:19">
      <c r="A346" s="230"/>
      <c r="B346" s="231"/>
      <c r="C346" s="232"/>
      <c r="D346" s="233"/>
      <c r="E346" s="15"/>
      <c r="F346" s="19"/>
      <c r="G346" s="99"/>
      <c r="M346" s="19"/>
      <c r="N346" s="19"/>
      <c r="O346" s="99"/>
      <c r="P346" s="19"/>
      <c r="Q346" s="19"/>
      <c r="R346" s="19"/>
      <c r="S346" s="19"/>
    </row>
    <row r="347" spans="1:19">
      <c r="A347" s="230"/>
      <c r="B347" s="231"/>
      <c r="C347" s="232"/>
      <c r="D347" s="233"/>
      <c r="E347" s="15"/>
      <c r="F347" s="19"/>
      <c r="G347" s="99"/>
      <c r="M347" s="19"/>
      <c r="N347" s="19"/>
      <c r="O347" s="99"/>
      <c r="P347" s="19"/>
      <c r="Q347" s="19"/>
      <c r="R347" s="19"/>
      <c r="S347" s="19"/>
    </row>
    <row r="348" spans="1:19">
      <c r="A348" s="230"/>
      <c r="B348" s="231"/>
      <c r="C348" s="232"/>
      <c r="D348" s="233"/>
      <c r="E348" s="15"/>
      <c r="F348" s="19"/>
      <c r="G348" s="99"/>
      <c r="M348" s="19"/>
      <c r="N348" s="19"/>
      <c r="O348" s="99"/>
      <c r="P348" s="19"/>
      <c r="Q348" s="19"/>
      <c r="R348" s="19"/>
      <c r="S348" s="19"/>
    </row>
    <row r="349" spans="1:19">
      <c r="A349" s="230"/>
      <c r="B349" s="231"/>
      <c r="C349" s="232"/>
      <c r="D349" s="233"/>
      <c r="E349" s="15"/>
      <c r="F349" s="19"/>
      <c r="G349" s="99"/>
      <c r="M349" s="19"/>
      <c r="N349" s="19"/>
      <c r="O349" s="99"/>
      <c r="P349" s="19"/>
      <c r="Q349" s="19"/>
      <c r="R349" s="19"/>
      <c r="S349" s="19"/>
    </row>
    <row r="350" spans="1:19">
      <c r="A350" s="230"/>
      <c r="B350" s="231"/>
      <c r="C350" s="232"/>
      <c r="D350" s="233"/>
      <c r="E350" s="15"/>
      <c r="F350" s="19"/>
      <c r="G350" s="99"/>
      <c r="M350" s="19"/>
      <c r="N350" s="19"/>
      <c r="O350" s="99"/>
      <c r="P350" s="19"/>
      <c r="Q350" s="19"/>
      <c r="R350" s="19"/>
      <c r="S350" s="19"/>
    </row>
    <row r="351" spans="1:19">
      <c r="A351" s="230"/>
      <c r="B351" s="231"/>
      <c r="C351" s="232"/>
      <c r="D351" s="233"/>
      <c r="E351" s="15"/>
      <c r="F351" s="19"/>
      <c r="G351" s="99"/>
      <c r="M351" s="19"/>
      <c r="N351" s="19"/>
      <c r="O351" s="99"/>
      <c r="P351" s="19"/>
      <c r="Q351" s="19"/>
      <c r="R351" s="19"/>
      <c r="S351" s="19"/>
    </row>
    <row r="352" spans="1:19">
      <c r="A352" s="230"/>
      <c r="B352" s="231"/>
      <c r="C352" s="232"/>
      <c r="D352" s="233"/>
      <c r="E352" s="15"/>
      <c r="F352" s="19"/>
      <c r="G352" s="99"/>
      <c r="M352" s="19"/>
      <c r="N352" s="19"/>
      <c r="O352" s="99"/>
      <c r="P352" s="19"/>
      <c r="Q352" s="19"/>
      <c r="R352" s="19"/>
      <c r="S352" s="19"/>
    </row>
    <row r="353" spans="1:19">
      <c r="A353" s="230"/>
      <c r="B353" s="231"/>
      <c r="C353" s="232"/>
      <c r="D353" s="233"/>
      <c r="E353" s="15"/>
      <c r="F353" s="19"/>
      <c r="G353" s="99"/>
      <c r="M353" s="19"/>
      <c r="N353" s="19"/>
      <c r="O353" s="99"/>
      <c r="P353" s="19"/>
      <c r="Q353" s="19"/>
      <c r="R353" s="19"/>
      <c r="S353" s="19"/>
    </row>
    <row r="354" spans="1:19">
      <c r="A354" s="230"/>
      <c r="B354" s="231"/>
      <c r="C354" s="232"/>
      <c r="D354" s="233"/>
      <c r="E354" s="15"/>
      <c r="F354" s="19"/>
      <c r="G354" s="99"/>
      <c r="M354" s="19"/>
      <c r="N354" s="19"/>
      <c r="O354" s="99"/>
      <c r="P354" s="19"/>
      <c r="Q354" s="19"/>
      <c r="R354" s="19"/>
      <c r="S354" s="19"/>
    </row>
    <row r="355" spans="1:19">
      <c r="A355" s="230"/>
      <c r="B355" s="231"/>
      <c r="C355" s="232"/>
      <c r="D355" s="233"/>
      <c r="E355" s="15"/>
      <c r="F355" s="19"/>
      <c r="G355" s="99"/>
      <c r="M355" s="19"/>
      <c r="N355" s="19"/>
      <c r="O355" s="99"/>
      <c r="P355" s="19"/>
      <c r="Q355" s="19"/>
      <c r="R355" s="19"/>
      <c r="S355" s="19"/>
    </row>
    <row r="356" spans="1:19">
      <c r="A356" s="230"/>
      <c r="B356" s="231"/>
      <c r="C356" s="232"/>
      <c r="D356" s="233"/>
      <c r="E356" s="15"/>
      <c r="F356" s="19"/>
      <c r="G356" s="99"/>
      <c r="M356" s="19"/>
      <c r="N356" s="19"/>
      <c r="O356" s="99"/>
      <c r="P356" s="19"/>
      <c r="Q356" s="19"/>
      <c r="R356" s="19"/>
      <c r="S356" s="19"/>
    </row>
    <row r="357" spans="1:19">
      <c r="A357" s="230"/>
      <c r="B357" s="231"/>
      <c r="C357" s="232"/>
      <c r="D357" s="233"/>
      <c r="E357" s="15"/>
      <c r="F357" s="19"/>
      <c r="G357" s="99"/>
      <c r="M357" s="19"/>
      <c r="N357" s="19"/>
      <c r="O357" s="99"/>
      <c r="P357" s="19"/>
      <c r="Q357" s="19"/>
      <c r="R357" s="19"/>
      <c r="S357" s="19"/>
    </row>
    <row r="358" spans="1:19">
      <c r="A358" s="230"/>
      <c r="B358" s="231"/>
      <c r="C358" s="232"/>
      <c r="D358" s="233"/>
      <c r="E358" s="15"/>
      <c r="F358" s="19"/>
      <c r="G358" s="99"/>
      <c r="M358" s="19"/>
      <c r="N358" s="19"/>
      <c r="O358" s="99"/>
      <c r="P358" s="19"/>
      <c r="Q358" s="19"/>
      <c r="R358" s="19"/>
      <c r="S358" s="19"/>
    </row>
    <row r="359" spans="1:19">
      <c r="A359" s="230"/>
      <c r="B359" s="231"/>
      <c r="C359" s="232"/>
      <c r="D359" s="233"/>
      <c r="E359" s="15"/>
      <c r="F359" s="19"/>
      <c r="G359" s="99"/>
      <c r="M359" s="19"/>
      <c r="N359" s="19"/>
      <c r="O359" s="99"/>
      <c r="P359" s="19"/>
      <c r="Q359" s="19"/>
      <c r="R359" s="19"/>
      <c r="S359" s="19"/>
    </row>
    <row r="360" spans="1:19">
      <c r="A360" s="230"/>
      <c r="B360" s="231"/>
      <c r="C360" s="232"/>
      <c r="D360" s="233"/>
      <c r="E360" s="15"/>
      <c r="F360" s="19"/>
      <c r="G360" s="99"/>
      <c r="M360" s="19"/>
      <c r="N360" s="19"/>
      <c r="O360" s="99"/>
      <c r="P360" s="19"/>
      <c r="Q360" s="19"/>
      <c r="R360" s="19"/>
      <c r="S360" s="19"/>
    </row>
    <row r="361" spans="1:19">
      <c r="A361" s="230"/>
      <c r="B361" s="231"/>
      <c r="C361" s="232"/>
      <c r="D361" s="233"/>
      <c r="E361" s="15"/>
      <c r="F361" s="19"/>
      <c r="G361" s="99"/>
      <c r="M361" s="19"/>
      <c r="N361" s="19"/>
      <c r="O361" s="99"/>
      <c r="P361" s="19"/>
      <c r="Q361" s="19"/>
      <c r="R361" s="19"/>
      <c r="S361" s="19"/>
    </row>
    <row r="362" spans="1:19">
      <c r="A362" s="230"/>
      <c r="B362" s="231"/>
      <c r="C362" s="232"/>
      <c r="D362" s="233"/>
      <c r="E362" s="15"/>
      <c r="F362" s="19"/>
      <c r="G362" s="99"/>
      <c r="M362" s="19"/>
      <c r="N362" s="19"/>
      <c r="O362" s="99"/>
      <c r="P362" s="19"/>
      <c r="Q362" s="19"/>
      <c r="R362" s="19"/>
      <c r="S362" s="19"/>
    </row>
    <row r="363" spans="1:19">
      <c r="A363" s="230"/>
      <c r="B363" s="231"/>
      <c r="C363" s="232"/>
      <c r="D363" s="233"/>
      <c r="E363" s="15"/>
      <c r="F363" s="19"/>
      <c r="G363" s="99"/>
      <c r="M363" s="19"/>
      <c r="N363" s="19"/>
      <c r="O363" s="99"/>
      <c r="P363" s="19"/>
      <c r="Q363" s="19"/>
      <c r="R363" s="19"/>
      <c r="S363" s="19"/>
    </row>
    <row r="364" spans="1:19">
      <c r="A364" s="230"/>
      <c r="B364" s="231"/>
      <c r="C364" s="232"/>
      <c r="D364" s="233"/>
      <c r="E364" s="15"/>
      <c r="F364" s="19"/>
      <c r="G364" s="99"/>
      <c r="M364" s="19"/>
      <c r="N364" s="19"/>
      <c r="O364" s="99"/>
      <c r="P364" s="19"/>
      <c r="Q364" s="19"/>
      <c r="R364" s="19"/>
      <c r="S364" s="19"/>
    </row>
    <row r="365" spans="1:19">
      <c r="A365" s="230"/>
      <c r="B365" s="231"/>
      <c r="C365" s="232"/>
      <c r="D365" s="233"/>
      <c r="E365" s="15"/>
      <c r="F365" s="19"/>
      <c r="G365" s="99"/>
      <c r="M365" s="19"/>
      <c r="N365" s="19"/>
      <c r="O365" s="99"/>
      <c r="P365" s="19"/>
      <c r="Q365" s="19"/>
      <c r="R365" s="19"/>
      <c r="S365" s="19"/>
    </row>
    <row r="366" spans="1:19">
      <c r="A366" s="230"/>
      <c r="B366" s="231"/>
      <c r="C366" s="232"/>
      <c r="D366" s="233"/>
      <c r="E366" s="15"/>
      <c r="F366" s="19"/>
      <c r="G366" s="99"/>
      <c r="M366" s="19"/>
      <c r="N366" s="19"/>
      <c r="O366" s="99"/>
      <c r="P366" s="19"/>
      <c r="Q366" s="19"/>
      <c r="R366" s="19"/>
      <c r="S366" s="19"/>
    </row>
    <row r="367" spans="1:19">
      <c r="A367" s="230"/>
      <c r="B367" s="231"/>
      <c r="C367" s="232"/>
      <c r="D367" s="233"/>
      <c r="E367" s="15"/>
      <c r="F367" s="19"/>
      <c r="G367" s="99"/>
      <c r="M367" s="19"/>
      <c r="N367" s="19"/>
      <c r="O367" s="99"/>
      <c r="P367" s="19"/>
      <c r="Q367" s="19"/>
      <c r="R367" s="19"/>
      <c r="S367" s="19"/>
    </row>
    <row r="368" spans="1:19">
      <c r="A368" s="230"/>
      <c r="B368" s="231"/>
      <c r="C368" s="232"/>
      <c r="D368" s="233"/>
      <c r="E368" s="15"/>
      <c r="F368" s="19"/>
      <c r="G368" s="99"/>
      <c r="M368" s="19"/>
      <c r="N368" s="19"/>
      <c r="O368" s="99"/>
      <c r="P368" s="19"/>
      <c r="Q368" s="19"/>
      <c r="R368" s="19"/>
      <c r="S368" s="19"/>
    </row>
    <row r="369" spans="1:19">
      <c r="A369" s="230"/>
      <c r="B369" s="231"/>
      <c r="C369" s="232"/>
      <c r="D369" s="233"/>
      <c r="E369" s="15"/>
      <c r="F369" s="19"/>
      <c r="G369" s="99"/>
      <c r="M369" s="19"/>
      <c r="N369" s="19"/>
      <c r="O369" s="99"/>
      <c r="P369" s="19"/>
      <c r="Q369" s="19"/>
      <c r="R369" s="19"/>
      <c r="S369" s="19"/>
    </row>
    <row r="370" spans="1:19">
      <c r="A370" s="230"/>
      <c r="B370" s="231"/>
      <c r="C370" s="232"/>
      <c r="D370" s="233"/>
      <c r="E370" s="15"/>
      <c r="F370" s="19"/>
      <c r="G370" s="99"/>
      <c r="M370" s="19"/>
      <c r="N370" s="19"/>
      <c r="O370" s="99"/>
      <c r="P370" s="19"/>
      <c r="Q370" s="19"/>
      <c r="R370" s="19"/>
      <c r="S370" s="19"/>
    </row>
    <row r="371" spans="1:19">
      <c r="A371" s="230"/>
      <c r="B371" s="231"/>
      <c r="C371" s="232"/>
      <c r="D371" s="233"/>
      <c r="E371" s="15"/>
      <c r="F371" s="19"/>
      <c r="G371" s="99"/>
      <c r="M371" s="19"/>
      <c r="N371" s="19"/>
      <c r="O371" s="99"/>
      <c r="P371" s="19"/>
      <c r="Q371" s="19"/>
      <c r="R371" s="19"/>
      <c r="S371" s="19"/>
    </row>
    <row r="372" spans="1:19">
      <c r="A372" s="230"/>
      <c r="B372" s="231"/>
      <c r="C372" s="232"/>
      <c r="D372" s="233"/>
      <c r="E372" s="15"/>
      <c r="F372" s="19"/>
      <c r="G372" s="99"/>
      <c r="M372" s="19"/>
      <c r="N372" s="19"/>
      <c r="O372" s="99"/>
      <c r="P372" s="19"/>
      <c r="Q372" s="19"/>
      <c r="R372" s="19"/>
      <c r="S372" s="19"/>
    </row>
    <row r="373" spans="1:19">
      <c r="A373" s="230"/>
      <c r="B373" s="231"/>
      <c r="C373" s="232"/>
      <c r="D373" s="233"/>
      <c r="E373" s="15"/>
      <c r="F373" s="19"/>
      <c r="G373" s="99"/>
      <c r="M373" s="19"/>
      <c r="N373" s="19"/>
      <c r="O373" s="99"/>
      <c r="P373" s="19"/>
      <c r="Q373" s="19"/>
      <c r="R373" s="19"/>
      <c r="S373" s="19"/>
    </row>
    <row r="374" spans="1:19">
      <c r="A374" s="230"/>
      <c r="B374" s="231"/>
      <c r="C374" s="232"/>
      <c r="D374" s="233"/>
      <c r="E374" s="15"/>
      <c r="F374" s="19"/>
      <c r="G374" s="99"/>
      <c r="M374" s="19"/>
      <c r="N374" s="19"/>
      <c r="O374" s="99"/>
      <c r="P374" s="19"/>
      <c r="Q374" s="19"/>
      <c r="R374" s="19"/>
      <c r="S374" s="19"/>
    </row>
    <row r="375" spans="1:19">
      <c r="A375" s="230"/>
      <c r="B375" s="231"/>
      <c r="C375" s="232"/>
      <c r="D375" s="233"/>
      <c r="E375" s="15"/>
      <c r="F375" s="19"/>
      <c r="G375" s="99"/>
      <c r="M375" s="19"/>
      <c r="N375" s="19"/>
      <c r="O375" s="99"/>
      <c r="P375" s="19"/>
      <c r="Q375" s="19"/>
      <c r="R375" s="19"/>
      <c r="S375" s="19"/>
    </row>
    <row r="376" spans="1:19">
      <c r="A376" s="230"/>
      <c r="B376" s="231"/>
      <c r="C376" s="232"/>
      <c r="D376" s="233"/>
      <c r="E376" s="15"/>
      <c r="F376" s="19"/>
      <c r="G376" s="99"/>
      <c r="M376" s="19"/>
      <c r="N376" s="19"/>
      <c r="O376" s="99"/>
      <c r="P376" s="19"/>
      <c r="Q376" s="19"/>
      <c r="R376" s="19"/>
      <c r="S376" s="19"/>
    </row>
    <row r="377" spans="1:19">
      <c r="A377" s="230"/>
      <c r="B377" s="231"/>
      <c r="C377" s="232"/>
      <c r="D377" s="233"/>
      <c r="E377" s="15"/>
      <c r="F377" s="19"/>
      <c r="G377" s="99"/>
      <c r="M377" s="19"/>
      <c r="N377" s="19"/>
      <c r="O377" s="99"/>
      <c r="P377" s="19"/>
      <c r="Q377" s="19"/>
      <c r="R377" s="19"/>
      <c r="S377" s="19"/>
    </row>
    <row r="378" spans="1:19">
      <c r="A378" s="230"/>
      <c r="B378" s="231"/>
      <c r="C378" s="232"/>
      <c r="D378" s="233"/>
      <c r="E378" s="15"/>
      <c r="F378" s="19"/>
      <c r="G378" s="99"/>
      <c r="M378" s="19"/>
      <c r="N378" s="19"/>
      <c r="O378" s="99"/>
      <c r="P378" s="19"/>
      <c r="Q378" s="19"/>
      <c r="R378" s="19"/>
      <c r="S378" s="19"/>
    </row>
    <row r="379" spans="1:19">
      <c r="A379" s="230"/>
      <c r="B379" s="231"/>
      <c r="C379" s="232"/>
      <c r="D379" s="233"/>
      <c r="E379" s="15"/>
      <c r="F379" s="19"/>
      <c r="G379" s="99"/>
      <c r="M379" s="19"/>
      <c r="N379" s="19"/>
      <c r="O379" s="99"/>
      <c r="P379" s="19"/>
      <c r="Q379" s="19"/>
      <c r="R379" s="19"/>
      <c r="S379" s="19"/>
    </row>
    <row r="380" spans="1:19">
      <c r="A380" s="230"/>
      <c r="B380" s="231"/>
      <c r="C380" s="232"/>
      <c r="D380" s="233"/>
      <c r="E380" s="15"/>
      <c r="F380" s="19"/>
      <c r="G380" s="99"/>
      <c r="M380" s="19"/>
      <c r="N380" s="19"/>
      <c r="O380" s="99"/>
      <c r="P380" s="19"/>
      <c r="Q380" s="19"/>
      <c r="R380" s="19"/>
      <c r="S380" s="19"/>
    </row>
    <row r="381" spans="1:19">
      <c r="A381" s="230"/>
      <c r="B381" s="231"/>
      <c r="C381" s="232"/>
      <c r="D381" s="233"/>
      <c r="E381" s="15"/>
      <c r="F381" s="19"/>
      <c r="G381" s="99"/>
      <c r="M381" s="19"/>
      <c r="N381" s="19"/>
      <c r="O381" s="99"/>
      <c r="P381" s="19"/>
      <c r="Q381" s="19"/>
      <c r="R381" s="19"/>
      <c r="S381" s="19"/>
    </row>
    <row r="382" spans="1:19">
      <c r="A382" s="230"/>
      <c r="B382" s="231"/>
      <c r="C382" s="232"/>
      <c r="D382" s="233"/>
      <c r="E382" s="15"/>
      <c r="F382" s="19"/>
      <c r="G382" s="99"/>
      <c r="M382" s="19"/>
      <c r="N382" s="19"/>
      <c r="O382" s="99"/>
      <c r="P382" s="19"/>
      <c r="Q382" s="19"/>
      <c r="R382" s="19"/>
      <c r="S382" s="19"/>
    </row>
    <row r="383" spans="1:19">
      <c r="A383" s="230"/>
      <c r="B383" s="231"/>
      <c r="C383" s="232"/>
      <c r="D383" s="233"/>
      <c r="E383" s="15"/>
      <c r="F383" s="19"/>
      <c r="G383" s="99"/>
      <c r="M383" s="19"/>
      <c r="N383" s="19"/>
      <c r="O383" s="99"/>
      <c r="P383" s="19"/>
      <c r="Q383" s="19"/>
      <c r="R383" s="19"/>
      <c r="S383" s="19"/>
    </row>
    <row r="384" spans="1:19">
      <c r="A384" s="230"/>
      <c r="B384" s="231"/>
      <c r="C384" s="232"/>
      <c r="D384" s="233"/>
      <c r="E384" s="15"/>
      <c r="F384" s="19"/>
      <c r="G384" s="99"/>
      <c r="M384" s="19"/>
      <c r="N384" s="19"/>
      <c r="O384" s="99"/>
      <c r="P384" s="19"/>
      <c r="Q384" s="19"/>
      <c r="R384" s="19"/>
      <c r="S384" s="19"/>
    </row>
    <row r="385" spans="1:19">
      <c r="A385" s="230"/>
      <c r="B385" s="231"/>
      <c r="C385" s="232"/>
      <c r="D385" s="233"/>
      <c r="E385" s="15"/>
      <c r="F385" s="19"/>
      <c r="G385" s="99"/>
      <c r="M385" s="19"/>
      <c r="N385" s="19"/>
      <c r="O385" s="99"/>
      <c r="P385" s="19"/>
      <c r="Q385" s="19"/>
      <c r="R385" s="19"/>
      <c r="S385" s="19"/>
    </row>
    <row r="386" spans="1:19">
      <c r="A386" s="230"/>
      <c r="B386" s="231"/>
      <c r="C386" s="232"/>
      <c r="D386" s="233"/>
      <c r="E386" s="15"/>
      <c r="F386" s="19"/>
      <c r="G386" s="99"/>
      <c r="M386" s="19"/>
      <c r="N386" s="19"/>
      <c r="O386" s="99"/>
      <c r="P386" s="19"/>
      <c r="Q386" s="19"/>
      <c r="R386" s="19"/>
      <c r="S386" s="19"/>
    </row>
    <row r="387" spans="1:19">
      <c r="A387" s="230"/>
      <c r="B387" s="231"/>
      <c r="C387" s="232"/>
      <c r="D387" s="233"/>
      <c r="E387" s="15"/>
      <c r="F387" s="19"/>
      <c r="G387" s="99"/>
      <c r="M387" s="19"/>
      <c r="N387" s="19"/>
      <c r="O387" s="99"/>
      <c r="P387" s="19"/>
      <c r="Q387" s="19"/>
      <c r="R387" s="19"/>
      <c r="S387" s="19"/>
    </row>
    <row r="388" spans="1:19">
      <c r="A388" s="230"/>
      <c r="B388" s="231"/>
      <c r="C388" s="232"/>
      <c r="D388" s="233"/>
      <c r="E388" s="15"/>
      <c r="F388" s="19"/>
      <c r="G388" s="99"/>
      <c r="M388" s="19"/>
      <c r="N388" s="19"/>
      <c r="O388" s="99"/>
      <c r="P388" s="19"/>
      <c r="Q388" s="19"/>
      <c r="R388" s="19"/>
      <c r="S388" s="19"/>
    </row>
    <row r="389" spans="1:19">
      <c r="A389" s="230"/>
      <c r="B389" s="231"/>
      <c r="C389" s="232"/>
      <c r="D389" s="233"/>
      <c r="E389" s="15"/>
      <c r="F389" s="19"/>
      <c r="G389" s="99"/>
      <c r="M389" s="19"/>
      <c r="N389" s="19"/>
      <c r="O389" s="99"/>
      <c r="P389" s="19"/>
      <c r="Q389" s="19"/>
      <c r="R389" s="19"/>
      <c r="S389" s="19"/>
    </row>
    <row r="390" spans="1:19">
      <c r="A390" s="230"/>
      <c r="B390" s="231"/>
      <c r="C390" s="232"/>
      <c r="D390" s="233"/>
      <c r="E390" s="15"/>
      <c r="F390" s="19"/>
      <c r="G390" s="99"/>
      <c r="M390" s="19"/>
      <c r="N390" s="19"/>
      <c r="O390" s="99"/>
      <c r="P390" s="19"/>
      <c r="Q390" s="19"/>
      <c r="R390" s="19"/>
      <c r="S390" s="19"/>
    </row>
    <row r="391" spans="1:19">
      <c r="A391" s="230"/>
      <c r="B391" s="231"/>
      <c r="C391" s="232"/>
      <c r="D391" s="233"/>
      <c r="E391" s="15"/>
      <c r="F391" s="19"/>
      <c r="G391" s="99"/>
      <c r="M391" s="19"/>
      <c r="N391" s="19"/>
      <c r="O391" s="99"/>
      <c r="P391" s="19"/>
      <c r="Q391" s="19"/>
      <c r="R391" s="19"/>
      <c r="S391" s="19"/>
    </row>
    <row r="392" spans="1:19">
      <c r="A392" s="230"/>
      <c r="B392" s="231"/>
      <c r="C392" s="232"/>
      <c r="D392" s="233"/>
      <c r="E392" s="15"/>
      <c r="F392" s="19"/>
      <c r="G392" s="99"/>
      <c r="M392" s="19"/>
      <c r="N392" s="19"/>
      <c r="O392" s="99"/>
      <c r="P392" s="19"/>
      <c r="Q392" s="19"/>
      <c r="R392" s="19"/>
      <c r="S392" s="19"/>
    </row>
    <row r="393" spans="1:19">
      <c r="A393" s="230"/>
      <c r="B393" s="231"/>
      <c r="C393" s="232"/>
      <c r="D393" s="233"/>
      <c r="E393" s="15"/>
      <c r="F393" s="19"/>
      <c r="G393" s="99"/>
      <c r="M393" s="19"/>
      <c r="N393" s="19"/>
      <c r="O393" s="99"/>
      <c r="P393" s="19"/>
      <c r="Q393" s="19"/>
      <c r="R393" s="19"/>
      <c r="S393" s="19"/>
    </row>
    <row r="394" spans="1:19">
      <c r="A394" s="230"/>
      <c r="B394" s="231"/>
      <c r="C394" s="232"/>
      <c r="D394" s="233"/>
      <c r="E394" s="15"/>
      <c r="F394" s="19"/>
      <c r="G394" s="99"/>
      <c r="M394" s="19"/>
      <c r="N394" s="19"/>
      <c r="O394" s="99"/>
      <c r="P394" s="19"/>
      <c r="Q394" s="19"/>
      <c r="R394" s="19"/>
      <c r="S394" s="19"/>
    </row>
    <row r="395" spans="1:19">
      <c r="A395" s="230"/>
      <c r="B395" s="231"/>
      <c r="C395" s="232"/>
      <c r="D395" s="233"/>
      <c r="E395" s="15"/>
      <c r="F395" s="19"/>
      <c r="G395" s="99"/>
      <c r="M395" s="19"/>
      <c r="N395" s="19"/>
      <c r="O395" s="99"/>
      <c r="P395" s="19"/>
      <c r="Q395" s="19"/>
      <c r="R395" s="19"/>
      <c r="S395" s="19"/>
    </row>
    <row r="396" spans="1:19">
      <c r="A396" s="230"/>
      <c r="B396" s="231"/>
      <c r="C396" s="232"/>
      <c r="D396" s="233"/>
      <c r="E396" s="15"/>
      <c r="F396" s="19"/>
      <c r="G396" s="99"/>
      <c r="M396" s="19"/>
      <c r="N396" s="19"/>
      <c r="O396" s="99"/>
      <c r="P396" s="19"/>
      <c r="Q396" s="19"/>
      <c r="R396" s="19"/>
      <c r="S396" s="19"/>
    </row>
    <row r="397" spans="1:19">
      <c r="A397" s="230"/>
      <c r="B397" s="231"/>
      <c r="C397" s="232"/>
      <c r="D397" s="233"/>
      <c r="E397" s="15"/>
      <c r="F397" s="19"/>
      <c r="G397" s="99"/>
      <c r="M397" s="19"/>
      <c r="N397" s="19"/>
      <c r="O397" s="99"/>
      <c r="P397" s="19"/>
      <c r="Q397" s="19"/>
      <c r="R397" s="19"/>
      <c r="S397" s="19"/>
    </row>
    <row r="398" spans="1:19">
      <c r="A398" s="230"/>
      <c r="B398" s="231"/>
      <c r="C398" s="232"/>
      <c r="D398" s="233"/>
      <c r="E398" s="15"/>
      <c r="F398" s="19"/>
      <c r="G398" s="99"/>
      <c r="M398" s="19"/>
      <c r="N398" s="19"/>
      <c r="O398" s="99"/>
      <c r="P398" s="19"/>
      <c r="Q398" s="19"/>
      <c r="R398" s="19"/>
      <c r="S398" s="19"/>
    </row>
    <row r="399" spans="1:19">
      <c r="A399" s="230"/>
      <c r="B399" s="231"/>
      <c r="C399" s="232"/>
      <c r="D399" s="233"/>
      <c r="E399" s="15"/>
      <c r="F399" s="19"/>
      <c r="G399" s="99"/>
      <c r="M399" s="19"/>
      <c r="N399" s="19"/>
      <c r="O399" s="99"/>
      <c r="P399" s="19"/>
      <c r="Q399" s="19"/>
      <c r="R399" s="19"/>
      <c r="S399" s="19"/>
    </row>
    <row r="400" spans="1:19">
      <c r="A400" s="230"/>
      <c r="B400" s="231"/>
      <c r="C400" s="232"/>
      <c r="D400" s="233"/>
      <c r="E400" s="15"/>
      <c r="F400" s="19"/>
      <c r="G400" s="99"/>
      <c r="M400" s="19"/>
      <c r="N400" s="19"/>
      <c r="O400" s="99"/>
      <c r="P400" s="19"/>
      <c r="Q400" s="19"/>
      <c r="R400" s="19"/>
      <c r="S400" s="19"/>
    </row>
    <row r="401" spans="1:19">
      <c r="A401" s="230"/>
      <c r="B401" s="231"/>
      <c r="C401" s="232"/>
      <c r="D401" s="233"/>
      <c r="E401" s="15"/>
      <c r="F401" s="19"/>
      <c r="G401" s="99"/>
      <c r="M401" s="19"/>
      <c r="N401" s="19"/>
      <c r="O401" s="99"/>
      <c r="P401" s="19"/>
      <c r="Q401" s="19"/>
      <c r="R401" s="19"/>
      <c r="S401" s="19"/>
    </row>
    <row r="402" spans="1:19">
      <c r="A402" s="230"/>
      <c r="B402" s="231"/>
      <c r="C402" s="232"/>
      <c r="D402" s="233"/>
      <c r="E402" s="15"/>
      <c r="F402" s="19"/>
      <c r="G402" s="99"/>
      <c r="M402" s="19"/>
      <c r="N402" s="19"/>
      <c r="O402" s="99"/>
      <c r="P402" s="19"/>
      <c r="Q402" s="19"/>
      <c r="R402" s="19"/>
      <c r="S402" s="19"/>
    </row>
    <row r="403" spans="1:19">
      <c r="A403" s="230"/>
      <c r="B403" s="231"/>
      <c r="C403" s="232"/>
      <c r="D403" s="233"/>
      <c r="E403" s="15"/>
      <c r="F403" s="19"/>
      <c r="G403" s="99"/>
      <c r="M403" s="19"/>
      <c r="N403" s="19"/>
      <c r="O403" s="99"/>
      <c r="P403" s="19"/>
      <c r="Q403" s="19"/>
      <c r="R403" s="19"/>
      <c r="S403" s="19"/>
    </row>
    <row r="404" spans="1:19">
      <c r="A404" s="230"/>
      <c r="B404" s="231"/>
      <c r="C404" s="232"/>
      <c r="D404" s="233"/>
      <c r="E404" s="15"/>
      <c r="F404" s="19"/>
      <c r="G404" s="99"/>
      <c r="M404" s="19"/>
      <c r="N404" s="19"/>
      <c r="O404" s="99"/>
      <c r="P404" s="19"/>
      <c r="Q404" s="19"/>
      <c r="R404" s="19"/>
      <c r="S404" s="19"/>
    </row>
    <row r="405" spans="1:19">
      <c r="A405" s="230"/>
      <c r="B405" s="231"/>
      <c r="C405" s="232"/>
      <c r="D405" s="233"/>
      <c r="E405" s="15"/>
      <c r="F405" s="19"/>
      <c r="G405" s="99"/>
      <c r="M405" s="19"/>
      <c r="N405" s="19"/>
      <c r="O405" s="99"/>
      <c r="P405" s="19"/>
      <c r="Q405" s="19"/>
      <c r="R405" s="19"/>
      <c r="S405" s="19"/>
    </row>
    <row r="406" spans="1:19">
      <c r="A406" s="230"/>
      <c r="B406" s="231"/>
      <c r="C406" s="232"/>
      <c r="D406" s="233"/>
      <c r="E406" s="15"/>
      <c r="F406" s="19"/>
      <c r="G406" s="99"/>
      <c r="M406" s="19"/>
      <c r="N406" s="19"/>
      <c r="O406" s="99"/>
      <c r="P406" s="19"/>
      <c r="Q406" s="19"/>
      <c r="R406" s="19"/>
      <c r="S406" s="19"/>
    </row>
    <row r="407" spans="1:19">
      <c r="A407" s="230"/>
      <c r="B407" s="231"/>
      <c r="C407" s="232"/>
      <c r="D407" s="233"/>
      <c r="E407" s="15"/>
      <c r="F407" s="19"/>
      <c r="G407" s="99"/>
      <c r="M407" s="19"/>
      <c r="N407" s="19"/>
      <c r="O407" s="99"/>
      <c r="P407" s="19"/>
      <c r="Q407" s="19"/>
      <c r="R407" s="19"/>
      <c r="S407" s="19"/>
    </row>
    <row r="408" spans="1:19">
      <c r="A408" s="230"/>
      <c r="B408" s="231"/>
      <c r="C408" s="232"/>
      <c r="D408" s="233"/>
      <c r="E408" s="15"/>
      <c r="F408" s="19"/>
      <c r="G408" s="99"/>
      <c r="M408" s="19"/>
      <c r="N408" s="19"/>
      <c r="O408" s="99"/>
      <c r="P408" s="19"/>
      <c r="Q408" s="19"/>
      <c r="R408" s="19"/>
      <c r="S408" s="19"/>
    </row>
    <row r="409" spans="1:19">
      <c r="A409" s="230"/>
      <c r="B409" s="231"/>
      <c r="C409" s="232"/>
      <c r="D409" s="233"/>
      <c r="E409" s="15"/>
      <c r="F409" s="19"/>
      <c r="G409" s="99"/>
      <c r="M409" s="19"/>
      <c r="N409" s="19"/>
      <c r="O409" s="99"/>
      <c r="P409" s="19"/>
      <c r="Q409" s="19"/>
      <c r="R409" s="19"/>
      <c r="S409" s="19"/>
    </row>
    <row r="410" spans="1:19">
      <c r="A410" s="230"/>
      <c r="B410" s="231"/>
      <c r="C410" s="232"/>
      <c r="D410" s="233"/>
      <c r="E410" s="15"/>
      <c r="F410" s="19"/>
      <c r="G410" s="99"/>
      <c r="M410" s="19"/>
      <c r="N410" s="19"/>
      <c r="O410" s="99"/>
      <c r="P410" s="19"/>
      <c r="Q410" s="19"/>
      <c r="R410" s="19"/>
      <c r="S410" s="19"/>
    </row>
    <row r="411" spans="1:19">
      <c r="A411" s="230"/>
      <c r="B411" s="231"/>
      <c r="C411" s="232"/>
      <c r="D411" s="233"/>
      <c r="E411" s="15"/>
      <c r="F411" s="19"/>
      <c r="G411" s="99"/>
      <c r="M411" s="19"/>
      <c r="N411" s="19"/>
      <c r="O411" s="99"/>
      <c r="P411" s="19"/>
      <c r="Q411" s="19"/>
      <c r="R411" s="19"/>
      <c r="S411" s="19"/>
    </row>
    <row r="412" spans="1:19">
      <c r="A412" s="230"/>
      <c r="B412" s="231"/>
      <c r="C412" s="232"/>
      <c r="D412" s="233"/>
      <c r="E412" s="15"/>
      <c r="F412" s="19"/>
      <c r="G412" s="99"/>
      <c r="M412" s="19"/>
      <c r="N412" s="19"/>
      <c r="O412" s="99"/>
      <c r="P412" s="19"/>
      <c r="Q412" s="19"/>
      <c r="R412" s="19"/>
      <c r="S412" s="19"/>
    </row>
    <row r="413" spans="1:19">
      <c r="A413" s="230"/>
      <c r="B413" s="231"/>
      <c r="C413" s="232"/>
      <c r="D413" s="233"/>
      <c r="E413" s="15"/>
      <c r="F413" s="19"/>
      <c r="G413" s="99"/>
      <c r="M413" s="19"/>
      <c r="N413" s="19"/>
      <c r="O413" s="99"/>
      <c r="P413" s="19"/>
      <c r="Q413" s="19"/>
      <c r="R413" s="19"/>
      <c r="S413" s="19"/>
    </row>
    <row r="414" spans="1:19">
      <c r="A414" s="230"/>
      <c r="B414" s="231"/>
      <c r="C414" s="232"/>
      <c r="D414" s="233"/>
      <c r="E414" s="15"/>
      <c r="F414" s="19"/>
      <c r="G414" s="99"/>
      <c r="M414" s="19"/>
      <c r="N414" s="19"/>
      <c r="O414" s="99"/>
      <c r="P414" s="19"/>
      <c r="Q414" s="19"/>
      <c r="R414" s="19"/>
      <c r="S414" s="19"/>
    </row>
    <row r="415" spans="1:19">
      <c r="A415" s="230"/>
      <c r="B415" s="231"/>
      <c r="C415" s="232"/>
      <c r="D415" s="233"/>
      <c r="E415" s="15"/>
      <c r="F415" s="19"/>
      <c r="G415" s="99"/>
      <c r="M415" s="19"/>
      <c r="N415" s="19"/>
      <c r="O415" s="99"/>
      <c r="P415" s="19"/>
      <c r="Q415" s="19"/>
      <c r="R415" s="19"/>
      <c r="S415" s="19"/>
    </row>
    <row r="416" spans="1:19">
      <c r="A416" s="230"/>
      <c r="B416" s="231"/>
      <c r="C416" s="232"/>
      <c r="D416" s="233"/>
      <c r="E416" s="15"/>
      <c r="F416" s="19"/>
      <c r="G416" s="99"/>
      <c r="M416" s="19"/>
      <c r="N416" s="19"/>
      <c r="O416" s="99"/>
      <c r="P416" s="19"/>
      <c r="Q416" s="19"/>
      <c r="R416" s="19"/>
      <c r="S416" s="19"/>
    </row>
    <row r="417" spans="1:19">
      <c r="A417" s="230"/>
      <c r="B417" s="231"/>
      <c r="C417" s="232"/>
      <c r="D417" s="233"/>
      <c r="E417" s="15"/>
      <c r="F417" s="19"/>
      <c r="G417" s="99"/>
      <c r="M417" s="19"/>
      <c r="N417" s="19"/>
      <c r="O417" s="99"/>
      <c r="P417" s="19"/>
      <c r="Q417" s="19"/>
      <c r="R417" s="19"/>
      <c r="S417" s="19"/>
    </row>
    <row r="418" spans="1:19">
      <c r="A418" s="230"/>
      <c r="B418" s="231"/>
      <c r="C418" s="232"/>
      <c r="D418" s="233"/>
      <c r="E418" s="15"/>
      <c r="F418" s="19"/>
      <c r="G418" s="99"/>
      <c r="M418" s="19"/>
      <c r="N418" s="19"/>
      <c r="O418" s="99"/>
      <c r="P418" s="19"/>
      <c r="Q418" s="19"/>
      <c r="R418" s="19"/>
      <c r="S418" s="19"/>
    </row>
    <row r="419" spans="1:19">
      <c r="A419" s="230"/>
      <c r="B419" s="231"/>
      <c r="C419" s="232"/>
      <c r="D419" s="233"/>
      <c r="E419" s="15"/>
      <c r="F419" s="19"/>
      <c r="G419" s="99"/>
      <c r="M419" s="19"/>
      <c r="N419" s="19"/>
      <c r="O419" s="99"/>
      <c r="P419" s="19"/>
      <c r="Q419" s="19"/>
      <c r="R419" s="19"/>
      <c r="S419" s="19"/>
    </row>
    <row r="420" spans="1:19">
      <c r="A420" s="230"/>
      <c r="B420" s="231"/>
      <c r="C420" s="232"/>
      <c r="D420" s="233"/>
      <c r="E420" s="15"/>
      <c r="F420" s="19"/>
      <c r="G420" s="99"/>
      <c r="M420" s="19"/>
      <c r="N420" s="19"/>
      <c r="O420" s="99"/>
      <c r="P420" s="19"/>
      <c r="Q420" s="19"/>
      <c r="R420" s="19"/>
      <c r="S420" s="19"/>
    </row>
    <row r="421" spans="1:19">
      <c r="A421" s="230"/>
      <c r="B421" s="231"/>
      <c r="C421" s="232"/>
      <c r="D421" s="233"/>
      <c r="E421" s="15"/>
      <c r="F421" s="19"/>
      <c r="G421" s="99"/>
      <c r="M421" s="19"/>
      <c r="N421" s="19"/>
      <c r="O421" s="99"/>
      <c r="P421" s="19"/>
      <c r="Q421" s="19"/>
      <c r="R421" s="19"/>
      <c r="S421" s="19"/>
    </row>
    <row r="422" spans="1:19">
      <c r="A422" s="230"/>
      <c r="B422" s="231"/>
      <c r="C422" s="232"/>
      <c r="D422" s="233"/>
      <c r="E422" s="15"/>
      <c r="F422" s="19"/>
      <c r="G422" s="99"/>
      <c r="M422" s="19"/>
      <c r="N422" s="19"/>
      <c r="O422" s="99"/>
      <c r="P422" s="19"/>
      <c r="Q422" s="19"/>
      <c r="R422" s="19"/>
      <c r="S422" s="19"/>
    </row>
    <row r="423" spans="1:19">
      <c r="A423" s="230"/>
      <c r="B423" s="231"/>
      <c r="C423" s="232"/>
      <c r="D423" s="233"/>
      <c r="E423" s="15"/>
      <c r="F423" s="19"/>
      <c r="G423" s="99"/>
      <c r="M423" s="19"/>
      <c r="N423" s="19"/>
      <c r="O423" s="99"/>
      <c r="P423" s="19"/>
      <c r="Q423" s="19"/>
      <c r="R423" s="19"/>
      <c r="S423" s="19"/>
    </row>
    <row r="424" spans="1:19">
      <c r="A424" s="230"/>
      <c r="B424" s="231"/>
      <c r="C424" s="232"/>
      <c r="D424" s="233"/>
      <c r="E424" s="15"/>
      <c r="F424" s="19"/>
      <c r="G424" s="99"/>
      <c r="M424" s="19"/>
      <c r="N424" s="19"/>
      <c r="O424" s="99"/>
      <c r="P424" s="19"/>
      <c r="Q424" s="19"/>
      <c r="R424" s="19"/>
      <c r="S424" s="19"/>
    </row>
    <row r="425" spans="1:19">
      <c r="A425" s="230"/>
      <c r="B425" s="231"/>
      <c r="C425" s="232"/>
      <c r="D425" s="233"/>
      <c r="E425" s="15"/>
      <c r="F425" s="19"/>
      <c r="G425" s="99"/>
      <c r="M425" s="19"/>
      <c r="N425" s="19"/>
      <c r="O425" s="99"/>
      <c r="P425" s="19"/>
      <c r="Q425" s="19"/>
      <c r="R425" s="19"/>
      <c r="S425" s="19"/>
    </row>
    <row r="426" spans="1:19">
      <c r="A426" s="230"/>
      <c r="B426" s="231"/>
      <c r="C426" s="232"/>
      <c r="D426" s="233"/>
      <c r="E426" s="15"/>
      <c r="F426" s="19"/>
      <c r="G426" s="99"/>
      <c r="M426" s="19"/>
      <c r="N426" s="19"/>
      <c r="O426" s="99"/>
      <c r="P426" s="19"/>
      <c r="Q426" s="19"/>
      <c r="R426" s="19"/>
      <c r="S426" s="19"/>
    </row>
    <row r="427" spans="1:19">
      <c r="A427" s="230"/>
      <c r="B427" s="231"/>
      <c r="C427" s="232"/>
      <c r="D427" s="233"/>
      <c r="E427" s="15"/>
      <c r="F427" s="19"/>
      <c r="G427" s="99"/>
      <c r="M427" s="19"/>
      <c r="N427" s="19"/>
      <c r="O427" s="99"/>
      <c r="P427" s="19"/>
      <c r="Q427" s="19"/>
      <c r="R427" s="19"/>
      <c r="S427" s="19"/>
    </row>
    <row r="428" spans="1:19">
      <c r="A428" s="230"/>
      <c r="B428" s="231"/>
      <c r="C428" s="232"/>
      <c r="D428" s="233"/>
      <c r="E428" s="15"/>
      <c r="F428" s="19"/>
      <c r="G428" s="99"/>
      <c r="M428" s="19"/>
      <c r="N428" s="19"/>
      <c r="O428" s="99"/>
      <c r="P428" s="19"/>
      <c r="Q428" s="19"/>
      <c r="R428" s="19"/>
      <c r="S428" s="19"/>
    </row>
    <row r="429" spans="1:19">
      <c r="A429" s="230"/>
      <c r="B429" s="231"/>
      <c r="C429" s="232"/>
      <c r="D429" s="233"/>
      <c r="E429" s="15"/>
      <c r="F429" s="19"/>
      <c r="G429" s="99"/>
      <c r="M429" s="19"/>
      <c r="N429" s="19"/>
      <c r="O429" s="99"/>
      <c r="P429" s="19"/>
      <c r="Q429" s="19"/>
      <c r="R429" s="19"/>
      <c r="S429" s="19"/>
    </row>
    <row r="430" spans="1:19">
      <c r="A430" s="230"/>
      <c r="B430" s="231"/>
      <c r="C430" s="232"/>
      <c r="D430" s="233"/>
      <c r="E430" s="15"/>
      <c r="F430" s="19"/>
      <c r="G430" s="99"/>
      <c r="M430" s="19"/>
      <c r="N430" s="19"/>
      <c r="O430" s="99"/>
      <c r="P430" s="19"/>
      <c r="Q430" s="19"/>
      <c r="R430" s="19"/>
      <c r="S430" s="19"/>
    </row>
    <row r="431" spans="1:19">
      <c r="A431" s="230"/>
      <c r="B431" s="231"/>
      <c r="C431" s="232"/>
      <c r="D431" s="233"/>
      <c r="E431" s="15"/>
      <c r="F431" s="19"/>
      <c r="G431" s="99"/>
      <c r="M431" s="19"/>
      <c r="N431" s="19"/>
      <c r="O431" s="99"/>
      <c r="P431" s="19"/>
      <c r="Q431" s="19"/>
      <c r="R431" s="19"/>
      <c r="S431" s="19"/>
    </row>
    <row r="432" spans="1:19">
      <c r="A432" s="230"/>
      <c r="B432" s="231"/>
      <c r="C432" s="232"/>
      <c r="D432" s="233"/>
      <c r="E432" s="15"/>
      <c r="F432" s="19"/>
      <c r="G432" s="99"/>
      <c r="M432" s="19"/>
      <c r="N432" s="19"/>
      <c r="O432" s="99"/>
      <c r="P432" s="19"/>
      <c r="Q432" s="19"/>
      <c r="R432" s="19"/>
      <c r="S432" s="19"/>
    </row>
    <row r="433" spans="1:19">
      <c r="A433" s="230"/>
      <c r="B433" s="231"/>
      <c r="C433" s="232"/>
      <c r="D433" s="233"/>
      <c r="E433" s="15"/>
      <c r="F433" s="19"/>
      <c r="G433" s="99"/>
      <c r="M433" s="19"/>
      <c r="N433" s="19"/>
      <c r="O433" s="99"/>
      <c r="P433" s="19"/>
      <c r="Q433" s="19"/>
      <c r="R433" s="19"/>
      <c r="S433" s="19"/>
    </row>
    <row r="434" spans="1:19">
      <c r="A434" s="230"/>
      <c r="B434" s="231"/>
      <c r="C434" s="232"/>
      <c r="D434" s="233"/>
      <c r="E434" s="15"/>
      <c r="F434" s="19"/>
      <c r="G434" s="99"/>
      <c r="M434" s="19"/>
      <c r="N434" s="19"/>
      <c r="O434" s="99"/>
      <c r="P434" s="19"/>
      <c r="Q434" s="19"/>
      <c r="R434" s="19"/>
      <c r="S434" s="19"/>
    </row>
    <row r="435" spans="1:19">
      <c r="A435" s="230"/>
      <c r="B435" s="231"/>
      <c r="C435" s="232"/>
      <c r="D435" s="233"/>
      <c r="E435" s="15"/>
      <c r="F435" s="19"/>
      <c r="G435" s="99"/>
      <c r="M435" s="19"/>
      <c r="N435" s="19"/>
      <c r="O435" s="99"/>
      <c r="P435" s="19"/>
      <c r="Q435" s="19"/>
      <c r="R435" s="19"/>
      <c r="S435" s="19"/>
    </row>
    <row r="436" spans="1:19">
      <c r="A436" s="230"/>
      <c r="B436" s="231"/>
      <c r="C436" s="232"/>
      <c r="D436" s="233"/>
      <c r="E436" s="15"/>
      <c r="F436" s="19"/>
      <c r="G436" s="99"/>
      <c r="M436" s="19"/>
      <c r="N436" s="19"/>
      <c r="O436" s="99"/>
      <c r="P436" s="19"/>
      <c r="Q436" s="19"/>
      <c r="R436" s="19"/>
      <c r="S436" s="19"/>
    </row>
    <row r="437" spans="1:19">
      <c r="A437" s="230"/>
      <c r="B437" s="231"/>
      <c r="C437" s="232"/>
      <c r="D437" s="233"/>
      <c r="E437" s="15"/>
      <c r="F437" s="19"/>
      <c r="G437" s="99"/>
      <c r="M437" s="19"/>
      <c r="N437" s="19"/>
      <c r="O437" s="99"/>
      <c r="P437" s="19"/>
      <c r="Q437" s="19"/>
      <c r="R437" s="19"/>
      <c r="S437" s="19"/>
    </row>
    <row r="438" spans="1:19">
      <c r="A438" s="230"/>
      <c r="B438" s="231"/>
      <c r="C438" s="232"/>
      <c r="D438" s="233"/>
      <c r="E438" s="15"/>
      <c r="F438" s="19"/>
      <c r="G438" s="99"/>
      <c r="M438" s="19"/>
      <c r="N438" s="19"/>
      <c r="O438" s="99"/>
      <c r="P438" s="19"/>
      <c r="Q438" s="19"/>
      <c r="R438" s="19"/>
      <c r="S438" s="19"/>
    </row>
    <row r="439" spans="1:19">
      <c r="A439" s="230"/>
      <c r="B439" s="231"/>
      <c r="C439" s="232"/>
      <c r="D439" s="233"/>
      <c r="E439" s="15"/>
      <c r="F439" s="19"/>
      <c r="G439" s="99"/>
      <c r="M439" s="19"/>
      <c r="N439" s="19"/>
      <c r="O439" s="99"/>
      <c r="P439" s="19"/>
      <c r="Q439" s="19"/>
      <c r="R439" s="19"/>
      <c r="S439" s="19"/>
    </row>
    <row r="440" spans="1:19">
      <c r="A440" s="230"/>
      <c r="B440" s="231"/>
      <c r="C440" s="232"/>
      <c r="D440" s="233"/>
      <c r="E440" s="15"/>
      <c r="F440" s="19"/>
      <c r="G440" s="99"/>
      <c r="M440" s="19"/>
      <c r="N440" s="19"/>
      <c r="O440" s="99"/>
      <c r="P440" s="19"/>
      <c r="Q440" s="19"/>
      <c r="R440" s="19"/>
      <c r="S440" s="19"/>
    </row>
    <row r="441" spans="1:19">
      <c r="A441" s="230"/>
      <c r="B441" s="231"/>
      <c r="C441" s="232"/>
      <c r="D441" s="233"/>
      <c r="E441" s="15"/>
      <c r="F441" s="19"/>
      <c r="G441" s="99"/>
      <c r="M441" s="19"/>
      <c r="N441" s="19"/>
      <c r="O441" s="99"/>
      <c r="P441" s="19"/>
      <c r="Q441" s="19"/>
      <c r="R441" s="19"/>
      <c r="S441" s="19"/>
    </row>
    <row r="442" spans="1:19">
      <c r="A442" s="230"/>
      <c r="B442" s="231"/>
      <c r="C442" s="232"/>
      <c r="D442" s="233"/>
      <c r="E442" s="15"/>
      <c r="F442" s="19"/>
      <c r="G442" s="99"/>
      <c r="M442" s="19"/>
      <c r="N442" s="19"/>
      <c r="O442" s="99"/>
      <c r="P442" s="19"/>
      <c r="Q442" s="19"/>
      <c r="R442" s="19"/>
      <c r="S442" s="19"/>
    </row>
    <row r="443" spans="1:19">
      <c r="A443" s="230"/>
      <c r="B443" s="231"/>
      <c r="C443" s="232"/>
      <c r="D443" s="233"/>
      <c r="E443" s="15"/>
      <c r="F443" s="19"/>
      <c r="G443" s="99"/>
      <c r="M443" s="19"/>
      <c r="N443" s="19"/>
      <c r="O443" s="99"/>
      <c r="P443" s="19"/>
      <c r="Q443" s="19"/>
      <c r="R443" s="19"/>
      <c r="S443" s="19"/>
    </row>
    <row r="444" spans="1:19">
      <c r="A444" s="230"/>
      <c r="B444" s="231"/>
      <c r="C444" s="232"/>
      <c r="D444" s="233"/>
      <c r="E444" s="15"/>
      <c r="F444" s="19"/>
      <c r="G444" s="99"/>
      <c r="M444" s="19"/>
      <c r="N444" s="19"/>
      <c r="O444" s="99"/>
      <c r="P444" s="19"/>
      <c r="Q444" s="19"/>
      <c r="R444" s="19"/>
      <c r="S444" s="19"/>
    </row>
    <row r="445" spans="1:19">
      <c r="A445" s="230"/>
      <c r="B445" s="231"/>
      <c r="C445" s="232"/>
      <c r="D445" s="233"/>
      <c r="E445" s="15"/>
      <c r="F445" s="19"/>
      <c r="G445" s="99"/>
      <c r="M445" s="19"/>
      <c r="N445" s="19"/>
      <c r="O445" s="99"/>
      <c r="P445" s="19"/>
      <c r="Q445" s="19"/>
      <c r="R445" s="19"/>
      <c r="S445" s="19"/>
    </row>
    <row r="446" spans="1:19">
      <c r="A446" s="230"/>
      <c r="B446" s="231"/>
      <c r="C446" s="232"/>
      <c r="D446" s="233"/>
      <c r="E446" s="15"/>
      <c r="F446" s="19"/>
      <c r="G446" s="99"/>
      <c r="M446" s="19"/>
      <c r="N446" s="19"/>
      <c r="O446" s="99"/>
      <c r="P446" s="19"/>
      <c r="Q446" s="19"/>
      <c r="R446" s="19"/>
      <c r="S446" s="19"/>
    </row>
    <row r="447" spans="1:19">
      <c r="A447" s="230"/>
      <c r="B447" s="231"/>
      <c r="C447" s="232"/>
      <c r="D447" s="233"/>
      <c r="E447" s="15"/>
      <c r="F447" s="19"/>
      <c r="G447" s="99"/>
      <c r="M447" s="19"/>
      <c r="N447" s="19"/>
      <c r="O447" s="99"/>
      <c r="P447" s="19"/>
      <c r="Q447" s="19"/>
      <c r="R447" s="19"/>
      <c r="S447" s="19"/>
    </row>
    <row r="448" spans="1:19">
      <c r="A448" s="230"/>
      <c r="B448" s="231"/>
      <c r="C448" s="232"/>
      <c r="D448" s="233"/>
      <c r="E448" s="15"/>
      <c r="F448" s="19"/>
      <c r="G448" s="99"/>
      <c r="M448" s="19"/>
      <c r="N448" s="19"/>
      <c r="O448" s="99"/>
      <c r="P448" s="19"/>
      <c r="Q448" s="19"/>
      <c r="R448" s="19"/>
      <c r="S448" s="19"/>
    </row>
    <row r="449" spans="1:19">
      <c r="A449" s="230"/>
      <c r="B449" s="231"/>
      <c r="C449" s="232"/>
      <c r="D449" s="233"/>
      <c r="E449" s="15"/>
      <c r="F449" s="19"/>
      <c r="G449" s="99"/>
      <c r="M449" s="19"/>
      <c r="N449" s="19"/>
      <c r="O449" s="99"/>
      <c r="P449" s="19"/>
      <c r="Q449" s="19"/>
      <c r="R449" s="19"/>
      <c r="S449" s="19"/>
    </row>
    <row r="450" spans="1:19">
      <c r="A450" s="230"/>
      <c r="B450" s="231"/>
      <c r="C450" s="232"/>
      <c r="D450" s="233"/>
      <c r="E450" s="15"/>
      <c r="F450" s="19"/>
      <c r="G450" s="99"/>
      <c r="M450" s="19"/>
      <c r="N450" s="19"/>
      <c r="O450" s="99"/>
      <c r="P450" s="19"/>
      <c r="Q450" s="19"/>
      <c r="R450" s="19"/>
      <c r="S450" s="19"/>
    </row>
    <row r="451" spans="1:19">
      <c r="A451" s="230"/>
      <c r="B451" s="231"/>
      <c r="C451" s="232"/>
      <c r="D451" s="233"/>
      <c r="E451" s="15"/>
      <c r="F451" s="19"/>
      <c r="G451" s="99"/>
      <c r="M451" s="19"/>
      <c r="N451" s="19"/>
      <c r="O451" s="99"/>
      <c r="P451" s="19"/>
      <c r="Q451" s="19"/>
      <c r="R451" s="19"/>
      <c r="S451" s="19"/>
    </row>
    <row r="452" spans="1:19">
      <c r="A452" s="230"/>
      <c r="B452" s="231"/>
      <c r="C452" s="232"/>
      <c r="D452" s="233"/>
      <c r="E452" s="15"/>
      <c r="F452" s="19"/>
      <c r="G452" s="99"/>
      <c r="M452" s="19"/>
      <c r="N452" s="19"/>
      <c r="O452" s="99"/>
      <c r="P452" s="19"/>
      <c r="Q452" s="19"/>
      <c r="R452" s="19"/>
      <c r="S452" s="19"/>
    </row>
    <row r="453" spans="1:19">
      <c r="A453" s="230"/>
      <c r="B453" s="231"/>
      <c r="C453" s="232"/>
      <c r="D453" s="233"/>
      <c r="E453" s="15"/>
      <c r="F453" s="19"/>
      <c r="G453" s="99"/>
      <c r="M453" s="19"/>
      <c r="N453" s="19"/>
      <c r="O453" s="99"/>
      <c r="P453" s="19"/>
      <c r="Q453" s="19"/>
      <c r="R453" s="19"/>
      <c r="S453" s="19"/>
    </row>
    <row r="454" spans="1:19">
      <c r="A454" s="230"/>
      <c r="B454" s="231"/>
      <c r="C454" s="232"/>
      <c r="D454" s="233"/>
      <c r="E454" s="15"/>
      <c r="F454" s="19"/>
      <c r="G454" s="99"/>
      <c r="M454" s="19"/>
      <c r="N454" s="19"/>
      <c r="O454" s="99"/>
      <c r="P454" s="19"/>
      <c r="Q454" s="19"/>
      <c r="R454" s="19"/>
      <c r="S454" s="19"/>
    </row>
    <row r="455" spans="1:19">
      <c r="A455" s="230"/>
      <c r="B455" s="231"/>
      <c r="C455" s="232"/>
      <c r="D455" s="233"/>
      <c r="E455" s="15"/>
      <c r="F455" s="19"/>
      <c r="G455" s="99"/>
      <c r="M455" s="19"/>
      <c r="N455" s="19"/>
      <c r="O455" s="99"/>
      <c r="P455" s="19"/>
      <c r="Q455" s="19"/>
      <c r="R455" s="19"/>
      <c r="S455" s="19"/>
    </row>
    <row r="456" spans="1:19">
      <c r="A456" s="230"/>
      <c r="B456" s="231"/>
      <c r="C456" s="232"/>
      <c r="D456" s="233"/>
      <c r="E456" s="15"/>
      <c r="F456" s="19"/>
      <c r="G456" s="99"/>
      <c r="M456" s="19"/>
      <c r="N456" s="19"/>
      <c r="O456" s="99"/>
      <c r="P456" s="19"/>
      <c r="Q456" s="19"/>
      <c r="R456" s="19"/>
      <c r="S456" s="19"/>
    </row>
    <row r="457" spans="1:19">
      <c r="A457" s="230"/>
      <c r="B457" s="231"/>
      <c r="C457" s="232"/>
      <c r="D457" s="233"/>
      <c r="E457" s="15"/>
      <c r="F457" s="19"/>
      <c r="G457" s="99"/>
      <c r="M457" s="19"/>
      <c r="N457" s="19"/>
      <c r="O457" s="99"/>
      <c r="P457" s="19"/>
      <c r="Q457" s="19"/>
      <c r="R457" s="19"/>
      <c r="S457" s="19"/>
    </row>
    <row r="458" spans="1:19">
      <c r="A458" s="230"/>
      <c r="B458" s="231"/>
      <c r="C458" s="232"/>
      <c r="D458" s="233"/>
      <c r="E458" s="15"/>
      <c r="F458" s="19"/>
      <c r="G458" s="99"/>
      <c r="M458" s="19"/>
      <c r="N458" s="19"/>
      <c r="O458" s="99"/>
      <c r="P458" s="19"/>
      <c r="Q458" s="19"/>
      <c r="R458" s="19"/>
      <c r="S458" s="19"/>
    </row>
    <row r="459" spans="1:19">
      <c r="A459" s="230"/>
      <c r="B459" s="231"/>
      <c r="C459" s="232"/>
      <c r="D459" s="233"/>
      <c r="E459" s="15"/>
      <c r="F459" s="19"/>
      <c r="G459" s="99"/>
      <c r="M459" s="19"/>
      <c r="N459" s="19"/>
      <c r="O459" s="99"/>
      <c r="P459" s="19"/>
      <c r="Q459" s="19"/>
      <c r="R459" s="19"/>
      <c r="S459" s="19"/>
    </row>
    <row r="460" spans="1:19">
      <c r="A460" s="230"/>
      <c r="B460" s="231"/>
      <c r="C460" s="232"/>
      <c r="D460" s="233"/>
      <c r="E460" s="15"/>
      <c r="F460" s="19"/>
      <c r="G460" s="99"/>
      <c r="M460" s="19"/>
      <c r="N460" s="19"/>
      <c r="O460" s="99"/>
      <c r="P460" s="19"/>
      <c r="Q460" s="19"/>
      <c r="R460" s="19"/>
      <c r="S460" s="19"/>
    </row>
    <row r="461" spans="1:19">
      <c r="A461" s="230"/>
      <c r="B461" s="231"/>
      <c r="C461" s="232"/>
      <c r="D461" s="233"/>
      <c r="E461" s="15"/>
      <c r="F461" s="19"/>
      <c r="G461" s="99"/>
      <c r="M461" s="19"/>
      <c r="N461" s="19"/>
      <c r="O461" s="99"/>
      <c r="P461" s="19"/>
      <c r="Q461" s="19"/>
      <c r="R461" s="19"/>
      <c r="S461" s="19"/>
    </row>
    <row r="462" spans="1:19">
      <c r="A462" s="230"/>
      <c r="B462" s="231"/>
      <c r="C462" s="232"/>
      <c r="D462" s="233"/>
      <c r="E462" s="15"/>
      <c r="F462" s="19"/>
      <c r="G462" s="99"/>
      <c r="M462" s="19"/>
      <c r="N462" s="19"/>
      <c r="O462" s="99"/>
      <c r="P462" s="19"/>
      <c r="Q462" s="19"/>
      <c r="R462" s="19"/>
      <c r="S462" s="19"/>
    </row>
    <row r="463" spans="1:19">
      <c r="A463" s="230"/>
      <c r="B463" s="231"/>
      <c r="C463" s="232"/>
      <c r="D463" s="233"/>
      <c r="E463" s="15"/>
      <c r="F463" s="19"/>
      <c r="G463" s="99"/>
      <c r="M463" s="19"/>
      <c r="N463" s="19"/>
      <c r="O463" s="99"/>
      <c r="P463" s="19"/>
      <c r="Q463" s="19"/>
      <c r="R463" s="19"/>
      <c r="S463" s="19"/>
    </row>
    <row r="464" spans="1:19">
      <c r="A464" s="230"/>
      <c r="B464" s="231"/>
      <c r="C464" s="232"/>
      <c r="D464" s="233"/>
      <c r="E464" s="15"/>
      <c r="F464" s="19"/>
      <c r="G464" s="99"/>
      <c r="M464" s="19"/>
      <c r="N464" s="19"/>
      <c r="O464" s="99"/>
      <c r="P464" s="19"/>
      <c r="Q464" s="19"/>
      <c r="R464" s="19"/>
      <c r="S464" s="19"/>
    </row>
    <row r="465" spans="1:19">
      <c r="A465" s="230"/>
      <c r="B465" s="231"/>
      <c r="C465" s="232"/>
      <c r="D465" s="233"/>
      <c r="E465" s="15"/>
      <c r="F465" s="19"/>
      <c r="G465" s="99"/>
      <c r="M465" s="19"/>
      <c r="N465" s="19"/>
      <c r="O465" s="99"/>
      <c r="P465" s="19"/>
      <c r="Q465" s="19"/>
      <c r="R465" s="19"/>
      <c r="S465" s="19"/>
    </row>
    <row r="466" spans="1:19">
      <c r="A466" s="230"/>
      <c r="B466" s="231"/>
      <c r="C466" s="232"/>
      <c r="D466" s="233"/>
      <c r="E466" s="15"/>
      <c r="F466" s="19"/>
      <c r="G466" s="99"/>
      <c r="M466" s="19"/>
      <c r="N466" s="19"/>
      <c r="O466" s="99"/>
      <c r="P466" s="19"/>
      <c r="Q466" s="19"/>
      <c r="R466" s="19"/>
      <c r="S466" s="19"/>
    </row>
    <row r="467" spans="1:19">
      <c r="A467" s="230"/>
      <c r="B467" s="231"/>
      <c r="C467" s="232"/>
      <c r="D467" s="233"/>
      <c r="E467" s="15"/>
      <c r="F467" s="19"/>
      <c r="G467" s="99"/>
      <c r="M467" s="19"/>
      <c r="N467" s="19"/>
      <c r="O467" s="99"/>
      <c r="P467" s="19"/>
      <c r="Q467" s="19"/>
      <c r="R467" s="19"/>
      <c r="S467" s="19"/>
    </row>
    <row r="468" spans="1:19">
      <c r="A468" s="230"/>
      <c r="B468" s="231"/>
      <c r="C468" s="232"/>
      <c r="D468" s="233"/>
      <c r="E468" s="15"/>
      <c r="F468" s="19"/>
      <c r="G468" s="99"/>
      <c r="M468" s="19"/>
      <c r="N468" s="19"/>
      <c r="O468" s="99"/>
      <c r="P468" s="19"/>
      <c r="Q468" s="19"/>
      <c r="R468" s="19"/>
      <c r="S468" s="19"/>
    </row>
    <row r="469" spans="1:19">
      <c r="A469" s="230"/>
      <c r="B469" s="231"/>
      <c r="C469" s="232"/>
      <c r="D469" s="233"/>
      <c r="E469" s="15"/>
      <c r="F469" s="19"/>
      <c r="G469" s="99"/>
      <c r="M469" s="19"/>
      <c r="N469" s="19"/>
      <c r="O469" s="99"/>
      <c r="P469" s="19"/>
      <c r="Q469" s="19"/>
      <c r="R469" s="19"/>
      <c r="S469" s="19"/>
    </row>
    <row r="470" spans="1:19">
      <c r="A470" s="230"/>
      <c r="B470" s="231"/>
      <c r="C470" s="232"/>
      <c r="D470" s="233"/>
      <c r="E470" s="15"/>
      <c r="F470" s="19"/>
      <c r="G470" s="99"/>
      <c r="M470" s="19"/>
      <c r="N470" s="19"/>
      <c r="O470" s="99"/>
      <c r="P470" s="19"/>
      <c r="Q470" s="19"/>
      <c r="R470" s="19"/>
      <c r="S470" s="19"/>
    </row>
    <row r="471" spans="1:19">
      <c r="A471" s="230"/>
      <c r="B471" s="231"/>
      <c r="C471" s="232"/>
      <c r="D471" s="233"/>
      <c r="E471" s="15"/>
      <c r="F471" s="19"/>
      <c r="G471" s="99"/>
      <c r="M471" s="19"/>
      <c r="N471" s="19"/>
      <c r="O471" s="99"/>
      <c r="P471" s="19"/>
      <c r="Q471" s="19"/>
      <c r="R471" s="19"/>
      <c r="S471" s="19"/>
    </row>
    <row r="472" spans="1:19">
      <c r="A472" s="230"/>
      <c r="B472" s="231"/>
      <c r="C472" s="232"/>
      <c r="D472" s="233"/>
      <c r="E472" s="15"/>
      <c r="F472" s="19"/>
      <c r="G472" s="99"/>
      <c r="M472" s="19"/>
      <c r="N472" s="19"/>
      <c r="O472" s="99"/>
      <c r="P472" s="19"/>
      <c r="Q472" s="19"/>
      <c r="R472" s="19"/>
      <c r="S472" s="19"/>
    </row>
    <row r="473" spans="1:19">
      <c r="A473" s="230"/>
      <c r="B473" s="231"/>
      <c r="C473" s="232"/>
      <c r="D473" s="233"/>
      <c r="E473" s="15"/>
      <c r="F473" s="19"/>
      <c r="G473" s="99"/>
      <c r="M473" s="19"/>
      <c r="N473" s="19"/>
      <c r="O473" s="99"/>
      <c r="P473" s="19"/>
      <c r="Q473" s="19"/>
      <c r="R473" s="19"/>
      <c r="S473" s="19"/>
    </row>
    <row r="474" spans="1:19">
      <c r="A474" s="230"/>
      <c r="B474" s="231"/>
      <c r="C474" s="232"/>
      <c r="D474" s="233"/>
      <c r="E474" s="15"/>
      <c r="F474" s="19"/>
      <c r="G474" s="99"/>
      <c r="M474" s="19"/>
      <c r="N474" s="19"/>
      <c r="O474" s="99"/>
      <c r="P474" s="19"/>
      <c r="Q474" s="19"/>
      <c r="R474" s="19"/>
      <c r="S474" s="19"/>
    </row>
    <row r="475" spans="1:19">
      <c r="A475" s="230"/>
      <c r="B475" s="231"/>
      <c r="C475" s="232"/>
      <c r="D475" s="233"/>
      <c r="E475" s="15"/>
      <c r="F475" s="19"/>
      <c r="G475" s="99"/>
      <c r="M475" s="19"/>
      <c r="N475" s="19"/>
      <c r="O475" s="99"/>
      <c r="P475" s="19"/>
      <c r="Q475" s="19"/>
      <c r="R475" s="19"/>
      <c r="S475" s="19"/>
    </row>
    <row r="476" spans="1:19">
      <c r="A476" s="230"/>
      <c r="B476" s="231"/>
      <c r="C476" s="232"/>
      <c r="D476" s="233"/>
      <c r="E476" s="15"/>
      <c r="F476" s="19"/>
      <c r="G476" s="99"/>
      <c r="M476" s="19"/>
      <c r="N476" s="19"/>
      <c r="O476" s="99"/>
      <c r="P476" s="19"/>
      <c r="Q476" s="19"/>
      <c r="R476" s="19"/>
      <c r="S476" s="19"/>
    </row>
    <row r="477" spans="1:19">
      <c r="A477" s="230"/>
      <c r="B477" s="231"/>
      <c r="C477" s="232"/>
      <c r="D477" s="233"/>
      <c r="E477" s="15"/>
      <c r="F477" s="19"/>
      <c r="G477" s="99"/>
      <c r="M477" s="19"/>
      <c r="N477" s="19"/>
      <c r="O477" s="99"/>
      <c r="P477" s="19"/>
      <c r="Q477" s="19"/>
      <c r="R477" s="19"/>
      <c r="S477" s="19"/>
    </row>
    <row r="478" spans="1:19">
      <c r="A478" s="230"/>
      <c r="B478" s="231"/>
      <c r="C478" s="232"/>
      <c r="D478" s="233"/>
      <c r="E478" s="15"/>
      <c r="F478" s="19"/>
      <c r="G478" s="99"/>
      <c r="M478" s="19"/>
      <c r="N478" s="19"/>
      <c r="O478" s="99"/>
      <c r="P478" s="19"/>
      <c r="Q478" s="19"/>
      <c r="R478" s="19"/>
      <c r="S478" s="19"/>
    </row>
    <row r="479" spans="1:19">
      <c r="A479" s="230"/>
      <c r="B479" s="231"/>
      <c r="C479" s="232"/>
      <c r="D479" s="233"/>
      <c r="E479" s="15"/>
      <c r="F479" s="19"/>
      <c r="G479" s="99"/>
      <c r="M479" s="19"/>
      <c r="N479" s="19"/>
      <c r="O479" s="99"/>
      <c r="P479" s="19"/>
      <c r="Q479" s="19"/>
      <c r="R479" s="19"/>
      <c r="S479" s="19"/>
    </row>
    <row r="480" spans="1:19">
      <c r="A480" s="230"/>
      <c r="B480" s="231"/>
      <c r="C480" s="232"/>
      <c r="D480" s="233"/>
      <c r="E480" s="15"/>
      <c r="F480" s="19"/>
      <c r="G480" s="99"/>
      <c r="M480" s="19"/>
      <c r="N480" s="19"/>
      <c r="O480" s="99"/>
      <c r="P480" s="19"/>
      <c r="Q480" s="19"/>
      <c r="R480" s="19"/>
      <c r="S480" s="19"/>
    </row>
    <row r="481" spans="1:19">
      <c r="A481" s="230"/>
      <c r="B481" s="231"/>
      <c r="C481" s="232"/>
      <c r="D481" s="233"/>
      <c r="E481" s="15"/>
      <c r="F481" s="19"/>
      <c r="G481" s="99"/>
      <c r="M481" s="19"/>
      <c r="N481" s="19"/>
      <c r="O481" s="99"/>
      <c r="P481" s="19"/>
      <c r="Q481" s="19"/>
      <c r="R481" s="19"/>
      <c r="S481" s="19"/>
    </row>
    <row r="482" spans="1:19">
      <c r="A482" s="230"/>
      <c r="B482" s="231"/>
      <c r="C482" s="232"/>
      <c r="D482" s="233"/>
      <c r="E482" s="15"/>
      <c r="F482" s="19"/>
      <c r="G482" s="99"/>
      <c r="M482" s="19"/>
      <c r="N482" s="19"/>
      <c r="O482" s="99"/>
      <c r="P482" s="19"/>
      <c r="Q482" s="19"/>
      <c r="R482" s="19"/>
      <c r="S482" s="19"/>
    </row>
    <row r="483" spans="1:19">
      <c r="A483" s="230"/>
      <c r="B483" s="231"/>
      <c r="C483" s="232"/>
      <c r="D483" s="233"/>
      <c r="E483" s="15"/>
      <c r="F483" s="19"/>
      <c r="G483" s="99"/>
      <c r="M483" s="19"/>
      <c r="N483" s="19"/>
      <c r="O483" s="99"/>
      <c r="P483" s="19"/>
      <c r="Q483" s="19"/>
      <c r="R483" s="19"/>
      <c r="S483" s="19"/>
    </row>
    <row r="484" spans="1:19">
      <c r="A484" s="230"/>
      <c r="B484" s="231"/>
      <c r="C484" s="232"/>
      <c r="D484" s="233"/>
      <c r="E484" s="15"/>
      <c r="F484" s="19"/>
      <c r="G484" s="99"/>
      <c r="M484" s="19"/>
      <c r="N484" s="19"/>
      <c r="O484" s="99"/>
      <c r="P484" s="19"/>
      <c r="Q484" s="19"/>
      <c r="R484" s="19"/>
      <c r="S484" s="19"/>
    </row>
    <row r="485" spans="1:19">
      <c r="A485" s="230"/>
      <c r="B485" s="231"/>
      <c r="C485" s="232"/>
      <c r="D485" s="233"/>
      <c r="E485" s="15"/>
      <c r="F485" s="19"/>
      <c r="G485" s="99"/>
      <c r="M485" s="19"/>
      <c r="N485" s="19"/>
      <c r="O485" s="99"/>
      <c r="P485" s="19"/>
      <c r="Q485" s="19"/>
      <c r="R485" s="19"/>
      <c r="S485" s="19"/>
    </row>
    <row r="486" spans="1:19">
      <c r="A486" s="230"/>
      <c r="B486" s="231"/>
      <c r="C486" s="232"/>
      <c r="D486" s="233"/>
      <c r="E486" s="15"/>
      <c r="F486" s="19"/>
      <c r="G486" s="99"/>
      <c r="M486" s="19"/>
      <c r="N486" s="19"/>
      <c r="O486" s="99"/>
      <c r="P486" s="19"/>
      <c r="Q486" s="19"/>
      <c r="R486" s="19"/>
      <c r="S486" s="19"/>
    </row>
    <row r="487" spans="1:19">
      <c r="A487" s="230"/>
      <c r="B487" s="231"/>
      <c r="C487" s="232"/>
      <c r="D487" s="233"/>
      <c r="E487" s="15"/>
      <c r="F487" s="19"/>
      <c r="G487" s="99"/>
      <c r="M487" s="19"/>
      <c r="N487" s="19"/>
      <c r="O487" s="99"/>
      <c r="P487" s="19"/>
      <c r="Q487" s="19"/>
      <c r="R487" s="19"/>
      <c r="S487" s="19"/>
    </row>
    <row r="488" spans="1:19">
      <c r="A488" s="230"/>
      <c r="B488" s="231"/>
      <c r="C488" s="232"/>
      <c r="D488" s="233"/>
      <c r="E488" s="15"/>
      <c r="F488" s="19"/>
      <c r="G488" s="99"/>
      <c r="M488" s="19"/>
      <c r="N488" s="19"/>
      <c r="O488" s="99"/>
      <c r="P488" s="19"/>
      <c r="Q488" s="19"/>
      <c r="R488" s="19"/>
      <c r="S488" s="19"/>
    </row>
    <row r="489" spans="1:19">
      <c r="A489" s="230"/>
      <c r="B489" s="231"/>
      <c r="C489" s="232"/>
      <c r="D489" s="233"/>
      <c r="E489" s="15"/>
      <c r="F489" s="19"/>
      <c r="G489" s="99"/>
      <c r="M489" s="19"/>
      <c r="N489" s="19"/>
      <c r="O489" s="99"/>
      <c r="P489" s="19"/>
      <c r="Q489" s="19"/>
      <c r="R489" s="19"/>
      <c r="S489" s="19"/>
    </row>
    <row r="490" spans="1:19">
      <c r="A490" s="230"/>
      <c r="B490" s="231"/>
      <c r="C490" s="232"/>
      <c r="D490" s="233"/>
      <c r="E490" s="15"/>
      <c r="F490" s="19"/>
      <c r="G490" s="99"/>
      <c r="M490" s="19"/>
      <c r="N490" s="19"/>
      <c r="O490" s="99"/>
      <c r="P490" s="19"/>
      <c r="Q490" s="19"/>
      <c r="R490" s="19"/>
      <c r="S490" s="19"/>
    </row>
    <row r="491" spans="1:19">
      <c r="A491" s="230"/>
      <c r="B491" s="231"/>
      <c r="C491" s="232"/>
      <c r="D491" s="233"/>
      <c r="E491" s="15"/>
      <c r="F491" s="19"/>
      <c r="G491" s="99"/>
      <c r="M491" s="19"/>
      <c r="N491" s="19"/>
      <c r="O491" s="99"/>
      <c r="P491" s="19"/>
      <c r="Q491" s="19"/>
      <c r="R491" s="19"/>
      <c r="S491" s="19"/>
    </row>
    <row r="492" spans="1:19">
      <c r="A492" s="230"/>
      <c r="B492" s="231"/>
      <c r="C492" s="232"/>
      <c r="D492" s="233"/>
      <c r="E492" s="15"/>
      <c r="F492" s="19"/>
      <c r="G492" s="99"/>
      <c r="M492" s="19"/>
      <c r="N492" s="19"/>
      <c r="O492" s="99"/>
      <c r="P492" s="19"/>
      <c r="Q492" s="19"/>
      <c r="R492" s="19"/>
      <c r="S492" s="19"/>
    </row>
    <row r="493" spans="1:19">
      <c r="A493" s="230"/>
      <c r="B493" s="231"/>
      <c r="C493" s="232"/>
      <c r="D493" s="233"/>
      <c r="E493" s="15"/>
      <c r="F493" s="19"/>
      <c r="G493" s="99"/>
      <c r="M493" s="19"/>
      <c r="N493" s="19"/>
      <c r="O493" s="99"/>
      <c r="P493" s="19"/>
      <c r="Q493" s="19"/>
      <c r="R493" s="19"/>
      <c r="S493" s="19"/>
    </row>
    <row r="494" spans="1:19">
      <c r="A494" s="230"/>
      <c r="B494" s="231"/>
      <c r="C494" s="232"/>
      <c r="D494" s="233"/>
      <c r="E494" s="15"/>
      <c r="F494" s="19"/>
      <c r="G494" s="99"/>
      <c r="M494" s="19"/>
      <c r="N494" s="19"/>
      <c r="O494" s="99"/>
      <c r="P494" s="19"/>
      <c r="Q494" s="19"/>
      <c r="R494" s="19"/>
      <c r="S494" s="19"/>
    </row>
    <row r="495" spans="1:19">
      <c r="A495" s="230"/>
      <c r="B495" s="231"/>
      <c r="C495" s="232"/>
      <c r="D495" s="233"/>
      <c r="E495" s="15"/>
      <c r="F495" s="19"/>
      <c r="G495" s="99"/>
      <c r="M495" s="19"/>
      <c r="N495" s="19"/>
      <c r="O495" s="99"/>
      <c r="P495" s="19"/>
      <c r="Q495" s="19"/>
      <c r="R495" s="19"/>
      <c r="S495" s="19"/>
    </row>
    <row r="496" spans="1:19">
      <c r="A496" s="230"/>
      <c r="B496" s="231"/>
      <c r="C496" s="232"/>
      <c r="D496" s="233"/>
      <c r="E496" s="15"/>
      <c r="F496" s="19"/>
      <c r="G496" s="99"/>
      <c r="M496" s="19"/>
      <c r="N496" s="19"/>
      <c r="O496" s="99"/>
      <c r="P496" s="19"/>
      <c r="Q496" s="19"/>
      <c r="R496" s="19"/>
      <c r="S496" s="19"/>
    </row>
    <row r="497" spans="1:19">
      <c r="A497" s="230"/>
      <c r="B497" s="231"/>
      <c r="C497" s="232"/>
      <c r="D497" s="233"/>
      <c r="E497" s="15"/>
      <c r="F497" s="19"/>
      <c r="G497" s="99"/>
      <c r="M497" s="19"/>
      <c r="N497" s="19"/>
      <c r="O497" s="99"/>
      <c r="P497" s="19"/>
      <c r="Q497" s="19"/>
      <c r="R497" s="19"/>
      <c r="S497" s="19"/>
    </row>
    <row r="498" spans="1:19">
      <c r="A498" s="230"/>
      <c r="B498" s="231"/>
      <c r="C498" s="232"/>
      <c r="D498" s="233"/>
      <c r="E498" s="15"/>
      <c r="F498" s="19"/>
      <c r="G498" s="99"/>
      <c r="M498" s="19"/>
      <c r="N498" s="19"/>
      <c r="O498" s="99"/>
      <c r="P498" s="19"/>
      <c r="Q498" s="19"/>
      <c r="R498" s="19"/>
      <c r="S498" s="19"/>
    </row>
    <row r="499" spans="1:19">
      <c r="A499" s="230"/>
      <c r="B499" s="231"/>
      <c r="C499" s="232"/>
      <c r="D499" s="233"/>
      <c r="E499" s="15"/>
      <c r="F499" s="19"/>
      <c r="G499" s="99"/>
      <c r="M499" s="19"/>
      <c r="N499" s="19"/>
      <c r="O499" s="99"/>
      <c r="P499" s="19"/>
      <c r="Q499" s="19"/>
      <c r="R499" s="19"/>
      <c r="S499" s="19"/>
    </row>
    <row r="500" spans="1:19">
      <c r="A500" s="230"/>
      <c r="B500" s="231"/>
      <c r="C500" s="232"/>
      <c r="D500" s="233"/>
      <c r="E500" s="15"/>
      <c r="F500" s="19"/>
      <c r="G500" s="99"/>
      <c r="M500" s="19"/>
      <c r="N500" s="19"/>
      <c r="O500" s="99"/>
      <c r="P500" s="19"/>
      <c r="Q500" s="19"/>
      <c r="R500" s="19"/>
      <c r="S500" s="19"/>
    </row>
    <row r="501" spans="1:19">
      <c r="A501" s="230"/>
      <c r="B501" s="231"/>
      <c r="C501" s="232"/>
      <c r="D501" s="233"/>
      <c r="E501" s="15"/>
      <c r="F501" s="19"/>
      <c r="G501" s="99"/>
      <c r="M501" s="19"/>
      <c r="N501" s="19"/>
      <c r="O501" s="99"/>
      <c r="P501" s="19"/>
      <c r="Q501" s="19"/>
      <c r="R501" s="19"/>
      <c r="S501" s="19"/>
    </row>
    <row r="502" spans="1:19">
      <c r="A502" s="230"/>
      <c r="B502" s="231"/>
      <c r="C502" s="232"/>
      <c r="D502" s="233"/>
      <c r="E502" s="15"/>
      <c r="F502" s="19"/>
      <c r="G502" s="99"/>
      <c r="M502" s="19"/>
      <c r="N502" s="19"/>
      <c r="O502" s="99"/>
      <c r="P502" s="19"/>
      <c r="Q502" s="19"/>
      <c r="R502" s="19"/>
      <c r="S502" s="19"/>
    </row>
    <row r="503" spans="1:19">
      <c r="A503" s="230"/>
      <c r="B503" s="231"/>
      <c r="C503" s="232"/>
      <c r="D503" s="233"/>
      <c r="E503" s="15"/>
      <c r="F503" s="19"/>
      <c r="G503" s="99"/>
      <c r="M503" s="19"/>
      <c r="N503" s="19"/>
      <c r="O503" s="99"/>
      <c r="P503" s="19"/>
      <c r="Q503" s="19"/>
      <c r="R503" s="19"/>
      <c r="S503" s="19"/>
    </row>
    <row r="504" spans="1:19">
      <c r="A504" s="230"/>
      <c r="B504" s="231"/>
      <c r="C504" s="232"/>
      <c r="D504" s="233"/>
      <c r="E504" s="15"/>
      <c r="F504" s="19"/>
      <c r="G504" s="99"/>
      <c r="M504" s="19"/>
      <c r="N504" s="19"/>
      <c r="O504" s="99"/>
      <c r="P504" s="19"/>
      <c r="Q504" s="19"/>
      <c r="R504" s="19"/>
      <c r="S504" s="19"/>
    </row>
    <row r="505" spans="1:19">
      <c r="A505" s="230"/>
      <c r="B505" s="231"/>
      <c r="C505" s="232"/>
      <c r="D505" s="233"/>
      <c r="E505" s="15"/>
      <c r="F505" s="19"/>
      <c r="G505" s="99"/>
      <c r="M505" s="19"/>
      <c r="N505" s="19"/>
      <c r="O505" s="99"/>
      <c r="P505" s="19"/>
      <c r="Q505" s="19"/>
      <c r="R505" s="19"/>
      <c r="S505" s="19"/>
    </row>
    <row r="506" spans="1:19">
      <c r="A506" s="230"/>
      <c r="B506" s="231"/>
      <c r="C506" s="232"/>
      <c r="D506" s="233"/>
      <c r="E506" s="15"/>
      <c r="F506" s="19"/>
      <c r="G506" s="99"/>
      <c r="M506" s="19"/>
      <c r="N506" s="19"/>
      <c r="O506" s="99"/>
      <c r="P506" s="19"/>
      <c r="Q506" s="19"/>
      <c r="R506" s="19"/>
      <c r="S506" s="19"/>
    </row>
    <row r="507" spans="1:19">
      <c r="A507" s="230"/>
      <c r="B507" s="231"/>
      <c r="C507" s="232"/>
      <c r="D507" s="233"/>
      <c r="E507" s="15"/>
      <c r="F507" s="19"/>
      <c r="G507" s="99"/>
      <c r="M507" s="19"/>
      <c r="N507" s="19"/>
      <c r="O507" s="99"/>
      <c r="P507" s="19"/>
      <c r="Q507" s="19"/>
      <c r="R507" s="19"/>
      <c r="S507" s="19"/>
    </row>
    <row r="508" spans="1:19">
      <c r="A508" s="230"/>
      <c r="B508" s="231"/>
      <c r="C508" s="232"/>
      <c r="D508" s="233"/>
      <c r="E508" s="15"/>
      <c r="F508" s="19"/>
      <c r="G508" s="99"/>
      <c r="M508" s="19"/>
      <c r="N508" s="19"/>
      <c r="O508" s="99"/>
      <c r="P508" s="19"/>
      <c r="Q508" s="19"/>
      <c r="R508" s="19"/>
      <c r="S508" s="19"/>
    </row>
    <row r="509" spans="1:19">
      <c r="A509" s="230"/>
      <c r="B509" s="231"/>
      <c r="C509" s="232"/>
      <c r="D509" s="233"/>
      <c r="E509" s="15"/>
      <c r="F509" s="19"/>
      <c r="G509" s="99"/>
      <c r="M509" s="19"/>
      <c r="N509" s="19"/>
      <c r="O509" s="99"/>
      <c r="P509" s="19"/>
      <c r="Q509" s="19"/>
      <c r="R509" s="19"/>
      <c r="S509" s="19"/>
    </row>
    <row r="510" spans="1:19">
      <c r="A510" s="230"/>
      <c r="B510" s="231"/>
      <c r="C510" s="232"/>
      <c r="D510" s="233"/>
      <c r="E510" s="15"/>
      <c r="F510" s="19"/>
      <c r="G510" s="99"/>
      <c r="M510" s="19"/>
      <c r="N510" s="19"/>
      <c r="O510" s="99"/>
      <c r="P510" s="19"/>
      <c r="Q510" s="19"/>
      <c r="R510" s="19"/>
      <c r="S510" s="19"/>
    </row>
    <row r="511" spans="1:19">
      <c r="A511" s="230"/>
      <c r="B511" s="231"/>
      <c r="C511" s="232"/>
      <c r="D511" s="233"/>
      <c r="E511" s="15"/>
      <c r="F511" s="19"/>
      <c r="G511" s="99"/>
      <c r="M511" s="19"/>
      <c r="N511" s="19"/>
      <c r="O511" s="99"/>
      <c r="P511" s="19"/>
      <c r="Q511" s="19"/>
      <c r="R511" s="19"/>
      <c r="S511" s="19"/>
    </row>
    <row r="512" spans="1:19">
      <c r="A512" s="230"/>
      <c r="B512" s="231"/>
      <c r="C512" s="232"/>
      <c r="D512" s="233"/>
      <c r="E512" s="15"/>
      <c r="F512" s="19"/>
      <c r="G512" s="99"/>
      <c r="M512" s="19"/>
      <c r="N512" s="19"/>
      <c r="O512" s="99"/>
      <c r="P512" s="19"/>
      <c r="Q512" s="19"/>
      <c r="R512" s="19"/>
      <c r="S512" s="19"/>
    </row>
    <row r="513" spans="1:19">
      <c r="A513" s="230"/>
      <c r="B513" s="231"/>
      <c r="C513" s="232"/>
      <c r="D513" s="233"/>
      <c r="E513" s="15"/>
      <c r="F513" s="19"/>
      <c r="G513" s="99"/>
      <c r="M513" s="19"/>
      <c r="N513" s="19"/>
      <c r="O513" s="99"/>
      <c r="P513" s="19"/>
      <c r="Q513" s="19"/>
      <c r="R513" s="19"/>
      <c r="S513" s="19"/>
    </row>
    <row r="514" spans="1:19">
      <c r="A514" s="230"/>
      <c r="B514" s="231"/>
      <c r="C514" s="232"/>
      <c r="D514" s="233"/>
      <c r="E514" s="15"/>
      <c r="F514" s="19"/>
      <c r="G514" s="99"/>
      <c r="M514" s="19"/>
      <c r="N514" s="19"/>
      <c r="O514" s="99"/>
      <c r="P514" s="19"/>
      <c r="Q514" s="19"/>
      <c r="R514" s="19"/>
      <c r="S514" s="19"/>
    </row>
    <row r="515" spans="1:19">
      <c r="A515" s="230"/>
      <c r="B515" s="231"/>
      <c r="C515" s="232"/>
      <c r="D515" s="233"/>
      <c r="E515" s="15"/>
      <c r="F515" s="19"/>
      <c r="G515" s="99"/>
      <c r="M515" s="19"/>
      <c r="N515" s="19"/>
      <c r="O515" s="99"/>
      <c r="P515" s="19"/>
      <c r="Q515" s="19"/>
      <c r="R515" s="19"/>
      <c r="S515" s="19"/>
    </row>
    <row r="516" spans="1:19">
      <c r="A516" s="230"/>
      <c r="B516" s="231"/>
      <c r="C516" s="232"/>
      <c r="D516" s="233"/>
      <c r="E516" s="15"/>
      <c r="F516" s="19"/>
      <c r="G516" s="99"/>
      <c r="M516" s="19"/>
      <c r="N516" s="19"/>
      <c r="O516" s="99"/>
      <c r="P516" s="19"/>
      <c r="Q516" s="19"/>
      <c r="R516" s="19"/>
      <c r="S516" s="19"/>
    </row>
    <row r="517" spans="1:19">
      <c r="A517" s="230"/>
      <c r="B517" s="231"/>
      <c r="C517" s="232"/>
      <c r="D517" s="233"/>
      <c r="E517" s="15"/>
      <c r="F517" s="19"/>
      <c r="G517" s="99"/>
      <c r="M517" s="19"/>
      <c r="N517" s="19"/>
      <c r="O517" s="99"/>
      <c r="P517" s="19"/>
      <c r="Q517" s="19"/>
      <c r="R517" s="19"/>
      <c r="S517" s="19"/>
    </row>
    <row r="518" spans="1:19">
      <c r="A518" s="230"/>
      <c r="B518" s="231"/>
      <c r="C518" s="232"/>
      <c r="D518" s="233"/>
      <c r="E518" s="15"/>
      <c r="F518" s="19"/>
      <c r="G518" s="99"/>
      <c r="M518" s="19"/>
      <c r="N518" s="19"/>
      <c r="O518" s="99"/>
      <c r="P518" s="19"/>
      <c r="Q518" s="19"/>
      <c r="R518" s="19"/>
      <c r="S518" s="19"/>
    </row>
    <row r="519" spans="1:19">
      <c r="A519" s="230"/>
      <c r="B519" s="231"/>
      <c r="C519" s="232"/>
      <c r="D519" s="233"/>
      <c r="E519" s="15"/>
      <c r="F519" s="19"/>
      <c r="G519" s="99"/>
      <c r="M519" s="19"/>
      <c r="N519" s="19"/>
      <c r="O519" s="99"/>
      <c r="P519" s="19"/>
      <c r="Q519" s="19"/>
      <c r="R519" s="19"/>
      <c r="S519" s="19"/>
    </row>
    <row r="520" spans="1:19">
      <c r="A520" s="230"/>
      <c r="B520" s="231"/>
      <c r="C520" s="232"/>
      <c r="D520" s="233"/>
      <c r="E520" s="15"/>
      <c r="F520" s="19"/>
      <c r="G520" s="99"/>
      <c r="M520" s="19"/>
      <c r="N520" s="19"/>
      <c r="O520" s="99"/>
      <c r="P520" s="19"/>
      <c r="Q520" s="19"/>
      <c r="R520" s="19"/>
      <c r="S520" s="19"/>
    </row>
    <row r="521" spans="1:19">
      <c r="A521" s="230"/>
      <c r="B521" s="231"/>
      <c r="C521" s="232"/>
      <c r="D521" s="233"/>
      <c r="E521" s="15"/>
      <c r="F521" s="19"/>
      <c r="G521" s="99"/>
      <c r="M521" s="19"/>
      <c r="N521" s="19"/>
      <c r="O521" s="99"/>
      <c r="P521" s="19"/>
      <c r="Q521" s="19"/>
      <c r="R521" s="19"/>
      <c r="S521" s="19"/>
    </row>
    <row r="522" spans="1:19">
      <c r="A522" s="230"/>
      <c r="B522" s="231"/>
      <c r="C522" s="232"/>
      <c r="D522" s="233"/>
      <c r="E522" s="15"/>
      <c r="F522" s="19"/>
      <c r="G522" s="99"/>
      <c r="M522" s="19"/>
      <c r="N522" s="19"/>
      <c r="O522" s="99"/>
      <c r="P522" s="19"/>
      <c r="Q522" s="19"/>
      <c r="R522" s="19"/>
      <c r="S522" s="19"/>
    </row>
    <row r="523" spans="1:19">
      <c r="A523" s="230"/>
      <c r="B523" s="231"/>
      <c r="C523" s="232"/>
      <c r="D523" s="233"/>
      <c r="E523" s="15"/>
      <c r="F523" s="19"/>
      <c r="G523" s="99"/>
      <c r="M523" s="19"/>
      <c r="N523" s="19"/>
      <c r="O523" s="99"/>
      <c r="P523" s="19"/>
      <c r="Q523" s="19"/>
      <c r="R523" s="19"/>
      <c r="S523" s="19"/>
    </row>
    <row r="524" spans="1:19">
      <c r="A524" s="230"/>
      <c r="B524" s="231"/>
      <c r="C524" s="232"/>
      <c r="D524" s="233"/>
      <c r="E524" s="15"/>
      <c r="F524" s="19"/>
      <c r="G524" s="99"/>
      <c r="M524" s="19"/>
      <c r="N524" s="19"/>
      <c r="O524" s="99"/>
      <c r="P524" s="19"/>
      <c r="Q524" s="19"/>
      <c r="R524" s="19"/>
      <c r="S524" s="19"/>
    </row>
    <row r="525" spans="1:19">
      <c r="A525" s="230"/>
      <c r="B525" s="231"/>
      <c r="C525" s="232"/>
      <c r="D525" s="233"/>
      <c r="E525" s="15"/>
      <c r="F525" s="19"/>
      <c r="G525" s="99"/>
      <c r="M525" s="19"/>
      <c r="N525" s="19"/>
      <c r="O525" s="99"/>
      <c r="P525" s="19"/>
      <c r="Q525" s="19"/>
      <c r="R525" s="19"/>
      <c r="S525" s="19"/>
    </row>
    <row r="526" spans="1:19">
      <c r="A526" s="230"/>
      <c r="B526" s="231"/>
      <c r="C526" s="232"/>
      <c r="D526" s="233"/>
      <c r="E526" s="15"/>
      <c r="F526" s="19"/>
      <c r="G526" s="99"/>
      <c r="M526" s="19"/>
      <c r="N526" s="19"/>
      <c r="O526" s="99"/>
      <c r="P526" s="19"/>
      <c r="Q526" s="19"/>
      <c r="R526" s="19"/>
      <c r="S526" s="19"/>
    </row>
    <row r="527" spans="1:19">
      <c r="A527" s="230"/>
      <c r="B527" s="231"/>
      <c r="C527" s="232"/>
      <c r="D527" s="233"/>
      <c r="E527" s="15"/>
      <c r="F527" s="19"/>
      <c r="G527" s="99"/>
      <c r="M527" s="19"/>
      <c r="N527" s="19"/>
      <c r="O527" s="99"/>
      <c r="P527" s="19"/>
      <c r="Q527" s="19"/>
      <c r="R527" s="19"/>
      <c r="S527" s="19"/>
    </row>
    <row r="528" spans="1:19">
      <c r="A528" s="230"/>
      <c r="B528" s="231"/>
      <c r="C528" s="232"/>
      <c r="D528" s="233"/>
      <c r="E528" s="15"/>
      <c r="F528" s="19"/>
      <c r="G528" s="99"/>
      <c r="M528" s="19"/>
      <c r="N528" s="19"/>
      <c r="O528" s="99"/>
      <c r="P528" s="19"/>
      <c r="Q528" s="19"/>
      <c r="R528" s="19"/>
      <c r="S528" s="19"/>
    </row>
    <row r="529" spans="1:19">
      <c r="A529" s="230"/>
      <c r="B529" s="231"/>
      <c r="C529" s="232"/>
      <c r="D529" s="233"/>
      <c r="E529" s="15"/>
      <c r="F529" s="19"/>
      <c r="G529" s="99"/>
      <c r="M529" s="19"/>
      <c r="N529" s="19"/>
      <c r="O529" s="99"/>
      <c r="P529" s="19"/>
      <c r="Q529" s="19"/>
      <c r="R529" s="19"/>
      <c r="S529" s="19"/>
    </row>
    <row r="530" spans="1:19">
      <c r="A530" s="230"/>
      <c r="B530" s="231"/>
      <c r="C530" s="232"/>
      <c r="D530" s="233"/>
      <c r="E530" s="15"/>
      <c r="F530" s="19"/>
      <c r="G530" s="99"/>
      <c r="M530" s="19"/>
      <c r="N530" s="19"/>
      <c r="O530" s="99"/>
      <c r="P530" s="19"/>
      <c r="Q530" s="19"/>
      <c r="R530" s="19"/>
      <c r="S530" s="19"/>
    </row>
    <row r="531" spans="1:19">
      <c r="A531" s="230"/>
      <c r="B531" s="231"/>
      <c r="C531" s="232"/>
      <c r="D531" s="233"/>
      <c r="E531" s="15"/>
      <c r="F531" s="19"/>
      <c r="G531" s="99"/>
      <c r="M531" s="19"/>
      <c r="N531" s="19"/>
      <c r="O531" s="99"/>
      <c r="P531" s="19"/>
      <c r="Q531" s="19"/>
      <c r="R531" s="19"/>
      <c r="S531" s="19"/>
    </row>
    <row r="532" spans="1:19">
      <c r="A532" s="230"/>
      <c r="B532" s="231"/>
      <c r="C532" s="232"/>
      <c r="D532" s="233"/>
      <c r="E532" s="15"/>
      <c r="F532" s="19"/>
      <c r="G532" s="99"/>
      <c r="M532" s="19"/>
      <c r="N532" s="19"/>
      <c r="O532" s="99"/>
      <c r="P532" s="19"/>
      <c r="Q532" s="19"/>
      <c r="R532" s="19"/>
      <c r="S532" s="19"/>
    </row>
    <row r="533" spans="1:19">
      <c r="A533" s="230"/>
      <c r="B533" s="231"/>
      <c r="C533" s="232"/>
      <c r="D533" s="233"/>
      <c r="E533" s="15"/>
      <c r="F533" s="19"/>
      <c r="G533" s="99"/>
      <c r="M533" s="19"/>
      <c r="N533" s="19"/>
      <c r="O533" s="99"/>
      <c r="P533" s="19"/>
      <c r="Q533" s="19"/>
      <c r="R533" s="19"/>
      <c r="S533" s="19"/>
    </row>
    <row r="534" spans="1:19">
      <c r="A534" s="230"/>
      <c r="B534" s="231"/>
      <c r="C534" s="232"/>
      <c r="D534" s="233"/>
      <c r="E534" s="15"/>
      <c r="F534" s="19"/>
      <c r="G534" s="99"/>
      <c r="M534" s="19"/>
      <c r="N534" s="19"/>
      <c r="O534" s="99"/>
      <c r="P534" s="19"/>
      <c r="Q534" s="19"/>
      <c r="R534" s="19"/>
      <c r="S534" s="19"/>
    </row>
    <row r="535" spans="1:19">
      <c r="A535" s="230"/>
      <c r="B535" s="231"/>
      <c r="C535" s="232"/>
      <c r="D535" s="233"/>
      <c r="E535" s="15"/>
      <c r="F535" s="19"/>
      <c r="G535" s="99"/>
      <c r="M535" s="19"/>
      <c r="N535" s="19"/>
      <c r="O535" s="99"/>
      <c r="P535" s="19"/>
      <c r="Q535" s="19"/>
      <c r="R535" s="19"/>
      <c r="S535" s="19"/>
    </row>
    <row r="536" spans="1:19">
      <c r="A536" s="230"/>
      <c r="B536" s="231"/>
      <c r="C536" s="232"/>
      <c r="D536" s="233"/>
      <c r="E536" s="15"/>
      <c r="F536" s="19"/>
      <c r="G536" s="99"/>
      <c r="M536" s="19"/>
      <c r="N536" s="19"/>
      <c r="O536" s="99"/>
      <c r="P536" s="19"/>
      <c r="Q536" s="19"/>
      <c r="R536" s="19"/>
      <c r="S536" s="19"/>
    </row>
    <row r="537" spans="1:19">
      <c r="A537" s="230"/>
      <c r="B537" s="231"/>
      <c r="C537" s="232"/>
      <c r="D537" s="233"/>
      <c r="E537" s="15"/>
      <c r="F537" s="19"/>
      <c r="G537" s="99"/>
      <c r="M537" s="19"/>
      <c r="N537" s="19"/>
      <c r="O537" s="99"/>
      <c r="P537" s="19"/>
      <c r="Q537" s="19"/>
      <c r="R537" s="19"/>
      <c r="S537" s="19"/>
    </row>
    <row r="538" spans="1:19">
      <c r="A538" s="230"/>
      <c r="B538" s="231"/>
      <c r="C538" s="232"/>
      <c r="D538" s="233"/>
      <c r="E538" s="15"/>
      <c r="F538" s="19"/>
      <c r="G538" s="99"/>
      <c r="M538" s="19"/>
      <c r="N538" s="19"/>
      <c r="O538" s="99"/>
      <c r="P538" s="19"/>
      <c r="Q538" s="19"/>
      <c r="R538" s="19"/>
      <c r="S538" s="19"/>
    </row>
    <row r="539" spans="1:19">
      <c r="A539" s="230"/>
      <c r="B539" s="231"/>
      <c r="C539" s="232"/>
      <c r="D539" s="233"/>
      <c r="E539" s="15"/>
      <c r="F539" s="19"/>
      <c r="G539" s="99"/>
      <c r="M539" s="19"/>
      <c r="N539" s="19"/>
      <c r="O539" s="99"/>
      <c r="P539" s="19"/>
      <c r="Q539" s="19"/>
      <c r="R539" s="19"/>
      <c r="S539" s="19"/>
    </row>
    <row r="540" spans="1:19">
      <c r="A540" s="230"/>
      <c r="B540" s="231"/>
      <c r="C540" s="232"/>
      <c r="D540" s="233"/>
      <c r="E540" s="15"/>
      <c r="F540" s="19"/>
      <c r="G540" s="99"/>
      <c r="M540" s="19"/>
      <c r="N540" s="19"/>
      <c r="O540" s="99"/>
      <c r="P540" s="19"/>
      <c r="Q540" s="19"/>
      <c r="R540" s="19"/>
      <c r="S540" s="19"/>
    </row>
    <row r="541" spans="1:19">
      <c r="A541" s="230"/>
      <c r="B541" s="231"/>
      <c r="C541" s="232"/>
      <c r="D541" s="233"/>
      <c r="E541" s="15"/>
      <c r="F541" s="19"/>
      <c r="G541" s="99"/>
      <c r="M541" s="19"/>
      <c r="N541" s="19"/>
      <c r="O541" s="99"/>
      <c r="P541" s="19"/>
      <c r="Q541" s="19"/>
      <c r="R541" s="19"/>
      <c r="S541" s="19"/>
    </row>
    <row r="542" spans="1:19">
      <c r="A542" s="230"/>
      <c r="B542" s="231"/>
      <c r="C542" s="232"/>
      <c r="D542" s="233"/>
      <c r="E542" s="15"/>
      <c r="F542" s="19"/>
      <c r="G542" s="99"/>
      <c r="M542" s="19"/>
      <c r="N542" s="19"/>
      <c r="O542" s="99"/>
      <c r="P542" s="19"/>
      <c r="Q542" s="19"/>
      <c r="R542" s="19"/>
      <c r="S542" s="19"/>
    </row>
    <row r="543" spans="1:19">
      <c r="A543" s="230"/>
      <c r="B543" s="231"/>
      <c r="C543" s="232"/>
      <c r="D543" s="233"/>
      <c r="E543" s="15"/>
      <c r="F543" s="19"/>
      <c r="G543" s="99"/>
      <c r="M543" s="19"/>
      <c r="N543" s="19"/>
      <c r="O543" s="99"/>
      <c r="P543" s="19"/>
      <c r="Q543" s="19"/>
      <c r="R543" s="19"/>
      <c r="S543" s="19"/>
    </row>
    <row r="544" spans="1:19">
      <c r="A544" s="230"/>
      <c r="B544" s="231"/>
      <c r="C544" s="232"/>
      <c r="D544" s="233"/>
      <c r="E544" s="15"/>
      <c r="F544" s="19"/>
      <c r="G544" s="99"/>
      <c r="M544" s="19"/>
      <c r="N544" s="19"/>
      <c r="O544" s="99"/>
      <c r="P544" s="19"/>
      <c r="Q544" s="19"/>
      <c r="R544" s="19"/>
      <c r="S544" s="19"/>
    </row>
    <row r="545" spans="1:19">
      <c r="A545" s="230"/>
      <c r="B545" s="231"/>
      <c r="C545" s="232"/>
      <c r="D545" s="233"/>
      <c r="E545" s="15"/>
      <c r="F545" s="19"/>
      <c r="G545" s="99"/>
      <c r="M545" s="19"/>
      <c r="N545" s="19"/>
      <c r="O545" s="99"/>
      <c r="P545" s="19"/>
      <c r="Q545" s="19"/>
      <c r="R545" s="19"/>
      <c r="S545" s="19"/>
    </row>
    <row r="546" spans="1:19">
      <c r="A546" s="230"/>
      <c r="B546" s="231"/>
      <c r="C546" s="232"/>
      <c r="D546" s="233"/>
      <c r="E546" s="15"/>
      <c r="F546" s="19"/>
      <c r="G546" s="99"/>
      <c r="M546" s="19"/>
      <c r="N546" s="19"/>
      <c r="O546" s="99"/>
      <c r="P546" s="19"/>
      <c r="Q546" s="19"/>
      <c r="R546" s="19"/>
      <c r="S546" s="19"/>
    </row>
    <row r="547" spans="1:19">
      <c r="A547" s="230"/>
      <c r="B547" s="231"/>
      <c r="C547" s="232"/>
      <c r="D547" s="233"/>
      <c r="E547" s="15"/>
      <c r="F547" s="19"/>
      <c r="G547" s="99"/>
      <c r="M547" s="19"/>
      <c r="N547" s="19"/>
      <c r="O547" s="99"/>
      <c r="P547" s="19"/>
      <c r="Q547" s="19"/>
      <c r="R547" s="19"/>
      <c r="S547" s="19"/>
    </row>
    <row r="548" spans="1:19">
      <c r="A548" s="230"/>
      <c r="B548" s="231"/>
      <c r="C548" s="232"/>
      <c r="D548" s="233"/>
      <c r="E548" s="15"/>
      <c r="F548" s="19"/>
      <c r="G548" s="99"/>
      <c r="M548" s="19"/>
      <c r="N548" s="19"/>
      <c r="O548" s="99"/>
      <c r="P548" s="19"/>
      <c r="Q548" s="19"/>
      <c r="R548" s="19"/>
      <c r="S548" s="19"/>
    </row>
    <row r="549" spans="1:19">
      <c r="A549" s="230"/>
      <c r="B549" s="231"/>
      <c r="C549" s="232"/>
      <c r="D549" s="233"/>
      <c r="E549" s="15"/>
      <c r="F549" s="19"/>
      <c r="G549" s="99"/>
      <c r="M549" s="19"/>
      <c r="N549" s="19"/>
      <c r="O549" s="99"/>
      <c r="P549" s="19"/>
      <c r="Q549" s="19"/>
      <c r="R549" s="19"/>
      <c r="S549" s="19"/>
    </row>
    <row r="550" spans="1:19">
      <c r="A550" s="230"/>
      <c r="B550" s="231"/>
      <c r="C550" s="232"/>
      <c r="D550" s="233"/>
      <c r="E550" s="15"/>
      <c r="F550" s="19"/>
      <c r="G550" s="99"/>
      <c r="M550" s="19"/>
      <c r="N550" s="19"/>
      <c r="O550" s="99"/>
      <c r="P550" s="19"/>
      <c r="Q550" s="19"/>
      <c r="R550" s="19"/>
      <c r="S550" s="19"/>
    </row>
    <row r="551" spans="1:19">
      <c r="A551" s="230"/>
      <c r="B551" s="231"/>
      <c r="C551" s="232"/>
      <c r="D551" s="233"/>
      <c r="E551" s="15"/>
      <c r="F551" s="19"/>
      <c r="G551" s="99"/>
      <c r="M551" s="19"/>
      <c r="N551" s="19"/>
      <c r="O551" s="99"/>
      <c r="P551" s="19"/>
      <c r="Q551" s="19"/>
      <c r="R551" s="19"/>
      <c r="S551" s="19"/>
    </row>
    <row r="552" spans="1:19">
      <c r="A552" s="230"/>
      <c r="B552" s="231"/>
      <c r="C552" s="232"/>
      <c r="D552" s="233"/>
      <c r="E552" s="15"/>
      <c r="F552" s="19"/>
      <c r="G552" s="99"/>
      <c r="M552" s="19"/>
      <c r="N552" s="19"/>
      <c r="O552" s="99"/>
      <c r="P552" s="19"/>
      <c r="Q552" s="19"/>
      <c r="R552" s="19"/>
      <c r="S552" s="19"/>
    </row>
    <row r="553" spans="1:19">
      <c r="A553" s="230"/>
      <c r="B553" s="231"/>
      <c r="C553" s="232"/>
      <c r="D553" s="233"/>
      <c r="E553" s="15"/>
      <c r="F553" s="19"/>
      <c r="G553" s="99"/>
      <c r="M553" s="19"/>
      <c r="N553" s="19"/>
      <c r="O553" s="99"/>
      <c r="P553" s="19"/>
      <c r="Q553" s="19"/>
      <c r="R553" s="19"/>
      <c r="S553" s="19"/>
    </row>
    <row r="554" spans="1:19">
      <c r="A554" s="230"/>
      <c r="B554" s="231"/>
      <c r="C554" s="232"/>
      <c r="D554" s="233"/>
      <c r="E554" s="15"/>
      <c r="F554" s="19"/>
      <c r="G554" s="99"/>
      <c r="M554" s="19"/>
      <c r="N554" s="19"/>
      <c r="O554" s="99"/>
      <c r="P554" s="19"/>
      <c r="Q554" s="19"/>
      <c r="R554" s="19"/>
      <c r="S554" s="19"/>
    </row>
    <row r="555" spans="1:19">
      <c r="A555" s="230"/>
      <c r="B555" s="231"/>
      <c r="C555" s="232"/>
      <c r="D555" s="233"/>
      <c r="E555" s="15"/>
      <c r="F555" s="19"/>
      <c r="G555" s="99"/>
      <c r="M555" s="19"/>
      <c r="N555" s="19"/>
      <c r="O555" s="99"/>
      <c r="P555" s="19"/>
      <c r="Q555" s="19"/>
      <c r="R555" s="19"/>
      <c r="S555" s="19"/>
    </row>
    <row r="556" spans="1:19">
      <c r="A556" s="230"/>
      <c r="B556" s="231"/>
      <c r="C556" s="232"/>
      <c r="D556" s="233"/>
      <c r="E556" s="15"/>
      <c r="F556" s="19"/>
      <c r="G556" s="99"/>
      <c r="M556" s="19"/>
      <c r="N556" s="19"/>
      <c r="O556" s="99"/>
      <c r="P556" s="19"/>
      <c r="Q556" s="19"/>
      <c r="R556" s="19"/>
      <c r="S556" s="19"/>
    </row>
    <row r="557" spans="1:19">
      <c r="A557" s="230"/>
      <c r="B557" s="231"/>
      <c r="C557" s="232"/>
      <c r="D557" s="233"/>
      <c r="E557" s="15"/>
      <c r="F557" s="19"/>
      <c r="G557" s="99"/>
      <c r="M557" s="19"/>
      <c r="N557" s="19"/>
      <c r="O557" s="99"/>
      <c r="P557" s="19"/>
      <c r="Q557" s="19"/>
      <c r="R557" s="19"/>
      <c r="S557" s="19"/>
    </row>
    <row r="558" spans="1:19">
      <c r="A558" s="230"/>
      <c r="B558" s="231"/>
      <c r="C558" s="232"/>
      <c r="D558" s="233"/>
      <c r="E558" s="15"/>
      <c r="F558" s="19"/>
      <c r="G558" s="99"/>
      <c r="M558" s="19"/>
      <c r="N558" s="19"/>
      <c r="O558" s="99"/>
      <c r="P558" s="19"/>
      <c r="Q558" s="19"/>
      <c r="R558" s="19"/>
      <c r="S558" s="19"/>
    </row>
    <row r="559" spans="1:19">
      <c r="A559" s="230"/>
      <c r="B559" s="231"/>
      <c r="C559" s="232"/>
      <c r="D559" s="233"/>
      <c r="E559" s="15"/>
      <c r="F559" s="19"/>
      <c r="G559" s="99"/>
      <c r="M559" s="19"/>
      <c r="N559" s="19"/>
      <c r="O559" s="99"/>
      <c r="P559" s="19"/>
      <c r="Q559" s="19"/>
      <c r="R559" s="19"/>
      <c r="S559" s="19"/>
    </row>
    <row r="560" spans="1:19">
      <c r="A560" s="230"/>
      <c r="B560" s="231"/>
      <c r="C560" s="232"/>
      <c r="D560" s="233"/>
      <c r="E560" s="15"/>
      <c r="F560" s="19"/>
      <c r="G560" s="99"/>
      <c r="M560" s="19"/>
      <c r="N560" s="19"/>
      <c r="O560" s="99"/>
      <c r="P560" s="19"/>
      <c r="Q560" s="19"/>
      <c r="R560" s="19"/>
      <c r="S560" s="19"/>
    </row>
    <row r="561" spans="1:19">
      <c r="A561" s="230"/>
      <c r="B561" s="231"/>
      <c r="C561" s="232"/>
      <c r="D561" s="233"/>
      <c r="E561" s="15"/>
      <c r="F561" s="19"/>
      <c r="G561" s="99"/>
      <c r="M561" s="19"/>
      <c r="N561" s="19"/>
      <c r="O561" s="99"/>
      <c r="P561" s="19"/>
      <c r="Q561" s="19"/>
      <c r="R561" s="19"/>
      <c r="S561" s="19"/>
    </row>
    <row r="562" spans="1:19">
      <c r="A562" s="230"/>
      <c r="B562" s="231"/>
      <c r="C562" s="232"/>
      <c r="D562" s="233"/>
      <c r="E562" s="15"/>
      <c r="F562" s="19"/>
      <c r="G562" s="99"/>
      <c r="M562" s="19"/>
      <c r="N562" s="19"/>
      <c r="O562" s="99"/>
      <c r="P562" s="19"/>
      <c r="Q562" s="19"/>
      <c r="R562" s="19"/>
      <c r="S562" s="19"/>
    </row>
    <row r="563" spans="1:19">
      <c r="A563" s="230"/>
      <c r="B563" s="231"/>
      <c r="C563" s="232"/>
      <c r="D563" s="233"/>
      <c r="E563" s="15"/>
      <c r="F563" s="19"/>
      <c r="G563" s="99"/>
      <c r="M563" s="19"/>
      <c r="N563" s="19"/>
      <c r="O563" s="99"/>
      <c r="P563" s="19"/>
      <c r="Q563" s="19"/>
      <c r="R563" s="19"/>
      <c r="S563" s="19"/>
    </row>
    <row r="564" spans="1:19">
      <c r="A564" s="230"/>
      <c r="B564" s="231"/>
      <c r="C564" s="232"/>
      <c r="D564" s="233"/>
      <c r="E564" s="15"/>
      <c r="F564" s="19"/>
      <c r="G564" s="99"/>
      <c r="M564" s="19"/>
      <c r="N564" s="19"/>
      <c r="O564" s="99"/>
      <c r="P564" s="19"/>
      <c r="Q564" s="19"/>
      <c r="R564" s="19"/>
      <c r="S564" s="19"/>
    </row>
    <row r="565" spans="1:19">
      <c r="A565" s="230"/>
      <c r="B565" s="231"/>
      <c r="C565" s="232"/>
      <c r="D565" s="233"/>
      <c r="E565" s="15"/>
      <c r="F565" s="19"/>
      <c r="G565" s="99"/>
      <c r="M565" s="19"/>
      <c r="N565" s="19"/>
      <c r="O565" s="99"/>
      <c r="P565" s="19"/>
      <c r="Q565" s="19"/>
      <c r="R565" s="19"/>
      <c r="S565" s="19"/>
    </row>
    <row r="566" spans="1:19">
      <c r="A566" s="230"/>
      <c r="B566" s="231"/>
      <c r="C566" s="232"/>
      <c r="D566" s="233"/>
      <c r="E566" s="15"/>
      <c r="F566" s="19"/>
      <c r="G566" s="99"/>
      <c r="M566" s="19"/>
      <c r="N566" s="19"/>
      <c r="O566" s="99"/>
      <c r="P566" s="19"/>
      <c r="Q566" s="19"/>
      <c r="R566" s="19"/>
      <c r="S566" s="19"/>
    </row>
    <row r="567" spans="1:19">
      <c r="A567" s="230"/>
      <c r="B567" s="231"/>
      <c r="C567" s="232"/>
      <c r="D567" s="233"/>
      <c r="E567" s="15"/>
      <c r="F567" s="19"/>
      <c r="G567" s="99"/>
      <c r="M567" s="19"/>
      <c r="N567" s="19"/>
      <c r="O567" s="99"/>
      <c r="P567" s="19"/>
      <c r="Q567" s="19"/>
      <c r="R567" s="19"/>
      <c r="S567" s="19"/>
    </row>
    <row r="568" spans="1:19">
      <c r="A568" s="230"/>
      <c r="B568" s="231"/>
      <c r="C568" s="232"/>
      <c r="D568" s="233"/>
      <c r="E568" s="15"/>
      <c r="F568" s="19"/>
      <c r="G568" s="99"/>
      <c r="M568" s="19"/>
      <c r="N568" s="19"/>
      <c r="O568" s="99"/>
      <c r="P568" s="19"/>
      <c r="Q568" s="19"/>
      <c r="R568" s="19"/>
      <c r="S568" s="19"/>
    </row>
    <row r="569" spans="1:19">
      <c r="A569" s="230"/>
      <c r="B569" s="231"/>
      <c r="C569" s="232"/>
      <c r="D569" s="233"/>
      <c r="E569" s="15"/>
      <c r="F569" s="19"/>
      <c r="G569" s="99"/>
      <c r="M569" s="19"/>
      <c r="N569" s="19"/>
      <c r="O569" s="99"/>
      <c r="P569" s="19"/>
      <c r="Q569" s="19"/>
      <c r="R569" s="19"/>
      <c r="S569" s="19"/>
    </row>
    <row r="570" spans="1:19">
      <c r="A570" s="230"/>
      <c r="B570" s="231"/>
      <c r="C570" s="232"/>
      <c r="D570" s="233"/>
      <c r="E570" s="15"/>
      <c r="F570" s="19"/>
      <c r="G570" s="99"/>
      <c r="M570" s="19"/>
      <c r="N570" s="19"/>
      <c r="O570" s="99"/>
      <c r="P570" s="19"/>
      <c r="Q570" s="19"/>
      <c r="R570" s="19"/>
      <c r="S570" s="19"/>
    </row>
    <row r="571" spans="1:19">
      <c r="A571" s="230"/>
      <c r="B571" s="231"/>
      <c r="C571" s="232"/>
      <c r="D571" s="233"/>
      <c r="E571" s="15"/>
      <c r="F571" s="19"/>
      <c r="G571" s="99"/>
      <c r="M571" s="19"/>
      <c r="N571" s="19"/>
      <c r="O571" s="99"/>
      <c r="P571" s="19"/>
      <c r="Q571" s="19"/>
      <c r="R571" s="19"/>
      <c r="S571" s="19"/>
    </row>
    <row r="572" spans="1:19">
      <c r="A572" s="230"/>
      <c r="B572" s="231"/>
      <c r="C572" s="232"/>
      <c r="D572" s="233"/>
      <c r="E572" s="15"/>
      <c r="F572" s="19"/>
      <c r="G572" s="99"/>
      <c r="M572" s="19"/>
      <c r="N572" s="19"/>
      <c r="O572" s="99"/>
      <c r="P572" s="19"/>
      <c r="Q572" s="19"/>
      <c r="R572" s="19"/>
      <c r="S572" s="19"/>
    </row>
    <row r="573" spans="1:19">
      <c r="A573" s="230"/>
      <c r="B573" s="231"/>
      <c r="C573" s="232"/>
      <c r="D573" s="233"/>
      <c r="E573" s="15"/>
      <c r="F573" s="19"/>
      <c r="G573" s="99"/>
      <c r="M573" s="19"/>
      <c r="N573" s="19"/>
      <c r="O573" s="99"/>
      <c r="P573" s="19"/>
      <c r="Q573" s="19"/>
      <c r="R573" s="19"/>
      <c r="S573" s="19"/>
    </row>
    <row r="574" spans="1:19">
      <c r="A574" s="230"/>
      <c r="B574" s="231"/>
      <c r="C574" s="232"/>
      <c r="D574" s="233"/>
      <c r="E574" s="15"/>
      <c r="F574" s="19"/>
      <c r="G574" s="99"/>
      <c r="M574" s="19"/>
      <c r="N574" s="19"/>
      <c r="O574" s="99"/>
      <c r="P574" s="19"/>
      <c r="Q574" s="19"/>
      <c r="R574" s="19"/>
      <c r="S574" s="19"/>
    </row>
    <row r="575" spans="1:19">
      <c r="A575" s="230"/>
      <c r="B575" s="231"/>
      <c r="C575" s="232"/>
      <c r="D575" s="233"/>
      <c r="E575" s="15"/>
      <c r="F575" s="19"/>
      <c r="G575" s="99"/>
      <c r="M575" s="19"/>
      <c r="N575" s="19"/>
      <c r="O575" s="99"/>
      <c r="P575" s="19"/>
      <c r="Q575" s="19"/>
      <c r="R575" s="19"/>
      <c r="S575" s="19"/>
    </row>
    <row r="576" spans="1:19">
      <c r="A576" s="230"/>
      <c r="B576" s="231"/>
      <c r="C576" s="232"/>
      <c r="D576" s="233"/>
      <c r="E576" s="15"/>
      <c r="F576" s="19"/>
      <c r="G576" s="99"/>
      <c r="M576" s="19"/>
      <c r="N576" s="19"/>
      <c r="O576" s="99"/>
      <c r="P576" s="19"/>
      <c r="Q576" s="19"/>
      <c r="R576" s="19"/>
      <c r="S576" s="19"/>
    </row>
    <row r="577" spans="1:19">
      <c r="A577" s="230"/>
      <c r="B577" s="231"/>
      <c r="C577" s="232"/>
      <c r="D577" s="233"/>
      <c r="E577" s="15"/>
      <c r="F577" s="19"/>
      <c r="G577" s="99"/>
      <c r="M577" s="19"/>
      <c r="N577" s="19"/>
      <c r="O577" s="99"/>
      <c r="P577" s="19"/>
      <c r="Q577" s="19"/>
      <c r="R577" s="19"/>
      <c r="S577" s="19"/>
    </row>
    <row r="578" spans="1:19">
      <c r="A578" s="230"/>
      <c r="B578" s="231"/>
      <c r="C578" s="232"/>
      <c r="D578" s="233"/>
      <c r="E578" s="15"/>
      <c r="F578" s="19"/>
      <c r="G578" s="99"/>
      <c r="M578" s="19"/>
      <c r="N578" s="19"/>
      <c r="O578" s="99"/>
      <c r="P578" s="19"/>
      <c r="Q578" s="19"/>
      <c r="R578" s="19"/>
      <c r="S578" s="19"/>
    </row>
    <row r="579" spans="1:19">
      <c r="A579" s="230"/>
      <c r="B579" s="231"/>
      <c r="C579" s="232"/>
      <c r="D579" s="233"/>
      <c r="E579" s="15"/>
      <c r="F579" s="19"/>
      <c r="G579" s="99"/>
      <c r="M579" s="19"/>
      <c r="N579" s="19"/>
      <c r="O579" s="99"/>
      <c r="P579" s="19"/>
      <c r="Q579" s="19"/>
      <c r="R579" s="19"/>
      <c r="S579" s="19"/>
    </row>
    <row r="580" spans="1:19">
      <c r="A580" s="230"/>
      <c r="B580" s="231"/>
      <c r="C580" s="232"/>
      <c r="D580" s="233"/>
      <c r="E580" s="15"/>
      <c r="F580" s="19"/>
      <c r="G580" s="99"/>
      <c r="M580" s="19"/>
      <c r="N580" s="19"/>
      <c r="O580" s="99"/>
      <c r="P580" s="19"/>
      <c r="Q580" s="19"/>
      <c r="R580" s="19"/>
      <c r="S580" s="19"/>
    </row>
    <row r="581" spans="1:19">
      <c r="A581" s="230"/>
      <c r="B581" s="231"/>
      <c r="C581" s="232"/>
      <c r="D581" s="233"/>
      <c r="E581" s="15"/>
      <c r="F581" s="19"/>
      <c r="G581" s="99"/>
      <c r="M581" s="19"/>
      <c r="N581" s="19"/>
      <c r="O581" s="99"/>
      <c r="P581" s="19"/>
      <c r="Q581" s="19"/>
      <c r="R581" s="19"/>
      <c r="S581" s="19"/>
    </row>
    <row r="582" spans="1:19">
      <c r="A582" s="230"/>
      <c r="B582" s="231"/>
      <c r="C582" s="232"/>
      <c r="D582" s="233"/>
      <c r="E582" s="15"/>
      <c r="F582" s="19"/>
      <c r="G582" s="99"/>
      <c r="M582" s="19"/>
      <c r="N582" s="19"/>
      <c r="O582" s="99"/>
      <c r="P582" s="19"/>
      <c r="Q582" s="19"/>
      <c r="R582" s="19"/>
      <c r="S582" s="19"/>
    </row>
    <row r="583" spans="1:19">
      <c r="A583" s="230"/>
      <c r="B583" s="231"/>
      <c r="C583" s="232"/>
      <c r="D583" s="233"/>
      <c r="E583" s="15"/>
      <c r="F583" s="19"/>
      <c r="G583" s="99"/>
      <c r="M583" s="19"/>
      <c r="N583" s="19"/>
      <c r="O583" s="99"/>
      <c r="P583" s="19"/>
      <c r="Q583" s="19"/>
      <c r="R583" s="19"/>
      <c r="S583" s="19"/>
    </row>
    <row r="584" spans="1:19">
      <c r="A584" s="230"/>
      <c r="B584" s="231"/>
      <c r="C584" s="232"/>
      <c r="D584" s="233"/>
      <c r="E584" s="15"/>
      <c r="F584" s="19"/>
      <c r="G584" s="99"/>
      <c r="M584" s="19"/>
      <c r="N584" s="19"/>
      <c r="O584" s="99"/>
      <c r="P584" s="19"/>
      <c r="Q584" s="19"/>
      <c r="R584" s="19"/>
      <c r="S584" s="19"/>
    </row>
    <row r="585" spans="1:19">
      <c r="A585" s="230"/>
      <c r="B585" s="231"/>
      <c r="C585" s="232"/>
      <c r="D585" s="233"/>
      <c r="E585" s="15"/>
      <c r="F585" s="19"/>
      <c r="G585" s="99"/>
      <c r="M585" s="19"/>
      <c r="N585" s="19"/>
      <c r="O585" s="99"/>
      <c r="P585" s="19"/>
      <c r="Q585" s="19"/>
      <c r="R585" s="19"/>
      <c r="S585" s="19"/>
    </row>
    <row r="586" spans="1:19">
      <c r="A586" s="230"/>
      <c r="B586" s="231"/>
      <c r="C586" s="232"/>
      <c r="D586" s="233"/>
      <c r="E586" s="15"/>
      <c r="F586" s="19"/>
      <c r="G586" s="99"/>
      <c r="M586" s="19"/>
      <c r="N586" s="19"/>
      <c r="O586" s="99"/>
      <c r="P586" s="19"/>
      <c r="Q586" s="19"/>
      <c r="R586" s="19"/>
      <c r="S586" s="19"/>
    </row>
    <row r="587" spans="1:19">
      <c r="A587" s="230"/>
      <c r="B587" s="231"/>
      <c r="C587" s="232"/>
      <c r="D587" s="233"/>
      <c r="E587" s="15"/>
      <c r="F587" s="19"/>
      <c r="G587" s="99"/>
      <c r="M587" s="19"/>
      <c r="N587" s="19"/>
      <c r="O587" s="99"/>
      <c r="P587" s="19"/>
      <c r="Q587" s="19"/>
      <c r="R587" s="19"/>
      <c r="S587" s="19"/>
    </row>
    <row r="588" spans="1:19">
      <c r="A588" s="230"/>
      <c r="B588" s="231"/>
      <c r="C588" s="232"/>
      <c r="D588" s="233"/>
      <c r="E588" s="15"/>
      <c r="F588" s="19"/>
      <c r="G588" s="99"/>
      <c r="M588" s="19"/>
      <c r="N588" s="19"/>
      <c r="O588" s="99"/>
      <c r="P588" s="19"/>
      <c r="Q588" s="19"/>
      <c r="R588" s="19"/>
      <c r="S588" s="19"/>
    </row>
    <row r="589" spans="1:19">
      <c r="A589" s="230"/>
      <c r="B589" s="231"/>
      <c r="C589" s="232"/>
      <c r="D589" s="233"/>
      <c r="E589" s="15"/>
      <c r="F589" s="19"/>
      <c r="G589" s="99"/>
      <c r="M589" s="19"/>
      <c r="N589" s="19"/>
      <c r="O589" s="99"/>
      <c r="P589" s="19"/>
      <c r="Q589" s="19"/>
      <c r="R589" s="19"/>
      <c r="S589" s="19"/>
    </row>
    <row r="590" spans="1:19">
      <c r="A590" s="230"/>
      <c r="B590" s="231"/>
      <c r="C590" s="232"/>
      <c r="D590" s="233"/>
      <c r="E590" s="15"/>
      <c r="F590" s="19"/>
      <c r="G590" s="99"/>
      <c r="M590" s="19"/>
      <c r="N590" s="19"/>
      <c r="O590" s="99"/>
      <c r="P590" s="19"/>
      <c r="Q590" s="19"/>
      <c r="R590" s="19"/>
      <c r="S590" s="19"/>
    </row>
    <row r="591" spans="1:19">
      <c r="A591" s="230"/>
      <c r="B591" s="231"/>
      <c r="C591" s="232"/>
      <c r="D591" s="233"/>
      <c r="E591" s="15"/>
      <c r="F591" s="19"/>
      <c r="G591" s="99"/>
      <c r="M591" s="19"/>
      <c r="N591" s="19"/>
      <c r="O591" s="99"/>
      <c r="P591" s="19"/>
      <c r="Q591" s="19"/>
      <c r="R591" s="19"/>
      <c r="S591" s="19"/>
    </row>
    <row r="592" spans="1:19">
      <c r="A592" s="230"/>
      <c r="B592" s="231"/>
      <c r="C592" s="232"/>
      <c r="D592" s="233"/>
      <c r="E592" s="15"/>
      <c r="F592" s="19"/>
      <c r="G592" s="99"/>
      <c r="M592" s="19"/>
      <c r="N592" s="19"/>
      <c r="O592" s="99"/>
      <c r="P592" s="19"/>
      <c r="Q592" s="19"/>
      <c r="R592" s="19"/>
      <c r="S592" s="19"/>
    </row>
    <row r="593" spans="1:19">
      <c r="A593" s="230"/>
      <c r="B593" s="231"/>
      <c r="C593" s="232"/>
      <c r="D593" s="233"/>
      <c r="E593" s="15"/>
      <c r="F593" s="19"/>
      <c r="G593" s="99"/>
      <c r="M593" s="19"/>
      <c r="N593" s="19"/>
      <c r="O593" s="99"/>
      <c r="P593" s="19"/>
      <c r="Q593" s="19"/>
      <c r="R593" s="19"/>
      <c r="S593" s="19"/>
    </row>
    <row r="594" spans="1:19">
      <c r="A594" s="230"/>
      <c r="B594" s="231"/>
      <c r="C594" s="232"/>
      <c r="D594" s="233"/>
      <c r="E594" s="15"/>
      <c r="F594" s="19"/>
      <c r="G594" s="99"/>
      <c r="M594" s="19"/>
      <c r="N594" s="19"/>
      <c r="O594" s="99"/>
      <c r="P594" s="19"/>
      <c r="Q594" s="19"/>
      <c r="R594" s="19"/>
      <c r="S594" s="19"/>
    </row>
    <row r="595" spans="1:19">
      <c r="A595" s="230"/>
      <c r="B595" s="231"/>
      <c r="C595" s="232"/>
      <c r="D595" s="233"/>
      <c r="E595" s="15"/>
      <c r="F595" s="19"/>
      <c r="G595" s="99"/>
      <c r="M595" s="19"/>
      <c r="N595" s="19"/>
      <c r="O595" s="99"/>
      <c r="P595" s="19"/>
      <c r="Q595" s="19"/>
      <c r="R595" s="19"/>
      <c r="S595" s="19"/>
    </row>
    <row r="596" spans="1:19">
      <c r="A596" s="230"/>
      <c r="B596" s="231"/>
      <c r="C596" s="232"/>
      <c r="D596" s="233"/>
      <c r="E596" s="15"/>
      <c r="F596" s="19"/>
      <c r="G596" s="99"/>
      <c r="M596" s="19"/>
      <c r="N596" s="19"/>
      <c r="O596" s="99"/>
      <c r="P596" s="19"/>
      <c r="Q596" s="19"/>
      <c r="R596" s="19"/>
      <c r="S596" s="19"/>
    </row>
    <row r="597" spans="1:19">
      <c r="A597" s="230"/>
      <c r="B597" s="231"/>
      <c r="C597" s="232"/>
      <c r="D597" s="233"/>
      <c r="E597" s="15"/>
      <c r="F597" s="19"/>
      <c r="G597" s="99"/>
      <c r="M597" s="19"/>
      <c r="N597" s="19"/>
      <c r="O597" s="99"/>
      <c r="P597" s="19"/>
      <c r="Q597" s="19"/>
      <c r="R597" s="19"/>
      <c r="S597" s="19"/>
    </row>
    <row r="598" spans="1:19">
      <c r="A598" s="230"/>
      <c r="B598" s="231"/>
      <c r="C598" s="232"/>
      <c r="D598" s="233"/>
      <c r="E598" s="15"/>
      <c r="F598" s="19"/>
      <c r="G598" s="99"/>
      <c r="M598" s="19"/>
      <c r="N598" s="19"/>
      <c r="O598" s="99"/>
      <c r="P598" s="19"/>
      <c r="Q598" s="19"/>
      <c r="R598" s="19"/>
      <c r="S598" s="19"/>
    </row>
    <row r="599" spans="1:19">
      <c r="A599" s="230"/>
      <c r="B599" s="231"/>
      <c r="C599" s="232"/>
      <c r="D599" s="233"/>
      <c r="E599" s="15"/>
      <c r="F599" s="19"/>
      <c r="G599" s="99"/>
      <c r="M599" s="19"/>
      <c r="N599" s="19"/>
      <c r="O599" s="99"/>
      <c r="P599" s="19"/>
      <c r="Q599" s="19"/>
      <c r="R599" s="19"/>
      <c r="S599" s="19"/>
    </row>
    <row r="600" spans="1:19">
      <c r="A600" s="230"/>
      <c r="B600" s="231"/>
      <c r="C600" s="232"/>
      <c r="D600" s="233"/>
      <c r="E600" s="15"/>
      <c r="F600" s="19"/>
      <c r="G600" s="99"/>
      <c r="M600" s="19"/>
      <c r="N600" s="19"/>
      <c r="O600" s="99"/>
      <c r="P600" s="19"/>
      <c r="Q600" s="19"/>
      <c r="R600" s="19"/>
      <c r="S600" s="19"/>
    </row>
    <row r="601" spans="1:19">
      <c r="A601" s="230"/>
      <c r="B601" s="231"/>
      <c r="C601" s="232"/>
      <c r="D601" s="233"/>
      <c r="E601" s="15"/>
      <c r="F601" s="19"/>
      <c r="G601" s="99"/>
      <c r="M601" s="19"/>
      <c r="N601" s="19"/>
      <c r="O601" s="99"/>
      <c r="P601" s="19"/>
      <c r="Q601" s="19"/>
      <c r="R601" s="19"/>
      <c r="S601" s="19"/>
    </row>
    <row r="602" spans="1:19">
      <c r="A602" s="230"/>
      <c r="B602" s="231"/>
      <c r="C602" s="232"/>
      <c r="D602" s="233"/>
      <c r="E602" s="15"/>
      <c r="F602" s="19"/>
      <c r="G602" s="99"/>
      <c r="M602" s="19"/>
      <c r="N602" s="19"/>
      <c r="O602" s="99"/>
      <c r="P602" s="19"/>
      <c r="Q602" s="19"/>
      <c r="R602" s="19"/>
      <c r="S602" s="19"/>
    </row>
    <row r="603" spans="1:19">
      <c r="A603" s="230"/>
      <c r="B603" s="231"/>
      <c r="C603" s="232"/>
      <c r="D603" s="233"/>
      <c r="E603" s="15"/>
      <c r="F603" s="19"/>
      <c r="G603" s="99"/>
      <c r="M603" s="19"/>
      <c r="N603" s="19"/>
      <c r="O603" s="99"/>
      <c r="P603" s="19"/>
      <c r="Q603" s="19"/>
      <c r="R603" s="19"/>
      <c r="S603" s="19"/>
    </row>
    <row r="604" spans="1:19">
      <c r="A604" s="230"/>
      <c r="B604" s="231"/>
      <c r="C604" s="232"/>
      <c r="D604" s="233"/>
      <c r="E604" s="15"/>
      <c r="F604" s="19"/>
      <c r="G604" s="99"/>
      <c r="M604" s="19"/>
      <c r="N604" s="19"/>
      <c r="O604" s="99"/>
      <c r="P604" s="19"/>
      <c r="Q604" s="19"/>
      <c r="R604" s="19"/>
      <c r="S604" s="19"/>
    </row>
    <row r="605" spans="1:19">
      <c r="A605" s="230"/>
      <c r="B605" s="231"/>
      <c r="C605" s="232"/>
      <c r="D605" s="233"/>
      <c r="E605" s="15"/>
      <c r="F605" s="19"/>
      <c r="G605" s="99"/>
      <c r="M605" s="19"/>
      <c r="N605" s="19"/>
      <c r="O605" s="99"/>
      <c r="P605" s="19"/>
      <c r="Q605" s="19"/>
      <c r="R605" s="19"/>
      <c r="S605" s="19"/>
    </row>
    <row r="606" spans="1:19">
      <c r="A606" s="230"/>
      <c r="B606" s="231"/>
      <c r="C606" s="232"/>
      <c r="D606" s="233"/>
      <c r="E606" s="15"/>
      <c r="F606" s="19"/>
      <c r="G606" s="99"/>
      <c r="M606" s="19"/>
      <c r="N606" s="19"/>
      <c r="O606" s="99"/>
      <c r="P606" s="19"/>
      <c r="Q606" s="19"/>
      <c r="R606" s="19"/>
      <c r="S606" s="19"/>
    </row>
    <row r="607" spans="1:19">
      <c r="A607" s="230"/>
      <c r="B607" s="231"/>
      <c r="C607" s="232"/>
      <c r="D607" s="233"/>
      <c r="E607" s="15"/>
      <c r="F607" s="19"/>
      <c r="G607" s="99"/>
      <c r="M607" s="19"/>
      <c r="N607" s="19"/>
      <c r="O607" s="99"/>
      <c r="P607" s="19"/>
      <c r="Q607" s="19"/>
      <c r="R607" s="19"/>
      <c r="S607" s="19"/>
    </row>
    <row r="608" spans="1:19">
      <c r="A608" s="230"/>
      <c r="B608" s="231"/>
      <c r="C608" s="232"/>
      <c r="D608" s="233"/>
      <c r="E608" s="15"/>
      <c r="F608" s="19"/>
      <c r="G608" s="99"/>
      <c r="M608" s="19"/>
      <c r="N608" s="19"/>
      <c r="O608" s="99"/>
      <c r="P608" s="19"/>
      <c r="Q608" s="19"/>
      <c r="R608" s="19"/>
      <c r="S608" s="19"/>
    </row>
    <row r="609" spans="1:19">
      <c r="A609" s="230"/>
      <c r="B609" s="231"/>
      <c r="C609" s="232"/>
      <c r="D609" s="233"/>
      <c r="E609" s="15"/>
      <c r="F609" s="19"/>
      <c r="G609" s="99"/>
      <c r="M609" s="19"/>
      <c r="N609" s="19"/>
      <c r="O609" s="99"/>
      <c r="P609" s="19"/>
      <c r="Q609" s="19"/>
      <c r="R609" s="19"/>
      <c r="S609" s="19"/>
    </row>
    <row r="610" spans="1:19">
      <c r="A610" s="230"/>
      <c r="B610" s="231"/>
      <c r="C610" s="232"/>
      <c r="D610" s="233"/>
      <c r="E610" s="15"/>
      <c r="F610" s="19"/>
      <c r="G610" s="99"/>
      <c r="M610" s="19"/>
      <c r="N610" s="19"/>
      <c r="O610" s="99"/>
      <c r="P610" s="19"/>
      <c r="Q610" s="19"/>
      <c r="R610" s="19"/>
      <c r="S610" s="19"/>
    </row>
    <row r="611" spans="1:19">
      <c r="A611" s="230"/>
      <c r="B611" s="231"/>
      <c r="C611" s="232"/>
      <c r="D611" s="233"/>
      <c r="E611" s="15"/>
      <c r="F611" s="19"/>
      <c r="G611" s="99"/>
      <c r="M611" s="19"/>
      <c r="N611" s="19"/>
      <c r="O611" s="99"/>
      <c r="P611" s="19"/>
      <c r="Q611" s="19"/>
      <c r="R611" s="19"/>
      <c r="S611" s="19"/>
    </row>
    <row r="612" spans="1:19">
      <c r="A612" s="230"/>
      <c r="B612" s="231"/>
      <c r="C612" s="232"/>
      <c r="D612" s="233"/>
      <c r="E612" s="15"/>
      <c r="F612" s="19"/>
      <c r="G612" s="99"/>
      <c r="M612" s="19"/>
      <c r="N612" s="19"/>
      <c r="O612" s="99"/>
      <c r="P612" s="19"/>
      <c r="Q612" s="19"/>
      <c r="R612" s="19"/>
      <c r="S612" s="19"/>
    </row>
    <row r="613" spans="1:19">
      <c r="A613" s="230"/>
      <c r="B613" s="231"/>
      <c r="C613" s="232"/>
      <c r="D613" s="233"/>
      <c r="E613" s="15"/>
      <c r="F613" s="19"/>
      <c r="G613" s="99"/>
      <c r="M613" s="19"/>
      <c r="N613" s="19"/>
      <c r="O613" s="99"/>
      <c r="P613" s="19"/>
      <c r="Q613" s="19"/>
      <c r="R613" s="19"/>
      <c r="S613" s="19"/>
    </row>
    <row r="614" spans="1:19">
      <c r="A614" s="230"/>
      <c r="B614" s="231"/>
      <c r="C614" s="232"/>
      <c r="D614" s="233"/>
      <c r="E614" s="15"/>
      <c r="F614" s="19"/>
      <c r="G614" s="99"/>
      <c r="M614" s="19"/>
      <c r="N614" s="19"/>
      <c r="O614" s="99"/>
      <c r="P614" s="19"/>
      <c r="Q614" s="19"/>
      <c r="R614" s="19"/>
      <c r="S614" s="19"/>
    </row>
    <row r="615" spans="1:19">
      <c r="A615" s="230"/>
      <c r="B615" s="231"/>
      <c r="C615" s="232"/>
      <c r="D615" s="233"/>
      <c r="E615" s="15"/>
      <c r="F615" s="19"/>
      <c r="G615" s="99"/>
      <c r="M615" s="19"/>
      <c r="N615" s="19"/>
      <c r="O615" s="99"/>
      <c r="P615" s="19"/>
      <c r="Q615" s="19"/>
      <c r="R615" s="19"/>
      <c r="S615" s="19"/>
    </row>
    <row r="616" spans="1:19">
      <c r="A616" s="230"/>
      <c r="B616" s="231"/>
      <c r="C616" s="232"/>
      <c r="D616" s="233"/>
      <c r="E616" s="15"/>
      <c r="F616" s="19"/>
      <c r="G616" s="99"/>
      <c r="M616" s="19"/>
      <c r="N616" s="19"/>
      <c r="O616" s="99"/>
      <c r="P616" s="19"/>
      <c r="Q616" s="19"/>
      <c r="R616" s="19"/>
      <c r="S616" s="19"/>
    </row>
    <row r="617" spans="1:19">
      <c r="A617" s="230"/>
      <c r="B617" s="231"/>
      <c r="C617" s="232"/>
      <c r="D617" s="233"/>
      <c r="E617" s="15"/>
      <c r="F617" s="19"/>
      <c r="G617" s="99"/>
      <c r="M617" s="19"/>
      <c r="N617" s="19"/>
      <c r="O617" s="99"/>
      <c r="P617" s="19"/>
      <c r="Q617" s="19"/>
      <c r="R617" s="19"/>
      <c r="S617" s="19"/>
    </row>
    <row r="618" spans="1:19">
      <c r="A618" s="230"/>
      <c r="B618" s="231"/>
      <c r="C618" s="232"/>
      <c r="D618" s="233"/>
      <c r="E618" s="15"/>
      <c r="F618" s="19"/>
      <c r="G618" s="99"/>
      <c r="M618" s="19"/>
      <c r="N618" s="19"/>
      <c r="O618" s="99"/>
      <c r="P618" s="19"/>
      <c r="Q618" s="19"/>
      <c r="R618" s="19"/>
      <c r="S618" s="19"/>
    </row>
    <row r="619" spans="1:19">
      <c r="A619" s="230"/>
      <c r="B619" s="231"/>
      <c r="C619" s="232"/>
      <c r="D619" s="233"/>
      <c r="E619" s="15"/>
      <c r="F619" s="19"/>
      <c r="G619" s="99"/>
      <c r="M619" s="19"/>
      <c r="N619" s="19"/>
      <c r="O619" s="99"/>
      <c r="P619" s="19"/>
      <c r="Q619" s="19"/>
      <c r="R619" s="19"/>
      <c r="S619" s="19"/>
    </row>
    <row r="620" spans="1:19">
      <c r="A620" s="230"/>
      <c r="B620" s="231"/>
      <c r="C620" s="232"/>
      <c r="D620" s="233"/>
      <c r="E620" s="15"/>
      <c r="F620" s="19"/>
      <c r="G620" s="99"/>
      <c r="M620" s="19"/>
      <c r="N620" s="19"/>
      <c r="O620" s="99"/>
      <c r="P620" s="19"/>
      <c r="Q620" s="19"/>
      <c r="R620" s="19"/>
      <c r="S620" s="19"/>
    </row>
    <row r="621" spans="1:19">
      <c r="A621" s="230"/>
      <c r="B621" s="231"/>
      <c r="C621" s="232"/>
      <c r="D621" s="233"/>
      <c r="E621" s="15"/>
      <c r="F621" s="19"/>
      <c r="G621" s="99"/>
      <c r="M621" s="19"/>
      <c r="N621" s="19"/>
      <c r="O621" s="99"/>
      <c r="P621" s="19"/>
      <c r="Q621" s="19"/>
      <c r="R621" s="19"/>
      <c r="S621" s="19"/>
    </row>
    <row r="622" spans="1:19">
      <c r="A622" s="230"/>
      <c r="B622" s="231"/>
      <c r="C622" s="232"/>
      <c r="D622" s="233"/>
      <c r="E622" s="15"/>
      <c r="F622" s="19"/>
      <c r="G622" s="99"/>
      <c r="M622" s="19"/>
      <c r="N622" s="19"/>
      <c r="O622" s="99"/>
      <c r="P622" s="19"/>
      <c r="Q622" s="19"/>
      <c r="R622" s="19"/>
      <c r="S622" s="19"/>
    </row>
    <row r="623" spans="1:19">
      <c r="A623" s="230"/>
      <c r="B623" s="231"/>
      <c r="C623" s="232"/>
      <c r="D623" s="233"/>
      <c r="E623" s="15"/>
      <c r="F623" s="19"/>
      <c r="G623" s="99"/>
      <c r="M623" s="19"/>
      <c r="N623" s="19"/>
      <c r="O623" s="99"/>
      <c r="P623" s="19"/>
      <c r="Q623" s="19"/>
      <c r="R623" s="19"/>
      <c r="S623" s="19"/>
    </row>
    <row r="624" spans="1:19">
      <c r="A624" s="230"/>
      <c r="B624" s="231"/>
      <c r="C624" s="232"/>
      <c r="D624" s="233"/>
      <c r="E624" s="15"/>
      <c r="F624" s="19"/>
      <c r="G624" s="99"/>
      <c r="M624" s="19"/>
      <c r="N624" s="19"/>
      <c r="O624" s="99"/>
      <c r="P624" s="19"/>
      <c r="Q624" s="19"/>
      <c r="R624" s="19"/>
      <c r="S624" s="19"/>
    </row>
    <row r="625" spans="1:19">
      <c r="A625" s="230"/>
      <c r="B625" s="231"/>
      <c r="C625" s="232"/>
      <c r="D625" s="233"/>
      <c r="E625" s="15"/>
      <c r="F625" s="19"/>
      <c r="G625" s="99"/>
      <c r="M625" s="19"/>
      <c r="N625" s="19"/>
      <c r="O625" s="99"/>
      <c r="P625" s="19"/>
      <c r="Q625" s="19"/>
      <c r="R625" s="19"/>
      <c r="S625" s="19"/>
    </row>
    <row r="626" spans="1:19">
      <c r="A626" s="230"/>
      <c r="B626" s="231"/>
      <c r="C626" s="232"/>
      <c r="D626" s="233"/>
      <c r="E626" s="15"/>
      <c r="F626" s="19"/>
      <c r="G626" s="99"/>
      <c r="M626" s="19"/>
      <c r="N626" s="19"/>
      <c r="O626" s="99"/>
      <c r="P626" s="19"/>
      <c r="Q626" s="19"/>
      <c r="R626" s="19"/>
      <c r="S626" s="19"/>
    </row>
    <row r="627" spans="1:19">
      <c r="A627" s="230"/>
      <c r="B627" s="231"/>
      <c r="C627" s="232"/>
      <c r="D627" s="233"/>
      <c r="E627" s="15"/>
      <c r="F627" s="19"/>
      <c r="G627" s="99"/>
      <c r="M627" s="19"/>
      <c r="N627" s="19"/>
      <c r="O627" s="99"/>
      <c r="P627" s="19"/>
      <c r="Q627" s="19"/>
      <c r="R627" s="19"/>
      <c r="S627" s="19"/>
    </row>
    <row r="628" spans="1:19">
      <c r="A628" s="230"/>
      <c r="B628" s="231"/>
      <c r="C628" s="232"/>
      <c r="D628" s="233"/>
      <c r="E628" s="15"/>
      <c r="F628" s="19"/>
      <c r="G628" s="99"/>
      <c r="M628" s="19"/>
      <c r="N628" s="19"/>
      <c r="O628" s="99"/>
      <c r="P628" s="19"/>
      <c r="Q628" s="19"/>
      <c r="R628" s="19"/>
      <c r="S628" s="19"/>
    </row>
    <row r="629" spans="1:19">
      <c r="A629" s="230"/>
      <c r="B629" s="231"/>
      <c r="C629" s="232"/>
      <c r="D629" s="233"/>
      <c r="E629" s="15"/>
      <c r="F629" s="19"/>
      <c r="G629" s="99"/>
      <c r="M629" s="19"/>
      <c r="N629" s="19"/>
      <c r="O629" s="99"/>
      <c r="P629" s="19"/>
      <c r="Q629" s="19"/>
      <c r="R629" s="19"/>
      <c r="S629" s="19"/>
    </row>
    <row r="630" spans="1:19">
      <c r="A630" s="230"/>
      <c r="B630" s="231"/>
      <c r="C630" s="232"/>
      <c r="D630" s="233"/>
      <c r="E630" s="15"/>
      <c r="F630" s="19"/>
      <c r="G630" s="99"/>
      <c r="M630" s="19"/>
      <c r="N630" s="19"/>
      <c r="O630" s="99"/>
      <c r="P630" s="19"/>
      <c r="Q630" s="19"/>
      <c r="R630" s="19"/>
      <c r="S630" s="19"/>
    </row>
    <row r="631" spans="1:19">
      <c r="A631" s="230"/>
      <c r="B631" s="231"/>
      <c r="C631" s="232"/>
      <c r="D631" s="233"/>
      <c r="E631" s="15"/>
      <c r="F631" s="19"/>
      <c r="G631" s="99"/>
      <c r="M631" s="19"/>
      <c r="N631" s="19"/>
      <c r="O631" s="99"/>
      <c r="P631" s="19"/>
      <c r="Q631" s="19"/>
      <c r="R631" s="19"/>
      <c r="S631" s="19"/>
    </row>
    <row r="632" spans="1:19">
      <c r="A632" s="230"/>
      <c r="B632" s="231"/>
      <c r="C632" s="232"/>
      <c r="D632" s="233"/>
      <c r="E632" s="15"/>
      <c r="F632" s="19"/>
      <c r="G632" s="99"/>
      <c r="M632" s="19"/>
      <c r="N632" s="19"/>
      <c r="O632" s="99"/>
      <c r="P632" s="19"/>
      <c r="Q632" s="19"/>
      <c r="R632" s="19"/>
      <c r="S632" s="19"/>
    </row>
    <row r="633" spans="1:19">
      <c r="A633" s="230"/>
      <c r="B633" s="231"/>
      <c r="C633" s="232"/>
      <c r="D633" s="233"/>
      <c r="E633" s="15"/>
      <c r="F633" s="19"/>
      <c r="G633" s="99"/>
      <c r="M633" s="19"/>
      <c r="N633" s="19"/>
      <c r="O633" s="99"/>
      <c r="P633" s="19"/>
      <c r="Q633" s="19"/>
      <c r="R633" s="19"/>
      <c r="S633" s="19"/>
    </row>
    <row r="634" spans="1:19">
      <c r="A634" s="230"/>
      <c r="B634" s="231"/>
      <c r="C634" s="232"/>
      <c r="D634" s="233"/>
      <c r="E634" s="15"/>
      <c r="F634" s="19"/>
      <c r="G634" s="99"/>
      <c r="M634" s="19"/>
      <c r="N634" s="19"/>
      <c r="O634" s="99"/>
      <c r="P634" s="19"/>
      <c r="Q634" s="19"/>
      <c r="R634" s="19"/>
      <c r="S634" s="19"/>
    </row>
    <row r="635" spans="1:19">
      <c r="A635" s="230"/>
      <c r="B635" s="231"/>
      <c r="C635" s="232"/>
      <c r="D635" s="233"/>
      <c r="E635" s="15"/>
      <c r="F635" s="19"/>
      <c r="G635" s="99"/>
      <c r="M635" s="19"/>
      <c r="N635" s="19"/>
      <c r="O635" s="99"/>
      <c r="P635" s="19"/>
      <c r="Q635" s="19"/>
      <c r="R635" s="19"/>
      <c r="S635" s="19"/>
    </row>
    <row r="636" spans="1:19">
      <c r="A636" s="230"/>
      <c r="B636" s="231"/>
      <c r="C636" s="232"/>
      <c r="D636" s="233"/>
      <c r="E636" s="15"/>
      <c r="F636" s="19"/>
      <c r="G636" s="99"/>
      <c r="M636" s="19"/>
      <c r="N636" s="19"/>
      <c r="O636" s="99"/>
      <c r="P636" s="19"/>
      <c r="Q636" s="19"/>
      <c r="R636" s="19"/>
      <c r="S636" s="19"/>
    </row>
    <row r="637" spans="1:19">
      <c r="A637" s="230"/>
      <c r="B637" s="231"/>
      <c r="C637" s="232"/>
      <c r="D637" s="233"/>
      <c r="E637" s="15"/>
      <c r="F637" s="19"/>
      <c r="G637" s="99"/>
      <c r="M637" s="19"/>
      <c r="N637" s="19"/>
      <c r="O637" s="99"/>
      <c r="P637" s="19"/>
      <c r="Q637" s="19"/>
      <c r="R637" s="19"/>
      <c r="S637" s="19"/>
    </row>
    <row r="638" spans="1:19">
      <c r="A638" s="230"/>
      <c r="B638" s="231"/>
      <c r="C638" s="232"/>
      <c r="D638" s="233"/>
      <c r="E638" s="15"/>
      <c r="F638" s="19"/>
      <c r="G638" s="99"/>
      <c r="M638" s="19"/>
      <c r="N638" s="19"/>
      <c r="O638" s="99"/>
      <c r="P638" s="19"/>
      <c r="Q638" s="19"/>
      <c r="R638" s="19"/>
      <c r="S638" s="19"/>
    </row>
    <row r="639" spans="1:19">
      <c r="A639" s="230"/>
      <c r="B639" s="231"/>
      <c r="C639" s="232"/>
      <c r="D639" s="233"/>
      <c r="E639" s="15"/>
      <c r="F639" s="19"/>
      <c r="G639" s="99"/>
      <c r="M639" s="19"/>
      <c r="N639" s="19"/>
      <c r="O639" s="99"/>
      <c r="P639" s="19"/>
      <c r="Q639" s="19"/>
      <c r="R639" s="19"/>
      <c r="S639" s="19"/>
    </row>
    <row r="640" spans="1:19">
      <c r="A640" s="230"/>
      <c r="B640" s="231"/>
      <c r="C640" s="232"/>
      <c r="D640" s="233"/>
      <c r="E640" s="15"/>
      <c r="F640" s="19"/>
      <c r="G640" s="99"/>
      <c r="M640" s="19"/>
      <c r="N640" s="19"/>
      <c r="O640" s="99"/>
      <c r="P640" s="19"/>
      <c r="Q640" s="19"/>
      <c r="R640" s="19"/>
      <c r="S640" s="19"/>
    </row>
    <row r="641" spans="1:19">
      <c r="A641" s="230"/>
      <c r="B641" s="231"/>
      <c r="C641" s="232"/>
      <c r="D641" s="233"/>
      <c r="E641" s="15"/>
      <c r="F641" s="19"/>
      <c r="G641" s="99"/>
      <c r="M641" s="19"/>
      <c r="N641" s="19"/>
      <c r="O641" s="99"/>
      <c r="P641" s="19"/>
      <c r="Q641" s="19"/>
      <c r="R641" s="19"/>
      <c r="S641" s="19"/>
    </row>
    <row r="642" spans="1:19">
      <c r="A642" s="230"/>
      <c r="B642" s="231"/>
      <c r="C642" s="232"/>
      <c r="D642" s="233"/>
      <c r="E642" s="15"/>
      <c r="F642" s="19"/>
      <c r="G642" s="99"/>
      <c r="M642" s="19"/>
      <c r="N642" s="19"/>
      <c r="O642" s="99"/>
      <c r="P642" s="19"/>
      <c r="Q642" s="19"/>
      <c r="R642" s="19"/>
      <c r="S642" s="19"/>
    </row>
    <row r="643" spans="1:19">
      <c r="A643" s="230"/>
      <c r="B643" s="231"/>
      <c r="C643" s="232"/>
      <c r="D643" s="233"/>
      <c r="E643" s="15"/>
      <c r="F643" s="19"/>
      <c r="G643" s="99"/>
      <c r="M643" s="19"/>
      <c r="N643" s="19"/>
      <c r="O643" s="99"/>
      <c r="P643" s="19"/>
      <c r="Q643" s="19"/>
      <c r="R643" s="19"/>
      <c r="S643" s="19"/>
    </row>
    <row r="644" spans="1:19">
      <c r="A644" s="230"/>
      <c r="B644" s="231"/>
      <c r="C644" s="232"/>
      <c r="D644" s="233"/>
      <c r="E644" s="15"/>
      <c r="F644" s="19"/>
      <c r="G644" s="99"/>
      <c r="M644" s="19"/>
      <c r="N644" s="19"/>
      <c r="O644" s="99"/>
      <c r="P644" s="19"/>
      <c r="Q644" s="19"/>
      <c r="R644" s="19"/>
      <c r="S644" s="19"/>
    </row>
    <row r="645" spans="1:19">
      <c r="A645" s="230"/>
      <c r="B645" s="231"/>
      <c r="C645" s="232"/>
      <c r="D645" s="233"/>
      <c r="E645" s="15"/>
      <c r="F645" s="19"/>
      <c r="G645" s="99"/>
      <c r="M645" s="19"/>
      <c r="N645" s="19"/>
      <c r="O645" s="99"/>
      <c r="P645" s="19"/>
      <c r="Q645" s="19"/>
      <c r="R645" s="19"/>
      <c r="S645" s="19"/>
    </row>
    <row r="646" spans="1:19">
      <c r="A646" s="230"/>
      <c r="B646" s="231"/>
      <c r="C646" s="232"/>
      <c r="D646" s="233"/>
      <c r="E646" s="15"/>
      <c r="F646" s="19"/>
      <c r="G646" s="99"/>
      <c r="M646" s="19"/>
      <c r="N646" s="19"/>
      <c r="O646" s="99"/>
      <c r="P646" s="19"/>
      <c r="Q646" s="19"/>
      <c r="R646" s="19"/>
      <c r="S646" s="19"/>
    </row>
    <row r="647" spans="1:19">
      <c r="A647" s="230"/>
      <c r="B647" s="231"/>
      <c r="C647" s="232"/>
      <c r="D647" s="233"/>
      <c r="E647" s="15"/>
      <c r="F647" s="19"/>
      <c r="G647" s="99"/>
      <c r="M647" s="19"/>
      <c r="N647" s="19"/>
      <c r="O647" s="99"/>
      <c r="P647" s="19"/>
      <c r="Q647" s="19"/>
      <c r="R647" s="19"/>
      <c r="S647" s="19"/>
    </row>
    <row r="648" spans="1:19">
      <c r="A648" s="230"/>
      <c r="B648" s="231"/>
      <c r="C648" s="232"/>
      <c r="D648" s="233"/>
      <c r="E648" s="15"/>
      <c r="F648" s="19"/>
      <c r="G648" s="99"/>
      <c r="M648" s="19"/>
      <c r="N648" s="19"/>
      <c r="O648" s="99"/>
      <c r="P648" s="19"/>
      <c r="Q648" s="19"/>
      <c r="R648" s="19"/>
      <c r="S648" s="19"/>
    </row>
    <row r="649" spans="1:19">
      <c r="A649" s="230"/>
      <c r="B649" s="231"/>
      <c r="C649" s="232"/>
      <c r="D649" s="233"/>
      <c r="E649" s="15"/>
      <c r="F649" s="19"/>
      <c r="G649" s="99"/>
      <c r="M649" s="19"/>
      <c r="N649" s="19"/>
      <c r="O649" s="99"/>
      <c r="P649" s="19"/>
      <c r="Q649" s="19"/>
      <c r="R649" s="19"/>
      <c r="S649" s="19"/>
    </row>
    <row r="650" spans="1:19">
      <c r="A650" s="230"/>
      <c r="B650" s="231"/>
      <c r="C650" s="232"/>
      <c r="D650" s="233"/>
      <c r="E650" s="15"/>
      <c r="F650" s="19"/>
      <c r="G650" s="99"/>
      <c r="M650" s="19"/>
      <c r="N650" s="19"/>
      <c r="O650" s="99"/>
      <c r="P650" s="19"/>
      <c r="Q650" s="19"/>
      <c r="R650" s="19"/>
      <c r="S650" s="19"/>
    </row>
    <row r="651" spans="1:19">
      <c r="A651" s="230"/>
      <c r="B651" s="231"/>
      <c r="C651" s="232"/>
      <c r="D651" s="233"/>
      <c r="E651" s="15"/>
      <c r="F651" s="19"/>
      <c r="G651" s="99"/>
      <c r="M651" s="19"/>
      <c r="N651" s="19"/>
      <c r="O651" s="99"/>
      <c r="P651" s="19"/>
      <c r="Q651" s="19"/>
      <c r="R651" s="19"/>
      <c r="S651" s="19"/>
    </row>
    <row r="652" spans="1:19">
      <c r="A652" s="230"/>
      <c r="B652" s="231"/>
      <c r="C652" s="232"/>
      <c r="D652" s="233"/>
      <c r="E652" s="15"/>
      <c r="F652" s="19"/>
      <c r="G652" s="99"/>
      <c r="M652" s="19"/>
      <c r="N652" s="19"/>
      <c r="O652" s="99"/>
      <c r="P652" s="19"/>
      <c r="Q652" s="19"/>
      <c r="R652" s="19"/>
      <c r="S652" s="19"/>
    </row>
    <row r="653" spans="1:19">
      <c r="A653" s="230"/>
      <c r="B653" s="231"/>
      <c r="C653" s="232"/>
      <c r="D653" s="233"/>
      <c r="E653" s="15"/>
      <c r="F653" s="19"/>
      <c r="G653" s="99"/>
      <c r="M653" s="19"/>
      <c r="N653" s="19"/>
      <c r="O653" s="99"/>
      <c r="P653" s="19"/>
      <c r="Q653" s="19"/>
      <c r="R653" s="19"/>
      <c r="S653" s="19"/>
    </row>
    <row r="654" spans="1:19">
      <c r="A654" s="230"/>
      <c r="B654" s="231"/>
      <c r="C654" s="232"/>
      <c r="D654" s="233"/>
      <c r="E654" s="15"/>
      <c r="F654" s="19"/>
      <c r="G654" s="99"/>
      <c r="M654" s="19"/>
      <c r="N654" s="19"/>
      <c r="O654" s="99"/>
      <c r="P654" s="19"/>
      <c r="Q654" s="19"/>
      <c r="R654" s="19"/>
      <c r="S654" s="19"/>
    </row>
    <row r="655" spans="1:19">
      <c r="A655" s="230"/>
      <c r="B655" s="231"/>
      <c r="C655" s="232"/>
      <c r="D655" s="233"/>
      <c r="E655" s="15"/>
      <c r="F655" s="19"/>
      <c r="G655" s="99"/>
      <c r="M655" s="19"/>
      <c r="N655" s="19"/>
      <c r="O655" s="99"/>
      <c r="P655" s="19"/>
      <c r="Q655" s="19"/>
      <c r="R655" s="19"/>
      <c r="S655" s="19"/>
    </row>
    <row r="656" spans="1:19">
      <c r="A656" s="230"/>
      <c r="B656" s="231"/>
      <c r="C656" s="232"/>
      <c r="D656" s="233"/>
      <c r="E656" s="15"/>
      <c r="F656" s="19"/>
      <c r="G656" s="99"/>
      <c r="M656" s="19"/>
      <c r="N656" s="19"/>
      <c r="O656" s="99"/>
      <c r="P656" s="19"/>
      <c r="Q656" s="19"/>
      <c r="R656" s="19"/>
      <c r="S656" s="19"/>
    </row>
    <row r="657" spans="1:19">
      <c r="A657" s="230"/>
      <c r="B657" s="231"/>
      <c r="C657" s="232"/>
      <c r="D657" s="233"/>
      <c r="E657" s="15"/>
      <c r="F657" s="19"/>
      <c r="G657" s="99"/>
      <c r="M657" s="19"/>
      <c r="N657" s="19"/>
      <c r="O657" s="99"/>
      <c r="P657" s="19"/>
      <c r="Q657" s="19"/>
      <c r="R657" s="19"/>
      <c r="S657" s="19"/>
    </row>
    <row r="658" spans="1:19">
      <c r="A658" s="230"/>
      <c r="B658" s="231"/>
      <c r="C658" s="232"/>
      <c r="D658" s="233"/>
      <c r="E658" s="15"/>
      <c r="F658" s="19"/>
      <c r="G658" s="99"/>
      <c r="M658" s="19"/>
      <c r="N658" s="19"/>
      <c r="O658" s="99"/>
      <c r="P658" s="19"/>
      <c r="Q658" s="19"/>
      <c r="R658" s="19"/>
      <c r="S658" s="19"/>
    </row>
    <row r="659" spans="1:19">
      <c r="A659" s="230"/>
      <c r="B659" s="231"/>
      <c r="C659" s="232"/>
      <c r="D659" s="233"/>
      <c r="E659" s="15"/>
      <c r="F659" s="19"/>
      <c r="G659" s="99"/>
      <c r="M659" s="19"/>
      <c r="N659" s="19"/>
      <c r="O659" s="99"/>
      <c r="P659" s="19"/>
      <c r="Q659" s="19"/>
      <c r="R659" s="19"/>
      <c r="S659" s="19"/>
    </row>
    <row r="660" spans="1:19">
      <c r="A660" s="230"/>
      <c r="B660" s="231"/>
      <c r="C660" s="232"/>
      <c r="D660" s="233"/>
      <c r="E660" s="15"/>
      <c r="F660" s="19"/>
      <c r="G660" s="99"/>
      <c r="M660" s="19"/>
      <c r="N660" s="19"/>
      <c r="O660" s="99"/>
      <c r="P660" s="19"/>
      <c r="Q660" s="19"/>
      <c r="R660" s="19"/>
      <c r="S660" s="19"/>
    </row>
    <row r="661" spans="1:19">
      <c r="A661" s="230"/>
      <c r="B661" s="231"/>
      <c r="C661" s="232"/>
      <c r="D661" s="233"/>
      <c r="E661" s="15"/>
      <c r="F661" s="19"/>
      <c r="G661" s="99"/>
      <c r="M661" s="19"/>
      <c r="N661" s="19"/>
      <c r="O661" s="99"/>
      <c r="P661" s="19"/>
      <c r="Q661" s="19"/>
      <c r="R661" s="19"/>
      <c r="S661" s="19"/>
    </row>
    <row r="662" spans="1:19">
      <c r="A662" s="230"/>
      <c r="B662" s="231"/>
      <c r="C662" s="232"/>
      <c r="D662" s="233"/>
      <c r="E662" s="15"/>
      <c r="F662" s="19"/>
      <c r="G662" s="99"/>
      <c r="M662" s="19"/>
      <c r="N662" s="19"/>
      <c r="O662" s="99"/>
      <c r="P662" s="19"/>
      <c r="Q662" s="19"/>
      <c r="R662" s="19"/>
      <c r="S662" s="19"/>
    </row>
    <row r="663" spans="1:19">
      <c r="A663" s="230"/>
      <c r="B663" s="231"/>
      <c r="C663" s="232"/>
      <c r="D663" s="233"/>
      <c r="E663" s="15"/>
      <c r="F663" s="19"/>
      <c r="G663" s="99"/>
      <c r="M663" s="19"/>
      <c r="N663" s="19"/>
      <c r="O663" s="99"/>
      <c r="P663" s="19"/>
      <c r="Q663" s="19"/>
      <c r="R663" s="19"/>
      <c r="S663" s="19"/>
    </row>
    <row r="664" spans="1:19">
      <c r="A664" s="230"/>
      <c r="B664" s="231"/>
      <c r="C664" s="232"/>
      <c r="D664" s="233"/>
      <c r="E664" s="15"/>
      <c r="F664" s="19"/>
      <c r="G664" s="99"/>
      <c r="M664" s="19"/>
      <c r="N664" s="19"/>
      <c r="O664" s="99"/>
      <c r="P664" s="19"/>
      <c r="Q664" s="19"/>
      <c r="R664" s="19"/>
      <c r="S664" s="19"/>
    </row>
    <row r="665" spans="1:19">
      <c r="A665" s="230"/>
      <c r="B665" s="231"/>
      <c r="C665" s="232"/>
      <c r="D665" s="233"/>
      <c r="E665" s="15"/>
      <c r="F665" s="19"/>
      <c r="G665" s="99"/>
      <c r="M665" s="19"/>
      <c r="N665" s="19"/>
      <c r="O665" s="99"/>
      <c r="P665" s="19"/>
      <c r="Q665" s="19"/>
      <c r="R665" s="19"/>
      <c r="S665" s="19"/>
    </row>
    <row r="666" spans="1:19">
      <c r="A666" s="230"/>
      <c r="B666" s="231"/>
      <c r="C666" s="232"/>
      <c r="D666" s="233"/>
      <c r="E666" s="15"/>
      <c r="F666" s="19"/>
      <c r="G666" s="99"/>
      <c r="M666" s="19"/>
      <c r="N666" s="19"/>
      <c r="O666" s="99"/>
      <c r="P666" s="19"/>
      <c r="Q666" s="19"/>
      <c r="R666" s="19"/>
      <c r="S666" s="19"/>
    </row>
    <row r="667" spans="1:19">
      <c r="A667" s="230"/>
      <c r="B667" s="231"/>
      <c r="C667" s="232"/>
      <c r="D667" s="233"/>
      <c r="E667" s="15"/>
      <c r="F667" s="19"/>
      <c r="G667" s="99"/>
      <c r="M667" s="19"/>
      <c r="N667" s="19"/>
      <c r="O667" s="99"/>
      <c r="P667" s="19"/>
      <c r="Q667" s="19"/>
      <c r="R667" s="19"/>
      <c r="S667" s="19"/>
    </row>
    <row r="668" spans="1:19">
      <c r="A668" s="230"/>
      <c r="B668" s="231"/>
      <c r="C668" s="232"/>
      <c r="D668" s="233"/>
      <c r="E668" s="15"/>
      <c r="F668" s="19"/>
      <c r="G668" s="99"/>
      <c r="M668" s="19"/>
      <c r="N668" s="19"/>
      <c r="O668" s="99"/>
      <c r="P668" s="19"/>
      <c r="Q668" s="19"/>
      <c r="R668" s="19"/>
      <c r="S668" s="19"/>
    </row>
    <row r="669" spans="1:19">
      <c r="A669" s="230"/>
      <c r="B669" s="231"/>
      <c r="C669" s="232"/>
      <c r="D669" s="233"/>
      <c r="E669" s="15"/>
      <c r="F669" s="19"/>
      <c r="G669" s="99"/>
      <c r="M669" s="19"/>
      <c r="N669" s="19"/>
      <c r="O669" s="99"/>
      <c r="P669" s="19"/>
      <c r="Q669" s="19"/>
      <c r="R669" s="19"/>
      <c r="S669" s="19"/>
    </row>
    <row r="670" spans="1:19">
      <c r="A670" s="230"/>
      <c r="B670" s="231"/>
      <c r="C670" s="232"/>
      <c r="D670" s="233"/>
      <c r="E670" s="15"/>
      <c r="F670" s="19"/>
      <c r="G670" s="99"/>
      <c r="M670" s="19"/>
      <c r="N670" s="19"/>
      <c r="O670" s="99"/>
      <c r="P670" s="19"/>
      <c r="Q670" s="19"/>
      <c r="R670" s="19"/>
      <c r="S670" s="19"/>
    </row>
    <row r="671" spans="1:19">
      <c r="A671" s="230"/>
      <c r="B671" s="231"/>
      <c r="C671" s="232"/>
      <c r="D671" s="233"/>
      <c r="E671" s="15"/>
      <c r="F671" s="19"/>
      <c r="G671" s="99"/>
      <c r="M671" s="19"/>
      <c r="N671" s="19"/>
      <c r="O671" s="99"/>
      <c r="P671" s="19"/>
      <c r="Q671" s="19"/>
      <c r="R671" s="19"/>
      <c r="S671" s="19"/>
    </row>
    <row r="672" spans="1:19">
      <c r="A672" s="230"/>
      <c r="B672" s="231"/>
      <c r="C672" s="232"/>
      <c r="D672" s="233"/>
      <c r="E672" s="15"/>
      <c r="F672" s="19"/>
      <c r="G672" s="99"/>
      <c r="M672" s="19"/>
      <c r="N672" s="19"/>
      <c r="O672" s="99"/>
      <c r="P672" s="19"/>
      <c r="Q672" s="19"/>
      <c r="R672" s="19"/>
      <c r="S672" s="19"/>
    </row>
    <row r="673" spans="1:19">
      <c r="A673" s="230"/>
      <c r="B673" s="231"/>
      <c r="C673" s="232"/>
      <c r="D673" s="233"/>
      <c r="E673" s="15"/>
      <c r="F673" s="19"/>
      <c r="G673" s="99"/>
      <c r="M673" s="19"/>
      <c r="N673" s="19"/>
      <c r="O673" s="99"/>
      <c r="P673" s="19"/>
      <c r="Q673" s="19"/>
      <c r="R673" s="19"/>
      <c r="S673" s="19"/>
    </row>
    <row r="674" spans="1:19">
      <c r="A674" s="230"/>
      <c r="B674" s="231"/>
      <c r="C674" s="232"/>
      <c r="D674" s="233"/>
      <c r="E674" s="15"/>
      <c r="F674" s="19"/>
      <c r="G674" s="99"/>
      <c r="M674" s="19"/>
      <c r="N674" s="19"/>
      <c r="O674" s="99"/>
      <c r="P674" s="19"/>
      <c r="Q674" s="19"/>
      <c r="R674" s="19"/>
      <c r="S674" s="19"/>
    </row>
    <row r="675" spans="1:19">
      <c r="A675" s="230"/>
      <c r="B675" s="231"/>
      <c r="C675" s="232"/>
      <c r="D675" s="233"/>
      <c r="E675" s="15"/>
      <c r="F675" s="19"/>
      <c r="G675" s="99"/>
      <c r="M675" s="19"/>
      <c r="N675" s="19"/>
      <c r="O675" s="99"/>
      <c r="P675" s="19"/>
      <c r="Q675" s="19"/>
      <c r="R675" s="19"/>
      <c r="S675" s="19"/>
    </row>
    <row r="676" spans="1:19">
      <c r="A676" s="230"/>
      <c r="B676" s="231"/>
      <c r="C676" s="232"/>
      <c r="D676" s="233"/>
      <c r="E676" s="15"/>
      <c r="F676" s="19"/>
      <c r="G676" s="99"/>
      <c r="M676" s="19"/>
      <c r="N676" s="19"/>
      <c r="O676" s="99"/>
      <c r="P676" s="19"/>
      <c r="Q676" s="19"/>
      <c r="R676" s="19"/>
      <c r="S676" s="19"/>
    </row>
    <row r="677" spans="1:19">
      <c r="A677" s="230"/>
      <c r="B677" s="231"/>
      <c r="C677" s="232"/>
      <c r="D677" s="233"/>
      <c r="E677" s="15"/>
      <c r="F677" s="19"/>
      <c r="G677" s="99"/>
      <c r="M677" s="19"/>
      <c r="N677" s="19"/>
      <c r="O677" s="99"/>
      <c r="P677" s="19"/>
      <c r="Q677" s="19"/>
      <c r="R677" s="19"/>
      <c r="S677" s="19"/>
    </row>
    <row r="678" spans="1:19">
      <c r="A678" s="230"/>
      <c r="B678" s="231"/>
      <c r="C678" s="232"/>
      <c r="D678" s="233"/>
      <c r="E678" s="15"/>
      <c r="F678" s="19"/>
      <c r="G678" s="99"/>
      <c r="M678" s="19"/>
      <c r="N678" s="19"/>
      <c r="O678" s="99"/>
      <c r="P678" s="19"/>
      <c r="Q678" s="19"/>
      <c r="R678" s="19"/>
      <c r="S678" s="19"/>
    </row>
    <row r="679" spans="1:19">
      <c r="A679" s="230"/>
      <c r="B679" s="231"/>
      <c r="C679" s="232"/>
      <c r="D679" s="233"/>
      <c r="E679" s="15"/>
      <c r="F679" s="19"/>
      <c r="G679" s="99"/>
      <c r="M679" s="19"/>
      <c r="N679" s="19"/>
      <c r="O679" s="99"/>
      <c r="P679" s="19"/>
      <c r="Q679" s="19"/>
      <c r="R679" s="19"/>
      <c r="S679" s="19"/>
    </row>
    <row r="680" spans="1:19">
      <c r="A680" s="230"/>
      <c r="B680" s="231"/>
      <c r="C680" s="232"/>
      <c r="D680" s="233"/>
      <c r="E680" s="15"/>
      <c r="F680" s="19"/>
      <c r="G680" s="99"/>
      <c r="M680" s="19"/>
      <c r="N680" s="19"/>
      <c r="O680" s="99"/>
      <c r="P680" s="19"/>
      <c r="Q680" s="19"/>
      <c r="R680" s="19"/>
      <c r="S680" s="19"/>
    </row>
    <row r="681" spans="1:19">
      <c r="A681" s="230"/>
      <c r="B681" s="231"/>
      <c r="C681" s="232"/>
      <c r="D681" s="233"/>
      <c r="E681" s="15"/>
      <c r="F681" s="19"/>
      <c r="G681" s="99"/>
      <c r="M681" s="19"/>
      <c r="N681" s="19"/>
      <c r="O681" s="99"/>
      <c r="P681" s="19"/>
      <c r="Q681" s="19"/>
      <c r="R681" s="19"/>
      <c r="S681" s="19"/>
    </row>
    <row r="682" spans="1:19">
      <c r="A682" s="230"/>
      <c r="B682" s="231"/>
      <c r="C682" s="232"/>
      <c r="D682" s="233"/>
      <c r="E682" s="15"/>
      <c r="F682" s="19"/>
      <c r="G682" s="99"/>
      <c r="M682" s="19"/>
      <c r="N682" s="19"/>
      <c r="O682" s="99"/>
      <c r="P682" s="19"/>
      <c r="Q682" s="19"/>
      <c r="R682" s="19"/>
      <c r="S682" s="19"/>
    </row>
    <row r="683" spans="1:19">
      <c r="A683" s="230"/>
      <c r="B683" s="231"/>
      <c r="C683" s="232"/>
      <c r="D683" s="233"/>
      <c r="E683" s="15"/>
      <c r="F683" s="19"/>
      <c r="G683" s="99"/>
      <c r="M683" s="19"/>
      <c r="N683" s="19"/>
      <c r="O683" s="99"/>
      <c r="P683" s="19"/>
      <c r="Q683" s="19"/>
      <c r="R683" s="19"/>
      <c r="S683" s="19"/>
    </row>
    <row r="684" spans="1:19">
      <c r="A684" s="230"/>
      <c r="B684" s="231"/>
      <c r="C684" s="232"/>
      <c r="D684" s="233"/>
      <c r="E684" s="15"/>
      <c r="F684" s="19"/>
      <c r="G684" s="99"/>
      <c r="M684" s="19"/>
      <c r="N684" s="19"/>
      <c r="O684" s="99"/>
      <c r="P684" s="19"/>
      <c r="Q684" s="19"/>
      <c r="R684" s="19"/>
      <c r="S684" s="19"/>
    </row>
    <row r="685" spans="1:19">
      <c r="A685" s="230"/>
      <c r="B685" s="231"/>
      <c r="C685" s="232"/>
      <c r="D685" s="233"/>
      <c r="E685" s="15"/>
      <c r="F685" s="19"/>
      <c r="G685" s="99"/>
      <c r="M685" s="19"/>
      <c r="N685" s="19"/>
      <c r="O685" s="99"/>
      <c r="P685" s="19"/>
      <c r="Q685" s="19"/>
      <c r="R685" s="19"/>
      <c r="S685" s="19"/>
    </row>
    <row r="686" spans="1:19">
      <c r="A686" s="230"/>
      <c r="B686" s="231"/>
      <c r="C686" s="232"/>
      <c r="D686" s="233"/>
      <c r="E686" s="15"/>
      <c r="F686" s="19"/>
      <c r="G686" s="99"/>
      <c r="M686" s="19"/>
      <c r="N686" s="19"/>
      <c r="O686" s="99"/>
      <c r="P686" s="19"/>
      <c r="Q686" s="19"/>
      <c r="R686" s="19"/>
      <c r="S686" s="19"/>
    </row>
    <row r="687" spans="1:19">
      <c r="A687" s="230"/>
      <c r="B687" s="231"/>
      <c r="C687" s="232"/>
      <c r="D687" s="233"/>
      <c r="E687" s="15"/>
      <c r="F687" s="19"/>
      <c r="G687" s="99"/>
      <c r="M687" s="19"/>
      <c r="N687" s="19"/>
      <c r="O687" s="99"/>
      <c r="P687" s="19"/>
      <c r="Q687" s="19"/>
      <c r="R687" s="19"/>
      <c r="S687" s="19"/>
    </row>
    <row r="688" spans="1:19">
      <c r="A688" s="230"/>
      <c r="B688" s="231"/>
      <c r="C688" s="232"/>
      <c r="D688" s="233"/>
      <c r="E688" s="15"/>
      <c r="F688" s="19"/>
      <c r="G688" s="99"/>
      <c r="M688" s="19"/>
      <c r="N688" s="19"/>
      <c r="O688" s="99"/>
      <c r="P688" s="19"/>
      <c r="Q688" s="19"/>
      <c r="R688" s="19"/>
      <c r="S688" s="19"/>
    </row>
    <row r="689" spans="1:19">
      <c r="A689" s="230"/>
      <c r="B689" s="231"/>
      <c r="C689" s="232"/>
      <c r="D689" s="233"/>
      <c r="E689" s="15"/>
      <c r="F689" s="19"/>
      <c r="G689" s="99"/>
      <c r="M689" s="19"/>
      <c r="N689" s="19"/>
      <c r="O689" s="99"/>
      <c r="P689" s="19"/>
      <c r="Q689" s="19"/>
      <c r="R689" s="19"/>
      <c r="S689" s="19"/>
    </row>
    <row r="690" spans="1:19">
      <c r="A690" s="230"/>
      <c r="B690" s="231"/>
      <c r="C690" s="232"/>
      <c r="D690" s="233"/>
      <c r="E690" s="15"/>
      <c r="F690" s="19"/>
      <c r="G690" s="99"/>
      <c r="M690" s="19"/>
      <c r="N690" s="19"/>
      <c r="O690" s="99"/>
      <c r="P690" s="19"/>
      <c r="Q690" s="19"/>
      <c r="R690" s="19"/>
      <c r="S690" s="19"/>
    </row>
    <row r="691" spans="1:19">
      <c r="A691" s="230"/>
      <c r="B691" s="231"/>
      <c r="C691" s="232"/>
      <c r="D691" s="233"/>
      <c r="E691" s="15"/>
      <c r="F691" s="19"/>
      <c r="G691" s="99"/>
      <c r="M691" s="19"/>
      <c r="N691" s="19"/>
      <c r="O691" s="99"/>
      <c r="P691" s="19"/>
      <c r="Q691" s="19"/>
      <c r="R691" s="19"/>
      <c r="S691" s="19"/>
    </row>
    <row r="692" spans="1:19">
      <c r="A692" s="230"/>
      <c r="B692" s="231"/>
      <c r="C692" s="232"/>
      <c r="D692" s="233"/>
      <c r="E692" s="15"/>
      <c r="F692" s="19"/>
      <c r="G692" s="99"/>
      <c r="M692" s="19"/>
      <c r="N692" s="19"/>
      <c r="O692" s="99"/>
      <c r="P692" s="19"/>
      <c r="Q692" s="19"/>
      <c r="R692" s="19"/>
      <c r="S692" s="19"/>
    </row>
    <row r="693" spans="1:19">
      <c r="A693" s="230"/>
      <c r="B693" s="231"/>
      <c r="C693" s="232"/>
      <c r="D693" s="233"/>
      <c r="E693" s="15"/>
      <c r="F693" s="19"/>
      <c r="G693" s="99"/>
      <c r="M693" s="19"/>
      <c r="N693" s="19"/>
      <c r="O693" s="99"/>
      <c r="P693" s="19"/>
      <c r="Q693" s="19"/>
      <c r="R693" s="19"/>
      <c r="S693" s="19"/>
    </row>
    <row r="694" spans="1:19">
      <c r="A694" s="230"/>
      <c r="B694" s="231"/>
      <c r="C694" s="232"/>
      <c r="D694" s="233"/>
      <c r="E694" s="15"/>
      <c r="F694" s="19"/>
      <c r="G694" s="99"/>
      <c r="M694" s="19"/>
      <c r="N694" s="19"/>
      <c r="O694" s="99"/>
      <c r="P694" s="19"/>
      <c r="Q694" s="19"/>
      <c r="R694" s="19"/>
      <c r="S694" s="19"/>
    </row>
    <row r="695" spans="1:19">
      <c r="A695" s="230"/>
      <c r="B695" s="231"/>
      <c r="C695" s="232"/>
      <c r="D695" s="233"/>
      <c r="E695" s="15"/>
      <c r="F695" s="19"/>
      <c r="G695" s="99"/>
      <c r="M695" s="19"/>
      <c r="N695" s="19"/>
      <c r="O695" s="99"/>
      <c r="P695" s="19"/>
      <c r="Q695" s="19"/>
      <c r="R695" s="19"/>
      <c r="S695" s="19"/>
    </row>
    <row r="696" spans="1:19">
      <c r="A696" s="230"/>
      <c r="B696" s="231"/>
      <c r="C696" s="232"/>
      <c r="D696" s="233"/>
      <c r="E696" s="15"/>
      <c r="F696" s="19"/>
      <c r="G696" s="99"/>
      <c r="M696" s="19"/>
      <c r="N696" s="19"/>
      <c r="O696" s="99"/>
      <c r="P696" s="19"/>
      <c r="Q696" s="19"/>
      <c r="R696" s="19"/>
      <c r="S696" s="19"/>
    </row>
    <row r="697" spans="1:19">
      <c r="A697" s="230"/>
      <c r="B697" s="231"/>
      <c r="C697" s="232"/>
      <c r="D697" s="233"/>
      <c r="E697" s="15"/>
      <c r="F697" s="19"/>
      <c r="G697" s="99"/>
      <c r="M697" s="19"/>
      <c r="N697" s="19"/>
      <c r="O697" s="99"/>
      <c r="P697" s="19"/>
      <c r="Q697" s="19"/>
      <c r="R697" s="19"/>
      <c r="S697" s="19"/>
    </row>
    <row r="698" spans="1:19">
      <c r="A698" s="230"/>
      <c r="B698" s="231"/>
      <c r="C698" s="232"/>
      <c r="D698" s="233"/>
      <c r="E698" s="15"/>
      <c r="F698" s="19"/>
      <c r="G698" s="99"/>
      <c r="M698" s="19"/>
      <c r="N698" s="19"/>
      <c r="O698" s="99"/>
      <c r="P698" s="19"/>
      <c r="Q698" s="19"/>
      <c r="R698" s="19"/>
      <c r="S698" s="19"/>
    </row>
    <row r="699" spans="1:19">
      <c r="A699" s="230"/>
      <c r="B699" s="231"/>
      <c r="C699" s="232"/>
      <c r="D699" s="233"/>
      <c r="E699" s="15"/>
      <c r="F699" s="19"/>
      <c r="G699" s="99"/>
      <c r="M699" s="19"/>
      <c r="N699" s="19"/>
      <c r="O699" s="99"/>
      <c r="P699" s="19"/>
      <c r="Q699" s="19"/>
      <c r="R699" s="19"/>
      <c r="S699" s="19"/>
    </row>
    <row r="700" spans="1:19">
      <c r="A700" s="230"/>
      <c r="B700" s="231"/>
      <c r="C700" s="232"/>
      <c r="D700" s="233"/>
      <c r="E700" s="15"/>
      <c r="F700" s="19"/>
      <c r="G700" s="99"/>
      <c r="M700" s="19"/>
      <c r="N700" s="19"/>
      <c r="O700" s="99"/>
      <c r="P700" s="19"/>
      <c r="Q700" s="19"/>
      <c r="R700" s="19"/>
      <c r="S700" s="19"/>
    </row>
    <row r="701" spans="1:19">
      <c r="A701" s="230"/>
      <c r="B701" s="231"/>
      <c r="C701" s="232"/>
      <c r="D701" s="233"/>
      <c r="E701" s="15"/>
      <c r="F701" s="19"/>
      <c r="G701" s="99"/>
      <c r="M701" s="19"/>
      <c r="N701" s="19"/>
      <c r="O701" s="99"/>
      <c r="P701" s="19"/>
      <c r="Q701" s="19"/>
      <c r="R701" s="19"/>
      <c r="S701" s="19"/>
    </row>
    <row r="702" spans="1:19">
      <c r="A702" s="230"/>
      <c r="B702" s="231"/>
      <c r="C702" s="232"/>
      <c r="D702" s="233"/>
      <c r="E702" s="15"/>
      <c r="F702" s="19"/>
      <c r="G702" s="99"/>
      <c r="M702" s="19"/>
      <c r="N702" s="19"/>
      <c r="O702" s="99"/>
      <c r="P702" s="19"/>
      <c r="Q702" s="19"/>
      <c r="R702" s="19"/>
      <c r="S702" s="19"/>
    </row>
    <row r="703" spans="1:19">
      <c r="A703" s="230"/>
      <c r="B703" s="231"/>
      <c r="C703" s="232"/>
      <c r="D703" s="233"/>
      <c r="E703" s="15"/>
      <c r="F703" s="19"/>
      <c r="G703" s="99"/>
      <c r="M703" s="19"/>
      <c r="N703" s="19"/>
      <c r="O703" s="99"/>
      <c r="P703" s="19"/>
      <c r="Q703" s="19"/>
      <c r="R703" s="19"/>
      <c r="S703" s="19"/>
    </row>
    <row r="704" spans="1:19">
      <c r="A704" s="230"/>
      <c r="B704" s="231"/>
      <c r="C704" s="232"/>
      <c r="D704" s="233"/>
      <c r="E704" s="15"/>
      <c r="F704" s="19"/>
      <c r="G704" s="99"/>
      <c r="M704" s="19"/>
      <c r="N704" s="19"/>
      <c r="O704" s="99"/>
      <c r="P704" s="19"/>
      <c r="Q704" s="19"/>
      <c r="R704" s="19"/>
      <c r="S704" s="19"/>
    </row>
    <row r="705" spans="1:19">
      <c r="A705" s="230"/>
      <c r="B705" s="231"/>
      <c r="C705" s="232"/>
      <c r="D705" s="233"/>
      <c r="E705" s="15"/>
      <c r="F705" s="19"/>
      <c r="G705" s="99"/>
      <c r="M705" s="19"/>
      <c r="N705" s="19"/>
      <c r="O705" s="99"/>
      <c r="P705" s="19"/>
      <c r="Q705" s="19"/>
      <c r="R705" s="19"/>
      <c r="S705" s="19"/>
    </row>
    <row r="706" spans="1:19">
      <c r="A706" s="230"/>
      <c r="B706" s="231"/>
      <c r="C706" s="232"/>
      <c r="D706" s="233"/>
      <c r="E706" s="15"/>
      <c r="F706" s="19"/>
      <c r="G706" s="99"/>
      <c r="M706" s="19"/>
      <c r="N706" s="19"/>
      <c r="O706" s="99"/>
      <c r="P706" s="19"/>
      <c r="Q706" s="19"/>
      <c r="R706" s="19"/>
      <c r="S706" s="19"/>
    </row>
    <row r="707" spans="1:19">
      <c r="A707" s="230"/>
      <c r="B707" s="231"/>
      <c r="C707" s="232"/>
      <c r="D707" s="233"/>
      <c r="E707" s="15"/>
      <c r="F707" s="19"/>
      <c r="G707" s="99"/>
      <c r="M707" s="19"/>
      <c r="N707" s="19"/>
      <c r="O707" s="99"/>
      <c r="P707" s="19"/>
      <c r="Q707" s="19"/>
      <c r="R707" s="19"/>
      <c r="S707" s="19"/>
    </row>
    <row r="708" spans="1:19">
      <c r="A708" s="230"/>
      <c r="B708" s="231"/>
      <c r="C708" s="232"/>
      <c r="D708" s="233"/>
      <c r="E708" s="15"/>
      <c r="F708" s="19"/>
      <c r="G708" s="99"/>
      <c r="M708" s="19"/>
      <c r="N708" s="19"/>
      <c r="O708" s="99"/>
      <c r="P708" s="19"/>
      <c r="Q708" s="19"/>
      <c r="R708" s="19"/>
      <c r="S708" s="19"/>
    </row>
    <row r="709" spans="1:19">
      <c r="A709" s="230"/>
      <c r="B709" s="231"/>
      <c r="C709" s="232"/>
      <c r="D709" s="233"/>
      <c r="E709" s="15"/>
      <c r="F709" s="19"/>
      <c r="G709" s="99"/>
      <c r="M709" s="19"/>
      <c r="N709" s="19"/>
      <c r="O709" s="99"/>
      <c r="P709" s="19"/>
      <c r="Q709" s="19"/>
      <c r="R709" s="19"/>
      <c r="S709" s="19"/>
    </row>
    <row r="710" spans="1:19">
      <c r="A710" s="230"/>
      <c r="B710" s="231"/>
      <c r="C710" s="232"/>
      <c r="D710" s="233"/>
      <c r="E710" s="15"/>
      <c r="F710" s="19"/>
      <c r="G710" s="99"/>
      <c r="M710" s="19"/>
      <c r="N710" s="19"/>
      <c r="O710" s="99"/>
      <c r="P710" s="19"/>
      <c r="Q710" s="19"/>
      <c r="R710" s="19"/>
      <c r="S710" s="19"/>
    </row>
    <row r="711" spans="1:19">
      <c r="A711" s="230"/>
      <c r="B711" s="231"/>
      <c r="C711" s="232"/>
      <c r="D711" s="233"/>
      <c r="E711" s="15"/>
      <c r="F711" s="19"/>
      <c r="G711" s="99"/>
      <c r="M711" s="19"/>
      <c r="N711" s="19"/>
      <c r="O711" s="99"/>
      <c r="P711" s="19"/>
      <c r="Q711" s="19"/>
      <c r="R711" s="19"/>
      <c r="S711" s="19"/>
    </row>
    <row r="712" spans="1:19">
      <c r="A712" s="230"/>
      <c r="B712" s="231"/>
      <c r="C712" s="232"/>
      <c r="D712" s="233"/>
      <c r="E712" s="15"/>
      <c r="F712" s="19"/>
      <c r="G712" s="99"/>
      <c r="M712" s="19"/>
      <c r="N712" s="19"/>
      <c r="O712" s="99"/>
      <c r="P712" s="19"/>
      <c r="Q712" s="19"/>
      <c r="R712" s="19"/>
      <c r="S712" s="19"/>
    </row>
    <row r="713" spans="1:19">
      <c r="A713" s="230"/>
      <c r="B713" s="231"/>
      <c r="C713" s="232"/>
      <c r="D713" s="233"/>
      <c r="E713" s="15"/>
      <c r="F713" s="19"/>
      <c r="G713" s="99"/>
      <c r="M713" s="19"/>
      <c r="N713" s="19"/>
      <c r="O713" s="99"/>
      <c r="P713" s="19"/>
      <c r="Q713" s="19"/>
      <c r="R713" s="19"/>
      <c r="S713" s="19"/>
    </row>
    <row r="714" spans="1:19">
      <c r="A714" s="230"/>
      <c r="B714" s="231"/>
      <c r="C714" s="232"/>
      <c r="D714" s="233"/>
      <c r="E714" s="15"/>
      <c r="F714" s="19"/>
      <c r="G714" s="99"/>
      <c r="M714" s="19"/>
      <c r="N714" s="19"/>
      <c r="O714" s="99"/>
      <c r="P714" s="19"/>
      <c r="Q714" s="19"/>
      <c r="R714" s="19"/>
      <c r="S714" s="19"/>
    </row>
    <row r="715" spans="1:19">
      <c r="A715" s="230"/>
      <c r="B715" s="231"/>
      <c r="C715" s="232"/>
      <c r="D715" s="233"/>
      <c r="E715" s="15"/>
      <c r="F715" s="19"/>
      <c r="G715" s="99"/>
      <c r="M715" s="19"/>
      <c r="N715" s="19"/>
      <c r="O715" s="99"/>
      <c r="P715" s="19"/>
      <c r="Q715" s="19"/>
      <c r="R715" s="19"/>
      <c r="S715" s="19"/>
    </row>
    <row r="716" spans="1:19">
      <c r="A716" s="230"/>
      <c r="B716" s="231"/>
      <c r="C716" s="232"/>
      <c r="D716" s="233"/>
      <c r="E716" s="15"/>
      <c r="F716" s="19"/>
      <c r="G716" s="99"/>
      <c r="M716" s="19"/>
      <c r="N716" s="19"/>
      <c r="O716" s="99"/>
      <c r="P716" s="19"/>
      <c r="Q716" s="19"/>
      <c r="R716" s="19"/>
      <c r="S716" s="19"/>
    </row>
    <row r="717" spans="1:19">
      <c r="A717" s="230"/>
      <c r="B717" s="231"/>
      <c r="C717" s="232"/>
      <c r="D717" s="233"/>
      <c r="E717" s="15"/>
      <c r="F717" s="19"/>
      <c r="G717" s="99"/>
      <c r="M717" s="19"/>
      <c r="N717" s="19"/>
      <c r="O717" s="99"/>
      <c r="P717" s="19"/>
      <c r="Q717" s="19"/>
      <c r="R717" s="19"/>
      <c r="S717" s="19"/>
    </row>
    <row r="718" spans="1:19">
      <c r="A718" s="230"/>
      <c r="B718" s="231"/>
      <c r="C718" s="232"/>
      <c r="D718" s="233"/>
      <c r="E718" s="15"/>
      <c r="F718" s="19"/>
      <c r="G718" s="99"/>
      <c r="M718" s="19"/>
      <c r="N718" s="19"/>
      <c r="O718" s="99"/>
      <c r="P718" s="19"/>
      <c r="Q718" s="19"/>
      <c r="R718" s="19"/>
      <c r="S718" s="19"/>
    </row>
    <row r="719" spans="1:19">
      <c r="A719" s="230"/>
      <c r="B719" s="231"/>
      <c r="C719" s="232"/>
      <c r="D719" s="233"/>
      <c r="E719" s="15"/>
      <c r="F719" s="19"/>
      <c r="G719" s="99"/>
      <c r="M719" s="19"/>
      <c r="N719" s="19"/>
      <c r="O719" s="99"/>
      <c r="P719" s="19"/>
      <c r="Q719" s="19"/>
      <c r="R719" s="19"/>
      <c r="S719" s="19"/>
    </row>
    <row r="720" spans="1:19">
      <c r="A720" s="230"/>
      <c r="B720" s="231"/>
      <c r="C720" s="232"/>
      <c r="D720" s="233"/>
      <c r="E720" s="15"/>
      <c r="F720" s="19"/>
      <c r="G720" s="99"/>
      <c r="M720" s="19"/>
      <c r="N720" s="19"/>
      <c r="O720" s="99"/>
      <c r="P720" s="19"/>
      <c r="Q720" s="19"/>
      <c r="R720" s="19"/>
      <c r="S720" s="19"/>
    </row>
    <row r="721" spans="1:19">
      <c r="A721" s="230"/>
      <c r="B721" s="231"/>
      <c r="C721" s="232"/>
      <c r="D721" s="233"/>
      <c r="E721" s="15"/>
      <c r="F721" s="19"/>
      <c r="G721" s="99"/>
      <c r="M721" s="19"/>
      <c r="N721" s="19"/>
      <c r="O721" s="99"/>
      <c r="P721" s="19"/>
      <c r="Q721" s="19"/>
      <c r="R721" s="19"/>
      <c r="S721" s="19"/>
    </row>
    <row r="722" spans="1:19">
      <c r="A722" s="230"/>
      <c r="B722" s="231"/>
      <c r="C722" s="232"/>
      <c r="D722" s="233"/>
      <c r="E722" s="15"/>
      <c r="F722" s="19"/>
      <c r="G722" s="99"/>
      <c r="M722" s="19"/>
      <c r="N722" s="19"/>
      <c r="O722" s="99"/>
      <c r="P722" s="19"/>
      <c r="Q722" s="19"/>
      <c r="R722" s="19"/>
      <c r="S722" s="19"/>
    </row>
    <row r="723" spans="1:19">
      <c r="A723" s="230"/>
      <c r="B723" s="231"/>
      <c r="C723" s="232"/>
      <c r="D723" s="233"/>
      <c r="E723" s="15"/>
      <c r="F723" s="19"/>
      <c r="G723" s="99"/>
      <c r="M723" s="19"/>
      <c r="N723" s="19"/>
      <c r="O723" s="99"/>
      <c r="P723" s="19"/>
      <c r="Q723" s="19"/>
      <c r="R723" s="19"/>
      <c r="S723" s="19"/>
    </row>
    <row r="724" spans="1:19">
      <c r="A724" s="230"/>
      <c r="B724" s="231"/>
      <c r="C724" s="232"/>
      <c r="D724" s="233"/>
      <c r="E724" s="15"/>
      <c r="F724" s="19"/>
      <c r="G724" s="99"/>
      <c r="M724" s="19"/>
      <c r="N724" s="19"/>
      <c r="O724" s="99"/>
      <c r="P724" s="19"/>
      <c r="Q724" s="19"/>
      <c r="R724" s="19"/>
      <c r="S724" s="19"/>
    </row>
    <row r="725" spans="1:19">
      <c r="A725" s="230"/>
      <c r="B725" s="231"/>
      <c r="C725" s="232"/>
      <c r="D725" s="233"/>
      <c r="E725" s="15"/>
      <c r="F725" s="19"/>
      <c r="G725" s="99"/>
      <c r="M725" s="19"/>
      <c r="N725" s="19"/>
      <c r="O725" s="99"/>
      <c r="P725" s="19"/>
      <c r="Q725" s="19"/>
      <c r="R725" s="19"/>
      <c r="S725" s="19"/>
    </row>
    <row r="726" spans="1:19">
      <c r="A726" s="230"/>
      <c r="B726" s="231"/>
      <c r="C726" s="232"/>
      <c r="D726" s="233"/>
      <c r="E726" s="15"/>
      <c r="F726" s="19"/>
      <c r="G726" s="99"/>
      <c r="M726" s="19"/>
      <c r="N726" s="19"/>
      <c r="O726" s="99"/>
      <c r="P726" s="19"/>
      <c r="Q726" s="19"/>
      <c r="R726" s="19"/>
      <c r="S726" s="19"/>
    </row>
    <row r="727" spans="1:19">
      <c r="A727" s="230"/>
      <c r="B727" s="231"/>
      <c r="C727" s="232"/>
      <c r="D727" s="233"/>
      <c r="E727" s="15"/>
      <c r="F727" s="19"/>
      <c r="G727" s="99"/>
      <c r="M727" s="19"/>
      <c r="N727" s="19"/>
      <c r="O727" s="99"/>
      <c r="P727" s="19"/>
      <c r="Q727" s="19"/>
      <c r="R727" s="19"/>
      <c r="S727" s="19"/>
    </row>
    <row r="728" spans="1:19">
      <c r="A728" s="230"/>
      <c r="B728" s="231"/>
      <c r="C728" s="232"/>
      <c r="D728" s="233"/>
      <c r="E728" s="15"/>
      <c r="F728" s="19"/>
      <c r="G728" s="99"/>
      <c r="M728" s="19"/>
      <c r="N728" s="19"/>
      <c r="O728" s="99"/>
      <c r="P728" s="19"/>
      <c r="Q728" s="19"/>
      <c r="R728" s="19"/>
      <c r="S728" s="19"/>
    </row>
    <row r="729" spans="1:19">
      <c r="A729" s="230"/>
      <c r="B729" s="231"/>
      <c r="C729" s="232"/>
      <c r="D729" s="233"/>
      <c r="E729" s="15"/>
      <c r="F729" s="19"/>
      <c r="G729" s="99"/>
      <c r="M729" s="19"/>
      <c r="N729" s="19"/>
      <c r="O729" s="99"/>
      <c r="P729" s="19"/>
      <c r="Q729" s="19"/>
      <c r="R729" s="19"/>
      <c r="S729" s="19"/>
    </row>
    <row r="730" spans="1:19">
      <c r="A730" s="230"/>
      <c r="B730" s="231"/>
      <c r="C730" s="232"/>
      <c r="D730" s="233"/>
      <c r="E730" s="15"/>
      <c r="F730" s="19"/>
      <c r="G730" s="99"/>
      <c r="M730" s="19"/>
      <c r="N730" s="19"/>
      <c r="O730" s="99"/>
      <c r="P730" s="19"/>
      <c r="Q730" s="19"/>
      <c r="R730" s="19"/>
      <c r="S730" s="19"/>
    </row>
    <row r="731" spans="1:19">
      <c r="A731" s="230"/>
      <c r="B731" s="231"/>
      <c r="C731" s="232"/>
      <c r="D731" s="233"/>
      <c r="E731" s="15"/>
      <c r="F731" s="19"/>
      <c r="G731" s="99"/>
      <c r="M731" s="19"/>
      <c r="N731" s="19"/>
      <c r="O731" s="99"/>
      <c r="P731" s="19"/>
      <c r="Q731" s="19"/>
      <c r="R731" s="19"/>
      <c r="S731" s="19"/>
    </row>
    <row r="732" spans="1:19">
      <c r="A732" s="230"/>
      <c r="B732" s="231"/>
      <c r="C732" s="232"/>
      <c r="D732" s="233"/>
      <c r="E732" s="15"/>
      <c r="F732" s="19"/>
      <c r="G732" s="99"/>
      <c r="M732" s="19"/>
      <c r="N732" s="19"/>
      <c r="O732" s="99"/>
      <c r="P732" s="19"/>
      <c r="Q732" s="19"/>
      <c r="R732" s="19"/>
      <c r="S732" s="19"/>
    </row>
    <row r="733" spans="1:19">
      <c r="A733" s="230"/>
      <c r="B733" s="231"/>
      <c r="C733" s="232"/>
      <c r="D733" s="233"/>
      <c r="E733" s="15"/>
      <c r="F733" s="19"/>
      <c r="G733" s="99"/>
      <c r="M733" s="19"/>
      <c r="N733" s="19"/>
      <c r="O733" s="99"/>
      <c r="P733" s="19"/>
      <c r="Q733" s="19"/>
      <c r="R733" s="19"/>
      <c r="S733" s="19"/>
    </row>
    <row r="734" spans="1:19">
      <c r="A734" s="230"/>
      <c r="B734" s="231"/>
      <c r="C734" s="232"/>
      <c r="D734" s="233"/>
      <c r="E734" s="15"/>
      <c r="F734" s="19"/>
      <c r="G734" s="99"/>
      <c r="M734" s="19"/>
      <c r="N734" s="19"/>
      <c r="O734" s="99"/>
      <c r="P734" s="19"/>
      <c r="Q734" s="19"/>
      <c r="R734" s="19"/>
      <c r="S734" s="19"/>
    </row>
    <row r="735" spans="1:19">
      <c r="A735" s="230"/>
      <c r="B735" s="231"/>
      <c r="C735" s="232"/>
      <c r="D735" s="233"/>
      <c r="E735" s="15"/>
      <c r="F735" s="19"/>
      <c r="G735" s="99"/>
      <c r="M735" s="19"/>
      <c r="N735" s="19"/>
      <c r="O735" s="99"/>
      <c r="P735" s="19"/>
      <c r="Q735" s="19"/>
      <c r="R735" s="19"/>
      <c r="S735" s="19"/>
    </row>
    <row r="736" spans="1:19">
      <c r="A736" s="230"/>
      <c r="B736" s="231"/>
      <c r="C736" s="232"/>
      <c r="D736" s="233"/>
      <c r="E736" s="15"/>
      <c r="F736" s="19"/>
      <c r="G736" s="99"/>
      <c r="M736" s="19"/>
      <c r="N736" s="19"/>
      <c r="O736" s="99"/>
      <c r="P736" s="19"/>
      <c r="Q736" s="19"/>
      <c r="R736" s="19"/>
      <c r="S736" s="19"/>
    </row>
    <row r="737" spans="1:19">
      <c r="A737" s="230"/>
      <c r="B737" s="231"/>
      <c r="C737" s="232"/>
      <c r="D737" s="233"/>
      <c r="E737" s="15"/>
      <c r="F737" s="19"/>
      <c r="G737" s="99"/>
      <c r="M737" s="19"/>
      <c r="N737" s="19"/>
      <c r="O737" s="99"/>
      <c r="P737" s="19"/>
      <c r="Q737" s="19"/>
      <c r="R737" s="19"/>
      <c r="S737" s="19"/>
    </row>
    <row r="738" spans="1:19">
      <c r="A738" s="230"/>
      <c r="B738" s="231"/>
      <c r="C738" s="232"/>
      <c r="D738" s="233"/>
      <c r="E738" s="15"/>
      <c r="F738" s="19"/>
      <c r="G738" s="99"/>
      <c r="M738" s="19"/>
      <c r="N738" s="19"/>
      <c r="O738" s="99"/>
      <c r="P738" s="19"/>
      <c r="Q738" s="19"/>
      <c r="R738" s="19"/>
      <c r="S738" s="19"/>
    </row>
    <row r="739" spans="1:19">
      <c r="A739" s="230"/>
      <c r="B739" s="231"/>
      <c r="C739" s="232"/>
      <c r="D739" s="233"/>
      <c r="E739" s="15"/>
      <c r="F739" s="19"/>
      <c r="G739" s="99"/>
      <c r="M739" s="19"/>
      <c r="N739" s="19"/>
      <c r="O739" s="99"/>
      <c r="P739" s="19"/>
      <c r="Q739" s="19"/>
      <c r="R739" s="19"/>
      <c r="S739" s="19"/>
    </row>
    <row r="740" spans="1:19">
      <c r="A740" s="230"/>
      <c r="B740" s="231"/>
      <c r="C740" s="232"/>
      <c r="D740" s="233"/>
      <c r="E740" s="15"/>
      <c r="F740" s="19"/>
      <c r="G740" s="99"/>
      <c r="M740" s="19"/>
      <c r="N740" s="19"/>
      <c r="O740" s="99"/>
      <c r="P740" s="19"/>
      <c r="Q740" s="19"/>
      <c r="R740" s="19"/>
      <c r="S740" s="19"/>
    </row>
    <row r="741" spans="1:19">
      <c r="A741" s="230"/>
      <c r="B741" s="231"/>
      <c r="C741" s="232"/>
      <c r="D741" s="233"/>
      <c r="E741" s="15"/>
      <c r="F741" s="19"/>
      <c r="G741" s="99"/>
      <c r="M741" s="19"/>
      <c r="N741" s="19"/>
      <c r="O741" s="99"/>
      <c r="P741" s="19"/>
      <c r="Q741" s="19"/>
      <c r="R741" s="19"/>
      <c r="S741" s="19"/>
    </row>
    <row r="742" spans="1:19">
      <c r="A742" s="230"/>
      <c r="B742" s="231"/>
      <c r="C742" s="232"/>
      <c r="D742" s="233"/>
      <c r="E742" s="15"/>
      <c r="F742" s="19"/>
      <c r="G742" s="99"/>
      <c r="M742" s="19"/>
      <c r="N742" s="19"/>
      <c r="O742" s="99"/>
      <c r="P742" s="19"/>
      <c r="Q742" s="19"/>
      <c r="R742" s="19"/>
      <c r="S742" s="19"/>
    </row>
    <row r="743" spans="1:19">
      <c r="A743" s="230"/>
      <c r="B743" s="231"/>
      <c r="C743" s="232"/>
      <c r="D743" s="233"/>
      <c r="E743" s="15"/>
      <c r="F743" s="19"/>
      <c r="G743" s="99"/>
      <c r="M743" s="19"/>
      <c r="N743" s="19"/>
      <c r="O743" s="99"/>
      <c r="P743" s="19"/>
      <c r="Q743" s="19"/>
      <c r="R743" s="19"/>
      <c r="S743" s="19"/>
    </row>
    <row r="744" spans="1:19">
      <c r="A744" s="230"/>
      <c r="B744" s="231"/>
      <c r="C744" s="232"/>
      <c r="D744" s="233"/>
      <c r="E744" s="15"/>
      <c r="F744" s="19"/>
      <c r="G744" s="99"/>
      <c r="M744" s="19"/>
      <c r="N744" s="19"/>
      <c r="O744" s="99"/>
      <c r="P744" s="19"/>
      <c r="Q744" s="19"/>
      <c r="R744" s="19"/>
      <c r="S744" s="19"/>
    </row>
    <row r="745" spans="1:19">
      <c r="A745" s="230"/>
      <c r="B745" s="231"/>
      <c r="C745" s="232"/>
      <c r="D745" s="233"/>
      <c r="E745" s="15"/>
      <c r="F745" s="19"/>
      <c r="G745" s="99"/>
      <c r="M745" s="19"/>
      <c r="N745" s="19"/>
      <c r="O745" s="99"/>
      <c r="P745" s="19"/>
      <c r="Q745" s="19"/>
      <c r="R745" s="19"/>
      <c r="S745" s="19"/>
    </row>
    <row r="746" spans="1:19">
      <c r="A746" s="230"/>
      <c r="B746" s="231"/>
      <c r="C746" s="232"/>
      <c r="D746" s="233"/>
      <c r="E746" s="15"/>
      <c r="F746" s="19"/>
      <c r="G746" s="99"/>
      <c r="M746" s="19"/>
      <c r="N746" s="19"/>
      <c r="O746" s="99"/>
      <c r="P746" s="19"/>
      <c r="Q746" s="19"/>
      <c r="R746" s="19"/>
      <c r="S746" s="19"/>
    </row>
    <row r="747" spans="1:19">
      <c r="A747" s="230"/>
      <c r="B747" s="231"/>
      <c r="C747" s="232"/>
      <c r="D747" s="233"/>
      <c r="E747" s="15"/>
      <c r="F747" s="19"/>
      <c r="G747" s="99"/>
      <c r="M747" s="19"/>
      <c r="N747" s="19"/>
      <c r="O747" s="99"/>
      <c r="P747" s="19"/>
      <c r="Q747" s="19"/>
      <c r="R747" s="19"/>
      <c r="S747" s="19"/>
    </row>
    <row r="748" spans="1:19">
      <c r="A748" s="230"/>
      <c r="B748" s="231"/>
      <c r="C748" s="232"/>
      <c r="D748" s="233"/>
      <c r="E748" s="15"/>
      <c r="F748" s="19"/>
      <c r="G748" s="99"/>
      <c r="M748" s="19"/>
      <c r="N748" s="19"/>
      <c r="O748" s="99"/>
      <c r="P748" s="19"/>
      <c r="Q748" s="19"/>
      <c r="R748" s="19"/>
      <c r="S748" s="19"/>
    </row>
    <row r="749" spans="1:19">
      <c r="A749" s="230"/>
      <c r="B749" s="231"/>
      <c r="C749" s="232"/>
      <c r="D749" s="233"/>
      <c r="E749" s="15"/>
      <c r="F749" s="19"/>
      <c r="G749" s="99"/>
      <c r="M749" s="19"/>
      <c r="N749" s="19"/>
      <c r="O749" s="99"/>
      <c r="P749" s="19"/>
      <c r="Q749" s="19"/>
      <c r="R749" s="19"/>
      <c r="S749" s="19"/>
    </row>
    <row r="750" spans="1:19">
      <c r="A750" s="230"/>
      <c r="B750" s="231"/>
      <c r="C750" s="232"/>
      <c r="D750" s="233"/>
      <c r="E750" s="15"/>
      <c r="F750" s="19"/>
      <c r="G750" s="99"/>
      <c r="M750" s="19"/>
      <c r="N750" s="19"/>
      <c r="O750" s="99"/>
      <c r="P750" s="19"/>
      <c r="Q750" s="19"/>
      <c r="R750" s="19"/>
      <c r="S750" s="19"/>
    </row>
    <row r="751" spans="1:19">
      <c r="A751" s="230"/>
      <c r="B751" s="231"/>
      <c r="C751" s="232"/>
      <c r="D751" s="233"/>
      <c r="E751" s="15"/>
      <c r="F751" s="19"/>
      <c r="G751" s="99"/>
      <c r="M751" s="19"/>
      <c r="N751" s="19"/>
      <c r="O751" s="99"/>
      <c r="P751" s="19"/>
      <c r="Q751" s="19"/>
      <c r="R751" s="19"/>
      <c r="S751" s="19"/>
    </row>
    <row r="752" spans="1:19">
      <c r="A752" s="230"/>
      <c r="B752" s="231"/>
      <c r="C752" s="232"/>
      <c r="D752" s="233"/>
      <c r="E752" s="15"/>
      <c r="F752" s="19"/>
      <c r="G752" s="99"/>
      <c r="M752" s="19"/>
      <c r="N752" s="19"/>
      <c r="O752" s="99"/>
      <c r="P752" s="19"/>
      <c r="Q752" s="19"/>
      <c r="R752" s="19"/>
      <c r="S752" s="19"/>
    </row>
    <row r="753" spans="1:19">
      <c r="A753" s="230"/>
      <c r="B753" s="231"/>
      <c r="C753" s="232"/>
      <c r="D753" s="233"/>
      <c r="E753" s="15"/>
      <c r="F753" s="19"/>
      <c r="G753" s="99"/>
      <c r="M753" s="19"/>
      <c r="N753" s="19"/>
      <c r="O753" s="99"/>
      <c r="P753" s="19"/>
      <c r="Q753" s="19"/>
      <c r="R753" s="19"/>
      <c r="S753" s="19"/>
    </row>
    <row r="754" spans="1:19">
      <c r="A754" s="230"/>
      <c r="B754" s="231"/>
      <c r="C754" s="232"/>
      <c r="D754" s="233"/>
      <c r="E754" s="15"/>
      <c r="F754" s="19"/>
      <c r="G754" s="99"/>
      <c r="M754" s="19"/>
      <c r="N754" s="19"/>
      <c r="O754" s="99"/>
      <c r="P754" s="19"/>
      <c r="Q754" s="19"/>
      <c r="R754" s="19"/>
      <c r="S754" s="19"/>
    </row>
    <row r="755" spans="1:19">
      <c r="A755" s="230"/>
      <c r="B755" s="231"/>
      <c r="C755" s="232"/>
      <c r="D755" s="233"/>
      <c r="E755" s="15"/>
      <c r="F755" s="19"/>
      <c r="G755" s="99"/>
      <c r="M755" s="19"/>
      <c r="N755" s="19"/>
      <c r="O755" s="99"/>
      <c r="P755" s="19"/>
      <c r="Q755" s="19"/>
      <c r="R755" s="19"/>
      <c r="S755" s="19"/>
    </row>
    <row r="756" spans="1:19">
      <c r="A756" s="230"/>
      <c r="B756" s="231"/>
      <c r="C756" s="232"/>
      <c r="D756" s="233"/>
      <c r="E756" s="15"/>
      <c r="F756" s="19"/>
      <c r="G756" s="99"/>
      <c r="M756" s="19"/>
      <c r="N756" s="19"/>
      <c r="O756" s="99"/>
      <c r="P756" s="19"/>
      <c r="Q756" s="19"/>
      <c r="R756" s="19"/>
      <c r="S756" s="19"/>
    </row>
    <row r="757" spans="1:19">
      <c r="A757" s="230"/>
      <c r="B757" s="231"/>
      <c r="C757" s="232"/>
      <c r="D757" s="233"/>
      <c r="E757" s="15"/>
      <c r="F757" s="19"/>
      <c r="G757" s="99"/>
      <c r="M757" s="19"/>
      <c r="N757" s="19"/>
      <c r="O757" s="99"/>
      <c r="P757" s="19"/>
      <c r="Q757" s="19"/>
      <c r="R757" s="19"/>
      <c r="S757" s="19"/>
    </row>
    <row r="758" spans="1:19">
      <c r="A758" s="230"/>
      <c r="B758" s="231"/>
      <c r="C758" s="232"/>
      <c r="D758" s="233"/>
      <c r="E758" s="15"/>
      <c r="F758" s="19"/>
      <c r="G758" s="99"/>
      <c r="M758" s="19"/>
      <c r="N758" s="19"/>
      <c r="O758" s="99"/>
      <c r="P758" s="19"/>
      <c r="Q758" s="19"/>
      <c r="R758" s="19"/>
      <c r="S758" s="19"/>
    </row>
    <row r="759" spans="1:19">
      <c r="A759" s="230"/>
      <c r="B759" s="231"/>
      <c r="C759" s="232"/>
      <c r="D759" s="233"/>
      <c r="E759" s="15"/>
      <c r="F759" s="19"/>
      <c r="G759" s="99"/>
      <c r="M759" s="19"/>
      <c r="N759" s="19"/>
      <c r="O759" s="99"/>
      <c r="P759" s="19"/>
      <c r="Q759" s="19"/>
      <c r="R759" s="19"/>
      <c r="S759" s="19"/>
    </row>
    <row r="760" spans="1:19">
      <c r="A760" s="230"/>
      <c r="B760" s="231"/>
      <c r="C760" s="232"/>
      <c r="D760" s="233"/>
      <c r="E760" s="15"/>
      <c r="F760" s="19"/>
      <c r="G760" s="99"/>
      <c r="M760" s="19"/>
      <c r="N760" s="19"/>
      <c r="O760" s="99"/>
      <c r="P760" s="19"/>
      <c r="Q760" s="19"/>
      <c r="R760" s="19"/>
      <c r="S760" s="19"/>
    </row>
    <row r="761" spans="1:19">
      <c r="A761" s="230"/>
      <c r="B761" s="231"/>
      <c r="C761" s="232"/>
      <c r="D761" s="233"/>
      <c r="E761" s="15"/>
      <c r="F761" s="19"/>
      <c r="G761" s="99"/>
      <c r="M761" s="19"/>
      <c r="N761" s="19"/>
      <c r="O761" s="99"/>
      <c r="P761" s="19"/>
      <c r="Q761" s="19"/>
      <c r="R761" s="19"/>
      <c r="S761" s="19"/>
    </row>
    <row r="762" spans="1:19">
      <c r="A762" s="230"/>
      <c r="B762" s="231"/>
      <c r="C762" s="232"/>
      <c r="D762" s="233"/>
      <c r="E762" s="15"/>
      <c r="F762" s="19"/>
      <c r="G762" s="99"/>
      <c r="M762" s="19"/>
      <c r="N762" s="19"/>
      <c r="O762" s="99"/>
      <c r="P762" s="19"/>
      <c r="Q762" s="19"/>
      <c r="R762" s="19"/>
      <c r="S762" s="19"/>
    </row>
    <row r="763" spans="1:19">
      <c r="A763" s="230"/>
      <c r="B763" s="231"/>
      <c r="C763" s="232"/>
      <c r="D763" s="233"/>
      <c r="E763" s="15"/>
      <c r="F763" s="19"/>
      <c r="G763" s="99"/>
      <c r="M763" s="19"/>
      <c r="N763" s="19"/>
      <c r="O763" s="99"/>
      <c r="P763" s="19"/>
      <c r="Q763" s="19"/>
      <c r="R763" s="19"/>
      <c r="S763" s="19"/>
    </row>
    <row r="764" spans="1:19">
      <c r="A764" s="230"/>
      <c r="B764" s="231"/>
      <c r="C764" s="232"/>
      <c r="D764" s="233"/>
      <c r="E764" s="15"/>
      <c r="F764" s="19"/>
      <c r="G764" s="99"/>
      <c r="M764" s="19"/>
      <c r="N764" s="19"/>
      <c r="O764" s="99"/>
      <c r="P764" s="19"/>
      <c r="Q764" s="19"/>
      <c r="R764" s="19"/>
      <c r="S764" s="19"/>
    </row>
    <row r="765" spans="1:19">
      <c r="A765" s="230"/>
      <c r="B765" s="231"/>
      <c r="C765" s="232"/>
      <c r="D765" s="233"/>
      <c r="E765" s="15"/>
      <c r="F765" s="19"/>
      <c r="G765" s="99"/>
      <c r="M765" s="19"/>
      <c r="N765" s="19"/>
      <c r="O765" s="99"/>
      <c r="P765" s="19"/>
      <c r="Q765" s="19"/>
      <c r="R765" s="19"/>
      <c r="S765" s="19"/>
    </row>
    <row r="766" spans="1:19">
      <c r="A766" s="230"/>
      <c r="B766" s="231"/>
      <c r="C766" s="232"/>
      <c r="D766" s="233"/>
      <c r="E766" s="15"/>
      <c r="F766" s="19"/>
      <c r="G766" s="99"/>
      <c r="M766" s="19"/>
      <c r="N766" s="19"/>
      <c r="O766" s="99"/>
      <c r="P766" s="19"/>
      <c r="Q766" s="19"/>
      <c r="R766" s="19"/>
      <c r="S766" s="19"/>
    </row>
    <row r="767" spans="1:19">
      <c r="A767" s="230"/>
      <c r="B767" s="231"/>
      <c r="C767" s="232"/>
      <c r="D767" s="233"/>
      <c r="E767" s="15"/>
      <c r="F767" s="19"/>
      <c r="G767" s="99"/>
      <c r="M767" s="19"/>
      <c r="N767" s="19"/>
      <c r="O767" s="99"/>
      <c r="P767" s="19"/>
      <c r="Q767" s="19"/>
      <c r="R767" s="19"/>
      <c r="S767" s="19"/>
    </row>
    <row r="768" spans="1:19">
      <c r="A768" s="230"/>
      <c r="B768" s="231"/>
      <c r="C768" s="232"/>
      <c r="D768" s="233"/>
      <c r="E768" s="15"/>
      <c r="F768" s="19"/>
      <c r="G768" s="99"/>
      <c r="M768" s="19"/>
      <c r="N768" s="19"/>
      <c r="O768" s="99"/>
      <c r="P768" s="19"/>
      <c r="Q768" s="19"/>
      <c r="R768" s="19"/>
      <c r="S768" s="19"/>
    </row>
    <row r="769" spans="1:19">
      <c r="A769" s="230"/>
      <c r="B769" s="231"/>
      <c r="C769" s="232"/>
      <c r="D769" s="233"/>
      <c r="E769" s="15"/>
      <c r="F769" s="19"/>
      <c r="G769" s="99"/>
      <c r="M769" s="19"/>
      <c r="N769" s="19"/>
      <c r="O769" s="99"/>
      <c r="P769" s="19"/>
      <c r="Q769" s="19"/>
      <c r="R769" s="19"/>
      <c r="S769" s="19"/>
    </row>
    <row r="770" spans="1:19">
      <c r="A770" s="230"/>
      <c r="B770" s="231"/>
      <c r="C770" s="232"/>
      <c r="D770" s="233"/>
      <c r="E770" s="15"/>
      <c r="F770" s="19"/>
      <c r="G770" s="99"/>
      <c r="M770" s="19"/>
      <c r="N770" s="19"/>
      <c r="O770" s="99"/>
      <c r="P770" s="19"/>
      <c r="Q770" s="19"/>
      <c r="R770" s="19"/>
      <c r="S770" s="19"/>
    </row>
    <row r="771" spans="1:19">
      <c r="A771" s="230"/>
      <c r="B771" s="231"/>
      <c r="C771" s="232"/>
      <c r="D771" s="233"/>
      <c r="E771" s="15"/>
      <c r="F771" s="19"/>
      <c r="G771" s="99"/>
      <c r="M771" s="19"/>
      <c r="N771" s="19"/>
      <c r="O771" s="99"/>
      <c r="P771" s="19"/>
      <c r="Q771" s="19"/>
      <c r="R771" s="19"/>
      <c r="S771" s="19"/>
    </row>
    <row r="772" spans="1:19">
      <c r="A772" s="230"/>
      <c r="B772" s="231"/>
      <c r="C772" s="232"/>
      <c r="D772" s="233"/>
      <c r="E772" s="15"/>
      <c r="F772" s="19"/>
      <c r="G772" s="99"/>
      <c r="M772" s="19"/>
      <c r="N772" s="19"/>
      <c r="O772" s="99"/>
      <c r="P772" s="19"/>
      <c r="Q772" s="19"/>
      <c r="R772" s="19"/>
      <c r="S772" s="19"/>
    </row>
    <row r="773" spans="1:19">
      <c r="A773" s="230"/>
      <c r="B773" s="231"/>
      <c r="C773" s="232"/>
      <c r="D773" s="233"/>
      <c r="E773" s="15"/>
      <c r="F773" s="19"/>
      <c r="G773" s="99"/>
      <c r="M773" s="19"/>
      <c r="N773" s="19"/>
      <c r="O773" s="99"/>
      <c r="P773" s="19"/>
      <c r="Q773" s="19"/>
      <c r="R773" s="19"/>
      <c r="S773" s="19"/>
    </row>
    <row r="774" spans="1:19">
      <c r="A774" s="230"/>
      <c r="B774" s="231"/>
      <c r="C774" s="232"/>
      <c r="D774" s="233"/>
      <c r="E774" s="15"/>
      <c r="F774" s="19"/>
      <c r="G774" s="99"/>
      <c r="M774" s="19"/>
      <c r="N774" s="19"/>
      <c r="O774" s="99"/>
      <c r="P774" s="19"/>
      <c r="Q774" s="19"/>
      <c r="R774" s="19"/>
      <c r="S774" s="19"/>
    </row>
    <row r="775" spans="1:19">
      <c r="A775" s="230"/>
      <c r="B775" s="231"/>
      <c r="C775" s="232"/>
      <c r="D775" s="233"/>
      <c r="E775" s="15"/>
      <c r="F775" s="19"/>
      <c r="G775" s="99"/>
      <c r="M775" s="19"/>
      <c r="N775" s="19"/>
      <c r="O775" s="99"/>
      <c r="P775" s="19"/>
      <c r="Q775" s="19"/>
      <c r="R775" s="19"/>
      <c r="S775" s="19"/>
    </row>
    <row r="776" spans="1:19">
      <c r="A776" s="230"/>
      <c r="B776" s="231"/>
      <c r="C776" s="232"/>
      <c r="D776" s="233"/>
      <c r="E776" s="15"/>
      <c r="F776" s="19"/>
      <c r="G776" s="99"/>
      <c r="M776" s="19"/>
      <c r="N776" s="19"/>
      <c r="O776" s="99"/>
      <c r="P776" s="19"/>
      <c r="Q776" s="19"/>
      <c r="R776" s="19"/>
      <c r="S776" s="19"/>
    </row>
    <row r="777" spans="1:19">
      <c r="A777" s="230"/>
      <c r="B777" s="231"/>
      <c r="C777" s="232"/>
      <c r="D777" s="233"/>
      <c r="E777" s="15"/>
      <c r="F777" s="19"/>
      <c r="G777" s="99"/>
      <c r="M777" s="19"/>
      <c r="N777" s="19"/>
      <c r="O777" s="99"/>
      <c r="P777" s="19"/>
      <c r="Q777" s="19"/>
      <c r="R777" s="19"/>
      <c r="S777" s="19"/>
    </row>
    <row r="778" spans="1:19">
      <c r="A778" s="230"/>
      <c r="B778" s="231"/>
      <c r="C778" s="232"/>
      <c r="D778" s="233"/>
      <c r="E778" s="15"/>
      <c r="F778" s="19"/>
      <c r="G778" s="99"/>
      <c r="M778" s="19"/>
      <c r="N778" s="19"/>
      <c r="O778" s="99"/>
      <c r="P778" s="19"/>
      <c r="Q778" s="19"/>
      <c r="R778" s="19"/>
      <c r="S778" s="19"/>
    </row>
    <row r="779" spans="1:19">
      <c r="A779" s="230"/>
      <c r="B779" s="231"/>
      <c r="C779" s="232"/>
      <c r="D779" s="233"/>
      <c r="E779" s="15"/>
      <c r="F779" s="19"/>
      <c r="G779" s="99"/>
      <c r="M779" s="19"/>
      <c r="N779" s="19"/>
      <c r="O779" s="99"/>
      <c r="P779" s="19"/>
      <c r="Q779" s="19"/>
      <c r="R779" s="19"/>
      <c r="S779" s="19"/>
    </row>
    <row r="780" spans="1:19">
      <c r="A780" s="230"/>
      <c r="B780" s="231"/>
      <c r="C780" s="232"/>
      <c r="D780" s="233"/>
      <c r="E780" s="15"/>
      <c r="F780" s="19"/>
      <c r="G780" s="99"/>
      <c r="M780" s="19"/>
      <c r="N780" s="19"/>
      <c r="O780" s="99"/>
      <c r="P780" s="19"/>
      <c r="Q780" s="19"/>
      <c r="R780" s="19"/>
      <c r="S780" s="19"/>
    </row>
    <row r="781" spans="1:19">
      <c r="A781" s="230"/>
      <c r="B781" s="231"/>
      <c r="C781" s="232"/>
      <c r="D781" s="233"/>
      <c r="E781" s="15"/>
      <c r="F781" s="19"/>
      <c r="G781" s="99"/>
      <c r="M781" s="19"/>
      <c r="N781" s="19"/>
      <c r="O781" s="99"/>
      <c r="P781" s="19"/>
      <c r="Q781" s="19"/>
      <c r="R781" s="19"/>
      <c r="S781" s="19"/>
    </row>
    <row r="782" spans="1:19">
      <c r="A782" s="230"/>
      <c r="B782" s="231"/>
      <c r="C782" s="232"/>
      <c r="D782" s="233"/>
      <c r="E782" s="15"/>
      <c r="F782" s="19"/>
      <c r="G782" s="99"/>
      <c r="M782" s="19"/>
      <c r="N782" s="19"/>
      <c r="O782" s="99"/>
      <c r="P782" s="19"/>
      <c r="Q782" s="19"/>
      <c r="R782" s="19"/>
      <c r="S782" s="19"/>
    </row>
    <row r="783" spans="1:19">
      <c r="A783" s="230"/>
      <c r="B783" s="231"/>
      <c r="C783" s="232"/>
      <c r="D783" s="233"/>
      <c r="E783" s="15"/>
      <c r="F783" s="19"/>
      <c r="G783" s="99"/>
      <c r="M783" s="19"/>
      <c r="N783" s="19"/>
      <c r="O783" s="99"/>
      <c r="P783" s="19"/>
      <c r="Q783" s="19"/>
      <c r="R783" s="19"/>
      <c r="S783" s="19"/>
    </row>
    <row r="784" spans="1:19">
      <c r="A784" s="230"/>
      <c r="B784" s="231"/>
      <c r="C784" s="232"/>
      <c r="D784" s="233"/>
      <c r="E784" s="15"/>
      <c r="F784" s="19"/>
      <c r="G784" s="99"/>
      <c r="M784" s="19"/>
      <c r="N784" s="19"/>
      <c r="O784" s="99"/>
      <c r="P784" s="19"/>
      <c r="Q784" s="19"/>
      <c r="R784" s="19"/>
      <c r="S784" s="19"/>
    </row>
    <row r="785" spans="1:19">
      <c r="A785" s="230"/>
      <c r="B785" s="231"/>
      <c r="C785" s="232"/>
      <c r="D785" s="233"/>
      <c r="E785" s="15"/>
      <c r="F785" s="19"/>
      <c r="G785" s="99"/>
      <c r="M785" s="19"/>
      <c r="N785" s="19"/>
      <c r="O785" s="99"/>
      <c r="P785" s="19"/>
      <c r="Q785" s="19"/>
      <c r="R785" s="19"/>
      <c r="S785" s="19"/>
    </row>
    <row r="786" spans="1:19">
      <c r="A786" s="230"/>
      <c r="B786" s="231"/>
      <c r="C786" s="232"/>
      <c r="D786" s="233"/>
      <c r="E786" s="15"/>
      <c r="F786" s="19"/>
      <c r="G786" s="99"/>
      <c r="M786" s="19"/>
      <c r="N786" s="19"/>
      <c r="O786" s="99"/>
      <c r="P786" s="19"/>
      <c r="Q786" s="19"/>
      <c r="R786" s="19"/>
      <c r="S786" s="19"/>
    </row>
    <row r="787" spans="1:19">
      <c r="A787" s="230"/>
      <c r="B787" s="231"/>
      <c r="C787" s="232"/>
      <c r="D787" s="233"/>
      <c r="E787" s="15"/>
      <c r="F787" s="19"/>
      <c r="G787" s="99"/>
      <c r="M787" s="19"/>
      <c r="N787" s="19"/>
      <c r="O787" s="99"/>
      <c r="P787" s="19"/>
      <c r="Q787" s="19"/>
      <c r="R787" s="19"/>
      <c r="S787" s="19"/>
    </row>
    <row r="788" spans="1:19">
      <c r="A788" s="230"/>
      <c r="B788" s="231"/>
      <c r="C788" s="232"/>
      <c r="D788" s="233"/>
      <c r="E788" s="15"/>
      <c r="F788" s="19"/>
      <c r="G788" s="99"/>
      <c r="M788" s="19"/>
      <c r="N788" s="19"/>
      <c r="O788" s="99"/>
      <c r="P788" s="19"/>
      <c r="Q788" s="19"/>
      <c r="R788" s="19"/>
      <c r="S788" s="19"/>
    </row>
    <row r="789" spans="1:19">
      <c r="A789" s="230"/>
      <c r="B789" s="231"/>
      <c r="C789" s="232"/>
      <c r="D789" s="233"/>
      <c r="E789" s="15"/>
      <c r="F789" s="19"/>
      <c r="G789" s="99"/>
      <c r="M789" s="19"/>
      <c r="N789" s="19"/>
      <c r="O789" s="99"/>
      <c r="P789" s="19"/>
      <c r="Q789" s="19"/>
      <c r="R789" s="19"/>
      <c r="S789" s="19"/>
    </row>
    <row r="790" spans="1:19">
      <c r="A790" s="230"/>
      <c r="B790" s="231"/>
      <c r="C790" s="232"/>
      <c r="D790" s="233"/>
      <c r="E790" s="15"/>
      <c r="F790" s="19"/>
      <c r="G790" s="99"/>
      <c r="M790" s="19"/>
      <c r="N790" s="19"/>
      <c r="O790" s="99"/>
      <c r="P790" s="19"/>
      <c r="Q790" s="19"/>
      <c r="R790" s="19"/>
      <c r="S790" s="19"/>
    </row>
    <row r="791" spans="1:19">
      <c r="A791" s="230"/>
      <c r="B791" s="231"/>
      <c r="C791" s="232"/>
      <c r="D791" s="233"/>
      <c r="E791" s="15"/>
      <c r="F791" s="19"/>
      <c r="G791" s="99"/>
      <c r="M791" s="19"/>
      <c r="N791" s="19"/>
      <c r="O791" s="99"/>
      <c r="P791" s="19"/>
      <c r="Q791" s="19"/>
      <c r="R791" s="19"/>
      <c r="S791" s="19"/>
    </row>
    <row r="792" spans="1:19">
      <c r="A792" s="230"/>
      <c r="B792" s="231"/>
      <c r="C792" s="232"/>
      <c r="D792" s="233"/>
      <c r="E792" s="15"/>
      <c r="F792" s="19"/>
      <c r="G792" s="99"/>
      <c r="M792" s="19"/>
      <c r="N792" s="19"/>
      <c r="O792" s="99"/>
      <c r="P792" s="19"/>
      <c r="Q792" s="19"/>
      <c r="R792" s="19"/>
      <c r="S792" s="19"/>
    </row>
    <row r="793" spans="1:19">
      <c r="A793" s="230"/>
      <c r="B793" s="231"/>
      <c r="C793" s="232"/>
      <c r="D793" s="233"/>
      <c r="E793" s="15"/>
      <c r="F793" s="19"/>
      <c r="G793" s="99"/>
      <c r="M793" s="19"/>
      <c r="N793" s="19"/>
      <c r="O793" s="99"/>
      <c r="P793" s="19"/>
      <c r="Q793" s="19"/>
      <c r="R793" s="19"/>
      <c r="S793" s="19"/>
    </row>
    <row r="794" spans="1:19">
      <c r="A794" s="230"/>
      <c r="B794" s="231"/>
      <c r="C794" s="232"/>
      <c r="D794" s="233"/>
      <c r="E794" s="15"/>
      <c r="F794" s="19"/>
      <c r="G794" s="99"/>
      <c r="M794" s="19"/>
      <c r="N794" s="19"/>
      <c r="O794" s="99"/>
      <c r="P794" s="19"/>
      <c r="Q794" s="19"/>
      <c r="R794" s="19"/>
      <c r="S794" s="19"/>
    </row>
    <row r="795" spans="1:19">
      <c r="A795" s="230"/>
      <c r="B795" s="231"/>
      <c r="C795" s="232"/>
      <c r="D795" s="233"/>
      <c r="E795" s="15"/>
      <c r="F795" s="19"/>
      <c r="G795" s="99"/>
      <c r="M795" s="19"/>
      <c r="N795" s="19"/>
      <c r="O795" s="99"/>
      <c r="P795" s="19"/>
      <c r="Q795" s="19"/>
      <c r="R795" s="19"/>
      <c r="S795" s="19"/>
    </row>
    <row r="796" spans="1:19">
      <c r="A796" s="230"/>
      <c r="B796" s="231"/>
      <c r="C796" s="232"/>
      <c r="D796" s="233"/>
      <c r="E796" s="15"/>
      <c r="F796" s="19"/>
      <c r="G796" s="99"/>
      <c r="M796" s="19"/>
      <c r="N796" s="19"/>
      <c r="O796" s="99"/>
      <c r="P796" s="19"/>
      <c r="Q796" s="19"/>
      <c r="R796" s="19"/>
      <c r="S796" s="19"/>
    </row>
    <row r="797" spans="1:19">
      <c r="A797" s="230"/>
      <c r="B797" s="231"/>
      <c r="C797" s="232"/>
      <c r="D797" s="233"/>
      <c r="E797" s="15"/>
      <c r="F797" s="19"/>
      <c r="G797" s="99"/>
      <c r="M797" s="19"/>
      <c r="N797" s="19"/>
      <c r="O797" s="99"/>
      <c r="P797" s="19"/>
      <c r="Q797" s="19"/>
      <c r="R797" s="19"/>
      <c r="S797" s="19"/>
    </row>
    <row r="798" spans="1:19">
      <c r="A798" s="230"/>
      <c r="B798" s="231"/>
      <c r="C798" s="232"/>
      <c r="D798" s="233"/>
      <c r="E798" s="15"/>
      <c r="F798" s="19"/>
      <c r="G798" s="99"/>
      <c r="M798" s="19"/>
      <c r="N798" s="19"/>
      <c r="O798" s="99"/>
      <c r="P798" s="19"/>
      <c r="Q798" s="19"/>
      <c r="R798" s="19"/>
      <c r="S798" s="19"/>
    </row>
    <row r="799" spans="1:19">
      <c r="A799" s="230"/>
      <c r="B799" s="231"/>
      <c r="C799" s="232"/>
      <c r="D799" s="233"/>
      <c r="E799" s="15"/>
      <c r="F799" s="19"/>
      <c r="G799" s="99"/>
      <c r="M799" s="19"/>
      <c r="N799" s="19"/>
      <c r="O799" s="99"/>
      <c r="P799" s="19"/>
      <c r="Q799" s="19"/>
      <c r="R799" s="19"/>
      <c r="S799" s="19"/>
    </row>
    <row r="800" spans="1:19">
      <c r="A800" s="230"/>
      <c r="B800" s="231"/>
      <c r="C800" s="232"/>
      <c r="D800" s="233"/>
      <c r="E800" s="15"/>
      <c r="F800" s="19"/>
      <c r="G800" s="99"/>
      <c r="M800" s="19"/>
      <c r="N800" s="19"/>
      <c r="O800" s="99"/>
      <c r="P800" s="19"/>
      <c r="Q800" s="19"/>
      <c r="R800" s="19"/>
      <c r="S800" s="19"/>
    </row>
    <row r="801" spans="1:19">
      <c r="A801" s="230"/>
      <c r="B801" s="231"/>
      <c r="C801" s="232"/>
      <c r="D801" s="233"/>
      <c r="E801" s="15"/>
      <c r="F801" s="19"/>
      <c r="G801" s="99"/>
      <c r="M801" s="19"/>
      <c r="N801" s="19"/>
      <c r="O801" s="99"/>
      <c r="P801" s="19"/>
      <c r="Q801" s="19"/>
      <c r="R801" s="19"/>
      <c r="S801" s="19"/>
    </row>
    <row r="802" spans="1:19">
      <c r="A802" s="230"/>
      <c r="B802" s="231"/>
      <c r="C802" s="232"/>
      <c r="D802" s="233"/>
      <c r="E802" s="15"/>
      <c r="F802" s="19"/>
      <c r="G802" s="99"/>
      <c r="M802" s="19"/>
      <c r="N802" s="19"/>
      <c r="O802" s="99"/>
      <c r="P802" s="19"/>
      <c r="Q802" s="19"/>
      <c r="R802" s="19"/>
      <c r="S802" s="19"/>
    </row>
    <row r="803" spans="1:19">
      <c r="A803" s="230"/>
      <c r="B803" s="231"/>
      <c r="C803" s="232"/>
      <c r="D803" s="233"/>
      <c r="E803" s="15"/>
      <c r="F803" s="19"/>
      <c r="G803" s="99"/>
      <c r="M803" s="19"/>
      <c r="N803" s="19"/>
      <c r="O803" s="99"/>
      <c r="P803" s="19"/>
      <c r="Q803" s="19"/>
      <c r="R803" s="19"/>
      <c r="S803" s="19"/>
    </row>
    <row r="804" spans="1:19">
      <c r="A804" s="230"/>
      <c r="B804" s="231"/>
      <c r="C804" s="232"/>
      <c r="D804" s="233"/>
      <c r="E804" s="15"/>
      <c r="F804" s="19"/>
      <c r="G804" s="99"/>
      <c r="M804" s="19"/>
      <c r="N804" s="19"/>
      <c r="O804" s="99"/>
      <c r="P804" s="19"/>
      <c r="Q804" s="19"/>
      <c r="R804" s="19"/>
      <c r="S804" s="19"/>
    </row>
    <row r="805" spans="1:19">
      <c r="A805" s="230"/>
      <c r="B805" s="231"/>
      <c r="C805" s="232"/>
      <c r="D805" s="233"/>
      <c r="E805" s="15"/>
      <c r="F805" s="19"/>
      <c r="G805" s="99"/>
      <c r="M805" s="19"/>
      <c r="N805" s="19"/>
      <c r="O805" s="99"/>
      <c r="P805" s="19"/>
      <c r="Q805" s="19"/>
      <c r="R805" s="19"/>
      <c r="S805" s="19"/>
    </row>
    <row r="806" spans="1:19">
      <c r="A806" s="230"/>
      <c r="B806" s="231"/>
      <c r="C806" s="232"/>
      <c r="D806" s="233"/>
      <c r="E806" s="15"/>
      <c r="F806" s="19"/>
      <c r="G806" s="99"/>
      <c r="M806" s="19"/>
      <c r="N806" s="19"/>
      <c r="O806" s="99"/>
      <c r="P806" s="19"/>
      <c r="Q806" s="19"/>
      <c r="R806" s="19"/>
      <c r="S806" s="19"/>
    </row>
    <row r="807" spans="1:19">
      <c r="A807" s="230"/>
      <c r="B807" s="231"/>
      <c r="C807" s="232"/>
      <c r="D807" s="233"/>
      <c r="E807" s="15"/>
      <c r="F807" s="19"/>
      <c r="G807" s="99"/>
      <c r="M807" s="19"/>
      <c r="N807" s="19"/>
      <c r="O807" s="99"/>
      <c r="P807" s="19"/>
      <c r="Q807" s="19"/>
      <c r="R807" s="19"/>
      <c r="S807" s="19"/>
    </row>
    <row r="808" spans="1:19">
      <c r="A808" s="230"/>
      <c r="B808" s="231"/>
      <c r="C808" s="232"/>
      <c r="D808" s="233"/>
      <c r="E808" s="15"/>
      <c r="F808" s="19"/>
      <c r="G808" s="99"/>
      <c r="M808" s="19"/>
      <c r="N808" s="19"/>
      <c r="O808" s="99"/>
      <c r="P808" s="19"/>
      <c r="Q808" s="19"/>
      <c r="R808" s="19"/>
      <c r="S808" s="19"/>
    </row>
    <row r="809" spans="1:19">
      <c r="A809" s="230"/>
      <c r="B809" s="231"/>
      <c r="C809" s="232"/>
      <c r="D809" s="233"/>
      <c r="E809" s="15"/>
      <c r="F809" s="19"/>
      <c r="G809" s="99"/>
      <c r="M809" s="19"/>
      <c r="N809" s="19"/>
      <c r="O809" s="99"/>
      <c r="P809" s="19"/>
      <c r="Q809" s="19"/>
      <c r="R809" s="19"/>
      <c r="S809" s="19"/>
    </row>
    <row r="810" spans="1:19">
      <c r="A810" s="230"/>
      <c r="B810" s="231"/>
      <c r="C810" s="232"/>
      <c r="D810" s="233"/>
      <c r="E810" s="15"/>
      <c r="F810" s="19"/>
      <c r="G810" s="99"/>
      <c r="M810" s="19"/>
      <c r="N810" s="19"/>
      <c r="O810" s="99"/>
      <c r="P810" s="19"/>
      <c r="Q810" s="19"/>
      <c r="R810" s="19"/>
      <c r="S810" s="19"/>
    </row>
    <row r="811" spans="1:19">
      <c r="A811" s="230"/>
      <c r="B811" s="231"/>
      <c r="C811" s="232"/>
      <c r="D811" s="233"/>
      <c r="E811" s="15"/>
      <c r="F811" s="19"/>
      <c r="G811" s="99"/>
      <c r="M811" s="19"/>
      <c r="N811" s="19"/>
      <c r="O811" s="99"/>
      <c r="P811" s="19"/>
      <c r="Q811" s="19"/>
      <c r="R811" s="19"/>
      <c r="S811" s="19"/>
    </row>
    <row r="812" spans="1:19">
      <c r="A812" s="230"/>
      <c r="B812" s="231"/>
      <c r="C812" s="232"/>
      <c r="D812" s="233"/>
      <c r="E812" s="15"/>
      <c r="F812" s="19"/>
      <c r="G812" s="99"/>
      <c r="M812" s="19"/>
      <c r="N812" s="19"/>
      <c r="O812" s="99"/>
      <c r="P812" s="19"/>
      <c r="Q812" s="19"/>
      <c r="R812" s="19"/>
      <c r="S812" s="19"/>
    </row>
    <row r="813" spans="1:19">
      <c r="A813" s="230"/>
      <c r="B813" s="231"/>
      <c r="C813" s="232"/>
      <c r="D813" s="233"/>
      <c r="E813" s="15"/>
      <c r="F813" s="19"/>
      <c r="G813" s="99"/>
      <c r="M813" s="19"/>
      <c r="N813" s="19"/>
      <c r="O813" s="99"/>
      <c r="P813" s="19"/>
      <c r="Q813" s="19"/>
      <c r="R813" s="19"/>
      <c r="S813" s="19"/>
    </row>
    <row r="814" spans="1:19">
      <c r="A814" s="230"/>
      <c r="B814" s="231"/>
      <c r="C814" s="232"/>
      <c r="D814" s="233"/>
      <c r="E814" s="15"/>
      <c r="F814" s="19"/>
      <c r="G814" s="99"/>
      <c r="M814" s="19"/>
      <c r="N814" s="19"/>
      <c r="O814" s="99"/>
      <c r="P814" s="19"/>
      <c r="Q814" s="19"/>
      <c r="R814" s="19"/>
      <c r="S814" s="19"/>
    </row>
    <row r="815" spans="1:19">
      <c r="A815" s="230"/>
      <c r="B815" s="231"/>
      <c r="C815" s="232"/>
      <c r="D815" s="233"/>
      <c r="E815" s="15"/>
      <c r="F815" s="19"/>
      <c r="G815" s="99"/>
      <c r="M815" s="19"/>
      <c r="N815" s="19"/>
      <c r="O815" s="99"/>
      <c r="P815" s="19"/>
      <c r="Q815" s="19"/>
      <c r="R815" s="19"/>
      <c r="S815" s="19"/>
    </row>
    <row r="816" spans="1:19">
      <c r="A816" s="230"/>
      <c r="B816" s="231"/>
      <c r="C816" s="232"/>
      <c r="D816" s="233"/>
      <c r="E816" s="15"/>
      <c r="F816" s="19"/>
      <c r="G816" s="99"/>
      <c r="M816" s="19"/>
      <c r="N816" s="19"/>
      <c r="O816" s="99"/>
      <c r="P816" s="19"/>
      <c r="Q816" s="19"/>
      <c r="R816" s="19"/>
      <c r="S816" s="19"/>
    </row>
    <row r="817" spans="1:19">
      <c r="A817" s="230"/>
      <c r="B817" s="231"/>
      <c r="C817" s="232"/>
      <c r="D817" s="233"/>
      <c r="E817" s="15"/>
      <c r="F817" s="19"/>
      <c r="G817" s="99"/>
      <c r="M817" s="19"/>
      <c r="N817" s="19"/>
      <c r="O817" s="99"/>
      <c r="P817" s="19"/>
      <c r="Q817" s="19"/>
      <c r="R817" s="19"/>
      <c r="S817" s="19"/>
    </row>
    <row r="818" spans="1:19">
      <c r="A818" s="230"/>
      <c r="B818" s="231"/>
      <c r="C818" s="232"/>
      <c r="D818" s="233"/>
      <c r="E818" s="15"/>
      <c r="F818" s="19"/>
      <c r="G818" s="99"/>
      <c r="M818" s="19"/>
      <c r="N818" s="19"/>
      <c r="O818" s="99"/>
      <c r="P818" s="19"/>
      <c r="Q818" s="19"/>
      <c r="R818" s="19"/>
      <c r="S818" s="19"/>
    </row>
    <row r="819" spans="1:19">
      <c r="A819" s="230"/>
      <c r="B819" s="231"/>
      <c r="C819" s="232"/>
      <c r="D819" s="233"/>
      <c r="E819" s="15"/>
      <c r="F819" s="19"/>
      <c r="G819" s="99"/>
      <c r="M819" s="19"/>
      <c r="N819" s="19"/>
      <c r="O819" s="99"/>
      <c r="P819" s="19"/>
      <c r="Q819" s="19"/>
      <c r="R819" s="19"/>
      <c r="S819" s="19"/>
    </row>
    <row r="820" spans="1:19">
      <c r="A820" s="230"/>
      <c r="B820" s="231"/>
      <c r="C820" s="232"/>
      <c r="D820" s="233"/>
      <c r="E820" s="15"/>
      <c r="F820" s="19"/>
      <c r="G820" s="99"/>
      <c r="M820" s="19"/>
      <c r="N820" s="19"/>
      <c r="O820" s="99"/>
      <c r="P820" s="19"/>
      <c r="Q820" s="19"/>
      <c r="R820" s="19"/>
      <c r="S820" s="19"/>
    </row>
    <row r="821" spans="1:19">
      <c r="A821" s="230"/>
      <c r="B821" s="231"/>
      <c r="C821" s="232"/>
      <c r="D821" s="233"/>
      <c r="E821" s="15"/>
      <c r="F821" s="19"/>
      <c r="G821" s="99"/>
      <c r="M821" s="19"/>
      <c r="N821" s="19"/>
      <c r="O821" s="99"/>
      <c r="P821" s="19"/>
      <c r="Q821" s="19"/>
      <c r="R821" s="19"/>
      <c r="S821" s="19"/>
    </row>
    <row r="822" spans="1:19">
      <c r="A822" s="230"/>
      <c r="B822" s="231"/>
      <c r="C822" s="232"/>
      <c r="D822" s="233"/>
      <c r="E822" s="15"/>
      <c r="F822" s="19"/>
      <c r="G822" s="99"/>
      <c r="M822" s="19"/>
      <c r="N822" s="19"/>
      <c r="O822" s="99"/>
      <c r="P822" s="19"/>
      <c r="Q822" s="19"/>
      <c r="R822" s="19"/>
      <c r="S822" s="19"/>
    </row>
    <row r="823" spans="1:19">
      <c r="A823" s="230"/>
      <c r="B823" s="231"/>
      <c r="C823" s="232"/>
      <c r="D823" s="233"/>
      <c r="E823" s="15"/>
      <c r="F823" s="19"/>
      <c r="G823" s="99"/>
      <c r="M823" s="19"/>
      <c r="N823" s="19"/>
      <c r="O823" s="99"/>
      <c r="P823" s="19"/>
      <c r="Q823" s="19"/>
      <c r="R823" s="19"/>
      <c r="S823" s="19"/>
    </row>
    <row r="824" spans="1:19">
      <c r="A824" s="230"/>
      <c r="B824" s="231"/>
      <c r="C824" s="232"/>
      <c r="D824" s="233"/>
      <c r="E824" s="15"/>
      <c r="F824" s="19"/>
      <c r="G824" s="99"/>
      <c r="M824" s="19"/>
      <c r="N824" s="19"/>
      <c r="O824" s="99"/>
      <c r="P824" s="19"/>
      <c r="Q824" s="19"/>
      <c r="R824" s="19"/>
      <c r="S824" s="19"/>
    </row>
    <row r="825" spans="1:19">
      <c r="A825" s="230"/>
      <c r="B825" s="231"/>
      <c r="C825" s="232"/>
      <c r="D825" s="233"/>
      <c r="E825" s="15"/>
      <c r="F825" s="19"/>
      <c r="G825" s="99"/>
      <c r="M825" s="19"/>
      <c r="N825" s="19"/>
      <c r="O825" s="99"/>
      <c r="P825" s="19"/>
      <c r="Q825" s="19"/>
      <c r="R825" s="19"/>
      <c r="S825" s="19"/>
    </row>
    <row r="826" spans="1:19">
      <c r="A826" s="230"/>
      <c r="B826" s="231"/>
      <c r="C826" s="232"/>
      <c r="D826" s="233"/>
      <c r="E826" s="15"/>
      <c r="F826" s="19"/>
      <c r="G826" s="99"/>
      <c r="M826" s="19"/>
      <c r="N826" s="19"/>
      <c r="O826" s="99"/>
      <c r="P826" s="19"/>
      <c r="Q826" s="19"/>
      <c r="R826" s="19"/>
      <c r="S826" s="19"/>
    </row>
    <row r="827" spans="1:19">
      <c r="A827" s="230"/>
      <c r="B827" s="231"/>
      <c r="C827" s="232"/>
      <c r="D827" s="233"/>
      <c r="E827" s="15"/>
      <c r="F827" s="19"/>
      <c r="G827" s="99"/>
      <c r="M827" s="19"/>
      <c r="N827" s="19"/>
      <c r="O827" s="99"/>
      <c r="P827" s="19"/>
      <c r="Q827" s="19"/>
      <c r="R827" s="19"/>
      <c r="S827" s="19"/>
    </row>
    <row r="828" spans="1:19">
      <c r="A828" s="230"/>
      <c r="B828" s="231"/>
      <c r="C828" s="232"/>
      <c r="D828" s="233"/>
      <c r="E828" s="15"/>
      <c r="F828" s="19"/>
      <c r="G828" s="99"/>
      <c r="M828" s="19"/>
      <c r="N828" s="19"/>
      <c r="O828" s="99"/>
      <c r="P828" s="19"/>
      <c r="Q828" s="19"/>
      <c r="R828" s="19"/>
      <c r="S828" s="19"/>
    </row>
    <row r="829" spans="1:19">
      <c r="A829" s="230"/>
      <c r="B829" s="231"/>
      <c r="C829" s="232"/>
      <c r="D829" s="233"/>
      <c r="E829" s="15"/>
      <c r="F829" s="19"/>
      <c r="G829" s="99"/>
      <c r="M829" s="19"/>
      <c r="N829" s="19"/>
      <c r="O829" s="99"/>
      <c r="P829" s="19"/>
      <c r="Q829" s="19"/>
      <c r="R829" s="19"/>
      <c r="S829" s="19"/>
    </row>
    <row r="830" spans="1:19">
      <c r="A830" s="230"/>
      <c r="B830" s="231"/>
      <c r="C830" s="232"/>
      <c r="D830" s="233"/>
      <c r="E830" s="15"/>
      <c r="F830" s="19"/>
      <c r="G830" s="99"/>
      <c r="M830" s="19"/>
      <c r="N830" s="19"/>
      <c r="O830" s="99"/>
      <c r="P830" s="19"/>
      <c r="Q830" s="19"/>
      <c r="R830" s="19"/>
      <c r="S830" s="19"/>
    </row>
    <row r="831" spans="1:19">
      <c r="A831" s="230"/>
      <c r="B831" s="231"/>
      <c r="C831" s="232"/>
      <c r="D831" s="233"/>
      <c r="E831" s="15"/>
      <c r="F831" s="19"/>
      <c r="G831" s="99"/>
      <c r="M831" s="19"/>
      <c r="N831" s="19"/>
      <c r="O831" s="99"/>
      <c r="P831" s="19"/>
      <c r="Q831" s="19"/>
      <c r="R831" s="19"/>
      <c r="S831" s="19"/>
    </row>
    <row r="832" spans="1:19">
      <c r="A832" s="230"/>
      <c r="B832" s="231"/>
      <c r="C832" s="232"/>
      <c r="D832" s="233"/>
      <c r="E832" s="15"/>
      <c r="F832" s="19"/>
      <c r="G832" s="99"/>
      <c r="M832" s="19"/>
      <c r="N832" s="19"/>
      <c r="O832" s="99"/>
      <c r="P832" s="19"/>
      <c r="Q832" s="19"/>
      <c r="R832" s="19"/>
      <c r="S832" s="19"/>
    </row>
    <row r="833" spans="1:19">
      <c r="A833" s="230"/>
      <c r="B833" s="231"/>
      <c r="C833" s="232"/>
      <c r="D833" s="233"/>
      <c r="E833" s="15"/>
      <c r="F833" s="19"/>
      <c r="G833" s="99"/>
      <c r="M833" s="19"/>
      <c r="N833" s="19"/>
      <c r="O833" s="99"/>
      <c r="P833" s="19"/>
      <c r="Q833" s="19"/>
      <c r="R833" s="19"/>
      <c r="S833" s="19"/>
    </row>
    <row r="834" spans="1:19">
      <c r="A834" s="230"/>
      <c r="B834" s="231"/>
      <c r="C834" s="232"/>
      <c r="D834" s="233"/>
      <c r="E834" s="15"/>
      <c r="F834" s="19"/>
      <c r="G834" s="99"/>
      <c r="M834" s="19"/>
      <c r="N834" s="19"/>
      <c r="O834" s="99"/>
      <c r="P834" s="19"/>
      <c r="Q834" s="19"/>
      <c r="R834" s="19"/>
      <c r="S834" s="19"/>
    </row>
    <row r="835" spans="1:19">
      <c r="A835" s="230"/>
      <c r="B835" s="231"/>
      <c r="C835" s="232"/>
      <c r="D835" s="233"/>
      <c r="E835" s="15"/>
      <c r="F835" s="19"/>
      <c r="G835" s="99"/>
      <c r="M835" s="19"/>
      <c r="N835" s="19"/>
      <c r="O835" s="99"/>
      <c r="P835" s="19"/>
      <c r="Q835" s="19"/>
      <c r="R835" s="19"/>
      <c r="S835" s="19"/>
    </row>
    <row r="836" spans="1:19">
      <c r="A836" s="230"/>
      <c r="B836" s="231"/>
      <c r="C836" s="232"/>
      <c r="D836" s="233"/>
      <c r="E836" s="15"/>
      <c r="F836" s="19"/>
      <c r="G836" s="99"/>
      <c r="M836" s="19"/>
      <c r="N836" s="19"/>
      <c r="O836" s="99"/>
      <c r="P836" s="19"/>
      <c r="Q836" s="19"/>
      <c r="R836" s="19"/>
      <c r="S836" s="19"/>
    </row>
    <row r="837" spans="1:19">
      <c r="A837" s="230"/>
      <c r="B837" s="231"/>
      <c r="C837" s="232"/>
      <c r="D837" s="233"/>
      <c r="E837" s="15"/>
      <c r="F837" s="19"/>
      <c r="G837" s="99"/>
      <c r="M837" s="19"/>
      <c r="N837" s="19"/>
      <c r="O837" s="99"/>
      <c r="P837" s="19"/>
      <c r="Q837" s="19"/>
      <c r="R837" s="19"/>
      <c r="S837" s="19"/>
    </row>
    <row r="838" spans="1:19">
      <c r="A838" s="230"/>
      <c r="B838" s="231"/>
      <c r="C838" s="232"/>
      <c r="D838" s="233"/>
      <c r="E838" s="15"/>
      <c r="F838" s="19"/>
      <c r="G838" s="99"/>
      <c r="M838" s="19"/>
      <c r="N838" s="19"/>
      <c r="O838" s="99"/>
      <c r="P838" s="19"/>
      <c r="Q838" s="19"/>
      <c r="R838" s="19"/>
      <c r="S838" s="19"/>
    </row>
    <row r="839" spans="1:19">
      <c r="A839" s="230"/>
      <c r="B839" s="231"/>
      <c r="C839" s="232"/>
      <c r="D839" s="233"/>
      <c r="E839" s="15"/>
      <c r="F839" s="19"/>
      <c r="G839" s="99"/>
      <c r="M839" s="19"/>
      <c r="N839" s="19"/>
      <c r="O839" s="99"/>
      <c r="P839" s="19"/>
      <c r="Q839" s="19"/>
      <c r="R839" s="19"/>
      <c r="S839" s="19"/>
    </row>
    <row r="840" spans="1:19">
      <c r="A840" s="230"/>
      <c r="B840" s="231"/>
      <c r="C840" s="232"/>
      <c r="D840" s="233"/>
      <c r="E840" s="15"/>
      <c r="F840" s="19"/>
      <c r="G840" s="99"/>
      <c r="M840" s="19"/>
      <c r="N840" s="19"/>
      <c r="O840" s="99"/>
      <c r="P840" s="19"/>
      <c r="Q840" s="19"/>
      <c r="R840" s="19"/>
      <c r="S840" s="19"/>
    </row>
    <row r="841" spans="1:19">
      <c r="A841" s="230"/>
      <c r="B841" s="231"/>
      <c r="C841" s="232"/>
      <c r="D841" s="233"/>
      <c r="E841" s="15"/>
      <c r="F841" s="19"/>
      <c r="G841" s="99"/>
      <c r="M841" s="19"/>
      <c r="N841" s="19"/>
      <c r="O841" s="99"/>
      <c r="P841" s="19"/>
      <c r="Q841" s="19"/>
      <c r="R841" s="19"/>
      <c r="S841" s="19"/>
    </row>
    <row r="842" spans="1:19">
      <c r="A842" s="230"/>
      <c r="B842" s="231"/>
      <c r="C842" s="232"/>
      <c r="D842" s="233"/>
      <c r="E842" s="15"/>
      <c r="F842" s="19"/>
      <c r="G842" s="99"/>
      <c r="M842" s="19"/>
      <c r="N842" s="19"/>
      <c r="O842" s="99"/>
      <c r="P842" s="19"/>
      <c r="Q842" s="19"/>
      <c r="R842" s="19"/>
      <c r="S842" s="19"/>
    </row>
    <row r="843" spans="1:19">
      <c r="A843" s="230"/>
      <c r="B843" s="231"/>
      <c r="C843" s="232"/>
      <c r="D843" s="233"/>
      <c r="E843" s="15"/>
      <c r="F843" s="19"/>
      <c r="G843" s="99"/>
      <c r="M843" s="19"/>
      <c r="N843" s="19"/>
      <c r="O843" s="99"/>
      <c r="P843" s="19"/>
      <c r="Q843" s="19"/>
      <c r="R843" s="19"/>
      <c r="S843" s="19"/>
    </row>
    <row r="844" spans="1:19">
      <c r="A844" s="230"/>
      <c r="B844" s="231"/>
      <c r="C844" s="232"/>
      <c r="D844" s="233"/>
      <c r="E844" s="15"/>
      <c r="F844" s="19"/>
      <c r="G844" s="99"/>
      <c r="M844" s="19"/>
      <c r="N844" s="19"/>
      <c r="O844" s="99"/>
      <c r="P844" s="19"/>
      <c r="Q844" s="19"/>
      <c r="R844" s="19"/>
      <c r="S844" s="19"/>
    </row>
    <row r="845" spans="1:19">
      <c r="A845" s="230"/>
      <c r="B845" s="231"/>
      <c r="C845" s="232"/>
      <c r="D845" s="233"/>
      <c r="E845" s="15"/>
      <c r="F845" s="19"/>
      <c r="G845" s="99"/>
      <c r="M845" s="19"/>
      <c r="N845" s="19"/>
      <c r="O845" s="99"/>
      <c r="P845" s="19"/>
      <c r="Q845" s="19"/>
      <c r="R845" s="19"/>
      <c r="S845" s="19"/>
    </row>
    <row r="846" spans="1:19">
      <c r="A846" s="230"/>
      <c r="B846" s="231"/>
      <c r="C846" s="232"/>
      <c r="D846" s="233"/>
      <c r="E846" s="15"/>
      <c r="F846" s="19"/>
      <c r="G846" s="99"/>
      <c r="M846" s="19"/>
      <c r="N846" s="19"/>
      <c r="O846" s="99"/>
      <c r="P846" s="19"/>
      <c r="Q846" s="19"/>
      <c r="R846" s="19"/>
      <c r="S846" s="19"/>
    </row>
    <row r="847" spans="1:19">
      <c r="A847" s="230"/>
      <c r="B847" s="231"/>
      <c r="C847" s="232"/>
      <c r="D847" s="233"/>
      <c r="E847" s="15"/>
      <c r="F847" s="19"/>
      <c r="G847" s="99"/>
      <c r="M847" s="19"/>
      <c r="N847" s="19"/>
      <c r="O847" s="99"/>
      <c r="P847" s="19"/>
      <c r="Q847" s="19"/>
      <c r="R847" s="19"/>
      <c r="S847" s="19"/>
    </row>
    <row r="848" spans="1:19">
      <c r="A848" s="230"/>
      <c r="B848" s="231"/>
      <c r="C848" s="232"/>
      <c r="D848" s="233"/>
      <c r="E848" s="15"/>
      <c r="F848" s="19"/>
      <c r="G848" s="99"/>
      <c r="M848" s="19"/>
      <c r="N848" s="19"/>
      <c r="O848" s="99"/>
      <c r="P848" s="19"/>
      <c r="Q848" s="19"/>
      <c r="R848" s="19"/>
      <c r="S848" s="19"/>
    </row>
    <row r="849" spans="1:19">
      <c r="A849" s="230"/>
      <c r="B849" s="231"/>
      <c r="C849" s="232"/>
      <c r="D849" s="233"/>
      <c r="E849" s="15"/>
      <c r="F849" s="19"/>
      <c r="G849" s="99"/>
      <c r="M849" s="19"/>
      <c r="N849" s="19"/>
      <c r="O849" s="99"/>
      <c r="P849" s="19"/>
      <c r="Q849" s="19"/>
      <c r="R849" s="19"/>
      <c r="S849" s="19"/>
    </row>
    <row r="850" spans="1:19">
      <c r="A850" s="230"/>
      <c r="B850" s="231"/>
      <c r="C850" s="232"/>
      <c r="D850" s="233"/>
      <c r="E850" s="15"/>
      <c r="F850" s="19"/>
      <c r="G850" s="99"/>
      <c r="M850" s="19"/>
      <c r="N850" s="19"/>
      <c r="O850" s="99"/>
      <c r="P850" s="19"/>
      <c r="Q850" s="19"/>
      <c r="R850" s="19"/>
      <c r="S850" s="19"/>
    </row>
    <row r="851" spans="1:19">
      <c r="A851" s="230"/>
      <c r="B851" s="231"/>
      <c r="C851" s="232"/>
      <c r="D851" s="233"/>
      <c r="E851" s="15"/>
      <c r="F851" s="19"/>
      <c r="G851" s="99"/>
      <c r="M851" s="19"/>
      <c r="N851" s="19"/>
      <c r="O851" s="99"/>
      <c r="P851" s="19"/>
      <c r="Q851" s="19"/>
      <c r="R851" s="19"/>
      <c r="S851" s="19"/>
    </row>
    <row r="852" spans="1:19">
      <c r="A852" s="230"/>
      <c r="B852" s="231"/>
      <c r="C852" s="232"/>
      <c r="D852" s="233"/>
      <c r="E852" s="15"/>
      <c r="F852" s="19"/>
      <c r="G852" s="99"/>
      <c r="M852" s="19"/>
      <c r="N852" s="19"/>
      <c r="O852" s="99"/>
      <c r="P852" s="19"/>
      <c r="Q852" s="19"/>
      <c r="R852" s="19"/>
      <c r="S852" s="19"/>
    </row>
    <row r="853" spans="1:19">
      <c r="A853" s="230"/>
      <c r="B853" s="231"/>
      <c r="C853" s="232"/>
      <c r="D853" s="233"/>
      <c r="E853" s="15"/>
      <c r="F853" s="19"/>
      <c r="G853" s="99"/>
      <c r="M853" s="19"/>
      <c r="N853" s="19"/>
      <c r="O853" s="99"/>
      <c r="P853" s="19"/>
      <c r="Q853" s="19"/>
      <c r="R853" s="19"/>
      <c r="S853" s="19"/>
    </row>
    <row r="854" spans="1:19">
      <c r="A854" s="230"/>
      <c r="B854" s="231"/>
      <c r="C854" s="232"/>
      <c r="D854" s="233"/>
      <c r="E854" s="15"/>
      <c r="F854" s="19"/>
      <c r="G854" s="99"/>
      <c r="M854" s="19"/>
      <c r="N854" s="19"/>
      <c r="O854" s="99"/>
      <c r="P854" s="19"/>
      <c r="Q854" s="19"/>
      <c r="R854" s="19"/>
      <c r="S854" s="19"/>
    </row>
    <row r="855" spans="1:19">
      <c r="A855" s="230"/>
      <c r="B855" s="231"/>
      <c r="C855" s="232"/>
      <c r="D855" s="233"/>
      <c r="E855" s="15"/>
      <c r="F855" s="19"/>
      <c r="G855" s="99"/>
      <c r="M855" s="19"/>
      <c r="N855" s="19"/>
      <c r="O855" s="99"/>
      <c r="P855" s="19"/>
      <c r="Q855" s="19"/>
      <c r="R855" s="19"/>
      <c r="S855" s="19"/>
    </row>
    <row r="856" spans="1:19">
      <c r="A856" s="230"/>
      <c r="B856" s="231"/>
      <c r="C856" s="232"/>
      <c r="D856" s="233"/>
      <c r="E856" s="15"/>
      <c r="F856" s="19"/>
      <c r="G856" s="99"/>
      <c r="M856" s="19"/>
      <c r="N856" s="19"/>
      <c r="O856" s="99"/>
      <c r="P856" s="19"/>
      <c r="Q856" s="19"/>
      <c r="R856" s="19"/>
      <c r="S856" s="19"/>
    </row>
    <row r="857" spans="1:19">
      <c r="A857" s="230"/>
      <c r="B857" s="231"/>
      <c r="C857" s="232"/>
      <c r="D857" s="233"/>
      <c r="E857" s="15"/>
      <c r="F857" s="19"/>
      <c r="G857" s="99"/>
      <c r="M857" s="19"/>
      <c r="N857" s="19"/>
      <c r="O857" s="99"/>
      <c r="P857" s="19"/>
      <c r="Q857" s="19"/>
      <c r="R857" s="19"/>
      <c r="S857" s="19"/>
    </row>
    <row r="858" spans="1:19">
      <c r="A858" s="230"/>
      <c r="B858" s="231"/>
      <c r="C858" s="232"/>
      <c r="D858" s="233"/>
      <c r="E858" s="15"/>
      <c r="F858" s="19"/>
      <c r="G858" s="99"/>
      <c r="M858" s="19"/>
      <c r="N858" s="19"/>
      <c r="O858" s="99"/>
      <c r="P858" s="19"/>
      <c r="Q858" s="19"/>
      <c r="R858" s="19"/>
      <c r="S858" s="19"/>
    </row>
    <row r="859" spans="1:19">
      <c r="A859" s="230"/>
      <c r="B859" s="231"/>
      <c r="C859" s="232"/>
      <c r="D859" s="233"/>
      <c r="E859" s="15"/>
      <c r="F859" s="19"/>
      <c r="G859" s="99"/>
      <c r="M859" s="19"/>
      <c r="N859" s="19"/>
      <c r="O859" s="99"/>
      <c r="P859" s="19"/>
      <c r="Q859" s="19"/>
      <c r="R859" s="19"/>
      <c r="S859" s="19"/>
    </row>
    <row r="860" spans="1:19">
      <c r="A860" s="230"/>
      <c r="B860" s="231"/>
      <c r="C860" s="232"/>
      <c r="D860" s="233"/>
      <c r="E860" s="15"/>
      <c r="F860" s="19"/>
      <c r="G860" s="99"/>
      <c r="M860" s="19"/>
      <c r="N860" s="19"/>
      <c r="O860" s="99"/>
      <c r="P860" s="19"/>
      <c r="Q860" s="19"/>
      <c r="R860" s="19"/>
      <c r="S860" s="19"/>
    </row>
    <row r="861" spans="1:19">
      <c r="A861" s="230"/>
      <c r="B861" s="231"/>
      <c r="C861" s="232"/>
      <c r="D861" s="233"/>
      <c r="E861" s="15"/>
      <c r="F861" s="19"/>
      <c r="G861" s="99"/>
      <c r="M861" s="19"/>
      <c r="N861" s="19"/>
      <c r="O861" s="99"/>
      <c r="P861" s="19"/>
      <c r="Q861" s="19"/>
      <c r="R861" s="19"/>
      <c r="S861" s="19"/>
    </row>
    <row r="862" spans="1:19">
      <c r="A862" s="230"/>
      <c r="B862" s="231"/>
      <c r="C862" s="232"/>
      <c r="D862" s="233"/>
      <c r="E862" s="15"/>
      <c r="F862" s="19"/>
      <c r="G862" s="99"/>
      <c r="M862" s="19"/>
      <c r="N862" s="19"/>
      <c r="O862" s="99"/>
      <c r="P862" s="19"/>
      <c r="Q862" s="19"/>
      <c r="R862" s="19"/>
      <c r="S862" s="19"/>
    </row>
    <row r="863" spans="1:19">
      <c r="A863" s="230"/>
      <c r="B863" s="231"/>
      <c r="C863" s="232"/>
      <c r="D863" s="233"/>
      <c r="E863" s="15"/>
      <c r="F863" s="19"/>
      <c r="G863" s="99"/>
      <c r="M863" s="19"/>
      <c r="N863" s="19"/>
      <c r="O863" s="99"/>
      <c r="P863" s="19"/>
      <c r="Q863" s="19"/>
      <c r="R863" s="19"/>
      <c r="S863" s="19"/>
    </row>
    <row r="864" spans="1:19">
      <c r="A864" s="230"/>
      <c r="B864" s="231"/>
      <c r="C864" s="232"/>
      <c r="D864" s="233"/>
      <c r="E864" s="15"/>
      <c r="F864" s="19"/>
      <c r="G864" s="99"/>
      <c r="M864" s="19"/>
      <c r="N864" s="19"/>
      <c r="O864" s="99"/>
      <c r="P864" s="19"/>
      <c r="Q864" s="19"/>
      <c r="R864" s="19"/>
      <c r="S864" s="19"/>
    </row>
    <row r="865" spans="1:19">
      <c r="A865" s="230"/>
      <c r="B865" s="231"/>
      <c r="C865" s="232"/>
      <c r="D865" s="233"/>
      <c r="E865" s="15"/>
      <c r="F865" s="19"/>
      <c r="G865" s="99"/>
      <c r="M865" s="19"/>
      <c r="N865" s="19"/>
      <c r="O865" s="99"/>
      <c r="P865" s="19"/>
      <c r="Q865" s="19"/>
      <c r="R865" s="19"/>
      <c r="S865" s="19"/>
    </row>
    <row r="866" spans="1:19">
      <c r="A866" s="230"/>
      <c r="B866" s="231"/>
      <c r="C866" s="232"/>
      <c r="D866" s="233"/>
      <c r="E866" s="15"/>
      <c r="F866" s="19"/>
      <c r="G866" s="99"/>
      <c r="M866" s="19"/>
      <c r="N866" s="19"/>
      <c r="O866" s="99"/>
      <c r="P866" s="19"/>
      <c r="Q866" s="19"/>
      <c r="R866" s="19"/>
      <c r="S866" s="19"/>
    </row>
    <row r="867" spans="1:19">
      <c r="A867" s="230"/>
      <c r="B867" s="231"/>
      <c r="C867" s="232"/>
      <c r="D867" s="233"/>
      <c r="E867" s="15"/>
      <c r="F867" s="19"/>
      <c r="G867" s="99"/>
      <c r="M867" s="19"/>
      <c r="N867" s="19"/>
      <c r="O867" s="99"/>
      <c r="P867" s="19"/>
      <c r="Q867" s="19"/>
      <c r="R867" s="19"/>
      <c r="S867" s="19"/>
    </row>
    <row r="868" spans="1:19">
      <c r="A868" s="230"/>
      <c r="B868" s="231"/>
      <c r="C868" s="232"/>
      <c r="D868" s="233"/>
      <c r="E868" s="15"/>
      <c r="F868" s="19"/>
      <c r="G868" s="99"/>
      <c r="M868" s="19"/>
      <c r="N868" s="19"/>
      <c r="O868" s="99"/>
      <c r="P868" s="19"/>
      <c r="Q868" s="19"/>
      <c r="R868" s="19"/>
      <c r="S868" s="19"/>
    </row>
    <row r="869" spans="1:19">
      <c r="A869" s="230"/>
      <c r="B869" s="231"/>
      <c r="C869" s="232"/>
      <c r="D869" s="233"/>
      <c r="E869" s="15"/>
      <c r="F869" s="19"/>
      <c r="G869" s="99"/>
      <c r="M869" s="19"/>
      <c r="N869" s="19"/>
      <c r="O869" s="99"/>
      <c r="P869" s="19"/>
      <c r="Q869" s="19"/>
      <c r="R869" s="19"/>
      <c r="S869" s="19"/>
    </row>
    <row r="870" spans="1:19">
      <c r="A870" s="230"/>
      <c r="B870" s="231"/>
      <c r="C870" s="232"/>
      <c r="D870" s="233"/>
      <c r="E870" s="15"/>
      <c r="F870" s="19"/>
      <c r="G870" s="99"/>
      <c r="M870" s="19"/>
      <c r="N870" s="19"/>
      <c r="O870" s="99"/>
      <c r="P870" s="19"/>
      <c r="Q870" s="19"/>
      <c r="R870" s="19"/>
      <c r="S870" s="19"/>
    </row>
    <row r="871" spans="1:19">
      <c r="A871" s="230"/>
      <c r="B871" s="231"/>
      <c r="C871" s="232"/>
      <c r="D871" s="233"/>
      <c r="E871" s="15"/>
      <c r="F871" s="19"/>
      <c r="G871" s="99"/>
      <c r="M871" s="19"/>
      <c r="N871" s="19"/>
      <c r="O871" s="99"/>
      <c r="P871" s="19"/>
      <c r="Q871" s="19"/>
      <c r="R871" s="19"/>
      <c r="S871" s="19"/>
    </row>
    <row r="872" spans="1:19">
      <c r="A872" s="230"/>
      <c r="B872" s="231"/>
      <c r="C872" s="232"/>
      <c r="D872" s="233"/>
      <c r="E872" s="15"/>
      <c r="F872" s="19"/>
      <c r="G872" s="99"/>
      <c r="M872" s="19"/>
      <c r="N872" s="19"/>
      <c r="O872" s="99"/>
      <c r="P872" s="19"/>
      <c r="Q872" s="19"/>
      <c r="R872" s="19"/>
      <c r="S872" s="19"/>
    </row>
    <row r="873" spans="1:19">
      <c r="A873" s="230"/>
      <c r="B873" s="231"/>
      <c r="C873" s="232"/>
      <c r="D873" s="233"/>
      <c r="E873" s="15"/>
      <c r="F873" s="19"/>
      <c r="G873" s="99"/>
      <c r="M873" s="19"/>
      <c r="N873" s="19"/>
      <c r="O873" s="99"/>
      <c r="P873" s="19"/>
      <c r="Q873" s="19"/>
      <c r="R873" s="19"/>
      <c r="S873" s="19"/>
    </row>
    <row r="874" spans="1:19">
      <c r="A874" s="230"/>
      <c r="B874" s="231"/>
      <c r="C874" s="232"/>
      <c r="D874" s="233"/>
      <c r="E874" s="15"/>
      <c r="F874" s="19"/>
      <c r="G874" s="99"/>
      <c r="M874" s="19"/>
      <c r="N874" s="19"/>
      <c r="O874" s="99"/>
      <c r="P874" s="19"/>
      <c r="Q874" s="19"/>
      <c r="R874" s="19"/>
      <c r="S874" s="19"/>
    </row>
    <row r="875" spans="1:19">
      <c r="A875" s="230"/>
      <c r="B875" s="231"/>
      <c r="C875" s="232"/>
      <c r="D875" s="233"/>
      <c r="E875" s="15"/>
      <c r="F875" s="19"/>
      <c r="G875" s="99"/>
      <c r="M875" s="19"/>
      <c r="N875" s="19"/>
      <c r="O875" s="99"/>
      <c r="P875" s="19"/>
      <c r="Q875" s="19"/>
      <c r="R875" s="19"/>
      <c r="S875" s="19"/>
    </row>
    <row r="876" spans="1:19">
      <c r="A876" s="230"/>
      <c r="B876" s="231"/>
      <c r="C876" s="232"/>
      <c r="D876" s="233"/>
      <c r="E876" s="15"/>
      <c r="F876" s="19"/>
      <c r="G876" s="99"/>
      <c r="M876" s="19"/>
      <c r="N876" s="19"/>
      <c r="O876" s="99"/>
      <c r="P876" s="19"/>
      <c r="Q876" s="19"/>
      <c r="R876" s="19"/>
      <c r="S876" s="19"/>
    </row>
    <row r="877" spans="1:19">
      <c r="A877" s="230"/>
      <c r="B877" s="231"/>
      <c r="C877" s="232"/>
      <c r="D877" s="233"/>
      <c r="E877" s="15"/>
      <c r="F877" s="19"/>
      <c r="G877" s="99"/>
      <c r="M877" s="19"/>
      <c r="N877" s="19"/>
      <c r="O877" s="99"/>
      <c r="P877" s="19"/>
      <c r="Q877" s="19"/>
      <c r="R877" s="19"/>
      <c r="S877" s="19"/>
    </row>
    <row r="878" spans="1:19">
      <c r="A878" s="230"/>
      <c r="B878" s="231"/>
      <c r="C878" s="232"/>
      <c r="D878" s="233"/>
      <c r="E878" s="15"/>
      <c r="F878" s="19"/>
      <c r="G878" s="99"/>
      <c r="M878" s="19"/>
      <c r="N878" s="19"/>
      <c r="O878" s="99"/>
      <c r="P878" s="19"/>
      <c r="Q878" s="19"/>
      <c r="R878" s="19"/>
      <c r="S878" s="19"/>
    </row>
    <row r="879" spans="1:19">
      <c r="A879" s="230"/>
      <c r="B879" s="231"/>
      <c r="C879" s="232"/>
      <c r="D879" s="233"/>
      <c r="E879" s="15"/>
      <c r="F879" s="19"/>
      <c r="G879" s="99"/>
      <c r="M879" s="19"/>
      <c r="N879" s="19"/>
      <c r="O879" s="99"/>
      <c r="P879" s="19"/>
      <c r="Q879" s="19"/>
      <c r="R879" s="19"/>
      <c r="S879" s="19"/>
    </row>
    <row r="880" spans="1:19">
      <c r="A880" s="230"/>
      <c r="B880" s="231"/>
      <c r="C880" s="232"/>
      <c r="D880" s="233"/>
      <c r="E880" s="15"/>
      <c r="F880" s="19"/>
      <c r="G880" s="99"/>
      <c r="M880" s="19"/>
      <c r="N880" s="19"/>
      <c r="O880" s="99"/>
      <c r="P880" s="19"/>
      <c r="Q880" s="19"/>
      <c r="R880" s="19"/>
      <c r="S880" s="19"/>
    </row>
    <row r="881" spans="1:19">
      <c r="A881" s="230"/>
      <c r="B881" s="231"/>
      <c r="C881" s="232"/>
      <c r="D881" s="233"/>
      <c r="E881" s="15"/>
      <c r="F881" s="19"/>
      <c r="G881" s="99"/>
      <c r="M881" s="19"/>
      <c r="N881" s="19"/>
      <c r="O881" s="99"/>
      <c r="P881" s="19"/>
      <c r="Q881" s="19"/>
      <c r="R881" s="19"/>
      <c r="S881" s="19"/>
    </row>
    <row r="882" spans="1:19">
      <c r="A882" s="230"/>
      <c r="B882" s="231"/>
      <c r="C882" s="232"/>
      <c r="D882" s="233"/>
      <c r="E882" s="15"/>
      <c r="F882" s="19"/>
      <c r="G882" s="99"/>
      <c r="M882" s="19"/>
      <c r="N882" s="19"/>
      <c r="O882" s="99"/>
      <c r="P882" s="19"/>
      <c r="Q882" s="19"/>
      <c r="R882" s="19"/>
      <c r="S882" s="19"/>
    </row>
    <row r="883" spans="1:19">
      <c r="A883" s="230"/>
      <c r="B883" s="231"/>
      <c r="C883" s="232"/>
      <c r="D883" s="233"/>
      <c r="E883" s="15"/>
      <c r="F883" s="19"/>
      <c r="G883" s="99"/>
      <c r="M883" s="19"/>
      <c r="N883" s="19"/>
      <c r="O883" s="99"/>
      <c r="P883" s="19"/>
      <c r="Q883" s="19"/>
      <c r="R883" s="19"/>
      <c r="S883" s="19"/>
    </row>
    <row r="884" spans="1:19">
      <c r="A884" s="230"/>
      <c r="B884" s="231"/>
      <c r="C884" s="232"/>
      <c r="D884" s="233"/>
      <c r="E884" s="15"/>
      <c r="F884" s="19"/>
      <c r="G884" s="99"/>
      <c r="M884" s="19"/>
      <c r="N884" s="19"/>
      <c r="O884" s="99"/>
      <c r="P884" s="19"/>
      <c r="Q884" s="19"/>
      <c r="R884" s="19"/>
      <c r="S884" s="19"/>
    </row>
    <row r="885" spans="1:19">
      <c r="A885" s="230"/>
      <c r="B885" s="231"/>
      <c r="C885" s="232"/>
      <c r="D885" s="233"/>
      <c r="E885" s="15"/>
      <c r="F885" s="19"/>
      <c r="G885" s="99"/>
      <c r="M885" s="19"/>
      <c r="N885" s="19"/>
      <c r="O885" s="99"/>
      <c r="P885" s="19"/>
      <c r="Q885" s="19"/>
      <c r="R885" s="19"/>
      <c r="S885" s="19"/>
    </row>
    <row r="886" spans="1:19">
      <c r="A886" s="230"/>
      <c r="B886" s="231"/>
      <c r="C886" s="232"/>
      <c r="D886" s="233"/>
      <c r="E886" s="15"/>
      <c r="F886" s="19"/>
      <c r="G886" s="99"/>
      <c r="M886" s="19"/>
      <c r="N886" s="19"/>
      <c r="O886" s="99"/>
      <c r="P886" s="19"/>
      <c r="Q886" s="19"/>
      <c r="R886" s="19"/>
      <c r="S886" s="19"/>
    </row>
    <row r="887" spans="1:19">
      <c r="A887" s="230"/>
      <c r="B887" s="231"/>
      <c r="C887" s="232"/>
      <c r="D887" s="233"/>
      <c r="E887" s="15"/>
      <c r="F887" s="19"/>
      <c r="G887" s="99"/>
      <c r="M887" s="19"/>
      <c r="N887" s="19"/>
      <c r="O887" s="99"/>
      <c r="P887" s="19"/>
      <c r="Q887" s="19"/>
      <c r="R887" s="19"/>
      <c r="S887" s="19"/>
    </row>
    <row r="888" spans="1:19">
      <c r="A888" s="230"/>
      <c r="B888" s="231"/>
      <c r="C888" s="232"/>
      <c r="D888" s="233"/>
      <c r="E888" s="15"/>
      <c r="F888" s="19"/>
      <c r="G888" s="99"/>
      <c r="M888" s="19"/>
      <c r="N888" s="19"/>
      <c r="O888" s="99"/>
      <c r="P888" s="19"/>
      <c r="Q888" s="19"/>
      <c r="R888" s="19"/>
      <c r="S888" s="19"/>
    </row>
    <row r="889" spans="1:19">
      <c r="A889" s="230"/>
      <c r="B889" s="231"/>
      <c r="C889" s="232"/>
      <c r="D889" s="233"/>
      <c r="E889" s="15"/>
      <c r="F889" s="19"/>
      <c r="G889" s="99"/>
      <c r="M889" s="19"/>
      <c r="N889" s="19"/>
      <c r="O889" s="99"/>
      <c r="P889" s="19"/>
      <c r="Q889" s="19"/>
      <c r="R889" s="19"/>
      <c r="S889" s="19"/>
    </row>
    <row r="890" spans="1:19">
      <c r="A890" s="230"/>
      <c r="B890" s="231"/>
      <c r="C890" s="232"/>
      <c r="D890" s="233"/>
      <c r="E890" s="15"/>
      <c r="F890" s="19"/>
      <c r="G890" s="99"/>
      <c r="M890" s="19"/>
      <c r="N890" s="19"/>
      <c r="O890" s="99"/>
      <c r="P890" s="19"/>
      <c r="Q890" s="19"/>
      <c r="R890" s="19"/>
      <c r="S890" s="19"/>
    </row>
    <row r="891" spans="1:19">
      <c r="A891" s="230"/>
      <c r="B891" s="231"/>
      <c r="C891" s="232"/>
      <c r="D891" s="233"/>
      <c r="E891" s="15"/>
      <c r="F891" s="19"/>
      <c r="G891" s="99"/>
      <c r="M891" s="19"/>
      <c r="N891" s="19"/>
      <c r="O891" s="99"/>
      <c r="P891" s="19"/>
      <c r="Q891" s="19"/>
      <c r="R891" s="19"/>
      <c r="S891" s="19"/>
    </row>
    <row r="892" spans="1:19">
      <c r="A892" s="230"/>
      <c r="B892" s="231"/>
      <c r="C892" s="232"/>
      <c r="D892" s="233"/>
      <c r="E892" s="15"/>
      <c r="F892" s="19"/>
      <c r="G892" s="99"/>
      <c r="M892" s="19"/>
      <c r="N892" s="19"/>
      <c r="O892" s="99"/>
      <c r="P892" s="19"/>
      <c r="Q892" s="19"/>
      <c r="R892" s="19"/>
      <c r="S892" s="19"/>
    </row>
    <row r="893" spans="1:19">
      <c r="A893" s="230"/>
      <c r="B893" s="231"/>
      <c r="C893" s="232"/>
      <c r="D893" s="233"/>
      <c r="E893" s="15"/>
      <c r="F893" s="19"/>
      <c r="G893" s="99"/>
      <c r="M893" s="19"/>
      <c r="N893" s="19"/>
      <c r="O893" s="99"/>
      <c r="P893" s="19"/>
      <c r="Q893" s="19"/>
      <c r="R893" s="19"/>
      <c r="S893" s="19"/>
    </row>
    <row r="894" spans="1:19">
      <c r="A894" s="230"/>
      <c r="B894" s="231"/>
      <c r="C894" s="232"/>
      <c r="D894" s="233"/>
      <c r="E894" s="15"/>
      <c r="F894" s="19"/>
      <c r="G894" s="99"/>
      <c r="M894" s="19"/>
      <c r="N894" s="19"/>
      <c r="O894" s="99"/>
      <c r="P894" s="19"/>
      <c r="Q894" s="19"/>
      <c r="R894" s="19"/>
      <c r="S894" s="19"/>
    </row>
    <row r="895" spans="1:19">
      <c r="A895" s="230"/>
      <c r="B895" s="231"/>
      <c r="C895" s="232"/>
      <c r="D895" s="233"/>
      <c r="E895" s="15"/>
      <c r="F895" s="19"/>
      <c r="G895" s="99"/>
      <c r="M895" s="19"/>
      <c r="N895" s="19"/>
      <c r="O895" s="99"/>
      <c r="P895" s="19"/>
      <c r="Q895" s="19"/>
      <c r="R895" s="19"/>
      <c r="S895" s="19"/>
    </row>
    <row r="896" spans="1:19">
      <c r="A896" s="230"/>
      <c r="B896" s="231"/>
      <c r="C896" s="232"/>
      <c r="D896" s="233"/>
      <c r="E896" s="15"/>
      <c r="F896" s="19"/>
      <c r="G896" s="99"/>
      <c r="M896" s="19"/>
      <c r="N896" s="19"/>
      <c r="O896" s="99"/>
      <c r="P896" s="19"/>
      <c r="Q896" s="19"/>
      <c r="R896" s="19"/>
      <c r="S896" s="19"/>
    </row>
    <row r="897" spans="1:19">
      <c r="A897" s="230"/>
      <c r="B897" s="231"/>
      <c r="C897" s="232"/>
      <c r="D897" s="233"/>
      <c r="E897" s="15"/>
      <c r="F897" s="19"/>
      <c r="G897" s="99"/>
      <c r="M897" s="19"/>
      <c r="N897" s="19"/>
      <c r="O897" s="99"/>
      <c r="P897" s="19"/>
      <c r="Q897" s="19"/>
      <c r="R897" s="19"/>
      <c r="S897" s="19"/>
    </row>
    <row r="898" spans="1:19">
      <c r="A898" s="230"/>
      <c r="B898" s="231"/>
      <c r="C898" s="232"/>
      <c r="D898" s="233"/>
      <c r="E898" s="15"/>
      <c r="F898" s="19"/>
      <c r="G898" s="99"/>
      <c r="M898" s="19"/>
      <c r="N898" s="19"/>
      <c r="O898" s="99"/>
      <c r="P898" s="19"/>
      <c r="Q898" s="19"/>
      <c r="R898" s="19"/>
      <c r="S898" s="19"/>
    </row>
    <row r="899" spans="1:19">
      <c r="A899" s="230"/>
      <c r="B899" s="231"/>
      <c r="C899" s="232"/>
      <c r="D899" s="233"/>
      <c r="E899" s="15"/>
      <c r="F899" s="19"/>
      <c r="G899" s="99"/>
      <c r="M899" s="19"/>
      <c r="N899" s="19"/>
      <c r="O899" s="99"/>
      <c r="P899" s="19"/>
      <c r="Q899" s="19"/>
      <c r="R899" s="19"/>
      <c r="S899" s="19"/>
    </row>
    <row r="900" spans="1:19">
      <c r="A900" s="230"/>
      <c r="B900" s="231"/>
      <c r="C900" s="232"/>
      <c r="D900" s="233"/>
      <c r="E900" s="15"/>
      <c r="F900" s="19"/>
      <c r="G900" s="99"/>
      <c r="M900" s="19"/>
      <c r="N900" s="19"/>
      <c r="O900" s="99"/>
      <c r="P900" s="19"/>
      <c r="Q900" s="19"/>
      <c r="R900" s="19"/>
      <c r="S900" s="19"/>
    </row>
    <row r="901" spans="1:19">
      <c r="A901" s="230"/>
      <c r="B901" s="231"/>
      <c r="C901" s="232"/>
      <c r="D901" s="233"/>
      <c r="E901" s="15"/>
      <c r="F901" s="19"/>
      <c r="G901" s="99"/>
      <c r="M901" s="19"/>
      <c r="N901" s="19"/>
      <c r="O901" s="99"/>
      <c r="P901" s="19"/>
      <c r="Q901" s="19"/>
      <c r="R901" s="19"/>
      <c r="S901" s="19"/>
    </row>
    <row r="902" spans="1:19">
      <c r="A902" s="230"/>
      <c r="B902" s="231"/>
      <c r="C902" s="232"/>
      <c r="D902" s="233"/>
      <c r="E902" s="15"/>
      <c r="F902" s="19"/>
      <c r="G902" s="99"/>
      <c r="M902" s="19"/>
      <c r="N902" s="19"/>
      <c r="O902" s="99"/>
      <c r="P902" s="19"/>
      <c r="Q902" s="19"/>
      <c r="R902" s="19"/>
      <c r="S902" s="19"/>
    </row>
    <row r="903" spans="1:19">
      <c r="A903" s="230"/>
      <c r="B903" s="231"/>
      <c r="C903" s="232"/>
      <c r="D903" s="233"/>
      <c r="E903" s="15"/>
      <c r="F903" s="19"/>
      <c r="G903" s="99"/>
      <c r="M903" s="19"/>
      <c r="N903" s="19"/>
      <c r="O903" s="99"/>
      <c r="P903" s="19"/>
      <c r="Q903" s="19"/>
      <c r="R903" s="19"/>
      <c r="S903" s="19"/>
    </row>
    <row r="904" spans="1:19">
      <c r="A904" s="230"/>
      <c r="B904" s="231"/>
      <c r="C904" s="232"/>
      <c r="D904" s="233"/>
      <c r="E904" s="15"/>
      <c r="F904" s="19"/>
      <c r="G904" s="99"/>
      <c r="M904" s="19"/>
      <c r="N904" s="19"/>
      <c r="O904" s="99"/>
      <c r="P904" s="19"/>
      <c r="Q904" s="19"/>
      <c r="R904" s="19"/>
      <c r="S904" s="19"/>
    </row>
    <row r="905" spans="1:19">
      <c r="A905" s="230"/>
      <c r="B905" s="231"/>
      <c r="C905" s="232"/>
      <c r="D905" s="233"/>
      <c r="E905" s="15"/>
      <c r="F905" s="19"/>
      <c r="G905" s="99"/>
      <c r="M905" s="19"/>
      <c r="N905" s="19"/>
      <c r="O905" s="99"/>
      <c r="P905" s="19"/>
      <c r="Q905" s="19"/>
      <c r="R905" s="19"/>
      <c r="S905" s="19"/>
    </row>
    <row r="906" spans="1:19">
      <c r="A906" s="230"/>
      <c r="B906" s="231"/>
      <c r="C906" s="232"/>
      <c r="D906" s="233"/>
      <c r="E906" s="15"/>
      <c r="F906" s="19"/>
      <c r="G906" s="99"/>
      <c r="M906" s="19"/>
      <c r="N906" s="19"/>
      <c r="O906" s="99"/>
      <c r="P906" s="19"/>
      <c r="Q906" s="19"/>
      <c r="R906" s="19"/>
      <c r="S906" s="19"/>
    </row>
    <row r="907" spans="1:19">
      <c r="A907" s="230"/>
      <c r="B907" s="231"/>
      <c r="C907" s="232"/>
      <c r="D907" s="233"/>
      <c r="E907" s="15"/>
      <c r="F907" s="19"/>
      <c r="G907" s="99"/>
      <c r="M907" s="19"/>
      <c r="N907" s="19"/>
      <c r="O907" s="99"/>
      <c r="P907" s="19"/>
      <c r="Q907" s="19"/>
      <c r="R907" s="19"/>
      <c r="S907" s="19"/>
    </row>
    <row r="908" spans="1:19">
      <c r="A908" s="230"/>
      <c r="B908" s="231"/>
      <c r="C908" s="232"/>
      <c r="D908" s="233"/>
      <c r="E908" s="15"/>
      <c r="F908" s="19"/>
      <c r="G908" s="99"/>
      <c r="M908" s="19"/>
      <c r="N908" s="19"/>
      <c r="O908" s="99"/>
      <c r="P908" s="19"/>
      <c r="Q908" s="19"/>
      <c r="R908" s="19"/>
      <c r="S908" s="19"/>
    </row>
    <row r="909" spans="1:19">
      <c r="A909" s="230"/>
      <c r="B909" s="231"/>
      <c r="C909" s="232"/>
      <c r="D909" s="233"/>
      <c r="E909" s="15"/>
      <c r="F909" s="19"/>
      <c r="G909" s="99"/>
      <c r="M909" s="19"/>
      <c r="N909" s="19"/>
      <c r="O909" s="99"/>
      <c r="P909" s="19"/>
      <c r="Q909" s="19"/>
      <c r="R909" s="19"/>
      <c r="S909" s="19"/>
    </row>
    <row r="910" spans="1:19">
      <c r="A910" s="230"/>
      <c r="B910" s="231"/>
      <c r="C910" s="232"/>
      <c r="D910" s="233"/>
      <c r="E910" s="15"/>
      <c r="F910" s="19"/>
      <c r="G910" s="99"/>
      <c r="M910" s="19"/>
      <c r="N910" s="19"/>
      <c r="O910" s="99"/>
      <c r="P910" s="19"/>
      <c r="Q910" s="19"/>
      <c r="R910" s="19"/>
      <c r="S910" s="19"/>
    </row>
    <row r="911" spans="1:19">
      <c r="A911" s="230"/>
      <c r="B911" s="231"/>
      <c r="C911" s="232"/>
      <c r="D911" s="233"/>
      <c r="E911" s="15"/>
      <c r="F911" s="19"/>
      <c r="G911" s="99"/>
      <c r="M911" s="19"/>
      <c r="N911" s="19"/>
      <c r="O911" s="99"/>
      <c r="P911" s="19"/>
      <c r="Q911" s="19"/>
      <c r="R911" s="19"/>
      <c r="S911" s="19"/>
    </row>
    <row r="912" spans="1:19">
      <c r="A912" s="230"/>
      <c r="B912" s="231"/>
      <c r="C912" s="232"/>
      <c r="D912" s="233"/>
      <c r="E912" s="15"/>
      <c r="F912" s="19"/>
      <c r="G912" s="99"/>
      <c r="M912" s="19"/>
      <c r="N912" s="19"/>
      <c r="O912" s="99"/>
      <c r="P912" s="19"/>
      <c r="Q912" s="19"/>
      <c r="R912" s="19"/>
      <c r="S912" s="19"/>
    </row>
    <row r="913" spans="1:19">
      <c r="A913" s="230"/>
      <c r="B913" s="231"/>
      <c r="C913" s="232"/>
      <c r="D913" s="233"/>
      <c r="E913" s="15"/>
      <c r="F913" s="19"/>
      <c r="G913" s="99"/>
      <c r="M913" s="19"/>
      <c r="N913" s="19"/>
      <c r="O913" s="99"/>
      <c r="P913" s="19"/>
      <c r="Q913" s="19"/>
      <c r="R913" s="19"/>
      <c r="S913" s="19"/>
    </row>
    <row r="914" spans="1:19">
      <c r="A914" s="230"/>
      <c r="B914" s="231"/>
      <c r="C914" s="232"/>
      <c r="D914" s="233"/>
      <c r="E914" s="15"/>
      <c r="F914" s="19"/>
      <c r="G914" s="99"/>
      <c r="M914" s="19"/>
      <c r="N914" s="19"/>
      <c r="O914" s="99"/>
      <c r="P914" s="19"/>
      <c r="Q914" s="19"/>
      <c r="R914" s="19"/>
      <c r="S914" s="19"/>
    </row>
    <row r="915" spans="1:19">
      <c r="A915" s="230"/>
      <c r="B915" s="231"/>
      <c r="C915" s="232"/>
      <c r="D915" s="233"/>
      <c r="E915" s="15"/>
      <c r="F915" s="19"/>
      <c r="G915" s="99"/>
      <c r="M915" s="19"/>
      <c r="N915" s="19"/>
      <c r="O915" s="99"/>
      <c r="P915" s="19"/>
      <c r="Q915" s="19"/>
      <c r="R915" s="19"/>
      <c r="S915" s="19"/>
    </row>
    <row r="916" spans="1:19">
      <c r="A916" s="230"/>
      <c r="B916" s="231"/>
      <c r="C916" s="232"/>
      <c r="D916" s="233"/>
      <c r="E916" s="15"/>
      <c r="F916" s="19"/>
      <c r="G916" s="99"/>
      <c r="M916" s="19"/>
      <c r="N916" s="19"/>
      <c r="O916" s="99"/>
      <c r="P916" s="19"/>
      <c r="Q916" s="19"/>
      <c r="R916" s="19"/>
      <c r="S916" s="19"/>
    </row>
    <row r="917" spans="1:19">
      <c r="A917" s="230"/>
      <c r="B917" s="231"/>
      <c r="C917" s="232"/>
      <c r="D917" s="233"/>
      <c r="E917" s="15"/>
      <c r="F917" s="19"/>
      <c r="G917" s="99"/>
      <c r="M917" s="19"/>
      <c r="N917" s="19"/>
      <c r="O917" s="99"/>
      <c r="P917" s="19"/>
      <c r="Q917" s="19"/>
      <c r="R917" s="19"/>
      <c r="S917" s="19"/>
    </row>
    <row r="918" spans="1:19">
      <c r="A918" s="230"/>
      <c r="B918" s="231"/>
      <c r="C918" s="232"/>
      <c r="D918" s="233"/>
      <c r="E918" s="15"/>
      <c r="F918" s="19"/>
      <c r="G918" s="99"/>
      <c r="M918" s="19"/>
      <c r="N918" s="19"/>
      <c r="O918" s="99"/>
      <c r="P918" s="19"/>
      <c r="Q918" s="19"/>
      <c r="R918" s="19"/>
      <c r="S918" s="19"/>
    </row>
    <row r="919" spans="1:19">
      <c r="A919" s="230"/>
      <c r="B919" s="231"/>
      <c r="C919" s="232"/>
      <c r="D919" s="233"/>
      <c r="E919" s="15"/>
      <c r="F919" s="19"/>
      <c r="G919" s="99"/>
      <c r="M919" s="19"/>
      <c r="N919" s="19"/>
      <c r="O919" s="99"/>
      <c r="P919" s="19"/>
      <c r="Q919" s="19"/>
      <c r="R919" s="19"/>
      <c r="S919" s="19"/>
    </row>
    <row r="920" spans="1:19">
      <c r="A920" s="230"/>
      <c r="B920" s="231"/>
      <c r="C920" s="232"/>
      <c r="D920" s="233"/>
      <c r="E920" s="15"/>
      <c r="F920" s="19"/>
      <c r="G920" s="99"/>
      <c r="M920" s="19"/>
      <c r="N920" s="19"/>
      <c r="O920" s="99"/>
      <c r="P920" s="19"/>
      <c r="Q920" s="19"/>
      <c r="R920" s="19"/>
      <c r="S920" s="19"/>
    </row>
    <row r="921" spans="1:19">
      <c r="A921" s="230"/>
      <c r="B921" s="231"/>
      <c r="C921" s="232"/>
      <c r="D921" s="233"/>
      <c r="E921" s="15"/>
      <c r="F921" s="19"/>
      <c r="G921" s="99"/>
      <c r="M921" s="19"/>
      <c r="N921" s="19"/>
      <c r="O921" s="99"/>
      <c r="P921" s="19"/>
      <c r="Q921" s="19"/>
      <c r="R921" s="19"/>
      <c r="S921" s="19"/>
    </row>
    <row r="922" spans="1:19">
      <c r="A922" s="230"/>
      <c r="B922" s="231"/>
      <c r="C922" s="232"/>
      <c r="D922" s="233"/>
      <c r="E922" s="15"/>
      <c r="F922" s="19"/>
      <c r="G922" s="99"/>
      <c r="M922" s="19"/>
      <c r="N922" s="19"/>
      <c r="O922" s="99"/>
      <c r="P922" s="19"/>
      <c r="Q922" s="19"/>
      <c r="R922" s="19"/>
      <c r="S922" s="19"/>
    </row>
    <row r="923" spans="1:19">
      <c r="A923" s="230"/>
      <c r="B923" s="231"/>
      <c r="C923" s="232"/>
      <c r="D923" s="233"/>
      <c r="E923" s="15"/>
      <c r="F923" s="19"/>
      <c r="G923" s="99"/>
      <c r="M923" s="19"/>
      <c r="N923" s="19"/>
      <c r="O923" s="99"/>
      <c r="P923" s="19"/>
      <c r="Q923" s="19"/>
      <c r="R923" s="19"/>
      <c r="S923" s="19"/>
    </row>
    <row r="924" spans="1:19">
      <c r="A924" s="230"/>
      <c r="B924" s="231"/>
      <c r="C924" s="232"/>
      <c r="D924" s="233"/>
      <c r="E924" s="15"/>
      <c r="F924" s="19"/>
      <c r="G924" s="99"/>
      <c r="M924" s="19"/>
      <c r="N924" s="19"/>
      <c r="O924" s="99"/>
      <c r="P924" s="19"/>
      <c r="Q924" s="19"/>
      <c r="R924" s="19"/>
      <c r="S924" s="19"/>
    </row>
    <row r="925" spans="1:19">
      <c r="A925" s="230"/>
      <c r="B925" s="231"/>
      <c r="C925" s="232"/>
      <c r="D925" s="233"/>
      <c r="E925" s="15"/>
      <c r="F925" s="19"/>
      <c r="G925" s="99"/>
      <c r="M925" s="19"/>
      <c r="N925" s="19"/>
      <c r="O925" s="99"/>
      <c r="P925" s="19"/>
      <c r="Q925" s="19"/>
      <c r="R925" s="19"/>
      <c r="S925" s="19"/>
    </row>
    <row r="926" spans="1:19">
      <c r="A926" s="230"/>
      <c r="B926" s="231"/>
      <c r="C926" s="232"/>
      <c r="D926" s="233"/>
      <c r="E926" s="15"/>
      <c r="F926" s="19"/>
      <c r="G926" s="99"/>
      <c r="M926" s="19"/>
      <c r="N926" s="19"/>
      <c r="O926" s="99"/>
      <c r="P926" s="19"/>
      <c r="Q926" s="19"/>
      <c r="R926" s="19"/>
      <c r="S926" s="19"/>
    </row>
    <row r="927" spans="1:19">
      <c r="A927" s="230"/>
      <c r="B927" s="231"/>
      <c r="C927" s="232"/>
      <c r="D927" s="233"/>
      <c r="E927" s="15"/>
      <c r="F927" s="19"/>
      <c r="G927" s="99"/>
      <c r="M927" s="19"/>
      <c r="N927" s="19"/>
      <c r="O927" s="99"/>
      <c r="P927" s="19"/>
      <c r="Q927" s="19"/>
      <c r="R927" s="19"/>
      <c r="S927" s="19"/>
    </row>
    <row r="928" spans="1:19">
      <c r="A928" s="230"/>
      <c r="B928" s="231"/>
      <c r="C928" s="232"/>
      <c r="D928" s="233"/>
      <c r="E928" s="15"/>
      <c r="F928" s="19"/>
      <c r="G928" s="99"/>
      <c r="M928" s="19"/>
      <c r="N928" s="19"/>
      <c r="O928" s="99"/>
      <c r="P928" s="19"/>
      <c r="Q928" s="19"/>
      <c r="R928" s="19"/>
      <c r="S928" s="19"/>
    </row>
    <row r="929" spans="1:19">
      <c r="A929" s="230"/>
      <c r="B929" s="231"/>
      <c r="C929" s="232"/>
      <c r="D929" s="233"/>
      <c r="E929" s="15"/>
      <c r="F929" s="19"/>
      <c r="G929" s="99"/>
      <c r="M929" s="19"/>
      <c r="N929" s="19"/>
      <c r="O929" s="99"/>
      <c r="P929" s="19"/>
      <c r="Q929" s="19"/>
      <c r="R929" s="19"/>
      <c r="S929" s="19"/>
    </row>
    <row r="930" spans="1:19">
      <c r="A930" s="230"/>
      <c r="B930" s="231"/>
      <c r="C930" s="232"/>
      <c r="D930" s="233"/>
      <c r="E930" s="15"/>
      <c r="F930" s="19"/>
      <c r="G930" s="99"/>
      <c r="M930" s="19"/>
      <c r="N930" s="19"/>
      <c r="O930" s="99"/>
      <c r="P930" s="19"/>
      <c r="Q930" s="19"/>
      <c r="R930" s="19"/>
      <c r="S930" s="19"/>
    </row>
    <row r="931" spans="1:19">
      <c r="A931" s="230"/>
      <c r="B931" s="231"/>
      <c r="C931" s="232"/>
      <c r="D931" s="233"/>
      <c r="E931" s="15"/>
      <c r="F931" s="19"/>
      <c r="G931" s="99"/>
      <c r="M931" s="19"/>
      <c r="N931" s="19"/>
      <c r="O931" s="99"/>
      <c r="P931" s="19"/>
      <c r="Q931" s="19"/>
      <c r="R931" s="19"/>
      <c r="S931" s="19"/>
    </row>
    <row r="932" spans="1:19">
      <c r="A932" s="230"/>
      <c r="B932" s="231"/>
      <c r="C932" s="232"/>
      <c r="D932" s="233"/>
      <c r="E932" s="15"/>
      <c r="F932" s="19"/>
      <c r="G932" s="99"/>
      <c r="M932" s="19"/>
      <c r="N932" s="19"/>
      <c r="O932" s="99"/>
      <c r="P932" s="19"/>
      <c r="Q932" s="19"/>
      <c r="R932" s="19"/>
      <c r="S932" s="19"/>
    </row>
    <row r="933" spans="1:19">
      <c r="A933" s="230"/>
      <c r="B933" s="231"/>
      <c r="C933" s="232"/>
      <c r="D933" s="233"/>
      <c r="E933" s="15"/>
      <c r="F933" s="19"/>
      <c r="G933" s="99"/>
      <c r="M933" s="19"/>
      <c r="N933" s="19"/>
      <c r="O933" s="99"/>
      <c r="P933" s="19"/>
      <c r="Q933" s="19"/>
      <c r="R933" s="19"/>
      <c r="S933" s="19"/>
    </row>
    <row r="934" spans="1:19">
      <c r="A934" s="230"/>
      <c r="B934" s="231"/>
      <c r="C934" s="232"/>
      <c r="D934" s="233"/>
      <c r="E934" s="15"/>
      <c r="F934" s="19"/>
      <c r="G934" s="99"/>
      <c r="M934" s="19"/>
      <c r="N934" s="19"/>
      <c r="O934" s="99"/>
      <c r="P934" s="19"/>
      <c r="Q934" s="19"/>
      <c r="R934" s="19"/>
      <c r="S934" s="19"/>
    </row>
    <row r="935" spans="1:19">
      <c r="A935" s="230"/>
      <c r="B935" s="231"/>
      <c r="C935" s="232"/>
      <c r="D935" s="233"/>
      <c r="E935" s="15"/>
      <c r="F935" s="19"/>
      <c r="G935" s="99"/>
      <c r="M935" s="19"/>
      <c r="N935" s="19"/>
      <c r="O935" s="99"/>
      <c r="P935" s="19"/>
      <c r="Q935" s="19"/>
      <c r="R935" s="19"/>
      <c r="S935" s="19"/>
    </row>
    <row r="936" spans="1:19">
      <c r="A936" s="230"/>
      <c r="B936" s="231"/>
      <c r="C936" s="232"/>
      <c r="D936" s="233"/>
      <c r="E936" s="15"/>
      <c r="F936" s="19"/>
      <c r="G936" s="99"/>
      <c r="M936" s="19"/>
      <c r="N936" s="19"/>
      <c r="O936" s="99"/>
      <c r="P936" s="19"/>
      <c r="Q936" s="19"/>
      <c r="R936" s="19"/>
      <c r="S936" s="19"/>
    </row>
    <row r="937" spans="1:19">
      <c r="A937" s="230"/>
      <c r="B937" s="231"/>
      <c r="C937" s="232"/>
      <c r="D937" s="233"/>
      <c r="E937" s="15"/>
      <c r="F937" s="19"/>
      <c r="G937" s="99"/>
      <c r="M937" s="19"/>
      <c r="N937" s="19"/>
      <c r="O937" s="99"/>
      <c r="P937" s="19"/>
      <c r="Q937" s="19"/>
      <c r="R937" s="19"/>
      <c r="S937" s="19"/>
    </row>
    <row r="938" spans="1:19">
      <c r="A938" s="230"/>
      <c r="B938" s="231"/>
      <c r="C938" s="232"/>
      <c r="D938" s="233"/>
      <c r="E938" s="15"/>
      <c r="F938" s="19"/>
      <c r="G938" s="99"/>
      <c r="M938" s="19"/>
      <c r="N938" s="19"/>
      <c r="O938" s="99"/>
      <c r="P938" s="19"/>
      <c r="Q938" s="19"/>
      <c r="R938" s="19"/>
      <c r="S938" s="19"/>
    </row>
    <row r="939" spans="1:19">
      <c r="A939" s="230"/>
      <c r="B939" s="231"/>
      <c r="C939" s="232"/>
      <c r="D939" s="233"/>
      <c r="E939" s="15"/>
      <c r="F939" s="19"/>
      <c r="G939" s="99"/>
      <c r="M939" s="19"/>
      <c r="N939" s="19"/>
      <c r="O939" s="99"/>
      <c r="P939" s="19"/>
      <c r="Q939" s="19"/>
      <c r="R939" s="19"/>
      <c r="S939" s="19"/>
    </row>
    <row r="940" spans="1:19">
      <c r="A940" s="230"/>
      <c r="B940" s="231"/>
      <c r="C940" s="232"/>
      <c r="D940" s="233"/>
      <c r="E940" s="15"/>
      <c r="F940" s="19"/>
      <c r="G940" s="99"/>
      <c r="M940" s="19"/>
      <c r="N940" s="19"/>
      <c r="O940" s="99"/>
      <c r="P940" s="19"/>
      <c r="Q940" s="19"/>
      <c r="R940" s="19"/>
      <c r="S940" s="19"/>
    </row>
    <row r="941" spans="1:19">
      <c r="A941" s="230"/>
      <c r="B941" s="231"/>
      <c r="C941" s="232"/>
      <c r="D941" s="233"/>
      <c r="E941" s="15"/>
      <c r="F941" s="19"/>
      <c r="G941" s="99"/>
      <c r="M941" s="19"/>
      <c r="N941" s="19"/>
      <c r="O941" s="99"/>
      <c r="P941" s="19"/>
      <c r="Q941" s="19"/>
      <c r="R941" s="19"/>
      <c r="S941" s="19"/>
    </row>
    <row r="942" spans="1:19">
      <c r="A942" s="230"/>
      <c r="B942" s="231"/>
      <c r="C942" s="232"/>
      <c r="D942" s="233"/>
      <c r="E942" s="15"/>
      <c r="F942" s="19"/>
      <c r="G942" s="99"/>
      <c r="M942" s="19"/>
      <c r="N942" s="19"/>
      <c r="O942" s="99"/>
      <c r="P942" s="19"/>
      <c r="Q942" s="19"/>
      <c r="R942" s="19"/>
      <c r="S942" s="19"/>
    </row>
    <row r="943" spans="1:19">
      <c r="A943" s="230"/>
      <c r="B943" s="231"/>
      <c r="C943" s="232"/>
      <c r="D943" s="233"/>
      <c r="E943" s="15"/>
      <c r="F943" s="19"/>
      <c r="G943" s="99"/>
      <c r="M943" s="19"/>
      <c r="N943" s="19"/>
      <c r="O943" s="99"/>
      <c r="P943" s="19"/>
      <c r="Q943" s="19"/>
      <c r="R943" s="19"/>
      <c r="S943" s="19"/>
    </row>
    <row r="944" spans="1:19">
      <c r="A944" s="230"/>
      <c r="B944" s="231"/>
      <c r="C944" s="232"/>
      <c r="D944" s="233"/>
      <c r="E944" s="15"/>
      <c r="F944" s="19"/>
      <c r="G944" s="99"/>
      <c r="M944" s="19"/>
      <c r="N944" s="19"/>
      <c r="O944" s="99"/>
      <c r="P944" s="19"/>
      <c r="Q944" s="19"/>
      <c r="R944" s="19"/>
      <c r="S944" s="19"/>
    </row>
    <row r="945" spans="1:19">
      <c r="A945" s="230"/>
      <c r="B945" s="231"/>
      <c r="C945" s="232"/>
      <c r="D945" s="233"/>
      <c r="E945" s="15"/>
      <c r="F945" s="19"/>
      <c r="G945" s="99"/>
      <c r="M945" s="19"/>
      <c r="N945" s="19"/>
      <c r="O945" s="99"/>
      <c r="P945" s="19"/>
      <c r="Q945" s="19"/>
      <c r="R945" s="19"/>
      <c r="S945" s="19"/>
    </row>
    <row r="946" spans="1:19">
      <c r="A946" s="230"/>
      <c r="B946" s="231"/>
      <c r="C946" s="232"/>
      <c r="D946" s="233"/>
      <c r="E946" s="15"/>
      <c r="F946" s="19"/>
      <c r="G946" s="99"/>
      <c r="M946" s="19"/>
      <c r="N946" s="19"/>
      <c r="O946" s="99"/>
      <c r="P946" s="19"/>
      <c r="Q946" s="19"/>
      <c r="R946" s="19"/>
      <c r="S946" s="19"/>
    </row>
    <row r="947" spans="1:19">
      <c r="A947" s="230"/>
      <c r="B947" s="231"/>
      <c r="C947" s="232"/>
      <c r="D947" s="233"/>
      <c r="E947" s="15"/>
      <c r="F947" s="19"/>
      <c r="G947" s="99"/>
      <c r="M947" s="19"/>
      <c r="N947" s="19"/>
      <c r="O947" s="99"/>
      <c r="P947" s="19"/>
      <c r="Q947" s="19"/>
      <c r="R947" s="19"/>
      <c r="S947" s="19"/>
    </row>
    <row r="948" spans="1:19">
      <c r="A948" s="230"/>
      <c r="B948" s="231"/>
      <c r="C948" s="232"/>
      <c r="D948" s="233"/>
      <c r="E948" s="15"/>
      <c r="F948" s="19"/>
      <c r="G948" s="99"/>
      <c r="M948" s="19"/>
      <c r="N948" s="19"/>
      <c r="O948" s="99"/>
      <c r="P948" s="19"/>
      <c r="Q948" s="19"/>
      <c r="R948" s="19"/>
      <c r="S948" s="19"/>
    </row>
    <row r="949" spans="1:19">
      <c r="A949" s="230"/>
      <c r="B949" s="231"/>
      <c r="C949" s="232"/>
      <c r="D949" s="233"/>
      <c r="E949" s="15"/>
      <c r="F949" s="19"/>
      <c r="G949" s="99"/>
      <c r="M949" s="19"/>
      <c r="N949" s="19"/>
      <c r="O949" s="99"/>
      <c r="P949" s="19"/>
      <c r="Q949" s="19"/>
      <c r="R949" s="19"/>
      <c r="S949" s="19"/>
    </row>
    <row r="950" spans="1:19">
      <c r="A950" s="230"/>
      <c r="B950" s="231"/>
      <c r="C950" s="232"/>
      <c r="D950" s="233"/>
      <c r="E950" s="15"/>
      <c r="F950" s="19"/>
      <c r="G950" s="99"/>
      <c r="M950" s="19"/>
      <c r="N950" s="19"/>
      <c r="O950" s="99"/>
      <c r="P950" s="19"/>
      <c r="Q950" s="19"/>
      <c r="R950" s="19"/>
      <c r="S950" s="19"/>
    </row>
    <row r="951" spans="1:19">
      <c r="A951" s="230"/>
      <c r="B951" s="231"/>
      <c r="C951" s="232"/>
      <c r="D951" s="233"/>
      <c r="E951" s="15"/>
      <c r="F951" s="19"/>
      <c r="G951" s="99"/>
      <c r="M951" s="19"/>
      <c r="N951" s="19"/>
      <c r="O951" s="99"/>
      <c r="P951" s="19"/>
      <c r="Q951" s="19"/>
      <c r="R951" s="19"/>
      <c r="S951" s="19"/>
    </row>
    <row r="952" spans="1:19">
      <c r="A952" s="230"/>
      <c r="B952" s="231"/>
      <c r="C952" s="232"/>
      <c r="D952" s="233"/>
      <c r="E952" s="15"/>
      <c r="F952" s="19"/>
      <c r="G952" s="99"/>
      <c r="M952" s="19"/>
      <c r="N952" s="19"/>
      <c r="O952" s="99"/>
      <c r="P952" s="19"/>
      <c r="Q952" s="19"/>
      <c r="R952" s="19"/>
      <c r="S952" s="19"/>
    </row>
    <row r="953" spans="1:19">
      <c r="A953" s="230"/>
      <c r="B953" s="231"/>
      <c r="C953" s="232"/>
      <c r="D953" s="233"/>
      <c r="E953" s="15"/>
      <c r="F953" s="19"/>
      <c r="G953" s="99"/>
      <c r="M953" s="19"/>
      <c r="N953" s="19"/>
      <c r="O953" s="99"/>
      <c r="P953" s="19"/>
      <c r="Q953" s="19"/>
      <c r="R953" s="19"/>
      <c r="S953" s="19"/>
    </row>
    <row r="954" spans="1:19">
      <c r="A954" s="230"/>
      <c r="B954" s="231"/>
      <c r="C954" s="232"/>
      <c r="D954" s="233"/>
      <c r="E954" s="15"/>
      <c r="F954" s="19"/>
      <c r="G954" s="99"/>
      <c r="M954" s="19"/>
      <c r="N954" s="19"/>
      <c r="O954" s="99"/>
      <c r="P954" s="19"/>
      <c r="Q954" s="19"/>
      <c r="R954" s="19"/>
      <c r="S954" s="19"/>
    </row>
    <row r="955" spans="1:19">
      <c r="A955" s="230"/>
      <c r="B955" s="231"/>
      <c r="C955" s="232"/>
      <c r="D955" s="233"/>
      <c r="E955" s="15"/>
      <c r="F955" s="19"/>
      <c r="G955" s="99"/>
      <c r="M955" s="19"/>
      <c r="N955" s="19"/>
      <c r="O955" s="99"/>
      <c r="P955" s="19"/>
      <c r="Q955" s="19"/>
      <c r="R955" s="19"/>
      <c r="S955" s="19"/>
    </row>
    <row r="956" spans="1:19">
      <c r="A956" s="230"/>
      <c r="B956" s="231"/>
      <c r="C956" s="232"/>
      <c r="D956" s="233"/>
      <c r="E956" s="15"/>
      <c r="F956" s="19"/>
      <c r="G956" s="99"/>
      <c r="M956" s="19"/>
      <c r="N956" s="19"/>
      <c r="O956" s="99"/>
      <c r="P956" s="19"/>
      <c r="Q956" s="19"/>
      <c r="R956" s="19"/>
      <c r="S956" s="19"/>
    </row>
    <row r="957" spans="1:19">
      <c r="A957" s="230"/>
      <c r="B957" s="231"/>
      <c r="C957" s="232"/>
      <c r="D957" s="233"/>
      <c r="E957" s="15"/>
      <c r="F957" s="19"/>
      <c r="G957" s="99"/>
      <c r="M957" s="19"/>
      <c r="N957" s="19"/>
      <c r="O957" s="99"/>
      <c r="P957" s="19"/>
      <c r="Q957" s="19"/>
      <c r="R957" s="19"/>
      <c r="S957" s="19"/>
    </row>
    <row r="958" spans="1:19">
      <c r="A958" s="230"/>
      <c r="B958" s="231"/>
      <c r="C958" s="232"/>
      <c r="D958" s="233"/>
      <c r="E958" s="15"/>
      <c r="F958" s="19"/>
      <c r="G958" s="99"/>
      <c r="M958" s="19"/>
      <c r="N958" s="19"/>
      <c r="O958" s="99"/>
      <c r="P958" s="19"/>
      <c r="Q958" s="19"/>
      <c r="R958" s="19"/>
      <c r="S958" s="19"/>
    </row>
    <row r="959" spans="1:19">
      <c r="A959" s="230"/>
      <c r="B959" s="231"/>
      <c r="C959" s="232"/>
      <c r="D959" s="233"/>
      <c r="E959" s="15"/>
      <c r="F959" s="19"/>
      <c r="G959" s="99"/>
      <c r="M959" s="19"/>
      <c r="N959" s="19"/>
      <c r="O959" s="99"/>
      <c r="P959" s="19"/>
      <c r="Q959" s="19"/>
      <c r="R959" s="19"/>
      <c r="S959" s="19"/>
    </row>
    <row r="960" spans="1:19">
      <c r="A960" s="230"/>
      <c r="B960" s="231"/>
      <c r="C960" s="232"/>
      <c r="D960" s="233"/>
      <c r="E960" s="15"/>
      <c r="F960" s="19"/>
      <c r="G960" s="99"/>
      <c r="M960" s="19"/>
      <c r="N960" s="19"/>
      <c r="O960" s="99"/>
      <c r="P960" s="19"/>
      <c r="Q960" s="19"/>
      <c r="R960" s="19"/>
      <c r="S960" s="19"/>
    </row>
    <row r="961" spans="1:19">
      <c r="A961" s="230"/>
      <c r="B961" s="231"/>
      <c r="C961" s="232"/>
      <c r="D961" s="233"/>
      <c r="E961" s="15"/>
      <c r="F961" s="19"/>
      <c r="G961" s="99"/>
      <c r="M961" s="19"/>
      <c r="N961" s="19"/>
      <c r="O961" s="99"/>
      <c r="P961" s="19"/>
      <c r="Q961" s="19"/>
      <c r="R961" s="19"/>
      <c r="S961" s="19"/>
    </row>
    <row r="962" spans="1:19">
      <c r="A962" s="230"/>
      <c r="B962" s="231"/>
      <c r="C962" s="232"/>
      <c r="D962" s="233"/>
      <c r="E962" s="15"/>
      <c r="F962" s="19"/>
      <c r="G962" s="99"/>
      <c r="M962" s="19"/>
      <c r="N962" s="19"/>
      <c r="O962" s="99"/>
      <c r="P962" s="19"/>
      <c r="Q962" s="19"/>
      <c r="R962" s="19"/>
      <c r="S962" s="19"/>
    </row>
    <row r="963" spans="1:19">
      <c r="A963" s="230"/>
      <c r="B963" s="231"/>
      <c r="C963" s="232"/>
      <c r="D963" s="233"/>
      <c r="E963" s="15"/>
      <c r="F963" s="19"/>
      <c r="G963" s="99"/>
      <c r="M963" s="19"/>
      <c r="N963" s="19"/>
      <c r="O963" s="99"/>
      <c r="P963" s="19"/>
      <c r="Q963" s="19"/>
      <c r="R963" s="19"/>
      <c r="S963" s="19"/>
    </row>
    <row r="964" spans="1:19">
      <c r="A964" s="230"/>
      <c r="B964" s="231"/>
      <c r="C964" s="232"/>
      <c r="D964" s="233"/>
      <c r="E964" s="15"/>
      <c r="F964" s="19"/>
      <c r="G964" s="99"/>
      <c r="M964" s="19"/>
      <c r="N964" s="19"/>
      <c r="O964" s="99"/>
      <c r="P964" s="19"/>
      <c r="Q964" s="19"/>
      <c r="R964" s="19"/>
      <c r="S964" s="19"/>
    </row>
    <row r="965" spans="1:19">
      <c r="A965" s="230"/>
      <c r="B965" s="231"/>
      <c r="C965" s="232"/>
      <c r="D965" s="233"/>
      <c r="E965" s="15"/>
      <c r="F965" s="19"/>
      <c r="G965" s="99"/>
      <c r="M965" s="19"/>
      <c r="N965" s="19"/>
      <c r="O965" s="99"/>
      <c r="P965" s="19"/>
      <c r="Q965" s="19"/>
      <c r="R965" s="19"/>
      <c r="S965" s="19"/>
    </row>
    <row r="966" spans="1:19">
      <c r="A966" s="230"/>
      <c r="B966" s="231"/>
      <c r="C966" s="232"/>
      <c r="D966" s="233"/>
      <c r="E966" s="15"/>
      <c r="F966" s="19"/>
      <c r="G966" s="99"/>
      <c r="M966" s="19"/>
      <c r="N966" s="19"/>
      <c r="O966" s="99"/>
      <c r="P966" s="19"/>
      <c r="Q966" s="19"/>
      <c r="R966" s="19"/>
      <c r="S966" s="19"/>
    </row>
    <row r="967" spans="1:19">
      <c r="A967" s="230"/>
      <c r="B967" s="231"/>
      <c r="C967" s="232"/>
      <c r="D967" s="233"/>
      <c r="E967" s="15"/>
      <c r="F967" s="19"/>
      <c r="G967" s="99"/>
      <c r="M967" s="19"/>
      <c r="N967" s="19"/>
      <c r="O967" s="99"/>
      <c r="P967" s="19"/>
      <c r="Q967" s="19"/>
      <c r="R967" s="19"/>
      <c r="S967" s="19"/>
    </row>
    <row r="968" spans="1:19">
      <c r="A968" s="230"/>
      <c r="B968" s="231"/>
      <c r="C968" s="232"/>
      <c r="D968" s="233"/>
      <c r="E968" s="15"/>
      <c r="F968" s="19"/>
      <c r="G968" s="99"/>
      <c r="M968" s="19"/>
      <c r="N968" s="19"/>
      <c r="O968" s="99"/>
      <c r="P968" s="19"/>
      <c r="Q968" s="19"/>
      <c r="R968" s="19"/>
      <c r="S968" s="19"/>
    </row>
    <row r="969" spans="1:19">
      <c r="A969" s="230"/>
      <c r="B969" s="231"/>
      <c r="C969" s="232"/>
      <c r="D969" s="233"/>
      <c r="E969" s="15"/>
      <c r="F969" s="19"/>
      <c r="G969" s="99"/>
      <c r="M969" s="19"/>
      <c r="N969" s="19"/>
      <c r="O969" s="99"/>
      <c r="P969" s="19"/>
      <c r="Q969" s="19"/>
      <c r="R969" s="19"/>
      <c r="S969" s="19"/>
    </row>
    <row r="970" spans="1:19">
      <c r="A970" s="230"/>
      <c r="B970" s="231"/>
      <c r="C970" s="232"/>
      <c r="D970" s="233"/>
      <c r="E970" s="15"/>
      <c r="F970" s="19"/>
      <c r="G970" s="99"/>
      <c r="M970" s="19"/>
      <c r="N970" s="19"/>
      <c r="O970" s="99"/>
      <c r="P970" s="19"/>
      <c r="Q970" s="19"/>
      <c r="R970" s="19"/>
      <c r="S970" s="19"/>
    </row>
    <row r="971" spans="1:19">
      <c r="A971" s="230"/>
      <c r="B971" s="231"/>
      <c r="C971" s="232"/>
      <c r="D971" s="233"/>
      <c r="E971" s="15"/>
      <c r="F971" s="19"/>
      <c r="G971" s="99"/>
      <c r="M971" s="19"/>
      <c r="N971" s="19"/>
      <c r="O971" s="99"/>
      <c r="P971" s="19"/>
      <c r="Q971" s="19"/>
      <c r="R971" s="19"/>
      <c r="S971" s="19"/>
    </row>
    <row r="972" spans="1:19">
      <c r="A972" s="230"/>
      <c r="B972" s="231"/>
      <c r="C972" s="232"/>
      <c r="D972" s="233"/>
      <c r="E972" s="15"/>
      <c r="F972" s="19"/>
      <c r="G972" s="99"/>
      <c r="M972" s="19"/>
      <c r="N972" s="19"/>
      <c r="O972" s="99"/>
      <c r="P972" s="19"/>
      <c r="Q972" s="19"/>
      <c r="R972" s="19"/>
      <c r="S972" s="19"/>
    </row>
    <row r="973" spans="1:19">
      <c r="A973" s="230"/>
      <c r="B973" s="231"/>
      <c r="C973" s="232"/>
      <c r="D973" s="233"/>
      <c r="E973" s="15"/>
      <c r="F973" s="19"/>
      <c r="G973" s="99"/>
      <c r="M973" s="19"/>
      <c r="N973" s="19"/>
      <c r="O973" s="99"/>
      <c r="P973" s="19"/>
      <c r="Q973" s="19"/>
      <c r="R973" s="19"/>
      <c r="S973" s="19"/>
    </row>
    <row r="974" spans="1:19">
      <c r="A974" s="230"/>
      <c r="B974" s="231"/>
      <c r="C974" s="232"/>
      <c r="D974" s="233"/>
      <c r="E974" s="15"/>
      <c r="F974" s="19"/>
      <c r="G974" s="99"/>
      <c r="M974" s="19"/>
      <c r="N974" s="19"/>
      <c r="O974" s="99"/>
      <c r="P974" s="19"/>
      <c r="Q974" s="19"/>
      <c r="R974" s="19"/>
      <c r="S974" s="19"/>
    </row>
    <row r="975" spans="1:19">
      <c r="A975" s="230"/>
      <c r="B975" s="231"/>
      <c r="C975" s="232"/>
      <c r="D975" s="233"/>
      <c r="E975" s="15"/>
      <c r="F975" s="19"/>
      <c r="G975" s="99"/>
      <c r="M975" s="19"/>
      <c r="N975" s="19"/>
      <c r="O975" s="99"/>
      <c r="P975" s="19"/>
      <c r="Q975" s="19"/>
      <c r="R975" s="19"/>
      <c r="S975" s="19"/>
    </row>
    <row r="976" spans="1:19">
      <c r="A976" s="230"/>
      <c r="B976" s="231"/>
      <c r="C976" s="232"/>
      <c r="D976" s="233"/>
      <c r="E976" s="15"/>
      <c r="F976" s="19"/>
      <c r="G976" s="99"/>
      <c r="M976" s="19"/>
      <c r="N976" s="19"/>
      <c r="O976" s="99"/>
      <c r="P976" s="19"/>
      <c r="Q976" s="19"/>
      <c r="R976" s="19"/>
      <c r="S976" s="19"/>
    </row>
    <row r="977" spans="1:19">
      <c r="A977" s="230"/>
      <c r="B977" s="231"/>
      <c r="C977" s="232"/>
      <c r="D977" s="233"/>
      <c r="E977" s="15"/>
      <c r="F977" s="19"/>
      <c r="G977" s="99"/>
      <c r="M977" s="19"/>
      <c r="N977" s="19"/>
      <c r="O977" s="99"/>
      <c r="P977" s="19"/>
      <c r="Q977" s="19"/>
      <c r="R977" s="19"/>
      <c r="S977" s="19"/>
    </row>
    <row r="978" spans="1:19">
      <c r="A978" s="230"/>
      <c r="B978" s="231"/>
      <c r="C978" s="232"/>
      <c r="D978" s="233"/>
      <c r="E978" s="15"/>
      <c r="F978" s="19"/>
      <c r="G978" s="99"/>
      <c r="M978" s="19"/>
      <c r="N978" s="19"/>
      <c r="O978" s="99"/>
      <c r="P978" s="19"/>
      <c r="Q978" s="19"/>
      <c r="R978" s="19"/>
      <c r="S978" s="19"/>
    </row>
    <row r="979" spans="1:19">
      <c r="A979" s="230"/>
      <c r="B979" s="231"/>
      <c r="C979" s="232"/>
      <c r="D979" s="233"/>
      <c r="E979" s="15"/>
      <c r="F979" s="19"/>
      <c r="G979" s="99"/>
      <c r="M979" s="19"/>
      <c r="N979" s="19"/>
      <c r="O979" s="99"/>
      <c r="P979" s="19"/>
      <c r="Q979" s="19"/>
      <c r="R979" s="19"/>
      <c r="S979" s="19"/>
    </row>
    <row r="980" spans="1:19">
      <c r="A980" s="230"/>
      <c r="B980" s="231"/>
      <c r="C980" s="232"/>
      <c r="D980" s="233"/>
      <c r="E980" s="15"/>
      <c r="F980" s="19"/>
      <c r="G980" s="99"/>
      <c r="M980" s="19"/>
      <c r="N980" s="19"/>
      <c r="O980" s="99"/>
      <c r="P980" s="19"/>
      <c r="Q980" s="19"/>
      <c r="R980" s="19"/>
      <c r="S980" s="19"/>
    </row>
    <row r="981" spans="1:19">
      <c r="A981" s="230"/>
      <c r="B981" s="231"/>
      <c r="C981" s="232"/>
      <c r="D981" s="233"/>
      <c r="E981" s="15"/>
      <c r="F981" s="19"/>
      <c r="G981" s="99"/>
      <c r="M981" s="19"/>
      <c r="N981" s="19"/>
      <c r="O981" s="99"/>
      <c r="P981" s="19"/>
      <c r="Q981" s="19"/>
      <c r="R981" s="19"/>
      <c r="S981" s="19"/>
    </row>
    <row r="982" spans="1:19">
      <c r="A982" s="230"/>
      <c r="B982" s="231"/>
      <c r="C982" s="232"/>
      <c r="D982" s="233"/>
      <c r="E982" s="15"/>
      <c r="F982" s="19"/>
      <c r="G982" s="99"/>
      <c r="M982" s="19"/>
      <c r="N982" s="19"/>
      <c r="O982" s="99"/>
      <c r="P982" s="19"/>
      <c r="Q982" s="19"/>
      <c r="R982" s="19"/>
      <c r="S982" s="19"/>
    </row>
    <row r="983" spans="1:19">
      <c r="A983" s="230"/>
      <c r="B983" s="231"/>
      <c r="C983" s="232"/>
      <c r="D983" s="233"/>
      <c r="E983" s="15"/>
      <c r="F983" s="19"/>
      <c r="G983" s="99"/>
      <c r="M983" s="19"/>
      <c r="N983" s="19"/>
      <c r="O983" s="99"/>
      <c r="P983" s="19"/>
      <c r="Q983" s="19"/>
      <c r="R983" s="19"/>
      <c r="S983" s="19"/>
    </row>
    <row r="984" spans="1:19">
      <c r="A984" s="230"/>
      <c r="B984" s="231"/>
      <c r="C984" s="232"/>
      <c r="D984" s="233"/>
      <c r="E984" s="15"/>
      <c r="F984" s="19"/>
      <c r="G984" s="99"/>
      <c r="M984" s="19"/>
      <c r="N984" s="19"/>
      <c r="O984" s="99"/>
      <c r="P984" s="19"/>
      <c r="Q984" s="19"/>
      <c r="R984" s="19"/>
      <c r="S984" s="19"/>
    </row>
    <row r="985" spans="1:19">
      <c r="A985" s="230"/>
      <c r="B985" s="231"/>
      <c r="C985" s="232"/>
      <c r="D985" s="233"/>
      <c r="E985" s="15"/>
      <c r="F985" s="19"/>
      <c r="G985" s="99"/>
      <c r="M985" s="19"/>
      <c r="N985" s="19"/>
      <c r="O985" s="99"/>
      <c r="P985" s="19"/>
      <c r="Q985" s="19"/>
      <c r="R985" s="19"/>
      <c r="S985" s="19"/>
    </row>
    <row r="986" spans="1:19">
      <c r="A986" s="230"/>
      <c r="B986" s="231"/>
      <c r="C986" s="232"/>
      <c r="D986" s="233"/>
      <c r="E986" s="15"/>
      <c r="F986" s="19"/>
      <c r="G986" s="99"/>
      <c r="M986" s="19"/>
      <c r="N986" s="19"/>
      <c r="O986" s="99"/>
      <c r="P986" s="19"/>
      <c r="Q986" s="19"/>
      <c r="R986" s="19"/>
      <c r="S986" s="19"/>
    </row>
    <row r="987" spans="1:19">
      <c r="A987" s="230"/>
      <c r="B987" s="231"/>
      <c r="C987" s="232"/>
      <c r="D987" s="233"/>
      <c r="E987" s="15"/>
      <c r="F987" s="19"/>
      <c r="G987" s="99"/>
      <c r="M987" s="19"/>
      <c r="N987" s="19"/>
      <c r="O987" s="99"/>
      <c r="P987" s="19"/>
      <c r="Q987" s="19"/>
      <c r="R987" s="19"/>
      <c r="S987" s="19"/>
    </row>
    <row r="988" spans="1:19">
      <c r="A988" s="230"/>
      <c r="B988" s="231"/>
      <c r="C988" s="232"/>
      <c r="D988" s="233"/>
      <c r="E988" s="15"/>
      <c r="F988" s="19"/>
      <c r="G988" s="99"/>
      <c r="M988" s="19"/>
      <c r="N988" s="19"/>
      <c r="O988" s="99"/>
      <c r="P988" s="19"/>
      <c r="Q988" s="19"/>
      <c r="R988" s="19"/>
      <c r="S988" s="19"/>
    </row>
    <row r="989" spans="1:19">
      <c r="A989" s="230"/>
      <c r="B989" s="231"/>
      <c r="C989" s="232"/>
      <c r="D989" s="233"/>
      <c r="E989" s="15"/>
      <c r="F989" s="19"/>
      <c r="G989" s="99"/>
      <c r="M989" s="19"/>
      <c r="N989" s="19"/>
      <c r="O989" s="99"/>
      <c r="P989" s="19"/>
      <c r="Q989" s="19"/>
      <c r="R989" s="19"/>
      <c r="S989" s="19"/>
    </row>
    <row r="990" spans="1:19">
      <c r="A990" s="230"/>
      <c r="B990" s="231"/>
      <c r="C990" s="232"/>
      <c r="D990" s="233"/>
      <c r="E990" s="15"/>
      <c r="F990" s="19"/>
      <c r="G990" s="99"/>
      <c r="M990" s="19"/>
      <c r="N990" s="19"/>
      <c r="O990" s="99"/>
      <c r="P990" s="19"/>
      <c r="Q990" s="19"/>
      <c r="R990" s="19"/>
      <c r="S990" s="19"/>
    </row>
    <row r="991" spans="1:19">
      <c r="A991" s="230"/>
      <c r="B991" s="231"/>
      <c r="C991" s="232"/>
      <c r="D991" s="233"/>
      <c r="E991" s="15"/>
      <c r="F991" s="19"/>
      <c r="G991" s="99"/>
      <c r="M991" s="19"/>
      <c r="N991" s="19"/>
      <c r="O991" s="99"/>
      <c r="P991" s="19"/>
      <c r="Q991" s="19"/>
      <c r="R991" s="19"/>
      <c r="S991" s="19"/>
    </row>
    <row r="992" spans="1:19">
      <c r="A992" s="230"/>
      <c r="B992" s="231"/>
      <c r="C992" s="232"/>
      <c r="D992" s="233"/>
      <c r="E992" s="15"/>
      <c r="F992" s="19"/>
      <c r="G992" s="99"/>
      <c r="M992" s="19"/>
      <c r="N992" s="19"/>
      <c r="O992" s="99"/>
      <c r="P992" s="19"/>
      <c r="Q992" s="19"/>
      <c r="R992" s="19"/>
      <c r="S992" s="19"/>
    </row>
    <row r="993" spans="1:19">
      <c r="A993" s="230"/>
      <c r="B993" s="231"/>
      <c r="C993" s="232"/>
      <c r="D993" s="233"/>
      <c r="E993" s="15"/>
      <c r="F993" s="19"/>
      <c r="G993" s="99"/>
      <c r="M993" s="19"/>
      <c r="N993" s="19"/>
      <c r="O993" s="99"/>
      <c r="P993" s="19"/>
      <c r="Q993" s="19"/>
      <c r="R993" s="19"/>
      <c r="S993" s="19"/>
    </row>
    <row r="994" spans="1:19">
      <c r="A994" s="230"/>
      <c r="B994" s="231"/>
      <c r="C994" s="232"/>
      <c r="D994" s="233"/>
      <c r="E994" s="15"/>
      <c r="F994" s="19"/>
      <c r="G994" s="99"/>
      <c r="M994" s="19"/>
      <c r="N994" s="19"/>
      <c r="O994" s="99"/>
      <c r="P994" s="19"/>
      <c r="Q994" s="19"/>
      <c r="R994" s="19"/>
      <c r="S994" s="19"/>
    </row>
    <row r="995" spans="1:19">
      <c r="A995" s="230"/>
      <c r="B995" s="231"/>
      <c r="C995" s="232"/>
      <c r="D995" s="233"/>
      <c r="E995" s="15"/>
      <c r="F995" s="19"/>
      <c r="G995" s="99"/>
      <c r="M995" s="19"/>
      <c r="N995" s="19"/>
      <c r="O995" s="99"/>
      <c r="P995" s="19"/>
      <c r="Q995" s="19"/>
      <c r="R995" s="19"/>
      <c r="S995" s="19"/>
    </row>
    <row r="996" spans="1:19">
      <c r="A996" s="230"/>
      <c r="B996" s="231"/>
      <c r="C996" s="232"/>
      <c r="D996" s="233"/>
      <c r="E996" s="15"/>
      <c r="F996" s="19"/>
      <c r="G996" s="99"/>
      <c r="M996" s="19"/>
      <c r="N996" s="19"/>
      <c r="O996" s="99"/>
      <c r="P996" s="19"/>
      <c r="Q996" s="19"/>
      <c r="R996" s="19"/>
      <c r="S996" s="19"/>
    </row>
    <row r="997" spans="1:19">
      <c r="A997" s="230"/>
      <c r="B997" s="231"/>
      <c r="C997" s="232"/>
      <c r="D997" s="233"/>
      <c r="E997" s="15"/>
      <c r="F997" s="19"/>
      <c r="G997" s="99"/>
      <c r="M997" s="19"/>
      <c r="N997" s="19"/>
      <c r="O997" s="99"/>
      <c r="P997" s="19"/>
      <c r="Q997" s="19"/>
      <c r="R997" s="19"/>
      <c r="S997" s="19"/>
    </row>
    <row r="998" spans="1:19">
      <c r="A998" s="230"/>
      <c r="B998" s="231"/>
      <c r="C998" s="232"/>
      <c r="D998" s="233"/>
      <c r="E998" s="15"/>
      <c r="F998" s="19"/>
      <c r="G998" s="99"/>
      <c r="M998" s="19"/>
      <c r="N998" s="19"/>
      <c r="O998" s="99"/>
      <c r="P998" s="19"/>
      <c r="Q998" s="19"/>
      <c r="R998" s="19"/>
      <c r="S998" s="19"/>
    </row>
    <row r="999" spans="1:19">
      <c r="A999" s="230"/>
      <c r="B999" s="231"/>
      <c r="C999" s="232"/>
      <c r="D999" s="233"/>
      <c r="E999" s="15"/>
      <c r="F999" s="19"/>
      <c r="G999" s="99"/>
      <c r="M999" s="19"/>
      <c r="N999" s="19"/>
      <c r="O999" s="99"/>
      <c r="P999" s="19"/>
      <c r="Q999" s="19"/>
      <c r="R999" s="19"/>
      <c r="S999" s="19"/>
    </row>
    <row r="1000" spans="1:19">
      <c r="L1000" s="212"/>
      <c r="M1000" s="19"/>
      <c r="N1000" s="19"/>
      <c r="O1000" s="99"/>
      <c r="P1000" s="21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0" customWidth="1"/>
    <col min="7" max="10" width="14.1809523809524" style="140" customWidth="1"/>
    <col min="11" max="13" width="17.8571428571429" style="140" customWidth="1"/>
    <col min="14" max="14" width="29.2857142857143" style="140" customWidth="1"/>
    <col min="15" max="15" width="72.2857142857143" style="21" customWidth="1"/>
  </cols>
  <sheetData>
    <row r="1" ht="32.25" customHeight="1" spans="1:15">
      <c r="A1" s="175" t="s">
        <v>138</v>
      </c>
      <c r="B1" s="175" t="s">
        <v>139</v>
      </c>
      <c r="C1" s="175" t="s">
        <v>140</v>
      </c>
      <c r="D1" s="175" t="s">
        <v>21</v>
      </c>
      <c r="E1" s="175" t="s">
        <v>272</v>
      </c>
      <c r="F1" s="175" t="s">
        <v>131</v>
      </c>
      <c r="G1" s="175" t="s">
        <v>132</v>
      </c>
      <c r="H1" s="175" t="s">
        <v>133</v>
      </c>
      <c r="I1" s="175" t="s">
        <v>273</v>
      </c>
      <c r="J1" s="175" t="s">
        <v>134</v>
      </c>
      <c r="K1" s="175" t="s">
        <v>274</v>
      </c>
      <c r="L1" s="175" t="s">
        <v>275</v>
      </c>
      <c r="M1" s="175" t="s">
        <v>276</v>
      </c>
      <c r="N1" s="175" t="s">
        <v>277</v>
      </c>
      <c r="O1" s="175" t="s">
        <v>278</v>
      </c>
    </row>
    <row r="2" ht="16.5" customHeight="1" spans="1:15">
      <c r="A2" s="176" t="s">
        <v>165</v>
      </c>
      <c r="B2" s="177" t="s">
        <v>166</v>
      </c>
      <c r="C2" s="177" t="s">
        <v>167</v>
      </c>
      <c r="D2" s="176">
        <f>SUMIF(Purchase!Q:Q,A2,Purchase!O:O)</f>
        <v>647</v>
      </c>
      <c r="E2" s="176" t="s">
        <v>279</v>
      </c>
      <c r="F2" s="178">
        <v>46170</v>
      </c>
      <c r="G2" s="178">
        <v>46170</v>
      </c>
      <c r="H2" s="178">
        <v>46195</v>
      </c>
      <c r="I2" s="178">
        <v>46200</v>
      </c>
      <c r="J2" s="178">
        <f>IF(_xlfn.XLOOKUP(A2,Purchase!Q:Q,Purchase!K:K)="","尚未送仓",_xlfn.XLOOKUP(A2,Purchase!Q:Q,Purchase!K:K))</f>
        <v>46203</v>
      </c>
      <c r="K2" s="179"/>
      <c r="L2" s="178"/>
      <c r="M2" s="178"/>
      <c r="N2" s="21"/>
      <c r="O2" s="180" t="s">
        <v>280</v>
      </c>
    </row>
    <row r="3" ht="33" spans="1:15">
      <c r="A3" s="181" t="s">
        <v>157</v>
      </c>
      <c r="B3" s="177" t="s">
        <v>158</v>
      </c>
      <c r="C3" s="177" t="s">
        <v>159</v>
      </c>
      <c r="D3" s="176">
        <f>SUMIF(Purchase!Q:Q,A3,Purchase!O:O)</f>
        <v>927</v>
      </c>
      <c r="E3" s="176" t="s">
        <v>279</v>
      </c>
      <c r="F3" s="178">
        <v>46187</v>
      </c>
      <c r="G3" s="178">
        <v>46192</v>
      </c>
      <c r="H3" s="178">
        <v>46218</v>
      </c>
      <c r="I3" s="178">
        <v>46218</v>
      </c>
      <c r="J3" s="178">
        <f>IF(_xlfn.XLOOKUP(A3,Purchase!Q:Q,Purchase!K:K)="","尚未送仓",_xlfn.XLOOKUP(A3,Purchase!Q:Q,Purchase!K:K))</f>
        <v>46224</v>
      </c>
      <c r="K3" s="179"/>
      <c r="L3" s="178"/>
      <c r="M3" s="178"/>
      <c r="N3" s="21"/>
      <c r="O3" s="182" t="s">
        <v>281</v>
      </c>
    </row>
    <row r="4" ht="16.5" spans="1:15">
      <c r="A4" s="176" t="s">
        <v>178</v>
      </c>
      <c r="B4" s="183" t="s">
        <v>179</v>
      </c>
      <c r="C4" s="177" t="s">
        <v>180</v>
      </c>
      <c r="D4" s="176">
        <f>SUMIF(Purchase!Q:Q,A4,Purchase!O:O)</f>
        <v>608</v>
      </c>
      <c r="E4" s="176" t="s">
        <v>279</v>
      </c>
      <c r="F4" s="178">
        <v>46189</v>
      </c>
      <c r="G4" s="178">
        <v>46194</v>
      </c>
      <c r="H4" s="178">
        <v>46212</v>
      </c>
      <c r="I4" s="178">
        <v>46212</v>
      </c>
      <c r="J4" s="178">
        <f>IF(_xlfn.XLOOKUP(A4,Purchase!Q:Q,Purchase!K:K)="","尚未送仓",_xlfn.XLOOKUP(A4,Purchase!Q:Q,Purchase!K:K))</f>
        <v>46223</v>
      </c>
      <c r="K4" s="179"/>
      <c r="L4" s="178"/>
      <c r="M4" s="178"/>
      <c r="N4" s="21"/>
      <c r="O4" s="180" t="s">
        <v>282</v>
      </c>
    </row>
    <row r="5" ht="16.5" spans="1:15">
      <c r="A5" s="176" t="s">
        <v>168</v>
      </c>
      <c r="B5" s="177" t="s">
        <v>169</v>
      </c>
      <c r="C5" s="177" t="s">
        <v>170</v>
      </c>
      <c r="D5" s="176">
        <f>SUMIF(Purchase!Q:Q,A5,Purchase!O:O)</f>
        <v>813</v>
      </c>
      <c r="E5" s="176" t="s">
        <v>279</v>
      </c>
      <c r="F5" s="178">
        <v>46189</v>
      </c>
      <c r="G5" s="178">
        <v>46194</v>
      </c>
      <c r="H5" s="178">
        <v>46211</v>
      </c>
      <c r="I5" s="178">
        <v>46211</v>
      </c>
      <c r="J5" s="178">
        <f>IF(_xlfn.XLOOKUP(A5,Purchase!Q:Q,Purchase!K:K)="","尚未送仓",_xlfn.XLOOKUP(A5,Purchase!Q:Q,Purchase!K:K))</f>
        <v>46220</v>
      </c>
      <c r="K5" s="179"/>
      <c r="L5" s="178"/>
      <c r="M5" s="178"/>
      <c r="N5" s="21"/>
      <c r="O5" s="180" t="s">
        <v>283</v>
      </c>
    </row>
    <row r="6" ht="23.25" customHeight="1" spans="1:15">
      <c r="A6" s="176" t="s">
        <v>171</v>
      </c>
      <c r="B6" s="177" t="s">
        <v>172</v>
      </c>
      <c r="C6" s="177">
        <v>32448205</v>
      </c>
      <c r="D6" s="176">
        <f>SUMIF(Purchase!Q:Q,A6,Purchase!O:O)</f>
        <v>445</v>
      </c>
      <c r="E6" s="176" t="s">
        <v>279</v>
      </c>
      <c r="F6" s="178">
        <v>46191</v>
      </c>
      <c r="G6" s="178">
        <v>46199</v>
      </c>
      <c r="H6" s="178">
        <v>46213</v>
      </c>
      <c r="I6" s="178">
        <v>46212</v>
      </c>
      <c r="J6" s="178">
        <f>IF(_xlfn.XLOOKUP(A6,Purchase!Q:Q,Purchase!K:K)="","尚未送仓",_xlfn.XLOOKUP(A6,Purchase!Q:Q,Purchase!K:K))</f>
        <v>46225</v>
      </c>
      <c r="K6" s="179"/>
      <c r="L6" s="178"/>
      <c r="M6" s="178"/>
      <c r="N6" s="21"/>
      <c r="O6" s="182" t="s">
        <v>284</v>
      </c>
    </row>
    <row r="7" ht="16.5" spans="1:15">
      <c r="A7" s="176" t="s">
        <v>190</v>
      </c>
      <c r="B7" s="183" t="s">
        <v>191</v>
      </c>
      <c r="C7" s="177" t="s">
        <v>192</v>
      </c>
      <c r="D7" s="176">
        <f>SUMIF(Purchase!Q:Q,A7,Purchase!O:O)</f>
        <v>422</v>
      </c>
      <c r="E7" s="176" t="s">
        <v>279</v>
      </c>
      <c r="F7" s="178">
        <v>46189</v>
      </c>
      <c r="G7" s="178">
        <v>46194</v>
      </c>
      <c r="H7" s="178">
        <v>46212</v>
      </c>
      <c r="I7" s="178">
        <v>46212</v>
      </c>
      <c r="J7" s="178">
        <f>IF(_xlfn.XLOOKUP(A7,Purchase!Q:Q,Purchase!K:K)="","尚未送仓",_xlfn.XLOOKUP(A7,Purchase!Q:Q,Purchase!K:K))</f>
        <v>46224</v>
      </c>
      <c r="K7" s="179"/>
      <c r="L7" s="178"/>
      <c r="M7" s="178"/>
      <c r="N7" s="21"/>
      <c r="O7" s="180" t="s">
        <v>282</v>
      </c>
    </row>
    <row r="8" ht="16.5" spans="1:15">
      <c r="A8" s="176" t="s">
        <v>211</v>
      </c>
      <c r="B8" s="177" t="s">
        <v>212</v>
      </c>
      <c r="C8" s="177" t="s">
        <v>213</v>
      </c>
      <c r="D8" s="176">
        <f>SUMIF(Purchase!Q:Q,A8,Purchase!O:O)</f>
        <v>491</v>
      </c>
      <c r="E8" s="176" t="s">
        <v>279</v>
      </c>
      <c r="F8" s="178">
        <v>46189</v>
      </c>
      <c r="G8" s="178">
        <v>46194</v>
      </c>
      <c r="H8" s="178">
        <v>46212</v>
      </c>
      <c r="I8" s="178">
        <v>46212</v>
      </c>
      <c r="J8" s="178">
        <f>IF(_xlfn.XLOOKUP(A8,Purchase!Q:Q,Purchase!K:K)="","尚未送仓",_xlfn.XLOOKUP(A8,Purchase!Q:Q,Purchase!K:K))</f>
        <v>46224</v>
      </c>
      <c r="K8" s="179"/>
      <c r="L8" s="178"/>
      <c r="M8" s="178"/>
      <c r="N8" s="21"/>
      <c r="O8" s="180" t="s">
        <v>282</v>
      </c>
    </row>
    <row r="9" ht="16.5" spans="1:15">
      <c r="A9" s="176" t="s">
        <v>198</v>
      </c>
      <c r="B9" s="183" t="s">
        <v>199</v>
      </c>
      <c r="C9" s="177" t="s">
        <v>200</v>
      </c>
      <c r="D9" s="176">
        <f>SUMIF(Purchase!Q:Q,A9,Purchase!O:O)</f>
        <v>1375</v>
      </c>
      <c r="E9" s="176" t="s">
        <v>279</v>
      </c>
      <c r="F9" s="178">
        <v>46189</v>
      </c>
      <c r="G9" s="178">
        <v>46194</v>
      </c>
      <c r="H9" s="178">
        <v>46212</v>
      </c>
      <c r="I9" s="178">
        <v>46212</v>
      </c>
      <c r="J9" s="178">
        <f>IF(_xlfn.XLOOKUP(A9,Purchase!Q:Q,Purchase!K:K)="","尚未送仓",_xlfn.XLOOKUP(A9,Purchase!Q:Q,Purchase!K:K))</f>
        <v>46218</v>
      </c>
      <c r="K9" s="179"/>
      <c r="L9" s="178"/>
      <c r="M9" s="178"/>
      <c r="N9" s="21"/>
      <c r="O9" s="180" t="s">
        <v>282</v>
      </c>
    </row>
    <row r="10" customFormat="1" ht="16.5" spans="1:15">
      <c r="A10" s="176" t="s">
        <v>173</v>
      </c>
      <c r="B10" s="184" t="s">
        <v>174</v>
      </c>
      <c r="C10" s="185"/>
      <c r="D10" s="176">
        <f>SUMIF(Purchase!Q:Q,A10,Purchase!O:O)</f>
        <v>200</v>
      </c>
      <c r="E10" s="176" t="s">
        <v>279</v>
      </c>
      <c r="F10" s="178">
        <v>46182</v>
      </c>
      <c r="G10" s="178">
        <v>46190</v>
      </c>
      <c r="H10" s="178">
        <v>46204</v>
      </c>
      <c r="I10" s="178">
        <v>46205</v>
      </c>
      <c r="J10" s="178">
        <f>IF(_xlfn.XLOOKUP(A10,Purchase!Q:Q,Purchase!K:K)="","尚未送仓",_xlfn.XLOOKUP(A10,Purchase!Q:Q,Purchase!K:K))</f>
        <v>46218</v>
      </c>
      <c r="K10" s="179"/>
      <c r="L10" s="178"/>
      <c r="M10" s="178"/>
      <c r="N10" s="176" t="s">
        <v>285</v>
      </c>
      <c r="O10" s="182" t="s">
        <v>286</v>
      </c>
    </row>
    <row r="11" customFormat="1" ht="16.5" spans="1:15">
      <c r="A11" s="176" t="s">
        <v>175</v>
      </c>
      <c r="B11" s="184" t="s">
        <v>174</v>
      </c>
      <c r="C11" s="185"/>
      <c r="D11" s="176">
        <f>SUMIF(Purchase!Q:Q,A11,Purchase!O:O)</f>
        <v>217</v>
      </c>
      <c r="E11" s="176" t="s">
        <v>279</v>
      </c>
      <c r="F11" s="178">
        <v>46182</v>
      </c>
      <c r="G11" s="178">
        <v>46190</v>
      </c>
      <c r="H11" s="178">
        <v>46204</v>
      </c>
      <c r="I11" s="178">
        <v>46204</v>
      </c>
      <c r="J11" s="178">
        <f>IF(_xlfn.XLOOKUP(A11,Purchase!Q:Q,Purchase!K:K)="","尚未送仓",_xlfn.XLOOKUP(A11,Purchase!Q:Q,Purchase!K:K))</f>
        <v>46224</v>
      </c>
      <c r="K11" s="179"/>
      <c r="L11" s="178"/>
      <c r="M11" s="178"/>
      <c r="N11" s="176" t="s">
        <v>287</v>
      </c>
      <c r="O11" s="182" t="s">
        <v>286</v>
      </c>
    </row>
    <row r="12" ht="16.5" spans="1:15">
      <c r="A12" s="186" t="s">
        <v>186</v>
      </c>
      <c r="B12" s="187" t="s">
        <v>174</v>
      </c>
      <c r="C12" s="188"/>
      <c r="D12" s="176">
        <f>SUMIF(Purchase!Q:Q,A12,Purchase!O:O)</f>
        <v>296</v>
      </c>
      <c r="E12" s="176" t="s">
        <v>279</v>
      </c>
      <c r="F12" s="178">
        <v>46197</v>
      </c>
      <c r="G12" s="189">
        <v>46204</v>
      </c>
      <c r="H12" s="189">
        <v>46218</v>
      </c>
      <c r="I12" s="189">
        <v>46218</v>
      </c>
      <c r="J12" s="178">
        <f>IF(_xlfn.XLOOKUP(A12,Purchase!Q:Q,Purchase!K:K)="","尚未送仓",_xlfn.XLOOKUP(A12,Purchase!Q:Q,Purchase!K:K))</f>
        <v>46226</v>
      </c>
      <c r="K12" s="179"/>
      <c r="L12" s="189"/>
      <c r="M12" s="189"/>
      <c r="N12" s="176" t="s">
        <v>288</v>
      </c>
      <c r="O12" s="182" t="s">
        <v>289</v>
      </c>
    </row>
    <row r="13" ht="16.5" spans="1:15">
      <c r="A13" s="176" t="s">
        <v>193</v>
      </c>
      <c r="B13" s="177" t="s">
        <v>194</v>
      </c>
      <c r="C13" s="177" t="s">
        <v>195</v>
      </c>
      <c r="D13" s="176">
        <f>SUMIF(Purchase!Q:Q,A13,Purchase!O:O)</f>
        <v>952</v>
      </c>
      <c r="E13" s="176" t="s">
        <v>290</v>
      </c>
      <c r="F13" s="189">
        <v>46198</v>
      </c>
      <c r="G13" s="189">
        <v>46202</v>
      </c>
      <c r="H13" s="189">
        <v>46220</v>
      </c>
      <c r="I13" s="189">
        <v>46220</v>
      </c>
      <c r="J13" s="178">
        <f>IF(_xlfn.XLOOKUP(A13,Purchase!Q:Q,Purchase!K:K)="","尚未送仓",_xlfn.XLOOKUP(A13,Purchase!Q:Q,Purchase!K:K))</f>
        <v>46226</v>
      </c>
      <c r="K13" s="179"/>
      <c r="L13" s="189"/>
      <c r="M13" s="189"/>
      <c r="N13" s="176"/>
      <c r="O13" s="190" t="s">
        <v>291</v>
      </c>
    </row>
    <row r="14" ht="16.5" spans="1:15">
      <c r="A14" s="176" t="s">
        <v>208</v>
      </c>
      <c r="B14" s="187" t="s">
        <v>174</v>
      </c>
      <c r="C14" s="191"/>
      <c r="D14" s="176">
        <f>SUMIF(Purchase!Q:Q,A14,Purchase!O:O)</f>
        <v>64</v>
      </c>
      <c r="E14" s="176" t="s">
        <v>279</v>
      </c>
      <c r="F14" s="189">
        <v>46202</v>
      </c>
      <c r="G14" s="178">
        <v>46211</v>
      </c>
      <c r="H14" s="178">
        <v>46224</v>
      </c>
      <c r="I14" s="178">
        <v>46224</v>
      </c>
      <c r="J14" s="178">
        <f>IF(_xlfn.XLOOKUP(A14,Purchase!Q:Q,Purchase!K:K)="","尚未送仓",_xlfn.XLOOKUP(A14,Purchase!Q:Q,Purchase!K:K))</f>
        <v>46232</v>
      </c>
      <c r="K14" s="179"/>
      <c r="L14" s="178"/>
      <c r="M14" s="178"/>
      <c r="N14" s="176" t="s">
        <v>292</v>
      </c>
      <c r="O14" s="180" t="s">
        <v>293</v>
      </c>
    </row>
    <row r="15" ht="16.5" customHeight="1" spans="1:15">
      <c r="A15" s="176" t="s">
        <v>220</v>
      </c>
      <c r="B15" s="177" t="s">
        <v>221</v>
      </c>
      <c r="C15" s="177" t="s">
        <v>222</v>
      </c>
      <c r="D15" s="176">
        <f>SUMIF(Purchase!Q:Q,A15,Purchase!O:O)</f>
        <v>79</v>
      </c>
      <c r="E15" s="176" t="s">
        <v>279</v>
      </c>
      <c r="F15" s="189">
        <v>46204</v>
      </c>
      <c r="G15" s="178">
        <v>46209</v>
      </c>
      <c r="H15" s="178">
        <v>46231</v>
      </c>
      <c r="I15" s="178">
        <v>46231</v>
      </c>
      <c r="J15" s="178">
        <f>IF(_xlfn.XLOOKUP(A15,Purchase!Q:Q,Purchase!K:K)="","尚未送仓",_xlfn.XLOOKUP(A15,Purchase!Q:Q,Purchase!K:K))</f>
        <v>46235</v>
      </c>
      <c r="K15" s="179"/>
      <c r="L15" s="178"/>
      <c r="M15" s="178"/>
      <c r="N15" s="176" t="s">
        <v>294</v>
      </c>
      <c r="O15" s="192" t="s">
        <v>295</v>
      </c>
    </row>
    <row r="16" s="68" customFormat="1" spans="1:15">
      <c r="A16" s="19" t="s">
        <v>187</v>
      </c>
      <c r="B16" s="155" t="s">
        <v>188</v>
      </c>
      <c r="C16" s="157" t="s">
        <v>189</v>
      </c>
      <c r="D16" s="176">
        <f>SUMIF(Purchase!Q:Q,A16,Purchase!O:O)</f>
        <v>524</v>
      </c>
      <c r="E16" s="6" t="s">
        <v>279</v>
      </c>
      <c r="F16" s="193">
        <v>46209</v>
      </c>
      <c r="G16" s="193">
        <v>46218</v>
      </c>
      <c r="H16" s="193">
        <v>46248</v>
      </c>
      <c r="I16" s="193">
        <v>46247</v>
      </c>
      <c r="J16" s="178">
        <f>IF(_xlfn.XLOOKUP(A16,Purchase!Q:Q,Purchase!K:K)="","尚未送仓",_xlfn.XLOOKUP(A16,Purchase!Q:Q,Purchase!K:K))</f>
        <v>46253</v>
      </c>
      <c r="K16" s="179"/>
      <c r="L16" s="193"/>
      <c r="M16" s="193"/>
      <c r="N16" s="176" t="s">
        <v>296</v>
      </c>
      <c r="O16" s="192" t="s">
        <v>297</v>
      </c>
    </row>
    <row r="17" ht="14.25" customHeight="1" spans="1:16">
      <c r="A17" s="6" t="s">
        <v>216</v>
      </c>
      <c r="B17" s="194" t="s">
        <v>174</v>
      </c>
      <c r="C17" s="195"/>
      <c r="D17" s="176">
        <f>SUMIF(Purchase!Q:Q,A17,Purchase!O:O)</f>
        <v>106</v>
      </c>
      <c r="E17" s="6" t="s">
        <v>279</v>
      </c>
      <c r="F17" s="193">
        <v>46217</v>
      </c>
      <c r="G17" s="193">
        <v>46225</v>
      </c>
      <c r="H17" s="193">
        <v>46239</v>
      </c>
      <c r="I17" s="193">
        <v>46239</v>
      </c>
      <c r="J17" s="178">
        <f>IF(_xlfn.XLOOKUP(A17,Purchase!Q:Q,Purchase!K:K)="","尚未送仓",_xlfn.XLOOKUP(A17,Purchase!Q:Q,Purchase!K:K))</f>
        <v>46249</v>
      </c>
      <c r="K17" s="179"/>
      <c r="N17" s="176" t="s">
        <v>298</v>
      </c>
      <c r="O17" s="192" t="s">
        <v>299</v>
      </c>
      <c r="P17" s="196"/>
    </row>
    <row r="18" spans="1:16">
      <c r="A18" s="6" t="s">
        <v>182</v>
      </c>
      <c r="B18" s="155" t="s">
        <v>183</v>
      </c>
      <c r="C18" s="157" t="s">
        <v>184</v>
      </c>
      <c r="D18" s="176">
        <f>SUMIF(Purchase!Q:Q,A18,Purchase!O:O)</f>
        <v>535</v>
      </c>
      <c r="E18" s="6" t="s">
        <v>279</v>
      </c>
      <c r="F18" s="193">
        <v>46220</v>
      </c>
      <c r="G18" s="193">
        <v>46224</v>
      </c>
      <c r="H18" s="193">
        <v>46239</v>
      </c>
      <c r="I18" s="193">
        <v>46239</v>
      </c>
      <c r="J18" s="178">
        <f>IF(_xlfn.XLOOKUP(A18,Purchase!Q:Q,Purchase!K:K)="","尚未送仓",_xlfn.XLOOKUP(A18,Purchase!Q:Q,Purchase!K:K))</f>
        <v>46244</v>
      </c>
      <c r="K18" s="179"/>
      <c r="N18" s="197"/>
      <c r="O18" s="192" t="s">
        <v>300</v>
      </c>
    </row>
    <row r="19" spans="1:16">
      <c r="A19" s="6" t="s">
        <v>217</v>
      </c>
      <c r="B19" s="6" t="s">
        <v>218</v>
      </c>
      <c r="C19" s="6" t="s">
        <v>219</v>
      </c>
      <c r="D19" s="176">
        <f>SUMIF(Purchase!Q:Q,A19,Purchase!O:O)</f>
        <v>551</v>
      </c>
      <c r="E19" s="6" t="s">
        <v>279</v>
      </c>
      <c r="F19" s="193">
        <v>46227</v>
      </c>
      <c r="G19" s="193">
        <v>46238</v>
      </c>
      <c r="H19" s="193">
        <v>46252</v>
      </c>
      <c r="I19" s="193">
        <v>46252</v>
      </c>
      <c r="J19" s="178">
        <f>IF(_xlfn.XLOOKUP(A19,Purchase!Q:Q,Purchase!K:K)="","尚未送仓",_xlfn.XLOOKUP(A19,Purchase!Q:Q,Purchase!K:K))</f>
        <v>46255</v>
      </c>
      <c r="K19" s="178"/>
      <c r="N19" s="197" t="s">
        <v>301</v>
      </c>
      <c r="O19" s="192" t="s">
        <v>302</v>
      </c>
    </row>
    <row r="20" spans="1:16">
      <c r="A20" s="19" t="s">
        <v>225</v>
      </c>
      <c r="B20" s="198" t="s">
        <v>226</v>
      </c>
      <c r="C20" s="198" t="s">
        <v>227</v>
      </c>
      <c r="D20" s="176">
        <f>SUMIF(Purchase!Q:Q,A20,Purchase!O:O)</f>
        <v>585</v>
      </c>
      <c r="E20" s="6" t="s">
        <v>279</v>
      </c>
      <c r="F20" s="193">
        <v>46252</v>
      </c>
      <c r="G20" s="193">
        <v>46258</v>
      </c>
      <c r="H20" s="193">
        <v>46277</v>
      </c>
      <c r="I20" s="193">
        <v>46277</v>
      </c>
      <c r="J20" s="178" t="str">
        <f>IF(_xlfn.XLOOKUP(A20,Purchase!Q:Q,Purchase!K:K)="","尚未送仓",_xlfn.XLOOKUP(A20,Purchase!Q:Q,Purchase!K:K))</f>
        <v>尚未送仓</v>
      </c>
      <c r="K20" s="178" t="s">
        <v>303</v>
      </c>
      <c r="O20" s="192" t="s">
        <v>304</v>
      </c>
    </row>
    <row r="21" spans="1:16">
      <c r="A21" s="19" t="s">
        <v>257</v>
      </c>
      <c r="B21" s="198" t="s">
        <v>258</v>
      </c>
      <c r="C21" s="198" t="s">
        <v>259</v>
      </c>
      <c r="D21" s="176">
        <f>SUMIF(Purchase!Q:Q,A21,Purchase!O:O)</f>
        <v>952</v>
      </c>
      <c r="E21" s="6" t="s">
        <v>279</v>
      </c>
      <c r="F21" s="193">
        <v>46254</v>
      </c>
      <c r="G21" s="193">
        <v>46265</v>
      </c>
      <c r="H21" s="193">
        <v>46282</v>
      </c>
      <c r="J21" s="178" t="str">
        <f>IF(_xlfn.XLOOKUP(A21,Purchase!Q:Q,Purchase!K:K)="","尚未送仓",_xlfn.XLOOKUP(A21,Purchase!Q:Q,Purchase!K:K))</f>
        <v>尚未送仓</v>
      </c>
      <c r="K21" s="178"/>
      <c r="O21" s="192" t="s">
        <v>305</v>
      </c>
    </row>
    <row r="22" spans="1:16">
      <c r="A22" s="19" t="s">
        <v>260</v>
      </c>
      <c r="B22" s="198" t="s">
        <v>261</v>
      </c>
      <c r="C22" s="198" t="s">
        <v>262</v>
      </c>
      <c r="D22" s="176">
        <f>SUMIF(Purchase!Q:Q,A22,Purchase!O:O)</f>
        <v>952</v>
      </c>
      <c r="E22" s="6" t="s">
        <v>279</v>
      </c>
      <c r="F22" s="193">
        <v>46254</v>
      </c>
      <c r="G22" s="193">
        <v>46265</v>
      </c>
      <c r="H22" s="193">
        <v>46282</v>
      </c>
      <c r="J22" s="178" t="str">
        <f>IF(_xlfn.XLOOKUP(A22,Purchase!Q:Q,Purchase!K:K)="","尚未送仓",_xlfn.XLOOKUP(A22,Purchase!Q:Q,Purchase!K:K))</f>
        <v>尚未送仓</v>
      </c>
      <c r="K22" s="178"/>
      <c r="O22" s="192" t="s">
        <v>305</v>
      </c>
    </row>
    <row r="23" spans="1:16">
      <c r="A23" s="19" t="s">
        <v>248</v>
      </c>
      <c r="B23" s="199" t="s">
        <v>174</v>
      </c>
      <c r="C23" s="200"/>
      <c r="D23" s="176">
        <f>SUMIF(Purchase!Q:Q,A23,Purchase!O:O)</f>
        <v>125</v>
      </c>
      <c r="E23" s="6" t="s">
        <v>279</v>
      </c>
      <c r="F23" s="193">
        <v>46247</v>
      </c>
      <c r="G23" s="193">
        <v>46260</v>
      </c>
      <c r="H23" s="193">
        <v>46274</v>
      </c>
      <c r="I23" s="193">
        <v>46275</v>
      </c>
      <c r="J23" s="178" t="str">
        <f>IF(_xlfn.XLOOKUP(A23,Purchase!Q:Q,Purchase!K:K)="","尚未送仓",_xlfn.XLOOKUP(A23,Purchase!Q:Q,Purchase!K:K))</f>
        <v>尚未送仓</v>
      </c>
      <c r="K23" s="178" t="s">
        <v>306</v>
      </c>
      <c r="O23" s="192" t="s">
        <v>307</v>
      </c>
    </row>
    <row r="24" spans="1:16">
      <c r="A24" s="19" t="s">
        <v>254</v>
      </c>
      <c r="B24" s="198" t="s">
        <v>255</v>
      </c>
      <c r="C24" s="198" t="s">
        <v>256</v>
      </c>
      <c r="D24" s="176">
        <f>SUMIF(Purchase!Q:Q,A24,Purchase!O:O)</f>
        <v>952</v>
      </c>
      <c r="E24" s="6" t="s">
        <v>279</v>
      </c>
      <c r="F24" s="193">
        <v>46258</v>
      </c>
      <c r="G24" s="193">
        <v>46266</v>
      </c>
      <c r="H24" s="193">
        <v>46285</v>
      </c>
      <c r="J24" s="178" t="str">
        <f>IF(_xlfn.XLOOKUP(A24,Purchase!Q:Q,Purchase!K:K)="","尚未送仓",_xlfn.XLOOKUP(A24,Purchase!Q:Q,Purchase!K:K))</f>
        <v>尚未送仓</v>
      </c>
      <c r="K24" s="178"/>
      <c r="O24" s="192" t="s">
        <v>308</v>
      </c>
    </row>
    <row r="25" spans="1:16">
      <c r="A25" s="149" t="s">
        <v>249</v>
      </c>
      <c r="B25" s="198" t="s">
        <v>250</v>
      </c>
      <c r="C25" s="198" t="s">
        <v>251</v>
      </c>
      <c r="D25" s="176">
        <f>SUMIF(Purchase!Q:Q,A25,Purchase!O:O)</f>
        <v>690</v>
      </c>
      <c r="E25" s="6" t="s">
        <v>279</v>
      </c>
      <c r="F25" s="193">
        <v>46264</v>
      </c>
      <c r="G25" s="193">
        <v>46281</v>
      </c>
      <c r="H25" s="193">
        <v>46294</v>
      </c>
      <c r="J25" s="178" t="str">
        <f>IF(_xlfn.XLOOKUP(A25,Purchase!Q:Q,Purchase!K:K)="","尚未送仓",_xlfn.XLOOKUP(A25,Purchase!Q:Q,Purchase!K:K))</f>
        <v>尚未送仓</v>
      </c>
      <c r="K25" s="178"/>
      <c r="N25" s="197" t="s">
        <v>309</v>
      </c>
      <c r="O25" s="192" t="s">
        <v>310</v>
      </c>
    </row>
    <row r="26" spans="1:16">
      <c r="A26" s="6" t="s">
        <v>236</v>
      </c>
      <c r="B26" s="6" t="s">
        <v>237</v>
      </c>
      <c r="C26" s="6" t="s">
        <v>238</v>
      </c>
      <c r="D26" s="176">
        <f>SUMIF(Purchase!Q:Q,A26,Purchase!O:O)</f>
        <v>1417.4</v>
      </c>
      <c r="E26" s="6" t="s">
        <v>142</v>
      </c>
      <c r="F26" s="193">
        <v>46237</v>
      </c>
      <c r="G26" s="193">
        <v>46265</v>
      </c>
      <c r="H26" s="193">
        <v>46265</v>
      </c>
      <c r="I26" s="193">
        <v>46265</v>
      </c>
      <c r="J26" s="178">
        <f>IF(_xlfn.XLOOKUP(A26,Purchase!Q:Q,Purchase!K:K)="","尚未送仓",_xlfn.XLOOKUP(A26,Purchase!Q:Q,Purchase!K:K))</f>
        <v>46265</v>
      </c>
      <c r="K26" s="178"/>
      <c r="N26" s="197" t="s">
        <v>311</v>
      </c>
      <c r="O26" s="192" t="s">
        <v>312</v>
      </c>
    </row>
    <row r="27" spans="1:16">
      <c r="A27" s="201" t="s">
        <v>239</v>
      </c>
      <c r="B27" s="201" t="s">
        <v>240</v>
      </c>
      <c r="C27" s="201" t="s">
        <v>241</v>
      </c>
      <c r="D27" s="176">
        <f>SUMIF(Purchase!Q:Q,A27,Purchase!O:O)</f>
        <v>530</v>
      </c>
      <c r="E27" s="6" t="s">
        <v>142</v>
      </c>
      <c r="F27" s="193">
        <v>46237</v>
      </c>
      <c r="G27" s="193">
        <v>46265</v>
      </c>
      <c r="H27" s="193">
        <v>46265</v>
      </c>
      <c r="I27" s="193">
        <v>46265</v>
      </c>
      <c r="J27" s="178">
        <f>IF(_xlfn.XLOOKUP(A27,Purchase!Q:Q,Purchase!K:K)="","尚未送仓",_xlfn.XLOOKUP(A27,Purchase!Q:Q,Purchase!K:K))</f>
        <v>46265</v>
      </c>
      <c r="K27" s="178"/>
      <c r="N27" s="197" t="s">
        <v>311</v>
      </c>
      <c r="O27" s="192" t="s">
        <v>312</v>
      </c>
    </row>
    <row r="28" spans="1:16">
      <c r="A28" s="6" t="s">
        <v>242</v>
      </c>
      <c r="B28" s="6" t="s">
        <v>243</v>
      </c>
      <c r="C28" s="6" t="s">
        <v>244</v>
      </c>
      <c r="D28" s="176">
        <f>SUMIF(Purchase!Q:Q,A28,Purchase!O:O)</f>
        <v>493</v>
      </c>
      <c r="E28" s="6" t="s">
        <v>142</v>
      </c>
      <c r="F28" s="193">
        <v>46237</v>
      </c>
      <c r="G28" s="193">
        <v>46265</v>
      </c>
      <c r="H28" s="193">
        <v>46265</v>
      </c>
      <c r="I28" s="193">
        <v>46265</v>
      </c>
      <c r="J28" s="178">
        <f>IF(_xlfn.XLOOKUP(A28,Purchase!Q:Q,Purchase!K:K)="","尚未送仓",_xlfn.XLOOKUP(A28,Purchase!Q:Q,Purchase!K:K))</f>
        <v>46265</v>
      </c>
      <c r="K28" s="178"/>
      <c r="N28" s="197" t="s">
        <v>311</v>
      </c>
      <c r="O28" s="192" t="s">
        <v>312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49"/>
  <sheetViews>
    <sheetView topLeftCell="H949" workbookViewId="0">
      <selection activeCell="L888" sqref="L888"/>
    </sheetView>
  </sheetViews>
  <sheetFormatPr defaultColWidth="12.6285714285714" defaultRowHeight="12.75"/>
  <cols>
    <col min="1" max="1" width="12.6285714285714" style="137"/>
    <col min="2" max="2" width="50.2190476190476" customWidth="1"/>
    <col min="3" max="4" width="15.5047619047619" customWidth="1"/>
    <col min="5" max="5" width="9.57142857142857" hidden="1" customWidth="1"/>
    <col min="6" max="8" width="10.4095238095238" style="4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7" t="s">
        <v>313</v>
      </c>
      <c r="B1" s="15" t="s">
        <v>314</v>
      </c>
      <c r="C1" s="102" t="s">
        <v>126</v>
      </c>
      <c r="D1" s="102" t="s">
        <v>315</v>
      </c>
      <c r="E1" s="138" t="s">
        <v>316</v>
      </c>
      <c r="F1" s="99" t="s">
        <v>130</v>
      </c>
      <c r="G1" s="99" t="s">
        <v>317</v>
      </c>
      <c r="H1" s="99" t="s">
        <v>318</v>
      </c>
      <c r="I1" s="19" t="s">
        <v>319</v>
      </c>
      <c r="J1" s="19" t="s">
        <v>320</v>
      </c>
      <c r="K1" s="139" t="s">
        <v>132</v>
      </c>
      <c r="L1" s="140" t="s">
        <v>321</v>
      </c>
      <c r="M1" s="19" t="s">
        <v>322</v>
      </c>
      <c r="N1" s="19" t="s">
        <v>323</v>
      </c>
      <c r="O1" s="6" t="s">
        <v>21</v>
      </c>
      <c r="P1" s="19" t="s">
        <v>324</v>
      </c>
      <c r="Q1" s="19" t="s">
        <v>20</v>
      </c>
      <c r="R1" s="6" t="s">
        <v>137</v>
      </c>
    </row>
    <row r="2" spans="1:18">
      <c r="A2" s="137">
        <v>45965</v>
      </c>
      <c r="B2" s="15" t="str">
        <f>VLOOKUP(C2,'Product List'!A:C,3,0)</f>
        <v>MMO-COTTON NESTING BALLS</v>
      </c>
      <c r="C2" s="20" t="s">
        <v>43</v>
      </c>
      <c r="D2" s="14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325</v>
      </c>
      <c r="J2" s="19" t="s">
        <v>326</v>
      </c>
      <c r="K2" s="88">
        <v>46048</v>
      </c>
      <c r="L2" s="140">
        <v>46048</v>
      </c>
      <c r="M2" s="14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7">
        <v>45965</v>
      </c>
      <c r="B3" s="15" t="str">
        <f>VLOOKUP(C3,'Product List'!A:C,3,0)</f>
        <v>MMO-BUBBLE WATER BOTTLE</v>
      </c>
      <c r="C3" s="15" t="s">
        <v>38</v>
      </c>
      <c r="D3" s="14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325</v>
      </c>
      <c r="J3" s="19" t="s">
        <v>326</v>
      </c>
      <c r="K3" s="88">
        <v>46048</v>
      </c>
      <c r="L3" s="140">
        <v>46048</v>
      </c>
      <c r="M3" s="14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7">
        <v>45965</v>
      </c>
      <c r="B4" s="15" t="str">
        <f>VLOOKUP(C4,'Product List'!A:C,3,0)</f>
        <v>MINI/MOE SILENT CRSTL RUN WHEEL LG 8.5-White</v>
      </c>
      <c r="C4" s="15" t="s">
        <v>41</v>
      </c>
      <c r="D4" s="14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325</v>
      </c>
      <c r="J4" s="19" t="s">
        <v>326</v>
      </c>
      <c r="K4" s="88">
        <v>46048</v>
      </c>
      <c r="L4" s="140">
        <v>46048</v>
      </c>
      <c r="M4" s="14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7">
        <v>45965</v>
      </c>
      <c r="B5" s="15" t="str">
        <f>VLOOKUP(C5,'Product List'!A:C,3,0)</f>
        <v>MMO-CLOUD WATER BOTTLE</v>
      </c>
      <c r="C5" s="15" t="s">
        <v>37</v>
      </c>
      <c r="D5" s="14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325</v>
      </c>
      <c r="J5" s="19" t="s">
        <v>326</v>
      </c>
      <c r="K5" s="88">
        <v>46048</v>
      </c>
      <c r="L5" s="140">
        <v>46048</v>
      </c>
      <c r="M5" s="14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7">
        <v>45965</v>
      </c>
      <c r="B6" s="15" t="str">
        <f>VLOOKUP(C6,'Product List'!A:C,3,0)</f>
        <v>MINI/MOE TV VIEWING CAGE</v>
      </c>
      <c r="C6" s="15" t="s">
        <v>27</v>
      </c>
      <c r="D6" s="14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325</v>
      </c>
      <c r="J6" s="19" t="s">
        <v>326</v>
      </c>
      <c r="K6" s="88">
        <v>46048</v>
      </c>
      <c r="L6" s="140">
        <v>46048</v>
      </c>
      <c r="M6" s="14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7">
        <v>45965</v>
      </c>
      <c r="B7" s="15" t="str">
        <f>VLOOKUP(C7,'Product List'!A:C,3,0)</f>
        <v>MMO-PAPER PEBBLES</v>
      </c>
      <c r="C7" s="20" t="s">
        <v>42</v>
      </c>
      <c r="D7" s="14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325</v>
      </c>
      <c r="J7" s="19" t="s">
        <v>326</v>
      </c>
      <c r="K7" s="88">
        <v>46048</v>
      </c>
      <c r="L7" s="140">
        <v>46048</v>
      </c>
      <c r="M7" s="14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7">
        <v>45965</v>
      </c>
      <c r="B8" s="15" t="str">
        <f>VLOOKUP(C8,'Product List'!A:C,3,0)</f>
        <v>MMO-PAPER TWIST BLU/WHT</v>
      </c>
      <c r="C8" s="20" t="s">
        <v>44</v>
      </c>
      <c r="D8" s="14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325</v>
      </c>
      <c r="J8" s="19" t="s">
        <v>326</v>
      </c>
      <c r="K8" s="88">
        <v>46048</v>
      </c>
      <c r="L8" s="140">
        <v>46048</v>
      </c>
      <c r="M8" s="14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7">
        <v>45965</v>
      </c>
      <c r="B9" s="15" t="str">
        <f>VLOOKUP(C9,'Product List'!A:C,3,0)</f>
        <v>MMO-COTTON NESTING BALLS</v>
      </c>
      <c r="C9" s="20" t="s">
        <v>43</v>
      </c>
      <c r="D9" s="14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325</v>
      </c>
      <c r="J9" s="19" t="s">
        <v>327</v>
      </c>
      <c r="K9" s="88">
        <v>46048</v>
      </c>
      <c r="L9" s="140">
        <v>46048</v>
      </c>
      <c r="M9" s="14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7">
        <v>45965</v>
      </c>
      <c r="B10" s="15" t="str">
        <f>VLOOKUP(C10,'Product List'!A:C,3,0)</f>
        <v>MMO-BUBBLE WATER BOTTLE</v>
      </c>
      <c r="C10" s="15" t="s">
        <v>38</v>
      </c>
      <c r="D10" s="14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325</v>
      </c>
      <c r="J10" s="19" t="s">
        <v>327</v>
      </c>
      <c r="K10" s="88">
        <v>46048</v>
      </c>
      <c r="L10" s="140">
        <v>46048</v>
      </c>
      <c r="M10" s="14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7">
        <v>45965</v>
      </c>
      <c r="B11" s="15" t="str">
        <f>VLOOKUP(C11,'Product List'!A:C,3,0)</f>
        <v>MINI/MOE SILENT CRSTL RUN WHEEL LG 8.5-White</v>
      </c>
      <c r="C11" s="15" t="s">
        <v>41</v>
      </c>
      <c r="D11" s="14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325</v>
      </c>
      <c r="J11" s="19" t="s">
        <v>327</v>
      </c>
      <c r="K11" s="88">
        <v>46048</v>
      </c>
      <c r="L11" s="140">
        <v>46048</v>
      </c>
      <c r="M11" s="14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7">
        <v>45965</v>
      </c>
      <c r="B12" s="15" t="str">
        <f>VLOOKUP(C12,'Product List'!A:C,3,0)</f>
        <v>MMO-CLOUD WATER BOTTLE</v>
      </c>
      <c r="C12" s="15" t="s">
        <v>37</v>
      </c>
      <c r="D12" s="14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325</v>
      </c>
      <c r="J12" s="19" t="s">
        <v>327</v>
      </c>
      <c r="K12" s="88">
        <v>46048</v>
      </c>
      <c r="L12" s="140">
        <v>46048</v>
      </c>
      <c r="M12" s="14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7">
        <v>45965</v>
      </c>
      <c r="B13" s="15" t="str">
        <f>VLOOKUP(C13,'Product List'!A:C,3,0)</f>
        <v>MINI/MOE TV VIEWING CAGE</v>
      </c>
      <c r="C13" s="15" t="s">
        <v>27</v>
      </c>
      <c r="D13" s="14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325</v>
      </c>
      <c r="J13" s="19" t="s">
        <v>327</v>
      </c>
      <c r="K13" s="88">
        <v>46048</v>
      </c>
      <c r="L13" s="140">
        <v>46048</v>
      </c>
      <c r="M13" s="14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7">
        <v>45965</v>
      </c>
      <c r="B14" s="15" t="str">
        <f>VLOOKUP(C14,'Product List'!A:C,3,0)</f>
        <v>MMO-PAPER PEBBLES</v>
      </c>
      <c r="C14" s="20" t="s">
        <v>42</v>
      </c>
      <c r="D14" s="14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325</v>
      </c>
      <c r="J14" s="19" t="s">
        <v>327</v>
      </c>
      <c r="K14" s="88">
        <v>46048</v>
      </c>
      <c r="L14" s="140">
        <v>46048</v>
      </c>
      <c r="M14" s="14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7">
        <v>45965</v>
      </c>
      <c r="B15" s="15" t="str">
        <f>VLOOKUP(C15,'Product List'!A:C,3,0)</f>
        <v>MMO-PAPER TWIST BLU/WHT</v>
      </c>
      <c r="C15" s="20" t="s">
        <v>44</v>
      </c>
      <c r="D15" s="14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325</v>
      </c>
      <c r="J15" s="19" t="s">
        <v>327</v>
      </c>
      <c r="K15" s="88">
        <v>46048</v>
      </c>
      <c r="L15" s="140">
        <v>46048</v>
      </c>
      <c r="M15" s="14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7">
        <v>45965</v>
      </c>
      <c r="B16" s="15" t="str">
        <f>VLOOKUP(C16,'Product List'!A:C,3,0)</f>
        <v>MMO-COTTON NESTING BALLS</v>
      </c>
      <c r="C16" s="20" t="s">
        <v>43</v>
      </c>
      <c r="D16" s="14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325</v>
      </c>
      <c r="J16" s="19" t="s">
        <v>328</v>
      </c>
      <c r="K16" s="88">
        <v>46048</v>
      </c>
      <c r="L16" s="140">
        <v>46048</v>
      </c>
      <c r="M16" s="14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329</v>
      </c>
      <c r="R16" s="19">
        <f>ROUND(IFERROR(VLOOKUP(Q16,'Case Pack'!A:H,8,0),0)*O16,2)</f>
        <v>0</v>
      </c>
    </row>
    <row r="17" spans="1:18">
      <c r="A17" s="137">
        <v>45965</v>
      </c>
      <c r="B17" s="15" t="str">
        <f>VLOOKUP(C17,'Product List'!A:C,3,0)</f>
        <v>MMO-BUBBLE WATER BOTTLE</v>
      </c>
      <c r="C17" s="15" t="s">
        <v>38</v>
      </c>
      <c r="D17" s="14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325</v>
      </c>
      <c r="J17" s="19" t="s">
        <v>328</v>
      </c>
      <c r="K17" s="88">
        <v>46048</v>
      </c>
      <c r="L17" s="140">
        <v>46048</v>
      </c>
      <c r="M17" s="14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7">
        <v>45965</v>
      </c>
      <c r="B18" s="15" t="str">
        <f>VLOOKUP(C18,'Product List'!A:C,3,0)</f>
        <v>MINI/MOE SILENT CRSTL RUN WHEEL LG 8.5-White</v>
      </c>
      <c r="C18" s="15" t="s">
        <v>41</v>
      </c>
      <c r="D18" s="14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325</v>
      </c>
      <c r="J18" s="19" t="s">
        <v>328</v>
      </c>
      <c r="K18" s="88">
        <v>46048</v>
      </c>
      <c r="L18" s="140">
        <v>46048</v>
      </c>
      <c r="M18" s="14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7">
        <v>45965</v>
      </c>
      <c r="B19" s="15" t="str">
        <f>VLOOKUP(C19,'Product List'!A:C,3,0)</f>
        <v>MMO-CLOUD WATER BOTTLE</v>
      </c>
      <c r="C19" s="15" t="s">
        <v>37</v>
      </c>
      <c r="D19" s="14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325</v>
      </c>
      <c r="J19" s="19" t="s">
        <v>328</v>
      </c>
      <c r="K19" s="88">
        <v>46048</v>
      </c>
      <c r="L19" s="140">
        <v>46048</v>
      </c>
      <c r="M19" s="14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7">
        <v>45965</v>
      </c>
      <c r="B20" s="15" t="str">
        <f>VLOOKUP(C20,'Product List'!A:C,3,0)</f>
        <v>MINI/MOE TV VIEWING CAGE</v>
      </c>
      <c r="C20" s="15" t="s">
        <v>27</v>
      </c>
      <c r="D20" s="14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325</v>
      </c>
      <c r="J20" s="19" t="s">
        <v>328</v>
      </c>
      <c r="K20" s="88">
        <v>46048</v>
      </c>
      <c r="L20" s="140">
        <v>46048</v>
      </c>
      <c r="M20" s="14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7">
        <v>45965</v>
      </c>
      <c r="B21" s="15" t="str">
        <f>VLOOKUP(C21,'Product List'!A:C,3,0)</f>
        <v>MMO-PAPER PEBBLES</v>
      </c>
      <c r="C21" s="20" t="s">
        <v>42</v>
      </c>
      <c r="D21" s="14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325</v>
      </c>
      <c r="J21" s="19" t="s">
        <v>328</v>
      </c>
      <c r="K21" s="88">
        <v>46048</v>
      </c>
      <c r="L21" s="140">
        <v>46048</v>
      </c>
      <c r="M21" s="14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7">
        <v>45965</v>
      </c>
      <c r="B22" s="15" t="str">
        <f>VLOOKUP(C22,'Product List'!A:C,3,0)</f>
        <v>MMO-PAPER TWIST BLU/WHT</v>
      </c>
      <c r="C22" s="20" t="s">
        <v>44</v>
      </c>
      <c r="D22" s="14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325</v>
      </c>
      <c r="J22" s="19" t="s">
        <v>328</v>
      </c>
      <c r="K22" s="88">
        <v>46048</v>
      </c>
      <c r="L22" s="140">
        <v>46048</v>
      </c>
      <c r="M22" s="14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7">
        <v>45965</v>
      </c>
      <c r="B23" s="15" t="str">
        <f>VLOOKUP(C23,'Product List'!A:C,3,0)</f>
        <v>MMO-COTTON NESTING BALLS</v>
      </c>
      <c r="C23" s="20" t="s">
        <v>43</v>
      </c>
      <c r="D23" s="14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325</v>
      </c>
      <c r="J23" s="19" t="s">
        <v>330</v>
      </c>
      <c r="K23" s="88">
        <v>46048</v>
      </c>
      <c r="L23" s="140">
        <v>46048</v>
      </c>
      <c r="M23" s="14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7">
        <v>45965</v>
      </c>
      <c r="B24" s="15" t="str">
        <f>VLOOKUP(C24,'Product List'!A:C,3,0)</f>
        <v>MMO-BUBBLE WATER BOTTLE</v>
      </c>
      <c r="C24" s="15" t="s">
        <v>38</v>
      </c>
      <c r="D24" s="14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325</v>
      </c>
      <c r="J24" s="19" t="s">
        <v>330</v>
      </c>
      <c r="K24" s="88">
        <v>46048</v>
      </c>
      <c r="L24" s="140">
        <v>46048</v>
      </c>
      <c r="M24" s="14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7">
        <v>45965</v>
      </c>
      <c r="B25" s="15" t="str">
        <f>VLOOKUP(C25,'Product List'!A:C,3,0)</f>
        <v>MINI/MOE SILENT CRSTL RUN WHEEL LG 8.5-White</v>
      </c>
      <c r="C25" s="15" t="s">
        <v>41</v>
      </c>
      <c r="D25" s="14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325</v>
      </c>
      <c r="J25" s="19" t="s">
        <v>330</v>
      </c>
      <c r="K25" s="88">
        <v>46048</v>
      </c>
      <c r="L25" s="140">
        <v>46048</v>
      </c>
      <c r="M25" s="14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7">
        <v>45965</v>
      </c>
      <c r="B26" s="15" t="str">
        <f>VLOOKUP(C26,'Product List'!A:C,3,0)</f>
        <v>MMO-CLOUD WATER BOTTLE</v>
      </c>
      <c r="C26" s="15" t="s">
        <v>37</v>
      </c>
      <c r="D26" s="14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325</v>
      </c>
      <c r="J26" s="19" t="s">
        <v>330</v>
      </c>
      <c r="K26" s="88">
        <v>46048</v>
      </c>
      <c r="L26" s="140">
        <v>46048</v>
      </c>
      <c r="M26" s="14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7">
        <v>45965</v>
      </c>
      <c r="B27" s="15" t="str">
        <f>VLOOKUP(C27,'Product List'!A:C,3,0)</f>
        <v>MINI/MOE TV VIEWING CAGE</v>
      </c>
      <c r="C27" s="15" t="s">
        <v>27</v>
      </c>
      <c r="D27" s="14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325</v>
      </c>
      <c r="J27" s="19" t="s">
        <v>330</v>
      </c>
      <c r="K27" s="88">
        <v>46048</v>
      </c>
      <c r="L27" s="140">
        <v>46048</v>
      </c>
      <c r="M27" s="14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7">
        <v>45965</v>
      </c>
      <c r="B28" s="15" t="str">
        <f>VLOOKUP(C28,'Product List'!A:C,3,0)</f>
        <v>MMO-PAPER PEBBLES</v>
      </c>
      <c r="C28" s="20" t="s">
        <v>42</v>
      </c>
      <c r="D28" s="14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325</v>
      </c>
      <c r="J28" s="19" t="s">
        <v>330</v>
      </c>
      <c r="K28" s="88">
        <v>46048</v>
      </c>
      <c r="L28" s="140">
        <v>46048</v>
      </c>
      <c r="M28" s="14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7">
        <v>45965</v>
      </c>
      <c r="B29" s="15" t="str">
        <f>VLOOKUP(C29,'Product List'!A:C,3,0)</f>
        <v>MMO-PAPER TWIST BLU/WHT</v>
      </c>
      <c r="C29" s="20" t="s">
        <v>44</v>
      </c>
      <c r="D29" s="14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325</v>
      </c>
      <c r="J29" s="19" t="s">
        <v>330</v>
      </c>
      <c r="K29" s="88">
        <v>46048</v>
      </c>
      <c r="L29" s="140">
        <v>46048</v>
      </c>
      <c r="M29" s="14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7">
        <v>45965</v>
      </c>
      <c r="B30" s="15" t="str">
        <f>VLOOKUP(C30,'Product List'!A:C,3,0)</f>
        <v>MMO-COTTON NESTING BALLS</v>
      </c>
      <c r="C30" s="20" t="s">
        <v>43</v>
      </c>
      <c r="D30" s="14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325</v>
      </c>
      <c r="J30" s="19" t="s">
        <v>331</v>
      </c>
      <c r="K30" s="88">
        <v>46048</v>
      </c>
      <c r="L30" s="140">
        <v>46048</v>
      </c>
      <c r="M30" s="14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7">
        <v>45965</v>
      </c>
      <c r="B31" s="15" t="str">
        <f>VLOOKUP(C31,'Product List'!A:C,3,0)</f>
        <v>MMO-BUBBLE WATER BOTTLE</v>
      </c>
      <c r="C31" s="15" t="s">
        <v>38</v>
      </c>
      <c r="D31" s="14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325</v>
      </c>
      <c r="J31" s="19" t="s">
        <v>331</v>
      </c>
      <c r="K31" s="88">
        <v>46048</v>
      </c>
      <c r="L31" s="140">
        <v>46048</v>
      </c>
      <c r="M31" s="14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7">
        <v>45965</v>
      </c>
      <c r="B32" s="15" t="str">
        <f>VLOOKUP(C32,'Product List'!A:C,3,0)</f>
        <v>D. MMO-COTTAGE VIEW CAGE</v>
      </c>
      <c r="C32" s="15" t="s">
        <v>57</v>
      </c>
      <c r="D32" s="14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325</v>
      </c>
      <c r="J32" s="19" t="s">
        <v>331</v>
      </c>
      <c r="K32" s="88">
        <v>46048</v>
      </c>
      <c r="L32" s="140">
        <v>46048</v>
      </c>
      <c r="M32" s="14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7">
        <v>45965</v>
      </c>
      <c r="B33" s="15" t="str">
        <f>VLOOKUP(C33,'Product List'!A:C,3,0)</f>
        <v>MINI/MOE SILENT CRSTL RUN WHEEL LG 8.5-White</v>
      </c>
      <c r="C33" s="15" t="s">
        <v>41</v>
      </c>
      <c r="D33" s="14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325</v>
      </c>
      <c r="J33" s="19" t="s">
        <v>331</v>
      </c>
      <c r="K33" s="88">
        <v>46048</v>
      </c>
      <c r="L33" s="140">
        <v>46048</v>
      </c>
      <c r="M33" s="14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7">
        <v>45965</v>
      </c>
      <c r="B34" s="15" t="str">
        <f>VLOOKUP(C34,'Product List'!A:C,3,0)</f>
        <v>MMO-CLOUD WATER BOTTLE</v>
      </c>
      <c r="C34" s="15" t="s">
        <v>37</v>
      </c>
      <c r="D34" s="14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325</v>
      </c>
      <c r="J34" s="19" t="s">
        <v>331</v>
      </c>
      <c r="K34" s="88">
        <v>46048</v>
      </c>
      <c r="L34" s="140">
        <v>46048</v>
      </c>
      <c r="M34" s="14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7">
        <v>45965</v>
      </c>
      <c r="B35" s="15" t="str">
        <f>VLOOKUP(C35,'Product List'!A:C,3,0)</f>
        <v>MINI/MOE TV VIEWING CAGE</v>
      </c>
      <c r="C35" s="15" t="s">
        <v>27</v>
      </c>
      <c r="D35" s="14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325</v>
      </c>
      <c r="J35" s="19" t="s">
        <v>331</v>
      </c>
      <c r="K35" s="88">
        <v>46048</v>
      </c>
      <c r="L35" s="140">
        <v>46048</v>
      </c>
      <c r="M35" s="14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7">
        <v>45965</v>
      </c>
      <c r="B36" s="15" t="str">
        <f>VLOOKUP(C36,'Product List'!A:C,3,0)</f>
        <v>MMO-PAPER PEBBLES</v>
      </c>
      <c r="C36" s="20" t="s">
        <v>42</v>
      </c>
      <c r="D36" s="14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325</v>
      </c>
      <c r="J36" s="19" t="s">
        <v>331</v>
      </c>
      <c r="K36" s="88">
        <v>46048</v>
      </c>
      <c r="L36" s="140">
        <v>46048</v>
      </c>
      <c r="M36" s="14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7">
        <v>45965</v>
      </c>
      <c r="B37" s="15" t="str">
        <f>VLOOKUP(C37,'Product List'!A:C,3,0)</f>
        <v>MMO-PAPER TWIST BLU/WHT</v>
      </c>
      <c r="C37" s="20" t="s">
        <v>44</v>
      </c>
      <c r="D37" s="14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325</v>
      </c>
      <c r="J37" s="19" t="s">
        <v>331</v>
      </c>
      <c r="K37" s="88">
        <v>46048</v>
      </c>
      <c r="L37" s="140">
        <v>46048</v>
      </c>
      <c r="M37" s="14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7">
        <v>45965</v>
      </c>
      <c r="B38" s="15" t="str">
        <f>VLOOKUP(C38,'Product List'!A:C,3,0)</f>
        <v>MMO-COTTON NESTING BALLS</v>
      </c>
      <c r="C38" s="20" t="s">
        <v>43</v>
      </c>
      <c r="D38" s="14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325</v>
      </c>
      <c r="J38" s="19" t="s">
        <v>332</v>
      </c>
      <c r="K38" s="88">
        <v>46048</v>
      </c>
      <c r="L38" s="140">
        <v>46048</v>
      </c>
      <c r="M38" s="14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7">
        <v>45965</v>
      </c>
      <c r="B39" s="15" t="str">
        <f>VLOOKUP(C39,'Product List'!A:C,3,0)</f>
        <v>MMO-BUBBLE WATER BOTTLE</v>
      </c>
      <c r="C39" s="15" t="s">
        <v>38</v>
      </c>
      <c r="D39" s="14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325</v>
      </c>
      <c r="J39" s="19" t="s">
        <v>332</v>
      </c>
      <c r="K39" s="88">
        <v>46048</v>
      </c>
      <c r="L39" s="140">
        <v>46048</v>
      </c>
      <c r="M39" s="14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7">
        <v>45965</v>
      </c>
      <c r="B40" s="15" t="str">
        <f>VLOOKUP(C40,'Product List'!A:C,3,0)</f>
        <v>MINI/MOE SILENT CRSTL RUN WHEEL LG 8.5-White</v>
      </c>
      <c r="C40" s="15" t="s">
        <v>41</v>
      </c>
      <c r="D40" s="14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325</v>
      </c>
      <c r="J40" s="19" t="s">
        <v>332</v>
      </c>
      <c r="K40" s="88">
        <v>46048</v>
      </c>
      <c r="L40" s="140">
        <v>46048</v>
      </c>
      <c r="M40" s="14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7">
        <v>45965</v>
      </c>
      <c r="B41" s="15" t="str">
        <f>VLOOKUP(C41,'Product List'!A:C,3,0)</f>
        <v>MMO-CLOUD WATER BOTTLE</v>
      </c>
      <c r="C41" s="15" t="s">
        <v>37</v>
      </c>
      <c r="D41" s="14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325</v>
      </c>
      <c r="J41" s="19" t="s">
        <v>332</v>
      </c>
      <c r="K41" s="88">
        <v>46048</v>
      </c>
      <c r="L41" s="140">
        <v>46048</v>
      </c>
      <c r="M41" s="14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7">
        <v>45965</v>
      </c>
      <c r="B42" s="15" t="str">
        <f>VLOOKUP(C42,'Product List'!A:C,3,0)</f>
        <v>MINI/MOE TV VIEWING CAGE</v>
      </c>
      <c r="C42" s="15" t="s">
        <v>27</v>
      </c>
      <c r="D42" s="14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325</v>
      </c>
      <c r="J42" s="19" t="s">
        <v>332</v>
      </c>
      <c r="K42" s="88">
        <v>46048</v>
      </c>
      <c r="L42" s="140">
        <v>46048</v>
      </c>
      <c r="M42" s="14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7">
        <v>45965</v>
      </c>
      <c r="B43" s="15" t="str">
        <f>VLOOKUP(C43,'Product List'!A:C,3,0)</f>
        <v>MMO-PAPER PEBBLES</v>
      </c>
      <c r="C43" s="20" t="s">
        <v>42</v>
      </c>
      <c r="D43" s="14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325</v>
      </c>
      <c r="J43" s="19" t="s">
        <v>332</v>
      </c>
      <c r="K43" s="88">
        <v>46048</v>
      </c>
      <c r="L43" s="140">
        <v>46048</v>
      </c>
      <c r="M43" s="14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7">
        <v>45965</v>
      </c>
      <c r="B44" s="15" t="str">
        <f>VLOOKUP(C44,'Product List'!A:C,3,0)</f>
        <v>MMO-PAPER TWIST BLU/WHT</v>
      </c>
      <c r="C44" s="20" t="s">
        <v>44</v>
      </c>
      <c r="D44" s="14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325</v>
      </c>
      <c r="J44" s="19" t="s">
        <v>332</v>
      </c>
      <c r="K44" s="88">
        <v>46048</v>
      </c>
      <c r="L44" s="140">
        <v>46048</v>
      </c>
      <c r="M44" s="14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7">
        <v>45965</v>
      </c>
      <c r="B45" s="15" t="str">
        <f>VLOOKUP(C45,'Product List'!A:C,3,0)</f>
        <v>MINI/MOE BENDABLE BIRCHWOOD FENCE</v>
      </c>
      <c r="C45" s="15" t="s">
        <v>34</v>
      </c>
      <c r="D45" s="14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325</v>
      </c>
      <c r="J45" s="19" t="s">
        <v>331</v>
      </c>
      <c r="K45" s="88">
        <v>46048</v>
      </c>
      <c r="L45" s="140">
        <v>46048</v>
      </c>
      <c r="M45" s="14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7">
        <v>45965</v>
      </c>
      <c r="B46" s="15" t="str">
        <f>VLOOKUP(C46,'Product List'!A:C,3,0)</f>
        <v>MINI/MOE RUFFLE BOWL</v>
      </c>
      <c r="C46" s="15" t="s">
        <v>83</v>
      </c>
      <c r="D46" s="14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325</v>
      </c>
      <c r="J46" s="19" t="s">
        <v>331</v>
      </c>
      <c r="K46" s="88">
        <v>46048</v>
      </c>
      <c r="L46" s="140">
        <v>46048</v>
      </c>
      <c r="M46" s="14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7">
        <v>45965</v>
      </c>
      <c r="B47" s="15" t="str">
        <f>VLOOKUP(C47,'Product List'!A:C,3,0)</f>
        <v>MMO-STARFISH CASTLE</v>
      </c>
      <c r="C47" s="15" t="s">
        <v>76</v>
      </c>
      <c r="D47" s="14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325</v>
      </c>
      <c r="J47" s="19" t="s">
        <v>331</v>
      </c>
      <c r="K47" s="88">
        <v>46048</v>
      </c>
      <c r="L47" s="140">
        <v>46048</v>
      </c>
      <c r="M47" s="14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7">
        <v>45965</v>
      </c>
      <c r="B48" s="15" t="str">
        <f>VLOOKUP(C48,'Product List'!A:C,3,0)</f>
        <v>MMO-WAVE BRIDGE</v>
      </c>
      <c r="C48" s="15" t="s">
        <v>82</v>
      </c>
      <c r="D48" s="14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325</v>
      </c>
      <c r="J48" s="19" t="s">
        <v>331</v>
      </c>
      <c r="K48" s="88">
        <v>46048</v>
      </c>
      <c r="L48" s="140">
        <v>46048</v>
      </c>
      <c r="M48" s="14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7">
        <v>45965</v>
      </c>
      <c r="B49" s="15" t="str">
        <f>VLOOKUP(C49,'Product List'!A:C,3,0)</f>
        <v>MINI/MOE BENDABLE BIRCHWOOD FENCE</v>
      </c>
      <c r="C49" s="15" t="s">
        <v>34</v>
      </c>
      <c r="D49" s="14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325</v>
      </c>
      <c r="J49" s="19" t="s">
        <v>328</v>
      </c>
      <c r="K49" s="88">
        <v>46048</v>
      </c>
      <c r="L49" s="140">
        <v>46048</v>
      </c>
      <c r="M49" s="14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7">
        <v>45965</v>
      </c>
      <c r="B50" s="15" t="str">
        <f>VLOOKUP(C50,'Product List'!A:C,3,0)</f>
        <v>MINI/MOE RUFFLE BOWL</v>
      </c>
      <c r="C50" s="15" t="s">
        <v>83</v>
      </c>
      <c r="D50" s="14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325</v>
      </c>
      <c r="J50" s="19" t="s">
        <v>328</v>
      </c>
      <c r="K50" s="88">
        <v>46048</v>
      </c>
      <c r="L50" s="140">
        <v>46048</v>
      </c>
      <c r="M50" s="14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7">
        <v>45965</v>
      </c>
      <c r="B51" s="15" t="str">
        <f>VLOOKUP(C51,'Product List'!A:C,3,0)</f>
        <v>MMO-STARFISH CASTLE</v>
      </c>
      <c r="C51" s="15" t="s">
        <v>76</v>
      </c>
      <c r="D51" s="14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325</v>
      </c>
      <c r="J51" s="19" t="s">
        <v>328</v>
      </c>
      <c r="K51" s="88">
        <v>46048</v>
      </c>
      <c r="L51" s="140">
        <v>46048</v>
      </c>
      <c r="M51" s="14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7">
        <v>45965</v>
      </c>
      <c r="B52" s="15" t="str">
        <f>VLOOKUP(C52,'Product List'!A:C,3,0)</f>
        <v>MMO-WAVE BRIDGE</v>
      </c>
      <c r="C52" s="15" t="s">
        <v>82</v>
      </c>
      <c r="D52" s="14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325</v>
      </c>
      <c r="J52" s="19" t="s">
        <v>328</v>
      </c>
      <c r="K52" s="88">
        <v>46048</v>
      </c>
      <c r="L52" s="140">
        <v>46048</v>
      </c>
      <c r="M52" s="14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7">
        <v>45965</v>
      </c>
      <c r="B53" s="15" t="str">
        <f>VLOOKUP(C53,'Product List'!A:C,3,0)</f>
        <v>MINI/MOE BENDABLE BIRCHWOOD FENCE</v>
      </c>
      <c r="C53" s="15" t="s">
        <v>34</v>
      </c>
      <c r="D53" s="14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325</v>
      </c>
      <c r="J53" s="19" t="s">
        <v>327</v>
      </c>
      <c r="K53" s="88">
        <v>46048</v>
      </c>
      <c r="L53" s="140">
        <v>46048</v>
      </c>
      <c r="M53" s="14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7">
        <v>45965</v>
      </c>
      <c r="B54" s="15" t="str">
        <f>VLOOKUP(C54,'Product List'!A:C,3,0)</f>
        <v>MINI/MOE RUFFLE BOWL</v>
      </c>
      <c r="C54" s="15" t="s">
        <v>83</v>
      </c>
      <c r="D54" s="14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325</v>
      </c>
      <c r="J54" s="19" t="s">
        <v>327</v>
      </c>
      <c r="K54" s="88">
        <v>46048</v>
      </c>
      <c r="L54" s="140">
        <v>46048</v>
      </c>
      <c r="M54" s="14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7">
        <v>45965</v>
      </c>
      <c r="B55" s="15" t="str">
        <f>VLOOKUP(C55,'Product List'!A:C,3,0)</f>
        <v>MMO-STARFISH CASTLE</v>
      </c>
      <c r="C55" s="15" t="s">
        <v>76</v>
      </c>
      <c r="D55" s="14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325</v>
      </c>
      <c r="J55" s="19" t="s">
        <v>327</v>
      </c>
      <c r="K55" s="88">
        <v>46048</v>
      </c>
      <c r="L55" s="140">
        <v>46048</v>
      </c>
      <c r="M55" s="14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7">
        <v>45965</v>
      </c>
      <c r="B56" s="15" t="str">
        <f>VLOOKUP(C56,'Product List'!A:C,3,0)</f>
        <v>MMO-WAVE BRIDGE</v>
      </c>
      <c r="C56" s="15" t="s">
        <v>82</v>
      </c>
      <c r="D56" s="14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325</v>
      </c>
      <c r="J56" s="19" t="s">
        <v>327</v>
      </c>
      <c r="K56" s="88">
        <v>46048</v>
      </c>
      <c r="L56" s="140">
        <v>46048</v>
      </c>
      <c r="M56" s="14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7">
        <v>45965</v>
      </c>
      <c r="B57" s="15" t="str">
        <f>VLOOKUP(C57,'Product List'!A:C,3,0)</f>
        <v>MINI/MOE BENDABLE BIRCHWOOD FENCE</v>
      </c>
      <c r="C57" s="15" t="s">
        <v>34</v>
      </c>
      <c r="D57" s="14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325</v>
      </c>
      <c r="J57" s="19" t="s">
        <v>330</v>
      </c>
      <c r="K57" s="88">
        <v>46048</v>
      </c>
      <c r="L57" s="140">
        <v>46048</v>
      </c>
      <c r="M57" s="14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7">
        <v>45965</v>
      </c>
      <c r="B58" s="15" t="str">
        <f>VLOOKUP(C58,'Product List'!A:C,3,0)</f>
        <v>MINI/MOE RUFFLE BOWL</v>
      </c>
      <c r="C58" s="15" t="s">
        <v>83</v>
      </c>
      <c r="D58" s="14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325</v>
      </c>
      <c r="J58" s="19" t="s">
        <v>330</v>
      </c>
      <c r="K58" s="88">
        <v>46048</v>
      </c>
      <c r="L58" s="140">
        <v>46048</v>
      </c>
      <c r="M58" s="14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7">
        <v>45965</v>
      </c>
      <c r="B59" s="15" t="str">
        <f>VLOOKUP(C59,'Product List'!A:C,3,0)</f>
        <v>MMO-STARFISH CASTLE</v>
      </c>
      <c r="C59" s="15" t="s">
        <v>76</v>
      </c>
      <c r="D59" s="14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325</v>
      </c>
      <c r="J59" s="19" t="s">
        <v>330</v>
      </c>
      <c r="K59" s="88">
        <v>46048</v>
      </c>
      <c r="L59" s="140">
        <v>46048</v>
      </c>
      <c r="M59" s="14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7">
        <v>45965</v>
      </c>
      <c r="B60" s="15" t="str">
        <f>VLOOKUP(C60,'Product List'!A:C,3,0)</f>
        <v>MMO-WAVE BRIDGE</v>
      </c>
      <c r="C60" s="15" t="s">
        <v>82</v>
      </c>
      <c r="D60" s="14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325</v>
      </c>
      <c r="J60" s="19" t="s">
        <v>330</v>
      </c>
      <c r="K60" s="88">
        <v>46048</v>
      </c>
      <c r="L60" s="140">
        <v>46048</v>
      </c>
      <c r="M60" s="14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7">
        <v>45965</v>
      </c>
      <c r="B61" s="15" t="str">
        <f>VLOOKUP(C61,'Product List'!A:C,3,0)</f>
        <v>MINI/MOE BENDABLE BIRCHWOOD FENCE</v>
      </c>
      <c r="C61" s="15" t="s">
        <v>34</v>
      </c>
      <c r="D61" s="14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325</v>
      </c>
      <c r="J61" s="19" t="s">
        <v>332</v>
      </c>
      <c r="K61" s="88">
        <v>46048</v>
      </c>
      <c r="L61" s="140">
        <v>46048</v>
      </c>
      <c r="M61" s="14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7">
        <v>45965</v>
      </c>
      <c r="B62" s="15" t="str">
        <f>VLOOKUP(C62,'Product List'!A:C,3,0)</f>
        <v>MINI/MOE RUFFLE BOWL</v>
      </c>
      <c r="C62" s="15" t="s">
        <v>83</v>
      </c>
      <c r="D62" s="14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325</v>
      </c>
      <c r="J62" s="19" t="s">
        <v>332</v>
      </c>
      <c r="K62" s="88">
        <v>46048</v>
      </c>
      <c r="L62" s="140">
        <v>46048</v>
      </c>
      <c r="M62" s="14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7">
        <v>45965</v>
      </c>
      <c r="B63" s="15" t="str">
        <f>VLOOKUP(C63,'Product List'!A:C,3,0)</f>
        <v>MMO-STARFISH CASTLE</v>
      </c>
      <c r="C63" s="15" t="s">
        <v>76</v>
      </c>
      <c r="D63" s="14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325</v>
      </c>
      <c r="J63" s="19" t="s">
        <v>332</v>
      </c>
      <c r="K63" s="88">
        <v>46048</v>
      </c>
      <c r="L63" s="140">
        <v>46048</v>
      </c>
      <c r="M63" s="14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7">
        <v>45965</v>
      </c>
      <c r="B64" s="15" t="str">
        <f>VLOOKUP(C64,'Product List'!A:C,3,0)</f>
        <v>MMO-WAVE BRIDGE</v>
      </c>
      <c r="C64" s="15" t="s">
        <v>82</v>
      </c>
      <c r="D64" s="14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325</v>
      </c>
      <c r="J64" s="19" t="s">
        <v>332</v>
      </c>
      <c r="K64" s="88">
        <v>46048</v>
      </c>
      <c r="L64" s="140">
        <v>46048</v>
      </c>
      <c r="M64" s="14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7">
        <v>45965</v>
      </c>
      <c r="B65" s="15" t="str">
        <f>VLOOKUP(C65,'Product List'!A:C,3,0)</f>
        <v>MINI/MOE BENDABLE BIRCHWOOD FENCE</v>
      </c>
      <c r="C65" s="15" t="s">
        <v>34</v>
      </c>
      <c r="D65" s="14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325</v>
      </c>
      <c r="J65" s="19" t="s">
        <v>326</v>
      </c>
      <c r="K65" s="88">
        <v>46048</v>
      </c>
      <c r="L65" s="140">
        <v>46048</v>
      </c>
      <c r="M65" s="14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7">
        <v>45965</v>
      </c>
      <c r="B66" s="15" t="str">
        <f>VLOOKUP(C66,'Product List'!A:C,3,0)</f>
        <v>MINI/MOE RUFFLE BOWL</v>
      </c>
      <c r="C66" s="15" t="s">
        <v>83</v>
      </c>
      <c r="D66" s="14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325</v>
      </c>
      <c r="J66" s="19" t="s">
        <v>326</v>
      </c>
      <c r="K66" s="88">
        <v>46048</v>
      </c>
      <c r="L66" s="140">
        <v>46048</v>
      </c>
      <c r="M66" s="14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7">
        <v>45965</v>
      </c>
      <c r="B67" s="15" t="str">
        <f>VLOOKUP(C67,'Product List'!A:C,3,0)</f>
        <v>MMO-STARFISH CASTLE</v>
      </c>
      <c r="C67" s="15" t="s">
        <v>76</v>
      </c>
      <c r="D67" s="14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325</v>
      </c>
      <c r="J67" s="19" t="s">
        <v>326</v>
      </c>
      <c r="K67" s="88">
        <v>46048</v>
      </c>
      <c r="L67" s="140">
        <v>46048</v>
      </c>
      <c r="M67" s="14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7">
        <v>45965</v>
      </c>
      <c r="B68" s="15" t="str">
        <f>VLOOKUP(C68,'Product List'!A:C,3,0)</f>
        <v>MMO-WAVE BRIDGE</v>
      </c>
      <c r="C68" s="15" t="s">
        <v>82</v>
      </c>
      <c r="D68" s="14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325</v>
      </c>
      <c r="J68" s="19" t="s">
        <v>326</v>
      </c>
      <c r="K68" s="88">
        <v>46048</v>
      </c>
      <c r="L68" s="140">
        <v>46048</v>
      </c>
      <c r="M68" s="14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7">
        <v>46072</v>
      </c>
      <c r="B69" s="15" t="str">
        <f>VLOOKUP(C69,'Product List'!A:C,3,0)</f>
        <v>MINI/MOE TV VIEWING CAGE</v>
      </c>
      <c r="C69" s="15" t="s">
        <v>27</v>
      </c>
      <c r="D69" s="143" t="s">
        <v>333</v>
      </c>
      <c r="E69" s="18" t="s">
        <v>142</v>
      </c>
      <c r="F69" s="99">
        <v>540</v>
      </c>
      <c r="G69" s="99">
        <v>51.71</v>
      </c>
      <c r="H69" s="99">
        <v>27923.4</v>
      </c>
      <c r="I69" s="6" t="s">
        <v>334</v>
      </c>
      <c r="J69" s="19" t="s">
        <v>335</v>
      </c>
      <c r="K69" s="88">
        <v>46078</v>
      </c>
      <c r="L69" s="140">
        <v>46101</v>
      </c>
      <c r="M69" s="14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7">
        <v>46072</v>
      </c>
      <c r="B70" s="15" t="str">
        <f>VLOOKUP(C70,'Product List'!A:C,3,0)</f>
        <v>D. MMO-COTTAGE VIEW CAGE</v>
      </c>
      <c r="C70" s="15" t="s">
        <v>57</v>
      </c>
      <c r="D70" s="143" t="s">
        <v>336</v>
      </c>
      <c r="E70" s="18" t="s">
        <v>142</v>
      </c>
      <c r="F70" s="99">
        <v>360</v>
      </c>
      <c r="G70" s="99">
        <v>70.28</v>
      </c>
      <c r="H70" s="99">
        <v>25300.8</v>
      </c>
      <c r="I70" s="6" t="s">
        <v>334</v>
      </c>
      <c r="J70" s="19" t="s">
        <v>335</v>
      </c>
      <c r="K70" s="88">
        <v>46078</v>
      </c>
      <c r="L70" s="140">
        <v>46101</v>
      </c>
      <c r="M70" s="14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7">
        <v>46072</v>
      </c>
      <c r="B71" s="15" t="str">
        <f>VLOOKUP(C71,'Product List'!A:C,3,0)</f>
        <v>D. MMO-COTTAGE VIEW CAGE</v>
      </c>
      <c r="C71" s="15" t="s">
        <v>57</v>
      </c>
      <c r="D71" s="143" t="s">
        <v>337</v>
      </c>
      <c r="E71" s="18" t="s">
        <v>142</v>
      </c>
      <c r="F71" s="99">
        <v>197</v>
      </c>
      <c r="G71" s="99">
        <v>70.28</v>
      </c>
      <c r="H71" s="99">
        <v>13845.16</v>
      </c>
      <c r="I71" s="6" t="s">
        <v>334</v>
      </c>
      <c r="J71" s="19" t="s">
        <v>335</v>
      </c>
      <c r="K71" s="88">
        <v>46096</v>
      </c>
      <c r="L71" s="140">
        <v>46101</v>
      </c>
      <c r="M71" s="14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7">
        <v>46072</v>
      </c>
      <c r="B72" s="15" t="str">
        <f>VLOOKUP(C72,'Product List'!A:C,3,0)</f>
        <v>MINI/MOE TV VIEWING CAGE</v>
      </c>
      <c r="C72" s="15" t="s">
        <v>27</v>
      </c>
      <c r="D72" s="143" t="s">
        <v>337</v>
      </c>
      <c r="E72" s="18" t="s">
        <v>142</v>
      </c>
      <c r="F72" s="99">
        <v>243</v>
      </c>
      <c r="G72" s="99">
        <v>51.71</v>
      </c>
      <c r="H72" s="99">
        <v>12565.53</v>
      </c>
      <c r="I72" s="6" t="s">
        <v>334</v>
      </c>
      <c r="J72" s="19" t="s">
        <v>335</v>
      </c>
      <c r="K72" s="88">
        <v>46096</v>
      </c>
      <c r="L72" s="140">
        <v>46101</v>
      </c>
      <c r="M72" s="14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7">
        <v>46072</v>
      </c>
      <c r="B73" s="15" t="str">
        <f>VLOOKUP(C73,'Product List'!A:C,3,0)</f>
        <v>MINI/MOE TV VIEWING CAGE</v>
      </c>
      <c r="C73" s="15" t="s">
        <v>27</v>
      </c>
      <c r="D73" s="143" t="s">
        <v>338</v>
      </c>
      <c r="E73" s="18" t="s">
        <v>142</v>
      </c>
      <c r="F73" s="99">
        <v>123</v>
      </c>
      <c r="G73" s="99">
        <v>51.71</v>
      </c>
      <c r="H73" s="99">
        <v>6360.33</v>
      </c>
      <c r="I73" s="6" t="s">
        <v>334</v>
      </c>
      <c r="J73" s="19" t="s">
        <v>335</v>
      </c>
      <c r="K73" s="88">
        <v>46098</v>
      </c>
      <c r="L73" s="140">
        <v>46101</v>
      </c>
      <c r="M73" s="14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7">
        <v>46072</v>
      </c>
      <c r="B74" s="15" t="str">
        <f>VLOOKUP(C74,'Product List'!A:C,3,0)</f>
        <v>MINI/MOE RUFFLE BOWL</v>
      </c>
      <c r="C74" s="15" t="s">
        <v>83</v>
      </c>
      <c r="D74" s="143" t="s">
        <v>339</v>
      </c>
      <c r="E74" s="18" t="s">
        <v>142</v>
      </c>
      <c r="F74" s="99">
        <v>168</v>
      </c>
      <c r="G74" s="99">
        <v>2.25</v>
      </c>
      <c r="H74" s="99">
        <v>378</v>
      </c>
      <c r="I74" s="6" t="s">
        <v>334</v>
      </c>
      <c r="J74" s="19" t="s">
        <v>335</v>
      </c>
      <c r="K74" s="88">
        <v>46099</v>
      </c>
      <c r="L74" s="140">
        <v>46101</v>
      </c>
      <c r="M74" s="14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7">
        <v>46072</v>
      </c>
      <c r="B75" s="15" t="str">
        <f>VLOOKUP(C75,'Product List'!A:C,3,0)</f>
        <v>MINI/MOE WOODLAND POTTY</v>
      </c>
      <c r="C75" s="15" t="s">
        <v>30</v>
      </c>
      <c r="D75" s="143" t="s">
        <v>339</v>
      </c>
      <c r="E75" s="18" t="s">
        <v>142</v>
      </c>
      <c r="F75" s="99">
        <v>540</v>
      </c>
      <c r="G75" s="99">
        <v>2.61</v>
      </c>
      <c r="H75" s="99">
        <v>1409.4</v>
      </c>
      <c r="I75" s="6" t="s">
        <v>334</v>
      </c>
      <c r="J75" s="19" t="s">
        <v>335</v>
      </c>
      <c r="K75" s="88">
        <v>46099</v>
      </c>
      <c r="L75" s="140">
        <v>46101</v>
      </c>
      <c r="M75" s="14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7">
        <v>46072</v>
      </c>
      <c r="B76" s="15" t="str">
        <f>VLOOKUP(C76,'Product List'!A:C,3,0)</f>
        <v>MINI/MOE BENDABLE BIRCHWOOD FENCE</v>
      </c>
      <c r="C76" s="15" t="s">
        <v>34</v>
      </c>
      <c r="D76" s="143" t="s">
        <v>339</v>
      </c>
      <c r="E76" s="18" t="s">
        <v>142</v>
      </c>
      <c r="F76" s="99">
        <v>888</v>
      </c>
      <c r="G76" s="99">
        <v>4.65</v>
      </c>
      <c r="H76" s="99">
        <v>4129.2</v>
      </c>
      <c r="I76" s="6" t="s">
        <v>334</v>
      </c>
      <c r="J76" s="19" t="s">
        <v>335</v>
      </c>
      <c r="K76" s="88">
        <v>46099</v>
      </c>
      <c r="L76" s="140">
        <v>46101</v>
      </c>
      <c r="M76" s="14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7">
        <v>46072</v>
      </c>
      <c r="B77" s="15" t="str">
        <f>VLOOKUP(C77,'Product List'!A:C,3,0)</f>
        <v>MINI/MOE SILENT CRSTL RUN WHEEL XL 11.5 1EA</v>
      </c>
      <c r="C77" s="15" t="s">
        <v>31</v>
      </c>
      <c r="D77" s="143" t="s">
        <v>339</v>
      </c>
      <c r="E77" s="18" t="s">
        <v>142</v>
      </c>
      <c r="F77" s="99">
        <v>992</v>
      </c>
      <c r="G77" s="99">
        <v>19.75</v>
      </c>
      <c r="H77" s="99">
        <v>19592</v>
      </c>
      <c r="I77" s="6" t="s">
        <v>334</v>
      </c>
      <c r="J77" s="19" t="s">
        <v>335</v>
      </c>
      <c r="K77" s="88">
        <v>46099</v>
      </c>
      <c r="L77" s="140">
        <v>46101</v>
      </c>
      <c r="M77" s="14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7">
        <v>46072</v>
      </c>
      <c r="B78" s="15" t="str">
        <f>VLOOKUP(C78,'Product List'!A:C,3,0)</f>
        <v>MINI/MOE TULIP WATER BOTTLE</v>
      </c>
      <c r="C78" s="15" t="s">
        <v>29</v>
      </c>
      <c r="D78" s="143" t="s">
        <v>339</v>
      </c>
      <c r="E78" s="18" t="s">
        <v>142</v>
      </c>
      <c r="F78" s="99">
        <v>900</v>
      </c>
      <c r="G78" s="99">
        <v>1.7</v>
      </c>
      <c r="H78" s="99">
        <v>1530</v>
      </c>
      <c r="I78" s="6" t="s">
        <v>334</v>
      </c>
      <c r="J78" s="19" t="s">
        <v>335</v>
      </c>
      <c r="K78" s="88">
        <v>46099</v>
      </c>
      <c r="L78" s="140">
        <v>46101</v>
      </c>
      <c r="M78" s="14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7">
        <v>46072</v>
      </c>
      <c r="B79" s="15" t="str">
        <f>VLOOKUP(C79,'Product List'!A:C,3,0)</f>
        <v>MINI/MOE SILENT CRSTL RUN WHEEL LG 8.5-Green</v>
      </c>
      <c r="C79" s="15" t="s">
        <v>32</v>
      </c>
      <c r="D79" s="143" t="s">
        <v>339</v>
      </c>
      <c r="E79" s="18" t="s">
        <v>142</v>
      </c>
      <c r="F79" s="99">
        <v>540</v>
      </c>
      <c r="G79" s="99">
        <v>12.63</v>
      </c>
      <c r="H79" s="99">
        <v>6820.2</v>
      </c>
      <c r="I79" s="6" t="s">
        <v>334</v>
      </c>
      <c r="J79" s="19" t="s">
        <v>335</v>
      </c>
      <c r="K79" s="88">
        <v>46099</v>
      </c>
      <c r="L79" s="14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7">
        <v>46072</v>
      </c>
      <c r="B80" s="15" t="str">
        <f>VLOOKUP(C80,'Product List'!A:C,3,0)</f>
        <v>MINI/MOE MUSHROOM CABIN</v>
      </c>
      <c r="C80" s="15" t="s">
        <v>33</v>
      </c>
      <c r="D80" s="143" t="s">
        <v>338</v>
      </c>
      <c r="E80" s="18" t="s">
        <v>142</v>
      </c>
      <c r="F80" s="99">
        <v>996</v>
      </c>
      <c r="G80" s="99">
        <v>6.98</v>
      </c>
      <c r="H80" s="99">
        <v>6952.08</v>
      </c>
      <c r="I80" s="6" t="s">
        <v>334</v>
      </c>
      <c r="J80" s="19" t="s">
        <v>335</v>
      </c>
      <c r="K80" s="88">
        <v>46098</v>
      </c>
      <c r="L80" s="140">
        <v>46101</v>
      </c>
      <c r="M80" s="14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7">
        <v>46072</v>
      </c>
      <c r="B81" s="15" t="str">
        <f>VLOOKUP(C81,'Product List'!A:C,3,0)</f>
        <v>MINI/MOE GARDEN TEAPOT</v>
      </c>
      <c r="C81" s="15" t="s">
        <v>73</v>
      </c>
      <c r="D81" s="143" t="s">
        <v>339</v>
      </c>
      <c r="E81" s="18" t="s">
        <v>142</v>
      </c>
      <c r="F81" s="99">
        <v>1068</v>
      </c>
      <c r="G81" s="99">
        <v>4.61</v>
      </c>
      <c r="H81" s="99">
        <v>4923.48</v>
      </c>
      <c r="I81" s="6" t="s">
        <v>334</v>
      </c>
      <c r="J81" s="19" t="s">
        <v>335</v>
      </c>
      <c r="K81" s="88">
        <v>46098</v>
      </c>
      <c r="L81" s="140">
        <v>46101</v>
      </c>
      <c r="M81" s="14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7">
        <v>46072</v>
      </c>
      <c r="B82" s="15" t="str">
        <f>VLOOKUP(C82,'Product List'!A:C,3,0)</f>
        <v>MINI/MOE TREEHOUSE CABIN</v>
      </c>
      <c r="C82" s="15" t="s">
        <v>79</v>
      </c>
      <c r="D82" s="143" t="s">
        <v>338</v>
      </c>
      <c r="E82" s="18" t="s">
        <v>142</v>
      </c>
      <c r="F82" s="99">
        <v>990</v>
      </c>
      <c r="G82" s="99">
        <v>4.28</v>
      </c>
      <c r="H82" s="99">
        <v>4237.2</v>
      </c>
      <c r="I82" s="6" t="s">
        <v>334</v>
      </c>
      <c r="J82" s="19" t="s">
        <v>335</v>
      </c>
      <c r="K82" s="88">
        <v>46098</v>
      </c>
      <c r="L82" s="140">
        <v>46101</v>
      </c>
      <c r="M82" s="14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7">
        <v>46072</v>
      </c>
      <c r="B83" s="15" t="str">
        <f>VLOOKUP(C83,'Product List'!A:C,3,0)</f>
        <v>MINI/MOE IVY BURROWING BOX</v>
      </c>
      <c r="C83" s="15" t="s">
        <v>75</v>
      </c>
      <c r="D83" s="143" t="s">
        <v>338</v>
      </c>
      <c r="E83" s="18" t="s">
        <v>142</v>
      </c>
      <c r="F83" s="99">
        <v>928</v>
      </c>
      <c r="G83" s="99">
        <v>14.89</v>
      </c>
      <c r="H83" s="99">
        <v>13817.92</v>
      </c>
      <c r="I83" s="6" t="s">
        <v>334</v>
      </c>
      <c r="J83" s="19" t="s">
        <v>335</v>
      </c>
      <c r="K83" s="88">
        <v>46098</v>
      </c>
      <c r="L83" s="140">
        <v>46101</v>
      </c>
      <c r="M83" s="14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7">
        <v>46072</v>
      </c>
      <c r="B84" s="15" t="str">
        <f>VLOOKUP(C84,'Product List'!A:C,3,0)</f>
        <v>MINI/MOE CAMPING TENT HIDE</v>
      </c>
      <c r="C84" s="15" t="s">
        <v>25</v>
      </c>
      <c r="D84" s="143" t="s">
        <v>338</v>
      </c>
      <c r="E84" s="18" t="s">
        <v>142</v>
      </c>
      <c r="F84" s="99">
        <v>999</v>
      </c>
      <c r="G84" s="99">
        <v>3.36</v>
      </c>
      <c r="H84" s="99">
        <v>3356.64</v>
      </c>
      <c r="I84" s="6" t="s">
        <v>334</v>
      </c>
      <c r="J84" s="19" t="s">
        <v>335</v>
      </c>
      <c r="K84" s="88">
        <v>46098</v>
      </c>
      <c r="L84" s="140">
        <v>46101</v>
      </c>
      <c r="M84" s="14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7">
        <v>46072</v>
      </c>
      <c r="B85" s="15" t="str">
        <f>VLOOKUP(C85,'Product List'!A:C,3,0)</f>
        <v>MINI/MOE SILENT CRSTL RUN WHEEL XL 11.5 1EA</v>
      </c>
      <c r="C85" s="15" t="s">
        <v>31</v>
      </c>
      <c r="D85" s="143" t="s">
        <v>340</v>
      </c>
      <c r="E85" s="18" t="s">
        <v>142</v>
      </c>
      <c r="F85" s="99">
        <v>332</v>
      </c>
      <c r="G85" s="99">
        <v>19.75</v>
      </c>
      <c r="H85" s="99">
        <v>6557</v>
      </c>
      <c r="I85" s="6" t="s">
        <v>334</v>
      </c>
      <c r="J85" s="19" t="s">
        <v>341</v>
      </c>
      <c r="K85" s="88">
        <v>46078</v>
      </c>
      <c r="L85" s="140">
        <v>46091</v>
      </c>
      <c r="M85" s="14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7">
        <v>46072</v>
      </c>
      <c r="B86" s="15" t="str">
        <f>VLOOKUP(C86,'Product List'!A:C,3,0)</f>
        <v>D. MMO-COTTAGE VIEW CAGE</v>
      </c>
      <c r="C86" s="15" t="s">
        <v>57</v>
      </c>
      <c r="D86" s="143" t="s">
        <v>340</v>
      </c>
      <c r="E86" s="18" t="s">
        <v>142</v>
      </c>
      <c r="F86" s="99">
        <v>184</v>
      </c>
      <c r="G86" s="99">
        <v>70.28</v>
      </c>
      <c r="H86" s="99">
        <v>12931.52</v>
      </c>
      <c r="I86" s="6" t="s">
        <v>334</v>
      </c>
      <c r="J86" s="19" t="s">
        <v>341</v>
      </c>
      <c r="K86" s="88">
        <v>46078</v>
      </c>
      <c r="L86" s="140">
        <v>46091</v>
      </c>
      <c r="M86" s="14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7">
        <v>46072</v>
      </c>
      <c r="B87" s="15" t="str">
        <f>VLOOKUP(C87,'Product List'!A:C,3,0)</f>
        <v>MINI/MOE RUFFLE BOWL</v>
      </c>
      <c r="C87" s="15" t="s">
        <v>83</v>
      </c>
      <c r="D87" s="143" t="s">
        <v>342</v>
      </c>
      <c r="E87" s="18" t="s">
        <v>142</v>
      </c>
      <c r="F87" s="99">
        <v>72</v>
      </c>
      <c r="G87" s="99">
        <v>2.25</v>
      </c>
      <c r="H87" s="99">
        <v>162</v>
      </c>
      <c r="I87" s="6" t="s">
        <v>334</v>
      </c>
      <c r="J87" s="19" t="s">
        <v>341</v>
      </c>
      <c r="K87" s="88">
        <v>46078</v>
      </c>
      <c r="L87" s="140">
        <v>46091</v>
      </c>
      <c r="M87" s="14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7">
        <v>46072</v>
      </c>
      <c r="B88" s="15" t="str">
        <f>VLOOKUP(C88,'Product List'!A:C,3,0)</f>
        <v>MINI/MOE WOODLAND POTTY</v>
      </c>
      <c r="C88" s="15" t="s">
        <v>30</v>
      </c>
      <c r="D88" s="143" t="s">
        <v>342</v>
      </c>
      <c r="E88" s="18" t="s">
        <v>142</v>
      </c>
      <c r="F88" s="99">
        <v>216</v>
      </c>
      <c r="G88" s="99">
        <v>2.61</v>
      </c>
      <c r="H88" s="99">
        <v>563.76</v>
      </c>
      <c r="I88" s="6" t="s">
        <v>334</v>
      </c>
      <c r="J88" s="19" t="s">
        <v>341</v>
      </c>
      <c r="K88" s="88">
        <v>46078</v>
      </c>
      <c r="L88" s="140">
        <v>46091</v>
      </c>
      <c r="M88" s="14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7">
        <v>46072</v>
      </c>
      <c r="B89" s="15" t="str">
        <f>VLOOKUP(C89,'Product List'!A:C,3,0)</f>
        <v>MINI/MOE BENDABLE BIRCHWOOD FENCE</v>
      </c>
      <c r="C89" s="15" t="s">
        <v>34</v>
      </c>
      <c r="D89" s="143" t="s">
        <v>342</v>
      </c>
      <c r="E89" s="18" t="s">
        <v>142</v>
      </c>
      <c r="F89" s="99">
        <v>312</v>
      </c>
      <c r="G89" s="99">
        <v>4.65</v>
      </c>
      <c r="H89" s="99">
        <v>1450.8</v>
      </c>
      <c r="I89" s="6" t="s">
        <v>334</v>
      </c>
      <c r="J89" s="19" t="s">
        <v>341</v>
      </c>
      <c r="K89" s="88">
        <v>46078</v>
      </c>
      <c r="L89" s="140">
        <v>46091</v>
      </c>
      <c r="M89" s="14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7">
        <v>46072</v>
      </c>
      <c r="B90" s="15" t="str">
        <f>VLOOKUP(C90,'Product List'!A:C,3,0)</f>
        <v>MINI/MOE TV VIEWING CAGE</v>
      </c>
      <c r="C90" s="15" t="s">
        <v>27</v>
      </c>
      <c r="D90" s="143" t="s">
        <v>342</v>
      </c>
      <c r="E90" s="18" t="s">
        <v>142</v>
      </c>
      <c r="F90" s="99">
        <v>302</v>
      </c>
      <c r="G90" s="99">
        <v>51.71</v>
      </c>
      <c r="H90" s="99">
        <v>15616.42</v>
      </c>
      <c r="I90" s="6" t="s">
        <v>334</v>
      </c>
      <c r="J90" s="19" t="s">
        <v>341</v>
      </c>
      <c r="K90" s="88">
        <v>46078</v>
      </c>
      <c r="L90" s="140">
        <v>46091</v>
      </c>
      <c r="M90" s="14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7">
        <v>46072</v>
      </c>
      <c r="B91" s="15" t="str">
        <f>VLOOKUP(C91,'Product List'!A:C,3,0)</f>
        <v>MINI/MOE TULIP WATER BOTTLE</v>
      </c>
      <c r="C91" s="15" t="s">
        <v>29</v>
      </c>
      <c r="D91" s="143" t="s">
        <v>342</v>
      </c>
      <c r="E91" s="18" t="s">
        <v>142</v>
      </c>
      <c r="F91" s="99">
        <v>360</v>
      </c>
      <c r="G91" s="99">
        <v>1.7</v>
      </c>
      <c r="H91" s="99">
        <v>612</v>
      </c>
      <c r="I91" s="6" t="s">
        <v>334</v>
      </c>
      <c r="J91" s="19" t="s">
        <v>341</v>
      </c>
      <c r="K91" s="88">
        <v>46078</v>
      </c>
      <c r="L91" s="140">
        <v>46091</v>
      </c>
      <c r="M91" s="14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7">
        <v>46072</v>
      </c>
      <c r="B92" s="15" t="str">
        <f>VLOOKUP(C92,'Product List'!A:C,3,0)</f>
        <v>MINI/MOE SILENT CRSTL RUN WHEEL LG 8.5-Green</v>
      </c>
      <c r="C92" s="15" t="s">
        <v>32</v>
      </c>
      <c r="D92" s="143" t="s">
        <v>342</v>
      </c>
      <c r="E92" s="18" t="s">
        <v>142</v>
      </c>
      <c r="F92" s="99">
        <v>192</v>
      </c>
      <c r="G92" s="99">
        <v>12.63</v>
      </c>
      <c r="H92" s="99">
        <v>2424.96</v>
      </c>
      <c r="I92" s="6" t="s">
        <v>334</v>
      </c>
      <c r="J92" s="19" t="s">
        <v>341</v>
      </c>
      <c r="K92" s="88">
        <v>46078</v>
      </c>
      <c r="L92" s="14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7">
        <v>46072</v>
      </c>
      <c r="B93" s="15" t="str">
        <f>VLOOKUP(C93,'Product List'!A:C,3,0)</f>
        <v>MINI/MOE MUSHROOM CABIN</v>
      </c>
      <c r="C93" s="15" t="s">
        <v>33</v>
      </c>
      <c r="D93" s="143" t="s">
        <v>343</v>
      </c>
      <c r="E93" s="18" t="s">
        <v>142</v>
      </c>
      <c r="F93" s="99">
        <v>336</v>
      </c>
      <c r="G93" s="99">
        <v>6.98</v>
      </c>
      <c r="H93" s="99">
        <v>2345.28</v>
      </c>
      <c r="I93" s="6" t="s">
        <v>334</v>
      </c>
      <c r="J93" s="19" t="s">
        <v>341</v>
      </c>
      <c r="K93" s="88">
        <v>46078</v>
      </c>
      <c r="L93" s="140">
        <v>46091</v>
      </c>
      <c r="M93" s="14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7">
        <v>46072</v>
      </c>
      <c r="B94" s="15" t="str">
        <f>VLOOKUP(C94,'Product List'!A:C,3,0)</f>
        <v>MINI/MOE GARDEN TEAPOT</v>
      </c>
      <c r="C94" s="15" t="s">
        <v>73</v>
      </c>
      <c r="D94" s="143" t="s">
        <v>343</v>
      </c>
      <c r="E94" s="18" t="s">
        <v>142</v>
      </c>
      <c r="F94" s="99">
        <v>360</v>
      </c>
      <c r="G94" s="99">
        <v>4.61</v>
      </c>
      <c r="H94" s="99">
        <v>1659.6</v>
      </c>
      <c r="I94" s="6" t="s">
        <v>334</v>
      </c>
      <c r="J94" s="19" t="s">
        <v>341</v>
      </c>
      <c r="K94" s="88">
        <v>46078</v>
      </c>
      <c r="L94" s="140">
        <v>46091</v>
      </c>
      <c r="M94" s="14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7">
        <v>46072</v>
      </c>
      <c r="B95" s="15" t="str">
        <f>VLOOKUP(C95,'Product List'!A:C,3,0)</f>
        <v>MINI/MOE TREEHOUSE CABIN</v>
      </c>
      <c r="C95" s="15" t="s">
        <v>79</v>
      </c>
      <c r="D95" s="143" t="s">
        <v>343</v>
      </c>
      <c r="E95" s="18" t="s">
        <v>142</v>
      </c>
      <c r="F95" s="99">
        <v>342</v>
      </c>
      <c r="G95" s="99">
        <v>4.28</v>
      </c>
      <c r="H95" s="99">
        <v>1463.76</v>
      </c>
      <c r="I95" s="6" t="s">
        <v>334</v>
      </c>
      <c r="J95" s="19" t="s">
        <v>341</v>
      </c>
      <c r="K95" s="88">
        <v>46078</v>
      </c>
      <c r="L95" s="140">
        <v>46091</v>
      </c>
      <c r="M95" s="14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7">
        <v>46072</v>
      </c>
      <c r="B96" s="15" t="str">
        <f>VLOOKUP(C96,'Product List'!A:C,3,0)</f>
        <v>MINI/MOE IVY BURROWING BOX</v>
      </c>
      <c r="C96" s="15" t="s">
        <v>75</v>
      </c>
      <c r="D96" s="143" t="s">
        <v>343</v>
      </c>
      <c r="E96" s="18" t="s">
        <v>142</v>
      </c>
      <c r="F96" s="99">
        <v>400</v>
      </c>
      <c r="G96" s="99">
        <v>14.89</v>
      </c>
      <c r="H96" s="99">
        <v>5956</v>
      </c>
      <c r="I96" s="6" t="s">
        <v>334</v>
      </c>
      <c r="J96" s="19" t="s">
        <v>341</v>
      </c>
      <c r="K96" s="88">
        <v>46078</v>
      </c>
      <c r="L96" s="140">
        <v>46091</v>
      </c>
      <c r="M96" s="14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7">
        <v>46072</v>
      </c>
      <c r="B97" s="15" t="str">
        <f>VLOOKUP(C97,'Product List'!A:C,3,0)</f>
        <v>MINI/MOE CAMPING TENT HIDE</v>
      </c>
      <c r="C97" s="15" t="s">
        <v>25</v>
      </c>
      <c r="D97" s="143" t="s">
        <v>343</v>
      </c>
      <c r="E97" s="18" t="s">
        <v>142</v>
      </c>
      <c r="F97" s="99">
        <v>351</v>
      </c>
      <c r="G97" s="99">
        <v>3.36</v>
      </c>
      <c r="H97" s="99">
        <v>1179.36</v>
      </c>
      <c r="I97" s="6" t="s">
        <v>334</v>
      </c>
      <c r="J97" s="19" t="s">
        <v>341</v>
      </c>
      <c r="K97" s="88">
        <v>46078</v>
      </c>
      <c r="L97" s="140">
        <v>46091</v>
      </c>
      <c r="M97" s="14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7">
        <v>46071</v>
      </c>
      <c r="B98" s="15" t="str">
        <f>VLOOKUP(C98,'Product List'!A:C,3,0)</f>
        <v>MINI/MOE BENDABLE BIRCHWOOD FENCE</v>
      </c>
      <c r="C98" s="15" t="s">
        <v>34</v>
      </c>
      <c r="D98" s="14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325</v>
      </c>
      <c r="J98" s="19" t="s">
        <v>344</v>
      </c>
      <c r="K98" s="88">
        <v>46115</v>
      </c>
      <c r="L98" s="140">
        <v>46120</v>
      </c>
      <c r="M98" s="14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7">
        <v>46071</v>
      </c>
      <c r="B99" s="15" t="str">
        <f>VLOOKUP(C99,'Product List'!A:C,3,0)</f>
        <v>MINI/MOE SILENT CRSTL RUN WHEEL LG 8.5-White</v>
      </c>
      <c r="C99" s="15" t="s">
        <v>41</v>
      </c>
      <c r="D99" s="14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325</v>
      </c>
      <c r="J99" s="19" t="s">
        <v>344</v>
      </c>
      <c r="K99" s="88">
        <v>46115</v>
      </c>
      <c r="L99" s="140">
        <v>46120</v>
      </c>
      <c r="M99" s="14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7">
        <v>46071</v>
      </c>
      <c r="B100" s="15" t="str">
        <f>VLOOKUP(C100,'Product List'!A:C,3,0)</f>
        <v>MINI/MOE RUFFLE BOWL</v>
      </c>
      <c r="C100" s="15" t="s">
        <v>83</v>
      </c>
      <c r="D100" s="14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325</v>
      </c>
      <c r="J100" s="19" t="s">
        <v>344</v>
      </c>
      <c r="K100" s="88">
        <v>46115</v>
      </c>
      <c r="L100" s="140">
        <v>46120</v>
      </c>
      <c r="M100" s="14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7">
        <v>46071</v>
      </c>
      <c r="B101" s="15" t="str">
        <f>VLOOKUP(C101,'Product List'!A:C,3,0)</f>
        <v>MMO-CLOUD WATER BOTTLE</v>
      </c>
      <c r="C101" s="15" t="s">
        <v>37</v>
      </c>
      <c r="D101" s="14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325</v>
      </c>
      <c r="J101" s="19" t="s">
        <v>344</v>
      </c>
      <c r="K101" s="88">
        <v>46115</v>
      </c>
      <c r="L101" s="140">
        <v>46120</v>
      </c>
      <c r="M101" s="14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7">
        <v>46071</v>
      </c>
      <c r="B102" s="15" t="str">
        <f>VLOOKUP(C102,'Product List'!A:C,3,0)</f>
        <v>MMO-STARFISH CASTLE</v>
      </c>
      <c r="C102" s="15" t="s">
        <v>76</v>
      </c>
      <c r="D102" s="14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325</v>
      </c>
      <c r="J102" s="19" t="s">
        <v>344</v>
      </c>
      <c r="K102" s="88">
        <v>46115</v>
      </c>
      <c r="L102" s="140">
        <v>46120</v>
      </c>
      <c r="M102" s="14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7">
        <v>46071</v>
      </c>
      <c r="B103" s="15" t="str">
        <f>VLOOKUP(C103,'Product List'!A:C,3,0)</f>
        <v>MMO-WAVE BRIDGE</v>
      </c>
      <c r="C103" s="15" t="s">
        <v>82</v>
      </c>
      <c r="D103" s="14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325</v>
      </c>
      <c r="J103" s="19" t="s">
        <v>344</v>
      </c>
      <c r="K103" s="88">
        <v>46115</v>
      </c>
      <c r="L103" s="140">
        <v>46120</v>
      </c>
      <c r="M103" s="14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7">
        <v>46071</v>
      </c>
      <c r="B104" s="15" t="str">
        <f>VLOOKUP(C104,'Product List'!A:C,3,0)</f>
        <v>MMO-PAPER PEBBLES</v>
      </c>
      <c r="C104" s="20" t="s">
        <v>42</v>
      </c>
      <c r="D104" s="14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325</v>
      </c>
      <c r="J104" s="19" t="s">
        <v>344</v>
      </c>
      <c r="K104" s="88">
        <v>46115</v>
      </c>
      <c r="L104" s="140">
        <v>46120</v>
      </c>
      <c r="M104" s="14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7">
        <v>46071</v>
      </c>
      <c r="B105" s="15" t="str">
        <f>VLOOKUP(C105,'Product List'!A:C,3,0)</f>
        <v>MMO-PAPER TWIST BLU/WHT</v>
      </c>
      <c r="C105" s="20" t="s">
        <v>44</v>
      </c>
      <c r="D105" s="14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325</v>
      </c>
      <c r="J105" s="19" t="s">
        <v>344</v>
      </c>
      <c r="K105" s="88">
        <v>46115</v>
      </c>
      <c r="L105" s="140">
        <v>46120</v>
      </c>
      <c r="M105" s="14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7">
        <v>46071</v>
      </c>
      <c r="B106" s="15" t="str">
        <f>VLOOKUP(C106,'Product List'!A:C,3,0)</f>
        <v>MMO-COTTON NESTING BALLS</v>
      </c>
      <c r="C106" s="20" t="s">
        <v>43</v>
      </c>
      <c r="D106" s="14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325</v>
      </c>
      <c r="J106" s="19" t="s">
        <v>344</v>
      </c>
      <c r="K106" s="88">
        <v>46115</v>
      </c>
      <c r="L106" s="140">
        <v>46120</v>
      </c>
      <c r="M106" s="14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7">
        <v>46071</v>
      </c>
      <c r="B107" s="15" t="str">
        <f>VLOOKUP(C107,'Product List'!A:C,3,0)</f>
        <v>MINI/MOE TV VIEWING CAGE</v>
      </c>
      <c r="C107" s="15" t="s">
        <v>27</v>
      </c>
      <c r="D107" s="14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325</v>
      </c>
      <c r="J107" s="19" t="s">
        <v>344</v>
      </c>
      <c r="K107" s="88">
        <v>46115</v>
      </c>
      <c r="L107" s="140">
        <v>46120</v>
      </c>
      <c r="M107" s="14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7">
        <v>46071</v>
      </c>
      <c r="B108" s="15" t="str">
        <f>VLOOKUP(C108,'Product List'!A:C,3,0)</f>
        <v>MMO-BUBBLE WATER BOTTLE</v>
      </c>
      <c r="C108" s="15" t="s">
        <v>38</v>
      </c>
      <c r="D108" s="14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325</v>
      </c>
      <c r="J108" s="19" t="s">
        <v>344</v>
      </c>
      <c r="K108" s="88">
        <v>46115</v>
      </c>
      <c r="L108" s="140">
        <v>46120</v>
      </c>
      <c r="M108" s="14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7">
        <v>46071</v>
      </c>
      <c r="B109" s="15" t="str">
        <f>VLOOKUP(C109,'Product List'!A:C,3,0)</f>
        <v>MINI/MOE BENDABLE BIRCHWOOD FENCE</v>
      </c>
      <c r="C109" s="15" t="s">
        <v>34</v>
      </c>
      <c r="D109" s="14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325</v>
      </c>
      <c r="J109" s="19" t="s">
        <v>345</v>
      </c>
      <c r="K109" s="88">
        <v>46115</v>
      </c>
      <c r="L109" s="140">
        <v>46120</v>
      </c>
      <c r="M109" s="14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7">
        <v>46071</v>
      </c>
      <c r="B110" s="15" t="str">
        <f>VLOOKUP(C110,'Product List'!A:C,3,0)</f>
        <v>MINI/MOE SILENT CRSTL RUN WHEEL LG 8.5-White</v>
      </c>
      <c r="C110" s="15" t="s">
        <v>41</v>
      </c>
      <c r="D110" s="14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325</v>
      </c>
      <c r="J110" s="19" t="s">
        <v>345</v>
      </c>
      <c r="K110" s="88">
        <v>46115</v>
      </c>
      <c r="L110" s="140">
        <v>46120</v>
      </c>
      <c r="M110" s="14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7">
        <v>46071</v>
      </c>
      <c r="B111" s="15" t="str">
        <f>VLOOKUP(C111,'Product List'!A:C,3,0)</f>
        <v>MINI/MOE RUFFLE BOWL</v>
      </c>
      <c r="C111" s="15" t="s">
        <v>83</v>
      </c>
      <c r="D111" s="14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325</v>
      </c>
      <c r="J111" s="19" t="s">
        <v>345</v>
      </c>
      <c r="K111" s="88">
        <v>46115</v>
      </c>
      <c r="L111" s="140">
        <v>46120</v>
      </c>
      <c r="M111" s="14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7">
        <v>46071</v>
      </c>
      <c r="B112" s="15" t="str">
        <f>VLOOKUP(C112,'Product List'!A:C,3,0)</f>
        <v>MMO-CLOUD WATER BOTTLE</v>
      </c>
      <c r="C112" s="15" t="s">
        <v>37</v>
      </c>
      <c r="D112" s="14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325</v>
      </c>
      <c r="J112" s="19" t="s">
        <v>345</v>
      </c>
      <c r="K112" s="88">
        <v>46115</v>
      </c>
      <c r="L112" s="140">
        <v>46120</v>
      </c>
      <c r="M112" s="14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7">
        <v>46071</v>
      </c>
      <c r="B113" s="15" t="str">
        <f>VLOOKUP(C113,'Product List'!A:C,3,0)</f>
        <v>MMO-STARFISH CASTLE</v>
      </c>
      <c r="C113" s="15" t="s">
        <v>76</v>
      </c>
      <c r="D113" s="14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325</v>
      </c>
      <c r="J113" s="19" t="s">
        <v>345</v>
      </c>
      <c r="K113" s="88">
        <v>46115</v>
      </c>
      <c r="L113" s="140">
        <v>46120</v>
      </c>
      <c r="M113" s="14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7">
        <v>46071</v>
      </c>
      <c r="B114" s="15" t="str">
        <f>VLOOKUP(C114,'Product List'!A:C,3,0)</f>
        <v>MMO-WAVE BRIDGE</v>
      </c>
      <c r="C114" s="15" t="s">
        <v>82</v>
      </c>
      <c r="D114" s="14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325</v>
      </c>
      <c r="J114" s="19" t="s">
        <v>345</v>
      </c>
      <c r="K114" s="88">
        <v>46115</v>
      </c>
      <c r="L114" s="140">
        <v>46120</v>
      </c>
      <c r="M114" s="14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7">
        <v>46071</v>
      </c>
      <c r="B115" s="15" t="str">
        <f>VLOOKUP(C115,'Product List'!A:C,3,0)</f>
        <v>MMO-PAPER PEBBLES</v>
      </c>
      <c r="C115" s="20" t="s">
        <v>42</v>
      </c>
      <c r="D115" s="14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325</v>
      </c>
      <c r="J115" s="19" t="s">
        <v>345</v>
      </c>
      <c r="K115" s="88">
        <v>46115</v>
      </c>
      <c r="L115" s="140">
        <v>46120</v>
      </c>
      <c r="M115" s="14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7">
        <v>46071</v>
      </c>
      <c r="B116" s="15" t="str">
        <f>VLOOKUP(C116,'Product List'!A:C,3,0)</f>
        <v>MMO-PAPER TWIST BLU/WHT</v>
      </c>
      <c r="C116" s="20" t="s">
        <v>44</v>
      </c>
      <c r="D116" s="14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325</v>
      </c>
      <c r="J116" s="19" t="s">
        <v>345</v>
      </c>
      <c r="K116" s="88">
        <v>46115</v>
      </c>
      <c r="L116" s="140">
        <v>46120</v>
      </c>
      <c r="M116" s="14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7">
        <v>46071</v>
      </c>
      <c r="B117" s="15" t="str">
        <f>VLOOKUP(C117,'Product List'!A:C,3,0)</f>
        <v>MMO-COTTON NESTING BALLS</v>
      </c>
      <c r="C117" s="20" t="s">
        <v>43</v>
      </c>
      <c r="D117" s="14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325</v>
      </c>
      <c r="J117" s="19" t="s">
        <v>345</v>
      </c>
      <c r="K117" s="88">
        <v>46115</v>
      </c>
      <c r="L117" s="140">
        <v>46120</v>
      </c>
      <c r="M117" s="14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7">
        <v>46071</v>
      </c>
      <c r="B118" s="15" t="str">
        <f>VLOOKUP(C118,'Product List'!A:C,3,0)</f>
        <v>MINI/MOE TV VIEWING CAGE</v>
      </c>
      <c r="C118" s="15" t="s">
        <v>27</v>
      </c>
      <c r="D118" s="14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325</v>
      </c>
      <c r="J118" s="19" t="s">
        <v>345</v>
      </c>
      <c r="K118" s="88">
        <v>46115</v>
      </c>
      <c r="L118" s="140">
        <v>46120</v>
      </c>
      <c r="M118" s="14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7">
        <v>46071</v>
      </c>
      <c r="B119" s="15" t="str">
        <f>VLOOKUP(C119,'Product List'!A:C,3,0)</f>
        <v>MMO-BUBBLE WATER BOTTLE</v>
      </c>
      <c r="C119" s="15" t="s">
        <v>38</v>
      </c>
      <c r="D119" s="14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325</v>
      </c>
      <c r="J119" s="19" t="s">
        <v>345</v>
      </c>
      <c r="K119" s="88">
        <v>46115</v>
      </c>
      <c r="L119" s="140">
        <v>46120</v>
      </c>
      <c r="M119" s="14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7">
        <v>46071</v>
      </c>
      <c r="B120" s="15" t="str">
        <f>VLOOKUP(C120,'Product List'!A:C,3,0)</f>
        <v>MINI/MOE BENDABLE BIRCHWOOD FENCE</v>
      </c>
      <c r="C120" s="15" t="s">
        <v>34</v>
      </c>
      <c r="D120" s="14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325</v>
      </c>
      <c r="J120" s="19" t="s">
        <v>346</v>
      </c>
      <c r="K120" s="88">
        <v>46115</v>
      </c>
      <c r="L120" s="140">
        <v>46120</v>
      </c>
      <c r="M120" s="14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7">
        <v>46071</v>
      </c>
      <c r="B121" s="15" t="str">
        <f>VLOOKUP(C121,'Product List'!A:C,3,0)</f>
        <v>MINI/MOE SILENT CRSTL RUN WHEEL LG 8.5-White</v>
      </c>
      <c r="C121" s="15" t="s">
        <v>41</v>
      </c>
      <c r="D121" s="14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325</v>
      </c>
      <c r="J121" s="19" t="s">
        <v>346</v>
      </c>
      <c r="K121" s="88">
        <v>46115</v>
      </c>
      <c r="L121" s="140">
        <v>46120</v>
      </c>
      <c r="M121" s="14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7">
        <v>46071</v>
      </c>
      <c r="B122" s="15" t="str">
        <f>VLOOKUP(C122,'Product List'!A:C,3,0)</f>
        <v>MINI/MOE RUFFLE BOWL</v>
      </c>
      <c r="C122" s="15" t="s">
        <v>83</v>
      </c>
      <c r="D122" s="14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325</v>
      </c>
      <c r="J122" s="19" t="s">
        <v>346</v>
      </c>
      <c r="K122" s="88">
        <v>46115</v>
      </c>
      <c r="L122" s="140">
        <v>46120</v>
      </c>
      <c r="M122" s="14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7">
        <v>46071</v>
      </c>
      <c r="B123" s="15" t="str">
        <f>VLOOKUP(C123,'Product List'!A:C,3,0)</f>
        <v>MMO-CLOUD WATER BOTTLE</v>
      </c>
      <c r="C123" s="15" t="s">
        <v>37</v>
      </c>
      <c r="D123" s="14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325</v>
      </c>
      <c r="J123" s="19" t="s">
        <v>346</v>
      </c>
      <c r="K123" s="88">
        <v>46115</v>
      </c>
      <c r="L123" s="140">
        <v>46120</v>
      </c>
      <c r="M123" s="14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7">
        <v>46071</v>
      </c>
      <c r="B124" s="15" t="str">
        <f>VLOOKUP(C124,'Product List'!A:C,3,0)</f>
        <v>MMO-STARFISH CASTLE</v>
      </c>
      <c r="C124" s="15" t="s">
        <v>76</v>
      </c>
      <c r="D124" s="14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325</v>
      </c>
      <c r="J124" s="19" t="s">
        <v>346</v>
      </c>
      <c r="K124" s="88">
        <v>46115</v>
      </c>
      <c r="L124" s="140">
        <v>46120</v>
      </c>
      <c r="M124" s="14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7">
        <v>46071</v>
      </c>
      <c r="B125" s="15" t="str">
        <f>VLOOKUP(C125,'Product List'!A:C,3,0)</f>
        <v>MMO-WAVE BRIDGE</v>
      </c>
      <c r="C125" s="15" t="s">
        <v>82</v>
      </c>
      <c r="D125" s="14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325</v>
      </c>
      <c r="J125" s="19" t="s">
        <v>346</v>
      </c>
      <c r="K125" s="88">
        <v>46115</v>
      </c>
      <c r="L125" s="140">
        <v>46120</v>
      </c>
      <c r="M125" s="14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7">
        <v>46071</v>
      </c>
      <c r="B126" s="15" t="str">
        <f>VLOOKUP(C126,'Product List'!A:C,3,0)</f>
        <v>MMO-PAPER PEBBLES</v>
      </c>
      <c r="C126" s="20" t="s">
        <v>42</v>
      </c>
      <c r="D126" s="14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325</v>
      </c>
      <c r="J126" s="19" t="s">
        <v>346</v>
      </c>
      <c r="K126" s="88">
        <v>46115</v>
      </c>
      <c r="L126" s="140">
        <v>46120</v>
      </c>
      <c r="M126" s="14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7">
        <v>46071</v>
      </c>
      <c r="B127" s="15" t="str">
        <f>VLOOKUP(C127,'Product List'!A:C,3,0)</f>
        <v>MMO-PAPER TWIST BLU/WHT</v>
      </c>
      <c r="C127" s="20" t="s">
        <v>44</v>
      </c>
      <c r="D127" s="14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325</v>
      </c>
      <c r="J127" s="19" t="s">
        <v>346</v>
      </c>
      <c r="K127" s="88">
        <v>46115</v>
      </c>
      <c r="L127" s="140">
        <v>46120</v>
      </c>
      <c r="M127" s="14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7">
        <v>46071</v>
      </c>
      <c r="B128" s="15" t="str">
        <f>VLOOKUP(C128,'Product List'!A:C,3,0)</f>
        <v>MMO-COTTON NESTING BALLS</v>
      </c>
      <c r="C128" s="20" t="s">
        <v>43</v>
      </c>
      <c r="D128" s="14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325</v>
      </c>
      <c r="J128" s="19" t="s">
        <v>346</v>
      </c>
      <c r="K128" s="88">
        <v>46115</v>
      </c>
      <c r="L128" s="140">
        <v>46120</v>
      </c>
      <c r="M128" s="14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7">
        <v>46071</v>
      </c>
      <c r="B129" s="15" t="str">
        <f>VLOOKUP(C129,'Product List'!A:C,3,0)</f>
        <v>MINI/MOE TV VIEWING CAGE</v>
      </c>
      <c r="C129" s="15" t="s">
        <v>27</v>
      </c>
      <c r="D129" s="14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325</v>
      </c>
      <c r="J129" s="19" t="s">
        <v>346</v>
      </c>
      <c r="K129" s="88">
        <v>46115</v>
      </c>
      <c r="L129" s="140">
        <v>46120</v>
      </c>
      <c r="M129" s="14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7">
        <v>46071</v>
      </c>
      <c r="B130" s="15" t="str">
        <f>VLOOKUP(C130,'Product List'!A:C,3,0)</f>
        <v>MMO-BUBBLE WATER BOTTLE</v>
      </c>
      <c r="C130" s="15" t="s">
        <v>38</v>
      </c>
      <c r="D130" s="14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325</v>
      </c>
      <c r="J130" s="19" t="s">
        <v>346</v>
      </c>
      <c r="K130" s="88">
        <v>46115</v>
      </c>
      <c r="L130" s="140">
        <v>46120</v>
      </c>
      <c r="M130" s="14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7">
        <v>46071</v>
      </c>
      <c r="B131" s="15" t="str">
        <f>VLOOKUP(C131,'Product List'!A:C,3,0)</f>
        <v>MINI/MOE BENDABLE BIRCHWOOD FENCE</v>
      </c>
      <c r="C131" s="15" t="s">
        <v>34</v>
      </c>
      <c r="D131" s="14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325</v>
      </c>
      <c r="J131" s="19" t="s">
        <v>347</v>
      </c>
      <c r="K131" s="88">
        <v>46115</v>
      </c>
      <c r="L131" s="140">
        <v>46120</v>
      </c>
      <c r="M131" s="14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7">
        <v>46071</v>
      </c>
      <c r="B132" s="15" t="str">
        <f>VLOOKUP(C132,'Product List'!A:C,3,0)</f>
        <v>MINI/MOE SILENT CRSTL RUN WHEEL LG 8.5-White</v>
      </c>
      <c r="C132" s="15" t="s">
        <v>41</v>
      </c>
      <c r="D132" s="14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325</v>
      </c>
      <c r="J132" s="19" t="s">
        <v>347</v>
      </c>
      <c r="K132" s="88">
        <v>46115</v>
      </c>
      <c r="L132" s="140">
        <v>46120</v>
      </c>
      <c r="M132" s="14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7">
        <v>46071</v>
      </c>
      <c r="B133" s="15" t="str">
        <f>VLOOKUP(C133,'Product List'!A:C,3,0)</f>
        <v>MINI/MOE RUFFLE BOWL</v>
      </c>
      <c r="C133" s="15" t="s">
        <v>83</v>
      </c>
      <c r="D133" s="14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325</v>
      </c>
      <c r="J133" s="19" t="s">
        <v>347</v>
      </c>
      <c r="K133" s="88">
        <v>46115</v>
      </c>
      <c r="L133" s="140">
        <v>46120</v>
      </c>
      <c r="M133" s="14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7">
        <v>46071</v>
      </c>
      <c r="B134" s="15" t="str">
        <f>VLOOKUP(C134,'Product List'!A:C,3,0)</f>
        <v>MMO-CLOUD WATER BOTTLE</v>
      </c>
      <c r="C134" s="15" t="s">
        <v>37</v>
      </c>
      <c r="D134" s="14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325</v>
      </c>
      <c r="J134" s="19" t="s">
        <v>347</v>
      </c>
      <c r="K134" s="88">
        <v>46115</v>
      </c>
      <c r="L134" s="140">
        <v>46120</v>
      </c>
      <c r="M134" s="14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7">
        <v>46071</v>
      </c>
      <c r="B135" s="15" t="str">
        <f>VLOOKUP(C135,'Product List'!A:C,3,0)</f>
        <v>MMO-STARFISH CASTLE</v>
      </c>
      <c r="C135" s="15" t="s">
        <v>76</v>
      </c>
      <c r="D135" s="14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325</v>
      </c>
      <c r="J135" s="19" t="s">
        <v>347</v>
      </c>
      <c r="K135" s="88">
        <v>46115</v>
      </c>
      <c r="L135" s="140">
        <v>46120</v>
      </c>
      <c r="M135" s="14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7">
        <v>46071</v>
      </c>
      <c r="B136" s="15" t="str">
        <f>VLOOKUP(C136,'Product List'!A:C,3,0)</f>
        <v>MMO-WAVE BRIDGE</v>
      </c>
      <c r="C136" s="15" t="s">
        <v>82</v>
      </c>
      <c r="D136" s="14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325</v>
      </c>
      <c r="J136" s="19" t="s">
        <v>347</v>
      </c>
      <c r="K136" s="88">
        <v>46115</v>
      </c>
      <c r="L136" s="140">
        <v>46120</v>
      </c>
      <c r="M136" s="14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7">
        <v>46071</v>
      </c>
      <c r="B137" s="15" t="str">
        <f>VLOOKUP(C137,'Product List'!A:C,3,0)</f>
        <v>MMO-PAPER PEBBLES</v>
      </c>
      <c r="C137" s="20" t="s">
        <v>42</v>
      </c>
      <c r="D137" s="14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325</v>
      </c>
      <c r="J137" s="19" t="s">
        <v>347</v>
      </c>
      <c r="K137" s="88">
        <v>46115</v>
      </c>
      <c r="L137" s="140">
        <v>46120</v>
      </c>
      <c r="M137" s="14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7">
        <v>46071</v>
      </c>
      <c r="B138" s="15" t="str">
        <f>VLOOKUP(C138,'Product List'!A:C,3,0)</f>
        <v>MMO-PAPER TWIST BLU/WHT</v>
      </c>
      <c r="C138" s="20" t="s">
        <v>44</v>
      </c>
      <c r="D138" s="14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325</v>
      </c>
      <c r="J138" s="19" t="s">
        <v>347</v>
      </c>
      <c r="K138" s="88">
        <v>46115</v>
      </c>
      <c r="L138" s="140">
        <v>46120</v>
      </c>
      <c r="M138" s="14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7">
        <v>46071</v>
      </c>
      <c r="B139" s="15" t="str">
        <f>VLOOKUP(C139,'Product List'!A:C,3,0)</f>
        <v>MMO-COTTON NESTING BALLS</v>
      </c>
      <c r="C139" s="20" t="s">
        <v>43</v>
      </c>
      <c r="D139" s="14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325</v>
      </c>
      <c r="J139" s="19" t="s">
        <v>347</v>
      </c>
      <c r="K139" s="88">
        <v>46115</v>
      </c>
      <c r="L139" s="140">
        <v>46120</v>
      </c>
      <c r="M139" s="14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7">
        <v>46071</v>
      </c>
      <c r="B140" s="15" t="str">
        <f>VLOOKUP(C140,'Product List'!A:C,3,0)</f>
        <v>MINI/MOE TV VIEWING CAGE</v>
      </c>
      <c r="C140" s="15" t="s">
        <v>27</v>
      </c>
      <c r="D140" s="14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325</v>
      </c>
      <c r="J140" s="19" t="s">
        <v>347</v>
      </c>
      <c r="K140" s="88">
        <v>46115</v>
      </c>
      <c r="L140" s="140">
        <v>46120</v>
      </c>
      <c r="M140" s="14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7">
        <v>46071</v>
      </c>
      <c r="B141" s="15" t="str">
        <f>VLOOKUP(C141,'Product List'!A:C,3,0)</f>
        <v>MMO-BUBBLE WATER BOTTLE</v>
      </c>
      <c r="C141" s="15" t="s">
        <v>38</v>
      </c>
      <c r="D141" s="14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325</v>
      </c>
      <c r="J141" s="19" t="s">
        <v>347</v>
      </c>
      <c r="K141" s="88">
        <v>46115</v>
      </c>
      <c r="L141" s="140">
        <v>46120</v>
      </c>
      <c r="M141" s="14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7">
        <v>46071</v>
      </c>
      <c r="B142" s="15" t="str">
        <f>VLOOKUP(C142,'Product List'!A:C,3,0)</f>
        <v>MINI/MOE BENDABLE BIRCHWOOD FENCE</v>
      </c>
      <c r="C142" s="15" t="s">
        <v>34</v>
      </c>
      <c r="D142" s="14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325</v>
      </c>
      <c r="J142" s="19" t="s">
        <v>348</v>
      </c>
      <c r="K142" s="88">
        <v>46115</v>
      </c>
      <c r="L142" s="140">
        <v>46120</v>
      </c>
      <c r="M142" s="14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7">
        <v>46071</v>
      </c>
      <c r="B143" s="15" t="str">
        <f>VLOOKUP(C143,'Product List'!A:C,3,0)</f>
        <v>MINI/MOE SILENT CRSTL RUN WHEEL LG 8.5-White</v>
      </c>
      <c r="C143" s="15" t="s">
        <v>41</v>
      </c>
      <c r="D143" s="14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325</v>
      </c>
      <c r="J143" s="19" t="s">
        <v>348</v>
      </c>
      <c r="K143" s="88">
        <v>46115</v>
      </c>
      <c r="L143" s="140">
        <v>46120</v>
      </c>
      <c r="M143" s="14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7">
        <v>46071</v>
      </c>
      <c r="B144" s="15" t="str">
        <f>VLOOKUP(C144,'Product List'!A:C,3,0)</f>
        <v>MINI/MOE RUFFLE BOWL</v>
      </c>
      <c r="C144" s="15" t="s">
        <v>83</v>
      </c>
      <c r="D144" s="14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325</v>
      </c>
      <c r="J144" s="19" t="s">
        <v>348</v>
      </c>
      <c r="K144" s="88">
        <v>46115</v>
      </c>
      <c r="L144" s="140">
        <v>46120</v>
      </c>
      <c r="M144" s="14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7">
        <v>46071</v>
      </c>
      <c r="B145" s="15" t="str">
        <f>VLOOKUP(C145,'Product List'!A:C,3,0)</f>
        <v>MMO-CLOUD WATER BOTTLE</v>
      </c>
      <c r="C145" s="15" t="s">
        <v>37</v>
      </c>
      <c r="D145" s="14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325</v>
      </c>
      <c r="J145" s="19" t="s">
        <v>348</v>
      </c>
      <c r="K145" s="88">
        <v>46115</v>
      </c>
      <c r="L145" s="140">
        <v>46120</v>
      </c>
      <c r="M145" s="14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7">
        <v>46071</v>
      </c>
      <c r="B146" s="15" t="str">
        <f>VLOOKUP(C146,'Product List'!A:C,3,0)</f>
        <v>MMO-STARFISH CASTLE</v>
      </c>
      <c r="C146" s="15" t="s">
        <v>76</v>
      </c>
      <c r="D146" s="14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325</v>
      </c>
      <c r="J146" s="19" t="s">
        <v>348</v>
      </c>
      <c r="K146" s="88">
        <v>46115</v>
      </c>
      <c r="L146" s="140">
        <v>46120</v>
      </c>
      <c r="M146" s="14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7">
        <v>46071</v>
      </c>
      <c r="B147" s="15" t="str">
        <f>VLOOKUP(C147,'Product List'!A:C,3,0)</f>
        <v>MMO-WAVE BRIDGE</v>
      </c>
      <c r="C147" s="15" t="s">
        <v>82</v>
      </c>
      <c r="D147" s="14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325</v>
      </c>
      <c r="J147" s="19" t="s">
        <v>348</v>
      </c>
      <c r="K147" s="88">
        <v>46115</v>
      </c>
      <c r="L147" s="140">
        <v>46120</v>
      </c>
      <c r="M147" s="14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7">
        <v>46071</v>
      </c>
      <c r="B148" s="15" t="str">
        <f>VLOOKUP(C148,'Product List'!A:C,3,0)</f>
        <v>MMO-PAPER PEBBLES</v>
      </c>
      <c r="C148" s="20" t="s">
        <v>42</v>
      </c>
      <c r="D148" s="14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325</v>
      </c>
      <c r="J148" s="19" t="s">
        <v>348</v>
      </c>
      <c r="K148" s="88">
        <v>46115</v>
      </c>
      <c r="L148" s="140">
        <v>46120</v>
      </c>
      <c r="M148" s="14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7">
        <v>46071</v>
      </c>
      <c r="B149" s="15" t="str">
        <f>VLOOKUP(C149,'Product List'!A:C,3,0)</f>
        <v>MMO-PAPER TWIST BLU/WHT</v>
      </c>
      <c r="C149" s="20" t="s">
        <v>44</v>
      </c>
      <c r="D149" s="14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325</v>
      </c>
      <c r="J149" s="19" t="s">
        <v>348</v>
      </c>
      <c r="K149" s="88">
        <v>46115</v>
      </c>
      <c r="L149" s="140">
        <v>46120</v>
      </c>
      <c r="M149" s="14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7">
        <v>46071</v>
      </c>
      <c r="B150" s="15" t="str">
        <f>VLOOKUP(C150,'Product List'!A:C,3,0)</f>
        <v>MMO-COTTON NESTING BALLS</v>
      </c>
      <c r="C150" s="20" t="s">
        <v>43</v>
      </c>
      <c r="D150" s="14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325</v>
      </c>
      <c r="J150" s="19" t="s">
        <v>348</v>
      </c>
      <c r="K150" s="88">
        <v>46115</v>
      </c>
      <c r="L150" s="140">
        <v>46120</v>
      </c>
      <c r="M150" s="14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7">
        <v>46071</v>
      </c>
      <c r="B151" s="15" t="str">
        <f>VLOOKUP(C151,'Product List'!A:C,3,0)</f>
        <v>MINI/MOE TV VIEWING CAGE</v>
      </c>
      <c r="C151" s="15" t="s">
        <v>27</v>
      </c>
      <c r="D151" s="14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325</v>
      </c>
      <c r="J151" s="19" t="s">
        <v>348</v>
      </c>
      <c r="K151" s="88">
        <v>46115</v>
      </c>
      <c r="L151" s="140">
        <v>46120</v>
      </c>
      <c r="M151" s="14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7">
        <v>46071</v>
      </c>
      <c r="B152" s="15" t="str">
        <f>VLOOKUP(C152,'Product List'!A:C,3,0)</f>
        <v>MMO-BUBBLE WATER BOTTLE</v>
      </c>
      <c r="C152" s="15" t="s">
        <v>38</v>
      </c>
      <c r="D152" s="14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325</v>
      </c>
      <c r="J152" s="19" t="s">
        <v>348</v>
      </c>
      <c r="K152" s="88">
        <v>46115</v>
      </c>
      <c r="L152" s="140">
        <v>46120</v>
      </c>
      <c r="M152" s="14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7">
        <v>46071</v>
      </c>
      <c r="B153" s="15" t="str">
        <f>VLOOKUP(C153,'Product List'!A:C,3,0)</f>
        <v>MINI/MOE BENDABLE BIRCHWOOD FENCE</v>
      </c>
      <c r="C153" s="15" t="s">
        <v>34</v>
      </c>
      <c r="D153" s="14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325</v>
      </c>
      <c r="J153" s="19" t="s">
        <v>349</v>
      </c>
      <c r="K153" s="88">
        <v>46115</v>
      </c>
      <c r="L153" s="140">
        <v>46120</v>
      </c>
      <c r="M153" s="14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7">
        <v>46071</v>
      </c>
      <c r="B154" s="15" t="str">
        <f>VLOOKUP(C154,'Product List'!A:C,3,0)</f>
        <v>MINI/MOE SILENT CRSTL RUN WHEEL LG 8.5-White</v>
      </c>
      <c r="C154" s="15" t="s">
        <v>41</v>
      </c>
      <c r="D154" s="14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325</v>
      </c>
      <c r="J154" s="19" t="s">
        <v>349</v>
      </c>
      <c r="K154" s="88">
        <v>46115</v>
      </c>
      <c r="L154" s="140">
        <v>46120</v>
      </c>
      <c r="M154" s="14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7">
        <v>46071</v>
      </c>
      <c r="B155" s="15" t="str">
        <f>VLOOKUP(C155,'Product List'!A:C,3,0)</f>
        <v>MINI/MOE RUFFLE BOWL</v>
      </c>
      <c r="C155" s="15" t="s">
        <v>83</v>
      </c>
      <c r="D155" s="14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325</v>
      </c>
      <c r="J155" s="19" t="s">
        <v>349</v>
      </c>
      <c r="K155" s="88">
        <v>46115</v>
      </c>
      <c r="L155" s="140">
        <v>46120</v>
      </c>
      <c r="M155" s="14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7">
        <v>46071</v>
      </c>
      <c r="B156" s="15" t="str">
        <f>VLOOKUP(C156,'Product List'!A:C,3,0)</f>
        <v>MMO-CLOUD WATER BOTTLE</v>
      </c>
      <c r="C156" s="15" t="s">
        <v>37</v>
      </c>
      <c r="D156" s="14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325</v>
      </c>
      <c r="J156" s="19" t="s">
        <v>349</v>
      </c>
      <c r="K156" s="88">
        <v>46115</v>
      </c>
      <c r="L156" s="140">
        <v>46120</v>
      </c>
      <c r="M156" s="14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7">
        <v>46071</v>
      </c>
      <c r="B157" s="15" t="str">
        <f>VLOOKUP(C157,'Product List'!A:C,3,0)</f>
        <v>MMO-STARFISH CASTLE</v>
      </c>
      <c r="C157" s="15" t="s">
        <v>76</v>
      </c>
      <c r="D157" s="14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325</v>
      </c>
      <c r="J157" s="19" t="s">
        <v>349</v>
      </c>
      <c r="K157" s="88">
        <v>46115</v>
      </c>
      <c r="L157" s="140">
        <v>46120</v>
      </c>
      <c r="M157" s="14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7">
        <v>46071</v>
      </c>
      <c r="B158" s="15" t="str">
        <f>VLOOKUP(C158,'Product List'!A:C,3,0)</f>
        <v>MMO-WAVE BRIDGE</v>
      </c>
      <c r="C158" s="15" t="s">
        <v>82</v>
      </c>
      <c r="D158" s="14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325</v>
      </c>
      <c r="J158" s="19" t="s">
        <v>349</v>
      </c>
      <c r="K158" s="88">
        <v>46115</v>
      </c>
      <c r="L158" s="140">
        <v>46120</v>
      </c>
      <c r="M158" s="14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7">
        <v>46071</v>
      </c>
      <c r="B159" s="15" t="str">
        <f>VLOOKUP(C159,'Product List'!A:C,3,0)</f>
        <v>MMO-PAPER PEBBLES</v>
      </c>
      <c r="C159" s="20" t="s">
        <v>42</v>
      </c>
      <c r="D159" s="14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325</v>
      </c>
      <c r="J159" s="19" t="s">
        <v>349</v>
      </c>
      <c r="K159" s="88">
        <v>46115</v>
      </c>
      <c r="L159" s="140">
        <v>46120</v>
      </c>
      <c r="M159" s="14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7">
        <v>46071</v>
      </c>
      <c r="B160" s="15" t="str">
        <f>VLOOKUP(C160,'Product List'!A:C,3,0)</f>
        <v>MMO-PAPER TWIST BLU/WHT</v>
      </c>
      <c r="C160" s="20" t="s">
        <v>44</v>
      </c>
      <c r="D160" s="14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325</v>
      </c>
      <c r="J160" s="19" t="s">
        <v>349</v>
      </c>
      <c r="K160" s="88">
        <v>46115</v>
      </c>
      <c r="L160" s="140">
        <v>46120</v>
      </c>
      <c r="M160" s="14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7">
        <v>46071</v>
      </c>
      <c r="B161" s="15" t="str">
        <f>VLOOKUP(C161,'Product List'!A:C,3,0)</f>
        <v>MMO-COTTON NESTING BALLS</v>
      </c>
      <c r="C161" s="20" t="s">
        <v>43</v>
      </c>
      <c r="D161" s="14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325</v>
      </c>
      <c r="J161" s="19" t="s">
        <v>349</v>
      </c>
      <c r="K161" s="88">
        <v>46115</v>
      </c>
      <c r="L161" s="140">
        <v>46120</v>
      </c>
      <c r="M161" s="14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7">
        <v>46071</v>
      </c>
      <c r="B162" s="15" t="str">
        <f>VLOOKUP(C162,'Product List'!A:C,3,0)</f>
        <v>MINI/MOE TV VIEWING CAGE</v>
      </c>
      <c r="C162" s="15" t="s">
        <v>27</v>
      </c>
      <c r="D162" s="14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325</v>
      </c>
      <c r="J162" s="19" t="s">
        <v>349</v>
      </c>
      <c r="K162" s="88">
        <v>46115</v>
      </c>
      <c r="L162" s="140">
        <v>46120</v>
      </c>
      <c r="M162" s="14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7">
        <v>46071</v>
      </c>
      <c r="B163" s="15" t="str">
        <f>VLOOKUP(C163,'Product List'!A:C,3,0)</f>
        <v>MMO-BUBBLE WATER BOTTLE</v>
      </c>
      <c r="C163" s="15" t="s">
        <v>38</v>
      </c>
      <c r="D163" s="14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325</v>
      </c>
      <c r="J163" s="19" t="s">
        <v>349</v>
      </c>
      <c r="K163" s="88">
        <v>46115</v>
      </c>
      <c r="L163" s="140">
        <v>46120</v>
      </c>
      <c r="M163" s="14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7">
        <v>46065</v>
      </c>
      <c r="B164" s="15" t="str">
        <f>VLOOKUP(C164,'Product List'!A:C,3,0)</f>
        <v>MMO-SHELL PEARL HAMSTER CHEW</v>
      </c>
      <c r="C164" s="15" t="s">
        <v>48</v>
      </c>
      <c r="D164" s="99">
        <v>30440517</v>
      </c>
      <c r="E164" s="18" t="s">
        <v>142</v>
      </c>
      <c r="F164" s="99">
        <v>256</v>
      </c>
      <c r="G164" s="99">
        <v>1.61</v>
      </c>
      <c r="H164" s="99">
        <f t="shared" si="4"/>
        <v>412.16</v>
      </c>
      <c r="I164" s="6" t="s">
        <v>325</v>
      </c>
      <c r="J164" s="19" t="s">
        <v>350</v>
      </c>
      <c r="K164" s="88">
        <v>46122</v>
      </c>
      <c r="L164" s="140">
        <v>46127</v>
      </c>
      <c r="M164" s="14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7">
        <v>46065</v>
      </c>
      <c r="B165" s="15" t="str">
        <f>VLOOKUP(C165,'Product List'!A:C,3,0)</f>
        <v>MMO-GREEN APPLE CHEW</v>
      </c>
      <c r="C165" s="15" t="s">
        <v>39</v>
      </c>
      <c r="D165" s="99">
        <v>30440517</v>
      </c>
      <c r="E165" s="18" t="s">
        <v>142</v>
      </c>
      <c r="F165" s="99">
        <v>288</v>
      </c>
      <c r="G165" s="99">
        <v>1.53</v>
      </c>
      <c r="H165" s="99">
        <f t="shared" si="4"/>
        <v>440.64</v>
      </c>
      <c r="I165" s="6" t="s">
        <v>325</v>
      </c>
      <c r="J165" s="19" t="s">
        <v>350</v>
      </c>
      <c r="K165" s="88">
        <v>46122</v>
      </c>
      <c r="L165" s="140">
        <v>46127</v>
      </c>
      <c r="M165" s="14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7">
        <v>46065</v>
      </c>
      <c r="B166" s="15" t="str">
        <f>VLOOKUP(C166,'Product List'!A:C,3,0)</f>
        <v>MMO-CAMP LUNCH BOX CHEW</v>
      </c>
      <c r="C166" s="15" t="s">
        <v>40</v>
      </c>
      <c r="D166" s="99">
        <v>30440517</v>
      </c>
      <c r="E166" s="18" t="s">
        <v>142</v>
      </c>
      <c r="F166" s="99">
        <v>288</v>
      </c>
      <c r="G166" s="99">
        <v>2.48</v>
      </c>
      <c r="H166" s="99">
        <f t="shared" si="4"/>
        <v>714.24</v>
      </c>
      <c r="I166" s="6" t="s">
        <v>325</v>
      </c>
      <c r="J166" s="19" t="s">
        <v>350</v>
      </c>
      <c r="K166" s="88">
        <v>46122</v>
      </c>
      <c r="L166" s="140">
        <v>46127</v>
      </c>
      <c r="M166" s="14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7">
        <v>46065</v>
      </c>
      <c r="B167" s="15" t="str">
        <f>VLOOKUP(C167,'Product List'!A:C,3,0)</f>
        <v>MMO-SHELL PEARL HAMSTER CHEW</v>
      </c>
      <c r="C167" s="15" t="s">
        <v>48</v>
      </c>
      <c r="D167" s="99">
        <v>30440521</v>
      </c>
      <c r="E167" s="18" t="s">
        <v>142</v>
      </c>
      <c r="F167" s="99">
        <v>192</v>
      </c>
      <c r="G167" s="99">
        <v>1.61</v>
      </c>
      <c r="H167" s="99">
        <f t="shared" si="4"/>
        <v>309.12</v>
      </c>
      <c r="I167" s="6" t="s">
        <v>325</v>
      </c>
      <c r="J167" s="19" t="s">
        <v>347</v>
      </c>
      <c r="K167" s="88">
        <v>46122</v>
      </c>
      <c r="L167" s="140">
        <v>46127</v>
      </c>
      <c r="M167" s="14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7">
        <v>46065</v>
      </c>
      <c r="B168" s="15" t="str">
        <f>VLOOKUP(C168,'Product List'!A:C,3,0)</f>
        <v>MMO-GREEN APPLE CHEW</v>
      </c>
      <c r="C168" s="15" t="s">
        <v>39</v>
      </c>
      <c r="D168" s="99">
        <v>30440521</v>
      </c>
      <c r="E168" s="18" t="s">
        <v>142</v>
      </c>
      <c r="F168" s="99">
        <v>192</v>
      </c>
      <c r="G168" s="99">
        <v>1.53</v>
      </c>
      <c r="H168" s="99">
        <f t="shared" si="4"/>
        <v>293.76</v>
      </c>
      <c r="I168" s="6" t="s">
        <v>325</v>
      </c>
      <c r="J168" s="19" t="s">
        <v>347</v>
      </c>
      <c r="K168" s="88">
        <v>46122</v>
      </c>
      <c r="L168" s="140">
        <v>46127</v>
      </c>
      <c r="M168" s="14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7">
        <v>46065</v>
      </c>
      <c r="B169" s="15" t="str">
        <f>VLOOKUP(C169,'Product List'!A:C,3,0)</f>
        <v>MMO-CAMP LUNCH BOX CHEW</v>
      </c>
      <c r="C169" s="15" t="s">
        <v>40</v>
      </c>
      <c r="D169" s="99">
        <v>30440521</v>
      </c>
      <c r="E169" s="18" t="s">
        <v>142</v>
      </c>
      <c r="F169" s="99">
        <v>216</v>
      </c>
      <c r="G169" s="99">
        <v>2.48</v>
      </c>
      <c r="H169" s="99">
        <f t="shared" si="4"/>
        <v>535.68</v>
      </c>
      <c r="I169" s="6" t="s">
        <v>325</v>
      </c>
      <c r="J169" s="19" t="s">
        <v>347</v>
      </c>
      <c r="K169" s="88">
        <v>46122</v>
      </c>
      <c r="L169" s="140">
        <v>46127</v>
      </c>
      <c r="M169" s="14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7">
        <v>46065</v>
      </c>
      <c r="B170" s="15" t="str">
        <f>VLOOKUP(C170,'Product List'!A:C,3,0)</f>
        <v>MMO-SHELL PEARL HAMSTER CHEW</v>
      </c>
      <c r="C170" s="15" t="s">
        <v>48</v>
      </c>
      <c r="D170" s="99">
        <v>30440518</v>
      </c>
      <c r="E170" s="18" t="s">
        <v>142</v>
      </c>
      <c r="F170" s="99">
        <v>192</v>
      </c>
      <c r="G170" s="99">
        <v>1.61</v>
      </c>
      <c r="H170" s="99">
        <f t="shared" si="4"/>
        <v>309.12</v>
      </c>
      <c r="I170" s="6" t="s">
        <v>325</v>
      </c>
      <c r="J170" s="19" t="s">
        <v>344</v>
      </c>
      <c r="K170" s="88">
        <v>46122</v>
      </c>
      <c r="L170" s="140">
        <v>46127</v>
      </c>
      <c r="M170" s="14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7">
        <v>46065</v>
      </c>
      <c r="B171" s="15" t="str">
        <f>VLOOKUP(C171,'Product List'!A:C,3,0)</f>
        <v>MMO-GREEN APPLE CHEW</v>
      </c>
      <c r="C171" s="15" t="s">
        <v>39</v>
      </c>
      <c r="D171" s="99">
        <v>30440518</v>
      </c>
      <c r="E171" s="18" t="s">
        <v>142</v>
      </c>
      <c r="F171" s="99">
        <v>240</v>
      </c>
      <c r="G171" s="99">
        <v>1.53</v>
      </c>
      <c r="H171" s="99">
        <f t="shared" si="4"/>
        <v>367.2</v>
      </c>
      <c r="I171" s="6" t="s">
        <v>325</v>
      </c>
      <c r="J171" s="19" t="s">
        <v>344</v>
      </c>
      <c r="K171" s="88">
        <v>46122</v>
      </c>
      <c r="L171" s="140">
        <v>46127</v>
      </c>
      <c r="M171" s="14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7">
        <v>46065</v>
      </c>
      <c r="B172" s="15" t="str">
        <f>VLOOKUP(C172,'Product List'!A:C,3,0)</f>
        <v>MMO-CAMP LUNCH BOX CHEW</v>
      </c>
      <c r="C172" s="15" t="s">
        <v>40</v>
      </c>
      <c r="D172" s="99">
        <v>30440518</v>
      </c>
      <c r="E172" s="18" t="s">
        <v>142</v>
      </c>
      <c r="F172" s="99">
        <v>216</v>
      </c>
      <c r="G172" s="99">
        <v>2.48</v>
      </c>
      <c r="H172" s="99">
        <f t="shared" si="4"/>
        <v>535.68</v>
      </c>
      <c r="I172" s="6" t="s">
        <v>325</v>
      </c>
      <c r="J172" s="19" t="s">
        <v>344</v>
      </c>
      <c r="K172" s="88">
        <v>46122</v>
      </c>
      <c r="L172" s="140">
        <v>46127</v>
      </c>
      <c r="M172" s="14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7">
        <v>46065</v>
      </c>
      <c r="B173" s="15" t="str">
        <f>VLOOKUP(C173,'Product List'!A:C,3,0)</f>
        <v>MMO-SHELL PEARL HAMSTER CHEW</v>
      </c>
      <c r="C173" s="15" t="s">
        <v>48</v>
      </c>
      <c r="D173" s="99">
        <v>30440519</v>
      </c>
      <c r="E173" s="18" t="s">
        <v>142</v>
      </c>
      <c r="F173" s="99">
        <v>320</v>
      </c>
      <c r="G173" s="99">
        <v>1.61</v>
      </c>
      <c r="H173" s="99">
        <f t="shared" si="4"/>
        <v>515.2</v>
      </c>
      <c r="I173" s="6" t="s">
        <v>325</v>
      </c>
      <c r="J173" s="19" t="s">
        <v>351</v>
      </c>
      <c r="K173" s="88">
        <v>46122</v>
      </c>
      <c r="L173" s="140">
        <v>46127</v>
      </c>
      <c r="M173" s="14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7">
        <v>46065</v>
      </c>
      <c r="B174" s="15" t="str">
        <f>VLOOKUP(C174,'Product List'!A:C,3,0)</f>
        <v>MMO-GREEN APPLE CHEW</v>
      </c>
      <c r="C174" s="15" t="s">
        <v>39</v>
      </c>
      <c r="D174" s="99">
        <v>30440519</v>
      </c>
      <c r="E174" s="18" t="s">
        <v>142</v>
      </c>
      <c r="F174" s="99">
        <v>384</v>
      </c>
      <c r="G174" s="99">
        <v>1.53</v>
      </c>
      <c r="H174" s="99">
        <f t="shared" si="4"/>
        <v>587.52</v>
      </c>
      <c r="I174" s="6" t="s">
        <v>325</v>
      </c>
      <c r="J174" s="19" t="s">
        <v>351</v>
      </c>
      <c r="K174" s="88">
        <v>46122</v>
      </c>
      <c r="L174" s="140">
        <v>46127</v>
      </c>
      <c r="M174" s="14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7">
        <v>46065</v>
      </c>
      <c r="B175" s="15" t="str">
        <f>VLOOKUP(C175,'Product List'!A:C,3,0)</f>
        <v>MMO-CAMP LUNCH BOX CHEW</v>
      </c>
      <c r="C175" s="15" t="s">
        <v>40</v>
      </c>
      <c r="D175" s="99">
        <v>30440519</v>
      </c>
      <c r="E175" s="18" t="s">
        <v>142</v>
      </c>
      <c r="F175" s="99">
        <v>360</v>
      </c>
      <c r="G175" s="99">
        <v>2.48</v>
      </c>
      <c r="H175" s="99">
        <f t="shared" si="4"/>
        <v>892.8</v>
      </c>
      <c r="I175" s="6" t="s">
        <v>325</v>
      </c>
      <c r="J175" s="19" t="s">
        <v>351</v>
      </c>
      <c r="K175" s="88">
        <v>46122</v>
      </c>
      <c r="L175" s="140">
        <v>46127</v>
      </c>
      <c r="M175" s="14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7">
        <v>46065</v>
      </c>
      <c r="B176" s="15" t="str">
        <f>VLOOKUP(C176,'Product List'!A:C,3,0)</f>
        <v>MMO-SHELL PEARL HAMSTER CHEW</v>
      </c>
      <c r="C176" s="15" t="s">
        <v>48</v>
      </c>
      <c r="D176" s="99">
        <v>30440520</v>
      </c>
      <c r="E176" s="18" t="s">
        <v>142</v>
      </c>
      <c r="F176" s="99">
        <v>192</v>
      </c>
      <c r="G176" s="99">
        <v>1.61</v>
      </c>
      <c r="H176" s="99">
        <f t="shared" si="4"/>
        <v>309.12</v>
      </c>
      <c r="I176" s="6" t="s">
        <v>325</v>
      </c>
      <c r="J176" s="19" t="s">
        <v>345</v>
      </c>
      <c r="K176" s="88">
        <v>46122</v>
      </c>
      <c r="L176" s="140">
        <v>46127</v>
      </c>
      <c r="M176" s="14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7">
        <v>46065</v>
      </c>
      <c r="B177" s="15" t="str">
        <f>VLOOKUP(C177,'Product List'!A:C,3,0)</f>
        <v>MMO-GREEN APPLE CHEW</v>
      </c>
      <c r="C177" s="15" t="s">
        <v>39</v>
      </c>
      <c r="D177" s="99">
        <v>30440520</v>
      </c>
      <c r="E177" s="18" t="s">
        <v>142</v>
      </c>
      <c r="F177" s="99">
        <v>192</v>
      </c>
      <c r="G177" s="99">
        <v>1.53</v>
      </c>
      <c r="H177" s="99">
        <f t="shared" si="4"/>
        <v>293.76</v>
      </c>
      <c r="I177" s="6" t="s">
        <v>325</v>
      </c>
      <c r="J177" s="19" t="s">
        <v>345</v>
      </c>
      <c r="K177" s="88">
        <v>46122</v>
      </c>
      <c r="L177" s="140">
        <v>46127</v>
      </c>
      <c r="M177" s="14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7">
        <v>46065</v>
      </c>
      <c r="B178" s="15" t="str">
        <f>VLOOKUP(C178,'Product List'!A:C,3,0)</f>
        <v>MMO-CAMP LUNCH BOX CHEW</v>
      </c>
      <c r="C178" s="15" t="s">
        <v>40</v>
      </c>
      <c r="D178" s="99">
        <v>30440520</v>
      </c>
      <c r="E178" s="18" t="s">
        <v>142</v>
      </c>
      <c r="F178" s="99">
        <v>216</v>
      </c>
      <c r="G178" s="99">
        <v>2.48</v>
      </c>
      <c r="H178" s="99">
        <f t="shared" si="4"/>
        <v>535.68</v>
      </c>
      <c r="I178" s="6" t="s">
        <v>325</v>
      </c>
      <c r="J178" s="19" t="s">
        <v>345</v>
      </c>
      <c r="K178" s="88">
        <v>46122</v>
      </c>
      <c r="L178" s="140">
        <v>46127</v>
      </c>
      <c r="M178" s="14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7">
        <v>46065</v>
      </c>
      <c r="B179" s="15" t="str">
        <f>VLOOKUP(C179,'Product List'!A:C,3,0)</f>
        <v>MMO-SHELL PEARL HAMSTER CHEW</v>
      </c>
      <c r="C179" s="15" t="s">
        <v>48</v>
      </c>
      <c r="D179" s="99">
        <v>30440522</v>
      </c>
      <c r="E179" s="18" t="s">
        <v>142</v>
      </c>
      <c r="F179" s="99">
        <v>128</v>
      </c>
      <c r="G179" s="99">
        <v>1.61</v>
      </c>
      <c r="H179" s="99">
        <f t="shared" si="4"/>
        <v>206.08</v>
      </c>
      <c r="I179" s="6" t="s">
        <v>325</v>
      </c>
      <c r="J179" s="19" t="s">
        <v>352</v>
      </c>
      <c r="K179" s="88">
        <v>46122</v>
      </c>
      <c r="L179" s="140">
        <v>46127</v>
      </c>
      <c r="M179" s="14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7">
        <v>46065</v>
      </c>
      <c r="B180" s="15" t="str">
        <f>VLOOKUP(C180,'Product List'!A:C,3,0)</f>
        <v>MMO-GREEN APPLE CHEW</v>
      </c>
      <c r="C180" s="15" t="s">
        <v>39</v>
      </c>
      <c r="D180" s="99">
        <v>30440522</v>
      </c>
      <c r="E180" s="18" t="s">
        <v>142</v>
      </c>
      <c r="F180" s="99">
        <v>144</v>
      </c>
      <c r="G180" s="99">
        <v>1.53</v>
      </c>
      <c r="H180" s="99">
        <f t="shared" si="4"/>
        <v>220.32</v>
      </c>
      <c r="I180" s="6" t="s">
        <v>325</v>
      </c>
      <c r="J180" s="19" t="s">
        <v>352</v>
      </c>
      <c r="K180" s="88">
        <v>46122</v>
      </c>
      <c r="L180" s="140">
        <v>46127</v>
      </c>
      <c r="M180" s="14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7">
        <v>46065</v>
      </c>
      <c r="B181" s="15" t="str">
        <f>VLOOKUP(C181,'Product List'!A:C,3,0)</f>
        <v>MMO-CAMP LUNCH BOX CHEW</v>
      </c>
      <c r="C181" s="15" t="s">
        <v>40</v>
      </c>
      <c r="D181" s="99">
        <v>30440522</v>
      </c>
      <c r="E181" s="18" t="s">
        <v>142</v>
      </c>
      <c r="F181" s="99">
        <v>144</v>
      </c>
      <c r="G181" s="99">
        <v>2.48</v>
      </c>
      <c r="H181" s="99">
        <f t="shared" si="4"/>
        <v>357.12</v>
      </c>
      <c r="I181" s="6" t="s">
        <v>325</v>
      </c>
      <c r="J181" s="19" t="s">
        <v>352</v>
      </c>
      <c r="K181" s="88">
        <v>46122</v>
      </c>
      <c r="L181" s="140">
        <v>46127</v>
      </c>
      <c r="M181" s="14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7">
        <v>46084</v>
      </c>
      <c r="B182" s="15" t="str">
        <f>VLOOKUP(C182,'Product List'!A:C,3,0)</f>
        <v>Forest Series Hamster Chew Toy &amp; Treat</v>
      </c>
      <c r="C182" s="15" t="s">
        <v>72</v>
      </c>
      <c r="D182" s="99">
        <v>733349</v>
      </c>
      <c r="E182" s="18" t="s">
        <v>142</v>
      </c>
      <c r="F182" s="99">
        <v>300</v>
      </c>
      <c r="G182" s="99">
        <v>3.47</v>
      </c>
      <c r="H182" s="99">
        <f t="shared" si="4"/>
        <v>1041</v>
      </c>
      <c r="I182" s="6" t="s">
        <v>353</v>
      </c>
      <c r="J182" s="19" t="s">
        <v>354</v>
      </c>
      <c r="K182" s="88">
        <v>46159</v>
      </c>
      <c r="L182" s="140">
        <v>46164</v>
      </c>
      <c r="M182" s="14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7">
        <v>46084</v>
      </c>
      <c r="B183" s="15" t="str">
        <f>VLOOKUP(C183,'Product List'!A:C,3,0)</f>
        <v>MMO-CAMP LUNCH BOX CHEW</v>
      </c>
      <c r="C183" s="15" t="s">
        <v>40</v>
      </c>
      <c r="D183" s="99">
        <v>733349</v>
      </c>
      <c r="E183" s="18" t="s">
        <v>142</v>
      </c>
      <c r="F183" s="99">
        <v>360</v>
      </c>
      <c r="G183" s="99">
        <v>2.48</v>
      </c>
      <c r="H183" s="99">
        <f t="shared" si="4"/>
        <v>892.8</v>
      </c>
      <c r="I183" s="6" t="s">
        <v>353</v>
      </c>
      <c r="J183" s="19" t="s">
        <v>354</v>
      </c>
      <c r="K183" s="88">
        <v>46159</v>
      </c>
      <c r="L183" s="140">
        <v>46164</v>
      </c>
      <c r="M183" s="14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7">
        <v>46084</v>
      </c>
      <c r="B184" s="15" t="str">
        <f>VLOOKUP(C184,'Product List'!A:C,3,0)</f>
        <v>Mushroom Spiral Staircase</v>
      </c>
      <c r="C184" s="15" t="s">
        <v>55</v>
      </c>
      <c r="D184" s="99">
        <v>733349</v>
      </c>
      <c r="E184" s="18" t="s">
        <v>142</v>
      </c>
      <c r="F184" s="99">
        <v>288</v>
      </c>
      <c r="G184" s="99">
        <v>2.62</v>
      </c>
      <c r="H184" s="99">
        <f t="shared" si="4"/>
        <v>754.56</v>
      </c>
      <c r="I184" s="6" t="s">
        <v>353</v>
      </c>
      <c r="J184" s="19" t="s">
        <v>354</v>
      </c>
      <c r="K184" s="88">
        <v>46159</v>
      </c>
      <c r="L184" s="140">
        <v>46164</v>
      </c>
      <c r="M184" s="14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7">
        <v>46084</v>
      </c>
      <c r="B185" s="15" t="str">
        <f>VLOOKUP(C185,'Product List'!A:C,3,0)</f>
        <v>Swinging Swing Hamster Toy</v>
      </c>
      <c r="C185" s="15" t="s">
        <v>78</v>
      </c>
      <c r="D185" s="99">
        <v>733349</v>
      </c>
      <c r="E185" s="18" t="s">
        <v>142</v>
      </c>
      <c r="F185" s="99">
        <v>192</v>
      </c>
      <c r="G185" s="99">
        <v>3.25</v>
      </c>
      <c r="H185" s="99">
        <f t="shared" si="4"/>
        <v>624</v>
      </c>
      <c r="I185" s="6" t="s">
        <v>353</v>
      </c>
      <c r="J185" s="19" t="s">
        <v>354</v>
      </c>
      <c r="K185" s="88">
        <v>46159</v>
      </c>
      <c r="L185" s="140">
        <v>46164</v>
      </c>
      <c r="M185" s="14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7">
        <v>46084</v>
      </c>
      <c r="B186" s="15" t="str">
        <f>VLOOKUP(C186,'Product List'!A:C,3,0)</f>
        <v>Tree Stump Hide</v>
      </c>
      <c r="C186" s="15" t="s">
        <v>81</v>
      </c>
      <c r="D186" s="99">
        <v>733349</v>
      </c>
      <c r="E186" s="18" t="s">
        <v>142</v>
      </c>
      <c r="F186" s="99">
        <v>192</v>
      </c>
      <c r="G186" s="99">
        <v>5.54</v>
      </c>
      <c r="H186" s="99">
        <f t="shared" si="4"/>
        <v>1063.68</v>
      </c>
      <c r="I186" s="6" t="s">
        <v>353</v>
      </c>
      <c r="J186" s="19" t="s">
        <v>354</v>
      </c>
      <c r="K186" s="88">
        <v>46159</v>
      </c>
      <c r="L186" s="140">
        <v>46164</v>
      </c>
      <c r="M186" s="14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7">
        <v>46084</v>
      </c>
      <c r="B187" s="15" t="str">
        <f>VLOOKUP(C187,'Product List'!A:C,3,0)</f>
        <v>MINI/MOE CAMPING TENT HIDE</v>
      </c>
      <c r="C187" s="15" t="s">
        <v>25</v>
      </c>
      <c r="D187" s="99">
        <v>733349</v>
      </c>
      <c r="E187" s="18" t="s">
        <v>142</v>
      </c>
      <c r="F187" s="99">
        <v>204</v>
      </c>
      <c r="G187" s="99">
        <v>3.69</v>
      </c>
      <c r="H187" s="99">
        <f t="shared" si="4"/>
        <v>752.76</v>
      </c>
      <c r="I187" s="6" t="s">
        <v>353</v>
      </c>
      <c r="J187" s="19" t="s">
        <v>354</v>
      </c>
      <c r="K187" s="88">
        <v>46159</v>
      </c>
      <c r="L187" s="140">
        <v>46164</v>
      </c>
      <c r="M187" s="14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7">
        <v>46084</v>
      </c>
      <c r="B188" s="15" t="str">
        <f>VLOOKUP(C188,'Product List'!A:C,3,0)</f>
        <v>Bubble water bottle (color:green)</v>
      </c>
      <c r="C188" s="15" t="s">
        <v>80</v>
      </c>
      <c r="D188" s="99">
        <v>733349</v>
      </c>
      <c r="E188" s="18" t="s">
        <v>142</v>
      </c>
      <c r="F188" s="99">
        <v>198</v>
      </c>
      <c r="G188" s="99">
        <v>5.43</v>
      </c>
      <c r="H188" s="99">
        <f t="shared" si="4"/>
        <v>1075.14</v>
      </c>
      <c r="I188" s="6" t="s">
        <v>353</v>
      </c>
      <c r="J188" s="19" t="s">
        <v>354</v>
      </c>
      <c r="K188" s="88">
        <v>46159</v>
      </c>
      <c r="L188" s="140">
        <v>46164</v>
      </c>
      <c r="M188" s="14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7">
        <v>46084</v>
      </c>
      <c r="B189" s="15" t="str">
        <f>VLOOKUP(C189,'Product List'!A:C,3,0)</f>
        <v>Cotton multi color bedding</v>
      </c>
      <c r="C189" s="15" t="s">
        <v>50</v>
      </c>
      <c r="D189" s="99">
        <v>733349</v>
      </c>
      <c r="E189" s="18" t="s">
        <v>142</v>
      </c>
      <c r="F189" s="99">
        <v>320</v>
      </c>
      <c r="G189" s="99">
        <v>3.3</v>
      </c>
      <c r="H189" s="99">
        <f t="shared" si="4"/>
        <v>1056</v>
      </c>
      <c r="I189" s="6" t="s">
        <v>353</v>
      </c>
      <c r="J189" s="19" t="s">
        <v>354</v>
      </c>
      <c r="K189" s="88">
        <v>46159</v>
      </c>
      <c r="L189" s="140">
        <v>46164</v>
      </c>
      <c r="M189" s="14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7">
        <v>46084</v>
      </c>
      <c r="B190" s="15" t="str">
        <f>VLOOKUP(C190,'Product List'!A:C,3,0)</f>
        <v>MMO-PAPER PEBBLES</v>
      </c>
      <c r="C190" s="15" t="s">
        <v>42</v>
      </c>
      <c r="D190" s="99">
        <v>733349</v>
      </c>
      <c r="E190" s="18" t="s">
        <v>142</v>
      </c>
      <c r="F190" s="99">
        <v>300</v>
      </c>
      <c r="G190" s="99">
        <v>5.71</v>
      </c>
      <c r="H190" s="99">
        <f t="shared" si="4"/>
        <v>1713</v>
      </c>
      <c r="I190" s="6" t="s">
        <v>353</v>
      </c>
      <c r="J190" s="19" t="s">
        <v>354</v>
      </c>
      <c r="K190" s="88">
        <v>46159</v>
      </c>
      <c r="L190" s="140">
        <v>46164</v>
      </c>
      <c r="M190" s="14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7">
        <v>46084</v>
      </c>
      <c r="B191" s="15" t="str">
        <f>VLOOKUP(C191,'Product List'!A:C,3,0)</f>
        <v>Paper straw green bedding</v>
      </c>
      <c r="C191" s="15" t="s">
        <v>77</v>
      </c>
      <c r="D191" s="99">
        <v>733349</v>
      </c>
      <c r="E191" s="18" t="s">
        <v>142</v>
      </c>
      <c r="F191" s="99">
        <v>300</v>
      </c>
      <c r="G191" s="99">
        <v>3.45</v>
      </c>
      <c r="H191" s="99">
        <f t="shared" si="4"/>
        <v>1035</v>
      </c>
      <c r="I191" s="6" t="s">
        <v>353</v>
      </c>
      <c r="J191" s="19" t="s">
        <v>354</v>
      </c>
      <c r="K191" s="88">
        <v>46159</v>
      </c>
      <c r="L191" s="140">
        <v>46164</v>
      </c>
      <c r="M191" s="14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7">
        <v>46084</v>
      </c>
      <c r="B192" s="15" t="str">
        <f>VLOOKUP(C192,'Product List'!A:C,3,0)</f>
        <v>Paper twist brown / white bedding</v>
      </c>
      <c r="C192" s="15" t="s">
        <v>54</v>
      </c>
      <c r="D192" s="99">
        <v>733349</v>
      </c>
      <c r="E192" s="18" t="s">
        <v>142</v>
      </c>
      <c r="F192" s="99">
        <v>300</v>
      </c>
      <c r="G192" s="99">
        <v>3.81</v>
      </c>
      <c r="H192" s="99">
        <f t="shared" si="4"/>
        <v>1143</v>
      </c>
      <c r="I192" s="6" t="s">
        <v>353</v>
      </c>
      <c r="J192" s="19" t="s">
        <v>354</v>
      </c>
      <c r="K192" s="88">
        <v>46159</v>
      </c>
      <c r="L192" s="140">
        <v>46164</v>
      </c>
      <c r="M192" s="14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7">
        <v>46084</v>
      </c>
      <c r="B193" s="15" t="str">
        <f>VLOOKUP(C193,'Product List'!A:C,3,0)</f>
        <v>MINI/MOE TV VIEWING CAGE</v>
      </c>
      <c r="C193" s="15" t="s">
        <v>27</v>
      </c>
      <c r="D193" s="99">
        <v>733349</v>
      </c>
      <c r="E193" s="18" t="s">
        <v>142</v>
      </c>
      <c r="F193" s="99">
        <v>200</v>
      </c>
      <c r="G193" s="99">
        <v>47.97</v>
      </c>
      <c r="H193" s="99">
        <f t="shared" si="4"/>
        <v>9594</v>
      </c>
      <c r="I193" s="6" t="s">
        <v>353</v>
      </c>
      <c r="J193" s="19" t="s">
        <v>354</v>
      </c>
      <c r="K193" s="88">
        <v>46159</v>
      </c>
      <c r="L193" s="140">
        <v>46164</v>
      </c>
      <c r="M193" s="14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7">
        <v>46084</v>
      </c>
      <c r="B194" s="15" t="str">
        <f>VLOOKUP(C194,'Product List'!A:C,3,0)</f>
        <v>Silent Crystal Running Wheel XL</v>
      </c>
      <c r="C194" s="15" t="s">
        <v>56</v>
      </c>
      <c r="D194" s="99">
        <v>733349</v>
      </c>
      <c r="E194" s="18" t="s">
        <v>142</v>
      </c>
      <c r="F194" s="99">
        <v>99</v>
      </c>
      <c r="G194" s="99">
        <v>20.94</v>
      </c>
      <c r="H194" s="99">
        <f t="shared" si="4"/>
        <v>2073.06</v>
      </c>
      <c r="I194" s="6" t="s">
        <v>353</v>
      </c>
      <c r="J194" s="19" t="s">
        <v>354</v>
      </c>
      <c r="K194" s="88">
        <v>46159</v>
      </c>
      <c r="L194" s="140">
        <v>46164</v>
      </c>
      <c r="M194" s="14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7">
        <v>46084</v>
      </c>
      <c r="B195" s="15" t="str">
        <f>VLOOKUP(C195,'Product List'!A:C,3,0)</f>
        <v>MINI/MOE SILENT CRSTL RUN WHEEL LG 8.5-White</v>
      </c>
      <c r="C195" s="15" t="s">
        <v>41</v>
      </c>
      <c r="D195" s="99">
        <v>733349</v>
      </c>
      <c r="E195" s="18" t="s">
        <v>142</v>
      </c>
      <c r="F195" s="99">
        <v>208</v>
      </c>
      <c r="G195" s="99">
        <v>12.74</v>
      </c>
      <c r="H195" s="99">
        <f t="shared" si="4"/>
        <v>2649.92</v>
      </c>
      <c r="I195" s="6" t="s">
        <v>353</v>
      </c>
      <c r="J195" s="19" t="s">
        <v>354</v>
      </c>
      <c r="K195" s="88">
        <v>46159</v>
      </c>
      <c r="L195" s="140">
        <v>46164</v>
      </c>
      <c r="M195" s="14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7">
        <v>46127</v>
      </c>
      <c r="B196" s="15" t="str">
        <f>VLOOKUP(C196,'Product List'!A:C,3,0)</f>
        <v>MINI/MOE BENDABLE BIRCHWOOD FENCE</v>
      </c>
      <c r="C196" s="15" t="s">
        <v>34</v>
      </c>
      <c r="D196" s="99">
        <v>30935526</v>
      </c>
      <c r="E196" s="18" t="s">
        <v>142</v>
      </c>
      <c r="F196" s="99">
        <v>168</v>
      </c>
      <c r="G196" s="99">
        <v>5.01</v>
      </c>
      <c r="H196" s="99">
        <f t="shared" si="4"/>
        <v>841.68</v>
      </c>
      <c r="I196" s="6" t="s">
        <v>325</v>
      </c>
      <c r="J196" s="19" t="s">
        <v>350</v>
      </c>
      <c r="K196" s="88">
        <v>46146</v>
      </c>
      <c r="L196" s="140">
        <v>46146</v>
      </c>
      <c r="M196" s="14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7">
        <v>46127</v>
      </c>
      <c r="B197" s="15" t="str">
        <f>VLOOKUP(C197,'Product List'!A:C,3,0)</f>
        <v>MINI/MOE SILENT CRSTL RUN WHEEL LG 8.5-White</v>
      </c>
      <c r="C197" s="15" t="s">
        <v>41</v>
      </c>
      <c r="D197" s="99">
        <v>30935526</v>
      </c>
      <c r="E197" s="18" t="s">
        <v>142</v>
      </c>
      <c r="F197" s="99">
        <v>120</v>
      </c>
      <c r="G197" s="99">
        <v>13.22</v>
      </c>
      <c r="H197" s="99">
        <f t="shared" si="4"/>
        <v>1586.4</v>
      </c>
      <c r="I197" s="6" t="s">
        <v>325</v>
      </c>
      <c r="J197" s="19" t="s">
        <v>350</v>
      </c>
      <c r="K197" s="88">
        <v>46146</v>
      </c>
      <c r="L197" s="140">
        <v>46146</v>
      </c>
      <c r="M197" s="14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7">
        <v>46127</v>
      </c>
      <c r="B198" s="15" t="str">
        <f>VLOOKUP(C198,'Product List'!A:C,3,0)</f>
        <v>MINI/MOE RUFFLE BOWL</v>
      </c>
      <c r="C198" s="15" t="s">
        <v>83</v>
      </c>
      <c r="D198" s="99">
        <v>30935526</v>
      </c>
      <c r="E198" s="18" t="s">
        <v>142</v>
      </c>
      <c r="F198" s="99">
        <v>224</v>
      </c>
      <c r="G198" s="99">
        <v>2.35</v>
      </c>
      <c r="H198" s="99">
        <f t="shared" si="4"/>
        <v>526.4</v>
      </c>
      <c r="I198" s="6" t="s">
        <v>325</v>
      </c>
      <c r="J198" s="19" t="s">
        <v>350</v>
      </c>
      <c r="K198" s="88">
        <v>46146</v>
      </c>
      <c r="L198" s="140">
        <v>46146</v>
      </c>
      <c r="M198" s="14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7">
        <v>46127</v>
      </c>
      <c r="B199" s="15" t="str">
        <f>VLOOKUP(C199,'Product List'!A:C,3,0)</f>
        <v>MMO-CLOUD WATER BOTTLE</v>
      </c>
      <c r="C199" s="15" t="s">
        <v>37</v>
      </c>
      <c r="D199" s="99">
        <v>30935526</v>
      </c>
      <c r="E199" s="18" t="s">
        <v>142</v>
      </c>
      <c r="F199" s="99">
        <v>180</v>
      </c>
      <c r="G199" s="99">
        <v>1.32</v>
      </c>
      <c r="H199" s="99">
        <f t="shared" si="4"/>
        <v>237.6</v>
      </c>
      <c r="I199" s="6" t="s">
        <v>325</v>
      </c>
      <c r="J199" s="19" t="s">
        <v>350</v>
      </c>
      <c r="K199" s="88">
        <v>46146</v>
      </c>
      <c r="L199" s="140">
        <v>46146</v>
      </c>
      <c r="M199" s="14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7">
        <v>46127</v>
      </c>
      <c r="B200" s="15" t="str">
        <f>VLOOKUP(C200,'Product List'!A:C,3,0)</f>
        <v>MMO-STARFISH CASTLE</v>
      </c>
      <c r="C200" s="15" t="s">
        <v>76</v>
      </c>
      <c r="D200" s="99">
        <v>30935526</v>
      </c>
      <c r="E200" s="18" t="s">
        <v>142</v>
      </c>
      <c r="F200" s="99">
        <v>72</v>
      </c>
      <c r="G200" s="99">
        <v>5.32</v>
      </c>
      <c r="H200" s="99">
        <f t="shared" si="4"/>
        <v>383.04</v>
      </c>
      <c r="I200" s="6" t="s">
        <v>325</v>
      </c>
      <c r="J200" s="19" t="s">
        <v>350</v>
      </c>
      <c r="K200" s="88">
        <v>46146</v>
      </c>
      <c r="L200" s="140">
        <v>46146</v>
      </c>
      <c r="M200" s="14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7">
        <v>46127</v>
      </c>
      <c r="B201" s="15" t="str">
        <f>VLOOKUP(C201,'Product List'!A:C,3,0)</f>
        <v>MMO-WAVE BRIDGE</v>
      </c>
      <c r="C201" s="15" t="s">
        <v>82</v>
      </c>
      <c r="D201" s="99">
        <v>30935526</v>
      </c>
      <c r="E201" s="18" t="s">
        <v>142</v>
      </c>
      <c r="F201" s="99">
        <v>64</v>
      </c>
      <c r="G201" s="99">
        <v>4.84</v>
      </c>
      <c r="H201" s="99">
        <f t="shared" si="4"/>
        <v>309.76</v>
      </c>
      <c r="I201" s="6" t="s">
        <v>325</v>
      </c>
      <c r="J201" s="19" t="s">
        <v>350</v>
      </c>
      <c r="K201" s="88">
        <v>46146</v>
      </c>
      <c r="L201" s="140">
        <v>46146</v>
      </c>
      <c r="M201" s="14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7">
        <v>46127</v>
      </c>
      <c r="B202" s="15" t="str">
        <f>VLOOKUP(C202,'Product List'!A:C,3,0)</f>
        <v>MMO-PAPER PEBBLES</v>
      </c>
      <c r="C202" s="20" t="s">
        <v>42</v>
      </c>
      <c r="D202" s="99">
        <v>30935526</v>
      </c>
      <c r="E202" s="18" t="s">
        <v>142</v>
      </c>
      <c r="F202" s="99">
        <v>80</v>
      </c>
      <c r="G202" s="99">
        <v>5.81</v>
      </c>
      <c r="H202" s="99">
        <f t="shared" si="4"/>
        <v>464.8</v>
      </c>
      <c r="I202" s="6" t="s">
        <v>325</v>
      </c>
      <c r="J202" s="19" t="s">
        <v>350</v>
      </c>
      <c r="K202" s="88">
        <v>46146</v>
      </c>
      <c r="L202" s="140">
        <v>46146</v>
      </c>
      <c r="M202" s="14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7">
        <v>46127</v>
      </c>
      <c r="B203" s="15" t="str">
        <f>VLOOKUP(C203,'Product List'!A:C,3,0)</f>
        <v>MMO-COTTON NESTING BALLS</v>
      </c>
      <c r="C203" s="20" t="s">
        <v>43</v>
      </c>
      <c r="D203" s="99">
        <v>30935526</v>
      </c>
      <c r="E203" s="18" t="s">
        <v>142</v>
      </c>
      <c r="F203" s="99">
        <v>62</v>
      </c>
      <c r="G203" s="99">
        <v>3.37</v>
      </c>
      <c r="H203" s="99">
        <f t="shared" si="4"/>
        <v>208.94</v>
      </c>
      <c r="I203" s="6" t="s">
        <v>325</v>
      </c>
      <c r="J203" s="19" t="s">
        <v>350</v>
      </c>
      <c r="K203" s="88">
        <v>46146</v>
      </c>
      <c r="L203" s="140">
        <v>46146</v>
      </c>
      <c r="M203" s="14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7">
        <v>46127</v>
      </c>
      <c r="B204" s="15" t="str">
        <f>VLOOKUP(C204,'Product List'!A:C,3,0)</f>
        <v>MINI/MOE TV VIEWING CAGE</v>
      </c>
      <c r="C204" s="15" t="s">
        <v>27</v>
      </c>
      <c r="D204" s="99">
        <v>30935526</v>
      </c>
      <c r="E204" s="18" t="s">
        <v>142</v>
      </c>
      <c r="F204" s="99">
        <v>50</v>
      </c>
      <c r="G204" s="99">
        <v>48.49</v>
      </c>
      <c r="H204" s="99">
        <f t="shared" si="4"/>
        <v>2424.5</v>
      </c>
      <c r="I204" s="6" t="s">
        <v>325</v>
      </c>
      <c r="J204" s="19" t="s">
        <v>350</v>
      </c>
      <c r="K204" s="88">
        <v>46146</v>
      </c>
      <c r="L204" s="140">
        <v>46146</v>
      </c>
      <c r="M204" s="14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7">
        <v>46127</v>
      </c>
      <c r="B205" s="15" t="str">
        <f>VLOOKUP(C205,'Product List'!A:C,3,0)</f>
        <v>MMO-BUBBLE WATER BOTTLE</v>
      </c>
      <c r="C205" s="15" t="s">
        <v>38</v>
      </c>
      <c r="D205" s="99">
        <v>30935526</v>
      </c>
      <c r="E205" s="18" t="s">
        <v>142</v>
      </c>
      <c r="F205" s="99">
        <v>108</v>
      </c>
      <c r="G205" s="99">
        <v>4.35</v>
      </c>
      <c r="H205" s="99">
        <f t="shared" si="4"/>
        <v>469.8</v>
      </c>
      <c r="I205" s="6" t="s">
        <v>325</v>
      </c>
      <c r="J205" s="19" t="s">
        <v>350</v>
      </c>
      <c r="K205" s="88">
        <v>46146</v>
      </c>
      <c r="L205" s="140">
        <v>46146</v>
      </c>
      <c r="M205" s="14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7">
        <v>46127</v>
      </c>
      <c r="B206" s="15" t="str">
        <f>VLOOKUP(C206,'Product List'!A:C,3,0)</f>
        <v>MINI/MOE SILENT CRSTL RUN WHEEL LG 8.5-White</v>
      </c>
      <c r="C206" s="15" t="s">
        <v>41</v>
      </c>
      <c r="D206" s="99">
        <v>30935527</v>
      </c>
      <c r="E206" s="18" t="s">
        <v>142</v>
      </c>
      <c r="F206" s="99">
        <v>112</v>
      </c>
      <c r="G206" s="99">
        <v>13.22</v>
      </c>
      <c r="H206" s="99">
        <f t="shared" si="4"/>
        <v>1480.64</v>
      </c>
      <c r="I206" s="6" t="s">
        <v>325</v>
      </c>
      <c r="J206" s="19" t="s">
        <v>350</v>
      </c>
      <c r="K206" s="88">
        <v>46164</v>
      </c>
      <c r="L206" s="140">
        <v>46160</v>
      </c>
      <c r="M206" s="14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7">
        <v>46127</v>
      </c>
      <c r="B207" s="15" t="str">
        <f>VLOOKUP(C207,'Product List'!A:C,3,0)</f>
        <v>MINI/MOE RUFFLE BOWL</v>
      </c>
      <c r="C207" s="15" t="s">
        <v>83</v>
      </c>
      <c r="D207" s="99">
        <v>30935527</v>
      </c>
      <c r="E207" s="18" t="s">
        <v>142</v>
      </c>
      <c r="F207" s="99">
        <v>48</v>
      </c>
      <c r="G207" s="99">
        <v>2.35</v>
      </c>
      <c r="H207" s="99">
        <f t="shared" si="4"/>
        <v>112.8</v>
      </c>
      <c r="I207" s="6" t="s">
        <v>325</v>
      </c>
      <c r="J207" s="19" t="s">
        <v>350</v>
      </c>
      <c r="K207" s="88">
        <v>46164</v>
      </c>
      <c r="L207" s="140">
        <v>46160</v>
      </c>
      <c r="M207" s="14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7">
        <v>46127</v>
      </c>
      <c r="B208" s="15" t="str">
        <f>VLOOKUP(C208,'Product List'!A:C,3,0)</f>
        <v>MMO-CLOUD WATER BOTTLE</v>
      </c>
      <c r="C208" s="15" t="s">
        <v>37</v>
      </c>
      <c r="D208" s="99">
        <v>30935527</v>
      </c>
      <c r="E208" s="18" t="s">
        <v>142</v>
      </c>
      <c r="F208" s="99">
        <v>350</v>
      </c>
      <c r="G208" s="99">
        <v>1.32</v>
      </c>
      <c r="H208" s="99">
        <f t="shared" si="4"/>
        <v>462</v>
      </c>
      <c r="I208" s="6" t="s">
        <v>325</v>
      </c>
      <c r="J208" s="19" t="s">
        <v>350</v>
      </c>
      <c r="K208" s="88">
        <v>46164</v>
      </c>
      <c r="L208" s="140">
        <v>46160</v>
      </c>
      <c r="M208" s="14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7">
        <v>46127</v>
      </c>
      <c r="B209" s="15" t="str">
        <f>VLOOKUP(C209,'Product List'!A:C,3,0)</f>
        <v>MMO-WAVE BRIDGE</v>
      </c>
      <c r="C209" s="15" t="s">
        <v>82</v>
      </c>
      <c r="D209" s="99">
        <v>30935527</v>
      </c>
      <c r="E209" s="18" t="s">
        <v>142</v>
      </c>
      <c r="F209" s="99">
        <v>99</v>
      </c>
      <c r="G209" s="99">
        <v>4.84</v>
      </c>
      <c r="H209" s="99">
        <f t="shared" si="4"/>
        <v>479.16</v>
      </c>
      <c r="I209" s="6" t="s">
        <v>325</v>
      </c>
      <c r="J209" s="19" t="s">
        <v>350</v>
      </c>
      <c r="K209" s="88">
        <v>46164</v>
      </c>
      <c r="L209" s="140">
        <v>46160</v>
      </c>
      <c r="M209" s="14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7">
        <v>46127</v>
      </c>
      <c r="B210" s="15" t="str">
        <f>VLOOKUP(C210,'Product List'!A:C,3,0)</f>
        <v>MINI/MOE TV VIEWING CAGE</v>
      </c>
      <c r="C210" s="15" t="s">
        <v>27</v>
      </c>
      <c r="D210" s="99">
        <v>30935527</v>
      </c>
      <c r="E210" s="18" t="s">
        <v>142</v>
      </c>
      <c r="F210" s="99">
        <v>122</v>
      </c>
      <c r="G210" s="99">
        <v>48.49</v>
      </c>
      <c r="H210" s="99">
        <f t="shared" si="4"/>
        <v>5915.78</v>
      </c>
      <c r="I210" s="6" t="s">
        <v>325</v>
      </c>
      <c r="J210" s="19" t="s">
        <v>350</v>
      </c>
      <c r="K210" s="88">
        <v>46164</v>
      </c>
      <c r="L210" s="140">
        <v>46160</v>
      </c>
      <c r="M210" s="14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7">
        <v>46127</v>
      </c>
      <c r="B211" s="15" t="str">
        <f>VLOOKUP(C211,'Product List'!A:C,3,0)</f>
        <v>MMO-BUBBLE WATER BOTTLE</v>
      </c>
      <c r="C211" s="15" t="s">
        <v>38</v>
      </c>
      <c r="D211" s="99">
        <v>30935527</v>
      </c>
      <c r="E211" s="18" t="s">
        <v>142</v>
      </c>
      <c r="F211" s="99">
        <v>420</v>
      </c>
      <c r="G211" s="99">
        <v>4.35</v>
      </c>
      <c r="H211" s="99">
        <f t="shared" si="4"/>
        <v>1827</v>
      </c>
      <c r="I211" s="6" t="s">
        <v>325</v>
      </c>
      <c r="J211" s="19" t="s">
        <v>350</v>
      </c>
      <c r="K211" s="88">
        <v>46164</v>
      </c>
      <c r="L211" s="140">
        <v>46160</v>
      </c>
      <c r="M211" s="14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7">
        <v>46127</v>
      </c>
      <c r="B212" s="15" t="str">
        <f>VLOOKUP(C212,'Product List'!A:C,3,0)</f>
        <v>MMO-SHELL PEARL HAMSTER CHEW</v>
      </c>
      <c r="C212" s="15" t="s">
        <v>48</v>
      </c>
      <c r="D212" s="99">
        <v>30935527</v>
      </c>
      <c r="E212" s="18" t="s">
        <v>142</v>
      </c>
      <c r="F212" s="99">
        <v>128</v>
      </c>
      <c r="G212" s="99">
        <v>1.61</v>
      </c>
      <c r="H212" s="99">
        <f t="shared" si="4"/>
        <v>206.08</v>
      </c>
      <c r="I212" s="6" t="s">
        <v>325</v>
      </c>
      <c r="J212" s="19" t="s">
        <v>350</v>
      </c>
      <c r="K212" s="88">
        <v>46164</v>
      </c>
      <c r="L212" s="140">
        <v>46160</v>
      </c>
      <c r="M212" s="14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7">
        <v>46127</v>
      </c>
      <c r="B213" s="15" t="str">
        <f>VLOOKUP(C213,'Product List'!A:C,3,0)</f>
        <v>MMO-GREEN APPLE CHEW</v>
      </c>
      <c r="C213" s="15" t="s">
        <v>39</v>
      </c>
      <c r="D213" s="99">
        <v>30935527</v>
      </c>
      <c r="E213" s="18" t="s">
        <v>142</v>
      </c>
      <c r="F213" s="99">
        <v>96</v>
      </c>
      <c r="G213" s="99">
        <v>1.53</v>
      </c>
      <c r="H213" s="99">
        <f t="shared" si="4"/>
        <v>146.88</v>
      </c>
      <c r="I213" s="6" t="s">
        <v>325</v>
      </c>
      <c r="J213" s="19" t="s">
        <v>350</v>
      </c>
      <c r="K213" s="88">
        <v>46164</v>
      </c>
      <c r="L213" s="140">
        <v>46160</v>
      </c>
      <c r="M213" s="14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7">
        <v>46127</v>
      </c>
      <c r="B214" s="15" t="str">
        <f>VLOOKUP(C214,'Product List'!A:C,3,0)</f>
        <v>MMO-CAMP LUNCH BOX CHEW</v>
      </c>
      <c r="C214" s="15" t="s">
        <v>40</v>
      </c>
      <c r="D214" s="99">
        <v>30935527</v>
      </c>
      <c r="E214" s="18" t="s">
        <v>142</v>
      </c>
      <c r="F214" s="99">
        <v>144</v>
      </c>
      <c r="G214" s="99">
        <v>2.48</v>
      </c>
      <c r="H214" s="99">
        <f t="shared" si="4"/>
        <v>357.12</v>
      </c>
      <c r="I214" s="6" t="s">
        <v>325</v>
      </c>
      <c r="J214" s="19" t="s">
        <v>350</v>
      </c>
      <c r="K214" s="88">
        <v>46164</v>
      </c>
      <c r="L214" s="140">
        <v>46160</v>
      </c>
      <c r="M214" s="14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7">
        <v>46127</v>
      </c>
      <c r="B215" s="15" t="str">
        <f>VLOOKUP(C215,'Product List'!A:C,3,0)</f>
        <v>MINI/MOE BENDABLE BIRCHWOOD FENCE</v>
      </c>
      <c r="C215" s="15" t="s">
        <v>34</v>
      </c>
      <c r="D215" s="99">
        <v>30935528</v>
      </c>
      <c r="E215" s="18" t="s">
        <v>142</v>
      </c>
      <c r="F215" s="99">
        <v>48</v>
      </c>
      <c r="G215" s="99">
        <v>5.01</v>
      </c>
      <c r="H215" s="99">
        <f t="shared" si="4"/>
        <v>240.48</v>
      </c>
      <c r="I215" s="6" t="s">
        <v>325</v>
      </c>
      <c r="J215" s="19" t="s">
        <v>344</v>
      </c>
      <c r="K215" s="88">
        <v>46146</v>
      </c>
      <c r="L215" s="140">
        <v>46146</v>
      </c>
      <c r="M215" s="14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7">
        <v>46127</v>
      </c>
      <c r="B216" s="15" t="str">
        <f>VLOOKUP(C216,'Product List'!A:C,3,0)</f>
        <v>MINI/MOE SILENT CRSTL RUN WHEEL LG 8.5-White</v>
      </c>
      <c r="C216" s="15" t="s">
        <v>41</v>
      </c>
      <c r="D216" s="99">
        <v>30935528</v>
      </c>
      <c r="E216" s="18" t="s">
        <v>142</v>
      </c>
      <c r="F216" s="99">
        <v>24</v>
      </c>
      <c r="G216" s="99">
        <v>13.22</v>
      </c>
      <c r="H216" s="99">
        <f t="shared" si="4"/>
        <v>317.28</v>
      </c>
      <c r="I216" s="6" t="s">
        <v>325</v>
      </c>
      <c r="J216" s="19" t="s">
        <v>344</v>
      </c>
      <c r="K216" s="88">
        <v>46146</v>
      </c>
      <c r="L216" s="140">
        <v>46146</v>
      </c>
      <c r="M216" s="14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7">
        <v>46127</v>
      </c>
      <c r="B217" s="15" t="str">
        <f>VLOOKUP(C217,'Product List'!A:C,3,0)</f>
        <v>MINI/MOE RUFFLE BOWL</v>
      </c>
      <c r="C217" s="15" t="s">
        <v>83</v>
      </c>
      <c r="D217" s="99">
        <v>30935528</v>
      </c>
      <c r="E217" s="18" t="s">
        <v>142</v>
      </c>
      <c r="F217" s="99">
        <v>96</v>
      </c>
      <c r="G217" s="99">
        <v>2.35</v>
      </c>
      <c r="H217" s="99">
        <f t="shared" si="4"/>
        <v>225.6</v>
      </c>
      <c r="I217" s="6" t="s">
        <v>325</v>
      </c>
      <c r="J217" s="19" t="s">
        <v>344</v>
      </c>
      <c r="K217" s="88">
        <v>46146</v>
      </c>
      <c r="L217" s="140">
        <v>46146</v>
      </c>
      <c r="M217" s="14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7">
        <v>46127</v>
      </c>
      <c r="B218" s="15" t="str">
        <f>VLOOKUP(C218,'Product List'!A:C,3,0)</f>
        <v>MMO-CLOUD WATER BOTTLE</v>
      </c>
      <c r="C218" s="15" t="s">
        <v>37</v>
      </c>
      <c r="D218" s="99">
        <v>30935528</v>
      </c>
      <c r="E218" s="18" t="s">
        <v>142</v>
      </c>
      <c r="F218" s="99">
        <v>120</v>
      </c>
      <c r="G218" s="99">
        <v>1.32</v>
      </c>
      <c r="H218" s="99">
        <f t="shared" si="4"/>
        <v>158.4</v>
      </c>
      <c r="I218" s="6" t="s">
        <v>325</v>
      </c>
      <c r="J218" s="19" t="s">
        <v>344</v>
      </c>
      <c r="K218" s="88">
        <v>46146</v>
      </c>
      <c r="L218" s="140">
        <v>46146</v>
      </c>
      <c r="M218" s="14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7">
        <v>46127</v>
      </c>
      <c r="B219" s="15" t="str">
        <f>VLOOKUP(C219,'Product List'!A:C,3,0)</f>
        <v>MMO-STARFISH CASTLE</v>
      </c>
      <c r="C219" s="15" t="s">
        <v>76</v>
      </c>
      <c r="D219" s="99">
        <v>30935528</v>
      </c>
      <c r="E219" s="18" t="s">
        <v>142</v>
      </c>
      <c r="F219" s="99">
        <v>48</v>
      </c>
      <c r="G219" s="99">
        <v>5.32</v>
      </c>
      <c r="H219" s="99">
        <f t="shared" si="4"/>
        <v>255.36</v>
      </c>
      <c r="I219" s="6" t="s">
        <v>325</v>
      </c>
      <c r="J219" s="19" t="s">
        <v>344</v>
      </c>
      <c r="K219" s="88">
        <v>46146</v>
      </c>
      <c r="L219" s="140">
        <v>46146</v>
      </c>
      <c r="M219" s="14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7">
        <v>46127</v>
      </c>
      <c r="B220" s="15" t="str">
        <f>VLOOKUP(C220,'Product List'!A:C,3,0)</f>
        <v>MMO-WAVE BRIDGE</v>
      </c>
      <c r="C220" s="15" t="s">
        <v>82</v>
      </c>
      <c r="D220" s="99">
        <v>30935528</v>
      </c>
      <c r="E220" s="18" t="s">
        <v>142</v>
      </c>
      <c r="F220" s="99">
        <v>32</v>
      </c>
      <c r="G220" s="99">
        <v>4.84</v>
      </c>
      <c r="H220" s="99">
        <f t="shared" si="4"/>
        <v>154.88</v>
      </c>
      <c r="I220" s="6" t="s">
        <v>325</v>
      </c>
      <c r="J220" s="19" t="s">
        <v>344</v>
      </c>
      <c r="K220" s="88">
        <v>46146</v>
      </c>
      <c r="L220" s="140">
        <v>46146</v>
      </c>
      <c r="M220" s="14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7">
        <v>46127</v>
      </c>
      <c r="B221" s="15" t="str">
        <f>VLOOKUP(C221,'Product List'!A:C,3,0)</f>
        <v>MMO-PAPER PEBBLES</v>
      </c>
      <c r="C221" s="20" t="s">
        <v>42</v>
      </c>
      <c r="D221" s="99">
        <v>30935528</v>
      </c>
      <c r="E221" s="18" t="s">
        <v>142</v>
      </c>
      <c r="F221" s="99">
        <v>30</v>
      </c>
      <c r="G221" s="99">
        <v>5.81</v>
      </c>
      <c r="H221" s="99">
        <f t="shared" si="4"/>
        <v>174.3</v>
      </c>
      <c r="I221" s="6" t="s">
        <v>325</v>
      </c>
      <c r="J221" s="19" t="s">
        <v>344</v>
      </c>
      <c r="K221" s="88">
        <v>46146</v>
      </c>
      <c r="L221" s="140">
        <v>46146</v>
      </c>
      <c r="M221" s="14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7">
        <v>46127</v>
      </c>
      <c r="B222" s="15" t="str">
        <f>VLOOKUP(C222,'Product List'!A:C,3,0)</f>
        <v>MMO-COTTON NESTING BALLS</v>
      </c>
      <c r="C222" s="20" t="s">
        <v>43</v>
      </c>
      <c r="D222" s="99">
        <v>30935528</v>
      </c>
      <c r="E222" s="18" t="s">
        <v>142</v>
      </c>
      <c r="F222" s="99">
        <v>62</v>
      </c>
      <c r="G222" s="99">
        <v>3.37</v>
      </c>
      <c r="H222" s="99">
        <f t="shared" si="4"/>
        <v>208.94</v>
      </c>
      <c r="I222" s="6" t="s">
        <v>325</v>
      </c>
      <c r="J222" s="19" t="s">
        <v>344</v>
      </c>
      <c r="K222" s="88">
        <v>46146</v>
      </c>
      <c r="L222" s="140">
        <v>46146</v>
      </c>
      <c r="M222" s="14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7">
        <v>46127</v>
      </c>
      <c r="B223" s="15" t="str">
        <f>VLOOKUP(C223,'Product List'!A:C,3,0)</f>
        <v>MINI/MOE TV VIEWING CAGE</v>
      </c>
      <c r="C223" s="15" t="s">
        <v>27</v>
      </c>
      <c r="D223" s="99">
        <v>30935528</v>
      </c>
      <c r="E223" s="18" t="s">
        <v>142</v>
      </c>
      <c r="F223" s="99">
        <v>42</v>
      </c>
      <c r="G223" s="99">
        <v>48.49</v>
      </c>
      <c r="H223" s="99">
        <f t="shared" si="4"/>
        <v>2036.58</v>
      </c>
      <c r="I223" s="6" t="s">
        <v>325</v>
      </c>
      <c r="J223" s="19" t="s">
        <v>344</v>
      </c>
      <c r="K223" s="88">
        <v>46146</v>
      </c>
      <c r="L223" s="140">
        <v>46146</v>
      </c>
      <c r="M223" s="14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7">
        <v>46127</v>
      </c>
      <c r="B224" s="15" t="str">
        <f>VLOOKUP(C224,'Product List'!A:C,3,0)</f>
        <v>MMO-BUBBLE WATER BOTTLE</v>
      </c>
      <c r="C224" s="15" t="s">
        <v>38</v>
      </c>
      <c r="D224" s="99">
        <v>30935528</v>
      </c>
      <c r="E224" s="18" t="s">
        <v>142</v>
      </c>
      <c r="F224" s="99">
        <v>36</v>
      </c>
      <c r="G224" s="99">
        <v>4.35</v>
      </c>
      <c r="H224" s="99">
        <f t="shared" si="4"/>
        <v>156.6</v>
      </c>
      <c r="I224" s="6" t="s">
        <v>325</v>
      </c>
      <c r="J224" s="19" t="s">
        <v>344</v>
      </c>
      <c r="K224" s="88">
        <v>46146</v>
      </c>
      <c r="L224" s="140">
        <v>46146</v>
      </c>
      <c r="M224" s="14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7">
        <v>46127</v>
      </c>
      <c r="B225" s="15" t="str">
        <f>VLOOKUP(C225,'Product List'!A:C,3,0)</f>
        <v>MINI/MOE SILENT CRSTL RUN WHEEL LG 8.5-White</v>
      </c>
      <c r="C225" s="15" t="s">
        <v>41</v>
      </c>
      <c r="D225" s="99">
        <v>30935529</v>
      </c>
      <c r="E225" s="18" t="s">
        <v>142</v>
      </c>
      <c r="F225" s="99">
        <v>24</v>
      </c>
      <c r="G225" s="99">
        <v>13.22</v>
      </c>
      <c r="H225" s="99">
        <f t="shared" si="4"/>
        <v>317.28</v>
      </c>
      <c r="I225" s="6" t="s">
        <v>325</v>
      </c>
      <c r="J225" s="19" t="s">
        <v>344</v>
      </c>
      <c r="K225" s="88">
        <v>46164</v>
      </c>
      <c r="L225" s="140">
        <v>46160</v>
      </c>
      <c r="M225" s="14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7">
        <v>46127</v>
      </c>
      <c r="B226" s="15" t="str">
        <f>VLOOKUP(C226,'Product List'!A:C,3,0)</f>
        <v>MMO-CLOUD WATER BOTTLE</v>
      </c>
      <c r="C226" s="15" t="s">
        <v>37</v>
      </c>
      <c r="D226" s="99">
        <v>30935529</v>
      </c>
      <c r="E226" s="18" t="s">
        <v>142</v>
      </c>
      <c r="F226" s="99">
        <v>250</v>
      </c>
      <c r="G226" s="99">
        <v>1.32</v>
      </c>
      <c r="H226" s="99">
        <f t="shared" ref="H226:H289" si="6">F226*G226</f>
        <v>330</v>
      </c>
      <c r="I226" s="6" t="s">
        <v>325</v>
      </c>
      <c r="J226" s="19" t="s">
        <v>344</v>
      </c>
      <c r="K226" s="88">
        <v>46164</v>
      </c>
      <c r="L226" s="140">
        <v>46160</v>
      </c>
      <c r="M226" s="14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7">
        <v>46127</v>
      </c>
      <c r="B227" s="15" t="str">
        <f>VLOOKUP(C227,'Product List'!A:C,3,0)</f>
        <v>MMO-WAVE BRIDGE</v>
      </c>
      <c r="C227" s="15" t="s">
        <v>82</v>
      </c>
      <c r="D227" s="99">
        <v>30935529</v>
      </c>
      <c r="E227" s="18" t="s">
        <v>142</v>
      </c>
      <c r="F227" s="99">
        <v>32</v>
      </c>
      <c r="G227" s="99">
        <v>4.84</v>
      </c>
      <c r="H227" s="99">
        <f t="shared" si="6"/>
        <v>154.88</v>
      </c>
      <c r="I227" s="6" t="s">
        <v>325</v>
      </c>
      <c r="J227" s="19" t="s">
        <v>344</v>
      </c>
      <c r="K227" s="88">
        <v>46164</v>
      </c>
      <c r="L227" s="140">
        <v>46160</v>
      </c>
      <c r="M227" s="14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7">
        <v>46127</v>
      </c>
      <c r="B228" s="15" t="str">
        <f>VLOOKUP(C228,'Product List'!A:C,3,0)</f>
        <v>MINI/MOE TV VIEWING CAGE</v>
      </c>
      <c r="C228" s="15" t="s">
        <v>27</v>
      </c>
      <c r="D228" s="99">
        <v>30935529</v>
      </c>
      <c r="E228" s="18" t="s">
        <v>142</v>
      </c>
      <c r="F228" s="99">
        <v>109</v>
      </c>
      <c r="G228" s="99">
        <v>48.49</v>
      </c>
      <c r="H228" s="99">
        <f t="shared" si="6"/>
        <v>5285.41</v>
      </c>
      <c r="I228" s="6" t="s">
        <v>325</v>
      </c>
      <c r="J228" s="19" t="s">
        <v>344</v>
      </c>
      <c r="K228" s="88">
        <v>46164</v>
      </c>
      <c r="L228" s="140">
        <v>46160</v>
      </c>
      <c r="M228" s="14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7">
        <v>46127</v>
      </c>
      <c r="B229" s="15" t="str">
        <f>VLOOKUP(C229,'Product List'!A:C,3,0)</f>
        <v>MMO-BUBBLE WATER BOTTLE</v>
      </c>
      <c r="C229" s="15" t="s">
        <v>38</v>
      </c>
      <c r="D229" s="99">
        <v>30935529</v>
      </c>
      <c r="E229" s="18" t="s">
        <v>142</v>
      </c>
      <c r="F229" s="99">
        <v>252</v>
      </c>
      <c r="G229" s="99">
        <v>4.35</v>
      </c>
      <c r="H229" s="99">
        <f t="shared" si="6"/>
        <v>1096.2</v>
      </c>
      <c r="I229" s="6" t="s">
        <v>325</v>
      </c>
      <c r="J229" s="19" t="s">
        <v>344</v>
      </c>
      <c r="K229" s="88">
        <v>46164</v>
      </c>
      <c r="L229" s="140">
        <v>46160</v>
      </c>
      <c r="M229" s="14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7">
        <v>46127</v>
      </c>
      <c r="B230" s="15" t="str">
        <f>VLOOKUP(C230,'Product List'!A:C,3,0)</f>
        <v>MINI/MOE BENDABLE BIRCHWOOD FENCE</v>
      </c>
      <c r="C230" s="145" t="s">
        <v>34</v>
      </c>
      <c r="D230" s="146">
        <v>30935530</v>
      </c>
      <c r="E230" s="18" t="s">
        <v>142</v>
      </c>
      <c r="F230" s="146">
        <v>144</v>
      </c>
      <c r="G230" s="146">
        <v>5.01</v>
      </c>
      <c r="H230" s="146">
        <f t="shared" si="6"/>
        <v>721.44</v>
      </c>
      <c r="I230" s="6" t="s">
        <v>325</v>
      </c>
      <c r="J230" s="19" t="s">
        <v>351</v>
      </c>
      <c r="K230" s="88">
        <v>46146</v>
      </c>
      <c r="L230" s="140">
        <v>46146</v>
      </c>
      <c r="M230" s="14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7">
        <v>46127</v>
      </c>
      <c r="B231" s="15" t="str">
        <f>VLOOKUP(C231,'Product List'!A:C,3,0)</f>
        <v>MINI/MOE SILENT CRSTL RUN WHEEL LG 8.5-White</v>
      </c>
      <c r="C231" s="145" t="s">
        <v>41</v>
      </c>
      <c r="D231" s="146">
        <v>30935530</v>
      </c>
      <c r="E231" s="18" t="s">
        <v>142</v>
      </c>
      <c r="F231" s="146">
        <v>16</v>
      </c>
      <c r="G231" s="146">
        <v>13.22</v>
      </c>
      <c r="H231" s="146">
        <f t="shared" si="6"/>
        <v>211.52</v>
      </c>
      <c r="I231" s="6" t="s">
        <v>325</v>
      </c>
      <c r="J231" s="19" t="s">
        <v>351</v>
      </c>
      <c r="K231" s="88">
        <v>46146</v>
      </c>
      <c r="L231" s="140">
        <v>46146</v>
      </c>
      <c r="M231" s="14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7">
        <v>46127</v>
      </c>
      <c r="B232" s="15" t="str">
        <f>VLOOKUP(C232,'Product List'!A:C,3,0)</f>
        <v>MINI/MOE RUFFLE BOWL</v>
      </c>
      <c r="C232" s="145" t="s">
        <v>83</v>
      </c>
      <c r="D232" s="146">
        <v>30935530</v>
      </c>
      <c r="E232" s="18" t="s">
        <v>142</v>
      </c>
      <c r="F232" s="146">
        <v>256</v>
      </c>
      <c r="G232" s="146">
        <v>2.35</v>
      </c>
      <c r="H232" s="146">
        <f t="shared" si="6"/>
        <v>601.6</v>
      </c>
      <c r="I232" s="6" t="s">
        <v>325</v>
      </c>
      <c r="J232" s="19" t="s">
        <v>351</v>
      </c>
      <c r="K232" s="88">
        <v>46146</v>
      </c>
      <c r="L232" s="140">
        <v>46146</v>
      </c>
      <c r="M232" s="14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7">
        <v>46127</v>
      </c>
      <c r="B233" s="15" t="str">
        <f>VLOOKUP(C233,'Product List'!A:C,3,0)</f>
        <v>MMO-CLOUD WATER BOTTLE</v>
      </c>
      <c r="C233" s="145" t="s">
        <v>37</v>
      </c>
      <c r="D233" s="146">
        <v>30935530</v>
      </c>
      <c r="E233" s="18" t="s">
        <v>142</v>
      </c>
      <c r="F233" s="146">
        <v>60</v>
      </c>
      <c r="G233" s="146">
        <v>1.32</v>
      </c>
      <c r="H233" s="146">
        <f t="shared" si="6"/>
        <v>79.2</v>
      </c>
      <c r="I233" s="6" t="s">
        <v>325</v>
      </c>
      <c r="J233" s="19" t="s">
        <v>351</v>
      </c>
      <c r="K233" s="88">
        <v>46146</v>
      </c>
      <c r="L233" s="140">
        <v>46146</v>
      </c>
      <c r="M233" s="14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7">
        <v>46127</v>
      </c>
      <c r="B234" s="15" t="str">
        <f>VLOOKUP(C234,'Product List'!A:C,3,0)</f>
        <v>MMO-STARFISH CASTLE</v>
      </c>
      <c r="C234" s="145" t="s">
        <v>76</v>
      </c>
      <c r="D234" s="146">
        <v>30935530</v>
      </c>
      <c r="E234" s="18" t="s">
        <v>142</v>
      </c>
      <c r="F234" s="146">
        <v>108</v>
      </c>
      <c r="G234" s="146">
        <v>5.32</v>
      </c>
      <c r="H234" s="146">
        <f t="shared" si="6"/>
        <v>574.56</v>
      </c>
      <c r="I234" s="6" t="s">
        <v>325</v>
      </c>
      <c r="J234" s="19" t="s">
        <v>351</v>
      </c>
      <c r="K234" s="88">
        <v>46146</v>
      </c>
      <c r="L234" s="140">
        <v>46146</v>
      </c>
      <c r="M234" s="14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7">
        <v>46127</v>
      </c>
      <c r="B235" s="15" t="str">
        <f>VLOOKUP(C235,'Product List'!A:C,3,0)</f>
        <v>MMO-WAVE BRIDGE</v>
      </c>
      <c r="C235" s="145" t="s">
        <v>82</v>
      </c>
      <c r="D235" s="146">
        <v>30935530</v>
      </c>
      <c r="E235" s="18" t="s">
        <v>142</v>
      </c>
      <c r="F235" s="146">
        <v>96</v>
      </c>
      <c r="G235" s="146">
        <v>4.84</v>
      </c>
      <c r="H235" s="146">
        <f t="shared" si="6"/>
        <v>464.64</v>
      </c>
      <c r="I235" s="6" t="s">
        <v>325</v>
      </c>
      <c r="J235" s="19" t="s">
        <v>351</v>
      </c>
      <c r="K235" s="88">
        <v>46146</v>
      </c>
      <c r="L235" s="140">
        <v>46146</v>
      </c>
      <c r="M235" s="14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7">
        <v>46127</v>
      </c>
      <c r="B236" s="15" t="str">
        <f>VLOOKUP(C236,'Product List'!A:C,3,0)</f>
        <v>MINI/MOE TV VIEWING CAGE</v>
      </c>
      <c r="C236" s="145" t="s">
        <v>27</v>
      </c>
      <c r="D236" s="146">
        <v>30935530</v>
      </c>
      <c r="E236" s="18" t="s">
        <v>142</v>
      </c>
      <c r="F236" s="146">
        <v>17</v>
      </c>
      <c r="G236" s="146">
        <v>48.49</v>
      </c>
      <c r="H236" s="146">
        <f t="shared" si="6"/>
        <v>824.33</v>
      </c>
      <c r="I236" s="6" t="s">
        <v>325</v>
      </c>
      <c r="J236" s="19" t="s">
        <v>351</v>
      </c>
      <c r="K236" s="88">
        <v>46146</v>
      </c>
      <c r="L236" s="140">
        <v>46146</v>
      </c>
      <c r="M236" s="14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7">
        <v>46127</v>
      </c>
      <c r="B237" s="15" t="str">
        <f>VLOOKUP(C237,'Product List'!A:C,3,0)</f>
        <v>MMO-BUBBLE WATER BOTTLE</v>
      </c>
      <c r="C237" s="145" t="s">
        <v>38</v>
      </c>
      <c r="D237" s="146">
        <v>30935530</v>
      </c>
      <c r="E237" s="18" t="s">
        <v>142</v>
      </c>
      <c r="F237" s="146">
        <v>36</v>
      </c>
      <c r="G237" s="146">
        <v>4.35</v>
      </c>
      <c r="H237" s="146">
        <f t="shared" si="6"/>
        <v>156.6</v>
      </c>
      <c r="I237" s="6" t="s">
        <v>325</v>
      </c>
      <c r="J237" s="19" t="s">
        <v>351</v>
      </c>
      <c r="K237" s="88">
        <v>46146</v>
      </c>
      <c r="L237" s="140">
        <v>46146</v>
      </c>
      <c r="M237" s="14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7">
        <v>46127</v>
      </c>
      <c r="B238" s="15" t="str">
        <f>VLOOKUP(C238,'Product List'!A:C,3,0)</f>
        <v>MMO-CLOUD WATER BOTTLE</v>
      </c>
      <c r="C238" s="15" t="s">
        <v>37</v>
      </c>
      <c r="D238" s="99">
        <v>30935531</v>
      </c>
      <c r="E238" s="18" t="s">
        <v>142</v>
      </c>
      <c r="F238" s="99">
        <v>150</v>
      </c>
      <c r="G238" s="99">
        <v>1.32</v>
      </c>
      <c r="H238" s="99">
        <f t="shared" si="6"/>
        <v>198</v>
      </c>
      <c r="I238" s="6" t="s">
        <v>325</v>
      </c>
      <c r="J238" s="19" t="s">
        <v>351</v>
      </c>
      <c r="K238" s="88">
        <v>46164</v>
      </c>
      <c r="L238" s="140">
        <v>46160</v>
      </c>
      <c r="M238" s="14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7">
        <v>46127</v>
      </c>
      <c r="B239" s="15" t="str">
        <f>VLOOKUP(C239,'Product List'!A:C,3,0)</f>
        <v>MMO-WAVE BRIDGE</v>
      </c>
      <c r="C239" s="15" t="s">
        <v>82</v>
      </c>
      <c r="D239" s="99">
        <v>30935531</v>
      </c>
      <c r="E239" s="18" t="s">
        <v>142</v>
      </c>
      <c r="F239" s="99">
        <v>96</v>
      </c>
      <c r="G239" s="99">
        <v>4.84</v>
      </c>
      <c r="H239" s="99">
        <f t="shared" si="6"/>
        <v>464.64</v>
      </c>
      <c r="I239" s="6" t="s">
        <v>325</v>
      </c>
      <c r="J239" s="19" t="s">
        <v>351</v>
      </c>
      <c r="K239" s="88">
        <v>46164</v>
      </c>
      <c r="L239" s="140">
        <v>46160</v>
      </c>
      <c r="M239" s="14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7">
        <v>46127</v>
      </c>
      <c r="B240" s="15" t="str">
        <f>VLOOKUP(C240,'Product List'!A:C,3,0)</f>
        <v>MINI/MOE TV VIEWING CAGE</v>
      </c>
      <c r="C240" s="15" t="s">
        <v>27</v>
      </c>
      <c r="D240" s="99">
        <v>30935531</v>
      </c>
      <c r="E240" s="18" t="s">
        <v>142</v>
      </c>
      <c r="F240" s="99">
        <v>42</v>
      </c>
      <c r="G240" s="99">
        <v>48.49</v>
      </c>
      <c r="H240" s="99">
        <f t="shared" si="6"/>
        <v>2036.58</v>
      </c>
      <c r="I240" s="6" t="s">
        <v>325</v>
      </c>
      <c r="J240" s="19" t="s">
        <v>351</v>
      </c>
      <c r="K240" s="88">
        <v>46164</v>
      </c>
      <c r="L240" s="140">
        <v>46160</v>
      </c>
      <c r="M240" s="14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7">
        <v>46127</v>
      </c>
      <c r="B241" s="15" t="str">
        <f>VLOOKUP(C241,'Product List'!A:C,3,0)</f>
        <v>MMO-BUBBLE WATER BOTTLE</v>
      </c>
      <c r="C241" s="15" t="s">
        <v>38</v>
      </c>
      <c r="D241" s="99">
        <v>30935531</v>
      </c>
      <c r="E241" s="18" t="s">
        <v>142</v>
      </c>
      <c r="F241" s="99">
        <v>42</v>
      </c>
      <c r="G241" s="99">
        <v>4.35</v>
      </c>
      <c r="H241" s="99">
        <f t="shared" si="6"/>
        <v>182.7</v>
      </c>
      <c r="I241" s="6" t="s">
        <v>325</v>
      </c>
      <c r="J241" s="19" t="s">
        <v>351</v>
      </c>
      <c r="K241" s="88">
        <v>46164</v>
      </c>
      <c r="L241" s="140">
        <v>46160</v>
      </c>
      <c r="M241" s="14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7">
        <v>46127</v>
      </c>
      <c r="B242" s="15" t="str">
        <f>VLOOKUP(C242,'Product List'!A:C,3,0)</f>
        <v>MINI/MOE BENDABLE BIRCHWOOD FENCE</v>
      </c>
      <c r="C242" s="15" t="s">
        <v>34</v>
      </c>
      <c r="D242" s="99">
        <v>30935532</v>
      </c>
      <c r="E242" s="18" t="s">
        <v>142</v>
      </c>
      <c r="F242" s="99">
        <v>72</v>
      </c>
      <c r="G242" s="99">
        <v>5.01</v>
      </c>
      <c r="H242" s="99">
        <f t="shared" si="6"/>
        <v>360.72</v>
      </c>
      <c r="I242" s="6" t="s">
        <v>325</v>
      </c>
      <c r="J242" s="19" t="s">
        <v>345</v>
      </c>
      <c r="K242" s="88">
        <v>46146</v>
      </c>
      <c r="L242" s="140">
        <v>46146</v>
      </c>
      <c r="M242" s="14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7">
        <v>46127</v>
      </c>
      <c r="B243" s="15" t="str">
        <f>VLOOKUP(C243,'Product List'!A:C,3,0)</f>
        <v>MINI/MOE SILENT CRSTL RUN WHEEL LG 8.5-White</v>
      </c>
      <c r="C243" s="15" t="s">
        <v>41</v>
      </c>
      <c r="D243" s="99">
        <v>30935532</v>
      </c>
      <c r="E243" s="18" t="s">
        <v>142</v>
      </c>
      <c r="F243" s="99">
        <v>40</v>
      </c>
      <c r="G243" s="99">
        <v>13.22</v>
      </c>
      <c r="H243" s="99">
        <f t="shared" si="6"/>
        <v>528.8</v>
      </c>
      <c r="I243" s="6" t="s">
        <v>325</v>
      </c>
      <c r="J243" s="19" t="s">
        <v>345</v>
      </c>
      <c r="K243" s="88">
        <v>46146</v>
      </c>
      <c r="L243" s="140">
        <v>46146</v>
      </c>
      <c r="M243" s="14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7">
        <v>46127</v>
      </c>
      <c r="B244" s="15" t="str">
        <f>VLOOKUP(C244,'Product List'!A:C,3,0)</f>
        <v>MINI/MOE RUFFLE BOWL</v>
      </c>
      <c r="C244" s="15" t="s">
        <v>83</v>
      </c>
      <c r="D244" s="99">
        <v>30935532</v>
      </c>
      <c r="E244" s="18" t="s">
        <v>142</v>
      </c>
      <c r="F244" s="99">
        <v>160</v>
      </c>
      <c r="G244" s="99">
        <v>2.35</v>
      </c>
      <c r="H244" s="99">
        <f t="shared" si="6"/>
        <v>376</v>
      </c>
      <c r="I244" s="6" t="s">
        <v>325</v>
      </c>
      <c r="J244" s="19" t="s">
        <v>345</v>
      </c>
      <c r="K244" s="88">
        <v>46146</v>
      </c>
      <c r="L244" s="140">
        <v>46146</v>
      </c>
      <c r="M244" s="14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7">
        <v>46127</v>
      </c>
      <c r="B245" s="15" t="str">
        <f>VLOOKUP(C245,'Product List'!A:C,3,0)</f>
        <v>MMO-CLOUD WATER BOTTLE</v>
      </c>
      <c r="C245" s="15" t="s">
        <v>37</v>
      </c>
      <c r="D245" s="99">
        <v>30935532</v>
      </c>
      <c r="E245" s="18" t="s">
        <v>142</v>
      </c>
      <c r="F245" s="99">
        <v>120</v>
      </c>
      <c r="G245" s="99">
        <v>1.32</v>
      </c>
      <c r="H245" s="99">
        <f t="shared" si="6"/>
        <v>158.4</v>
      </c>
      <c r="I245" s="6" t="s">
        <v>325</v>
      </c>
      <c r="J245" s="19" t="s">
        <v>345</v>
      </c>
      <c r="K245" s="88">
        <v>46146</v>
      </c>
      <c r="L245" s="140">
        <v>46146</v>
      </c>
      <c r="M245" s="14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7">
        <v>46127</v>
      </c>
      <c r="B246" s="15" t="str">
        <f>VLOOKUP(C246,'Product List'!A:C,3,0)</f>
        <v>MMO-STARFISH CASTLE</v>
      </c>
      <c r="C246" s="15" t="s">
        <v>76</v>
      </c>
      <c r="D246" s="99">
        <v>30935532</v>
      </c>
      <c r="E246" s="18" t="s">
        <v>142</v>
      </c>
      <c r="F246" s="99">
        <v>36</v>
      </c>
      <c r="G246" s="99">
        <v>5.32</v>
      </c>
      <c r="H246" s="99">
        <f t="shared" si="6"/>
        <v>191.52</v>
      </c>
      <c r="I246" s="6" t="s">
        <v>325</v>
      </c>
      <c r="J246" s="19" t="s">
        <v>345</v>
      </c>
      <c r="K246" s="88">
        <v>46146</v>
      </c>
      <c r="L246" s="140">
        <v>46146</v>
      </c>
      <c r="M246" s="14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7">
        <v>46127</v>
      </c>
      <c r="B247" s="15" t="str">
        <f>VLOOKUP(C247,'Product List'!A:C,3,0)</f>
        <v>MMO-WAVE BRIDGE</v>
      </c>
      <c r="C247" s="15" t="s">
        <v>82</v>
      </c>
      <c r="D247" s="99">
        <v>30935532</v>
      </c>
      <c r="E247" s="18" t="s">
        <v>142</v>
      </c>
      <c r="F247" s="99">
        <v>32</v>
      </c>
      <c r="G247" s="99">
        <v>4.84</v>
      </c>
      <c r="H247" s="99">
        <f t="shared" si="6"/>
        <v>154.88</v>
      </c>
      <c r="I247" s="6" t="s">
        <v>325</v>
      </c>
      <c r="J247" s="19" t="s">
        <v>345</v>
      </c>
      <c r="K247" s="88">
        <v>46146</v>
      </c>
      <c r="L247" s="140">
        <v>46146</v>
      </c>
      <c r="M247" s="14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7">
        <v>46127</v>
      </c>
      <c r="B248" s="15" t="str">
        <f>VLOOKUP(C248,'Product List'!A:C,3,0)</f>
        <v>MMO-PAPER PEBBLES</v>
      </c>
      <c r="C248" s="20" t="s">
        <v>42</v>
      </c>
      <c r="D248" s="99">
        <v>30935532</v>
      </c>
      <c r="E248" s="18" t="s">
        <v>142</v>
      </c>
      <c r="F248" s="99">
        <v>20</v>
      </c>
      <c r="G248" s="99">
        <v>5.81</v>
      </c>
      <c r="H248" s="99">
        <f t="shared" si="6"/>
        <v>116.2</v>
      </c>
      <c r="I248" s="6" t="s">
        <v>325</v>
      </c>
      <c r="J248" s="19" t="s">
        <v>345</v>
      </c>
      <c r="K248" s="88">
        <v>46146</v>
      </c>
      <c r="L248" s="140">
        <v>46146</v>
      </c>
      <c r="M248" s="14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7">
        <v>46127</v>
      </c>
      <c r="B249" s="15" t="str">
        <f>VLOOKUP(C249,'Product List'!A:C,3,0)</f>
        <v>MINI/MOE TV VIEWING CAGE</v>
      </c>
      <c r="C249" s="15" t="s">
        <v>27</v>
      </c>
      <c r="D249" s="99">
        <v>30935532</v>
      </c>
      <c r="E249" s="18" t="s">
        <v>142</v>
      </c>
      <c r="F249" s="99">
        <v>27</v>
      </c>
      <c r="G249" s="99">
        <v>48.49</v>
      </c>
      <c r="H249" s="99">
        <f t="shared" si="6"/>
        <v>1309.23</v>
      </c>
      <c r="I249" s="6" t="s">
        <v>325</v>
      </c>
      <c r="J249" s="19" t="s">
        <v>345</v>
      </c>
      <c r="K249" s="88">
        <v>46146</v>
      </c>
      <c r="L249" s="140">
        <v>46146</v>
      </c>
      <c r="M249" s="14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7">
        <v>46127</v>
      </c>
      <c r="B250" s="15" t="str">
        <f>VLOOKUP(C250,'Product List'!A:C,3,0)</f>
        <v>MMO-BUBBLE WATER BOTTLE</v>
      </c>
      <c r="C250" s="15" t="s">
        <v>38</v>
      </c>
      <c r="D250" s="99">
        <v>30935532</v>
      </c>
      <c r="E250" s="18" t="s">
        <v>142</v>
      </c>
      <c r="F250" s="99">
        <v>36</v>
      </c>
      <c r="G250" s="99">
        <v>4.35</v>
      </c>
      <c r="H250" s="99">
        <f t="shared" si="6"/>
        <v>156.6</v>
      </c>
      <c r="I250" s="6" t="s">
        <v>325</v>
      </c>
      <c r="J250" s="19" t="s">
        <v>345</v>
      </c>
      <c r="K250" s="88">
        <v>46146</v>
      </c>
      <c r="L250" s="140">
        <v>46146</v>
      </c>
      <c r="M250" s="14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7">
        <v>46127</v>
      </c>
      <c r="B251" s="15" t="str">
        <f>VLOOKUP(C251,'Product List'!A:C,3,0)</f>
        <v>MINI/MOE SILENT CRSTL RUN WHEEL LG 8.5-White</v>
      </c>
      <c r="C251" s="15" t="s">
        <v>41</v>
      </c>
      <c r="D251" s="99">
        <v>30935533</v>
      </c>
      <c r="E251" s="18" t="s">
        <v>142</v>
      </c>
      <c r="F251" s="99">
        <v>32</v>
      </c>
      <c r="G251" s="99">
        <v>13.22</v>
      </c>
      <c r="H251" s="99">
        <f t="shared" si="6"/>
        <v>423.04</v>
      </c>
      <c r="I251" s="6" t="s">
        <v>325</v>
      </c>
      <c r="J251" s="19" t="s">
        <v>345</v>
      </c>
      <c r="K251" s="88">
        <v>46164</v>
      </c>
      <c r="L251" s="140">
        <v>46160</v>
      </c>
      <c r="M251" s="14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7">
        <v>46127</v>
      </c>
      <c r="B252" s="15" t="str">
        <f>VLOOKUP(C252,'Product List'!A:C,3,0)</f>
        <v>MINI/MOE RUFFLE BOWL</v>
      </c>
      <c r="C252" s="15" t="s">
        <v>83</v>
      </c>
      <c r="D252" s="99">
        <v>30935533</v>
      </c>
      <c r="E252" s="18" t="s">
        <v>142</v>
      </c>
      <c r="F252" s="99">
        <v>48</v>
      </c>
      <c r="G252" s="99">
        <v>2.35</v>
      </c>
      <c r="H252" s="99">
        <f t="shared" si="6"/>
        <v>112.8</v>
      </c>
      <c r="I252" s="6" t="s">
        <v>325</v>
      </c>
      <c r="J252" s="19" t="s">
        <v>345</v>
      </c>
      <c r="K252" s="88">
        <v>46164</v>
      </c>
      <c r="L252" s="140">
        <v>46160</v>
      </c>
      <c r="M252" s="14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7">
        <v>46127</v>
      </c>
      <c r="B253" s="15" t="str">
        <f>VLOOKUP(C253,'Product List'!A:C,3,0)</f>
        <v>MMO-CLOUD WATER BOTTLE</v>
      </c>
      <c r="C253" s="15" t="s">
        <v>37</v>
      </c>
      <c r="D253" s="99">
        <v>30935533</v>
      </c>
      <c r="E253" s="18" t="s">
        <v>142</v>
      </c>
      <c r="F253" s="99">
        <v>250</v>
      </c>
      <c r="G253" s="99">
        <v>1.32</v>
      </c>
      <c r="H253" s="99">
        <f t="shared" si="6"/>
        <v>330</v>
      </c>
      <c r="I253" s="6" t="s">
        <v>325</v>
      </c>
      <c r="J253" s="19" t="s">
        <v>345</v>
      </c>
      <c r="K253" s="88">
        <v>46164</v>
      </c>
      <c r="L253" s="140">
        <v>46160</v>
      </c>
      <c r="M253" s="14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7">
        <v>46127</v>
      </c>
      <c r="B254" s="15" t="str">
        <f>VLOOKUP(C254,'Product List'!A:C,3,0)</f>
        <v>MMO-WAVE BRIDGE</v>
      </c>
      <c r="C254" s="15" t="s">
        <v>82</v>
      </c>
      <c r="D254" s="99">
        <v>30935533</v>
      </c>
      <c r="E254" s="18" t="s">
        <v>142</v>
      </c>
      <c r="F254" s="99">
        <v>66</v>
      </c>
      <c r="G254" s="99">
        <v>4.84</v>
      </c>
      <c r="H254" s="99">
        <f t="shared" si="6"/>
        <v>319.44</v>
      </c>
      <c r="I254" s="6" t="s">
        <v>325</v>
      </c>
      <c r="J254" s="19" t="s">
        <v>345</v>
      </c>
      <c r="K254" s="88">
        <v>46164</v>
      </c>
      <c r="L254" s="140">
        <v>46160</v>
      </c>
      <c r="M254" s="14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7">
        <v>46127</v>
      </c>
      <c r="B255" s="15" t="str">
        <f>VLOOKUP(C255,'Product List'!A:C,3,0)</f>
        <v>MINI/MOE TV VIEWING CAGE</v>
      </c>
      <c r="C255" s="15" t="s">
        <v>27</v>
      </c>
      <c r="D255" s="99">
        <v>30935533</v>
      </c>
      <c r="E255" s="18" t="s">
        <v>142</v>
      </c>
      <c r="F255" s="99">
        <v>70</v>
      </c>
      <c r="G255" s="99">
        <v>48.49</v>
      </c>
      <c r="H255" s="99">
        <f t="shared" si="6"/>
        <v>3394.3</v>
      </c>
      <c r="I255" s="6" t="s">
        <v>325</v>
      </c>
      <c r="J255" s="19" t="s">
        <v>345</v>
      </c>
      <c r="K255" s="88">
        <v>46164</v>
      </c>
      <c r="L255" s="140">
        <v>46160</v>
      </c>
      <c r="M255" s="14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7">
        <v>46127</v>
      </c>
      <c r="B256" s="15" t="str">
        <f>VLOOKUP(C256,'Product List'!A:C,3,0)</f>
        <v>MMO-BUBBLE WATER BOTTLE</v>
      </c>
      <c r="C256" s="15" t="s">
        <v>38</v>
      </c>
      <c r="D256" s="99">
        <v>30935533</v>
      </c>
      <c r="E256" s="18" t="s">
        <v>142</v>
      </c>
      <c r="F256" s="99">
        <v>252</v>
      </c>
      <c r="G256" s="99">
        <v>4.35</v>
      </c>
      <c r="H256" s="99">
        <f t="shared" si="6"/>
        <v>1096.2</v>
      </c>
      <c r="I256" s="6" t="s">
        <v>325</v>
      </c>
      <c r="J256" s="19" t="s">
        <v>345</v>
      </c>
      <c r="K256" s="88">
        <v>46164</v>
      </c>
      <c r="L256" s="140">
        <v>46160</v>
      </c>
      <c r="M256" s="14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7">
        <v>46127</v>
      </c>
      <c r="B257" s="15" t="str">
        <f>VLOOKUP(C257,'Product List'!A:C,3,0)</f>
        <v>MMO-SHELL PEARL HAMSTER CHEW</v>
      </c>
      <c r="C257" s="15" t="s">
        <v>48</v>
      </c>
      <c r="D257" s="99">
        <v>30935533</v>
      </c>
      <c r="E257" s="18" t="s">
        <v>142</v>
      </c>
      <c r="F257" s="99">
        <v>64</v>
      </c>
      <c r="G257" s="99">
        <v>1.61</v>
      </c>
      <c r="H257" s="99">
        <f t="shared" si="6"/>
        <v>103.04</v>
      </c>
      <c r="I257" s="6" t="s">
        <v>325</v>
      </c>
      <c r="J257" s="19" t="s">
        <v>345</v>
      </c>
      <c r="K257" s="88">
        <v>46164</v>
      </c>
      <c r="L257" s="140">
        <v>46160</v>
      </c>
      <c r="M257" s="14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7">
        <v>46127</v>
      </c>
      <c r="B258" s="15" t="str">
        <f>VLOOKUP(C258,'Product List'!A:C,3,0)</f>
        <v>MMO-GREEN APPLE CHEW</v>
      </c>
      <c r="C258" s="15" t="s">
        <v>39</v>
      </c>
      <c r="D258" s="99">
        <v>30935533</v>
      </c>
      <c r="E258" s="18" t="s">
        <v>142</v>
      </c>
      <c r="F258" s="99">
        <v>48</v>
      </c>
      <c r="G258" s="99">
        <v>1.53</v>
      </c>
      <c r="H258" s="99">
        <f t="shared" si="6"/>
        <v>73.44</v>
      </c>
      <c r="I258" s="6" t="s">
        <v>325</v>
      </c>
      <c r="J258" s="19" t="s">
        <v>345</v>
      </c>
      <c r="K258" s="88">
        <v>46164</v>
      </c>
      <c r="L258" s="140">
        <v>46160</v>
      </c>
      <c r="M258" s="14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7">
        <v>46127</v>
      </c>
      <c r="B259" s="15" t="str">
        <f>VLOOKUP(C259,'Product List'!A:C,3,0)</f>
        <v>MMO-CAMP LUNCH BOX CHEW</v>
      </c>
      <c r="C259" s="15" t="s">
        <v>40</v>
      </c>
      <c r="D259" s="99">
        <v>30935533</v>
      </c>
      <c r="E259" s="18" t="s">
        <v>142</v>
      </c>
      <c r="F259" s="99">
        <v>72</v>
      </c>
      <c r="G259" s="99">
        <v>2.48</v>
      </c>
      <c r="H259" s="99">
        <f t="shared" si="6"/>
        <v>178.56</v>
      </c>
      <c r="I259" s="6" t="s">
        <v>325</v>
      </c>
      <c r="J259" s="19" t="s">
        <v>345</v>
      </c>
      <c r="K259" s="88">
        <v>46164</v>
      </c>
      <c r="L259" s="140">
        <v>46160</v>
      </c>
      <c r="M259" s="14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7">
        <v>46127</v>
      </c>
      <c r="B260" s="15" t="str">
        <f>VLOOKUP(C260,'Product List'!A:C,3,0)</f>
        <v>MINI/MOE BENDABLE BIRCHWOOD FENCE</v>
      </c>
      <c r="C260" s="15" t="s">
        <v>34</v>
      </c>
      <c r="D260" s="99">
        <v>30935534</v>
      </c>
      <c r="E260" s="18" t="s">
        <v>142</v>
      </c>
      <c r="F260" s="99">
        <v>72</v>
      </c>
      <c r="G260" s="99">
        <v>5.01</v>
      </c>
      <c r="H260" s="99">
        <f t="shared" si="6"/>
        <v>360.72</v>
      </c>
      <c r="I260" s="6" t="s">
        <v>325</v>
      </c>
      <c r="J260" s="19" t="s">
        <v>347</v>
      </c>
      <c r="K260" s="88">
        <v>46146</v>
      </c>
      <c r="L260" s="140">
        <v>46146</v>
      </c>
      <c r="M260" s="14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7">
        <v>46127</v>
      </c>
      <c r="B261" s="15" t="str">
        <f>VLOOKUP(C261,'Product List'!A:C,3,0)</f>
        <v>MINI/MOE SILENT CRSTL RUN WHEEL LG 8.5-White</v>
      </c>
      <c r="C261" s="15" t="s">
        <v>41</v>
      </c>
      <c r="D261" s="99">
        <v>30935534</v>
      </c>
      <c r="E261" s="18" t="s">
        <v>142</v>
      </c>
      <c r="F261" s="99">
        <v>96</v>
      </c>
      <c r="G261" s="99">
        <v>13.22</v>
      </c>
      <c r="H261" s="99">
        <f t="shared" si="6"/>
        <v>1269.12</v>
      </c>
      <c r="I261" s="6" t="s">
        <v>325</v>
      </c>
      <c r="J261" s="19" t="s">
        <v>347</v>
      </c>
      <c r="K261" s="88">
        <v>46146</v>
      </c>
      <c r="L261" s="140">
        <v>46146</v>
      </c>
      <c r="M261" s="14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7">
        <v>46127</v>
      </c>
      <c r="B262" s="15" t="str">
        <f>VLOOKUP(C262,'Product List'!A:C,3,0)</f>
        <v>MINI/MOE RUFFLE BOWL</v>
      </c>
      <c r="C262" s="15" t="s">
        <v>83</v>
      </c>
      <c r="D262" s="99">
        <v>30935534</v>
      </c>
      <c r="E262" s="18" t="s">
        <v>142</v>
      </c>
      <c r="F262" s="99">
        <v>128</v>
      </c>
      <c r="G262" s="99">
        <v>2.35</v>
      </c>
      <c r="H262" s="99">
        <f t="shared" si="6"/>
        <v>300.8</v>
      </c>
      <c r="I262" s="6" t="s">
        <v>325</v>
      </c>
      <c r="J262" s="19" t="s">
        <v>347</v>
      </c>
      <c r="K262" s="88">
        <v>46146</v>
      </c>
      <c r="L262" s="140">
        <v>46146</v>
      </c>
      <c r="M262" s="14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7">
        <v>46127</v>
      </c>
      <c r="B263" s="15" t="str">
        <f>VLOOKUP(C263,'Product List'!A:C,3,0)</f>
        <v>MMO-CLOUD WATER BOTTLE</v>
      </c>
      <c r="C263" s="15" t="s">
        <v>37</v>
      </c>
      <c r="D263" s="99">
        <v>30935534</v>
      </c>
      <c r="E263" s="18" t="s">
        <v>142</v>
      </c>
      <c r="F263" s="99">
        <v>120</v>
      </c>
      <c r="G263" s="99">
        <v>1.32</v>
      </c>
      <c r="H263" s="99">
        <f t="shared" si="6"/>
        <v>158.4</v>
      </c>
      <c r="I263" s="6" t="s">
        <v>325</v>
      </c>
      <c r="J263" s="19" t="s">
        <v>347</v>
      </c>
      <c r="K263" s="88">
        <v>46146</v>
      </c>
      <c r="L263" s="140">
        <v>46146</v>
      </c>
      <c r="M263" s="14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7">
        <v>46127</v>
      </c>
      <c r="B264" s="15" t="str">
        <f>VLOOKUP(C264,'Product List'!A:C,3,0)</f>
        <v>MMO-STARFISH CASTLE</v>
      </c>
      <c r="C264" s="15" t="s">
        <v>76</v>
      </c>
      <c r="D264" s="99">
        <v>30935534</v>
      </c>
      <c r="E264" s="18" t="s">
        <v>142</v>
      </c>
      <c r="F264" s="99">
        <v>12</v>
      </c>
      <c r="G264" s="99">
        <v>5.32</v>
      </c>
      <c r="H264" s="99">
        <f t="shared" si="6"/>
        <v>63.84</v>
      </c>
      <c r="I264" s="6" t="s">
        <v>325</v>
      </c>
      <c r="J264" s="19" t="s">
        <v>347</v>
      </c>
      <c r="K264" s="88">
        <v>46146</v>
      </c>
      <c r="L264" s="140">
        <v>46146</v>
      </c>
      <c r="M264" s="14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7">
        <v>46127</v>
      </c>
      <c r="B265" s="15" t="str">
        <f>VLOOKUP(C265,'Product List'!A:C,3,0)</f>
        <v>MMO-WAVE BRIDGE</v>
      </c>
      <c r="C265" s="15" t="s">
        <v>82</v>
      </c>
      <c r="D265" s="99">
        <v>30935534</v>
      </c>
      <c r="E265" s="18" t="s">
        <v>142</v>
      </c>
      <c r="F265" s="99">
        <v>32</v>
      </c>
      <c r="G265" s="99">
        <v>4.84</v>
      </c>
      <c r="H265" s="99">
        <f t="shared" si="6"/>
        <v>154.88</v>
      </c>
      <c r="I265" s="6" t="s">
        <v>325</v>
      </c>
      <c r="J265" s="19" t="s">
        <v>347</v>
      </c>
      <c r="K265" s="88">
        <v>46146</v>
      </c>
      <c r="L265" s="140">
        <v>46146</v>
      </c>
      <c r="M265" s="14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7">
        <v>46127</v>
      </c>
      <c r="B266" s="15" t="str">
        <f>VLOOKUP(C266,'Product List'!A:C,3,0)</f>
        <v>MMO-PAPER PEBBLES</v>
      </c>
      <c r="C266" s="20" t="s">
        <v>42</v>
      </c>
      <c r="D266" s="99">
        <v>30935534</v>
      </c>
      <c r="E266" s="18" t="s">
        <v>142</v>
      </c>
      <c r="F266" s="99">
        <v>20</v>
      </c>
      <c r="G266" s="99">
        <v>5.81</v>
      </c>
      <c r="H266" s="99">
        <f t="shared" si="6"/>
        <v>116.2</v>
      </c>
      <c r="I266" s="6" t="s">
        <v>325</v>
      </c>
      <c r="J266" s="19" t="s">
        <v>347</v>
      </c>
      <c r="K266" s="88">
        <v>46146</v>
      </c>
      <c r="L266" s="140">
        <v>46146</v>
      </c>
      <c r="M266" s="14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7">
        <v>46127</v>
      </c>
      <c r="B267" s="15" t="str">
        <f>VLOOKUP(C267,'Product List'!A:C,3,0)</f>
        <v>MINI/MOE TV VIEWING CAGE</v>
      </c>
      <c r="C267" s="15" t="s">
        <v>27</v>
      </c>
      <c r="D267" s="99">
        <v>30935534</v>
      </c>
      <c r="E267" s="18" t="s">
        <v>142</v>
      </c>
      <c r="F267" s="99">
        <v>24</v>
      </c>
      <c r="G267" s="99">
        <v>48.49</v>
      </c>
      <c r="H267" s="99">
        <f t="shared" si="6"/>
        <v>1163.76</v>
      </c>
      <c r="I267" s="6" t="s">
        <v>325</v>
      </c>
      <c r="J267" s="19" t="s">
        <v>347</v>
      </c>
      <c r="K267" s="88">
        <v>46146</v>
      </c>
      <c r="L267" s="140">
        <v>46146</v>
      </c>
      <c r="M267" s="14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7">
        <v>46127</v>
      </c>
      <c r="B268" s="15" t="str">
        <f>VLOOKUP(C268,'Product List'!A:C,3,0)</f>
        <v>MMO-BUBBLE WATER BOTTLE</v>
      </c>
      <c r="C268" s="15" t="s">
        <v>38</v>
      </c>
      <c r="D268" s="99">
        <v>30935534</v>
      </c>
      <c r="E268" s="18" t="s">
        <v>142</v>
      </c>
      <c r="F268" s="99">
        <v>72</v>
      </c>
      <c r="G268" s="99">
        <v>4.35</v>
      </c>
      <c r="H268" s="99">
        <f t="shared" si="6"/>
        <v>313.2</v>
      </c>
      <c r="I268" s="6" t="s">
        <v>325</v>
      </c>
      <c r="J268" s="19" t="s">
        <v>347</v>
      </c>
      <c r="K268" s="88">
        <v>46146</v>
      </c>
      <c r="L268" s="140">
        <v>46146</v>
      </c>
      <c r="M268" s="14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7">
        <v>46127</v>
      </c>
      <c r="B269" s="15" t="str">
        <f>VLOOKUP(C269,'Product List'!A:C,3,0)</f>
        <v>MINI/MOE SILENT CRSTL RUN WHEEL LG 8.5-White</v>
      </c>
      <c r="C269" s="15" t="s">
        <v>41</v>
      </c>
      <c r="D269" s="99">
        <v>30935535</v>
      </c>
      <c r="E269" s="18" t="s">
        <v>142</v>
      </c>
      <c r="F269" s="99">
        <v>88</v>
      </c>
      <c r="G269" s="99">
        <v>13.22</v>
      </c>
      <c r="H269" s="99">
        <f t="shared" si="6"/>
        <v>1163.36</v>
      </c>
      <c r="I269" s="6" t="s">
        <v>325</v>
      </c>
      <c r="J269" s="19" t="s">
        <v>347</v>
      </c>
      <c r="K269" s="88">
        <v>46164</v>
      </c>
      <c r="L269" s="140">
        <v>46160</v>
      </c>
      <c r="M269" s="14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7">
        <v>46127</v>
      </c>
      <c r="B270" s="15" t="str">
        <f>VLOOKUP(C270,'Product List'!A:C,3,0)</f>
        <v>MMO-CLOUD WATER BOTTLE</v>
      </c>
      <c r="C270" s="15" t="s">
        <v>37</v>
      </c>
      <c r="D270" s="99">
        <v>30935535</v>
      </c>
      <c r="E270" s="18" t="s">
        <v>142</v>
      </c>
      <c r="F270" s="99">
        <v>300</v>
      </c>
      <c r="G270" s="99">
        <v>1.32</v>
      </c>
      <c r="H270" s="99">
        <f t="shared" si="6"/>
        <v>396</v>
      </c>
      <c r="I270" s="6" t="s">
        <v>325</v>
      </c>
      <c r="J270" s="19" t="s">
        <v>347</v>
      </c>
      <c r="K270" s="88">
        <v>46164</v>
      </c>
      <c r="L270" s="140">
        <v>46160</v>
      </c>
      <c r="M270" s="14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7">
        <v>46127</v>
      </c>
      <c r="B271" s="15" t="str">
        <f>VLOOKUP(C271,'Product List'!A:C,3,0)</f>
        <v>MMO-WAVE BRIDGE</v>
      </c>
      <c r="C271" s="15" t="s">
        <v>82</v>
      </c>
      <c r="D271" s="99">
        <v>30935535</v>
      </c>
      <c r="E271" s="18" t="s">
        <v>142</v>
      </c>
      <c r="F271" s="99">
        <v>33</v>
      </c>
      <c r="G271" s="99">
        <v>4.84</v>
      </c>
      <c r="H271" s="99">
        <f t="shared" si="6"/>
        <v>159.72</v>
      </c>
      <c r="I271" s="6" t="s">
        <v>325</v>
      </c>
      <c r="J271" s="19" t="s">
        <v>347</v>
      </c>
      <c r="K271" s="88">
        <v>46164</v>
      </c>
      <c r="L271" s="140">
        <v>46160</v>
      </c>
      <c r="M271" s="14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7">
        <v>46127</v>
      </c>
      <c r="B272" s="15" t="str">
        <f>VLOOKUP(C272,'Product List'!A:C,3,0)</f>
        <v>MINI/MOE TV VIEWING CAGE</v>
      </c>
      <c r="C272" s="15" t="s">
        <v>27</v>
      </c>
      <c r="D272" s="99">
        <v>30935535</v>
      </c>
      <c r="E272" s="18" t="s">
        <v>142</v>
      </c>
      <c r="F272" s="99">
        <v>63</v>
      </c>
      <c r="G272" s="99">
        <v>48.49</v>
      </c>
      <c r="H272" s="99">
        <f t="shared" si="6"/>
        <v>3054.87</v>
      </c>
      <c r="I272" s="6" t="s">
        <v>325</v>
      </c>
      <c r="J272" s="19" t="s">
        <v>347</v>
      </c>
      <c r="K272" s="88">
        <v>46164</v>
      </c>
      <c r="L272" s="140">
        <v>46160</v>
      </c>
      <c r="M272" s="14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7">
        <v>46127</v>
      </c>
      <c r="B273" s="15" t="str">
        <f>VLOOKUP(C273,'Product List'!A:C,3,0)</f>
        <v>MMO-BUBBLE WATER BOTTLE</v>
      </c>
      <c r="C273" s="15" t="s">
        <v>38</v>
      </c>
      <c r="D273" s="99">
        <v>30935535</v>
      </c>
      <c r="E273" s="18" t="s">
        <v>142</v>
      </c>
      <c r="F273" s="99">
        <v>294</v>
      </c>
      <c r="G273" s="99">
        <v>4.35</v>
      </c>
      <c r="H273" s="99">
        <f t="shared" si="6"/>
        <v>1278.9</v>
      </c>
      <c r="I273" s="6" t="s">
        <v>325</v>
      </c>
      <c r="J273" s="19" t="s">
        <v>347</v>
      </c>
      <c r="K273" s="88">
        <v>46164</v>
      </c>
      <c r="L273" s="140">
        <v>46160</v>
      </c>
      <c r="M273" s="14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7">
        <v>46127</v>
      </c>
      <c r="B274" s="15" t="str">
        <f>VLOOKUP(C274,'Product List'!A:C,3,0)</f>
        <v>MMO-SHELL PEARL HAMSTER CHEW</v>
      </c>
      <c r="C274" s="15" t="s">
        <v>48</v>
      </c>
      <c r="D274" s="99">
        <v>30935535</v>
      </c>
      <c r="E274" s="18" t="s">
        <v>142</v>
      </c>
      <c r="F274" s="99">
        <v>64</v>
      </c>
      <c r="G274" s="99">
        <v>1.61</v>
      </c>
      <c r="H274" s="99">
        <f t="shared" si="6"/>
        <v>103.04</v>
      </c>
      <c r="I274" s="6" t="s">
        <v>325</v>
      </c>
      <c r="J274" s="19" t="s">
        <v>347</v>
      </c>
      <c r="K274" s="88">
        <v>46164</v>
      </c>
      <c r="L274" s="140">
        <v>46160</v>
      </c>
      <c r="M274" s="14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7">
        <v>46127</v>
      </c>
      <c r="B275" s="15" t="str">
        <f>VLOOKUP(C275,'Product List'!A:C,3,0)</f>
        <v>MMO-GREEN APPLE CHEW</v>
      </c>
      <c r="C275" s="15" t="s">
        <v>39</v>
      </c>
      <c r="D275" s="99">
        <v>30935535</v>
      </c>
      <c r="E275" s="18" t="s">
        <v>142</v>
      </c>
      <c r="F275" s="99">
        <v>48</v>
      </c>
      <c r="G275" s="99">
        <v>1.53</v>
      </c>
      <c r="H275" s="99">
        <f t="shared" si="6"/>
        <v>73.44</v>
      </c>
      <c r="I275" s="6" t="s">
        <v>325</v>
      </c>
      <c r="J275" s="19" t="s">
        <v>347</v>
      </c>
      <c r="K275" s="88">
        <v>46164</v>
      </c>
      <c r="L275" s="140">
        <v>46160</v>
      </c>
      <c r="M275" s="14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7">
        <v>46127</v>
      </c>
      <c r="B276" s="15" t="str">
        <f>VLOOKUP(C276,'Product List'!A:C,3,0)</f>
        <v>MMO-CAMP LUNCH BOX CHEW</v>
      </c>
      <c r="C276" s="15" t="s">
        <v>40</v>
      </c>
      <c r="D276" s="99">
        <v>30935535</v>
      </c>
      <c r="E276" s="18" t="s">
        <v>142</v>
      </c>
      <c r="F276" s="99">
        <v>72</v>
      </c>
      <c r="G276" s="99">
        <v>2.48</v>
      </c>
      <c r="H276" s="99">
        <f t="shared" si="6"/>
        <v>178.56</v>
      </c>
      <c r="I276" s="6" t="s">
        <v>325</v>
      </c>
      <c r="J276" s="19" t="s">
        <v>347</v>
      </c>
      <c r="K276" s="88">
        <v>46164</v>
      </c>
      <c r="L276" s="140">
        <v>46160</v>
      </c>
      <c r="M276" s="14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7">
        <v>46127</v>
      </c>
      <c r="B277" s="15" t="str">
        <f>VLOOKUP(C277,'Product List'!A:C,3,0)</f>
        <v>MINI/MOE BENDABLE BIRCHWOOD FENCE</v>
      </c>
      <c r="C277" s="15" t="s">
        <v>34</v>
      </c>
      <c r="D277" s="99">
        <v>30935536</v>
      </c>
      <c r="E277" s="18" t="s">
        <v>142</v>
      </c>
      <c r="F277" s="99">
        <v>192</v>
      </c>
      <c r="G277" s="99">
        <v>5.01</v>
      </c>
      <c r="H277" s="99">
        <f t="shared" si="6"/>
        <v>961.92</v>
      </c>
      <c r="I277" s="6" t="s">
        <v>325</v>
      </c>
      <c r="J277" s="19" t="s">
        <v>355</v>
      </c>
      <c r="K277" s="88">
        <v>46146</v>
      </c>
      <c r="L277" s="140">
        <v>46146</v>
      </c>
      <c r="M277" s="14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7">
        <v>46127</v>
      </c>
      <c r="B278" s="15" t="str">
        <f>VLOOKUP(C278,'Product List'!A:C,3,0)</f>
        <v>MINI/MOE SILENT CRSTL RUN WHEEL LG 8.5-White</v>
      </c>
      <c r="C278" s="15" t="s">
        <v>41</v>
      </c>
      <c r="D278" s="99">
        <v>30935536</v>
      </c>
      <c r="E278" s="18" t="s">
        <v>142</v>
      </c>
      <c r="F278" s="99">
        <v>112</v>
      </c>
      <c r="G278" s="99">
        <v>13.22</v>
      </c>
      <c r="H278" s="99">
        <f t="shared" si="6"/>
        <v>1480.64</v>
      </c>
      <c r="I278" s="6" t="s">
        <v>325</v>
      </c>
      <c r="J278" s="19" t="s">
        <v>355</v>
      </c>
      <c r="K278" s="88">
        <v>46146</v>
      </c>
      <c r="L278" s="140">
        <v>46146</v>
      </c>
      <c r="M278" s="14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7">
        <v>46127</v>
      </c>
      <c r="B279" s="15" t="str">
        <f>VLOOKUP(C279,'Product List'!A:C,3,0)</f>
        <v>MINI/MOE RUFFLE BOWL</v>
      </c>
      <c r="C279" s="15" t="s">
        <v>83</v>
      </c>
      <c r="D279" s="99">
        <v>30935536</v>
      </c>
      <c r="E279" s="18" t="s">
        <v>142</v>
      </c>
      <c r="F279" s="99">
        <v>128</v>
      </c>
      <c r="G279" s="99">
        <v>2.35</v>
      </c>
      <c r="H279" s="99">
        <f t="shared" si="6"/>
        <v>300.8</v>
      </c>
      <c r="I279" s="6" t="s">
        <v>325</v>
      </c>
      <c r="J279" s="19" t="s">
        <v>355</v>
      </c>
      <c r="K279" s="88">
        <v>46146</v>
      </c>
      <c r="L279" s="140">
        <v>46146</v>
      </c>
      <c r="M279" s="14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7">
        <v>46127</v>
      </c>
      <c r="B280" s="15" t="str">
        <f>VLOOKUP(C280,'Product List'!A:C,3,0)</f>
        <v>MMO-CLOUD WATER BOTTLE</v>
      </c>
      <c r="C280" s="15" t="s">
        <v>37</v>
      </c>
      <c r="D280" s="99">
        <v>30935536</v>
      </c>
      <c r="E280" s="18" t="s">
        <v>142</v>
      </c>
      <c r="F280" s="99">
        <v>120</v>
      </c>
      <c r="G280" s="99">
        <v>1.32</v>
      </c>
      <c r="H280" s="99">
        <f t="shared" si="6"/>
        <v>158.4</v>
      </c>
      <c r="I280" s="6" t="s">
        <v>325</v>
      </c>
      <c r="J280" s="19" t="s">
        <v>355</v>
      </c>
      <c r="K280" s="88">
        <v>46146</v>
      </c>
      <c r="L280" s="140">
        <v>46146</v>
      </c>
      <c r="M280" s="14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7">
        <v>46127</v>
      </c>
      <c r="B281" s="15" t="str">
        <f>VLOOKUP(C281,'Product List'!A:C,3,0)</f>
        <v>MMO-STARFISH CASTLE</v>
      </c>
      <c r="C281" s="15" t="s">
        <v>76</v>
      </c>
      <c r="D281" s="99">
        <v>30935536</v>
      </c>
      <c r="E281" s="18" t="s">
        <v>142</v>
      </c>
      <c r="F281" s="99">
        <v>96</v>
      </c>
      <c r="G281" s="99">
        <v>5.32</v>
      </c>
      <c r="H281" s="99">
        <f t="shared" si="6"/>
        <v>510.72</v>
      </c>
      <c r="I281" s="6" t="s">
        <v>325</v>
      </c>
      <c r="J281" s="19" t="s">
        <v>355</v>
      </c>
      <c r="K281" s="88">
        <v>46146</v>
      </c>
      <c r="L281" s="140">
        <v>46146</v>
      </c>
      <c r="M281" s="14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7">
        <v>46127</v>
      </c>
      <c r="B282" s="15" t="str">
        <f>VLOOKUP(C282,'Product List'!A:C,3,0)</f>
        <v>MMO-WAVE BRIDGE</v>
      </c>
      <c r="C282" s="15" t="s">
        <v>82</v>
      </c>
      <c r="D282" s="99">
        <v>30935536</v>
      </c>
      <c r="E282" s="18" t="s">
        <v>142</v>
      </c>
      <c r="F282" s="99">
        <v>96</v>
      </c>
      <c r="G282" s="99">
        <v>4.84</v>
      </c>
      <c r="H282" s="99">
        <f t="shared" si="6"/>
        <v>464.64</v>
      </c>
      <c r="I282" s="6" t="s">
        <v>325</v>
      </c>
      <c r="J282" s="19" t="s">
        <v>355</v>
      </c>
      <c r="K282" s="88">
        <v>46146</v>
      </c>
      <c r="L282" s="140">
        <v>46146</v>
      </c>
      <c r="M282" s="14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7">
        <v>46127</v>
      </c>
      <c r="B283" s="15" t="str">
        <f>VLOOKUP(C283,'Product List'!A:C,3,0)</f>
        <v>MMO-PAPER PEBBLES</v>
      </c>
      <c r="C283" s="20" t="s">
        <v>42</v>
      </c>
      <c r="D283" s="99">
        <v>30935536</v>
      </c>
      <c r="E283" s="18" t="s">
        <v>142</v>
      </c>
      <c r="F283" s="99">
        <v>90</v>
      </c>
      <c r="G283" s="99">
        <v>5.81</v>
      </c>
      <c r="H283" s="99">
        <f t="shared" si="6"/>
        <v>522.9</v>
      </c>
      <c r="I283" s="6" t="s">
        <v>325</v>
      </c>
      <c r="J283" s="19" t="s">
        <v>355</v>
      </c>
      <c r="K283" s="88">
        <v>46146</v>
      </c>
      <c r="L283" s="140">
        <v>46146</v>
      </c>
      <c r="M283" s="14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7">
        <v>46127</v>
      </c>
      <c r="B284" s="15" t="str">
        <f>VLOOKUP(C284,'Product List'!A:C,3,0)</f>
        <v>MMO-COTTON NESTING BALLS</v>
      </c>
      <c r="C284" s="20" t="s">
        <v>43</v>
      </c>
      <c r="D284" s="99">
        <v>30935536</v>
      </c>
      <c r="E284" s="18" t="s">
        <v>142</v>
      </c>
      <c r="F284" s="99">
        <v>62</v>
      </c>
      <c r="G284" s="99">
        <v>3.37</v>
      </c>
      <c r="H284" s="99">
        <f t="shared" si="6"/>
        <v>208.94</v>
      </c>
      <c r="I284" s="6" t="s">
        <v>325</v>
      </c>
      <c r="J284" s="19" t="s">
        <v>355</v>
      </c>
      <c r="K284" s="88">
        <v>46146</v>
      </c>
      <c r="L284" s="140">
        <v>46146</v>
      </c>
      <c r="M284" s="14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7">
        <v>46127</v>
      </c>
      <c r="B285" s="15" t="str">
        <f>VLOOKUP(C285,'Product List'!A:C,3,0)</f>
        <v>MINI/MOE TV VIEWING CAGE</v>
      </c>
      <c r="C285" s="15" t="s">
        <v>27</v>
      </c>
      <c r="D285" s="99">
        <v>30935536</v>
      </c>
      <c r="E285" s="18" t="s">
        <v>142</v>
      </c>
      <c r="F285" s="99">
        <v>51</v>
      </c>
      <c r="G285" s="99">
        <v>48.49</v>
      </c>
      <c r="H285" s="99">
        <f t="shared" si="6"/>
        <v>2472.99</v>
      </c>
      <c r="I285" s="6" t="s">
        <v>325</v>
      </c>
      <c r="J285" s="19" t="s">
        <v>355</v>
      </c>
      <c r="K285" s="88">
        <v>46146</v>
      </c>
      <c r="L285" s="140">
        <v>46146</v>
      </c>
      <c r="M285" s="14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7">
        <v>46127</v>
      </c>
      <c r="B286" s="15" t="str">
        <f>VLOOKUP(C286,'Product List'!A:C,3,0)</f>
        <v>MMO-BUBBLE WATER BOTTLE</v>
      </c>
      <c r="C286" s="15" t="s">
        <v>38</v>
      </c>
      <c r="D286" s="99">
        <v>30935536</v>
      </c>
      <c r="E286" s="18" t="s">
        <v>142</v>
      </c>
      <c r="F286" s="99">
        <v>72</v>
      </c>
      <c r="G286" s="99">
        <v>4.35</v>
      </c>
      <c r="H286" s="99">
        <f t="shared" si="6"/>
        <v>313.2</v>
      </c>
      <c r="I286" s="6" t="s">
        <v>325</v>
      </c>
      <c r="J286" s="19" t="s">
        <v>355</v>
      </c>
      <c r="K286" s="88">
        <v>46146</v>
      </c>
      <c r="L286" s="140">
        <v>46146</v>
      </c>
      <c r="M286" s="14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7">
        <v>46127</v>
      </c>
      <c r="B287" s="15" t="str">
        <f>VLOOKUP(C287,'Product List'!A:C,3,0)</f>
        <v>MINI/MOE SILENT CRSTL RUN WHEEL LG 8.5-White</v>
      </c>
      <c r="C287" s="15" t="s">
        <v>41</v>
      </c>
      <c r="D287" s="99">
        <v>30935537</v>
      </c>
      <c r="E287" s="18" t="s">
        <v>142</v>
      </c>
      <c r="F287" s="99">
        <v>104</v>
      </c>
      <c r="G287" s="99">
        <v>13.22</v>
      </c>
      <c r="H287" s="99">
        <f t="shared" si="6"/>
        <v>1374.88</v>
      </c>
      <c r="I287" s="6" t="s">
        <v>325</v>
      </c>
      <c r="J287" s="19" t="s">
        <v>355</v>
      </c>
      <c r="K287" s="88">
        <v>46164</v>
      </c>
      <c r="L287" s="140">
        <v>46160</v>
      </c>
      <c r="M287" s="14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7">
        <v>46127</v>
      </c>
      <c r="B288" s="15" t="str">
        <f>VLOOKUP(C288,'Product List'!A:C,3,0)</f>
        <v>MMO-CLOUD WATER BOTTLE</v>
      </c>
      <c r="C288" s="15" t="s">
        <v>37</v>
      </c>
      <c r="D288" s="99">
        <v>30935537</v>
      </c>
      <c r="E288" s="18" t="s">
        <v>142</v>
      </c>
      <c r="F288" s="99">
        <v>350</v>
      </c>
      <c r="G288" s="99">
        <v>1.32</v>
      </c>
      <c r="H288" s="99">
        <f t="shared" si="6"/>
        <v>462</v>
      </c>
      <c r="I288" s="6" t="s">
        <v>325</v>
      </c>
      <c r="J288" s="19" t="s">
        <v>355</v>
      </c>
      <c r="K288" s="88">
        <v>46164</v>
      </c>
      <c r="L288" s="140">
        <v>46160</v>
      </c>
      <c r="M288" s="14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7">
        <v>46127</v>
      </c>
      <c r="B289" s="15" t="str">
        <f>VLOOKUP(C289,'Product List'!A:C,3,0)</f>
        <v>MMO-WAVE BRIDGE</v>
      </c>
      <c r="C289" s="15" t="s">
        <v>82</v>
      </c>
      <c r="D289" s="99">
        <v>30935537</v>
      </c>
      <c r="E289" s="18" t="s">
        <v>142</v>
      </c>
      <c r="F289" s="99">
        <v>96</v>
      </c>
      <c r="G289" s="99">
        <v>4.84</v>
      </c>
      <c r="H289" s="99">
        <f t="shared" si="6"/>
        <v>464.64</v>
      </c>
      <c r="I289" s="6" t="s">
        <v>325</v>
      </c>
      <c r="J289" s="19" t="s">
        <v>355</v>
      </c>
      <c r="K289" s="88">
        <v>46164</v>
      </c>
      <c r="L289" s="140">
        <v>46160</v>
      </c>
      <c r="M289" s="14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7">
        <v>46127</v>
      </c>
      <c r="B290" s="15" t="str">
        <f>VLOOKUP(C290,'Product List'!A:C,3,0)</f>
        <v>MINI/MOE TV VIEWING CAGE</v>
      </c>
      <c r="C290" s="15" t="s">
        <v>27</v>
      </c>
      <c r="D290" s="99">
        <v>30935537</v>
      </c>
      <c r="E290" s="18" t="s">
        <v>142</v>
      </c>
      <c r="F290" s="99">
        <v>131</v>
      </c>
      <c r="G290" s="99">
        <v>48.49</v>
      </c>
      <c r="H290" s="99">
        <f t="shared" ref="H290:H298" si="8">F290*G290</f>
        <v>6352.19</v>
      </c>
      <c r="I290" s="6" t="s">
        <v>325</v>
      </c>
      <c r="J290" s="19" t="s">
        <v>355</v>
      </c>
      <c r="K290" s="88">
        <v>46164</v>
      </c>
      <c r="L290" s="140">
        <v>46160</v>
      </c>
      <c r="M290" s="14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7">
        <v>46127</v>
      </c>
      <c r="B291" s="15" t="str">
        <f>VLOOKUP(C291,'Product List'!A:C,3,0)</f>
        <v>MMO-BUBBLE WATER BOTTLE</v>
      </c>
      <c r="C291" s="15" t="s">
        <v>38</v>
      </c>
      <c r="D291" s="99">
        <v>30935537</v>
      </c>
      <c r="E291" s="18" t="s">
        <v>142</v>
      </c>
      <c r="F291" s="99">
        <v>420</v>
      </c>
      <c r="G291" s="99">
        <v>4.35</v>
      </c>
      <c r="H291" s="99">
        <f t="shared" si="8"/>
        <v>1827</v>
      </c>
      <c r="I291" s="6" t="s">
        <v>325</v>
      </c>
      <c r="J291" s="19" t="s">
        <v>355</v>
      </c>
      <c r="K291" s="88">
        <v>46164</v>
      </c>
      <c r="L291" s="140">
        <v>46160</v>
      </c>
      <c r="M291" s="14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7">
        <v>46127</v>
      </c>
      <c r="B292" s="15" t="str">
        <f>VLOOKUP(C292,'Product List'!A:C,3,0)</f>
        <v>MMO-CAMP LUNCH BOX CHEW</v>
      </c>
      <c r="C292" s="15" t="s">
        <v>40</v>
      </c>
      <c r="D292" s="99">
        <v>30935537</v>
      </c>
      <c r="E292" s="18" t="s">
        <v>142</v>
      </c>
      <c r="F292" s="99">
        <v>72</v>
      </c>
      <c r="G292" s="99">
        <v>2.48</v>
      </c>
      <c r="H292" s="99">
        <f t="shared" si="8"/>
        <v>178.56</v>
      </c>
      <c r="I292" s="6" t="s">
        <v>325</v>
      </c>
      <c r="J292" s="19" t="s">
        <v>355</v>
      </c>
      <c r="K292" s="88">
        <v>46164</v>
      </c>
      <c r="L292" s="140">
        <v>46160</v>
      </c>
      <c r="M292" s="14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7">
        <v>46134</v>
      </c>
      <c r="B293" s="15" t="str">
        <f>VLOOKUP(C293,'Product List'!A:C,3,0)</f>
        <v>MINI/MOE TV VIEWING CAGE</v>
      </c>
      <c r="C293" s="147" t="s">
        <v>27</v>
      </c>
      <c r="D293" s="99">
        <v>454343202</v>
      </c>
      <c r="E293" s="6" t="s">
        <v>356</v>
      </c>
      <c r="F293" s="99">
        <v>561</v>
      </c>
      <c r="G293" s="99">
        <v>46.4508</v>
      </c>
      <c r="H293" s="99">
        <f t="shared" si="8"/>
        <v>26058.8988</v>
      </c>
      <c r="I293" s="6" t="s">
        <v>357</v>
      </c>
      <c r="J293" s="19" t="s">
        <v>358</v>
      </c>
      <c r="K293" s="139">
        <v>46230</v>
      </c>
      <c r="L293" s="140">
        <v>46233</v>
      </c>
      <c r="M293" s="14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7">
        <v>46134</v>
      </c>
      <c r="B294" s="15" t="str">
        <f>VLOOKUP(C294,'Product List'!A:C,3,0)</f>
        <v>MINI/MOE TV VIEWING CAGE</v>
      </c>
      <c r="C294" s="147" t="s">
        <v>27</v>
      </c>
      <c r="D294" s="99">
        <v>454343203</v>
      </c>
      <c r="E294" s="6" t="s">
        <v>359</v>
      </c>
      <c r="F294" s="99">
        <v>720</v>
      </c>
      <c r="G294" s="99">
        <v>46.4508</v>
      </c>
      <c r="H294" s="99">
        <f t="shared" si="8"/>
        <v>33444.576</v>
      </c>
      <c r="I294" s="6" t="s">
        <v>357</v>
      </c>
      <c r="J294" s="19" t="s">
        <v>360</v>
      </c>
      <c r="K294" s="139">
        <v>46226</v>
      </c>
      <c r="L294" s="140">
        <v>46232</v>
      </c>
      <c r="M294" s="14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7">
        <v>46134</v>
      </c>
      <c r="B295" s="15" t="str">
        <f>VLOOKUP(C295,'Product List'!A:C,3,0)</f>
        <v>MINI/MOE TV VIEWING CAGE</v>
      </c>
      <c r="C295" s="147" t="s">
        <v>27</v>
      </c>
      <c r="D295" s="99">
        <v>454343204</v>
      </c>
      <c r="E295" s="6" t="s">
        <v>361</v>
      </c>
      <c r="F295" s="99">
        <v>720</v>
      </c>
      <c r="G295" s="99">
        <v>46.4508</v>
      </c>
      <c r="H295" s="99">
        <f t="shared" si="8"/>
        <v>33444.576</v>
      </c>
      <c r="I295" s="6" t="s">
        <v>357</v>
      </c>
      <c r="J295" s="19" t="s">
        <v>362</v>
      </c>
      <c r="K295" s="139">
        <v>46226</v>
      </c>
      <c r="L295" s="140">
        <v>46232</v>
      </c>
      <c r="M295" s="14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7">
        <v>46134</v>
      </c>
      <c r="B296" s="15" t="str">
        <f>VLOOKUP(C296,'Product List'!A:C,3,0)</f>
        <v>MINI/MOE TV VIEWING CAGE</v>
      </c>
      <c r="C296" s="147" t="s">
        <v>27</v>
      </c>
      <c r="D296" s="99">
        <v>454343205</v>
      </c>
      <c r="E296" s="6" t="s">
        <v>363</v>
      </c>
      <c r="F296" s="99">
        <v>720</v>
      </c>
      <c r="G296" s="99">
        <v>46.4508</v>
      </c>
      <c r="H296" s="99">
        <f t="shared" si="8"/>
        <v>33444.576</v>
      </c>
      <c r="I296" s="6" t="s">
        <v>357</v>
      </c>
      <c r="J296" s="19" t="s">
        <v>364</v>
      </c>
      <c r="K296" s="139">
        <v>46226</v>
      </c>
      <c r="L296" s="140">
        <v>46239</v>
      </c>
      <c r="M296" s="14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7">
        <v>46134</v>
      </c>
      <c r="B297" s="147" t="str">
        <f>VLOOKUP(C297,'Product List'!A:C,3,0)</f>
        <v>MINI/MOE TV VIEWING CAGE</v>
      </c>
      <c r="C297" s="147" t="s">
        <v>27</v>
      </c>
      <c r="D297" s="132">
        <v>454343206</v>
      </c>
      <c r="E297" s="148" t="s">
        <v>365</v>
      </c>
      <c r="F297" s="132">
        <v>649</v>
      </c>
      <c r="G297" s="132">
        <v>46.4508</v>
      </c>
      <c r="H297" s="132">
        <f t="shared" si="8"/>
        <v>30146.5692</v>
      </c>
      <c r="I297" s="148" t="s">
        <v>357</v>
      </c>
      <c r="J297" s="149" t="s">
        <v>366</v>
      </c>
      <c r="K297" s="139">
        <v>46230</v>
      </c>
      <c r="L297" s="140">
        <v>46239</v>
      </c>
      <c r="M297" s="14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7">
        <v>46134</v>
      </c>
      <c r="B298" s="15" t="str">
        <f>VLOOKUP(C298,'Product List'!A:C,3,0)</f>
        <v>MINI/MOE TV VIEWING CAGE</v>
      </c>
      <c r="C298" s="147" t="s">
        <v>27</v>
      </c>
      <c r="D298" s="99">
        <v>454343207</v>
      </c>
      <c r="E298" s="6" t="s">
        <v>367</v>
      </c>
      <c r="F298" s="99">
        <v>720</v>
      </c>
      <c r="G298" s="99">
        <v>46.4508</v>
      </c>
      <c r="H298" s="99">
        <f t="shared" si="8"/>
        <v>33444.576</v>
      </c>
      <c r="I298" s="6" t="s">
        <v>357</v>
      </c>
      <c r="J298" s="19" t="s">
        <v>368</v>
      </c>
      <c r="K298" s="139">
        <v>46227</v>
      </c>
      <c r="L298" s="140">
        <v>46231</v>
      </c>
      <c r="M298" s="14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7">
        <v>46143</v>
      </c>
      <c r="B299" s="15" t="str">
        <f>VLOOKUP(C299,'Product List'!A:C,3,0)</f>
        <v>MINI/MOE SILENT CRSTL RUN WHEEL LG 8.5-White</v>
      </c>
      <c r="C299" s="19" t="s">
        <v>41</v>
      </c>
      <c r="D299" s="99">
        <v>31068083</v>
      </c>
      <c r="E299" s="6" t="s">
        <v>369</v>
      </c>
      <c r="F299" s="99">
        <v>128</v>
      </c>
      <c r="G299" s="99">
        <v>13.22</v>
      </c>
      <c r="H299" s="99">
        <f t="shared" ref="H299:H342" si="10">F299*G299</f>
        <v>1692.16</v>
      </c>
      <c r="I299" s="6" t="s">
        <v>325</v>
      </c>
      <c r="J299" s="19" t="s">
        <v>351</v>
      </c>
      <c r="K299" s="88">
        <v>46181</v>
      </c>
      <c r="L299" s="140">
        <v>46178</v>
      </c>
      <c r="M299" s="142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7">
        <v>46143</v>
      </c>
      <c r="B300" s="15" t="str">
        <f>VLOOKUP(C300,'Product List'!A:C,3,0)</f>
        <v>MMO-CLOUD WATER BOTTLE</v>
      </c>
      <c r="C300" s="19" t="s">
        <v>37</v>
      </c>
      <c r="D300" s="99">
        <v>31068083</v>
      </c>
      <c r="E300" s="6" t="s">
        <v>369</v>
      </c>
      <c r="F300" s="99">
        <v>300</v>
      </c>
      <c r="G300" s="99">
        <v>1.32</v>
      </c>
      <c r="H300" s="99">
        <f t="shared" si="10"/>
        <v>396</v>
      </c>
      <c r="I300" s="6" t="s">
        <v>325</v>
      </c>
      <c r="J300" s="19" t="s">
        <v>351</v>
      </c>
      <c r="K300" s="88">
        <v>46181</v>
      </c>
      <c r="L300" s="140">
        <v>46178</v>
      </c>
      <c r="M300" s="14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7">
        <v>46143</v>
      </c>
      <c r="B301" s="15" t="str">
        <f>VLOOKUP(C301,'Product List'!A:C,3,0)</f>
        <v>MMO-BUBBLE WATER BOTTLE</v>
      </c>
      <c r="C301" s="19" t="s">
        <v>38</v>
      </c>
      <c r="D301" s="99">
        <v>31068083</v>
      </c>
      <c r="E301" s="6" t="s">
        <v>369</v>
      </c>
      <c r="F301" s="99">
        <v>210</v>
      </c>
      <c r="G301" s="99">
        <v>4.35</v>
      </c>
      <c r="H301" s="99">
        <f t="shared" si="10"/>
        <v>913.5</v>
      </c>
      <c r="I301" s="6" t="s">
        <v>325</v>
      </c>
      <c r="J301" s="19" t="s">
        <v>351</v>
      </c>
      <c r="K301" s="88">
        <v>46181</v>
      </c>
      <c r="L301" s="140">
        <v>46178</v>
      </c>
      <c r="M301" s="14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7">
        <v>46143</v>
      </c>
      <c r="B302" s="15" t="str">
        <f>VLOOKUP(C302,'Product List'!A:C,3,0)</f>
        <v>MINI/MOE SILENT CRSTL RUN WHEEL LG 8.5-White</v>
      </c>
      <c r="C302" s="19" t="s">
        <v>41</v>
      </c>
      <c r="D302" s="99">
        <v>31068084</v>
      </c>
      <c r="E302" s="6" t="s">
        <v>370</v>
      </c>
      <c r="F302" s="99">
        <v>56</v>
      </c>
      <c r="G302" s="99">
        <v>13.22</v>
      </c>
      <c r="H302" s="99">
        <f t="shared" si="10"/>
        <v>740.32</v>
      </c>
      <c r="I302" s="6" t="s">
        <v>325</v>
      </c>
      <c r="J302" s="19" t="s">
        <v>347</v>
      </c>
      <c r="K302" s="139">
        <v>46209</v>
      </c>
      <c r="L302" s="140">
        <v>46195</v>
      </c>
      <c r="M302" s="14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7">
        <v>46143</v>
      </c>
      <c r="B303" s="15" t="str">
        <f>VLOOKUP(C303,'Product List'!A:C,3,0)</f>
        <v>MMO-BUBBLE WATER BOTTLE</v>
      </c>
      <c r="C303" s="19" t="s">
        <v>38</v>
      </c>
      <c r="D303" s="99">
        <v>31068084</v>
      </c>
      <c r="E303" s="6" t="s">
        <v>370</v>
      </c>
      <c r="F303" s="99">
        <v>126</v>
      </c>
      <c r="G303" s="99">
        <v>4.35</v>
      </c>
      <c r="H303" s="99">
        <f t="shared" si="10"/>
        <v>548.1</v>
      </c>
      <c r="I303" s="6" t="s">
        <v>325</v>
      </c>
      <c r="J303" s="19" t="s">
        <v>347</v>
      </c>
      <c r="K303" s="139">
        <v>46209</v>
      </c>
      <c r="L303" s="140">
        <v>46195</v>
      </c>
      <c r="M303" s="14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7">
        <v>46143</v>
      </c>
      <c r="B304" s="15" t="str">
        <f>VLOOKUP(C304,'Product List'!A:C,3,0)</f>
        <v>MINI/MOE BENDABLE BIRCHWOOD FENCE</v>
      </c>
      <c r="C304" s="19" t="s">
        <v>34</v>
      </c>
      <c r="D304" s="99">
        <v>31068084</v>
      </c>
      <c r="E304" s="6" t="s">
        <v>370</v>
      </c>
      <c r="F304" s="99">
        <v>32</v>
      </c>
      <c r="G304" s="99">
        <v>5.01</v>
      </c>
      <c r="H304" s="99">
        <f t="shared" si="10"/>
        <v>160.32</v>
      </c>
      <c r="I304" s="6" t="s">
        <v>325</v>
      </c>
      <c r="J304" s="19" t="s">
        <v>347</v>
      </c>
      <c r="K304" s="139">
        <v>46209</v>
      </c>
      <c r="L304" s="140">
        <v>46195</v>
      </c>
      <c r="M304" s="14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7">
        <v>46143</v>
      </c>
      <c r="B305" s="15" t="str">
        <f>VLOOKUP(C305,'Product List'!A:C,3,0)</f>
        <v>MMO-STARFISH CASTLE</v>
      </c>
      <c r="C305" s="19" t="s">
        <v>76</v>
      </c>
      <c r="D305" s="99">
        <v>31068084</v>
      </c>
      <c r="E305" s="6" t="s">
        <v>370</v>
      </c>
      <c r="F305" s="99">
        <v>60</v>
      </c>
      <c r="G305" s="99">
        <v>5.32</v>
      </c>
      <c r="H305" s="99">
        <f t="shared" si="10"/>
        <v>319.2</v>
      </c>
      <c r="I305" s="6" t="s">
        <v>325</v>
      </c>
      <c r="J305" s="19" t="s">
        <v>347</v>
      </c>
      <c r="K305" s="139">
        <v>46209</v>
      </c>
      <c r="L305" s="140">
        <v>46195</v>
      </c>
      <c r="M305" s="14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7">
        <v>46143</v>
      </c>
      <c r="B306" s="15" t="str">
        <f>VLOOKUP(C306,'Product List'!A:C,3,0)</f>
        <v>MMO-WAVE BRIDGE</v>
      </c>
      <c r="C306" s="19" t="s">
        <v>82</v>
      </c>
      <c r="D306" s="99">
        <v>31068084</v>
      </c>
      <c r="E306" s="6" t="s">
        <v>370</v>
      </c>
      <c r="F306" s="99">
        <v>99</v>
      </c>
      <c r="G306" s="99">
        <v>4.84</v>
      </c>
      <c r="H306" s="99">
        <f t="shared" si="10"/>
        <v>479.16</v>
      </c>
      <c r="I306" s="6" t="s">
        <v>325</v>
      </c>
      <c r="J306" s="19" t="s">
        <v>347</v>
      </c>
      <c r="K306" s="139">
        <v>46209</v>
      </c>
      <c r="L306" s="140">
        <v>46195</v>
      </c>
      <c r="M306" s="14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7">
        <v>46143</v>
      </c>
      <c r="B307" s="15" t="str">
        <f>VLOOKUP(C307,'Product List'!A:C,3,0)</f>
        <v>MMO-PAPER PEBBLES</v>
      </c>
      <c r="C307" s="6" t="s">
        <v>42</v>
      </c>
      <c r="D307" s="99">
        <v>31068084</v>
      </c>
      <c r="E307" s="6" t="s">
        <v>370</v>
      </c>
      <c r="F307" s="99">
        <v>12</v>
      </c>
      <c r="G307" s="99">
        <v>5.81</v>
      </c>
      <c r="H307" s="99">
        <f t="shared" si="10"/>
        <v>69.72</v>
      </c>
      <c r="I307" s="6" t="s">
        <v>325</v>
      </c>
      <c r="J307" s="19" t="s">
        <v>347</v>
      </c>
      <c r="K307" s="139">
        <v>46209</v>
      </c>
      <c r="L307" s="140">
        <v>46195</v>
      </c>
      <c r="M307" s="14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7">
        <v>46143</v>
      </c>
      <c r="B308" s="15" t="str">
        <f>VLOOKUP(C308,'Product List'!A:C,3,0)</f>
        <v>MMO-PAPER TWIST BLU/WHT</v>
      </c>
      <c r="C308" s="6" t="s">
        <v>44</v>
      </c>
      <c r="D308" s="99">
        <v>31068084</v>
      </c>
      <c r="E308" s="6" t="s">
        <v>370</v>
      </c>
      <c r="F308" s="99">
        <v>60</v>
      </c>
      <c r="G308" s="99">
        <v>3.89</v>
      </c>
      <c r="H308" s="99">
        <f t="shared" si="10"/>
        <v>233.4</v>
      </c>
      <c r="I308" s="6" t="s">
        <v>325</v>
      </c>
      <c r="J308" s="19" t="s">
        <v>347</v>
      </c>
      <c r="K308" s="139">
        <v>46209</v>
      </c>
      <c r="L308" s="140">
        <v>46195</v>
      </c>
      <c r="M308" s="14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7">
        <v>46143</v>
      </c>
      <c r="B309" s="15" t="str">
        <f>VLOOKUP(C309,'Product List'!A:C,3,0)</f>
        <v>MMO-COTTON NESTING BALLS</v>
      </c>
      <c r="C309" s="6" t="s">
        <v>43</v>
      </c>
      <c r="D309" s="99">
        <v>31068084</v>
      </c>
      <c r="E309" s="6" t="s">
        <v>370</v>
      </c>
      <c r="F309" s="99">
        <v>192</v>
      </c>
      <c r="G309" s="99">
        <v>3.37</v>
      </c>
      <c r="H309" s="99">
        <f t="shared" si="10"/>
        <v>647.04</v>
      </c>
      <c r="I309" s="6" t="s">
        <v>325</v>
      </c>
      <c r="J309" s="19" t="s">
        <v>347</v>
      </c>
      <c r="K309" s="139">
        <v>46209</v>
      </c>
      <c r="L309" s="140">
        <v>46195</v>
      </c>
      <c r="M309" s="14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7">
        <v>46155</v>
      </c>
      <c r="B310" s="150" t="str">
        <f>VLOOKUP(C310,'Product List'!A:C,3,0)</f>
        <v>MINI/MOE RUFFLE BOWL</v>
      </c>
      <c r="C310" s="151" t="s">
        <v>83</v>
      </c>
      <c r="D310" s="151" t="s">
        <v>371</v>
      </c>
      <c r="E310" s="151"/>
      <c r="F310" s="152">
        <v>8</v>
      </c>
      <c r="G310" s="152">
        <v>0</v>
      </c>
      <c r="H310" s="99">
        <f t="shared" si="10"/>
        <v>0</v>
      </c>
      <c r="I310" s="19" t="s">
        <v>372</v>
      </c>
      <c r="J310" s="19" t="s">
        <v>373</v>
      </c>
      <c r="K310" s="88">
        <v>46155</v>
      </c>
      <c r="L310" s="140">
        <v>46155</v>
      </c>
      <c r="M310" s="14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7">
        <v>46155</v>
      </c>
      <c r="B311" s="150" t="str">
        <f>VLOOKUP(C311,'Product List'!A:C,3,0)</f>
        <v>MINI/MOE BENDABLE BIRCHWOOD FENCE</v>
      </c>
      <c r="C311" s="151" t="s">
        <v>34</v>
      </c>
      <c r="D311" s="151" t="s">
        <v>371</v>
      </c>
      <c r="E311" s="151"/>
      <c r="F311" s="152">
        <v>18</v>
      </c>
      <c r="G311" s="152">
        <v>0</v>
      </c>
      <c r="H311" s="99">
        <f t="shared" si="10"/>
        <v>0</v>
      </c>
      <c r="I311" s="19" t="s">
        <v>372</v>
      </c>
      <c r="J311" s="19" t="s">
        <v>373</v>
      </c>
      <c r="K311" s="88">
        <v>46155</v>
      </c>
      <c r="L311" s="140">
        <v>46155</v>
      </c>
      <c r="M311" s="14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7">
        <v>46155</v>
      </c>
      <c r="B312" s="150" t="str">
        <f>VLOOKUP(C312,'Product List'!A:C,3,0)</f>
        <v>MINI/MOE SILENT CRSTL RUN WHEEL LG 8.5-White</v>
      </c>
      <c r="C312" s="151" t="s">
        <v>41</v>
      </c>
      <c r="D312" s="151" t="s">
        <v>371</v>
      </c>
      <c r="E312" s="151"/>
      <c r="F312" s="152">
        <v>4</v>
      </c>
      <c r="G312" s="152">
        <v>0</v>
      </c>
      <c r="H312" s="99">
        <f t="shared" si="10"/>
        <v>0</v>
      </c>
      <c r="I312" s="19" t="s">
        <v>372</v>
      </c>
      <c r="J312" s="19" t="s">
        <v>373</v>
      </c>
      <c r="K312" s="88">
        <v>46155</v>
      </c>
      <c r="L312" s="140">
        <v>46155</v>
      </c>
      <c r="M312" s="14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7">
        <v>46155</v>
      </c>
      <c r="B313" s="150" t="str">
        <f>VLOOKUP(C313,'Product List'!A:C,3,0)</f>
        <v>MMO-COTTON NESTING BALLS</v>
      </c>
      <c r="C313" s="153" t="s">
        <v>43</v>
      </c>
      <c r="D313" s="151" t="s">
        <v>371</v>
      </c>
      <c r="E313" s="151"/>
      <c r="F313" s="152">
        <v>8</v>
      </c>
      <c r="G313" s="152">
        <v>0</v>
      </c>
      <c r="H313" s="99">
        <f t="shared" si="10"/>
        <v>0</v>
      </c>
      <c r="I313" s="19" t="s">
        <v>372</v>
      </c>
      <c r="J313" s="19" t="s">
        <v>373</v>
      </c>
      <c r="K313" s="88">
        <v>46155</v>
      </c>
      <c r="L313" s="140">
        <v>46155</v>
      </c>
      <c r="M313" s="14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7">
        <v>46155</v>
      </c>
      <c r="B314" s="150" t="str">
        <f>VLOOKUP(C314,'Product List'!A:C,3,0)</f>
        <v>MMO-PAPER PEBBLES</v>
      </c>
      <c r="C314" s="153" t="s">
        <v>42</v>
      </c>
      <c r="D314" s="151" t="s">
        <v>371</v>
      </c>
      <c r="E314" s="151"/>
      <c r="F314" s="152">
        <v>9</v>
      </c>
      <c r="G314" s="152">
        <v>0</v>
      </c>
      <c r="H314" s="99">
        <f t="shared" si="10"/>
        <v>0</v>
      </c>
      <c r="I314" s="19" t="s">
        <v>372</v>
      </c>
      <c r="J314" s="19" t="s">
        <v>373</v>
      </c>
      <c r="K314" s="88">
        <v>46155</v>
      </c>
      <c r="L314" s="140">
        <v>46155</v>
      </c>
      <c r="M314" s="14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7">
        <v>46155</v>
      </c>
      <c r="B315" s="150" t="str">
        <f>VLOOKUP(C315,'Product List'!A:C,3,0)</f>
        <v>MMO-PAPER TWIST BLU/WHT</v>
      </c>
      <c r="C315" s="153" t="s">
        <v>44</v>
      </c>
      <c r="D315" s="151" t="s">
        <v>371</v>
      </c>
      <c r="E315" s="151"/>
      <c r="F315" s="152">
        <v>6</v>
      </c>
      <c r="G315" s="152">
        <v>0</v>
      </c>
      <c r="H315" s="99">
        <f t="shared" si="10"/>
        <v>0</v>
      </c>
      <c r="I315" s="19" t="s">
        <v>372</v>
      </c>
      <c r="J315" s="19" t="s">
        <v>373</v>
      </c>
      <c r="K315" s="88">
        <v>46155</v>
      </c>
      <c r="L315" s="140">
        <v>46155</v>
      </c>
      <c r="M315" s="14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7">
        <v>46155</v>
      </c>
      <c r="B316" s="150" t="str">
        <f>VLOOKUP(C316,'Product List'!A:C,3,0)</f>
        <v>MMO-STARFISH CASTLE</v>
      </c>
      <c r="C316" s="151" t="s">
        <v>76</v>
      </c>
      <c r="D316" s="151" t="s">
        <v>371</v>
      </c>
      <c r="E316" s="151"/>
      <c r="F316" s="152">
        <v>12</v>
      </c>
      <c r="G316" s="152">
        <v>0</v>
      </c>
      <c r="H316" s="99">
        <f t="shared" si="10"/>
        <v>0</v>
      </c>
      <c r="I316" s="19" t="s">
        <v>372</v>
      </c>
      <c r="J316" s="19" t="s">
        <v>373</v>
      </c>
      <c r="K316" s="88">
        <v>46155</v>
      </c>
      <c r="L316" s="140">
        <v>46155</v>
      </c>
      <c r="M316" s="14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7">
        <v>46150</v>
      </c>
      <c r="B317" s="15" t="str">
        <f>VLOOKUP(C317,'Product List'!A:C,3,0)</f>
        <v>MINI/MOE GARDEN TEAPOT</v>
      </c>
      <c r="C317" s="19" t="s">
        <v>73</v>
      </c>
      <c r="D317" s="19" t="s">
        <v>374</v>
      </c>
      <c r="E317" s="19"/>
      <c r="F317" s="99">
        <v>60</v>
      </c>
      <c r="G317" s="99">
        <v>4.61</v>
      </c>
      <c r="H317" s="99">
        <f t="shared" si="10"/>
        <v>276.6</v>
      </c>
      <c r="I317" s="6" t="s">
        <v>334</v>
      </c>
      <c r="J317" s="19" t="s">
        <v>341</v>
      </c>
      <c r="K317" s="88">
        <v>46174</v>
      </c>
      <c r="L317" s="140">
        <v>46164</v>
      </c>
      <c r="M317" s="14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7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374</v>
      </c>
      <c r="E318" s="19"/>
      <c r="F318" s="99">
        <v>60</v>
      </c>
      <c r="G318" s="99">
        <v>1.7</v>
      </c>
      <c r="H318" s="99">
        <f t="shared" si="10"/>
        <v>102</v>
      </c>
      <c r="I318" s="6" t="s">
        <v>334</v>
      </c>
      <c r="J318" s="19" t="s">
        <v>341</v>
      </c>
      <c r="K318" s="88">
        <v>46174</v>
      </c>
      <c r="L318" s="140">
        <v>46164</v>
      </c>
      <c r="M318" s="142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7">
        <v>46150</v>
      </c>
      <c r="B319" s="15" t="str">
        <f>VLOOKUP(C319,'Product List'!A:C,3,0)</f>
        <v>MINI/MOE TREEHOUSE CABIN</v>
      </c>
      <c r="C319" s="19" t="s">
        <v>79</v>
      </c>
      <c r="D319" s="19" t="s">
        <v>374</v>
      </c>
      <c r="E319" s="19"/>
      <c r="F319" s="99">
        <v>120</v>
      </c>
      <c r="G319" s="99">
        <v>4.28</v>
      </c>
      <c r="H319" s="99">
        <f t="shared" si="10"/>
        <v>513.6</v>
      </c>
      <c r="I319" s="6" t="s">
        <v>334</v>
      </c>
      <c r="J319" s="19" t="s">
        <v>341</v>
      </c>
      <c r="K319" s="88">
        <v>46174</v>
      </c>
      <c r="L319" s="140">
        <v>46164</v>
      </c>
      <c r="M319" s="142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7">
        <v>46150</v>
      </c>
      <c r="B320" s="15" t="str">
        <f>VLOOKUP(C320,'Product List'!A:C,3,0)</f>
        <v>MINI/MOE MUSHROOM CABIN</v>
      </c>
      <c r="C320" s="19" t="s">
        <v>33</v>
      </c>
      <c r="D320" s="19" t="s">
        <v>374</v>
      </c>
      <c r="E320" s="19"/>
      <c r="F320" s="99">
        <v>128</v>
      </c>
      <c r="G320" s="99">
        <v>6.98</v>
      </c>
      <c r="H320" s="99">
        <f t="shared" si="10"/>
        <v>893.44</v>
      </c>
      <c r="I320" s="6" t="s">
        <v>334</v>
      </c>
      <c r="J320" s="19" t="s">
        <v>341</v>
      </c>
      <c r="K320" s="88">
        <v>46174</v>
      </c>
      <c r="L320" s="140">
        <v>46164</v>
      </c>
      <c r="M320" s="142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7">
        <v>46150</v>
      </c>
      <c r="B321" s="15" t="str">
        <f>VLOOKUP(C321,'Product List'!A:C,3,0)</f>
        <v>MINI/MOE CAMPING TENT HIDE</v>
      </c>
      <c r="C321" s="19" t="s">
        <v>25</v>
      </c>
      <c r="D321" s="19" t="s">
        <v>374</v>
      </c>
      <c r="E321" s="19"/>
      <c r="F321" s="99">
        <v>132</v>
      </c>
      <c r="G321" s="99">
        <v>3.36</v>
      </c>
      <c r="H321" s="99">
        <f t="shared" si="10"/>
        <v>443.52</v>
      </c>
      <c r="I321" s="6" t="s">
        <v>334</v>
      </c>
      <c r="J321" s="19" t="s">
        <v>341</v>
      </c>
      <c r="K321" s="88">
        <v>46174</v>
      </c>
      <c r="L321" s="140">
        <v>46164</v>
      </c>
      <c r="M321" s="142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7">
        <v>46150</v>
      </c>
      <c r="B322" s="15" t="str">
        <f>VLOOKUP(C322,'Product List'!A:C,3,0)</f>
        <v>MINI/MOE GARDEN TEAPOT</v>
      </c>
      <c r="C322" s="19" t="s">
        <v>73</v>
      </c>
      <c r="D322" s="19" t="s">
        <v>375</v>
      </c>
      <c r="E322" s="19"/>
      <c r="F322" s="99">
        <v>150</v>
      </c>
      <c r="G322" s="99">
        <v>4.61</v>
      </c>
      <c r="H322" s="99">
        <f t="shared" si="10"/>
        <v>691.5</v>
      </c>
      <c r="I322" s="6" t="s">
        <v>334</v>
      </c>
      <c r="J322" s="19" t="s">
        <v>335</v>
      </c>
      <c r="K322" s="88">
        <v>46174</v>
      </c>
      <c r="L322" s="140">
        <v>46168</v>
      </c>
      <c r="M322" s="142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7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375</v>
      </c>
      <c r="E323" s="19"/>
      <c r="F323" s="99">
        <v>120</v>
      </c>
      <c r="G323" s="99">
        <v>1.7</v>
      </c>
      <c r="H323" s="99">
        <f t="shared" si="10"/>
        <v>204</v>
      </c>
      <c r="I323" s="6" t="s">
        <v>334</v>
      </c>
      <c r="J323" s="19" t="s">
        <v>335</v>
      </c>
      <c r="K323" s="88">
        <v>46174</v>
      </c>
      <c r="L323" s="140">
        <v>46168</v>
      </c>
      <c r="M323" s="142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7">
        <v>46150</v>
      </c>
      <c r="B324" s="15" t="str">
        <f>VLOOKUP(C324,'Product List'!A:C,3,0)</f>
        <v>MINI/MOE TREEHOUSE CABIN</v>
      </c>
      <c r="C324" s="19" t="s">
        <v>79</v>
      </c>
      <c r="D324" s="19" t="s">
        <v>375</v>
      </c>
      <c r="E324" s="19"/>
      <c r="F324" s="99">
        <v>450</v>
      </c>
      <c r="G324" s="99">
        <v>4.28</v>
      </c>
      <c r="H324" s="99">
        <f t="shared" si="10"/>
        <v>1926</v>
      </c>
      <c r="I324" s="6" t="s">
        <v>334</v>
      </c>
      <c r="J324" s="19" t="s">
        <v>335</v>
      </c>
      <c r="K324" s="88">
        <v>46174</v>
      </c>
      <c r="L324" s="140">
        <v>46168</v>
      </c>
      <c r="M324" s="142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7">
        <v>46150</v>
      </c>
      <c r="B325" s="15" t="str">
        <f>VLOOKUP(C325,'Product List'!A:C,3,0)</f>
        <v>MINI/MOE MUSHROOM CABIN</v>
      </c>
      <c r="C325" s="19" t="s">
        <v>33</v>
      </c>
      <c r="D325" s="19" t="s">
        <v>375</v>
      </c>
      <c r="E325" s="19"/>
      <c r="F325" s="99">
        <v>400</v>
      </c>
      <c r="G325" s="99">
        <v>6.98</v>
      </c>
      <c r="H325" s="99">
        <f t="shared" si="10"/>
        <v>2792</v>
      </c>
      <c r="I325" s="6" t="s">
        <v>334</v>
      </c>
      <c r="J325" s="19" t="s">
        <v>335</v>
      </c>
      <c r="K325" s="88">
        <v>46174</v>
      </c>
      <c r="L325" s="140">
        <v>46168</v>
      </c>
      <c r="M325" s="142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7">
        <v>46150</v>
      </c>
      <c r="B326" s="15" t="str">
        <f>VLOOKUP(C326,'Product List'!A:C,3,0)</f>
        <v>MINI/MOE CAMPING TENT HIDE</v>
      </c>
      <c r="C326" s="19" t="s">
        <v>25</v>
      </c>
      <c r="D326" s="19" t="s">
        <v>375</v>
      </c>
      <c r="E326" s="19"/>
      <c r="F326" s="99">
        <v>444</v>
      </c>
      <c r="G326" s="99">
        <v>3.36</v>
      </c>
      <c r="H326" s="99">
        <f t="shared" si="10"/>
        <v>1491.84</v>
      </c>
      <c r="I326" s="6" t="s">
        <v>334</v>
      </c>
      <c r="J326" s="19" t="s">
        <v>335</v>
      </c>
      <c r="K326" s="88">
        <v>46174</v>
      </c>
      <c r="L326" s="140">
        <v>46168</v>
      </c>
      <c r="M326" s="142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7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375</v>
      </c>
      <c r="E327" s="19"/>
      <c r="F327" s="99">
        <v>48</v>
      </c>
      <c r="G327" s="99">
        <v>12.63</v>
      </c>
      <c r="H327" s="99">
        <f t="shared" si="10"/>
        <v>606.24</v>
      </c>
      <c r="I327" s="6" t="s">
        <v>334</v>
      </c>
      <c r="J327" s="19" t="s">
        <v>335</v>
      </c>
      <c r="K327" s="88">
        <v>46174</v>
      </c>
      <c r="L327" s="140">
        <v>46168</v>
      </c>
      <c r="M327" s="142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7">
        <v>46150</v>
      </c>
      <c r="B328" s="15" t="str">
        <f>VLOOKUP(C328,'Product List'!A:C,3,0)</f>
        <v>MINI/MOE IVY BURROWING BOX</v>
      </c>
      <c r="C328" s="19" t="s">
        <v>75</v>
      </c>
      <c r="D328" s="154" t="s">
        <v>376</v>
      </c>
      <c r="E328" s="6" t="s">
        <v>377</v>
      </c>
      <c r="F328" s="99">
        <v>48</v>
      </c>
      <c r="G328" s="99">
        <v>14.89</v>
      </c>
      <c r="H328" s="99">
        <f t="shared" si="10"/>
        <v>714.72</v>
      </c>
      <c r="I328" s="6" t="s">
        <v>334</v>
      </c>
      <c r="J328" s="19" t="s">
        <v>341</v>
      </c>
      <c r="K328" s="139">
        <v>46208</v>
      </c>
      <c r="L328" s="140">
        <v>46197</v>
      </c>
      <c r="M328" s="142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7">
        <v>46150</v>
      </c>
      <c r="B329" s="15" t="str">
        <f>VLOOKUP(C329,'Product List'!A:C,3,0)</f>
        <v>MINI/MOE GARDEN TEAPOT</v>
      </c>
      <c r="C329" s="19" t="s">
        <v>73</v>
      </c>
      <c r="D329" s="154" t="s">
        <v>376</v>
      </c>
      <c r="E329" s="6" t="s">
        <v>377</v>
      </c>
      <c r="F329" s="99">
        <v>120</v>
      </c>
      <c r="G329" s="99">
        <v>4.61</v>
      </c>
      <c r="H329" s="99">
        <f t="shared" si="10"/>
        <v>553.2</v>
      </c>
      <c r="I329" s="6" t="s">
        <v>334</v>
      </c>
      <c r="J329" s="19" t="s">
        <v>341</v>
      </c>
      <c r="K329" s="139">
        <v>46208</v>
      </c>
      <c r="L329" s="140">
        <v>46197</v>
      </c>
      <c r="M329" s="142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7">
        <v>46155</v>
      </c>
      <c r="B330" s="15" t="str">
        <f>VLOOKUP(C330,'Product List'!A:C,3,0)</f>
        <v>MINI/MOE IVY BURROWING BOX</v>
      </c>
      <c r="C330" s="19" t="s">
        <v>75</v>
      </c>
      <c r="D330" s="154" t="s">
        <v>378</v>
      </c>
      <c r="E330" s="6" t="s">
        <v>379</v>
      </c>
      <c r="F330" s="99">
        <v>432</v>
      </c>
      <c r="G330" s="99">
        <v>14.89</v>
      </c>
      <c r="H330" s="99">
        <f t="shared" si="10"/>
        <v>6432.48</v>
      </c>
      <c r="I330" s="6" t="s">
        <v>334</v>
      </c>
      <c r="J330" s="19" t="s">
        <v>335</v>
      </c>
      <c r="K330" s="139">
        <v>46208</v>
      </c>
      <c r="L330" s="140">
        <v>46197</v>
      </c>
      <c r="M330" s="142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7">
        <v>46155</v>
      </c>
      <c r="B331" s="15" t="str">
        <f>VLOOKUP(C331,'Product List'!A:C,3,0)</f>
        <v>MINI/MOE GARDEN TEAPOT</v>
      </c>
      <c r="C331" s="19" t="s">
        <v>73</v>
      </c>
      <c r="D331" s="154" t="s">
        <v>378</v>
      </c>
      <c r="E331" s="6" t="s">
        <v>379</v>
      </c>
      <c r="F331" s="99">
        <v>510</v>
      </c>
      <c r="G331" s="99">
        <v>4.61</v>
      </c>
      <c r="H331" s="99">
        <f t="shared" si="10"/>
        <v>2351.1</v>
      </c>
      <c r="I331" s="6" t="s">
        <v>334</v>
      </c>
      <c r="J331" s="19" t="s">
        <v>335</v>
      </c>
      <c r="K331" s="139">
        <v>46208</v>
      </c>
      <c r="L331" s="140">
        <v>46197</v>
      </c>
      <c r="M331" s="142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7">
        <v>46155</v>
      </c>
      <c r="B332" s="15" t="str">
        <f>VLOOKUP(C332,'Product List'!A:C,3,0)</f>
        <v>MINI/MOE RUFFLE BOWL</v>
      </c>
      <c r="C332" s="19" t="s">
        <v>83</v>
      </c>
      <c r="D332" s="154" t="s">
        <v>378</v>
      </c>
      <c r="E332" s="6" t="s">
        <v>379</v>
      </c>
      <c r="F332" s="99">
        <v>48</v>
      </c>
      <c r="G332" s="99">
        <v>2.25</v>
      </c>
      <c r="H332" s="99">
        <f t="shared" si="10"/>
        <v>108</v>
      </c>
      <c r="I332" s="6" t="s">
        <v>334</v>
      </c>
      <c r="J332" s="19" t="s">
        <v>335</v>
      </c>
      <c r="K332" s="139">
        <v>46208</v>
      </c>
      <c r="L332" s="140">
        <v>46197</v>
      </c>
      <c r="M332" s="142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7">
        <v>46155</v>
      </c>
      <c r="B333" s="15" t="str">
        <f>VLOOKUP(C333,'Product List'!A:C,3,0)</f>
        <v>MINI/MOE SMALL ANIMAL BEDDING PAPER TWISTS</v>
      </c>
      <c r="C333" s="19" t="s">
        <v>51</v>
      </c>
      <c r="D333" s="154" t="s">
        <v>380</v>
      </c>
      <c r="E333" s="6" t="s">
        <v>381</v>
      </c>
      <c r="F333" s="99">
        <v>1230</v>
      </c>
      <c r="G333" s="99">
        <v>3.8</v>
      </c>
      <c r="H333" s="99">
        <f t="shared" si="10"/>
        <v>4674</v>
      </c>
      <c r="I333" s="6" t="s">
        <v>334</v>
      </c>
      <c r="J333" s="19" t="s">
        <v>335</v>
      </c>
      <c r="K333" s="139">
        <v>46231</v>
      </c>
      <c r="L333" s="140">
        <v>46227</v>
      </c>
      <c r="M333" s="142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7">
        <v>46155</v>
      </c>
      <c r="B334" s="15" t="str">
        <f>VLOOKUP(C334,'Product List'!A:C,3,0)</f>
        <v>MINI/MOE SMALL ANIMAL BEDDING CRINKLE PAPER BROWN 1EA</v>
      </c>
      <c r="C334" s="19" t="s">
        <v>62</v>
      </c>
      <c r="D334" s="154" t="s">
        <v>380</v>
      </c>
      <c r="E334" s="6" t="s">
        <v>381</v>
      </c>
      <c r="F334" s="99">
        <v>450</v>
      </c>
      <c r="G334" s="99">
        <v>3.89</v>
      </c>
      <c r="H334" s="99">
        <f t="shared" si="10"/>
        <v>1750.5</v>
      </c>
      <c r="I334" s="6" t="s">
        <v>334</v>
      </c>
      <c r="J334" s="19" t="s">
        <v>335</v>
      </c>
      <c r="K334" s="139">
        <v>46231</v>
      </c>
      <c r="L334" s="140">
        <v>46227</v>
      </c>
      <c r="M334" s="142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7">
        <v>46155</v>
      </c>
      <c r="B335" s="15" t="str">
        <f>VLOOKUP(C335,'Product List'!A:C,3,0)</f>
        <v>MINI/MOE SMALL ANIMAL BEDDING ROLLED PAPER FOREST MIX 1EA</v>
      </c>
      <c r="C335" s="19" t="s">
        <v>45</v>
      </c>
      <c r="D335" s="154" t="s">
        <v>380</v>
      </c>
      <c r="E335" s="6" t="s">
        <v>381</v>
      </c>
      <c r="F335" s="99">
        <v>1230</v>
      </c>
      <c r="G335" s="99">
        <v>4.75</v>
      </c>
      <c r="H335" s="99">
        <f t="shared" si="10"/>
        <v>5842.5</v>
      </c>
      <c r="I335" s="6" t="s">
        <v>334</v>
      </c>
      <c r="J335" s="19" t="s">
        <v>335</v>
      </c>
      <c r="K335" s="139">
        <v>46231</v>
      </c>
      <c r="L335" s="140">
        <v>46227</v>
      </c>
      <c r="M335" s="142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7">
        <v>46155</v>
      </c>
      <c r="B336" s="15" t="str">
        <f>VLOOKUP(C336,'Product List'!A:C,3,0)</f>
        <v>MINI/MOE SMALL ANIMAL BEDDING PAPER FLAKE LAV FIELD 50LT</v>
      </c>
      <c r="C336" s="19" t="s">
        <v>46</v>
      </c>
      <c r="D336" s="154" t="s">
        <v>380</v>
      </c>
      <c r="E336" s="6" t="s">
        <v>381</v>
      </c>
      <c r="F336" s="99">
        <v>1232</v>
      </c>
      <c r="G336" s="99">
        <v>6.79</v>
      </c>
      <c r="H336" s="99">
        <f t="shared" si="10"/>
        <v>8365.28</v>
      </c>
      <c r="I336" s="6" t="s">
        <v>334</v>
      </c>
      <c r="J336" s="19" t="s">
        <v>335</v>
      </c>
      <c r="K336" s="139">
        <v>46231</v>
      </c>
      <c r="L336" s="140">
        <v>46227</v>
      </c>
      <c r="M336" s="142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7">
        <v>46155</v>
      </c>
      <c r="B337" s="15" t="str">
        <f>VLOOKUP(C337,'Product List'!A:C,3,0)</f>
        <v>MINI/MOE SMALL ANIMAL BEDDING NESTING COTTON BALLS LAV 23LT</v>
      </c>
      <c r="C337" s="19" t="s">
        <v>49</v>
      </c>
      <c r="D337" s="154" t="s">
        <v>380</v>
      </c>
      <c r="E337" s="6" t="s">
        <v>381</v>
      </c>
      <c r="F337" s="99">
        <v>1248</v>
      </c>
      <c r="G337" s="99">
        <v>3.26</v>
      </c>
      <c r="H337" s="99">
        <f t="shared" si="10"/>
        <v>4068.48</v>
      </c>
      <c r="I337" s="6" t="s">
        <v>334</v>
      </c>
      <c r="J337" s="19" t="s">
        <v>335</v>
      </c>
      <c r="K337" s="139">
        <v>46231</v>
      </c>
      <c r="L337" s="140">
        <v>46227</v>
      </c>
      <c r="M337" s="142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7">
        <v>46155</v>
      </c>
      <c r="B338" s="15" t="str">
        <f>VLOOKUP(C338,'Product List'!A:C,3,0)</f>
        <v>MINI/MOE SMALL ANIMAL BEDDING PAPER PEBBLES OCEAN BLUE 23LT</v>
      </c>
      <c r="C338" s="19" t="s">
        <v>47</v>
      </c>
      <c r="D338" s="154" t="s">
        <v>380</v>
      </c>
      <c r="E338" s="6" t="s">
        <v>381</v>
      </c>
      <c r="F338" s="99">
        <v>1224</v>
      </c>
      <c r="G338" s="99">
        <v>5.71</v>
      </c>
      <c r="H338" s="99">
        <f t="shared" si="10"/>
        <v>6989.04</v>
      </c>
      <c r="I338" s="6" t="s">
        <v>334</v>
      </c>
      <c r="J338" s="19" t="s">
        <v>335</v>
      </c>
      <c r="K338" s="139">
        <v>46231</v>
      </c>
      <c r="L338" s="140">
        <v>46227</v>
      </c>
      <c r="M338" s="142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7">
        <v>46155</v>
      </c>
      <c r="B339" s="15" t="str">
        <f>VLOOKUP(C339,'Product List'!A:C,3,0)</f>
        <v>MINI/MOE SMALL ANIMAL BEDDING PAPER TWISTS</v>
      </c>
      <c r="C339" s="19" t="s">
        <v>51</v>
      </c>
      <c r="D339" s="154" t="s">
        <v>382</v>
      </c>
      <c r="E339" s="6" t="s">
        <v>383</v>
      </c>
      <c r="F339" s="99">
        <v>480</v>
      </c>
      <c r="G339" s="99">
        <v>3.8</v>
      </c>
      <c r="H339" s="99">
        <f t="shared" si="10"/>
        <v>1824</v>
      </c>
      <c r="I339" s="6" t="s">
        <v>334</v>
      </c>
      <c r="J339" s="19" t="s">
        <v>341</v>
      </c>
      <c r="K339" s="139">
        <v>46233</v>
      </c>
      <c r="L339" s="140">
        <v>46227</v>
      </c>
      <c r="M339" s="142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7">
        <v>46155</v>
      </c>
      <c r="B340" s="15" t="str">
        <f>VLOOKUP(C340,'Product List'!A:C,3,0)</f>
        <v>MINI/MOE SMALL ANIMAL BEDDING CRINKLE PAPER BROWN 1EA</v>
      </c>
      <c r="C340" s="19" t="s">
        <v>62</v>
      </c>
      <c r="D340" s="154" t="s">
        <v>382</v>
      </c>
      <c r="E340" s="6" t="s">
        <v>383</v>
      </c>
      <c r="F340" s="99">
        <v>180</v>
      </c>
      <c r="G340" s="99">
        <v>3.89</v>
      </c>
      <c r="H340" s="99">
        <f t="shared" si="10"/>
        <v>700.2</v>
      </c>
      <c r="I340" s="6" t="s">
        <v>334</v>
      </c>
      <c r="J340" s="19" t="s">
        <v>341</v>
      </c>
      <c r="K340" s="139">
        <v>46233</v>
      </c>
      <c r="L340" s="140">
        <v>46227</v>
      </c>
      <c r="M340" s="142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7">
        <v>46155</v>
      </c>
      <c r="B341" s="15" t="str">
        <f>VLOOKUP(C341,'Product List'!A:C,3,0)</f>
        <v>MINI/MOE SMALL ANIMAL BEDDING ROLLED PAPER FOREST MIX 1EA</v>
      </c>
      <c r="C341" s="19" t="s">
        <v>45</v>
      </c>
      <c r="D341" s="154" t="s">
        <v>382</v>
      </c>
      <c r="E341" s="6" t="s">
        <v>383</v>
      </c>
      <c r="F341" s="99">
        <v>480</v>
      </c>
      <c r="G341" s="99">
        <v>4.75</v>
      </c>
      <c r="H341" s="99">
        <f t="shared" si="10"/>
        <v>2280</v>
      </c>
      <c r="I341" s="6" t="s">
        <v>334</v>
      </c>
      <c r="J341" s="19" t="s">
        <v>341</v>
      </c>
      <c r="K341" s="139">
        <v>46233</v>
      </c>
      <c r="L341" s="140">
        <v>46227</v>
      </c>
      <c r="M341" s="142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7">
        <v>46155</v>
      </c>
      <c r="B342" s="15" t="str">
        <f>VLOOKUP(C342,'Product List'!A:C,3,0)</f>
        <v>MINI/MOE SMALL ANIMAL BEDDING PAPER FLAKE LAV FIELD 50LT</v>
      </c>
      <c r="C342" s="19" t="s">
        <v>46</v>
      </c>
      <c r="D342" s="154" t="s">
        <v>382</v>
      </c>
      <c r="E342" s="6" t="s">
        <v>383</v>
      </c>
      <c r="F342" s="99">
        <v>462</v>
      </c>
      <c r="G342" s="99">
        <v>6.79</v>
      </c>
      <c r="H342" s="99">
        <f t="shared" si="10"/>
        <v>3136.98</v>
      </c>
      <c r="I342" s="6" t="s">
        <v>334</v>
      </c>
      <c r="J342" s="19" t="s">
        <v>341</v>
      </c>
      <c r="K342" s="139">
        <v>46233</v>
      </c>
      <c r="L342" s="140">
        <v>46227</v>
      </c>
      <c r="M342" s="142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7">
        <v>46155</v>
      </c>
      <c r="B343" s="15" t="str">
        <f>VLOOKUP(C343,'Product List'!A:C,3,0)</f>
        <v>MINI/MOE SMALL ANIMAL BEDDING PAPER PEBBLES OCEAN BLUE 23LT</v>
      </c>
      <c r="C343" s="19" t="s">
        <v>47</v>
      </c>
      <c r="D343" s="154" t="s">
        <v>382</v>
      </c>
      <c r="E343" s="6" t="s">
        <v>383</v>
      </c>
      <c r="F343" s="99">
        <v>456</v>
      </c>
      <c r="G343" s="99">
        <v>5.71</v>
      </c>
      <c r="H343" s="99">
        <f t="shared" ref="H343:H380" si="12">F343*G343</f>
        <v>2603.76</v>
      </c>
      <c r="I343" s="6" t="s">
        <v>334</v>
      </c>
      <c r="J343" s="19" t="s">
        <v>341</v>
      </c>
      <c r="K343" s="139">
        <v>46233</v>
      </c>
      <c r="L343" s="140">
        <v>46227</v>
      </c>
      <c r="M343" s="142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7">
        <v>46157</v>
      </c>
      <c r="B344" s="15" t="str">
        <f>VLOOKUP(C344,'Product List'!A:C,3,0)</f>
        <v>MINI/MOE BENDABLE BIRCHWOOD FENCE</v>
      </c>
      <c r="C344" s="19" t="s">
        <v>34</v>
      </c>
      <c r="D344" s="19">
        <v>31173385</v>
      </c>
      <c r="E344" s="6" t="s">
        <v>384</v>
      </c>
      <c r="F344" s="99">
        <v>64</v>
      </c>
      <c r="G344" s="99">
        <v>5.01</v>
      </c>
      <c r="H344" s="99">
        <f t="shared" si="12"/>
        <v>320.64</v>
      </c>
      <c r="I344" s="6" t="s">
        <v>325</v>
      </c>
      <c r="J344" s="19" t="s">
        <v>350</v>
      </c>
      <c r="K344" s="139">
        <v>46198</v>
      </c>
      <c r="L344" s="140">
        <v>46192</v>
      </c>
      <c r="M344" s="142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7">
        <v>46157</v>
      </c>
      <c r="B345" s="15" t="str">
        <f>VLOOKUP(C345,'Product List'!A:C,3,0)</f>
        <v>MINI/MOE SILENT CRSTL RUN WHEEL LG 8.5-White</v>
      </c>
      <c r="C345" s="19" t="s">
        <v>41</v>
      </c>
      <c r="D345" s="99">
        <v>31173385</v>
      </c>
      <c r="E345" s="6" t="s">
        <v>384</v>
      </c>
      <c r="F345" s="99">
        <v>24</v>
      </c>
      <c r="G345" s="99">
        <v>13.22</v>
      </c>
      <c r="H345" s="99">
        <f t="shared" si="12"/>
        <v>317.28</v>
      </c>
      <c r="I345" s="6" t="s">
        <v>325</v>
      </c>
      <c r="J345" s="19" t="s">
        <v>350</v>
      </c>
      <c r="K345" s="139">
        <v>46198</v>
      </c>
      <c r="L345" s="140">
        <v>46192</v>
      </c>
      <c r="M345" s="142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7">
        <v>46157</v>
      </c>
      <c r="B346" s="15" t="str">
        <f>VLOOKUP(C346,'Product List'!A:C,3,0)</f>
        <v>MINI/MOE RUFFLE BOWL</v>
      </c>
      <c r="C346" s="19" t="s">
        <v>83</v>
      </c>
      <c r="D346" s="99">
        <v>31173385</v>
      </c>
      <c r="E346" s="6" t="s">
        <v>384</v>
      </c>
      <c r="F346" s="99">
        <v>96</v>
      </c>
      <c r="G346" s="99">
        <v>2.35</v>
      </c>
      <c r="H346" s="99">
        <f t="shared" si="12"/>
        <v>225.6</v>
      </c>
      <c r="I346" s="6" t="s">
        <v>325</v>
      </c>
      <c r="J346" s="19" t="s">
        <v>350</v>
      </c>
      <c r="K346" s="139">
        <v>46198</v>
      </c>
      <c r="L346" s="140">
        <v>46192</v>
      </c>
      <c r="M346" s="142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7">
        <v>46157</v>
      </c>
      <c r="B347" s="15" t="str">
        <f>VLOOKUP(C347,'Product List'!A:C,3,0)</f>
        <v>MMO-CLOUD WATER BOTTLE</v>
      </c>
      <c r="C347" s="19" t="s">
        <v>37</v>
      </c>
      <c r="D347" s="99">
        <v>31173385</v>
      </c>
      <c r="E347" s="6" t="s">
        <v>384</v>
      </c>
      <c r="F347" s="99">
        <v>200</v>
      </c>
      <c r="G347" s="99">
        <v>1.32</v>
      </c>
      <c r="H347" s="99">
        <f t="shared" si="12"/>
        <v>264</v>
      </c>
      <c r="I347" s="6" t="s">
        <v>325</v>
      </c>
      <c r="J347" s="19" t="s">
        <v>350</v>
      </c>
      <c r="K347" s="139">
        <v>46198</v>
      </c>
      <c r="L347" s="140">
        <v>46192</v>
      </c>
      <c r="M347" s="142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7">
        <v>46157</v>
      </c>
      <c r="B348" s="15" t="str">
        <f>VLOOKUP(C348,'Product List'!A:C,3,0)</f>
        <v>MMO-COTTON NESTING BALLS</v>
      </c>
      <c r="C348" s="6" t="s">
        <v>43</v>
      </c>
      <c r="D348" s="99">
        <v>31173385</v>
      </c>
      <c r="E348" s="6" t="s">
        <v>384</v>
      </c>
      <c r="F348" s="99">
        <v>32</v>
      </c>
      <c r="G348" s="99">
        <v>3.37</v>
      </c>
      <c r="H348" s="99">
        <f t="shared" si="12"/>
        <v>107.84</v>
      </c>
      <c r="I348" s="6" t="s">
        <v>325</v>
      </c>
      <c r="J348" s="19" t="s">
        <v>350</v>
      </c>
      <c r="K348" s="139">
        <v>46198</v>
      </c>
      <c r="L348" s="140">
        <v>46192</v>
      </c>
      <c r="M348" s="142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7">
        <v>46157</v>
      </c>
      <c r="B349" s="15" t="str">
        <f>VLOOKUP(C349,'Product List'!A:C,3,0)</f>
        <v>MINI/MOE TV VIEWING CAGE</v>
      </c>
      <c r="C349" s="19" t="s">
        <v>27</v>
      </c>
      <c r="D349" s="99">
        <v>31173385</v>
      </c>
      <c r="E349" s="6" t="s">
        <v>384</v>
      </c>
      <c r="F349" s="99">
        <v>1</v>
      </c>
      <c r="G349" s="99">
        <v>48.49</v>
      </c>
      <c r="H349" s="99">
        <f t="shared" si="12"/>
        <v>48.49</v>
      </c>
      <c r="I349" s="6" t="s">
        <v>325</v>
      </c>
      <c r="J349" s="19" t="s">
        <v>350</v>
      </c>
      <c r="K349" s="139">
        <v>46198</v>
      </c>
      <c r="L349" s="140">
        <v>46192</v>
      </c>
      <c r="M349" s="142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7">
        <v>46157</v>
      </c>
      <c r="B350" s="15" t="str">
        <f>VLOOKUP(C350,'Product List'!A:C,3,0)</f>
        <v>MMO-BUBBLE WATER BOTTLE</v>
      </c>
      <c r="C350" s="19" t="s">
        <v>38</v>
      </c>
      <c r="D350" s="99">
        <v>31173385</v>
      </c>
      <c r="E350" s="6" t="s">
        <v>384</v>
      </c>
      <c r="F350" s="99">
        <v>168</v>
      </c>
      <c r="G350" s="99">
        <v>4.35</v>
      </c>
      <c r="H350" s="99">
        <f t="shared" si="12"/>
        <v>730.8</v>
      </c>
      <c r="I350" s="6" t="s">
        <v>325</v>
      </c>
      <c r="J350" s="19" t="s">
        <v>350</v>
      </c>
      <c r="K350" s="139">
        <v>46198</v>
      </c>
      <c r="L350" s="140">
        <v>46192</v>
      </c>
      <c r="M350" s="142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7">
        <v>46157</v>
      </c>
      <c r="B351" s="15" t="str">
        <f>VLOOKUP(C351,'Product List'!A:C,3,0)</f>
        <v>MMO-SHELL PEARL HAMSTER CHEW</v>
      </c>
      <c r="C351" s="19" t="s">
        <v>48</v>
      </c>
      <c r="D351" s="99">
        <v>31173385</v>
      </c>
      <c r="E351" s="6" t="s">
        <v>384</v>
      </c>
      <c r="F351" s="99">
        <v>128</v>
      </c>
      <c r="G351" s="99">
        <v>1.61</v>
      </c>
      <c r="H351" s="99">
        <f t="shared" si="12"/>
        <v>206.08</v>
      </c>
      <c r="I351" s="6" t="s">
        <v>325</v>
      </c>
      <c r="J351" s="19" t="s">
        <v>350</v>
      </c>
      <c r="K351" s="139">
        <v>46198</v>
      </c>
      <c r="L351" s="140">
        <v>46192</v>
      </c>
      <c r="M351" s="142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7">
        <v>46157</v>
      </c>
      <c r="B352" s="15" t="str">
        <f>VLOOKUP(C352,'Product List'!A:C,3,0)</f>
        <v>MMO-GREEN APPLE CHEW</v>
      </c>
      <c r="C352" s="19" t="s">
        <v>39</v>
      </c>
      <c r="D352" s="132">
        <v>31173385</v>
      </c>
      <c r="E352" s="6" t="s">
        <v>384</v>
      </c>
      <c r="F352" s="99">
        <v>240</v>
      </c>
      <c r="G352" s="99">
        <v>1.53</v>
      </c>
      <c r="H352" s="99">
        <f t="shared" si="12"/>
        <v>367.2</v>
      </c>
      <c r="I352" s="6" t="s">
        <v>325</v>
      </c>
      <c r="J352" s="19" t="s">
        <v>350</v>
      </c>
      <c r="K352" s="139">
        <v>46198</v>
      </c>
      <c r="L352" s="140">
        <v>46192</v>
      </c>
      <c r="M352" s="142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7">
        <v>46157</v>
      </c>
      <c r="B353" s="15" t="str">
        <f>VLOOKUP(C353,'Product List'!A:C,3,0)</f>
        <v>MMO-CAMP LUNCH BOX CHEW</v>
      </c>
      <c r="C353" s="19" t="s">
        <v>40</v>
      </c>
      <c r="D353" s="99">
        <v>31173385</v>
      </c>
      <c r="E353" s="6" t="s">
        <v>384</v>
      </c>
      <c r="F353" s="99">
        <v>216</v>
      </c>
      <c r="G353" s="99">
        <v>2.48</v>
      </c>
      <c r="H353" s="99">
        <f t="shared" si="12"/>
        <v>535.68</v>
      </c>
      <c r="I353" s="6" t="s">
        <v>325</v>
      </c>
      <c r="J353" s="19" t="s">
        <v>350</v>
      </c>
      <c r="K353" s="139">
        <v>46198</v>
      </c>
      <c r="L353" s="140">
        <v>46192</v>
      </c>
      <c r="M353" s="142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7">
        <v>46157</v>
      </c>
      <c r="B354" s="15" t="str">
        <f>VLOOKUP(C354,'Product List'!A:C,3,0)</f>
        <v>MINI/MOE SILENT CRSTL RUN WHEEL LG 8.5-White</v>
      </c>
      <c r="C354" s="19" t="s">
        <v>41</v>
      </c>
      <c r="D354" s="108">
        <v>31173386</v>
      </c>
      <c r="E354" s="155" t="s">
        <v>385</v>
      </c>
      <c r="F354" s="99">
        <v>64</v>
      </c>
      <c r="G354" s="99">
        <v>13.22</v>
      </c>
      <c r="H354" s="99">
        <f t="shared" si="12"/>
        <v>846.08</v>
      </c>
      <c r="I354" s="6" t="s">
        <v>325</v>
      </c>
      <c r="J354" s="19" t="s">
        <v>345</v>
      </c>
      <c r="K354" s="88">
        <v>46192</v>
      </c>
      <c r="L354" s="140">
        <v>46192</v>
      </c>
      <c r="M354" s="142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7">
        <v>46157</v>
      </c>
      <c r="B355" s="15" t="str">
        <f>VLOOKUP(C355,'Product List'!A:C,3,0)</f>
        <v>MMO-CLOUD WATER BOTTLE</v>
      </c>
      <c r="C355" s="19" t="s">
        <v>37</v>
      </c>
      <c r="D355" s="108">
        <v>31173386</v>
      </c>
      <c r="E355" s="155" t="s">
        <v>385</v>
      </c>
      <c r="F355" s="99">
        <v>100</v>
      </c>
      <c r="G355" s="99">
        <v>1.32</v>
      </c>
      <c r="H355" s="99">
        <f t="shared" si="12"/>
        <v>132</v>
      </c>
      <c r="I355" s="6" t="s">
        <v>325</v>
      </c>
      <c r="J355" s="19" t="s">
        <v>345</v>
      </c>
      <c r="K355" s="88">
        <v>46192</v>
      </c>
      <c r="L355" s="140">
        <v>46192</v>
      </c>
      <c r="M355" s="142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7">
        <v>46157</v>
      </c>
      <c r="B356" s="15" t="str">
        <f>VLOOKUP(C356,'Product List'!A:C,3,0)</f>
        <v>MINI/MOE TV VIEWING CAGE</v>
      </c>
      <c r="C356" s="19" t="s">
        <v>27</v>
      </c>
      <c r="D356" s="108">
        <v>31173386</v>
      </c>
      <c r="E356" s="155" t="s">
        <v>385</v>
      </c>
      <c r="F356" s="99">
        <v>29</v>
      </c>
      <c r="G356" s="99">
        <v>48.49</v>
      </c>
      <c r="H356" s="99">
        <f t="shared" si="12"/>
        <v>1406.21</v>
      </c>
      <c r="I356" s="6" t="s">
        <v>325</v>
      </c>
      <c r="J356" s="19" t="s">
        <v>345</v>
      </c>
      <c r="K356" s="88">
        <v>46192</v>
      </c>
      <c r="L356" s="140">
        <v>46192</v>
      </c>
      <c r="M356" s="142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7">
        <v>46157</v>
      </c>
      <c r="B357" s="15" t="str">
        <f>VLOOKUP(C357,'Product List'!A:C,3,0)</f>
        <v>MMO-BUBBLE WATER BOTTLE</v>
      </c>
      <c r="C357" s="19" t="s">
        <v>38</v>
      </c>
      <c r="D357" s="108">
        <v>31173386</v>
      </c>
      <c r="E357" s="155" t="s">
        <v>385</v>
      </c>
      <c r="F357" s="99">
        <v>168</v>
      </c>
      <c r="G357" s="99">
        <v>4.35</v>
      </c>
      <c r="H357" s="99">
        <f t="shared" si="12"/>
        <v>730.8</v>
      </c>
      <c r="I357" s="6" t="s">
        <v>325</v>
      </c>
      <c r="J357" s="19" t="s">
        <v>345</v>
      </c>
      <c r="K357" s="88">
        <v>46192</v>
      </c>
      <c r="L357" s="140">
        <v>46192</v>
      </c>
      <c r="M357" s="142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7">
        <v>46157</v>
      </c>
      <c r="B358" s="15" t="str">
        <f>VLOOKUP(C358,'Product List'!A:C,3,0)</f>
        <v>MMO-SHELL PEARL HAMSTER CHEW</v>
      </c>
      <c r="C358" s="19" t="s">
        <v>48</v>
      </c>
      <c r="D358" s="108">
        <v>31173386</v>
      </c>
      <c r="E358" s="155" t="s">
        <v>385</v>
      </c>
      <c r="F358" s="99">
        <v>64</v>
      </c>
      <c r="G358" s="99">
        <v>1.61</v>
      </c>
      <c r="H358" s="99">
        <f t="shared" si="12"/>
        <v>103.04</v>
      </c>
      <c r="I358" s="6" t="s">
        <v>325</v>
      </c>
      <c r="J358" s="19" t="s">
        <v>345</v>
      </c>
      <c r="K358" s="88">
        <v>46192</v>
      </c>
      <c r="L358" s="140">
        <v>46192</v>
      </c>
      <c r="M358" s="142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7">
        <v>46157</v>
      </c>
      <c r="B359" s="15" t="str">
        <f>VLOOKUP(C359,'Product List'!A:C,3,0)</f>
        <v>MMO-GREEN APPLE CHEW</v>
      </c>
      <c r="C359" s="19" t="s">
        <v>39</v>
      </c>
      <c r="D359" s="108">
        <v>31173386</v>
      </c>
      <c r="E359" s="155" t="s">
        <v>385</v>
      </c>
      <c r="F359" s="99">
        <v>96</v>
      </c>
      <c r="G359" s="99">
        <v>1.53</v>
      </c>
      <c r="H359" s="99">
        <f t="shared" si="12"/>
        <v>146.88</v>
      </c>
      <c r="I359" s="6" t="s">
        <v>325</v>
      </c>
      <c r="J359" s="19" t="s">
        <v>345</v>
      </c>
      <c r="K359" s="88">
        <v>46192</v>
      </c>
      <c r="L359" s="140">
        <v>46192</v>
      </c>
      <c r="M359" s="142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7">
        <v>46157</v>
      </c>
      <c r="B360" s="15" t="str">
        <f>VLOOKUP(C360,'Product List'!A:C,3,0)</f>
        <v>MMO-CAMP LUNCH BOX CHEW</v>
      </c>
      <c r="C360" s="19" t="s">
        <v>40</v>
      </c>
      <c r="D360" s="108">
        <v>31173386</v>
      </c>
      <c r="E360" s="155" t="s">
        <v>385</v>
      </c>
      <c r="F360" s="99">
        <v>144</v>
      </c>
      <c r="G360" s="99">
        <v>2.48</v>
      </c>
      <c r="H360" s="99">
        <f t="shared" si="12"/>
        <v>357.12</v>
      </c>
      <c r="I360" s="6" t="s">
        <v>325</v>
      </c>
      <c r="J360" s="19" t="s">
        <v>345</v>
      </c>
      <c r="K360" s="88">
        <v>46192</v>
      </c>
      <c r="L360" s="140">
        <v>46192</v>
      </c>
      <c r="M360" s="142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7">
        <v>46155</v>
      </c>
      <c r="B361" s="15" t="str">
        <f>VLOOKUP(C361,'Product List'!A:C,3,0)</f>
        <v>MINI/MOE BENDABLE BIRCHWOOD FENCE</v>
      </c>
      <c r="C361" s="19" t="s">
        <v>34</v>
      </c>
      <c r="D361" s="99">
        <v>31151333</v>
      </c>
      <c r="E361" s="6" t="s">
        <v>386</v>
      </c>
      <c r="F361" s="99">
        <v>64</v>
      </c>
      <c r="G361" s="99">
        <v>5.01</v>
      </c>
      <c r="H361" s="99">
        <f t="shared" si="12"/>
        <v>320.64</v>
      </c>
      <c r="I361" s="6" t="s">
        <v>325</v>
      </c>
      <c r="J361" s="19" t="s">
        <v>344</v>
      </c>
      <c r="K361" s="139">
        <v>46220</v>
      </c>
      <c r="L361" s="140">
        <v>46211</v>
      </c>
      <c r="M361" s="142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7">
        <v>46155</v>
      </c>
      <c r="B362" s="15" t="str">
        <f>VLOOKUP(C362,'Product List'!A:C,3,0)</f>
        <v>MINI/MOE SILENT CRSTL RUN WHEEL LG 8.5-White</v>
      </c>
      <c r="C362" s="19" t="s">
        <v>41</v>
      </c>
      <c r="D362" s="99">
        <v>31151333</v>
      </c>
      <c r="E362" s="6" t="s">
        <v>386</v>
      </c>
      <c r="F362" s="99">
        <v>56</v>
      </c>
      <c r="G362" s="99">
        <v>13.22</v>
      </c>
      <c r="H362" s="99">
        <f t="shared" si="12"/>
        <v>740.32</v>
      </c>
      <c r="I362" s="6" t="s">
        <v>325</v>
      </c>
      <c r="J362" s="19" t="s">
        <v>344</v>
      </c>
      <c r="K362" s="139">
        <v>46220</v>
      </c>
      <c r="L362" s="140">
        <v>46211</v>
      </c>
      <c r="M362" s="142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7">
        <v>46155</v>
      </c>
      <c r="B363" s="15" t="str">
        <f>VLOOKUP(C363,'Product List'!A:C,3,0)</f>
        <v>MINI/MOE RUFFLE BOWL</v>
      </c>
      <c r="C363" s="19" t="s">
        <v>83</v>
      </c>
      <c r="D363" s="99">
        <v>31151333</v>
      </c>
      <c r="E363" s="6" t="s">
        <v>386</v>
      </c>
      <c r="F363" s="99">
        <v>48</v>
      </c>
      <c r="G363" s="99">
        <v>2.35</v>
      </c>
      <c r="H363" s="99">
        <f t="shared" si="12"/>
        <v>112.8</v>
      </c>
      <c r="I363" s="6" t="s">
        <v>325</v>
      </c>
      <c r="J363" s="19" t="s">
        <v>344</v>
      </c>
      <c r="K363" s="139">
        <v>46220</v>
      </c>
      <c r="L363" s="140">
        <v>46211</v>
      </c>
      <c r="M363" s="142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7">
        <v>46155</v>
      </c>
      <c r="B364" s="15" t="str">
        <f>VLOOKUP(C364,'Product List'!A:C,3,0)</f>
        <v>MMO-CLOUD WATER BOTTLE</v>
      </c>
      <c r="C364" s="19" t="s">
        <v>37</v>
      </c>
      <c r="D364" s="99">
        <v>31151333</v>
      </c>
      <c r="E364" s="6" t="s">
        <v>386</v>
      </c>
      <c r="F364" s="99">
        <v>200</v>
      </c>
      <c r="G364" s="99">
        <v>1.32</v>
      </c>
      <c r="H364" s="99">
        <f t="shared" si="12"/>
        <v>264</v>
      </c>
      <c r="I364" s="6" t="s">
        <v>325</v>
      </c>
      <c r="J364" s="19" t="s">
        <v>344</v>
      </c>
      <c r="K364" s="139">
        <v>46220</v>
      </c>
      <c r="L364" s="140">
        <v>46211</v>
      </c>
      <c r="M364" s="142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7">
        <v>46155</v>
      </c>
      <c r="B365" s="15" t="str">
        <f>VLOOKUP(C365,'Product List'!A:C,3,0)</f>
        <v>MMO-STARFISH CASTLE</v>
      </c>
      <c r="C365" s="19" t="s">
        <v>76</v>
      </c>
      <c r="D365" s="99">
        <v>31151333</v>
      </c>
      <c r="E365" s="6" t="s">
        <v>386</v>
      </c>
      <c r="F365" s="99">
        <v>40</v>
      </c>
      <c r="G365" s="99">
        <v>5.32</v>
      </c>
      <c r="H365" s="99">
        <f t="shared" si="12"/>
        <v>212.8</v>
      </c>
      <c r="I365" s="6" t="s">
        <v>325</v>
      </c>
      <c r="J365" s="19" t="s">
        <v>344</v>
      </c>
      <c r="K365" s="139">
        <v>46220</v>
      </c>
      <c r="L365" s="140">
        <v>46211</v>
      </c>
      <c r="M365" s="142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7">
        <v>46155</v>
      </c>
      <c r="B366" s="15" t="str">
        <f>VLOOKUP(C366,'Product List'!A:C,3,0)</f>
        <v>D. MMO-COTTAGE VIEW CAGE</v>
      </c>
      <c r="C366" s="19" t="s">
        <v>57</v>
      </c>
      <c r="D366" s="99">
        <v>31151333</v>
      </c>
      <c r="E366" s="6" t="s">
        <v>386</v>
      </c>
      <c r="F366" s="99">
        <v>1</v>
      </c>
      <c r="G366" s="99">
        <v>70.28</v>
      </c>
      <c r="H366" s="99">
        <f t="shared" si="12"/>
        <v>70.28</v>
      </c>
      <c r="I366" s="6" t="s">
        <v>325</v>
      </c>
      <c r="J366" s="19" t="s">
        <v>344</v>
      </c>
      <c r="K366" s="139">
        <v>46220</v>
      </c>
      <c r="L366" s="140">
        <v>46211</v>
      </c>
      <c r="M366" s="142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7">
        <v>46155</v>
      </c>
      <c r="B367" s="15" t="str">
        <f>VLOOKUP(C367,'Product List'!A:C,3,0)</f>
        <v>MMO-BUBBLE WATER BOTTLE</v>
      </c>
      <c r="C367" s="149" t="s">
        <v>38</v>
      </c>
      <c r="D367" s="132">
        <v>31151333</v>
      </c>
      <c r="E367" s="6" t="s">
        <v>386</v>
      </c>
      <c r="F367" s="132">
        <v>84</v>
      </c>
      <c r="G367" s="99">
        <v>4.35</v>
      </c>
      <c r="H367" s="99">
        <f t="shared" si="12"/>
        <v>365.4</v>
      </c>
      <c r="I367" s="6" t="s">
        <v>325</v>
      </c>
      <c r="J367" s="19" t="s">
        <v>344</v>
      </c>
      <c r="K367" s="139">
        <v>46220</v>
      </c>
      <c r="L367" s="140">
        <v>46211</v>
      </c>
      <c r="M367" s="142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7">
        <v>46155</v>
      </c>
      <c r="B368" s="15" t="str">
        <f>VLOOKUP(C368,'Product List'!A:C,3,0)</f>
        <v>MMO-SHELL PEARL HAMSTER CHEW</v>
      </c>
      <c r="C368" s="19" t="s">
        <v>48</v>
      </c>
      <c r="D368" s="99">
        <v>31151333</v>
      </c>
      <c r="E368" s="6" t="s">
        <v>386</v>
      </c>
      <c r="F368" s="99">
        <v>128</v>
      </c>
      <c r="G368" s="99">
        <v>1.61</v>
      </c>
      <c r="H368" s="99">
        <f t="shared" si="12"/>
        <v>206.08</v>
      </c>
      <c r="I368" s="6" t="s">
        <v>325</v>
      </c>
      <c r="J368" s="19" t="s">
        <v>344</v>
      </c>
      <c r="K368" s="139">
        <v>46220</v>
      </c>
      <c r="L368" s="140">
        <v>46211</v>
      </c>
      <c r="M368" s="142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7">
        <v>46155</v>
      </c>
      <c r="B369" s="15" t="str">
        <f>VLOOKUP(C369,'Product List'!A:C,3,0)</f>
        <v>MMO-GREEN APPLE CHEW</v>
      </c>
      <c r="C369" s="19" t="s">
        <v>39</v>
      </c>
      <c r="D369" s="132">
        <v>31151333</v>
      </c>
      <c r="E369" s="6" t="s">
        <v>386</v>
      </c>
      <c r="F369" s="99">
        <v>144</v>
      </c>
      <c r="G369" s="99">
        <v>1.53</v>
      </c>
      <c r="H369" s="99">
        <f t="shared" si="12"/>
        <v>220.32</v>
      </c>
      <c r="I369" s="6" t="s">
        <v>325</v>
      </c>
      <c r="J369" s="19" t="s">
        <v>344</v>
      </c>
      <c r="K369" s="139">
        <v>46220</v>
      </c>
      <c r="L369" s="140">
        <v>46211</v>
      </c>
      <c r="M369" s="142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7">
        <v>46155</v>
      </c>
      <c r="B370" s="15" t="str">
        <f>VLOOKUP(C370,'Product List'!A:C,3,0)</f>
        <v>MMO-CAMP LUNCH BOX CHEW</v>
      </c>
      <c r="C370" s="19" t="s">
        <v>40</v>
      </c>
      <c r="D370" s="99">
        <v>31151333</v>
      </c>
      <c r="E370" s="6" t="s">
        <v>386</v>
      </c>
      <c r="F370" s="99">
        <v>216</v>
      </c>
      <c r="G370" s="99">
        <v>2.48</v>
      </c>
      <c r="H370" s="99">
        <f t="shared" si="12"/>
        <v>535.68</v>
      </c>
      <c r="I370" s="6" t="s">
        <v>325</v>
      </c>
      <c r="J370" s="19" t="s">
        <v>344</v>
      </c>
      <c r="K370" s="139">
        <v>46220</v>
      </c>
      <c r="L370" s="140">
        <v>46211</v>
      </c>
      <c r="M370" s="142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7">
        <v>46155</v>
      </c>
      <c r="B371" s="15" t="str">
        <f>VLOOKUP(C371,'Product List'!A:C,3,0)</f>
        <v>MINI/MOE SILENT CRSTL RUN WHEEL LG 8.5-White</v>
      </c>
      <c r="C371" s="19" t="s">
        <v>41</v>
      </c>
      <c r="D371" s="99">
        <v>31151334</v>
      </c>
      <c r="E371" s="6" t="s">
        <v>387</v>
      </c>
      <c r="F371" s="99">
        <v>48</v>
      </c>
      <c r="G371" s="99">
        <v>13.22</v>
      </c>
      <c r="H371" s="99">
        <f t="shared" si="12"/>
        <v>634.56</v>
      </c>
      <c r="I371" s="6" t="s">
        <v>325</v>
      </c>
      <c r="J371" s="19" t="s">
        <v>355</v>
      </c>
      <c r="K371" s="139">
        <v>46220</v>
      </c>
      <c r="L371" s="140">
        <v>46216</v>
      </c>
      <c r="M371" s="142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7">
        <v>46155</v>
      </c>
      <c r="B372" s="15" t="str">
        <f>VLOOKUP(C372,'Product List'!A:C,3,0)</f>
        <v>MINI/MOE RUFFLE BOWL</v>
      </c>
      <c r="C372" s="19" t="s">
        <v>83</v>
      </c>
      <c r="D372" s="99">
        <v>31151334</v>
      </c>
      <c r="E372" s="6" t="s">
        <v>387</v>
      </c>
      <c r="F372" s="99">
        <v>240</v>
      </c>
      <c r="G372" s="99">
        <v>2.35</v>
      </c>
      <c r="H372" s="99">
        <f t="shared" si="12"/>
        <v>564</v>
      </c>
      <c r="I372" s="6" t="s">
        <v>325</v>
      </c>
      <c r="J372" s="19" t="s">
        <v>355</v>
      </c>
      <c r="K372" s="139">
        <v>46220</v>
      </c>
      <c r="L372" s="140">
        <v>46216</v>
      </c>
      <c r="M372" s="142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7">
        <v>46155</v>
      </c>
      <c r="B373" s="15" t="str">
        <f>VLOOKUP(C373,'Product List'!A:C,3,0)</f>
        <v>MMO-CLOUD WATER BOTTLE</v>
      </c>
      <c r="C373" s="19" t="s">
        <v>37</v>
      </c>
      <c r="D373" s="99">
        <v>31151334</v>
      </c>
      <c r="E373" s="6" t="s">
        <v>387</v>
      </c>
      <c r="F373" s="99">
        <v>300</v>
      </c>
      <c r="G373" s="99">
        <v>1.32</v>
      </c>
      <c r="H373" s="99">
        <f t="shared" si="12"/>
        <v>396</v>
      </c>
      <c r="I373" s="6" t="s">
        <v>325</v>
      </c>
      <c r="J373" s="19" t="s">
        <v>355</v>
      </c>
      <c r="K373" s="139">
        <v>46220</v>
      </c>
      <c r="L373" s="140">
        <v>46216</v>
      </c>
      <c r="M373" s="142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7">
        <v>46155</v>
      </c>
      <c r="B374" s="15" t="str">
        <f>VLOOKUP(C374,'Product List'!A:C,3,0)</f>
        <v>D. MMO-COTTAGE VIEW CAGE</v>
      </c>
      <c r="C374" s="19" t="s">
        <v>57</v>
      </c>
      <c r="D374" s="99">
        <v>31151334</v>
      </c>
      <c r="E374" s="6" t="s">
        <v>387</v>
      </c>
      <c r="F374" s="99">
        <v>1</v>
      </c>
      <c r="G374" s="99">
        <v>70.28</v>
      </c>
      <c r="H374" s="99">
        <f t="shared" si="12"/>
        <v>70.28</v>
      </c>
      <c r="I374" s="6" t="s">
        <v>325</v>
      </c>
      <c r="J374" s="19" t="s">
        <v>355</v>
      </c>
      <c r="K374" s="139">
        <v>46220</v>
      </c>
      <c r="L374" s="140">
        <v>46216</v>
      </c>
      <c r="M374" s="142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7">
        <v>46155</v>
      </c>
      <c r="B375" s="15" t="str">
        <f>VLOOKUP(C375,'Product List'!A:C,3,0)</f>
        <v>MMO-BUBBLE WATER BOTTLE</v>
      </c>
      <c r="C375" s="149" t="s">
        <v>38</v>
      </c>
      <c r="D375" s="132">
        <v>31151334</v>
      </c>
      <c r="E375" s="6" t="s">
        <v>387</v>
      </c>
      <c r="F375" s="132">
        <v>252</v>
      </c>
      <c r="G375" s="99">
        <v>4.35</v>
      </c>
      <c r="H375" s="99">
        <f t="shared" si="12"/>
        <v>1096.2</v>
      </c>
      <c r="I375" s="6" t="s">
        <v>325</v>
      </c>
      <c r="J375" s="19" t="s">
        <v>355</v>
      </c>
      <c r="K375" s="139">
        <v>46220</v>
      </c>
      <c r="L375" s="140">
        <v>46216</v>
      </c>
      <c r="M375" s="142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7">
        <v>46155</v>
      </c>
      <c r="B376" s="15" t="str">
        <f>VLOOKUP(C376,'Product List'!A:C,3,0)</f>
        <v>MMO-SHELL PEARL HAMSTER CHEW</v>
      </c>
      <c r="C376" s="19" t="s">
        <v>48</v>
      </c>
      <c r="D376" s="99">
        <v>31151334</v>
      </c>
      <c r="E376" s="6" t="s">
        <v>387</v>
      </c>
      <c r="F376" s="99">
        <v>256</v>
      </c>
      <c r="G376" s="99">
        <v>1.61</v>
      </c>
      <c r="H376" s="99">
        <f t="shared" si="12"/>
        <v>412.16</v>
      </c>
      <c r="I376" s="6" t="s">
        <v>325</v>
      </c>
      <c r="J376" s="19" t="s">
        <v>355</v>
      </c>
      <c r="K376" s="139">
        <v>46220</v>
      </c>
      <c r="L376" s="140">
        <v>46216</v>
      </c>
      <c r="M376" s="142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7">
        <v>46155</v>
      </c>
      <c r="B377" s="15" t="str">
        <f>VLOOKUP(C377,'Product List'!A:C,3,0)</f>
        <v>MMO-GREEN APPLE CHEW</v>
      </c>
      <c r="C377" s="19" t="s">
        <v>39</v>
      </c>
      <c r="D377" s="99">
        <v>31151334</v>
      </c>
      <c r="E377" s="6" t="s">
        <v>387</v>
      </c>
      <c r="F377" s="99">
        <v>288</v>
      </c>
      <c r="G377" s="99">
        <v>1.53</v>
      </c>
      <c r="H377" s="99">
        <f t="shared" si="12"/>
        <v>440.64</v>
      </c>
      <c r="I377" s="6" t="s">
        <v>325</v>
      </c>
      <c r="J377" s="19" t="s">
        <v>355</v>
      </c>
      <c r="K377" s="139">
        <v>46220</v>
      </c>
      <c r="L377" s="140">
        <v>46216</v>
      </c>
      <c r="M377" s="142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7">
        <v>46155</v>
      </c>
      <c r="B378" s="15" t="str">
        <f>VLOOKUP(C378,'Product List'!A:C,3,0)</f>
        <v>MMO-CAMP LUNCH BOX CHEW</v>
      </c>
      <c r="C378" s="19" t="s">
        <v>40</v>
      </c>
      <c r="D378" s="99">
        <v>31151334</v>
      </c>
      <c r="E378" s="6" t="s">
        <v>387</v>
      </c>
      <c r="F378" s="99">
        <v>288</v>
      </c>
      <c r="G378" s="99">
        <v>2.48</v>
      </c>
      <c r="H378" s="99">
        <f t="shared" si="12"/>
        <v>714.24</v>
      </c>
      <c r="I378" s="6" t="s">
        <v>325</v>
      </c>
      <c r="J378" s="19" t="s">
        <v>355</v>
      </c>
      <c r="K378" s="139">
        <v>46220</v>
      </c>
      <c r="L378" s="140">
        <v>46216</v>
      </c>
      <c r="M378" s="142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7">
        <v>46162</v>
      </c>
      <c r="B379" s="15" t="str">
        <f>VLOOKUP(C379,'Product List'!A:C,3,0)</f>
        <v>MINI/MOE BENDABLE BIRCHWOOD FENCE</v>
      </c>
      <c r="C379" s="19" t="s">
        <v>34</v>
      </c>
      <c r="D379" s="99">
        <v>31205994</v>
      </c>
      <c r="E379" s="6" t="s">
        <v>388</v>
      </c>
      <c r="F379" s="99">
        <v>32</v>
      </c>
      <c r="G379" s="99">
        <v>5.01</v>
      </c>
      <c r="H379" s="99">
        <f t="shared" si="12"/>
        <v>160.32</v>
      </c>
      <c r="I379" s="6" t="s">
        <v>325</v>
      </c>
      <c r="J379" s="19" t="s">
        <v>350</v>
      </c>
      <c r="K379" s="139">
        <v>46231</v>
      </c>
      <c r="L379" s="140">
        <v>46227</v>
      </c>
      <c r="M379" s="142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7">
        <v>46162</v>
      </c>
      <c r="B380" s="15" t="str">
        <f>VLOOKUP(C380,'Product List'!A:C,3,0)</f>
        <v>MMO-CLOUD WATER BOTTLE</v>
      </c>
      <c r="C380" s="19" t="s">
        <v>37</v>
      </c>
      <c r="D380" s="99">
        <v>31205994</v>
      </c>
      <c r="E380" s="6" t="s">
        <v>388</v>
      </c>
      <c r="F380" s="99">
        <v>50</v>
      </c>
      <c r="G380" s="99">
        <v>1.32</v>
      </c>
      <c r="H380" s="99">
        <f t="shared" si="12"/>
        <v>66</v>
      </c>
      <c r="I380" s="6" t="s">
        <v>325</v>
      </c>
      <c r="J380" s="19" t="s">
        <v>350</v>
      </c>
      <c r="K380" s="139">
        <v>46231</v>
      </c>
      <c r="L380" s="140">
        <v>46227</v>
      </c>
      <c r="M380" s="142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7">
        <v>46162</v>
      </c>
      <c r="B381" s="15" t="str">
        <f>VLOOKUP(C381,'Product List'!A:C,3,0)</f>
        <v>MMO-COTTON NESTING BALLS</v>
      </c>
      <c r="C381" s="6" t="s">
        <v>43</v>
      </c>
      <c r="D381" s="99">
        <v>31205994</v>
      </c>
      <c r="E381" s="6" t="s">
        <v>388</v>
      </c>
      <c r="F381" s="99">
        <v>32</v>
      </c>
      <c r="G381" s="99">
        <v>3.37</v>
      </c>
      <c r="H381" s="99">
        <f t="shared" ref="H381:H444" si="14">F381*G381</f>
        <v>107.84</v>
      </c>
      <c r="I381" s="6" t="s">
        <v>325</v>
      </c>
      <c r="J381" s="19" t="s">
        <v>350</v>
      </c>
      <c r="K381" s="139">
        <v>46231</v>
      </c>
      <c r="L381" s="140">
        <v>46227</v>
      </c>
      <c r="M381" s="142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7">
        <v>46162</v>
      </c>
      <c r="B382" s="15" t="str">
        <f>VLOOKUP(C382,'Product List'!A:C,3,0)</f>
        <v>MINI/MOE TV VIEWING CAGE</v>
      </c>
      <c r="C382" s="19" t="s">
        <v>27</v>
      </c>
      <c r="D382" s="99">
        <v>31205994</v>
      </c>
      <c r="E382" s="6" t="s">
        <v>388</v>
      </c>
      <c r="F382" s="99">
        <v>35</v>
      </c>
      <c r="G382" s="99">
        <v>48.49</v>
      </c>
      <c r="H382" s="99">
        <f t="shared" si="14"/>
        <v>1697.15</v>
      </c>
      <c r="I382" s="6" t="s">
        <v>325</v>
      </c>
      <c r="J382" s="19" t="s">
        <v>350</v>
      </c>
      <c r="K382" s="139">
        <v>46231</v>
      </c>
      <c r="L382" s="140">
        <v>46227</v>
      </c>
      <c r="M382" s="142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7">
        <v>46162</v>
      </c>
      <c r="B383" s="15" t="str">
        <f>VLOOKUP(C383,'Product List'!A:C,3,0)</f>
        <v>MMO-BUBBLE WATER BOTTLE</v>
      </c>
      <c r="C383" s="154" t="s">
        <v>38</v>
      </c>
      <c r="D383" s="156">
        <v>31205994</v>
      </c>
      <c r="E383" s="6" t="s">
        <v>388</v>
      </c>
      <c r="F383" s="156">
        <v>210</v>
      </c>
      <c r="G383" s="156">
        <v>4.35</v>
      </c>
      <c r="H383" s="156">
        <f t="shared" si="14"/>
        <v>913.5</v>
      </c>
      <c r="I383" s="17" t="s">
        <v>325</v>
      </c>
      <c r="J383" s="154" t="s">
        <v>350</v>
      </c>
      <c r="K383" s="139">
        <v>46231</v>
      </c>
      <c r="L383" s="140">
        <v>46227</v>
      </c>
      <c r="M383" s="142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7">
        <v>46162</v>
      </c>
      <c r="B384" s="15" t="str">
        <f>VLOOKUP(C384,'Product List'!A:C,3,0)</f>
        <v>MMO-CAMP LUNCH BOX CHEW</v>
      </c>
      <c r="C384" s="19" t="s">
        <v>40</v>
      </c>
      <c r="D384" s="99">
        <v>31205994</v>
      </c>
      <c r="E384" s="6" t="s">
        <v>388</v>
      </c>
      <c r="F384" s="99">
        <v>72</v>
      </c>
      <c r="G384" s="99">
        <v>2.48</v>
      </c>
      <c r="H384" s="99">
        <f t="shared" si="14"/>
        <v>178.56</v>
      </c>
      <c r="I384" s="6" t="s">
        <v>325</v>
      </c>
      <c r="J384" s="19" t="s">
        <v>350</v>
      </c>
      <c r="K384" s="139">
        <v>46231</v>
      </c>
      <c r="L384" s="140">
        <v>46227</v>
      </c>
      <c r="M384" s="142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7">
        <v>46162</v>
      </c>
      <c r="B385" s="15" t="str">
        <f>VLOOKUP(C385,'Product List'!A:C,3,0)</f>
        <v>MINI/MOE RUFFLE BOWL</v>
      </c>
      <c r="C385" s="149" t="s">
        <v>83</v>
      </c>
      <c r="D385" s="132">
        <v>31205995</v>
      </c>
      <c r="E385" s="148" t="s">
        <v>389</v>
      </c>
      <c r="F385" s="132">
        <v>48</v>
      </c>
      <c r="G385" s="99">
        <v>2.35</v>
      </c>
      <c r="H385" s="99">
        <f t="shared" si="14"/>
        <v>112.8</v>
      </c>
      <c r="I385" s="6" t="s">
        <v>325</v>
      </c>
      <c r="J385" s="19" t="s">
        <v>351</v>
      </c>
      <c r="K385" s="139">
        <v>46225</v>
      </c>
      <c r="L385" s="140">
        <v>46218</v>
      </c>
      <c r="M385" s="142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7">
        <v>46162</v>
      </c>
      <c r="B386" s="15" t="str">
        <f>VLOOKUP(C386,'Product List'!A:C,3,0)</f>
        <v>MINI/MOE TV VIEWING CAGE</v>
      </c>
      <c r="C386" s="19" t="s">
        <v>27</v>
      </c>
      <c r="D386" s="99">
        <v>31205995</v>
      </c>
      <c r="E386" s="148" t="s">
        <v>389</v>
      </c>
      <c r="F386" s="99">
        <v>53</v>
      </c>
      <c r="G386" s="99">
        <v>48.49</v>
      </c>
      <c r="H386" s="99">
        <f t="shared" si="14"/>
        <v>2569.97</v>
      </c>
      <c r="I386" s="6" t="s">
        <v>325</v>
      </c>
      <c r="J386" s="19" t="s">
        <v>351</v>
      </c>
      <c r="K386" s="139">
        <v>46225</v>
      </c>
      <c r="L386" s="140">
        <v>46218</v>
      </c>
      <c r="M386" s="142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7">
        <v>46162</v>
      </c>
      <c r="B387" s="15" t="str">
        <f>VLOOKUP(C387,'Product List'!A:C,3,0)</f>
        <v>MMO-BUBBLE WATER BOTTLE</v>
      </c>
      <c r="C387" s="149" t="s">
        <v>38</v>
      </c>
      <c r="D387" s="132">
        <v>31205995</v>
      </c>
      <c r="E387" s="148" t="s">
        <v>389</v>
      </c>
      <c r="F387" s="132">
        <v>84</v>
      </c>
      <c r="G387" s="99">
        <v>4.35</v>
      </c>
      <c r="H387" s="99">
        <f t="shared" si="14"/>
        <v>365.4</v>
      </c>
      <c r="I387" s="6" t="s">
        <v>325</v>
      </c>
      <c r="J387" s="149" t="s">
        <v>351</v>
      </c>
      <c r="K387" s="139">
        <v>46225</v>
      </c>
      <c r="L387" s="140">
        <v>46218</v>
      </c>
      <c r="M387" s="142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7">
        <v>46162</v>
      </c>
      <c r="B388" s="15" t="str">
        <f>VLOOKUP(C388,'Product List'!A:C,3,0)</f>
        <v>MINI/MOE SILENT CRSTL RUN WHEEL LG 8.5-White</v>
      </c>
      <c r="C388" s="19" t="s">
        <v>41</v>
      </c>
      <c r="D388" s="99">
        <v>31205996</v>
      </c>
      <c r="E388" s="6" t="s">
        <v>390</v>
      </c>
      <c r="F388" s="99">
        <v>56</v>
      </c>
      <c r="G388" s="99">
        <v>13.22</v>
      </c>
      <c r="H388" s="99">
        <f t="shared" si="14"/>
        <v>740.32</v>
      </c>
      <c r="I388" s="6" t="s">
        <v>325</v>
      </c>
      <c r="J388" s="19" t="s">
        <v>345</v>
      </c>
      <c r="K388" s="139">
        <v>46197</v>
      </c>
      <c r="L388" s="139">
        <v>46197</v>
      </c>
      <c r="M388" s="142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7">
        <v>46162</v>
      </c>
      <c r="B389" s="15" t="str">
        <f>VLOOKUP(C389,'Product List'!A:C,3,0)</f>
        <v>MMO-CLOUD WATER BOTTLE</v>
      </c>
      <c r="C389" s="19" t="s">
        <v>37</v>
      </c>
      <c r="D389" s="99">
        <v>31205996</v>
      </c>
      <c r="E389" s="6" t="s">
        <v>390</v>
      </c>
      <c r="F389" s="99">
        <v>100</v>
      </c>
      <c r="G389" s="99">
        <v>1.32</v>
      </c>
      <c r="H389" s="99">
        <f t="shared" si="14"/>
        <v>132</v>
      </c>
      <c r="I389" s="6" t="s">
        <v>325</v>
      </c>
      <c r="J389" s="19" t="s">
        <v>345</v>
      </c>
      <c r="K389" s="139">
        <v>46197</v>
      </c>
      <c r="L389" s="139">
        <v>46197</v>
      </c>
      <c r="M389" s="142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7">
        <v>46162</v>
      </c>
      <c r="B390" s="15" t="str">
        <f>VLOOKUP(C390,'Product List'!A:C,3,0)</f>
        <v>MINI/MOE TV VIEWING CAGE</v>
      </c>
      <c r="C390" s="19" t="s">
        <v>27</v>
      </c>
      <c r="D390" s="99">
        <v>31205996</v>
      </c>
      <c r="E390" s="6" t="s">
        <v>390</v>
      </c>
      <c r="F390" s="99">
        <v>30</v>
      </c>
      <c r="G390" s="99">
        <v>48.49</v>
      </c>
      <c r="H390" s="99">
        <f t="shared" si="14"/>
        <v>1454.7</v>
      </c>
      <c r="I390" s="6" t="s">
        <v>325</v>
      </c>
      <c r="J390" s="19" t="s">
        <v>345</v>
      </c>
      <c r="K390" s="139">
        <v>46197</v>
      </c>
      <c r="L390" s="139">
        <v>46197</v>
      </c>
      <c r="M390" s="142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7">
        <v>46162</v>
      </c>
      <c r="B391" s="15" t="str">
        <f>VLOOKUP(C391,'Product List'!A:C,3,0)</f>
        <v>MMO-BUBBLE WATER BOTTLE</v>
      </c>
      <c r="C391" s="19" t="s">
        <v>38</v>
      </c>
      <c r="D391" s="99">
        <v>31205996</v>
      </c>
      <c r="E391" s="6" t="s">
        <v>390</v>
      </c>
      <c r="F391" s="99">
        <v>126</v>
      </c>
      <c r="G391" s="99">
        <v>4.35</v>
      </c>
      <c r="H391" s="99">
        <f t="shared" si="14"/>
        <v>548.1</v>
      </c>
      <c r="I391" s="6" t="s">
        <v>325</v>
      </c>
      <c r="J391" s="19" t="s">
        <v>345</v>
      </c>
      <c r="K391" s="139">
        <v>46197</v>
      </c>
      <c r="L391" s="139">
        <v>46197</v>
      </c>
      <c r="M391" s="142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7">
        <v>46162</v>
      </c>
      <c r="B392" s="15" t="str">
        <f>VLOOKUP(C392,'Product List'!A:C,3,0)</f>
        <v>MMO-GREEN APPLE CHEW</v>
      </c>
      <c r="C392" s="19" t="s">
        <v>39</v>
      </c>
      <c r="D392" s="132">
        <v>31205996</v>
      </c>
      <c r="E392" s="6" t="s">
        <v>390</v>
      </c>
      <c r="F392" s="99">
        <v>96</v>
      </c>
      <c r="G392" s="99">
        <v>1.53</v>
      </c>
      <c r="H392" s="99">
        <f t="shared" si="14"/>
        <v>146.88</v>
      </c>
      <c r="I392" s="6" t="s">
        <v>325</v>
      </c>
      <c r="J392" s="19" t="s">
        <v>345</v>
      </c>
      <c r="K392" s="139">
        <v>46197</v>
      </c>
      <c r="L392" s="139">
        <v>46197</v>
      </c>
      <c r="M392" s="142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7">
        <v>46162</v>
      </c>
      <c r="B393" s="15" t="str">
        <f>VLOOKUP(C393,'Product List'!A:C,3,0)</f>
        <v>MINI/MOE BENDABLE BIRCHWOOD FENCE</v>
      </c>
      <c r="C393" s="19" t="s">
        <v>34</v>
      </c>
      <c r="D393" s="99">
        <v>31205997</v>
      </c>
      <c r="E393" s="6" t="s">
        <v>391</v>
      </c>
      <c r="F393" s="99">
        <v>32</v>
      </c>
      <c r="G393" s="99">
        <v>5.01</v>
      </c>
      <c r="H393" s="99">
        <f t="shared" si="14"/>
        <v>160.32</v>
      </c>
      <c r="I393" s="6" t="s">
        <v>325</v>
      </c>
      <c r="J393" s="19" t="s">
        <v>355</v>
      </c>
      <c r="K393" s="139">
        <v>46232</v>
      </c>
      <c r="L393" s="140">
        <v>46227</v>
      </c>
      <c r="M393" s="142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7">
        <v>46162</v>
      </c>
      <c r="B394" s="15" t="str">
        <f>VLOOKUP(C394,'Product List'!A:C,3,0)</f>
        <v>MINI/MOE SILENT CRSTL RUN WHEEL LG 8.5-White</v>
      </c>
      <c r="C394" s="19" t="s">
        <v>41</v>
      </c>
      <c r="D394" s="99">
        <v>31205997</v>
      </c>
      <c r="E394" s="6" t="s">
        <v>391</v>
      </c>
      <c r="F394" s="99">
        <v>24</v>
      </c>
      <c r="G394" s="99">
        <v>13.22</v>
      </c>
      <c r="H394" s="99">
        <f t="shared" si="14"/>
        <v>317.28</v>
      </c>
      <c r="I394" s="6" t="s">
        <v>325</v>
      </c>
      <c r="J394" s="19" t="s">
        <v>355</v>
      </c>
      <c r="K394" s="139">
        <v>46232</v>
      </c>
      <c r="L394" s="140">
        <v>46227</v>
      </c>
      <c r="M394" s="142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7">
        <v>46162</v>
      </c>
      <c r="B395" s="15" t="str">
        <f>VLOOKUP(C395,'Product List'!A:C,3,0)</f>
        <v>MMO-CLOUD WATER BOTTLE</v>
      </c>
      <c r="C395" s="19" t="s">
        <v>37</v>
      </c>
      <c r="D395" s="99">
        <v>31205997</v>
      </c>
      <c r="E395" s="6" t="s">
        <v>391</v>
      </c>
      <c r="F395" s="99">
        <v>150</v>
      </c>
      <c r="G395" s="99">
        <v>1.32</v>
      </c>
      <c r="H395" s="99">
        <f t="shared" si="14"/>
        <v>198</v>
      </c>
      <c r="I395" s="6" t="s">
        <v>325</v>
      </c>
      <c r="J395" s="19" t="s">
        <v>355</v>
      </c>
      <c r="K395" s="139">
        <v>46232</v>
      </c>
      <c r="L395" s="140">
        <v>46227</v>
      </c>
      <c r="M395" s="142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7">
        <v>46162</v>
      </c>
      <c r="B396" s="15" t="str">
        <f>VLOOKUP(C396,'Product List'!A:C,3,0)</f>
        <v>MMO-WAVE BRIDGE</v>
      </c>
      <c r="C396" s="19" t="s">
        <v>82</v>
      </c>
      <c r="D396" s="99">
        <v>31205997</v>
      </c>
      <c r="E396" s="6" t="s">
        <v>391</v>
      </c>
      <c r="F396" s="99">
        <v>33</v>
      </c>
      <c r="G396" s="99">
        <v>4.84</v>
      </c>
      <c r="H396" s="99">
        <f t="shared" si="14"/>
        <v>159.72</v>
      </c>
      <c r="I396" s="6" t="s">
        <v>325</v>
      </c>
      <c r="J396" s="19" t="s">
        <v>355</v>
      </c>
      <c r="K396" s="139">
        <v>46232</v>
      </c>
      <c r="L396" s="140">
        <v>46227</v>
      </c>
      <c r="M396" s="142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7">
        <v>46162</v>
      </c>
      <c r="B397" s="15" t="str">
        <f>VLOOKUP(C397,'Product List'!A:C,3,0)</f>
        <v>MMO-PAPER TWIST BLU/WHT</v>
      </c>
      <c r="C397" s="6" t="s">
        <v>44</v>
      </c>
      <c r="D397" s="99">
        <v>31205997</v>
      </c>
      <c r="E397" s="6" t="s">
        <v>391</v>
      </c>
      <c r="F397" s="99">
        <v>30</v>
      </c>
      <c r="G397" s="99">
        <v>3.89</v>
      </c>
      <c r="H397" s="99">
        <f t="shared" si="14"/>
        <v>116.7</v>
      </c>
      <c r="I397" s="6" t="s">
        <v>325</v>
      </c>
      <c r="J397" s="19" t="s">
        <v>355</v>
      </c>
      <c r="K397" s="139">
        <v>46232</v>
      </c>
      <c r="L397" s="140">
        <v>46227</v>
      </c>
      <c r="M397" s="142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7">
        <v>46162</v>
      </c>
      <c r="B398" s="15" t="str">
        <f>VLOOKUP(C398,'Product List'!A:C,3,0)</f>
        <v>MINI/MOE TV VIEWING CAGE</v>
      </c>
      <c r="C398" s="19" t="s">
        <v>27</v>
      </c>
      <c r="D398" s="99">
        <v>31205997</v>
      </c>
      <c r="E398" s="6" t="s">
        <v>391</v>
      </c>
      <c r="F398" s="99">
        <v>40</v>
      </c>
      <c r="G398" s="99">
        <v>48.49</v>
      </c>
      <c r="H398" s="99">
        <f t="shared" si="14"/>
        <v>1939.6</v>
      </c>
      <c r="I398" s="6" t="s">
        <v>325</v>
      </c>
      <c r="J398" s="19" t="s">
        <v>355</v>
      </c>
      <c r="K398" s="139">
        <v>46232</v>
      </c>
      <c r="L398" s="140">
        <v>46227</v>
      </c>
      <c r="M398" s="142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7">
        <v>46162</v>
      </c>
      <c r="B399" s="15" t="str">
        <f>VLOOKUP(C399,'Product List'!A:C,3,0)</f>
        <v>MMO-BUBBLE WATER BOTTLE</v>
      </c>
      <c r="C399" s="149" t="s">
        <v>38</v>
      </c>
      <c r="D399" s="99">
        <v>31205997</v>
      </c>
      <c r="E399" s="6" t="s">
        <v>391</v>
      </c>
      <c r="F399" s="132">
        <v>210</v>
      </c>
      <c r="G399" s="99">
        <v>4.35</v>
      </c>
      <c r="H399" s="99">
        <f t="shared" si="14"/>
        <v>913.5</v>
      </c>
      <c r="I399" s="6" t="s">
        <v>325</v>
      </c>
      <c r="J399" s="149" t="s">
        <v>355</v>
      </c>
      <c r="K399" s="139">
        <v>46232</v>
      </c>
      <c r="L399" s="140">
        <v>46227</v>
      </c>
      <c r="M399" s="142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7">
        <v>46162</v>
      </c>
      <c r="B400" s="15" t="str">
        <f>VLOOKUP(C400,'Product List'!A:C,3,0)</f>
        <v>MMO-SHELL PEARL HAMSTER CHEW</v>
      </c>
      <c r="C400" s="19" t="s">
        <v>48</v>
      </c>
      <c r="D400" s="99">
        <v>31205997</v>
      </c>
      <c r="E400" s="6" t="s">
        <v>391</v>
      </c>
      <c r="F400" s="99">
        <v>64</v>
      </c>
      <c r="G400" s="99">
        <v>1.61</v>
      </c>
      <c r="H400" s="99">
        <f t="shared" si="14"/>
        <v>103.04</v>
      </c>
      <c r="I400" s="6" t="s">
        <v>325</v>
      </c>
      <c r="J400" s="19" t="s">
        <v>355</v>
      </c>
      <c r="K400" s="139">
        <v>46232</v>
      </c>
      <c r="L400" s="140">
        <v>46227</v>
      </c>
      <c r="M400" s="142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7">
        <v>46162</v>
      </c>
      <c r="B401" s="15" t="str">
        <f>VLOOKUP(C401,'Product List'!A:C,3,0)</f>
        <v>MMO-GREEN APPLE CHEW</v>
      </c>
      <c r="C401" s="19" t="s">
        <v>39</v>
      </c>
      <c r="D401" s="99">
        <v>31205997</v>
      </c>
      <c r="E401" s="6" t="s">
        <v>391</v>
      </c>
      <c r="F401" s="99">
        <v>96</v>
      </c>
      <c r="G401" s="99">
        <v>1.53</v>
      </c>
      <c r="H401" s="99">
        <f t="shared" si="14"/>
        <v>146.88</v>
      </c>
      <c r="I401" s="6" t="s">
        <v>325</v>
      </c>
      <c r="J401" s="19" t="s">
        <v>355</v>
      </c>
      <c r="K401" s="139">
        <v>46232</v>
      </c>
      <c r="L401" s="140">
        <v>46227</v>
      </c>
      <c r="M401" s="142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7">
        <v>46171</v>
      </c>
      <c r="B402" s="15" t="str">
        <f>VLOOKUP(C402,'Product List'!A:C,3,0)</f>
        <v>MINI/MOE SMALL ANIMAL BEDDING PAPER FLK XMAS CRAN/MATCHA 1EA</v>
      </c>
      <c r="C402" s="157" t="s">
        <v>61</v>
      </c>
      <c r="D402" s="108" t="s">
        <v>392</v>
      </c>
      <c r="E402" s="6" t="s">
        <v>393</v>
      </c>
      <c r="F402" s="108">
        <v>448</v>
      </c>
      <c r="G402" s="99">
        <v>6.79</v>
      </c>
      <c r="H402" s="99">
        <f t="shared" si="14"/>
        <v>3041.92</v>
      </c>
      <c r="I402" s="6" t="s">
        <v>334</v>
      </c>
      <c r="J402" s="19" t="s">
        <v>335</v>
      </c>
      <c r="K402" s="139">
        <v>46269</v>
      </c>
      <c r="L402" s="139">
        <v>46269</v>
      </c>
      <c r="M402" s="142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7">
        <v>46171</v>
      </c>
      <c r="B403" s="15" t="str">
        <f>VLOOKUP(C403,'Product List'!A:C,3,0)</f>
        <v>MMO-BUBBLE WATER BOTTLE</v>
      </c>
      <c r="C403" s="157" t="s">
        <v>38</v>
      </c>
      <c r="D403" s="108" t="s">
        <v>392</v>
      </c>
      <c r="E403" s="6" t="s">
        <v>393</v>
      </c>
      <c r="F403" s="108">
        <v>504</v>
      </c>
      <c r="G403" s="99">
        <v>4.14</v>
      </c>
      <c r="H403" s="99">
        <f t="shared" si="14"/>
        <v>2086.56</v>
      </c>
      <c r="I403" s="6" t="s">
        <v>334</v>
      </c>
      <c r="J403" s="19" t="s">
        <v>335</v>
      </c>
      <c r="K403" s="139">
        <v>46269</v>
      </c>
      <c r="L403" s="139">
        <v>46269</v>
      </c>
      <c r="M403" s="142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7">
        <v>46171</v>
      </c>
      <c r="B404" s="15" t="str">
        <f>VLOOKUP(C404,'Product List'!A:C,3,0)</f>
        <v>MINI/MOE FISHBONE BRIDGE 1EA</v>
      </c>
      <c r="C404" s="157" t="s">
        <v>68</v>
      </c>
      <c r="D404" s="108" t="s">
        <v>392</v>
      </c>
      <c r="E404" s="6" t="s">
        <v>393</v>
      </c>
      <c r="F404" s="108">
        <v>480</v>
      </c>
      <c r="G404" s="99">
        <v>2.39</v>
      </c>
      <c r="H404" s="99">
        <f t="shared" si="14"/>
        <v>1147.2</v>
      </c>
      <c r="I404" s="6" t="s">
        <v>334</v>
      </c>
      <c r="J404" s="19" t="s">
        <v>335</v>
      </c>
      <c r="K404" s="139">
        <v>46269</v>
      </c>
      <c r="L404" s="139">
        <v>46269</v>
      </c>
      <c r="M404" s="142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7">
        <v>46171</v>
      </c>
      <c r="B405" s="15" t="str">
        <f>VLOOKUP(C405,'Product List'!A:C,3,0)</f>
        <v>Sugar Jar</v>
      </c>
      <c r="C405" s="157" t="s">
        <v>65</v>
      </c>
      <c r="D405" s="108" t="s">
        <v>392</v>
      </c>
      <c r="E405" s="6" t="s">
        <v>393</v>
      </c>
      <c r="F405" s="108">
        <v>459</v>
      </c>
      <c r="G405" s="99">
        <v>4.13</v>
      </c>
      <c r="H405" s="99">
        <f t="shared" si="14"/>
        <v>1895.67</v>
      </c>
      <c r="I405" s="6" t="s">
        <v>334</v>
      </c>
      <c r="J405" s="19" t="s">
        <v>335</v>
      </c>
      <c r="K405" s="139">
        <v>46269</v>
      </c>
      <c r="L405" s="139">
        <v>46269</v>
      </c>
      <c r="M405" s="142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7">
        <v>46171</v>
      </c>
      <c r="B406" s="15" t="str">
        <f>VLOOKUP(C406,'Product List'!A:C,3,0)</f>
        <v>Candy House</v>
      </c>
      <c r="C406" s="157" t="s">
        <v>66</v>
      </c>
      <c r="D406" s="108" t="s">
        <v>392</v>
      </c>
      <c r="E406" s="6" t="s">
        <v>393</v>
      </c>
      <c r="F406" s="108">
        <v>459</v>
      </c>
      <c r="G406" s="99">
        <v>4.43</v>
      </c>
      <c r="H406" s="99">
        <f t="shared" si="14"/>
        <v>2033.37</v>
      </c>
      <c r="I406" s="6" t="s">
        <v>334</v>
      </c>
      <c r="J406" s="19" t="s">
        <v>335</v>
      </c>
      <c r="K406" s="139">
        <v>46269</v>
      </c>
      <c r="L406" s="139">
        <v>46269</v>
      </c>
      <c r="M406" s="142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7">
        <v>46171</v>
      </c>
      <c r="B407" s="15" t="str">
        <f>VLOOKUP(C407,'Product List'!A:C,3,0)</f>
        <v>MINI/MOE SMALL ANIMAL FEEDING WATER BOTTLE HLDR GUMBALL 1EA</v>
      </c>
      <c r="C407" s="157" t="s">
        <v>59</v>
      </c>
      <c r="D407" s="108" t="s">
        <v>392</v>
      </c>
      <c r="E407" s="6" t="s">
        <v>393</v>
      </c>
      <c r="F407" s="108">
        <v>442</v>
      </c>
      <c r="G407" s="99">
        <v>3.44</v>
      </c>
      <c r="H407" s="99">
        <f t="shared" si="14"/>
        <v>1520.48</v>
      </c>
      <c r="I407" s="6" t="s">
        <v>334</v>
      </c>
      <c r="J407" s="19" t="s">
        <v>335</v>
      </c>
      <c r="K407" s="139">
        <v>46269</v>
      </c>
      <c r="L407" s="139">
        <v>46269</v>
      </c>
      <c r="M407" s="142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7">
        <v>46171</v>
      </c>
      <c r="B408" s="15" t="str">
        <f>VLOOKUP(C408,'Product List'!A:C,3,0)</f>
        <v>Silent Crystal Running Wheel XL</v>
      </c>
      <c r="C408" s="157" t="s">
        <v>56</v>
      </c>
      <c r="D408" s="108" t="s">
        <v>392</v>
      </c>
      <c r="E408" s="6" t="s">
        <v>393</v>
      </c>
      <c r="F408" s="108">
        <v>438</v>
      </c>
      <c r="G408" s="99">
        <v>22.04</v>
      </c>
      <c r="H408" s="99">
        <f t="shared" si="14"/>
        <v>9653.52</v>
      </c>
      <c r="I408" s="6" t="s">
        <v>334</v>
      </c>
      <c r="J408" s="19" t="s">
        <v>335</v>
      </c>
      <c r="K408" s="139">
        <v>46269</v>
      </c>
      <c r="L408" s="139">
        <v>46269</v>
      </c>
      <c r="M408" s="142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7">
        <v>46171</v>
      </c>
      <c r="B409" s="15" t="str">
        <f>VLOOKUP(C409,'Product List'!A:C,3,0)</f>
        <v>MINI/MOE MINI TV TUNNEL CAGE 1EA</v>
      </c>
      <c r="C409" s="157" t="s">
        <v>74</v>
      </c>
      <c r="D409" s="108" t="s">
        <v>392</v>
      </c>
      <c r="E409" s="6" t="s">
        <v>393</v>
      </c>
      <c r="F409" s="108">
        <v>438</v>
      </c>
      <c r="G409" s="99">
        <v>37.96</v>
      </c>
      <c r="H409" s="99">
        <f t="shared" si="14"/>
        <v>16626.48</v>
      </c>
      <c r="I409" s="6" t="s">
        <v>334</v>
      </c>
      <c r="J409" s="19" t="s">
        <v>335</v>
      </c>
      <c r="K409" s="139">
        <v>46269</v>
      </c>
      <c r="L409" s="139">
        <v>46269</v>
      </c>
      <c r="M409" s="142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7">
        <v>46171</v>
      </c>
      <c r="B410" s="15" t="str">
        <f>VLOOKUP(C410,'Product List'!A:C,3,0)</f>
        <v>NONO Magnetic Water Bottle (220 ML)</v>
      </c>
      <c r="C410" s="19" t="s">
        <v>67</v>
      </c>
      <c r="D410" s="99" t="s">
        <v>394</v>
      </c>
      <c r="E410" s="6" t="s">
        <v>395</v>
      </c>
      <c r="F410" s="99">
        <v>180</v>
      </c>
      <c r="G410" s="99">
        <v>2.93</v>
      </c>
      <c r="H410" s="99">
        <f t="shared" si="14"/>
        <v>527.4</v>
      </c>
      <c r="I410" s="6" t="s">
        <v>334</v>
      </c>
      <c r="J410" s="19" t="s">
        <v>341</v>
      </c>
      <c r="K410" s="139">
        <v>46269</v>
      </c>
      <c r="L410" s="139">
        <v>46265</v>
      </c>
      <c r="M410" s="142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7">
        <v>46171</v>
      </c>
      <c r="B411" s="15" t="str">
        <f>VLOOKUP(C411,'Product List'!A:C,3,0)</f>
        <v>Forest Series Hamster Chew Toy &amp; Treat</v>
      </c>
      <c r="C411" s="19" t="s">
        <v>72</v>
      </c>
      <c r="D411" s="99" t="s">
        <v>394</v>
      </c>
      <c r="E411" s="6" t="s">
        <v>395</v>
      </c>
      <c r="F411" s="99">
        <v>180</v>
      </c>
      <c r="G411" s="99">
        <v>3.47</v>
      </c>
      <c r="H411" s="99">
        <f t="shared" si="14"/>
        <v>624.6</v>
      </c>
      <c r="I411" s="6" t="s">
        <v>334</v>
      </c>
      <c r="J411" s="19" t="s">
        <v>341</v>
      </c>
      <c r="K411" s="139">
        <v>46269</v>
      </c>
      <c r="L411" s="139">
        <v>46265</v>
      </c>
      <c r="M411" s="142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7">
        <v>46171</v>
      </c>
      <c r="B412" s="15" t="str">
        <f>VLOOKUP(C412,'Product List'!A:C,3,0)</f>
        <v>MMO-CAMP LUNCH BOX CHEW</v>
      </c>
      <c r="C412" s="19" t="s">
        <v>40</v>
      </c>
      <c r="D412" s="99" t="s">
        <v>394</v>
      </c>
      <c r="E412" s="6" t="s">
        <v>395</v>
      </c>
      <c r="F412" s="99">
        <v>216</v>
      </c>
      <c r="G412" s="99">
        <v>2.48</v>
      </c>
      <c r="H412" s="99">
        <f t="shared" si="14"/>
        <v>535.68</v>
      </c>
      <c r="I412" s="6" t="s">
        <v>334</v>
      </c>
      <c r="J412" s="19" t="s">
        <v>341</v>
      </c>
      <c r="K412" s="139">
        <v>46269</v>
      </c>
      <c r="L412" s="139">
        <v>46265</v>
      </c>
      <c r="M412" s="142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7">
        <v>46171</v>
      </c>
      <c r="B413" s="15" t="str">
        <f>VLOOKUP(C413,'Product List'!A:C,3,0)</f>
        <v>Mushroom Spiral Staircase</v>
      </c>
      <c r="C413" s="19" t="s">
        <v>55</v>
      </c>
      <c r="D413" s="99" t="s">
        <v>394</v>
      </c>
      <c r="E413" s="6" t="s">
        <v>395</v>
      </c>
      <c r="F413" s="99">
        <v>216</v>
      </c>
      <c r="G413" s="99">
        <v>2.62</v>
      </c>
      <c r="H413" s="99">
        <f t="shared" si="14"/>
        <v>565.92</v>
      </c>
      <c r="I413" s="6" t="s">
        <v>334</v>
      </c>
      <c r="J413" s="19" t="s">
        <v>341</v>
      </c>
      <c r="K413" s="139">
        <v>46269</v>
      </c>
      <c r="L413" s="139">
        <v>46265</v>
      </c>
      <c r="M413" s="142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7">
        <v>46171</v>
      </c>
      <c r="B414" s="15" t="str">
        <f>VLOOKUP(C414,'Product List'!A:C,3,0)</f>
        <v>Paper twist brown / white bedding</v>
      </c>
      <c r="C414" s="19" t="s">
        <v>54</v>
      </c>
      <c r="D414" s="99" t="s">
        <v>394</v>
      </c>
      <c r="E414" s="6" t="s">
        <v>395</v>
      </c>
      <c r="F414" s="99">
        <v>180</v>
      </c>
      <c r="G414" s="99">
        <v>3.8</v>
      </c>
      <c r="H414" s="99">
        <f t="shared" si="14"/>
        <v>684</v>
      </c>
      <c r="I414" s="6" t="s">
        <v>334</v>
      </c>
      <c r="J414" s="19" t="s">
        <v>341</v>
      </c>
      <c r="K414" s="139">
        <v>46269</v>
      </c>
      <c r="L414" s="139">
        <v>46265</v>
      </c>
      <c r="M414" s="142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7">
        <v>46171</v>
      </c>
      <c r="B415" s="15" t="str">
        <f>VLOOKUP(C415,'Product List'!A:C,3,0)</f>
        <v>Cotton multi color bedding</v>
      </c>
      <c r="C415" s="19" t="s">
        <v>50</v>
      </c>
      <c r="D415" s="99" t="s">
        <v>394</v>
      </c>
      <c r="E415" s="6" t="s">
        <v>395</v>
      </c>
      <c r="F415" s="99">
        <v>160</v>
      </c>
      <c r="G415" s="99">
        <v>3.26</v>
      </c>
      <c r="H415" s="99">
        <f t="shared" si="14"/>
        <v>521.6</v>
      </c>
      <c r="I415" s="6" t="s">
        <v>334</v>
      </c>
      <c r="J415" s="19" t="s">
        <v>341</v>
      </c>
      <c r="K415" s="139">
        <v>46269</v>
      </c>
      <c r="L415" s="139">
        <v>46265</v>
      </c>
      <c r="M415" s="142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7">
        <v>46171</v>
      </c>
      <c r="B416" s="15" t="str">
        <f>VLOOKUP(C416,'Product List'!A:C,3,0)</f>
        <v>MMO-GREEN APPLE CHEW</v>
      </c>
      <c r="C416" s="19" t="s">
        <v>39</v>
      </c>
      <c r="D416" s="99" t="s">
        <v>394</v>
      </c>
      <c r="E416" s="6" t="s">
        <v>395</v>
      </c>
      <c r="F416" s="99">
        <v>192</v>
      </c>
      <c r="G416" s="99">
        <v>1.53</v>
      </c>
      <c r="H416" s="99">
        <f t="shared" si="14"/>
        <v>293.76</v>
      </c>
      <c r="I416" s="6" t="s">
        <v>334</v>
      </c>
      <c r="J416" s="19" t="s">
        <v>341</v>
      </c>
      <c r="K416" s="139">
        <v>46269</v>
      </c>
      <c r="L416" s="139">
        <v>46265</v>
      </c>
      <c r="M416" s="142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7">
        <v>46171</v>
      </c>
      <c r="B417" s="15" t="str">
        <f>VLOOKUP(C417,'Product List'!A:C,3,0)</f>
        <v>MINI/MOE SMALL ANIMAL BEDDING PAPER PEBBLES PSTCH/CREAM 1EA</v>
      </c>
      <c r="C417" s="19" t="s">
        <v>63</v>
      </c>
      <c r="D417" s="99" t="s">
        <v>394</v>
      </c>
      <c r="E417" s="6" t="s">
        <v>395</v>
      </c>
      <c r="F417" s="99">
        <v>180</v>
      </c>
      <c r="G417" s="99">
        <v>3.89</v>
      </c>
      <c r="H417" s="99">
        <f t="shared" si="14"/>
        <v>700.2</v>
      </c>
      <c r="I417" s="6" t="s">
        <v>334</v>
      </c>
      <c r="J417" s="19" t="s">
        <v>341</v>
      </c>
      <c r="K417" s="139">
        <v>46269</v>
      </c>
      <c r="L417" s="139">
        <v>46265</v>
      </c>
      <c r="M417" s="142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7">
        <v>46171</v>
      </c>
      <c r="B418" s="15" t="str">
        <f>VLOOKUP(C418,'Product List'!A:C,3,0)</f>
        <v>MINI/MOE SMALL ANIMAL BEDDING PAPER TWISTS BUBBLEGUM 1EA</v>
      </c>
      <c r="C418" s="19" t="s">
        <v>60</v>
      </c>
      <c r="D418" s="99" t="s">
        <v>394</v>
      </c>
      <c r="E418" s="6" t="s">
        <v>395</v>
      </c>
      <c r="F418" s="99">
        <v>180</v>
      </c>
      <c r="G418" s="99">
        <v>3.8</v>
      </c>
      <c r="H418" s="99">
        <f t="shared" si="14"/>
        <v>684</v>
      </c>
      <c r="I418" s="6" t="s">
        <v>334</v>
      </c>
      <c r="J418" s="19" t="s">
        <v>341</v>
      </c>
      <c r="K418" s="139">
        <v>46269</v>
      </c>
      <c r="L418" s="139">
        <v>46265</v>
      </c>
      <c r="M418" s="142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7">
        <v>46171</v>
      </c>
      <c r="B419" s="15" t="str">
        <f>VLOOKUP(C419,'Product List'!A:C,3,0)</f>
        <v>MINI/MOE SMALL ANIMAL BEDDING PAPER FLK XMAS CRAN/MATCHA 1EA</v>
      </c>
      <c r="C419" s="19" t="s">
        <v>61</v>
      </c>
      <c r="D419" s="99" t="s">
        <v>394</v>
      </c>
      <c r="E419" s="6" t="s">
        <v>395</v>
      </c>
      <c r="F419" s="99">
        <v>168</v>
      </c>
      <c r="G419" s="99">
        <v>6.79</v>
      </c>
      <c r="H419" s="99">
        <f t="shared" si="14"/>
        <v>1140.72</v>
      </c>
      <c r="I419" s="6" t="s">
        <v>334</v>
      </c>
      <c r="J419" s="19" t="s">
        <v>341</v>
      </c>
      <c r="K419" s="139">
        <v>46269</v>
      </c>
      <c r="L419" s="139">
        <v>46265</v>
      </c>
      <c r="M419" s="142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7">
        <v>46171</v>
      </c>
      <c r="B420" s="15" t="str">
        <f>VLOOKUP(C420,'Product List'!A:C,3,0)</f>
        <v>MINI/MOE SMALL ANIMAL BEDDING PAPER PEBBLES PSTCH/CREAM 1EA</v>
      </c>
      <c r="C420" s="19" t="s">
        <v>69</v>
      </c>
      <c r="D420" s="99" t="s">
        <v>394</v>
      </c>
      <c r="E420" s="6" t="s">
        <v>395</v>
      </c>
      <c r="F420" s="99">
        <v>168</v>
      </c>
      <c r="G420" s="99">
        <v>5.71</v>
      </c>
      <c r="H420" s="99">
        <f t="shared" si="14"/>
        <v>959.28</v>
      </c>
      <c r="I420" s="6" t="s">
        <v>334</v>
      </c>
      <c r="J420" s="19" t="s">
        <v>341</v>
      </c>
      <c r="K420" s="139">
        <v>46269</v>
      </c>
      <c r="L420" s="139">
        <v>46265</v>
      </c>
      <c r="M420" s="142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7">
        <v>46171</v>
      </c>
      <c r="B421" s="15" t="str">
        <f>VLOOKUP(C421,'Product List'!A:C,3,0)</f>
        <v>MMO-BUBBLE WATER BOTTLE</v>
      </c>
      <c r="C421" s="19" t="s">
        <v>38</v>
      </c>
      <c r="D421" s="99" t="s">
        <v>394</v>
      </c>
      <c r="E421" s="6" t="s">
        <v>395</v>
      </c>
      <c r="F421" s="99">
        <v>210</v>
      </c>
      <c r="G421" s="99">
        <v>4.14</v>
      </c>
      <c r="H421" s="99">
        <f t="shared" si="14"/>
        <v>869.4</v>
      </c>
      <c r="I421" s="6" t="s">
        <v>334</v>
      </c>
      <c r="J421" s="19" t="s">
        <v>341</v>
      </c>
      <c r="K421" s="139">
        <v>46269</v>
      </c>
      <c r="L421" s="139">
        <v>46265</v>
      </c>
      <c r="M421" s="142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7">
        <v>46171</v>
      </c>
      <c r="B422" s="15" t="str">
        <f>VLOOKUP(C422,'Product List'!A:C,3,0)</f>
        <v>MINI/MOE MUSHROOM LADDER 1EA</v>
      </c>
      <c r="C422" s="19" t="s">
        <v>64</v>
      </c>
      <c r="D422" s="99" t="s">
        <v>394</v>
      </c>
      <c r="E422" s="6" t="s">
        <v>395</v>
      </c>
      <c r="F422" s="99">
        <v>180</v>
      </c>
      <c r="G422" s="99">
        <v>4.28</v>
      </c>
      <c r="H422" s="99">
        <f t="shared" si="14"/>
        <v>770.4</v>
      </c>
      <c r="I422" s="6" t="s">
        <v>334</v>
      </c>
      <c r="J422" s="19" t="s">
        <v>341</v>
      </c>
      <c r="K422" s="139">
        <v>46269</v>
      </c>
      <c r="L422" s="139">
        <v>46265</v>
      </c>
      <c r="M422" s="142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7">
        <v>46171</v>
      </c>
      <c r="B423" s="15" t="str">
        <f>VLOOKUP(C423,'Product List'!A:C,3,0)</f>
        <v>MINI/MOE FISHBONE BRIDGE 1EA</v>
      </c>
      <c r="C423" s="19" t="s">
        <v>68</v>
      </c>
      <c r="D423" s="99" t="s">
        <v>394</v>
      </c>
      <c r="E423" s="6" t="s">
        <v>395</v>
      </c>
      <c r="F423" s="99">
        <v>180</v>
      </c>
      <c r="G423" s="99">
        <v>2.39</v>
      </c>
      <c r="H423" s="99">
        <f t="shared" si="14"/>
        <v>430.2</v>
      </c>
      <c r="I423" s="6" t="s">
        <v>334</v>
      </c>
      <c r="J423" s="19" t="s">
        <v>341</v>
      </c>
      <c r="K423" s="139">
        <v>46269</v>
      </c>
      <c r="L423" s="139">
        <v>46265</v>
      </c>
      <c r="M423" s="142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7">
        <v>46171</v>
      </c>
      <c r="B424" s="15" t="str">
        <f>VLOOKUP(C424,'Product List'!A:C,3,0)</f>
        <v>Ceramic Candy Bowl</v>
      </c>
      <c r="C424" s="19" t="s">
        <v>70</v>
      </c>
      <c r="D424" s="99" t="s">
        <v>394</v>
      </c>
      <c r="E424" s="6" t="s">
        <v>395</v>
      </c>
      <c r="F424" s="99">
        <v>192</v>
      </c>
      <c r="G424" s="99">
        <v>2.85</v>
      </c>
      <c r="H424" s="99">
        <f t="shared" si="14"/>
        <v>547.2</v>
      </c>
      <c r="I424" s="6" t="s">
        <v>334</v>
      </c>
      <c r="J424" s="19" t="s">
        <v>341</v>
      </c>
      <c r="K424" s="139">
        <v>46269</v>
      </c>
      <c r="L424" s="139">
        <v>46265</v>
      </c>
      <c r="M424" s="142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7">
        <v>46171</v>
      </c>
      <c r="B425" s="15" t="str">
        <f>VLOOKUP(C425,'Product List'!A:C,3,0)</f>
        <v>Sugar Jar</v>
      </c>
      <c r="C425" s="19" t="s">
        <v>65</v>
      </c>
      <c r="D425" s="99" t="s">
        <v>394</v>
      </c>
      <c r="E425" s="6" t="s">
        <v>395</v>
      </c>
      <c r="F425" s="99">
        <v>162</v>
      </c>
      <c r="G425" s="99">
        <v>4.13</v>
      </c>
      <c r="H425" s="99">
        <f t="shared" si="14"/>
        <v>669.06</v>
      </c>
      <c r="I425" s="6" t="s">
        <v>334</v>
      </c>
      <c r="J425" s="19" t="s">
        <v>341</v>
      </c>
      <c r="K425" s="139">
        <v>46269</v>
      </c>
      <c r="L425" s="139">
        <v>46265</v>
      </c>
      <c r="M425" s="142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7">
        <v>46171</v>
      </c>
      <c r="B426" s="15" t="str">
        <f>VLOOKUP(C426,'Product List'!A:C,3,0)</f>
        <v>Candy House</v>
      </c>
      <c r="C426" s="19" t="s">
        <v>66</v>
      </c>
      <c r="D426" s="99" t="s">
        <v>394</v>
      </c>
      <c r="E426" s="6" t="s">
        <v>395</v>
      </c>
      <c r="F426" s="99">
        <v>162</v>
      </c>
      <c r="G426" s="99">
        <v>4.43</v>
      </c>
      <c r="H426" s="99">
        <f t="shared" si="14"/>
        <v>717.66</v>
      </c>
      <c r="I426" s="6" t="s">
        <v>334</v>
      </c>
      <c r="J426" s="19" t="s">
        <v>341</v>
      </c>
      <c r="K426" s="139">
        <v>46269</v>
      </c>
      <c r="L426" s="139">
        <v>46265</v>
      </c>
      <c r="M426" s="142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7">
        <v>46171</v>
      </c>
      <c r="B427" s="15" t="str">
        <f>VLOOKUP(C427,'Product List'!A:C,3,0)</f>
        <v>MINI/MOE SMALL ANIMAL HOUSING SWEET BRIDGE 1EA</v>
      </c>
      <c r="C427" s="19" t="s">
        <v>71</v>
      </c>
      <c r="D427" s="99" t="s">
        <v>394</v>
      </c>
      <c r="E427" s="6" t="s">
        <v>395</v>
      </c>
      <c r="F427" s="99">
        <v>210</v>
      </c>
      <c r="G427" s="99">
        <v>2.91</v>
      </c>
      <c r="H427" s="99">
        <f t="shared" si="14"/>
        <v>611.1</v>
      </c>
      <c r="I427" s="6" t="s">
        <v>334</v>
      </c>
      <c r="J427" s="19" t="s">
        <v>341</v>
      </c>
      <c r="K427" s="139">
        <v>46269</v>
      </c>
      <c r="L427" s="139">
        <v>46265</v>
      </c>
      <c r="M427" s="142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7">
        <v>46171</v>
      </c>
      <c r="B428" s="15" t="str">
        <f>VLOOKUP(C428,'Product List'!A:C,3,0)</f>
        <v>MINI/MOE SMALL ANIMAL FEEDING WATER BOTTLE HLDR GUMBALL 1EA</v>
      </c>
      <c r="C428" s="19" t="s">
        <v>59</v>
      </c>
      <c r="D428" s="99" t="s">
        <v>394</v>
      </c>
      <c r="E428" s="6" t="s">
        <v>395</v>
      </c>
      <c r="F428" s="99">
        <v>170</v>
      </c>
      <c r="G428" s="99">
        <v>3.44</v>
      </c>
      <c r="H428" s="99">
        <f t="shared" si="14"/>
        <v>584.8</v>
      </c>
      <c r="I428" s="6" t="s">
        <v>334</v>
      </c>
      <c r="J428" s="19" t="s">
        <v>341</v>
      </c>
      <c r="K428" s="139">
        <v>46269</v>
      </c>
      <c r="L428" s="139">
        <v>46265</v>
      </c>
      <c r="M428" s="142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7">
        <v>46171</v>
      </c>
      <c r="B429" s="15" t="str">
        <f>VLOOKUP(C429,'Product List'!A:C,3,0)</f>
        <v>Silent Crystal Running Wheel XL</v>
      </c>
      <c r="C429" s="19" t="s">
        <v>56</v>
      </c>
      <c r="D429" s="99" t="s">
        <v>394</v>
      </c>
      <c r="E429" s="6" t="s">
        <v>395</v>
      </c>
      <c r="F429" s="99">
        <v>162</v>
      </c>
      <c r="G429" s="99">
        <v>22.04</v>
      </c>
      <c r="H429" s="99">
        <f t="shared" ref="H429:H447" si="16">F429*G429</f>
        <v>3570.48</v>
      </c>
      <c r="I429" s="6" t="s">
        <v>334</v>
      </c>
      <c r="J429" s="19" t="s">
        <v>341</v>
      </c>
      <c r="K429" s="139">
        <v>46269</v>
      </c>
      <c r="L429" s="139">
        <v>46265</v>
      </c>
      <c r="M429" s="142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7">
        <v>46171</v>
      </c>
      <c r="B430" s="15" t="str">
        <f>VLOOKUP(C430,'Product List'!A:C,3,0)</f>
        <v>Little Devil Travel Cage</v>
      </c>
      <c r="C430" s="19" t="s">
        <v>58</v>
      </c>
      <c r="D430" s="99" t="s">
        <v>394</v>
      </c>
      <c r="E430" s="6" t="s">
        <v>395</v>
      </c>
      <c r="F430" s="99">
        <v>162</v>
      </c>
      <c r="G430" s="99">
        <v>5.48</v>
      </c>
      <c r="H430" s="99">
        <f t="shared" si="16"/>
        <v>887.76</v>
      </c>
      <c r="I430" s="6" t="s">
        <v>334</v>
      </c>
      <c r="J430" s="19" t="s">
        <v>341</v>
      </c>
      <c r="K430" s="139">
        <v>46269</v>
      </c>
      <c r="L430" s="139">
        <v>46265</v>
      </c>
      <c r="M430" s="142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7">
        <v>46171</v>
      </c>
      <c r="B431" s="15" t="str">
        <f>VLOOKUP(C431,'Product List'!A:C,3,0)</f>
        <v>Crystal Outdoor Cage</v>
      </c>
      <c r="C431" s="19" t="s">
        <v>52</v>
      </c>
      <c r="D431" s="99" t="s">
        <v>394</v>
      </c>
      <c r="E431" s="6" t="s">
        <v>395</v>
      </c>
      <c r="F431" s="99">
        <v>85</v>
      </c>
      <c r="G431" s="99">
        <v>8.2</v>
      </c>
      <c r="H431" s="99">
        <f t="shared" si="16"/>
        <v>697</v>
      </c>
      <c r="I431" s="6" t="s">
        <v>334</v>
      </c>
      <c r="J431" s="19" t="s">
        <v>341</v>
      </c>
      <c r="K431" s="139">
        <v>46269</v>
      </c>
      <c r="L431" s="139">
        <v>46265</v>
      </c>
      <c r="M431" s="142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7">
        <v>46171</v>
      </c>
      <c r="B432" s="15" t="str">
        <f>VLOOKUP(C432,'Product List'!A:C,3,0)</f>
        <v>MINI/MOE MINI TV TUNNEL CAGE 1EA</v>
      </c>
      <c r="C432" s="19" t="s">
        <v>74</v>
      </c>
      <c r="D432" s="99" t="s">
        <v>394</v>
      </c>
      <c r="E432" s="6" t="s">
        <v>395</v>
      </c>
      <c r="F432" s="108">
        <v>162</v>
      </c>
      <c r="G432" s="99">
        <v>37.96</v>
      </c>
      <c r="H432" s="99">
        <f t="shared" si="16"/>
        <v>6149.52</v>
      </c>
      <c r="I432" s="6" t="s">
        <v>334</v>
      </c>
      <c r="J432" s="19" t="s">
        <v>341</v>
      </c>
      <c r="K432" s="139">
        <v>46269</v>
      </c>
      <c r="L432" s="139">
        <v>46265</v>
      </c>
      <c r="M432" s="142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7">
        <v>46171</v>
      </c>
      <c r="B433" s="15" t="str">
        <f>VLOOKUP(C433,'Product List'!A:C,3,0)</f>
        <v>MINI/MOE SMALL ANIMAL HOUSING CAKE HOUSE 1EA</v>
      </c>
      <c r="C433" s="19" t="s">
        <v>53</v>
      </c>
      <c r="D433" s="99" t="s">
        <v>394</v>
      </c>
      <c r="E433" s="6" t="s">
        <v>395</v>
      </c>
      <c r="F433" s="99">
        <v>91</v>
      </c>
      <c r="G433" s="99">
        <v>5.47</v>
      </c>
      <c r="H433" s="99">
        <f t="shared" si="16"/>
        <v>497.77</v>
      </c>
      <c r="I433" s="6" t="s">
        <v>334</v>
      </c>
      <c r="J433" s="19" t="s">
        <v>341</v>
      </c>
      <c r="K433" s="139">
        <v>46269</v>
      </c>
      <c r="L433" s="139">
        <v>46265</v>
      </c>
      <c r="M433" s="142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7">
        <v>46175</v>
      </c>
      <c r="B434" s="15" t="str">
        <f>VLOOKUP(C434,'Product List'!A:C,3,0)</f>
        <v>MINI/MOE TULIP WATER BOTTLE</v>
      </c>
      <c r="C434" s="19" t="s">
        <v>29</v>
      </c>
      <c r="D434" s="99" t="s">
        <v>396</v>
      </c>
      <c r="E434" s="6" t="s">
        <v>397</v>
      </c>
      <c r="F434" s="99">
        <v>240</v>
      </c>
      <c r="G434" s="99">
        <v>1.7</v>
      </c>
      <c r="H434" s="99">
        <f t="shared" si="16"/>
        <v>408</v>
      </c>
      <c r="I434" s="6" t="s">
        <v>334</v>
      </c>
      <c r="J434" s="19" t="s">
        <v>335</v>
      </c>
      <c r="K434" s="139">
        <v>46208</v>
      </c>
      <c r="L434" s="139">
        <v>46198</v>
      </c>
      <c r="M434" s="142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7">
        <v>46175</v>
      </c>
      <c r="B435" s="15" t="str">
        <f>VLOOKUP(C435,'Product List'!A:C,3,0)</f>
        <v>MINI/MOE SILENT CRSTL RUN WHEEL LG 8.5-White</v>
      </c>
      <c r="C435" s="155" t="s">
        <v>41</v>
      </c>
      <c r="D435" s="99" t="s">
        <v>396</v>
      </c>
      <c r="E435" s="6" t="s">
        <v>397</v>
      </c>
      <c r="F435" s="99">
        <v>88</v>
      </c>
      <c r="G435" s="99">
        <v>12.63</v>
      </c>
      <c r="H435" s="99">
        <f t="shared" si="16"/>
        <v>1111.44</v>
      </c>
      <c r="I435" s="6" t="s">
        <v>334</v>
      </c>
      <c r="J435" s="19" t="s">
        <v>335</v>
      </c>
      <c r="K435" s="139">
        <v>46208</v>
      </c>
      <c r="L435" s="139">
        <v>46198</v>
      </c>
      <c r="M435" s="142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7">
        <v>46175</v>
      </c>
      <c r="B436" s="15" t="str">
        <f>VLOOKUP(C436,'Product List'!A:C,3,0)</f>
        <v>MINI/MOE SILENT CRSTL RUN WHEEL XL 11.5 1EA</v>
      </c>
      <c r="C436" s="19" t="s">
        <v>31</v>
      </c>
      <c r="D436" s="99" t="s">
        <v>396</v>
      </c>
      <c r="E436" s="6" t="s">
        <v>397</v>
      </c>
      <c r="F436" s="99">
        <v>63</v>
      </c>
      <c r="G436" s="99">
        <v>19.75</v>
      </c>
      <c r="H436" s="99">
        <f t="shared" si="16"/>
        <v>1244.25</v>
      </c>
      <c r="I436" s="6" t="s">
        <v>334</v>
      </c>
      <c r="J436" s="19" t="s">
        <v>335</v>
      </c>
      <c r="K436" s="139">
        <v>46208</v>
      </c>
      <c r="L436" s="139">
        <v>46198</v>
      </c>
      <c r="M436" s="142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7">
        <v>46175</v>
      </c>
      <c r="B437" s="15" t="str">
        <f>VLOOKUP(C437,'Product List'!A:C,3,0)</f>
        <v>MINI/MOE WOODLAND POTTY</v>
      </c>
      <c r="C437" s="19" t="s">
        <v>30</v>
      </c>
      <c r="D437" s="99" t="s">
        <v>396</v>
      </c>
      <c r="E437" s="6" t="s">
        <v>397</v>
      </c>
      <c r="F437" s="99">
        <v>180</v>
      </c>
      <c r="G437" s="99">
        <v>2.61</v>
      </c>
      <c r="H437" s="99">
        <f t="shared" si="16"/>
        <v>469.8</v>
      </c>
      <c r="I437" s="6" t="s">
        <v>334</v>
      </c>
      <c r="J437" s="19" t="s">
        <v>335</v>
      </c>
      <c r="K437" s="139">
        <v>46208</v>
      </c>
      <c r="L437" s="139">
        <v>46198</v>
      </c>
      <c r="M437" s="142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7">
        <v>46176</v>
      </c>
      <c r="B438" s="15" t="str">
        <f>VLOOKUP(C438,'Product List'!A:C,3,0)</f>
        <v>MINI/MOE BENDABLE BIRCHWOOD FENCE</v>
      </c>
      <c r="C438" s="19" t="s">
        <v>34</v>
      </c>
      <c r="D438" s="99">
        <v>31307402</v>
      </c>
      <c r="E438" s="6" t="s">
        <v>398</v>
      </c>
      <c r="F438" s="99">
        <v>64</v>
      </c>
      <c r="G438" s="99">
        <v>5.01</v>
      </c>
      <c r="H438" s="99">
        <f t="shared" si="16"/>
        <v>320.64</v>
      </c>
      <c r="I438" s="6" t="s">
        <v>325</v>
      </c>
      <c r="J438" s="19" t="s">
        <v>347</v>
      </c>
      <c r="K438" s="139">
        <v>46232</v>
      </c>
      <c r="L438" s="139">
        <v>46231</v>
      </c>
      <c r="M438" s="142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7">
        <v>46176</v>
      </c>
      <c r="B439" s="15" t="str">
        <f>VLOOKUP(C439,'Product List'!A:C,3,0)</f>
        <v>MMO-CLOUD WATER BOTTLE</v>
      </c>
      <c r="C439" s="19" t="s">
        <v>37</v>
      </c>
      <c r="D439" s="99">
        <v>31307402</v>
      </c>
      <c r="E439" s="6" t="s">
        <v>398</v>
      </c>
      <c r="F439" s="99">
        <v>50</v>
      </c>
      <c r="G439" s="99">
        <v>1.32</v>
      </c>
      <c r="H439" s="99">
        <f t="shared" si="16"/>
        <v>66</v>
      </c>
      <c r="I439" s="6" t="s">
        <v>325</v>
      </c>
      <c r="J439" s="19" t="s">
        <v>347</v>
      </c>
      <c r="K439" s="139">
        <v>46232</v>
      </c>
      <c r="L439" s="139">
        <v>46231</v>
      </c>
      <c r="M439" s="142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7">
        <v>46176</v>
      </c>
      <c r="B440" s="15" t="str">
        <f>VLOOKUP(C440,'Product List'!A:C,3,0)</f>
        <v>MMO-PAPER PEBBLES</v>
      </c>
      <c r="C440" s="20" t="s">
        <v>42</v>
      </c>
      <c r="D440" s="99">
        <v>31307402</v>
      </c>
      <c r="E440" s="6" t="s">
        <v>398</v>
      </c>
      <c r="F440" s="99">
        <v>84</v>
      </c>
      <c r="G440" s="99">
        <v>5.81</v>
      </c>
      <c r="H440" s="99">
        <f t="shared" si="16"/>
        <v>488.04</v>
      </c>
      <c r="I440" s="6" t="s">
        <v>325</v>
      </c>
      <c r="J440" s="19" t="s">
        <v>347</v>
      </c>
      <c r="K440" s="139">
        <v>46232</v>
      </c>
      <c r="L440" s="139">
        <v>46231</v>
      </c>
      <c r="M440" s="142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7">
        <v>46176</v>
      </c>
      <c r="B441" s="15" t="str">
        <f>VLOOKUP(C441,'Product List'!A:C,3,0)</f>
        <v>MMO-PAPER TWIST BLU/WHT</v>
      </c>
      <c r="C441" s="20" t="s">
        <v>44</v>
      </c>
      <c r="D441" s="99">
        <v>31307402</v>
      </c>
      <c r="E441" s="6" t="s">
        <v>398</v>
      </c>
      <c r="F441" s="99">
        <v>90</v>
      </c>
      <c r="G441" s="99">
        <v>3.89</v>
      </c>
      <c r="H441" s="99">
        <f t="shared" si="16"/>
        <v>350.1</v>
      </c>
      <c r="I441" s="6" t="s">
        <v>325</v>
      </c>
      <c r="J441" s="19" t="s">
        <v>347</v>
      </c>
      <c r="K441" s="139">
        <v>46232</v>
      </c>
      <c r="L441" s="139">
        <v>46231</v>
      </c>
      <c r="M441" s="142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7">
        <v>46176</v>
      </c>
      <c r="B442" s="15" t="str">
        <f>VLOOKUP(C442,'Product List'!A:C,3,0)</f>
        <v>MMO-COTTON NESTING BALLS</v>
      </c>
      <c r="C442" s="20" t="s">
        <v>43</v>
      </c>
      <c r="D442" s="99">
        <v>31307402</v>
      </c>
      <c r="E442" s="6" t="s">
        <v>398</v>
      </c>
      <c r="F442" s="99">
        <v>128</v>
      </c>
      <c r="G442" s="99">
        <v>3.37</v>
      </c>
      <c r="H442" s="99">
        <f t="shared" si="16"/>
        <v>431.36</v>
      </c>
      <c r="I442" s="6" t="s">
        <v>325</v>
      </c>
      <c r="J442" s="19" t="s">
        <v>347</v>
      </c>
      <c r="K442" s="139">
        <v>46232</v>
      </c>
      <c r="L442" s="139">
        <v>46231</v>
      </c>
      <c r="M442" s="142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7">
        <v>46176</v>
      </c>
      <c r="B443" s="15" t="str">
        <f>VLOOKUP(C443,'Product List'!A:C,3,0)</f>
        <v>MINI/MOE TV VIEWING CAGE</v>
      </c>
      <c r="C443" s="19" t="s">
        <v>27</v>
      </c>
      <c r="D443" s="99">
        <v>31307402</v>
      </c>
      <c r="E443" s="6" t="s">
        <v>398</v>
      </c>
      <c r="F443" s="99">
        <v>1</v>
      </c>
      <c r="G443" s="99">
        <v>48.49</v>
      </c>
      <c r="H443" s="99">
        <f t="shared" si="16"/>
        <v>48.49</v>
      </c>
      <c r="I443" s="6" t="s">
        <v>325</v>
      </c>
      <c r="J443" s="19" t="s">
        <v>347</v>
      </c>
      <c r="K443" s="139">
        <v>46232</v>
      </c>
      <c r="L443" s="139">
        <v>46231</v>
      </c>
      <c r="M443" s="142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7">
        <v>46176</v>
      </c>
      <c r="B444" s="15" t="str">
        <f>VLOOKUP(C444,'Product List'!A:C,3,0)</f>
        <v>MMO-BUBBLE WATER BOTTLE</v>
      </c>
      <c r="C444" s="19" t="s">
        <v>38</v>
      </c>
      <c r="D444" s="99">
        <v>31307402</v>
      </c>
      <c r="E444" s="6" t="s">
        <v>398</v>
      </c>
      <c r="F444" s="99">
        <v>84</v>
      </c>
      <c r="G444" s="99">
        <v>4.35</v>
      </c>
      <c r="H444" s="99">
        <f t="shared" si="16"/>
        <v>365.4</v>
      </c>
      <c r="I444" s="6" t="s">
        <v>325</v>
      </c>
      <c r="J444" s="19" t="s">
        <v>347</v>
      </c>
      <c r="K444" s="139">
        <v>46232</v>
      </c>
      <c r="L444" s="139">
        <v>46231</v>
      </c>
      <c r="M444" s="142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7">
        <v>46176</v>
      </c>
      <c r="B445" s="15" t="str">
        <f>VLOOKUP(C445,'Product List'!A:C,3,0)</f>
        <v>MMO-SHELL PEARL HAMSTER CHEW</v>
      </c>
      <c r="C445" s="19" t="s">
        <v>48</v>
      </c>
      <c r="D445" s="99">
        <v>31307402</v>
      </c>
      <c r="E445" s="6" t="s">
        <v>398</v>
      </c>
      <c r="F445" s="99">
        <v>64</v>
      </c>
      <c r="G445" s="99">
        <v>1.61</v>
      </c>
      <c r="H445" s="99">
        <f t="shared" si="16"/>
        <v>103.04</v>
      </c>
      <c r="I445" s="6" t="s">
        <v>325</v>
      </c>
      <c r="J445" s="19" t="s">
        <v>347</v>
      </c>
      <c r="K445" s="139">
        <v>46232</v>
      </c>
      <c r="L445" s="139">
        <v>46231</v>
      </c>
      <c r="M445" s="142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7">
        <v>46176</v>
      </c>
      <c r="B446" s="15" t="str">
        <f>VLOOKUP(C446,'Product List'!A:C,3,0)</f>
        <v>MMO-GREEN APPLE CHEW</v>
      </c>
      <c r="C446" s="19" t="s">
        <v>39</v>
      </c>
      <c r="D446" s="99">
        <v>31307402</v>
      </c>
      <c r="E446" s="6" t="s">
        <v>398</v>
      </c>
      <c r="F446" s="99">
        <v>192</v>
      </c>
      <c r="G446" s="99">
        <v>1.53</v>
      </c>
      <c r="H446" s="99">
        <f t="shared" si="16"/>
        <v>293.76</v>
      </c>
      <c r="I446" s="6" t="s">
        <v>325</v>
      </c>
      <c r="J446" s="19" t="s">
        <v>347</v>
      </c>
      <c r="K446" s="139">
        <v>46232</v>
      </c>
      <c r="L446" s="139">
        <v>46231</v>
      </c>
      <c r="M446" s="142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7">
        <v>46176</v>
      </c>
      <c r="B447" s="15" t="str">
        <f>VLOOKUP(C447,'Product List'!A:C,3,0)</f>
        <v>MMO-CAMP LUNCH BOX CHEW</v>
      </c>
      <c r="C447" s="19" t="s">
        <v>40</v>
      </c>
      <c r="D447" s="99">
        <v>31307402</v>
      </c>
      <c r="E447" s="6" t="s">
        <v>398</v>
      </c>
      <c r="F447" s="99">
        <v>216</v>
      </c>
      <c r="G447" s="99">
        <v>2.48</v>
      </c>
      <c r="H447" s="99">
        <f t="shared" si="16"/>
        <v>535.68</v>
      </c>
      <c r="I447" s="6" t="s">
        <v>325</v>
      </c>
      <c r="J447" s="19" t="s">
        <v>347</v>
      </c>
      <c r="K447" s="139">
        <v>46232</v>
      </c>
      <c r="L447" s="139">
        <v>46231</v>
      </c>
      <c r="M447" s="142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7">
        <v>46184</v>
      </c>
      <c r="B448" s="15" t="str">
        <f>VLOOKUP(C448,'Product List'!A:C,3,0)</f>
        <v>MINI/MOE BENDABLE BIRCHWOOD FENCE</v>
      </c>
      <c r="C448" s="19" t="s">
        <v>34</v>
      </c>
      <c r="D448" s="99">
        <v>31367788</v>
      </c>
      <c r="E448" s="6" t="s">
        <v>399</v>
      </c>
      <c r="F448" s="99">
        <v>96</v>
      </c>
      <c r="G448" s="99">
        <v>5.01</v>
      </c>
      <c r="H448" s="99">
        <f t="shared" ref="H448:H511" si="18">F448*G448</f>
        <v>480.96</v>
      </c>
      <c r="I448" s="6" t="s">
        <v>325</v>
      </c>
      <c r="J448" s="6" t="s">
        <v>350</v>
      </c>
      <c r="K448" s="139">
        <v>46231</v>
      </c>
      <c r="L448" s="140">
        <v>46227</v>
      </c>
      <c r="M448" s="142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7">
        <v>46184</v>
      </c>
      <c r="B449" s="15" t="str">
        <f>VLOOKUP(C449,'Product List'!A:C,3,0)</f>
        <v>MINI/MOE SILENT CRSTL RUN WHEEL LG 8.5-White</v>
      </c>
      <c r="C449" s="19" t="s">
        <v>41</v>
      </c>
      <c r="D449" s="99">
        <v>31367788</v>
      </c>
      <c r="E449" s="6" t="s">
        <v>399</v>
      </c>
      <c r="F449" s="99">
        <v>104</v>
      </c>
      <c r="G449" s="99">
        <v>13.22</v>
      </c>
      <c r="H449" s="99">
        <f t="shared" si="18"/>
        <v>1374.88</v>
      </c>
      <c r="I449" s="6" t="s">
        <v>325</v>
      </c>
      <c r="J449" s="6" t="s">
        <v>350</v>
      </c>
      <c r="K449" s="139">
        <v>46231</v>
      </c>
      <c r="L449" s="140">
        <v>46227</v>
      </c>
      <c r="M449" s="142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7">
        <v>46184</v>
      </c>
      <c r="B450" s="15" t="str">
        <f>VLOOKUP(C450,'Product List'!A:C,3,0)</f>
        <v>MMO-STARFISH CASTLE</v>
      </c>
      <c r="C450" s="19" t="s">
        <v>76</v>
      </c>
      <c r="D450" s="99">
        <v>31367788</v>
      </c>
      <c r="E450" s="6" t="s">
        <v>399</v>
      </c>
      <c r="F450" s="99">
        <v>40</v>
      </c>
      <c r="G450" s="99">
        <v>5.32</v>
      </c>
      <c r="H450" s="99">
        <f t="shared" si="18"/>
        <v>212.8</v>
      </c>
      <c r="I450" s="6" t="s">
        <v>325</v>
      </c>
      <c r="J450" s="6" t="s">
        <v>350</v>
      </c>
      <c r="K450" s="139">
        <v>46231</v>
      </c>
      <c r="L450" s="140">
        <v>46227</v>
      </c>
      <c r="M450" s="142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7">
        <v>46184</v>
      </c>
      <c r="B451" s="15" t="str">
        <f>VLOOKUP(C451,'Product List'!A:C,3,0)</f>
        <v>MMO-WAVE BRIDGE</v>
      </c>
      <c r="C451" s="19" t="s">
        <v>82</v>
      </c>
      <c r="D451" s="99">
        <v>31367788</v>
      </c>
      <c r="E451" s="6" t="s">
        <v>399</v>
      </c>
      <c r="F451" s="99">
        <v>66</v>
      </c>
      <c r="G451" s="99">
        <v>4.84</v>
      </c>
      <c r="H451" s="99">
        <f t="shared" si="18"/>
        <v>319.44</v>
      </c>
      <c r="I451" s="6" t="s">
        <v>325</v>
      </c>
      <c r="J451" s="6" t="s">
        <v>350</v>
      </c>
      <c r="K451" s="139">
        <v>46231</v>
      </c>
      <c r="L451" s="140">
        <v>46227</v>
      </c>
      <c r="M451" s="142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7">
        <v>46184</v>
      </c>
      <c r="B452" s="15" t="str">
        <f>VLOOKUP(C452,'Product List'!A:C,3,0)</f>
        <v>MMO-PAPER PEBBLES</v>
      </c>
      <c r="C452" s="19" t="s">
        <v>42</v>
      </c>
      <c r="D452" s="99">
        <v>31367788</v>
      </c>
      <c r="E452" s="6" t="s">
        <v>399</v>
      </c>
      <c r="F452" s="99">
        <v>132</v>
      </c>
      <c r="G452" s="99">
        <v>5.81</v>
      </c>
      <c r="H452" s="99">
        <f t="shared" si="18"/>
        <v>766.92</v>
      </c>
      <c r="I452" s="6" t="s">
        <v>325</v>
      </c>
      <c r="J452" s="6" t="s">
        <v>350</v>
      </c>
      <c r="K452" s="139">
        <v>46231</v>
      </c>
      <c r="L452" s="140">
        <v>46227</v>
      </c>
      <c r="M452" s="142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7">
        <v>46184</v>
      </c>
      <c r="B453" s="15" t="str">
        <f>VLOOKUP(C453,'Product List'!A:C,3,0)</f>
        <v>MMO-PAPER TWIST BLU/WHT</v>
      </c>
      <c r="C453" s="19" t="s">
        <v>44</v>
      </c>
      <c r="D453" s="99">
        <v>31367788</v>
      </c>
      <c r="E453" s="6" t="s">
        <v>399</v>
      </c>
      <c r="F453" s="99">
        <v>150</v>
      </c>
      <c r="G453" s="99">
        <v>3.89</v>
      </c>
      <c r="H453" s="99">
        <f t="shared" si="18"/>
        <v>583.5</v>
      </c>
      <c r="I453" s="6" t="s">
        <v>325</v>
      </c>
      <c r="J453" s="6" t="s">
        <v>350</v>
      </c>
      <c r="K453" s="139">
        <v>46231</v>
      </c>
      <c r="L453" s="140">
        <v>46227</v>
      </c>
      <c r="M453" s="142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7">
        <v>46184</v>
      </c>
      <c r="B454" s="15" t="str">
        <f>VLOOKUP(C454,'Product List'!A:C,3,0)</f>
        <v>MMO-COTTON NESTING BALLS</v>
      </c>
      <c r="C454" s="19" t="s">
        <v>43</v>
      </c>
      <c r="D454" s="99">
        <v>31367788</v>
      </c>
      <c r="E454" s="6" t="s">
        <v>399</v>
      </c>
      <c r="F454" s="99">
        <v>224</v>
      </c>
      <c r="G454" s="99">
        <v>3.37</v>
      </c>
      <c r="H454" s="99">
        <f t="shared" si="18"/>
        <v>754.88</v>
      </c>
      <c r="I454" s="6" t="s">
        <v>325</v>
      </c>
      <c r="J454" s="6" t="s">
        <v>350</v>
      </c>
      <c r="K454" s="139">
        <v>46231</v>
      </c>
      <c r="L454" s="140">
        <v>46227</v>
      </c>
      <c r="M454" s="142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7">
        <v>46184</v>
      </c>
      <c r="B455" s="15" t="str">
        <f>VLOOKUP(C455,'Product List'!A:C,3,0)</f>
        <v>MINI/MOE TV VIEWING CAGE</v>
      </c>
      <c r="C455" s="19" t="s">
        <v>27</v>
      </c>
      <c r="D455" s="99">
        <v>31367788</v>
      </c>
      <c r="E455" s="6" t="s">
        <v>399</v>
      </c>
      <c r="F455" s="99">
        <v>11</v>
      </c>
      <c r="G455" s="99">
        <v>48.49</v>
      </c>
      <c r="H455" s="99">
        <f t="shared" si="18"/>
        <v>533.39</v>
      </c>
      <c r="I455" s="6" t="s">
        <v>325</v>
      </c>
      <c r="J455" s="6" t="s">
        <v>350</v>
      </c>
      <c r="K455" s="139">
        <v>46231</v>
      </c>
      <c r="L455" s="140">
        <v>46227</v>
      </c>
      <c r="M455" s="142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7">
        <v>46184</v>
      </c>
      <c r="B456" s="15" t="str">
        <f>VLOOKUP(C456,'Product List'!A:C,3,0)</f>
        <v>MMO-BUBBLE WATER BOTTLE</v>
      </c>
      <c r="C456" s="19" t="s">
        <v>38</v>
      </c>
      <c r="D456" s="99">
        <v>31367788</v>
      </c>
      <c r="E456" s="6" t="s">
        <v>399</v>
      </c>
      <c r="F456" s="99">
        <v>42</v>
      </c>
      <c r="G456" s="99">
        <v>4.35</v>
      </c>
      <c r="H456" s="99">
        <f t="shared" si="18"/>
        <v>182.7</v>
      </c>
      <c r="I456" s="6" t="s">
        <v>325</v>
      </c>
      <c r="J456" s="6" t="s">
        <v>350</v>
      </c>
      <c r="K456" s="139">
        <v>46231</v>
      </c>
      <c r="L456" s="140">
        <v>46227</v>
      </c>
      <c r="M456" s="142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7">
        <v>46184</v>
      </c>
      <c r="B457" s="15" t="str">
        <f>VLOOKUP(C457,'Product List'!A:C,3,0)</f>
        <v>MMO-GREEN APPLE CHEW</v>
      </c>
      <c r="C457" s="19" t="s">
        <v>39</v>
      </c>
      <c r="D457" s="99">
        <v>31367788</v>
      </c>
      <c r="E457" s="6" t="s">
        <v>399</v>
      </c>
      <c r="F457" s="99">
        <v>240</v>
      </c>
      <c r="G457" s="99">
        <v>1.53</v>
      </c>
      <c r="H457" s="99">
        <f t="shared" si="18"/>
        <v>367.2</v>
      </c>
      <c r="I457" s="6" t="s">
        <v>325</v>
      </c>
      <c r="J457" s="6" t="s">
        <v>350</v>
      </c>
      <c r="K457" s="139">
        <v>46231</v>
      </c>
      <c r="L457" s="140">
        <v>46227</v>
      </c>
      <c r="M457" s="142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7">
        <v>46184</v>
      </c>
      <c r="B458" s="15" t="str">
        <f>VLOOKUP(C458,'Product List'!A:C,3,0)</f>
        <v>MMO-CAMP LUNCH BOX CHEW</v>
      </c>
      <c r="C458" s="19" t="s">
        <v>40</v>
      </c>
      <c r="D458" s="99">
        <v>31367788</v>
      </c>
      <c r="E458" s="6" t="s">
        <v>399</v>
      </c>
      <c r="F458" s="99">
        <v>144</v>
      </c>
      <c r="G458" s="99">
        <v>2.48</v>
      </c>
      <c r="H458" s="99">
        <f t="shared" si="18"/>
        <v>357.12</v>
      </c>
      <c r="I458" s="6" t="s">
        <v>325</v>
      </c>
      <c r="J458" s="6" t="s">
        <v>350</v>
      </c>
      <c r="K458" s="139">
        <v>46231</v>
      </c>
      <c r="L458" s="140">
        <v>46227</v>
      </c>
      <c r="M458" s="142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7">
        <v>46184</v>
      </c>
      <c r="B459" s="15" t="str">
        <f>VLOOKUP(C459,'Product List'!A:C,3,0)</f>
        <v>MINI/MOE SILENT CRSTL RUN WHEEL LG 8.5-White</v>
      </c>
      <c r="C459" s="19" t="s">
        <v>41</v>
      </c>
      <c r="D459" s="99">
        <v>31367789</v>
      </c>
      <c r="E459" s="6" t="s">
        <v>400</v>
      </c>
      <c r="F459" s="99">
        <v>176</v>
      </c>
      <c r="G459" s="99">
        <v>13.22</v>
      </c>
      <c r="H459" s="99">
        <f t="shared" si="18"/>
        <v>2326.72</v>
      </c>
      <c r="I459" s="6" t="s">
        <v>325</v>
      </c>
      <c r="J459" s="6" t="s">
        <v>344</v>
      </c>
      <c r="K459" s="139">
        <v>46230</v>
      </c>
      <c r="L459" s="140">
        <v>46225</v>
      </c>
      <c r="M459" s="142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7">
        <v>46184</v>
      </c>
      <c r="B460" s="15" t="str">
        <f>VLOOKUP(C460,'Product List'!A:C,3,0)</f>
        <v>MMO-STARFISH CASTLE</v>
      </c>
      <c r="C460" s="19" t="s">
        <v>76</v>
      </c>
      <c r="D460" s="99">
        <v>31367789</v>
      </c>
      <c r="E460" s="6" t="s">
        <v>400</v>
      </c>
      <c r="F460" s="99">
        <v>80</v>
      </c>
      <c r="G460" s="99">
        <v>5.32</v>
      </c>
      <c r="H460" s="99">
        <f t="shared" si="18"/>
        <v>425.6</v>
      </c>
      <c r="I460" s="6" t="s">
        <v>325</v>
      </c>
      <c r="J460" s="6" t="s">
        <v>344</v>
      </c>
      <c r="K460" s="139">
        <v>46230</v>
      </c>
      <c r="L460" s="140">
        <v>46225</v>
      </c>
      <c r="M460" s="142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7">
        <v>46184</v>
      </c>
      <c r="B461" s="15" t="str">
        <f>VLOOKUP(C461,'Product List'!A:C,3,0)</f>
        <v>MMO-WAVE BRIDGE</v>
      </c>
      <c r="C461" s="19" t="s">
        <v>82</v>
      </c>
      <c r="D461" s="99">
        <v>31367789</v>
      </c>
      <c r="E461" s="6" t="s">
        <v>400</v>
      </c>
      <c r="F461" s="99">
        <v>165</v>
      </c>
      <c r="G461" s="99">
        <v>4.84</v>
      </c>
      <c r="H461" s="99">
        <f t="shared" si="18"/>
        <v>798.6</v>
      </c>
      <c r="I461" s="6" t="s">
        <v>325</v>
      </c>
      <c r="J461" s="6" t="s">
        <v>344</v>
      </c>
      <c r="K461" s="139">
        <v>46230</v>
      </c>
      <c r="L461" s="140">
        <v>46225</v>
      </c>
      <c r="M461" s="142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7">
        <v>46184</v>
      </c>
      <c r="B462" s="15" t="str">
        <f>VLOOKUP(C462,'Product List'!A:C,3,0)</f>
        <v>MMO-PAPER PEBBLES</v>
      </c>
      <c r="C462" s="19" t="s">
        <v>42</v>
      </c>
      <c r="D462" s="99">
        <v>31367789</v>
      </c>
      <c r="E462" s="6" t="s">
        <v>400</v>
      </c>
      <c r="F462" s="99">
        <v>168</v>
      </c>
      <c r="G462" s="99">
        <v>5.81</v>
      </c>
      <c r="H462" s="99">
        <f t="shared" si="18"/>
        <v>976.08</v>
      </c>
      <c r="I462" s="6" t="s">
        <v>325</v>
      </c>
      <c r="J462" s="6" t="s">
        <v>344</v>
      </c>
      <c r="K462" s="139">
        <v>46230</v>
      </c>
      <c r="L462" s="140">
        <v>46225</v>
      </c>
      <c r="M462" s="142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7">
        <v>46184</v>
      </c>
      <c r="B463" s="15" t="str">
        <f>VLOOKUP(C463,'Product List'!A:C,3,0)</f>
        <v>MMO-PAPER TWIST BLU/WHT</v>
      </c>
      <c r="C463" s="19" t="s">
        <v>44</v>
      </c>
      <c r="D463" s="99">
        <v>31367789</v>
      </c>
      <c r="E463" s="6" t="s">
        <v>400</v>
      </c>
      <c r="F463" s="99">
        <v>210</v>
      </c>
      <c r="G463" s="99">
        <v>3.89</v>
      </c>
      <c r="H463" s="99">
        <f t="shared" si="18"/>
        <v>816.9</v>
      </c>
      <c r="I463" s="6" t="s">
        <v>325</v>
      </c>
      <c r="J463" s="6" t="s">
        <v>344</v>
      </c>
      <c r="K463" s="139">
        <v>46230</v>
      </c>
      <c r="L463" s="140">
        <v>46225</v>
      </c>
      <c r="M463" s="142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7">
        <v>46184</v>
      </c>
      <c r="B464" s="15" t="str">
        <f>VLOOKUP(C464,'Product List'!A:C,3,0)</f>
        <v>MMO-COTTON NESTING BALLS</v>
      </c>
      <c r="C464" s="19" t="s">
        <v>43</v>
      </c>
      <c r="D464" s="99">
        <v>31367789</v>
      </c>
      <c r="E464" s="6" t="s">
        <v>400</v>
      </c>
      <c r="F464" s="99">
        <v>160</v>
      </c>
      <c r="G464" s="99">
        <v>3.37</v>
      </c>
      <c r="H464" s="99">
        <f t="shared" si="18"/>
        <v>539.2</v>
      </c>
      <c r="I464" s="6" t="s">
        <v>325</v>
      </c>
      <c r="J464" s="6" t="s">
        <v>344</v>
      </c>
      <c r="K464" s="139">
        <v>46230</v>
      </c>
      <c r="L464" s="140">
        <v>46225</v>
      </c>
      <c r="M464" s="142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7">
        <v>46184</v>
      </c>
      <c r="B465" s="15" t="str">
        <f>VLOOKUP(C465,'Product List'!A:C,3,0)</f>
        <v>MINI/MOE TV VIEWING CAGE</v>
      </c>
      <c r="C465" s="19" t="s">
        <v>27</v>
      </c>
      <c r="D465" s="99">
        <v>31367789</v>
      </c>
      <c r="E465" s="6" t="s">
        <v>400</v>
      </c>
      <c r="F465" s="99">
        <v>97</v>
      </c>
      <c r="G465" s="99">
        <v>48.49</v>
      </c>
      <c r="H465" s="99">
        <f t="shared" si="18"/>
        <v>4703.53</v>
      </c>
      <c r="I465" s="6" t="s">
        <v>325</v>
      </c>
      <c r="J465" s="6" t="s">
        <v>344</v>
      </c>
      <c r="K465" s="139">
        <v>46230</v>
      </c>
      <c r="L465" s="140">
        <v>46225</v>
      </c>
      <c r="M465" s="142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7">
        <v>46184</v>
      </c>
      <c r="B466" s="15" t="str">
        <f>VLOOKUP(C466,'Product List'!A:C,3,0)</f>
        <v>MMO-BUBBLE WATER BOTTLE</v>
      </c>
      <c r="C466" s="19" t="s">
        <v>38</v>
      </c>
      <c r="D466" s="99">
        <v>31367789</v>
      </c>
      <c r="E466" s="6" t="s">
        <v>400</v>
      </c>
      <c r="F466" s="99">
        <v>294</v>
      </c>
      <c r="G466" s="99">
        <v>4.35</v>
      </c>
      <c r="H466" s="99">
        <f t="shared" si="18"/>
        <v>1278.9</v>
      </c>
      <c r="I466" s="6" t="s">
        <v>325</v>
      </c>
      <c r="J466" s="6" t="s">
        <v>344</v>
      </c>
      <c r="K466" s="139">
        <v>46230</v>
      </c>
      <c r="L466" s="140">
        <v>46225</v>
      </c>
      <c r="M466" s="142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7">
        <v>46184</v>
      </c>
      <c r="B467" s="15" t="str">
        <f>VLOOKUP(C467,'Product List'!A:C,3,0)</f>
        <v>MMO-GREEN APPLE CHEW</v>
      </c>
      <c r="C467" s="19" t="s">
        <v>39</v>
      </c>
      <c r="D467" s="99">
        <v>31367789</v>
      </c>
      <c r="E467" s="6" t="s">
        <v>400</v>
      </c>
      <c r="F467" s="99">
        <v>144</v>
      </c>
      <c r="G467" s="99">
        <v>1.53</v>
      </c>
      <c r="H467" s="99">
        <f t="shared" si="18"/>
        <v>220.32</v>
      </c>
      <c r="I467" s="6" t="s">
        <v>325</v>
      </c>
      <c r="J467" s="6" t="s">
        <v>344</v>
      </c>
      <c r="K467" s="139">
        <v>46230</v>
      </c>
      <c r="L467" s="140">
        <v>46225</v>
      </c>
      <c r="M467" s="142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7">
        <v>46184</v>
      </c>
      <c r="B468" s="15" t="str">
        <f>VLOOKUP(C468,'Product List'!A:C,3,0)</f>
        <v>MMO-CAMP LUNCH BOX CHEW</v>
      </c>
      <c r="C468" s="19" t="s">
        <v>40</v>
      </c>
      <c r="D468" s="99">
        <v>31367789</v>
      </c>
      <c r="E468" s="6" t="s">
        <v>400</v>
      </c>
      <c r="F468" s="99">
        <v>144</v>
      </c>
      <c r="G468" s="99">
        <v>2.48</v>
      </c>
      <c r="H468" s="99">
        <f t="shared" si="18"/>
        <v>357.12</v>
      </c>
      <c r="I468" s="6" t="s">
        <v>325</v>
      </c>
      <c r="J468" s="6" t="s">
        <v>344</v>
      </c>
      <c r="K468" s="139">
        <v>46230</v>
      </c>
      <c r="L468" s="140">
        <v>46225</v>
      </c>
      <c r="M468" s="142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7">
        <v>46184</v>
      </c>
      <c r="B469" s="15" t="str">
        <f>VLOOKUP(C469,'Product List'!A:C,3,0)</f>
        <v>MINI/MOE RUFFLE BOWL</v>
      </c>
      <c r="C469" s="19" t="s">
        <v>83</v>
      </c>
      <c r="D469" s="99">
        <v>31367789</v>
      </c>
      <c r="E469" s="6" t="s">
        <v>400</v>
      </c>
      <c r="F469" s="99">
        <v>240</v>
      </c>
      <c r="G469" s="99">
        <v>2.35</v>
      </c>
      <c r="H469" s="99">
        <f t="shared" si="18"/>
        <v>564</v>
      </c>
      <c r="I469" s="6" t="s">
        <v>325</v>
      </c>
      <c r="J469" s="6" t="s">
        <v>344</v>
      </c>
      <c r="K469" s="139">
        <v>46230</v>
      </c>
      <c r="L469" s="140">
        <v>46225</v>
      </c>
      <c r="M469" s="142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7">
        <v>46184</v>
      </c>
      <c r="B470" s="15" t="str">
        <f>VLOOKUP(C470,'Product List'!A:C,3,0)</f>
        <v>MMO-CLOUD WATER BOTTLE</v>
      </c>
      <c r="C470" s="19" t="s">
        <v>37</v>
      </c>
      <c r="D470" s="99">
        <v>31367789</v>
      </c>
      <c r="E470" s="6" t="s">
        <v>400</v>
      </c>
      <c r="F470" s="99">
        <v>200</v>
      </c>
      <c r="G470" s="99">
        <v>1.32</v>
      </c>
      <c r="H470" s="99">
        <f t="shared" si="18"/>
        <v>264</v>
      </c>
      <c r="I470" s="6" t="s">
        <v>325</v>
      </c>
      <c r="J470" s="6" t="s">
        <v>344</v>
      </c>
      <c r="K470" s="139">
        <v>46230</v>
      </c>
      <c r="L470" s="140">
        <v>46225</v>
      </c>
      <c r="M470" s="142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7">
        <v>46184</v>
      </c>
      <c r="B471" s="15" t="str">
        <f>VLOOKUP(C471,'Product List'!A:C,3,0)</f>
        <v>MINI/MOE BENDABLE BIRCHWOOD FENCE</v>
      </c>
      <c r="C471" s="19" t="s">
        <v>34</v>
      </c>
      <c r="D471" s="99">
        <v>31367790</v>
      </c>
      <c r="E471" s="6" t="s">
        <v>401</v>
      </c>
      <c r="F471" s="99">
        <v>64</v>
      </c>
      <c r="G471" s="99">
        <v>5.01</v>
      </c>
      <c r="H471" s="99">
        <f t="shared" si="18"/>
        <v>320.64</v>
      </c>
      <c r="I471" s="6" t="s">
        <v>325</v>
      </c>
      <c r="J471" s="6" t="s">
        <v>345</v>
      </c>
      <c r="K471" s="139">
        <v>46224</v>
      </c>
      <c r="L471" s="140">
        <v>46226</v>
      </c>
      <c r="M471" s="142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7">
        <v>46184</v>
      </c>
      <c r="B472" s="15" t="str">
        <f>VLOOKUP(C472,'Product List'!A:C,3,0)</f>
        <v>MINI/MOE SILENT CRSTL RUN WHEEL LG 8.5-White</v>
      </c>
      <c r="C472" s="19" t="s">
        <v>41</v>
      </c>
      <c r="D472" s="99">
        <v>31367790</v>
      </c>
      <c r="E472" s="6" t="s">
        <v>401</v>
      </c>
      <c r="F472" s="99">
        <v>64</v>
      </c>
      <c r="G472" s="99">
        <v>13.22</v>
      </c>
      <c r="H472" s="99">
        <f t="shared" si="18"/>
        <v>846.08</v>
      </c>
      <c r="I472" s="6" t="s">
        <v>325</v>
      </c>
      <c r="J472" s="6" t="s">
        <v>345</v>
      </c>
      <c r="K472" s="139">
        <v>46224</v>
      </c>
      <c r="L472" s="140">
        <v>46226</v>
      </c>
      <c r="M472" s="142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7">
        <v>46184</v>
      </c>
      <c r="B473" s="15" t="str">
        <f>VLOOKUP(C473,'Product List'!A:C,3,0)</f>
        <v>MMO-STARFISH CASTLE</v>
      </c>
      <c r="C473" s="19" t="s">
        <v>76</v>
      </c>
      <c r="D473" s="99">
        <v>31367790</v>
      </c>
      <c r="E473" s="6" t="s">
        <v>401</v>
      </c>
      <c r="F473" s="99">
        <v>60</v>
      </c>
      <c r="G473" s="99">
        <v>5.32</v>
      </c>
      <c r="H473" s="99">
        <f t="shared" si="18"/>
        <v>319.2</v>
      </c>
      <c r="I473" s="6" t="s">
        <v>325</v>
      </c>
      <c r="J473" s="6" t="s">
        <v>345</v>
      </c>
      <c r="K473" s="139">
        <v>46224</v>
      </c>
      <c r="L473" s="140">
        <v>46226</v>
      </c>
      <c r="M473" s="142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7">
        <v>46184</v>
      </c>
      <c r="B474" s="15" t="str">
        <f>VLOOKUP(C474,'Product List'!A:C,3,0)</f>
        <v>MMO-WAVE BRIDGE</v>
      </c>
      <c r="C474" s="19" t="s">
        <v>82</v>
      </c>
      <c r="D474" s="99">
        <v>31367790</v>
      </c>
      <c r="E474" s="6" t="s">
        <v>401</v>
      </c>
      <c r="F474" s="99">
        <v>66</v>
      </c>
      <c r="G474" s="99">
        <v>4.84</v>
      </c>
      <c r="H474" s="99">
        <f t="shared" si="18"/>
        <v>319.44</v>
      </c>
      <c r="I474" s="6" t="s">
        <v>325</v>
      </c>
      <c r="J474" s="6" t="s">
        <v>345</v>
      </c>
      <c r="K474" s="139">
        <v>46224</v>
      </c>
      <c r="L474" s="140">
        <v>46226</v>
      </c>
      <c r="M474" s="142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7">
        <v>46184</v>
      </c>
      <c r="B475" s="15" t="str">
        <f>VLOOKUP(C475,'Product List'!A:C,3,0)</f>
        <v>MMO-PAPER PEBBLES</v>
      </c>
      <c r="C475" s="19" t="s">
        <v>42</v>
      </c>
      <c r="D475" s="99">
        <v>31367790</v>
      </c>
      <c r="E475" s="6" t="s">
        <v>401</v>
      </c>
      <c r="F475" s="99">
        <v>132</v>
      </c>
      <c r="G475" s="99">
        <v>5.81</v>
      </c>
      <c r="H475" s="99">
        <f t="shared" si="18"/>
        <v>766.92</v>
      </c>
      <c r="I475" s="6" t="s">
        <v>325</v>
      </c>
      <c r="J475" s="6" t="s">
        <v>345</v>
      </c>
      <c r="K475" s="139">
        <v>46224</v>
      </c>
      <c r="L475" s="140">
        <v>46226</v>
      </c>
      <c r="M475" s="142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7">
        <v>46184</v>
      </c>
      <c r="B476" s="15" t="str">
        <f>VLOOKUP(C476,'Product List'!A:C,3,0)</f>
        <v>MMO-PAPER TWIST BLU/WHT</v>
      </c>
      <c r="C476" s="19" t="s">
        <v>44</v>
      </c>
      <c r="D476" s="99">
        <v>31367790</v>
      </c>
      <c r="E476" s="6" t="s">
        <v>401</v>
      </c>
      <c r="F476" s="99">
        <v>120</v>
      </c>
      <c r="G476" s="99">
        <v>3.89</v>
      </c>
      <c r="H476" s="99">
        <f t="shared" si="18"/>
        <v>466.8</v>
      </c>
      <c r="I476" s="6" t="s">
        <v>325</v>
      </c>
      <c r="J476" s="6" t="s">
        <v>345</v>
      </c>
      <c r="K476" s="139">
        <v>46224</v>
      </c>
      <c r="L476" s="140">
        <v>46226</v>
      </c>
      <c r="M476" s="142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7">
        <v>46184</v>
      </c>
      <c r="B477" s="15" t="str">
        <f>VLOOKUP(C477,'Product List'!A:C,3,0)</f>
        <v>MMO-COTTON NESTING BALLS</v>
      </c>
      <c r="C477" s="19" t="s">
        <v>43</v>
      </c>
      <c r="D477" s="99">
        <v>31367790</v>
      </c>
      <c r="E477" s="6" t="s">
        <v>401</v>
      </c>
      <c r="F477" s="99">
        <v>128</v>
      </c>
      <c r="G477" s="99">
        <v>3.37</v>
      </c>
      <c r="H477" s="99">
        <f t="shared" si="18"/>
        <v>431.36</v>
      </c>
      <c r="I477" s="6" t="s">
        <v>325</v>
      </c>
      <c r="J477" s="6" t="s">
        <v>345</v>
      </c>
      <c r="K477" s="139">
        <v>46224</v>
      </c>
      <c r="L477" s="140">
        <v>46226</v>
      </c>
      <c r="M477" s="142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7">
        <v>46184</v>
      </c>
      <c r="B478" s="15" t="str">
        <f>VLOOKUP(C478,'Product List'!A:C,3,0)</f>
        <v>MINI/MOE TV VIEWING CAGE</v>
      </c>
      <c r="C478" s="19" t="s">
        <v>27</v>
      </c>
      <c r="D478" s="99">
        <v>31367790</v>
      </c>
      <c r="E478" s="6" t="s">
        <v>401</v>
      </c>
      <c r="F478" s="99">
        <v>27</v>
      </c>
      <c r="G478" s="99">
        <v>48.49</v>
      </c>
      <c r="H478" s="99">
        <f t="shared" si="18"/>
        <v>1309.23</v>
      </c>
      <c r="I478" s="6" t="s">
        <v>325</v>
      </c>
      <c r="J478" s="6" t="s">
        <v>345</v>
      </c>
      <c r="K478" s="139">
        <v>46224</v>
      </c>
      <c r="L478" s="140">
        <v>46226</v>
      </c>
      <c r="M478" s="142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7">
        <v>46184</v>
      </c>
      <c r="B479" s="15" t="str">
        <f>VLOOKUP(C479,'Product List'!A:C,3,0)</f>
        <v>MMO-BUBBLE WATER BOTTLE</v>
      </c>
      <c r="C479" s="19" t="s">
        <v>38</v>
      </c>
      <c r="D479" s="99">
        <v>31367790</v>
      </c>
      <c r="E479" s="6" t="s">
        <v>401</v>
      </c>
      <c r="F479" s="99">
        <v>42</v>
      </c>
      <c r="G479" s="99">
        <v>4.35</v>
      </c>
      <c r="H479" s="99">
        <f t="shared" si="18"/>
        <v>182.7</v>
      </c>
      <c r="I479" s="6" t="s">
        <v>325</v>
      </c>
      <c r="J479" s="6" t="s">
        <v>345</v>
      </c>
      <c r="K479" s="139">
        <v>46224</v>
      </c>
      <c r="L479" s="140">
        <v>46226</v>
      </c>
      <c r="M479" s="142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7">
        <v>46184</v>
      </c>
      <c r="B480" s="15" t="str">
        <f>VLOOKUP(C480,'Product List'!A:C,3,0)</f>
        <v>MMO-GREEN APPLE CHEW</v>
      </c>
      <c r="C480" s="19" t="s">
        <v>39</v>
      </c>
      <c r="D480" s="99">
        <v>31367790</v>
      </c>
      <c r="E480" s="6" t="s">
        <v>401</v>
      </c>
      <c r="F480" s="99">
        <v>96</v>
      </c>
      <c r="G480" s="99">
        <v>1.53</v>
      </c>
      <c r="H480" s="99">
        <f t="shared" si="18"/>
        <v>146.88</v>
      </c>
      <c r="I480" s="6" t="s">
        <v>325</v>
      </c>
      <c r="J480" s="6" t="s">
        <v>345</v>
      </c>
      <c r="K480" s="139">
        <v>46224</v>
      </c>
      <c r="L480" s="140">
        <v>46226</v>
      </c>
      <c r="M480" s="142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7">
        <v>46184</v>
      </c>
      <c r="B481" s="15" t="str">
        <f>VLOOKUP(C481,'Product List'!A:C,3,0)</f>
        <v>MMO-CAMP LUNCH BOX CHEW</v>
      </c>
      <c r="C481" s="19" t="s">
        <v>40</v>
      </c>
      <c r="D481" s="99">
        <v>31367790</v>
      </c>
      <c r="E481" s="6" t="s">
        <v>401</v>
      </c>
      <c r="F481" s="99">
        <v>144</v>
      </c>
      <c r="G481" s="99">
        <v>2.48</v>
      </c>
      <c r="H481" s="99">
        <f t="shared" si="18"/>
        <v>357.12</v>
      </c>
      <c r="I481" s="6" t="s">
        <v>325</v>
      </c>
      <c r="J481" s="6" t="s">
        <v>345</v>
      </c>
      <c r="K481" s="139">
        <v>46224</v>
      </c>
      <c r="L481" s="140">
        <v>46226</v>
      </c>
      <c r="M481" s="142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7">
        <v>46184</v>
      </c>
      <c r="B482" s="15" t="str">
        <f>VLOOKUP(C482,'Product List'!A:C,3,0)</f>
        <v>MINI/MOE RUFFLE BOWL</v>
      </c>
      <c r="C482" s="19" t="s">
        <v>83</v>
      </c>
      <c r="D482" s="99">
        <v>31367790</v>
      </c>
      <c r="E482" s="6" t="s">
        <v>401</v>
      </c>
      <c r="F482" s="99">
        <v>96</v>
      </c>
      <c r="G482" s="99">
        <v>2.35</v>
      </c>
      <c r="H482" s="99">
        <f t="shared" si="18"/>
        <v>225.6</v>
      </c>
      <c r="I482" s="6" t="s">
        <v>325</v>
      </c>
      <c r="J482" s="6" t="s">
        <v>345</v>
      </c>
      <c r="K482" s="139">
        <v>46224</v>
      </c>
      <c r="L482" s="140">
        <v>46226</v>
      </c>
      <c r="M482" s="142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7">
        <v>46184</v>
      </c>
      <c r="B483" s="15" t="str">
        <f>VLOOKUP(C483,'Product List'!A:C,3,0)</f>
        <v>MMO-CLOUD WATER BOTTLE</v>
      </c>
      <c r="C483" s="19" t="s">
        <v>37</v>
      </c>
      <c r="D483" s="99">
        <v>31367790</v>
      </c>
      <c r="E483" s="6" t="s">
        <v>401</v>
      </c>
      <c r="F483" s="99">
        <v>50</v>
      </c>
      <c r="G483" s="99">
        <v>1.32</v>
      </c>
      <c r="H483" s="99">
        <f t="shared" si="18"/>
        <v>66</v>
      </c>
      <c r="I483" s="6" t="s">
        <v>325</v>
      </c>
      <c r="J483" s="6" t="s">
        <v>345</v>
      </c>
      <c r="K483" s="139">
        <v>46224</v>
      </c>
      <c r="L483" s="140">
        <v>46226</v>
      </c>
      <c r="M483" s="142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7">
        <v>46184</v>
      </c>
      <c r="B484" s="15" t="str">
        <f>VLOOKUP(C484,'Product List'!A:C,3,0)</f>
        <v>MINI/MOE BENDABLE BIRCHWOOD FENCE</v>
      </c>
      <c r="C484" s="19" t="s">
        <v>34</v>
      </c>
      <c r="D484" s="99">
        <v>31367791</v>
      </c>
      <c r="E484" s="6" t="s">
        <v>402</v>
      </c>
      <c r="F484" s="99">
        <v>32</v>
      </c>
      <c r="G484" s="99">
        <v>5.01</v>
      </c>
      <c r="H484" s="99">
        <f t="shared" si="18"/>
        <v>160.32</v>
      </c>
      <c r="I484" s="6" t="s">
        <v>325</v>
      </c>
      <c r="J484" s="6" t="s">
        <v>347</v>
      </c>
      <c r="K484" s="139">
        <v>46218</v>
      </c>
      <c r="L484" s="140">
        <v>46211</v>
      </c>
      <c r="M484" s="142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7">
        <v>46184</v>
      </c>
      <c r="B485" s="15" t="str">
        <f>VLOOKUP(C485,'Product List'!A:C,3,0)</f>
        <v>MINI/MOE SILENT CRSTL RUN WHEEL LG 8.5-White</v>
      </c>
      <c r="C485" s="19" t="s">
        <v>41</v>
      </c>
      <c r="D485" s="99">
        <v>31367791</v>
      </c>
      <c r="E485" s="6" t="s">
        <v>402</v>
      </c>
      <c r="F485" s="99">
        <v>56</v>
      </c>
      <c r="G485" s="99">
        <v>13.22</v>
      </c>
      <c r="H485" s="99">
        <f t="shared" si="18"/>
        <v>740.32</v>
      </c>
      <c r="I485" s="6" t="s">
        <v>325</v>
      </c>
      <c r="J485" s="6" t="s">
        <v>347</v>
      </c>
      <c r="K485" s="139">
        <v>46218</v>
      </c>
      <c r="L485" s="140">
        <v>46211</v>
      </c>
      <c r="M485" s="142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7">
        <v>46184</v>
      </c>
      <c r="B486" s="15" t="str">
        <f>VLOOKUP(C486,'Product List'!A:C,3,0)</f>
        <v>MMO-STARFISH CASTLE</v>
      </c>
      <c r="C486" s="19" t="s">
        <v>76</v>
      </c>
      <c r="D486" s="99">
        <v>31367791</v>
      </c>
      <c r="E486" s="6" t="s">
        <v>402</v>
      </c>
      <c r="F486" s="99">
        <v>40</v>
      </c>
      <c r="G486" s="99">
        <v>5.32</v>
      </c>
      <c r="H486" s="99">
        <f t="shared" si="18"/>
        <v>212.8</v>
      </c>
      <c r="I486" s="6" t="s">
        <v>325</v>
      </c>
      <c r="J486" s="6" t="s">
        <v>347</v>
      </c>
      <c r="K486" s="139">
        <v>46218</v>
      </c>
      <c r="L486" s="140">
        <v>46211</v>
      </c>
      <c r="M486" s="142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7">
        <v>46184</v>
      </c>
      <c r="B487" s="15" t="str">
        <f>VLOOKUP(C487,'Product List'!A:C,3,0)</f>
        <v>MMO-PAPER PEBBLES</v>
      </c>
      <c r="C487" s="19" t="s">
        <v>42</v>
      </c>
      <c r="D487" s="99">
        <v>31367791</v>
      </c>
      <c r="E487" s="6" t="s">
        <v>402</v>
      </c>
      <c r="F487" s="99">
        <v>84</v>
      </c>
      <c r="G487" s="99">
        <v>5.81</v>
      </c>
      <c r="H487" s="99">
        <f t="shared" si="18"/>
        <v>488.04</v>
      </c>
      <c r="I487" s="6" t="s">
        <v>325</v>
      </c>
      <c r="J487" s="6" t="s">
        <v>347</v>
      </c>
      <c r="K487" s="139">
        <v>46218</v>
      </c>
      <c r="L487" s="140">
        <v>46211</v>
      </c>
      <c r="M487" s="142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7">
        <v>46184</v>
      </c>
      <c r="B488" s="15" t="str">
        <f>VLOOKUP(C488,'Product List'!A:C,3,0)</f>
        <v>MMO-PAPER TWIST BLU/WHT</v>
      </c>
      <c r="C488" s="19" t="s">
        <v>44</v>
      </c>
      <c r="D488" s="99">
        <v>31367791</v>
      </c>
      <c r="E488" s="6" t="s">
        <v>402</v>
      </c>
      <c r="F488" s="99">
        <v>60</v>
      </c>
      <c r="G488" s="99">
        <v>3.89</v>
      </c>
      <c r="H488" s="99">
        <f t="shared" si="18"/>
        <v>233.4</v>
      </c>
      <c r="I488" s="6" t="s">
        <v>325</v>
      </c>
      <c r="J488" s="6" t="s">
        <v>347</v>
      </c>
      <c r="K488" s="139">
        <v>46218</v>
      </c>
      <c r="L488" s="140">
        <v>46211</v>
      </c>
      <c r="M488" s="142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7">
        <v>46184</v>
      </c>
      <c r="B489" s="15" t="str">
        <f>VLOOKUP(C489,'Product List'!A:C,3,0)</f>
        <v>MMO-COTTON NESTING BALLS</v>
      </c>
      <c r="C489" s="19" t="s">
        <v>43</v>
      </c>
      <c r="D489" s="99">
        <v>31367791</v>
      </c>
      <c r="E489" s="6" t="s">
        <v>402</v>
      </c>
      <c r="F489" s="99">
        <v>32</v>
      </c>
      <c r="G489" s="99">
        <v>3.37</v>
      </c>
      <c r="H489" s="99">
        <f t="shared" si="18"/>
        <v>107.84</v>
      </c>
      <c r="I489" s="6" t="s">
        <v>325</v>
      </c>
      <c r="J489" s="6" t="s">
        <v>347</v>
      </c>
      <c r="K489" s="139">
        <v>46218</v>
      </c>
      <c r="L489" s="140">
        <v>46211</v>
      </c>
      <c r="M489" s="142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7">
        <v>46184</v>
      </c>
      <c r="B490" s="15" t="str">
        <f>VLOOKUP(C490,'Product List'!A:C,3,0)</f>
        <v>MINI/MOE TV VIEWING CAGE</v>
      </c>
      <c r="C490" s="19" t="s">
        <v>27</v>
      </c>
      <c r="D490" s="99">
        <v>31367791</v>
      </c>
      <c r="E490" s="6" t="s">
        <v>402</v>
      </c>
      <c r="F490" s="99">
        <v>84</v>
      </c>
      <c r="G490" s="99">
        <v>48.49</v>
      </c>
      <c r="H490" s="99">
        <f t="shared" si="18"/>
        <v>4073.16</v>
      </c>
      <c r="I490" s="6" t="s">
        <v>325</v>
      </c>
      <c r="J490" s="6" t="s">
        <v>347</v>
      </c>
      <c r="K490" s="139">
        <v>46218</v>
      </c>
      <c r="L490" s="140">
        <v>46211</v>
      </c>
      <c r="M490" s="142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7">
        <v>46184</v>
      </c>
      <c r="B491" s="15" t="str">
        <f>VLOOKUP(C491,'Product List'!A:C,3,0)</f>
        <v>MMO-BUBBLE WATER BOTTLE</v>
      </c>
      <c r="C491" s="19" t="s">
        <v>38</v>
      </c>
      <c r="D491" s="99">
        <v>31367791</v>
      </c>
      <c r="E491" s="6" t="s">
        <v>402</v>
      </c>
      <c r="F491" s="99">
        <v>168</v>
      </c>
      <c r="G491" s="99">
        <v>4.35</v>
      </c>
      <c r="H491" s="99">
        <f t="shared" si="18"/>
        <v>730.8</v>
      </c>
      <c r="I491" s="6" t="s">
        <v>325</v>
      </c>
      <c r="J491" s="6" t="s">
        <v>347</v>
      </c>
      <c r="K491" s="139">
        <v>46218</v>
      </c>
      <c r="L491" s="140">
        <v>46211</v>
      </c>
      <c r="M491" s="142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7">
        <v>46184</v>
      </c>
      <c r="B492" s="15" t="str">
        <f>VLOOKUP(C492,'Product List'!A:C,3,0)</f>
        <v>MMO-GREEN APPLE CHEW</v>
      </c>
      <c r="C492" s="19" t="s">
        <v>39</v>
      </c>
      <c r="D492" s="99">
        <v>31367791</v>
      </c>
      <c r="E492" s="6" t="s">
        <v>402</v>
      </c>
      <c r="F492" s="99">
        <v>96</v>
      </c>
      <c r="G492" s="99">
        <v>1.53</v>
      </c>
      <c r="H492" s="99">
        <f t="shared" si="18"/>
        <v>146.88</v>
      </c>
      <c r="I492" s="6" t="s">
        <v>325</v>
      </c>
      <c r="J492" s="6" t="s">
        <v>347</v>
      </c>
      <c r="K492" s="139">
        <v>46218</v>
      </c>
      <c r="L492" s="140">
        <v>46211</v>
      </c>
      <c r="M492" s="142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7">
        <v>46184</v>
      </c>
      <c r="B493" s="15" t="str">
        <f>VLOOKUP(C493,'Product List'!A:C,3,0)</f>
        <v>MMO-CAMP LUNCH BOX CHEW</v>
      </c>
      <c r="C493" s="19" t="s">
        <v>40</v>
      </c>
      <c r="D493" s="99">
        <v>31367791</v>
      </c>
      <c r="E493" s="6" t="s">
        <v>402</v>
      </c>
      <c r="F493" s="99">
        <v>144</v>
      </c>
      <c r="G493" s="99">
        <v>2.48</v>
      </c>
      <c r="H493" s="99">
        <f t="shared" si="18"/>
        <v>357.12</v>
      </c>
      <c r="I493" s="6" t="s">
        <v>325</v>
      </c>
      <c r="J493" s="6" t="s">
        <v>347</v>
      </c>
      <c r="K493" s="139">
        <v>46218</v>
      </c>
      <c r="L493" s="140">
        <v>46211</v>
      </c>
      <c r="M493" s="142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7">
        <v>46184</v>
      </c>
      <c r="B494" s="15" t="str">
        <f>VLOOKUP(C494,'Product List'!A:C,3,0)</f>
        <v>MINI/MOE RUFFLE BOWL</v>
      </c>
      <c r="C494" s="19" t="s">
        <v>83</v>
      </c>
      <c r="D494" s="99">
        <v>31367791</v>
      </c>
      <c r="E494" s="6" t="s">
        <v>402</v>
      </c>
      <c r="F494" s="99">
        <v>144</v>
      </c>
      <c r="G494" s="99">
        <v>2.35</v>
      </c>
      <c r="H494" s="99">
        <f t="shared" si="18"/>
        <v>338.4</v>
      </c>
      <c r="I494" s="6" t="s">
        <v>325</v>
      </c>
      <c r="J494" s="6" t="s">
        <v>347</v>
      </c>
      <c r="K494" s="139">
        <v>46218</v>
      </c>
      <c r="L494" s="140">
        <v>46211</v>
      </c>
      <c r="M494" s="142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7">
        <v>46184</v>
      </c>
      <c r="B495" s="15" t="str">
        <f>VLOOKUP(C495,'Product List'!A:C,3,0)</f>
        <v>MMO-CLOUD WATER BOTTLE</v>
      </c>
      <c r="C495" s="19" t="s">
        <v>37</v>
      </c>
      <c r="D495" s="99">
        <v>31367791</v>
      </c>
      <c r="E495" s="6" t="s">
        <v>402</v>
      </c>
      <c r="F495" s="99">
        <v>150</v>
      </c>
      <c r="G495" s="99">
        <v>1.32</v>
      </c>
      <c r="H495" s="99">
        <f t="shared" si="18"/>
        <v>198</v>
      </c>
      <c r="I495" s="6" t="s">
        <v>325</v>
      </c>
      <c r="J495" s="6" t="s">
        <v>347</v>
      </c>
      <c r="K495" s="139">
        <v>46218</v>
      </c>
      <c r="L495" s="140">
        <v>46211</v>
      </c>
      <c r="M495" s="142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7">
        <v>46184</v>
      </c>
      <c r="B496" s="15" t="str">
        <f>VLOOKUP(C496,'Product List'!A:C,3,0)</f>
        <v>MINI/MOE BENDABLE BIRCHWOOD FENCE</v>
      </c>
      <c r="C496" s="19" t="s">
        <v>34</v>
      </c>
      <c r="D496" s="99">
        <v>31367792</v>
      </c>
      <c r="E496" s="6" t="s">
        <v>403</v>
      </c>
      <c r="F496" s="99">
        <v>32</v>
      </c>
      <c r="G496" s="99">
        <v>5.01</v>
      </c>
      <c r="H496" s="99">
        <f t="shared" si="18"/>
        <v>160.32</v>
      </c>
      <c r="I496" s="6" t="s">
        <v>325</v>
      </c>
      <c r="J496" s="6" t="s">
        <v>355</v>
      </c>
      <c r="K496" s="139">
        <v>46231</v>
      </c>
      <c r="L496" s="140">
        <v>46227</v>
      </c>
      <c r="M496" s="142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7">
        <v>46184</v>
      </c>
      <c r="B497" s="15" t="str">
        <f>VLOOKUP(C497,'Product List'!A:C,3,0)</f>
        <v>MINI/MOE SILENT CRSTL RUN WHEEL LG 8.5-White</v>
      </c>
      <c r="C497" s="19" t="s">
        <v>41</v>
      </c>
      <c r="D497" s="99">
        <v>31367792</v>
      </c>
      <c r="E497" s="6" t="s">
        <v>403</v>
      </c>
      <c r="F497" s="99">
        <v>136</v>
      </c>
      <c r="G497" s="99">
        <v>13.22</v>
      </c>
      <c r="H497" s="99">
        <f t="shared" si="18"/>
        <v>1797.92</v>
      </c>
      <c r="I497" s="6" t="s">
        <v>325</v>
      </c>
      <c r="J497" s="6" t="s">
        <v>355</v>
      </c>
      <c r="K497" s="139">
        <v>46231</v>
      </c>
      <c r="L497" s="140">
        <v>46227</v>
      </c>
      <c r="M497" s="142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7">
        <v>46184</v>
      </c>
      <c r="B498" s="15" t="str">
        <f>VLOOKUP(C498,'Product List'!A:C,3,0)</f>
        <v>MMO-STARFISH CASTLE</v>
      </c>
      <c r="C498" s="19" t="s">
        <v>76</v>
      </c>
      <c r="D498" s="99">
        <v>31367792</v>
      </c>
      <c r="E498" s="6" t="s">
        <v>403</v>
      </c>
      <c r="F498" s="99">
        <v>60</v>
      </c>
      <c r="G498" s="99">
        <v>5.32</v>
      </c>
      <c r="H498" s="99">
        <f t="shared" si="18"/>
        <v>319.2</v>
      </c>
      <c r="I498" s="6" t="s">
        <v>325</v>
      </c>
      <c r="J498" s="6" t="s">
        <v>355</v>
      </c>
      <c r="K498" s="139">
        <v>46231</v>
      </c>
      <c r="L498" s="140">
        <v>46227</v>
      </c>
      <c r="M498" s="142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7">
        <v>46184</v>
      </c>
      <c r="B499" s="15" t="str">
        <f>VLOOKUP(C499,'Product List'!A:C,3,0)</f>
        <v>MMO-WAVE BRIDGE</v>
      </c>
      <c r="C499" s="19" t="s">
        <v>82</v>
      </c>
      <c r="D499" s="99">
        <v>31367792</v>
      </c>
      <c r="E499" s="6" t="s">
        <v>403</v>
      </c>
      <c r="F499" s="99">
        <v>66</v>
      </c>
      <c r="G499" s="99">
        <v>4.84</v>
      </c>
      <c r="H499" s="99">
        <f t="shared" si="18"/>
        <v>319.44</v>
      </c>
      <c r="I499" s="6" t="s">
        <v>325</v>
      </c>
      <c r="J499" s="6" t="s">
        <v>355</v>
      </c>
      <c r="K499" s="139">
        <v>46231</v>
      </c>
      <c r="L499" s="140">
        <v>46227</v>
      </c>
      <c r="M499" s="142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7">
        <v>46184</v>
      </c>
      <c r="B500" s="15" t="str">
        <f>VLOOKUP(C500,'Product List'!A:C,3,0)</f>
        <v>MMO-PAPER PEBBLES</v>
      </c>
      <c r="C500" s="19" t="s">
        <v>42</v>
      </c>
      <c r="D500" s="99">
        <v>31367792</v>
      </c>
      <c r="E500" s="6" t="s">
        <v>403</v>
      </c>
      <c r="F500" s="99">
        <v>180</v>
      </c>
      <c r="G500" s="99">
        <v>5.81</v>
      </c>
      <c r="H500" s="99">
        <f t="shared" si="18"/>
        <v>1045.8</v>
      </c>
      <c r="I500" s="6" t="s">
        <v>325</v>
      </c>
      <c r="J500" s="6" t="s">
        <v>355</v>
      </c>
      <c r="K500" s="139">
        <v>46231</v>
      </c>
      <c r="L500" s="140">
        <v>46227</v>
      </c>
      <c r="M500" s="142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7">
        <v>46184</v>
      </c>
      <c r="B501" s="15" t="str">
        <f>VLOOKUP(C501,'Product List'!A:C,3,0)</f>
        <v>MMO-PAPER TWIST BLU/WHT</v>
      </c>
      <c r="C501" s="19" t="s">
        <v>44</v>
      </c>
      <c r="D501" s="99">
        <v>31367792</v>
      </c>
      <c r="E501" s="6" t="s">
        <v>403</v>
      </c>
      <c r="F501" s="99">
        <v>210</v>
      </c>
      <c r="G501" s="99">
        <v>3.89</v>
      </c>
      <c r="H501" s="99">
        <f t="shared" si="18"/>
        <v>816.9</v>
      </c>
      <c r="I501" s="6" t="s">
        <v>325</v>
      </c>
      <c r="J501" s="6" t="s">
        <v>355</v>
      </c>
      <c r="K501" s="139">
        <v>46231</v>
      </c>
      <c r="L501" s="140">
        <v>46227</v>
      </c>
      <c r="M501" s="142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7">
        <v>46184</v>
      </c>
      <c r="B502" s="15" t="str">
        <f>VLOOKUP(C502,'Product List'!A:C,3,0)</f>
        <v>MMO-COTTON NESTING BALLS</v>
      </c>
      <c r="C502" s="19" t="s">
        <v>43</v>
      </c>
      <c r="D502" s="99">
        <v>31367792</v>
      </c>
      <c r="E502" s="6" t="s">
        <v>403</v>
      </c>
      <c r="F502" s="99">
        <v>224</v>
      </c>
      <c r="G502" s="99">
        <v>3.37</v>
      </c>
      <c r="H502" s="99">
        <f t="shared" si="18"/>
        <v>754.88</v>
      </c>
      <c r="I502" s="6" t="s">
        <v>325</v>
      </c>
      <c r="J502" s="6" t="s">
        <v>355</v>
      </c>
      <c r="K502" s="139">
        <v>46231</v>
      </c>
      <c r="L502" s="140">
        <v>46227</v>
      </c>
      <c r="M502" s="142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7">
        <v>46184</v>
      </c>
      <c r="B503" s="15" t="str">
        <f>VLOOKUP(C503,'Product List'!A:C,3,0)</f>
        <v>MINI/MOE TV VIEWING CAGE</v>
      </c>
      <c r="C503" s="19" t="s">
        <v>27</v>
      </c>
      <c r="D503" s="99">
        <v>31367792</v>
      </c>
      <c r="E503" s="6" t="s">
        <v>403</v>
      </c>
      <c r="F503" s="99">
        <v>16</v>
      </c>
      <c r="G503" s="99">
        <v>48.49</v>
      </c>
      <c r="H503" s="99">
        <f t="shared" si="18"/>
        <v>775.84</v>
      </c>
      <c r="I503" s="6" t="s">
        <v>325</v>
      </c>
      <c r="J503" s="6" t="s">
        <v>355</v>
      </c>
      <c r="K503" s="139">
        <v>46231</v>
      </c>
      <c r="L503" s="140">
        <v>46227</v>
      </c>
      <c r="M503" s="142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7">
        <v>46184</v>
      </c>
      <c r="B504" s="15" t="str">
        <f>VLOOKUP(C504,'Product List'!A:C,3,0)</f>
        <v>MMO-BUBBLE WATER BOTTLE</v>
      </c>
      <c r="C504" s="19" t="s">
        <v>38</v>
      </c>
      <c r="D504" s="99">
        <v>31367792</v>
      </c>
      <c r="E504" s="6" t="s">
        <v>403</v>
      </c>
      <c r="F504" s="99">
        <v>84</v>
      </c>
      <c r="G504" s="99">
        <v>4.35</v>
      </c>
      <c r="H504" s="99">
        <f t="shared" si="18"/>
        <v>365.4</v>
      </c>
      <c r="I504" s="6" t="s">
        <v>325</v>
      </c>
      <c r="J504" s="6" t="s">
        <v>355</v>
      </c>
      <c r="K504" s="139">
        <v>46231</v>
      </c>
      <c r="L504" s="140">
        <v>46227</v>
      </c>
      <c r="M504" s="142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7">
        <v>46184</v>
      </c>
      <c r="B505" s="15" t="str">
        <f>VLOOKUP(C505,'Product List'!A:C,3,0)</f>
        <v>MMO-GREEN APPLE CHEW</v>
      </c>
      <c r="C505" s="19" t="s">
        <v>39</v>
      </c>
      <c r="D505" s="99">
        <v>31367792</v>
      </c>
      <c r="E505" s="6" t="s">
        <v>403</v>
      </c>
      <c r="F505" s="99">
        <v>240</v>
      </c>
      <c r="G505" s="99">
        <v>1.53</v>
      </c>
      <c r="H505" s="99">
        <f t="shared" si="18"/>
        <v>367.2</v>
      </c>
      <c r="I505" s="6" t="s">
        <v>325</v>
      </c>
      <c r="J505" s="6" t="s">
        <v>355</v>
      </c>
      <c r="K505" s="139">
        <v>46231</v>
      </c>
      <c r="L505" s="140">
        <v>46227</v>
      </c>
      <c r="M505" s="142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7">
        <v>46184</v>
      </c>
      <c r="B506" s="15" t="str">
        <f>VLOOKUP(C506,'Product List'!A:C,3,0)</f>
        <v>MMO-CAMP LUNCH BOX CHEW</v>
      </c>
      <c r="C506" s="19" t="s">
        <v>40</v>
      </c>
      <c r="D506" s="99">
        <v>31367792</v>
      </c>
      <c r="E506" s="6" t="s">
        <v>403</v>
      </c>
      <c r="F506" s="99">
        <v>288</v>
      </c>
      <c r="G506" s="99">
        <v>2.48</v>
      </c>
      <c r="H506" s="99">
        <f t="shared" si="18"/>
        <v>714.24</v>
      </c>
      <c r="I506" s="6" t="s">
        <v>325</v>
      </c>
      <c r="J506" s="6" t="s">
        <v>355</v>
      </c>
      <c r="K506" s="139">
        <v>46231</v>
      </c>
      <c r="L506" s="140">
        <v>46227</v>
      </c>
      <c r="M506" s="142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7">
        <v>46184</v>
      </c>
      <c r="B507" s="15" t="str">
        <f>VLOOKUP(C507,'Product List'!A:C,3,0)</f>
        <v>MMO-SHELL PEARL HAMSTER CHEW</v>
      </c>
      <c r="C507" s="19" t="s">
        <v>48</v>
      </c>
      <c r="D507" s="99">
        <v>31367792</v>
      </c>
      <c r="E507" s="6" t="s">
        <v>403</v>
      </c>
      <c r="F507" s="99">
        <v>64</v>
      </c>
      <c r="G507" s="99">
        <v>1.61</v>
      </c>
      <c r="H507" s="99">
        <f t="shared" si="18"/>
        <v>103.04</v>
      </c>
      <c r="I507" s="6" t="s">
        <v>325</v>
      </c>
      <c r="J507" s="6" t="s">
        <v>355</v>
      </c>
      <c r="K507" s="139">
        <v>46231</v>
      </c>
      <c r="L507" s="140">
        <v>46227</v>
      </c>
      <c r="M507" s="142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7">
        <v>46191</v>
      </c>
      <c r="B508" s="15" t="str">
        <f>VLOOKUP(C508,'Product List'!A:C,3,0)</f>
        <v>MINI/MOE SILENT CRSTL RUN WHEEL LG 8.5-White</v>
      </c>
      <c r="C508" s="19" t="s">
        <v>41</v>
      </c>
      <c r="D508" s="99">
        <v>31441546</v>
      </c>
      <c r="E508" s="6" t="s">
        <v>404</v>
      </c>
      <c r="F508" s="99">
        <v>200</v>
      </c>
      <c r="G508" s="99">
        <v>13.22</v>
      </c>
      <c r="H508" s="99">
        <f t="shared" si="18"/>
        <v>2644</v>
      </c>
      <c r="I508" s="6" t="s">
        <v>325</v>
      </c>
      <c r="J508" s="6" t="s">
        <v>350</v>
      </c>
      <c r="K508" s="139">
        <v>46230</v>
      </c>
      <c r="L508" s="140">
        <v>46227</v>
      </c>
      <c r="M508" s="142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7">
        <v>46191</v>
      </c>
      <c r="B509" s="15" t="str">
        <f>VLOOKUP(C509,'Product List'!A:C,3,0)</f>
        <v>MMO-GREEN APPLE CHEW</v>
      </c>
      <c r="C509" s="19" t="s">
        <v>39</v>
      </c>
      <c r="D509" s="99">
        <v>31441546</v>
      </c>
      <c r="E509" s="6" t="s">
        <v>404</v>
      </c>
      <c r="F509" s="99">
        <v>144</v>
      </c>
      <c r="G509" s="99">
        <v>1.53</v>
      </c>
      <c r="H509" s="99">
        <f t="shared" si="18"/>
        <v>220.32</v>
      </c>
      <c r="I509" s="6" t="s">
        <v>325</v>
      </c>
      <c r="J509" s="6" t="s">
        <v>350</v>
      </c>
      <c r="K509" s="139">
        <v>46230</v>
      </c>
      <c r="L509" s="140">
        <v>46227</v>
      </c>
      <c r="M509" s="142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7">
        <v>46191</v>
      </c>
      <c r="B510" s="15" t="str">
        <f>VLOOKUP(C510,'Product List'!A:C,3,0)</f>
        <v>MMO-CAMP LUNCH BOX CHEW</v>
      </c>
      <c r="C510" s="19" t="s">
        <v>40</v>
      </c>
      <c r="D510" s="99">
        <v>31441546</v>
      </c>
      <c r="E510" s="6" t="s">
        <v>404</v>
      </c>
      <c r="F510" s="99">
        <v>216</v>
      </c>
      <c r="G510" s="99">
        <v>2.48</v>
      </c>
      <c r="H510" s="99">
        <f t="shared" si="18"/>
        <v>535.68</v>
      </c>
      <c r="I510" s="6" t="s">
        <v>325</v>
      </c>
      <c r="J510" s="6" t="s">
        <v>350</v>
      </c>
      <c r="K510" s="139">
        <v>46230</v>
      </c>
      <c r="L510" s="140">
        <v>46227</v>
      </c>
      <c r="M510" s="142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7">
        <v>46191</v>
      </c>
      <c r="B511" s="15" t="str">
        <f>VLOOKUP(C511,'Product List'!A:C,3,0)</f>
        <v>MMO-SHELL PEARL HAMSTER CHEW</v>
      </c>
      <c r="C511" s="19" t="s">
        <v>48</v>
      </c>
      <c r="D511" s="99">
        <v>31441546</v>
      </c>
      <c r="E511" s="6" t="s">
        <v>404</v>
      </c>
      <c r="F511" s="99">
        <v>64</v>
      </c>
      <c r="G511" s="99">
        <v>1.61</v>
      </c>
      <c r="H511" s="99">
        <f t="shared" si="18"/>
        <v>103.04</v>
      </c>
      <c r="I511" s="6" t="s">
        <v>325</v>
      </c>
      <c r="J511" s="6" t="s">
        <v>350</v>
      </c>
      <c r="K511" s="139">
        <v>46230</v>
      </c>
      <c r="L511" s="140">
        <v>46227</v>
      </c>
      <c r="M511" s="142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7">
        <v>46191</v>
      </c>
      <c r="B512" s="15" t="str">
        <f>VLOOKUP(C512,'Product List'!A:C,3,0)</f>
        <v>MINI/MOE TV VIEWING CAGE</v>
      </c>
      <c r="C512" s="19" t="s">
        <v>27</v>
      </c>
      <c r="D512" s="99">
        <v>31441546</v>
      </c>
      <c r="E512" s="6" t="s">
        <v>404</v>
      </c>
      <c r="F512" s="99">
        <v>107</v>
      </c>
      <c r="G512" s="99">
        <v>48.49</v>
      </c>
      <c r="H512" s="99">
        <f t="shared" ref="H512:H575" si="20">F512*G512</f>
        <v>5188.43</v>
      </c>
      <c r="I512" s="6" t="s">
        <v>325</v>
      </c>
      <c r="J512" s="6" t="s">
        <v>350</v>
      </c>
      <c r="K512" s="139">
        <v>46230</v>
      </c>
      <c r="L512" s="140">
        <v>46227</v>
      </c>
      <c r="M512" s="142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7">
        <v>46191</v>
      </c>
      <c r="B513" s="15" t="str">
        <f>VLOOKUP(C513,'Product List'!A:C,3,0)</f>
        <v>MMO-STARFISH CASTLE</v>
      </c>
      <c r="C513" s="19" t="s">
        <v>76</v>
      </c>
      <c r="D513" s="99">
        <v>31441546</v>
      </c>
      <c r="E513" s="6" t="s">
        <v>404</v>
      </c>
      <c r="F513" s="99">
        <v>180</v>
      </c>
      <c r="G513" s="99">
        <v>5.32</v>
      </c>
      <c r="H513" s="99">
        <f t="shared" si="20"/>
        <v>957.6</v>
      </c>
      <c r="I513" s="6" t="s">
        <v>325</v>
      </c>
      <c r="J513" s="6" t="s">
        <v>350</v>
      </c>
      <c r="K513" s="139">
        <v>46230</v>
      </c>
      <c r="L513" s="140">
        <v>46227</v>
      </c>
      <c r="M513" s="142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7">
        <v>46191</v>
      </c>
      <c r="B514" s="15" t="str">
        <f>VLOOKUP(C514,'Product List'!A:C,3,0)</f>
        <v>MMO-WAVE BRIDGE</v>
      </c>
      <c r="C514" s="19" t="s">
        <v>82</v>
      </c>
      <c r="D514" s="99">
        <v>31441546</v>
      </c>
      <c r="E514" s="6" t="s">
        <v>404</v>
      </c>
      <c r="F514" s="99">
        <v>297</v>
      </c>
      <c r="G514" s="99">
        <v>4.84</v>
      </c>
      <c r="H514" s="99">
        <f t="shared" si="20"/>
        <v>1437.48</v>
      </c>
      <c r="I514" s="6" t="s">
        <v>325</v>
      </c>
      <c r="J514" s="6" t="s">
        <v>350</v>
      </c>
      <c r="K514" s="139">
        <v>46230</v>
      </c>
      <c r="L514" s="140">
        <v>46227</v>
      </c>
      <c r="M514" s="142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7">
        <v>46191</v>
      </c>
      <c r="B515" s="15" t="str">
        <f>VLOOKUP(C515,'Product List'!A:C,3,0)</f>
        <v>MINI/MOE BENDABLE BIRCHWOOD FENCE</v>
      </c>
      <c r="C515" s="19" t="s">
        <v>34</v>
      </c>
      <c r="D515" s="99">
        <v>31441546</v>
      </c>
      <c r="E515" s="6" t="s">
        <v>404</v>
      </c>
      <c r="F515" s="99">
        <v>32</v>
      </c>
      <c r="G515" s="99">
        <v>5.01</v>
      </c>
      <c r="H515" s="99">
        <f t="shared" si="20"/>
        <v>160.32</v>
      </c>
      <c r="I515" s="6" t="s">
        <v>325</v>
      </c>
      <c r="J515" s="6" t="s">
        <v>350</v>
      </c>
      <c r="K515" s="139">
        <v>46230</v>
      </c>
      <c r="L515" s="140">
        <v>46227</v>
      </c>
      <c r="M515" s="142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7">
        <v>46191</v>
      </c>
      <c r="B516" s="15" t="str">
        <f>VLOOKUP(C516,'Product List'!A:C,3,0)</f>
        <v>MMO-BUBBLE WATER BOTTLE</v>
      </c>
      <c r="C516" s="19" t="s">
        <v>38</v>
      </c>
      <c r="D516" s="99">
        <v>31441546</v>
      </c>
      <c r="E516" s="6" t="s">
        <v>404</v>
      </c>
      <c r="F516" s="99">
        <v>294</v>
      </c>
      <c r="G516" s="99">
        <v>4.35</v>
      </c>
      <c r="H516" s="99">
        <f t="shared" si="20"/>
        <v>1278.9</v>
      </c>
      <c r="I516" s="6" t="s">
        <v>325</v>
      </c>
      <c r="J516" s="6" t="s">
        <v>350</v>
      </c>
      <c r="K516" s="139">
        <v>46230</v>
      </c>
      <c r="L516" s="140">
        <v>46227</v>
      </c>
      <c r="M516" s="142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7">
        <v>46191</v>
      </c>
      <c r="B517" s="15" t="str">
        <f>VLOOKUP(C517,'Product List'!A:C,3,0)</f>
        <v>MMO-PAPER TWIST BLU/WHT</v>
      </c>
      <c r="C517" s="19" t="s">
        <v>44</v>
      </c>
      <c r="D517" s="99">
        <v>31441546</v>
      </c>
      <c r="E517" s="6" t="s">
        <v>404</v>
      </c>
      <c r="F517" s="99">
        <v>150</v>
      </c>
      <c r="G517" s="99">
        <v>3.89</v>
      </c>
      <c r="H517" s="99">
        <f t="shared" si="20"/>
        <v>583.5</v>
      </c>
      <c r="I517" s="6" t="s">
        <v>325</v>
      </c>
      <c r="J517" s="6" t="s">
        <v>350</v>
      </c>
      <c r="K517" s="139">
        <v>46230</v>
      </c>
      <c r="L517" s="140">
        <v>46227</v>
      </c>
      <c r="M517" s="142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7">
        <v>46191</v>
      </c>
      <c r="B518" s="15" t="str">
        <f>VLOOKUP(C518,'Product List'!A:C,3,0)</f>
        <v>MMO-CLOUD WATER BOTTLE</v>
      </c>
      <c r="C518" s="19" t="s">
        <v>37</v>
      </c>
      <c r="D518" s="99">
        <v>31441546</v>
      </c>
      <c r="E518" s="6" t="s">
        <v>404</v>
      </c>
      <c r="F518" s="99">
        <v>300</v>
      </c>
      <c r="G518" s="99">
        <v>1.32</v>
      </c>
      <c r="H518" s="99">
        <f t="shared" si="20"/>
        <v>396</v>
      </c>
      <c r="I518" s="6" t="s">
        <v>325</v>
      </c>
      <c r="J518" s="6" t="s">
        <v>350</v>
      </c>
      <c r="K518" s="139">
        <v>46230</v>
      </c>
      <c r="L518" s="140">
        <v>46227</v>
      </c>
      <c r="M518" s="142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7">
        <v>46191</v>
      </c>
      <c r="B519" s="15" t="str">
        <f>VLOOKUP(C519,'Product List'!A:C,3,0)</f>
        <v>MINI/MOE RUFFLE BOWL</v>
      </c>
      <c r="C519" s="19" t="s">
        <v>83</v>
      </c>
      <c r="D519" s="99">
        <v>31441546</v>
      </c>
      <c r="E519" s="6" t="s">
        <v>404</v>
      </c>
      <c r="F519" s="99">
        <v>240</v>
      </c>
      <c r="G519" s="99">
        <v>2.35</v>
      </c>
      <c r="H519" s="99">
        <f t="shared" si="20"/>
        <v>564</v>
      </c>
      <c r="I519" s="6" t="s">
        <v>325</v>
      </c>
      <c r="J519" s="6" t="s">
        <v>350</v>
      </c>
      <c r="K519" s="139">
        <v>46230</v>
      </c>
      <c r="L519" s="140">
        <v>46227</v>
      </c>
      <c r="M519" s="142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7">
        <v>46191</v>
      </c>
      <c r="B520" s="15" t="str">
        <f>VLOOKUP(C520,'Product List'!A:C,3,0)</f>
        <v>MMO-PAPER PEBBLES</v>
      </c>
      <c r="C520" s="19" t="s">
        <v>42</v>
      </c>
      <c r="D520" s="99">
        <v>31441546</v>
      </c>
      <c r="E520" s="6" t="s">
        <v>404</v>
      </c>
      <c r="F520" s="99">
        <v>84</v>
      </c>
      <c r="G520" s="99">
        <v>5.81</v>
      </c>
      <c r="H520" s="99">
        <f t="shared" si="20"/>
        <v>488.04</v>
      </c>
      <c r="I520" s="6" t="s">
        <v>325</v>
      </c>
      <c r="J520" s="6" t="s">
        <v>350</v>
      </c>
      <c r="K520" s="139">
        <v>46230</v>
      </c>
      <c r="L520" s="140">
        <v>46227</v>
      </c>
      <c r="M520" s="142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7">
        <v>46191</v>
      </c>
      <c r="B521" s="15" t="str">
        <f>VLOOKUP(C521,'Product List'!A:C,3,0)</f>
        <v>MMO-COTTON NESTING BALLS</v>
      </c>
      <c r="C521" s="19" t="s">
        <v>43</v>
      </c>
      <c r="D521" s="99">
        <v>31441546</v>
      </c>
      <c r="E521" s="6" t="s">
        <v>404</v>
      </c>
      <c r="F521" s="99">
        <v>64</v>
      </c>
      <c r="G521" s="99">
        <v>3.37</v>
      </c>
      <c r="H521" s="99">
        <f t="shared" si="20"/>
        <v>215.68</v>
      </c>
      <c r="I521" s="6" t="s">
        <v>325</v>
      </c>
      <c r="J521" s="6" t="s">
        <v>350</v>
      </c>
      <c r="K521" s="139">
        <v>46230</v>
      </c>
      <c r="L521" s="140">
        <v>46227</v>
      </c>
      <c r="M521" s="142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7">
        <v>46191</v>
      </c>
      <c r="B522" s="15" t="str">
        <f>VLOOKUP(C522,'Product List'!A:C,3,0)</f>
        <v>MINI/MOE SILENT CRSTL RUN WHEEL LG 8.5-White</v>
      </c>
      <c r="C522" s="19" t="s">
        <v>41</v>
      </c>
      <c r="D522" s="99">
        <v>31441547</v>
      </c>
      <c r="E522" s="6" t="s">
        <v>405</v>
      </c>
      <c r="F522" s="99">
        <v>144</v>
      </c>
      <c r="G522" s="99">
        <v>13.22</v>
      </c>
      <c r="H522" s="99">
        <f t="shared" si="20"/>
        <v>1903.68</v>
      </c>
      <c r="I522" s="6" t="s">
        <v>325</v>
      </c>
      <c r="J522" s="6" t="s">
        <v>344</v>
      </c>
      <c r="K522" s="139">
        <v>46232</v>
      </c>
      <c r="L522" s="140">
        <v>46225</v>
      </c>
      <c r="M522" s="142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7">
        <v>46191</v>
      </c>
      <c r="B523" s="15" t="str">
        <f>VLOOKUP(C523,'Product List'!A:C,3,0)</f>
        <v>MMO-GREEN APPLE CHEW</v>
      </c>
      <c r="C523" s="19" t="s">
        <v>39</v>
      </c>
      <c r="D523" s="99">
        <v>31441547</v>
      </c>
      <c r="E523" s="6" t="s">
        <v>405</v>
      </c>
      <c r="F523" s="99">
        <v>96</v>
      </c>
      <c r="G523" s="99">
        <v>1.53</v>
      </c>
      <c r="H523" s="99">
        <f t="shared" si="20"/>
        <v>146.88</v>
      </c>
      <c r="I523" s="6" t="s">
        <v>325</v>
      </c>
      <c r="J523" s="6" t="s">
        <v>344</v>
      </c>
      <c r="K523" s="139">
        <v>46232</v>
      </c>
      <c r="L523" s="140">
        <v>46225</v>
      </c>
      <c r="M523" s="142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7">
        <v>46191</v>
      </c>
      <c r="B524" s="15" t="str">
        <f>VLOOKUP(C524,'Product List'!A:C,3,0)</f>
        <v>MMO-SHELL PEARL HAMSTER CHEW</v>
      </c>
      <c r="C524" s="19" t="s">
        <v>48</v>
      </c>
      <c r="D524" s="99">
        <v>31441547</v>
      </c>
      <c r="E524" s="6" t="s">
        <v>405</v>
      </c>
      <c r="F524" s="99">
        <v>64</v>
      </c>
      <c r="G524" s="99">
        <v>1.61</v>
      </c>
      <c r="H524" s="99">
        <f t="shared" si="20"/>
        <v>103.04</v>
      </c>
      <c r="I524" s="6" t="s">
        <v>325</v>
      </c>
      <c r="J524" s="6" t="s">
        <v>344</v>
      </c>
      <c r="K524" s="139">
        <v>46232</v>
      </c>
      <c r="L524" s="140">
        <v>46225</v>
      </c>
      <c r="M524" s="14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7">
        <v>46191</v>
      </c>
      <c r="B525" s="15" t="str">
        <f>VLOOKUP(C525,'Product List'!A:C,3,0)</f>
        <v>MINI/MOE TV VIEWING CAGE</v>
      </c>
      <c r="C525" s="19" t="s">
        <v>27</v>
      </c>
      <c r="D525" s="99">
        <v>31441547</v>
      </c>
      <c r="E525" s="6" t="s">
        <v>405</v>
      </c>
      <c r="F525" s="99">
        <v>131</v>
      </c>
      <c r="G525" s="99">
        <v>48.49</v>
      </c>
      <c r="H525" s="99">
        <f t="shared" si="20"/>
        <v>6352.19</v>
      </c>
      <c r="I525" s="6" t="s">
        <v>325</v>
      </c>
      <c r="J525" s="6" t="s">
        <v>344</v>
      </c>
      <c r="K525" s="139">
        <v>46232</v>
      </c>
      <c r="L525" s="140">
        <v>46225</v>
      </c>
      <c r="M525" s="142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7">
        <v>46191</v>
      </c>
      <c r="B526" s="15" t="str">
        <f>VLOOKUP(C526,'Product List'!A:C,3,0)</f>
        <v>MMO-STARFISH CASTLE</v>
      </c>
      <c r="C526" s="19" t="s">
        <v>76</v>
      </c>
      <c r="D526" s="99">
        <v>31441547</v>
      </c>
      <c r="E526" s="6" t="s">
        <v>405</v>
      </c>
      <c r="F526" s="99">
        <v>100</v>
      </c>
      <c r="G526" s="99">
        <v>5.32</v>
      </c>
      <c r="H526" s="99">
        <f t="shared" si="20"/>
        <v>532</v>
      </c>
      <c r="I526" s="6" t="s">
        <v>325</v>
      </c>
      <c r="J526" s="6" t="s">
        <v>344</v>
      </c>
      <c r="K526" s="139">
        <v>46232</v>
      </c>
      <c r="L526" s="140">
        <v>46225</v>
      </c>
      <c r="M526" s="142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7">
        <v>46191</v>
      </c>
      <c r="B527" s="15" t="str">
        <f>VLOOKUP(C527,'Product List'!A:C,3,0)</f>
        <v>MMO-WAVE BRIDGE</v>
      </c>
      <c r="C527" s="19" t="s">
        <v>82</v>
      </c>
      <c r="D527" s="99">
        <v>31441547</v>
      </c>
      <c r="E527" s="6" t="s">
        <v>405</v>
      </c>
      <c r="F527" s="99">
        <v>264</v>
      </c>
      <c r="G527" s="99">
        <v>4.84</v>
      </c>
      <c r="H527" s="99">
        <f t="shared" si="20"/>
        <v>1277.76</v>
      </c>
      <c r="I527" s="6" t="s">
        <v>325</v>
      </c>
      <c r="J527" s="6" t="s">
        <v>344</v>
      </c>
      <c r="K527" s="139">
        <v>46232</v>
      </c>
      <c r="L527" s="140">
        <v>46225</v>
      </c>
      <c r="M527" s="142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7">
        <v>46191</v>
      </c>
      <c r="B528" s="15" t="str">
        <f>VLOOKUP(C528,'Product List'!A:C,3,0)</f>
        <v>MINI/MOE BENDABLE BIRCHWOOD FENCE</v>
      </c>
      <c r="C528" s="19" t="s">
        <v>34</v>
      </c>
      <c r="D528" s="99">
        <v>31441547</v>
      </c>
      <c r="E528" s="6" t="s">
        <v>405</v>
      </c>
      <c r="F528" s="99">
        <v>96</v>
      </c>
      <c r="G528" s="99">
        <v>5.01</v>
      </c>
      <c r="H528" s="99">
        <f t="shared" si="20"/>
        <v>480.96</v>
      </c>
      <c r="I528" s="6" t="s">
        <v>325</v>
      </c>
      <c r="J528" s="6" t="s">
        <v>344</v>
      </c>
      <c r="K528" s="139">
        <v>46232</v>
      </c>
      <c r="L528" s="140">
        <v>46225</v>
      </c>
      <c r="M528" s="142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7">
        <v>46191</v>
      </c>
      <c r="B529" s="15" t="str">
        <f>VLOOKUP(C529,'Product List'!A:C,3,0)</f>
        <v>MMO-BUBBLE WATER BOTTLE</v>
      </c>
      <c r="C529" s="19" t="s">
        <v>38</v>
      </c>
      <c r="D529" s="99">
        <v>31441547</v>
      </c>
      <c r="E529" s="6" t="s">
        <v>405</v>
      </c>
      <c r="F529" s="99">
        <v>252</v>
      </c>
      <c r="G529" s="99">
        <v>4.35</v>
      </c>
      <c r="H529" s="99">
        <f t="shared" si="20"/>
        <v>1096.2</v>
      </c>
      <c r="I529" s="6" t="s">
        <v>325</v>
      </c>
      <c r="J529" s="6" t="s">
        <v>344</v>
      </c>
      <c r="K529" s="139">
        <v>46232</v>
      </c>
      <c r="L529" s="140">
        <v>46225</v>
      </c>
      <c r="M529" s="142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7">
        <v>46191</v>
      </c>
      <c r="B530" s="15" t="str">
        <f>VLOOKUP(C530,'Product List'!A:C,3,0)</f>
        <v>MMO-CLOUD WATER BOTTLE</v>
      </c>
      <c r="C530" s="19" t="s">
        <v>37</v>
      </c>
      <c r="D530" s="99">
        <v>31441547</v>
      </c>
      <c r="E530" s="6" t="s">
        <v>405</v>
      </c>
      <c r="F530" s="99">
        <v>200</v>
      </c>
      <c r="G530" s="99">
        <v>1.32</v>
      </c>
      <c r="H530" s="99">
        <f t="shared" si="20"/>
        <v>264</v>
      </c>
      <c r="I530" s="6" t="s">
        <v>325</v>
      </c>
      <c r="J530" s="6" t="s">
        <v>344</v>
      </c>
      <c r="K530" s="139">
        <v>46232</v>
      </c>
      <c r="L530" s="140">
        <v>46225</v>
      </c>
      <c r="M530" s="142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7">
        <v>46191</v>
      </c>
      <c r="B531" s="15" t="str">
        <f>VLOOKUP(C531,'Product List'!A:C,3,0)</f>
        <v>MINI/MOE RUFFLE BOWL</v>
      </c>
      <c r="C531" s="19" t="s">
        <v>83</v>
      </c>
      <c r="D531" s="99">
        <v>31441547</v>
      </c>
      <c r="E531" s="6" t="s">
        <v>405</v>
      </c>
      <c r="F531" s="99">
        <v>144</v>
      </c>
      <c r="G531" s="99">
        <v>2.35</v>
      </c>
      <c r="H531" s="99">
        <f t="shared" si="20"/>
        <v>338.4</v>
      </c>
      <c r="I531" s="6" t="s">
        <v>325</v>
      </c>
      <c r="J531" s="6" t="s">
        <v>344</v>
      </c>
      <c r="K531" s="139">
        <v>46232</v>
      </c>
      <c r="L531" s="140">
        <v>46225</v>
      </c>
      <c r="M531" s="142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7">
        <v>46191</v>
      </c>
      <c r="B532" s="15" t="str">
        <f>VLOOKUP(C532,'Product List'!A:C,3,0)</f>
        <v>MINI/MOE SILENT CRSTL RUN WHEEL LG 8.5-White</v>
      </c>
      <c r="C532" s="157" t="s">
        <v>41</v>
      </c>
      <c r="D532" s="99">
        <v>31441548</v>
      </c>
      <c r="E532" s="6" t="s">
        <v>406</v>
      </c>
      <c r="F532" s="108">
        <v>136</v>
      </c>
      <c r="G532" s="99">
        <v>13.22</v>
      </c>
      <c r="H532" s="99">
        <f t="shared" si="20"/>
        <v>1797.92</v>
      </c>
      <c r="I532" s="6" t="s">
        <v>325</v>
      </c>
      <c r="J532" s="6" t="s">
        <v>351</v>
      </c>
      <c r="K532" s="139">
        <v>46260</v>
      </c>
      <c r="L532" s="140">
        <v>46248</v>
      </c>
      <c r="M532" s="142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7">
        <v>46191</v>
      </c>
      <c r="B533" s="15" t="str">
        <f>VLOOKUP(C533,'Product List'!A:C,3,0)</f>
        <v>MMO-GREEN APPLE CHEW</v>
      </c>
      <c r="C533" s="157" t="s">
        <v>39</v>
      </c>
      <c r="D533" s="99">
        <v>31441548</v>
      </c>
      <c r="E533" s="6" t="s">
        <v>406</v>
      </c>
      <c r="F533" s="108">
        <v>192</v>
      </c>
      <c r="G533" s="99">
        <v>1.53</v>
      </c>
      <c r="H533" s="99">
        <f t="shared" si="20"/>
        <v>293.76</v>
      </c>
      <c r="I533" s="6" t="s">
        <v>325</v>
      </c>
      <c r="J533" s="6" t="s">
        <v>351</v>
      </c>
      <c r="K533" s="139">
        <v>46260</v>
      </c>
      <c r="L533" s="140">
        <v>46248</v>
      </c>
      <c r="M533" s="142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7">
        <v>46191</v>
      </c>
      <c r="B534" s="15" t="str">
        <f>VLOOKUP(C534,'Product List'!A:C,3,0)</f>
        <v>MMO-CAMP LUNCH BOX CHEW</v>
      </c>
      <c r="C534" s="157" t="s">
        <v>40</v>
      </c>
      <c r="D534" s="99">
        <v>31441548</v>
      </c>
      <c r="E534" s="6" t="s">
        <v>406</v>
      </c>
      <c r="F534" s="108">
        <v>144</v>
      </c>
      <c r="G534" s="99">
        <v>2.48</v>
      </c>
      <c r="H534" s="99">
        <f t="shared" si="20"/>
        <v>357.12</v>
      </c>
      <c r="I534" s="6" t="s">
        <v>325</v>
      </c>
      <c r="J534" s="6" t="s">
        <v>351</v>
      </c>
      <c r="K534" s="139">
        <v>46260</v>
      </c>
      <c r="L534" s="140">
        <v>46248</v>
      </c>
      <c r="M534" s="142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7">
        <v>46191</v>
      </c>
      <c r="B535" s="15" t="str">
        <f>VLOOKUP(C535,'Product List'!A:C,3,0)</f>
        <v>MMO-SHELL PEARL HAMSTER CHEW</v>
      </c>
      <c r="C535" s="157" t="s">
        <v>48</v>
      </c>
      <c r="D535" s="99">
        <v>31441548</v>
      </c>
      <c r="E535" s="6" t="s">
        <v>406</v>
      </c>
      <c r="F535" s="108">
        <v>64</v>
      </c>
      <c r="G535" s="99">
        <v>1.61</v>
      </c>
      <c r="H535" s="99">
        <f t="shared" si="20"/>
        <v>103.04</v>
      </c>
      <c r="I535" s="6" t="s">
        <v>325</v>
      </c>
      <c r="J535" s="6" t="s">
        <v>351</v>
      </c>
      <c r="K535" s="139">
        <v>46260</v>
      </c>
      <c r="L535" s="140">
        <v>46248</v>
      </c>
      <c r="M535" s="142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7">
        <v>46191</v>
      </c>
      <c r="B536" s="15" t="str">
        <f>VLOOKUP(C536,'Product List'!A:C,3,0)</f>
        <v>MINI/MOE TV VIEWING CAGE</v>
      </c>
      <c r="C536" s="157" t="s">
        <v>27</v>
      </c>
      <c r="D536" s="99">
        <v>31441548</v>
      </c>
      <c r="E536" s="6" t="s">
        <v>406</v>
      </c>
      <c r="F536" s="108">
        <v>154</v>
      </c>
      <c r="G536" s="99">
        <v>48.49</v>
      </c>
      <c r="H536" s="99">
        <f t="shared" si="20"/>
        <v>7467.46</v>
      </c>
      <c r="I536" s="6" t="s">
        <v>325</v>
      </c>
      <c r="J536" s="6" t="s">
        <v>351</v>
      </c>
      <c r="K536" s="139">
        <v>46260</v>
      </c>
      <c r="L536" s="140">
        <v>46248</v>
      </c>
      <c r="M536" s="142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7">
        <v>46191</v>
      </c>
      <c r="B537" s="15" t="str">
        <f>VLOOKUP(C537,'Product List'!A:C,3,0)</f>
        <v>MMO-STARFISH CASTLE</v>
      </c>
      <c r="C537" s="157" t="s">
        <v>76</v>
      </c>
      <c r="D537" s="99">
        <v>31441548</v>
      </c>
      <c r="E537" s="6" t="s">
        <v>406</v>
      </c>
      <c r="F537" s="108">
        <v>40</v>
      </c>
      <c r="G537" s="99">
        <v>5.32</v>
      </c>
      <c r="H537" s="99">
        <f t="shared" si="20"/>
        <v>212.8</v>
      </c>
      <c r="I537" s="6" t="s">
        <v>325</v>
      </c>
      <c r="J537" s="6" t="s">
        <v>351</v>
      </c>
      <c r="K537" s="139">
        <v>46260</v>
      </c>
      <c r="L537" s="140">
        <v>46248</v>
      </c>
      <c r="M537" s="142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7">
        <v>46191</v>
      </c>
      <c r="B538" s="15" t="str">
        <f>VLOOKUP(C538,'Product List'!A:C,3,0)</f>
        <v>MMO-WAVE BRIDGE</v>
      </c>
      <c r="C538" s="157" t="s">
        <v>82</v>
      </c>
      <c r="D538" s="99">
        <v>31441548</v>
      </c>
      <c r="E538" s="6" t="s">
        <v>406</v>
      </c>
      <c r="F538" s="108">
        <v>132</v>
      </c>
      <c r="G538" s="99">
        <v>4.84</v>
      </c>
      <c r="H538" s="99">
        <f t="shared" si="20"/>
        <v>638.88</v>
      </c>
      <c r="I538" s="6" t="s">
        <v>325</v>
      </c>
      <c r="J538" s="6" t="s">
        <v>351</v>
      </c>
      <c r="K538" s="139">
        <v>46260</v>
      </c>
      <c r="L538" s="140">
        <v>46248</v>
      </c>
      <c r="M538" s="142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7">
        <v>46191</v>
      </c>
      <c r="B539" s="15" t="str">
        <f>VLOOKUP(C539,'Product List'!A:C,3,0)</f>
        <v>MMO-BUBBLE WATER BOTTLE</v>
      </c>
      <c r="C539" s="157" t="s">
        <v>38</v>
      </c>
      <c r="D539" s="99">
        <v>31441548</v>
      </c>
      <c r="E539" s="6" t="s">
        <v>406</v>
      </c>
      <c r="F539" s="108">
        <v>252</v>
      </c>
      <c r="G539" s="99">
        <v>4.35</v>
      </c>
      <c r="H539" s="99">
        <f t="shared" si="20"/>
        <v>1096.2</v>
      </c>
      <c r="I539" s="6" t="s">
        <v>325</v>
      </c>
      <c r="J539" s="6" t="s">
        <v>351</v>
      </c>
      <c r="K539" s="139">
        <v>46260</v>
      </c>
      <c r="L539" s="140">
        <v>46248</v>
      </c>
      <c r="M539" s="142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7">
        <v>46191</v>
      </c>
      <c r="B540" s="15" t="str">
        <f>VLOOKUP(C540,'Product List'!A:C,3,0)</f>
        <v>MMO-PAPER TWIST BLU/WHT</v>
      </c>
      <c r="C540" s="157" t="s">
        <v>44</v>
      </c>
      <c r="D540" s="99">
        <v>31441548</v>
      </c>
      <c r="E540" s="6" t="s">
        <v>406</v>
      </c>
      <c r="F540" s="108">
        <v>120</v>
      </c>
      <c r="G540" s="99">
        <v>3.89</v>
      </c>
      <c r="H540" s="99">
        <f t="shared" si="20"/>
        <v>466.8</v>
      </c>
      <c r="I540" s="6" t="s">
        <v>325</v>
      </c>
      <c r="J540" s="6" t="s">
        <v>351</v>
      </c>
      <c r="K540" s="139">
        <v>46260</v>
      </c>
      <c r="L540" s="140">
        <v>46248</v>
      </c>
      <c r="M540" s="142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7">
        <v>46191</v>
      </c>
      <c r="B541" s="15" t="str">
        <f>VLOOKUP(C541,'Product List'!A:C,3,0)</f>
        <v>MMO-CLOUD WATER BOTTLE</v>
      </c>
      <c r="C541" s="157" t="s">
        <v>37</v>
      </c>
      <c r="D541" s="99">
        <v>31441548</v>
      </c>
      <c r="E541" s="6" t="s">
        <v>406</v>
      </c>
      <c r="F541" s="108">
        <v>150</v>
      </c>
      <c r="G541" s="99">
        <v>1.32</v>
      </c>
      <c r="H541" s="99">
        <f t="shared" si="20"/>
        <v>198</v>
      </c>
      <c r="I541" s="6" t="s">
        <v>325</v>
      </c>
      <c r="J541" s="6" t="s">
        <v>351</v>
      </c>
      <c r="K541" s="139">
        <v>46260</v>
      </c>
      <c r="L541" s="140">
        <v>46248</v>
      </c>
      <c r="M541" s="142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7">
        <v>46191</v>
      </c>
      <c r="B542" s="15" t="str">
        <f>VLOOKUP(C542,'Product List'!A:C,3,0)</f>
        <v>MINI/MOE RUFFLE BOWL</v>
      </c>
      <c r="C542" s="157" t="s">
        <v>83</v>
      </c>
      <c r="D542" s="99">
        <v>31441548</v>
      </c>
      <c r="E542" s="6" t="s">
        <v>406</v>
      </c>
      <c r="F542" s="108">
        <v>96</v>
      </c>
      <c r="G542" s="99">
        <v>2.35</v>
      </c>
      <c r="H542" s="99">
        <f t="shared" si="20"/>
        <v>225.6</v>
      </c>
      <c r="I542" s="6" t="s">
        <v>325</v>
      </c>
      <c r="J542" s="6" t="s">
        <v>351</v>
      </c>
      <c r="K542" s="139">
        <v>46260</v>
      </c>
      <c r="L542" s="140">
        <v>46248</v>
      </c>
      <c r="M542" s="142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7">
        <v>46191</v>
      </c>
      <c r="B543" s="15" t="str">
        <f>VLOOKUP(C543,'Product List'!A:C,3,0)</f>
        <v>MMO-PAPER PEBBLES</v>
      </c>
      <c r="C543" s="157" t="s">
        <v>42</v>
      </c>
      <c r="D543" s="99">
        <v>31441548</v>
      </c>
      <c r="E543" s="6" t="s">
        <v>406</v>
      </c>
      <c r="F543" s="108">
        <v>132</v>
      </c>
      <c r="G543" s="99">
        <v>5.81</v>
      </c>
      <c r="H543" s="99">
        <f t="shared" si="20"/>
        <v>766.92</v>
      </c>
      <c r="I543" s="6" t="s">
        <v>325</v>
      </c>
      <c r="J543" s="6" t="s">
        <v>351</v>
      </c>
      <c r="K543" s="139">
        <v>46260</v>
      </c>
      <c r="L543" s="140">
        <v>46248</v>
      </c>
      <c r="M543" s="142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7">
        <v>46191</v>
      </c>
      <c r="B544" s="15" t="str">
        <f>VLOOKUP(C544,'Product List'!A:C,3,0)</f>
        <v>MMO-COTTON NESTING BALLS</v>
      </c>
      <c r="C544" s="157" t="s">
        <v>43</v>
      </c>
      <c r="D544" s="99">
        <v>31441548</v>
      </c>
      <c r="E544" s="6" t="s">
        <v>406</v>
      </c>
      <c r="F544" s="108">
        <v>160</v>
      </c>
      <c r="G544" s="99">
        <v>3.37</v>
      </c>
      <c r="H544" s="99">
        <f t="shared" si="20"/>
        <v>539.2</v>
      </c>
      <c r="I544" s="6" t="s">
        <v>325</v>
      </c>
      <c r="J544" s="6" t="s">
        <v>351</v>
      </c>
      <c r="K544" s="139">
        <v>46260</v>
      </c>
      <c r="L544" s="140">
        <v>46248</v>
      </c>
      <c r="M544" s="142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7">
        <v>46191</v>
      </c>
      <c r="B545" s="15" t="str">
        <f>VLOOKUP(C545,'Product List'!A:C,3,0)</f>
        <v>MINI/MOE SILENT CRSTL RUN WHEEL LG 8.5-White</v>
      </c>
      <c r="C545" s="19" t="s">
        <v>41</v>
      </c>
      <c r="D545" s="99">
        <v>31441549</v>
      </c>
      <c r="E545" s="6" t="s">
        <v>407</v>
      </c>
      <c r="F545" s="99">
        <v>184</v>
      </c>
      <c r="G545" s="99">
        <v>13.22</v>
      </c>
      <c r="H545" s="99">
        <f t="shared" si="20"/>
        <v>2432.48</v>
      </c>
      <c r="I545" s="6" t="s">
        <v>325</v>
      </c>
      <c r="J545" s="6" t="s">
        <v>345</v>
      </c>
      <c r="K545" s="139">
        <v>46255</v>
      </c>
      <c r="L545" s="140">
        <v>46258</v>
      </c>
      <c r="M545" s="142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7">
        <v>46191</v>
      </c>
      <c r="B546" s="15" t="str">
        <f>VLOOKUP(C546,'Product List'!A:C,3,0)</f>
        <v>MMO-GREEN APPLE CHEW</v>
      </c>
      <c r="C546" s="19" t="s">
        <v>39</v>
      </c>
      <c r="D546" s="99">
        <v>31441549</v>
      </c>
      <c r="E546" s="6" t="s">
        <v>407</v>
      </c>
      <c r="F546" s="99">
        <v>192</v>
      </c>
      <c r="G546" s="99">
        <v>1.53</v>
      </c>
      <c r="H546" s="99">
        <f t="shared" si="20"/>
        <v>293.76</v>
      </c>
      <c r="I546" s="6" t="s">
        <v>325</v>
      </c>
      <c r="J546" s="6" t="s">
        <v>345</v>
      </c>
      <c r="K546" s="139">
        <v>46255</v>
      </c>
      <c r="L546" s="140">
        <v>46258</v>
      </c>
      <c r="M546" s="142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7">
        <v>46191</v>
      </c>
      <c r="B547" s="15" t="str">
        <f>VLOOKUP(C547,'Product List'!A:C,3,0)</f>
        <v>MMO-CAMP LUNCH BOX CHEW</v>
      </c>
      <c r="C547" s="19" t="s">
        <v>40</v>
      </c>
      <c r="D547" s="99">
        <v>31441549</v>
      </c>
      <c r="E547" s="6" t="s">
        <v>407</v>
      </c>
      <c r="F547" s="99">
        <v>144</v>
      </c>
      <c r="G547" s="99">
        <v>2.48</v>
      </c>
      <c r="H547" s="99">
        <f t="shared" si="20"/>
        <v>357.12</v>
      </c>
      <c r="I547" s="6" t="s">
        <v>325</v>
      </c>
      <c r="J547" s="6" t="s">
        <v>345</v>
      </c>
      <c r="K547" s="139">
        <v>46255</v>
      </c>
      <c r="L547" s="140">
        <v>46258</v>
      </c>
      <c r="M547" s="142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7">
        <v>46191</v>
      </c>
      <c r="B548" s="15" t="str">
        <f>VLOOKUP(C548,'Product List'!A:C,3,0)</f>
        <v>MMO-SHELL PEARL HAMSTER CHEW</v>
      </c>
      <c r="C548" s="19" t="s">
        <v>48</v>
      </c>
      <c r="D548" s="99">
        <v>31441549</v>
      </c>
      <c r="E548" s="6" t="s">
        <v>407</v>
      </c>
      <c r="F548" s="99">
        <v>128</v>
      </c>
      <c r="G548" s="99">
        <v>1.61</v>
      </c>
      <c r="H548" s="99">
        <f t="shared" si="20"/>
        <v>206.08</v>
      </c>
      <c r="I548" s="6" t="s">
        <v>325</v>
      </c>
      <c r="J548" s="6" t="s">
        <v>345</v>
      </c>
      <c r="K548" s="139">
        <v>46255</v>
      </c>
      <c r="L548" s="140">
        <v>46258</v>
      </c>
      <c r="M548" s="142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7">
        <v>46191</v>
      </c>
      <c r="B549" s="15" t="str">
        <f>VLOOKUP(C549,'Product List'!A:C,3,0)</f>
        <v>MINI/MOE TV VIEWING CAGE</v>
      </c>
      <c r="C549" s="19" t="s">
        <v>27</v>
      </c>
      <c r="D549" s="99">
        <v>31441549</v>
      </c>
      <c r="E549" s="6" t="s">
        <v>407</v>
      </c>
      <c r="F549" s="99">
        <v>99</v>
      </c>
      <c r="G549" s="99">
        <v>48.49</v>
      </c>
      <c r="H549" s="99">
        <f t="shared" si="20"/>
        <v>4800.51</v>
      </c>
      <c r="I549" s="6" t="s">
        <v>325</v>
      </c>
      <c r="J549" s="6" t="s">
        <v>345</v>
      </c>
      <c r="K549" s="139">
        <v>46255</v>
      </c>
      <c r="L549" s="140">
        <v>46258</v>
      </c>
      <c r="M549" s="142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7">
        <v>46191</v>
      </c>
      <c r="B550" s="15" t="str">
        <f>VLOOKUP(C550,'Product List'!A:C,3,0)</f>
        <v>MMO-STARFISH CASTLE</v>
      </c>
      <c r="C550" s="19" t="s">
        <v>76</v>
      </c>
      <c r="D550" s="99">
        <v>31441549</v>
      </c>
      <c r="E550" s="6" t="s">
        <v>407</v>
      </c>
      <c r="F550" s="99">
        <v>100</v>
      </c>
      <c r="G550" s="99">
        <v>5.32</v>
      </c>
      <c r="H550" s="99">
        <f t="shared" si="20"/>
        <v>532</v>
      </c>
      <c r="I550" s="6" t="s">
        <v>325</v>
      </c>
      <c r="J550" s="6" t="s">
        <v>345</v>
      </c>
      <c r="K550" s="139">
        <v>46255</v>
      </c>
      <c r="L550" s="140">
        <v>46258</v>
      </c>
      <c r="M550" s="142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7">
        <v>46191</v>
      </c>
      <c r="B551" s="15" t="str">
        <f>VLOOKUP(C551,'Product List'!A:C,3,0)</f>
        <v>MMO-WAVE BRIDGE</v>
      </c>
      <c r="C551" s="19" t="s">
        <v>82</v>
      </c>
      <c r="D551" s="99">
        <v>31441549</v>
      </c>
      <c r="E551" s="6" t="s">
        <v>407</v>
      </c>
      <c r="F551" s="99">
        <v>231</v>
      </c>
      <c r="G551" s="99">
        <v>4.84</v>
      </c>
      <c r="H551" s="99">
        <f t="shared" si="20"/>
        <v>1118.04</v>
      </c>
      <c r="I551" s="6" t="s">
        <v>325</v>
      </c>
      <c r="J551" s="6" t="s">
        <v>345</v>
      </c>
      <c r="K551" s="139">
        <v>46255</v>
      </c>
      <c r="L551" s="140">
        <v>46258</v>
      </c>
      <c r="M551" s="142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7">
        <v>46191</v>
      </c>
      <c r="B552" s="15" t="str">
        <f>VLOOKUP(C552,'Product List'!A:C,3,0)</f>
        <v>MMO-BUBBLE WATER BOTTLE</v>
      </c>
      <c r="C552" s="19" t="s">
        <v>38</v>
      </c>
      <c r="D552" s="99">
        <v>31441549</v>
      </c>
      <c r="E552" s="6" t="s">
        <v>407</v>
      </c>
      <c r="F552" s="99">
        <v>252</v>
      </c>
      <c r="G552" s="99">
        <v>4.35</v>
      </c>
      <c r="H552" s="99">
        <f t="shared" si="20"/>
        <v>1096.2</v>
      </c>
      <c r="I552" s="6" t="s">
        <v>325</v>
      </c>
      <c r="J552" s="6" t="s">
        <v>345</v>
      </c>
      <c r="K552" s="139">
        <v>46255</v>
      </c>
      <c r="L552" s="140">
        <v>46258</v>
      </c>
      <c r="M552" s="142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7">
        <v>46191</v>
      </c>
      <c r="B553" s="15" t="str">
        <f>VLOOKUP(C553,'Product List'!A:C,3,0)</f>
        <v>MMO-PAPER TWIST BLU/WHT</v>
      </c>
      <c r="C553" s="19" t="s">
        <v>44</v>
      </c>
      <c r="D553" s="99">
        <v>31441549</v>
      </c>
      <c r="E553" s="6" t="s">
        <v>407</v>
      </c>
      <c r="F553" s="99">
        <v>60</v>
      </c>
      <c r="G553" s="99">
        <v>3.89</v>
      </c>
      <c r="H553" s="99">
        <f t="shared" si="20"/>
        <v>233.4</v>
      </c>
      <c r="I553" s="6" t="s">
        <v>325</v>
      </c>
      <c r="J553" s="6" t="s">
        <v>345</v>
      </c>
      <c r="K553" s="139">
        <v>46255</v>
      </c>
      <c r="L553" s="140">
        <v>46258</v>
      </c>
      <c r="M553" s="142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7">
        <v>46191</v>
      </c>
      <c r="B554" s="15" t="str">
        <f>VLOOKUP(C554,'Product List'!A:C,3,0)</f>
        <v>MMO-CLOUD WATER BOTTLE</v>
      </c>
      <c r="C554" s="19" t="s">
        <v>37</v>
      </c>
      <c r="D554" s="99">
        <v>31441549</v>
      </c>
      <c r="E554" s="6" t="s">
        <v>407</v>
      </c>
      <c r="F554" s="99">
        <v>250</v>
      </c>
      <c r="G554" s="99">
        <v>1.32</v>
      </c>
      <c r="H554" s="99">
        <f t="shared" si="20"/>
        <v>330</v>
      </c>
      <c r="I554" s="6" t="s">
        <v>325</v>
      </c>
      <c r="J554" s="6" t="s">
        <v>345</v>
      </c>
      <c r="K554" s="139">
        <v>46255</v>
      </c>
      <c r="L554" s="140">
        <v>46258</v>
      </c>
      <c r="M554" s="142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7">
        <v>46191</v>
      </c>
      <c r="B555" s="15" t="str">
        <f>VLOOKUP(C555,'Product List'!A:C,3,0)</f>
        <v>MINI/MOE RUFFLE BOWL</v>
      </c>
      <c r="C555" s="19" t="s">
        <v>83</v>
      </c>
      <c r="D555" s="99">
        <v>31441549</v>
      </c>
      <c r="E555" s="6" t="s">
        <v>407</v>
      </c>
      <c r="F555" s="99">
        <v>144</v>
      </c>
      <c r="G555" s="99">
        <v>2.35</v>
      </c>
      <c r="H555" s="99">
        <f t="shared" si="20"/>
        <v>338.4</v>
      </c>
      <c r="I555" s="6" t="s">
        <v>325</v>
      </c>
      <c r="J555" s="6" t="s">
        <v>345</v>
      </c>
      <c r="K555" s="139">
        <v>46255</v>
      </c>
      <c r="L555" s="140">
        <v>46258</v>
      </c>
      <c r="M555" s="142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7">
        <v>46191</v>
      </c>
      <c r="B556" s="15" t="str">
        <f>VLOOKUP(C556,'Product List'!A:C,3,0)</f>
        <v>MMO-PAPER PEBBLES</v>
      </c>
      <c r="C556" s="19" t="s">
        <v>42</v>
      </c>
      <c r="D556" s="99">
        <v>31441549</v>
      </c>
      <c r="E556" s="6" t="s">
        <v>407</v>
      </c>
      <c r="F556" s="99">
        <v>48</v>
      </c>
      <c r="G556" s="99">
        <v>5.81</v>
      </c>
      <c r="H556" s="99">
        <f t="shared" si="20"/>
        <v>278.88</v>
      </c>
      <c r="I556" s="6" t="s">
        <v>325</v>
      </c>
      <c r="J556" s="6" t="s">
        <v>345</v>
      </c>
      <c r="K556" s="139">
        <v>46255</v>
      </c>
      <c r="L556" s="140">
        <v>46258</v>
      </c>
      <c r="M556" s="142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7">
        <v>46191</v>
      </c>
      <c r="B557" s="15" t="str">
        <f>VLOOKUP(C557,'Product List'!A:C,3,0)</f>
        <v>MMO-COTTON NESTING BALLS</v>
      </c>
      <c r="C557" s="19" t="s">
        <v>43</v>
      </c>
      <c r="D557" s="99">
        <v>31441549</v>
      </c>
      <c r="E557" s="6" t="s">
        <v>407</v>
      </c>
      <c r="F557" s="99">
        <v>32</v>
      </c>
      <c r="G557" s="99">
        <v>3.37</v>
      </c>
      <c r="H557" s="99">
        <f t="shared" si="20"/>
        <v>107.84</v>
      </c>
      <c r="I557" s="6" t="s">
        <v>325</v>
      </c>
      <c r="J557" s="6" t="s">
        <v>345</v>
      </c>
      <c r="K557" s="139">
        <v>46255</v>
      </c>
      <c r="L557" s="140">
        <v>46258</v>
      </c>
      <c r="M557" s="142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7">
        <v>46191</v>
      </c>
      <c r="B558" s="15" t="str">
        <f>VLOOKUP(C558,'Product List'!A:C,3,0)</f>
        <v>MINI/MOE SILENT CRSTL RUN WHEEL LG 8.5-White</v>
      </c>
      <c r="C558" s="19" t="s">
        <v>41</v>
      </c>
      <c r="D558" s="99">
        <v>31441550</v>
      </c>
      <c r="E558" s="6" t="s">
        <v>408</v>
      </c>
      <c r="F558" s="99">
        <v>208</v>
      </c>
      <c r="G558" s="99">
        <v>13.22</v>
      </c>
      <c r="H558" s="99">
        <f t="shared" si="20"/>
        <v>2749.76</v>
      </c>
      <c r="I558" s="6" t="s">
        <v>325</v>
      </c>
      <c r="J558" s="6" t="s">
        <v>347</v>
      </c>
      <c r="K558" s="139">
        <v>46232</v>
      </c>
      <c r="L558" s="140">
        <v>46231</v>
      </c>
      <c r="M558" s="142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7">
        <v>46191</v>
      </c>
      <c r="B559" s="15" t="str">
        <f>VLOOKUP(C559,'Product List'!A:C,3,0)</f>
        <v>MMO-GREEN APPLE CHEW</v>
      </c>
      <c r="C559" s="19" t="s">
        <v>39</v>
      </c>
      <c r="D559" s="99">
        <v>31441550</v>
      </c>
      <c r="E559" s="6" t="s">
        <v>408</v>
      </c>
      <c r="F559" s="99">
        <v>144</v>
      </c>
      <c r="G559" s="99">
        <v>1.53</v>
      </c>
      <c r="H559" s="99">
        <f t="shared" si="20"/>
        <v>220.32</v>
      </c>
      <c r="I559" s="6" t="s">
        <v>325</v>
      </c>
      <c r="J559" s="6" t="s">
        <v>347</v>
      </c>
      <c r="K559" s="139">
        <v>46232</v>
      </c>
      <c r="L559" s="140">
        <v>46231</v>
      </c>
      <c r="M559" s="142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7">
        <v>46191</v>
      </c>
      <c r="B560" s="15" t="str">
        <f>VLOOKUP(C560,'Product List'!A:C,3,0)</f>
        <v>MMO-CAMP LUNCH BOX CHEW</v>
      </c>
      <c r="C560" s="19" t="s">
        <v>40</v>
      </c>
      <c r="D560" s="99">
        <v>31441550</v>
      </c>
      <c r="E560" s="6" t="s">
        <v>408</v>
      </c>
      <c r="F560" s="99">
        <v>144</v>
      </c>
      <c r="G560" s="99">
        <v>2.48</v>
      </c>
      <c r="H560" s="99">
        <f t="shared" si="20"/>
        <v>357.12</v>
      </c>
      <c r="I560" s="6" t="s">
        <v>325</v>
      </c>
      <c r="J560" s="6" t="s">
        <v>347</v>
      </c>
      <c r="K560" s="139">
        <v>46232</v>
      </c>
      <c r="L560" s="140">
        <v>46231</v>
      </c>
      <c r="M560" s="142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7">
        <v>46191</v>
      </c>
      <c r="B561" s="15" t="str">
        <f>VLOOKUP(C561,'Product List'!A:C,3,0)</f>
        <v>MMO-SHELL PEARL HAMSTER CHEW</v>
      </c>
      <c r="C561" s="19" t="s">
        <v>48</v>
      </c>
      <c r="D561" s="99">
        <v>31441550</v>
      </c>
      <c r="E561" s="6" t="s">
        <v>408</v>
      </c>
      <c r="F561" s="99">
        <v>64</v>
      </c>
      <c r="G561" s="99">
        <v>1.61</v>
      </c>
      <c r="H561" s="99">
        <f t="shared" si="20"/>
        <v>103.04</v>
      </c>
      <c r="I561" s="6" t="s">
        <v>325</v>
      </c>
      <c r="J561" s="6" t="s">
        <v>347</v>
      </c>
      <c r="K561" s="139">
        <v>46232</v>
      </c>
      <c r="L561" s="140">
        <v>46231</v>
      </c>
      <c r="M561" s="142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7">
        <v>46191</v>
      </c>
      <c r="B562" s="15" t="str">
        <f>VLOOKUP(C562,'Product List'!A:C,3,0)</f>
        <v>MINI/MOE TV VIEWING CAGE</v>
      </c>
      <c r="C562" s="19" t="s">
        <v>27</v>
      </c>
      <c r="D562" s="99">
        <v>31441550</v>
      </c>
      <c r="E562" s="6" t="s">
        <v>408</v>
      </c>
      <c r="F562" s="99">
        <v>125</v>
      </c>
      <c r="G562" s="99">
        <v>48.49</v>
      </c>
      <c r="H562" s="99">
        <f t="shared" si="20"/>
        <v>6061.25</v>
      </c>
      <c r="I562" s="6" t="s">
        <v>325</v>
      </c>
      <c r="J562" s="6" t="s">
        <v>347</v>
      </c>
      <c r="K562" s="139">
        <v>46232</v>
      </c>
      <c r="L562" s="140">
        <v>46231</v>
      </c>
      <c r="M562" s="142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7">
        <v>46191</v>
      </c>
      <c r="B563" s="15" t="str">
        <f>VLOOKUP(C563,'Product List'!A:C,3,0)</f>
        <v>MMO-STARFISH CASTLE</v>
      </c>
      <c r="C563" s="19" t="s">
        <v>76</v>
      </c>
      <c r="D563" s="99">
        <v>31441550</v>
      </c>
      <c r="E563" s="6" t="s">
        <v>408</v>
      </c>
      <c r="F563" s="99">
        <v>60</v>
      </c>
      <c r="G563" s="99">
        <v>5.32</v>
      </c>
      <c r="H563" s="99">
        <f t="shared" si="20"/>
        <v>319.2</v>
      </c>
      <c r="I563" s="6" t="s">
        <v>325</v>
      </c>
      <c r="J563" s="6" t="s">
        <v>347</v>
      </c>
      <c r="K563" s="139">
        <v>46232</v>
      </c>
      <c r="L563" s="140">
        <v>46231</v>
      </c>
      <c r="M563" s="142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7">
        <v>46191</v>
      </c>
      <c r="B564" s="15" t="str">
        <f>VLOOKUP(C564,'Product List'!A:C,3,0)</f>
        <v>MMO-WAVE BRIDGE</v>
      </c>
      <c r="C564" s="19" t="s">
        <v>82</v>
      </c>
      <c r="D564" s="99">
        <v>31441550</v>
      </c>
      <c r="E564" s="6" t="s">
        <v>408</v>
      </c>
      <c r="F564" s="99">
        <v>231</v>
      </c>
      <c r="G564" s="99">
        <v>4.84</v>
      </c>
      <c r="H564" s="99">
        <f t="shared" si="20"/>
        <v>1118.04</v>
      </c>
      <c r="I564" s="6" t="s">
        <v>325</v>
      </c>
      <c r="J564" s="6" t="s">
        <v>347</v>
      </c>
      <c r="K564" s="139">
        <v>46232</v>
      </c>
      <c r="L564" s="140">
        <v>46231</v>
      </c>
      <c r="M564" s="142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7">
        <v>46191</v>
      </c>
      <c r="B565" s="15" t="str">
        <f>VLOOKUP(C565,'Product List'!A:C,3,0)</f>
        <v>MMO-BUBBLE WATER BOTTLE</v>
      </c>
      <c r="C565" s="19" t="s">
        <v>38</v>
      </c>
      <c r="D565" s="99">
        <v>31441550</v>
      </c>
      <c r="E565" s="6" t="s">
        <v>408</v>
      </c>
      <c r="F565" s="99">
        <v>210</v>
      </c>
      <c r="G565" s="99">
        <v>4.35</v>
      </c>
      <c r="H565" s="99">
        <f t="shared" si="20"/>
        <v>913.5</v>
      </c>
      <c r="I565" s="6" t="s">
        <v>325</v>
      </c>
      <c r="J565" s="6" t="s">
        <v>347</v>
      </c>
      <c r="K565" s="139">
        <v>46232</v>
      </c>
      <c r="L565" s="140">
        <v>46231</v>
      </c>
      <c r="M565" s="142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7">
        <v>46191</v>
      </c>
      <c r="B566" s="15" t="str">
        <f>VLOOKUP(C566,'Product List'!A:C,3,0)</f>
        <v>MMO-CLOUD WATER BOTTLE</v>
      </c>
      <c r="C566" s="19" t="s">
        <v>37</v>
      </c>
      <c r="D566" s="99">
        <v>31441550</v>
      </c>
      <c r="E566" s="6" t="s">
        <v>408</v>
      </c>
      <c r="F566" s="99">
        <v>200</v>
      </c>
      <c r="G566" s="99">
        <v>1.32</v>
      </c>
      <c r="H566" s="99">
        <f t="shared" si="20"/>
        <v>264</v>
      </c>
      <c r="I566" s="6" t="s">
        <v>325</v>
      </c>
      <c r="J566" s="6" t="s">
        <v>347</v>
      </c>
      <c r="K566" s="139">
        <v>46232</v>
      </c>
      <c r="L566" s="140">
        <v>46231</v>
      </c>
      <c r="M566" s="142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7">
        <v>46191</v>
      </c>
      <c r="B567" s="15" t="str">
        <f>VLOOKUP(C567,'Product List'!A:C,3,0)</f>
        <v>MINI/MOE RUFFLE BOWL</v>
      </c>
      <c r="C567" s="19" t="s">
        <v>83</v>
      </c>
      <c r="D567" s="99">
        <v>31441550</v>
      </c>
      <c r="E567" s="6" t="s">
        <v>408</v>
      </c>
      <c r="F567" s="99">
        <v>144</v>
      </c>
      <c r="G567" s="99">
        <v>2.35</v>
      </c>
      <c r="H567" s="99">
        <f t="shared" si="20"/>
        <v>338.4</v>
      </c>
      <c r="I567" s="6" t="s">
        <v>325</v>
      </c>
      <c r="J567" s="6" t="s">
        <v>347</v>
      </c>
      <c r="K567" s="139">
        <v>46232</v>
      </c>
      <c r="L567" s="140">
        <v>46231</v>
      </c>
      <c r="M567" s="142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7">
        <v>46191</v>
      </c>
      <c r="B568" s="15" t="str">
        <f>VLOOKUP(C568,'Product List'!A:C,3,0)</f>
        <v>MMO-COTTON NESTING BALLS</v>
      </c>
      <c r="C568" s="19" t="s">
        <v>43</v>
      </c>
      <c r="D568" s="99">
        <v>31441550</v>
      </c>
      <c r="E568" s="6" t="s">
        <v>408</v>
      </c>
      <c r="F568" s="99">
        <v>32</v>
      </c>
      <c r="G568" s="99">
        <v>3.37</v>
      </c>
      <c r="H568" s="99">
        <f t="shared" si="20"/>
        <v>107.84</v>
      </c>
      <c r="I568" s="6" t="s">
        <v>325</v>
      </c>
      <c r="J568" s="6" t="s">
        <v>347</v>
      </c>
      <c r="K568" s="139">
        <v>46232</v>
      </c>
      <c r="L568" s="140">
        <v>46231</v>
      </c>
      <c r="M568" s="142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7">
        <v>46191</v>
      </c>
      <c r="B569" s="15" t="str">
        <f>VLOOKUP(C569,'Product List'!A:C,3,0)</f>
        <v>MINI/MOE SILENT CRSTL RUN WHEEL LG 8.5-White</v>
      </c>
      <c r="C569" s="19" t="s">
        <v>41</v>
      </c>
      <c r="D569" s="99">
        <v>31441551</v>
      </c>
      <c r="E569" s="6" t="s">
        <v>409</v>
      </c>
      <c r="F569" s="99">
        <v>200</v>
      </c>
      <c r="G569" s="99">
        <v>13.22</v>
      </c>
      <c r="H569" s="99">
        <f t="shared" si="20"/>
        <v>2644</v>
      </c>
      <c r="I569" s="6" t="s">
        <v>325</v>
      </c>
      <c r="J569" s="6" t="s">
        <v>355</v>
      </c>
      <c r="K569" s="139">
        <v>46232</v>
      </c>
      <c r="L569" s="140">
        <v>46227</v>
      </c>
      <c r="M569" s="142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7">
        <v>46191</v>
      </c>
      <c r="B570" s="15" t="str">
        <f>VLOOKUP(C570,'Product List'!A:C,3,0)</f>
        <v>MMO-SHELL PEARL HAMSTER CHEW</v>
      </c>
      <c r="C570" s="158" t="s">
        <v>48</v>
      </c>
      <c r="D570" s="99">
        <v>31441551</v>
      </c>
      <c r="E570" s="6" t="s">
        <v>409</v>
      </c>
      <c r="F570" s="99">
        <v>128</v>
      </c>
      <c r="G570" s="99">
        <v>1.61</v>
      </c>
      <c r="H570" s="99">
        <f t="shared" si="20"/>
        <v>206.08</v>
      </c>
      <c r="I570" s="6" t="s">
        <v>325</v>
      </c>
      <c r="J570" s="6" t="s">
        <v>355</v>
      </c>
      <c r="K570" s="139">
        <v>46232</v>
      </c>
      <c r="L570" s="140">
        <v>46227</v>
      </c>
      <c r="M570" s="142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7">
        <v>46191</v>
      </c>
      <c r="B571" s="15" t="str">
        <f>VLOOKUP(C571,'Product List'!A:C,3,0)</f>
        <v>MINI/MOE TV VIEWING CAGE</v>
      </c>
      <c r="C571" s="158" t="s">
        <v>27</v>
      </c>
      <c r="D571" s="99">
        <v>31441551</v>
      </c>
      <c r="E571" s="6" t="s">
        <v>409</v>
      </c>
      <c r="F571" s="99">
        <v>226</v>
      </c>
      <c r="G571" s="99">
        <v>48.49</v>
      </c>
      <c r="H571" s="99">
        <f t="shared" si="20"/>
        <v>10958.74</v>
      </c>
      <c r="I571" s="6" t="s">
        <v>325</v>
      </c>
      <c r="J571" s="6" t="s">
        <v>355</v>
      </c>
      <c r="K571" s="139">
        <v>46232</v>
      </c>
      <c r="L571" s="140">
        <v>46227</v>
      </c>
      <c r="M571" s="142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7">
        <v>46191</v>
      </c>
      <c r="B572" s="15" t="str">
        <f>VLOOKUP(C572,'Product List'!A:C,3,0)</f>
        <v>MMO-STARFISH CASTLE</v>
      </c>
      <c r="C572" s="158" t="s">
        <v>76</v>
      </c>
      <c r="D572" s="99">
        <v>31441551</v>
      </c>
      <c r="E572" s="6" t="s">
        <v>409</v>
      </c>
      <c r="F572" s="99">
        <v>180</v>
      </c>
      <c r="G572" s="99">
        <v>5.32</v>
      </c>
      <c r="H572" s="99">
        <f t="shared" si="20"/>
        <v>957.6</v>
      </c>
      <c r="I572" s="6" t="s">
        <v>325</v>
      </c>
      <c r="J572" s="6" t="s">
        <v>355</v>
      </c>
      <c r="K572" s="139">
        <v>46232</v>
      </c>
      <c r="L572" s="140">
        <v>46227</v>
      </c>
      <c r="M572" s="142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7">
        <v>46191</v>
      </c>
      <c r="B573" s="15" t="str">
        <f>VLOOKUP(C573,'Product List'!A:C,3,0)</f>
        <v>MMO-WAVE BRIDGE</v>
      </c>
      <c r="C573" s="19" t="s">
        <v>82</v>
      </c>
      <c r="D573" s="99">
        <v>31441551</v>
      </c>
      <c r="E573" s="6" t="s">
        <v>409</v>
      </c>
      <c r="F573" s="99">
        <v>429</v>
      </c>
      <c r="G573" s="99">
        <v>4.84</v>
      </c>
      <c r="H573" s="99">
        <f t="shared" si="20"/>
        <v>2076.36</v>
      </c>
      <c r="I573" s="6" t="s">
        <v>325</v>
      </c>
      <c r="J573" s="6" t="s">
        <v>355</v>
      </c>
      <c r="K573" s="139">
        <v>46232</v>
      </c>
      <c r="L573" s="140">
        <v>46227</v>
      </c>
      <c r="M573" s="142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7">
        <v>46191</v>
      </c>
      <c r="B574" s="15" t="str">
        <f>VLOOKUP(C574,'Product List'!A:C,3,0)</f>
        <v>MINI/MOE BENDABLE BIRCHWOOD FENCE</v>
      </c>
      <c r="C574" s="158" t="s">
        <v>34</v>
      </c>
      <c r="D574" s="19">
        <v>31441551</v>
      </c>
      <c r="E574" s="6" t="s">
        <v>409</v>
      </c>
      <c r="F574" s="99">
        <v>96</v>
      </c>
      <c r="G574" s="99">
        <v>5.01</v>
      </c>
      <c r="H574" s="99">
        <f t="shared" si="20"/>
        <v>480.96</v>
      </c>
      <c r="I574" s="6" t="s">
        <v>325</v>
      </c>
      <c r="J574" s="6" t="s">
        <v>355</v>
      </c>
      <c r="K574" s="139">
        <v>46232</v>
      </c>
      <c r="L574" s="140">
        <v>46227</v>
      </c>
      <c r="M574" s="142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7">
        <v>46191</v>
      </c>
      <c r="B575" s="15" t="str">
        <f>VLOOKUP(C575,'Product List'!A:C,3,0)</f>
        <v>MMO-BUBBLE WATER BOTTLE</v>
      </c>
      <c r="C575" s="158" t="s">
        <v>38</v>
      </c>
      <c r="D575" s="19">
        <v>31441551</v>
      </c>
      <c r="E575" s="6" t="s">
        <v>409</v>
      </c>
      <c r="F575" s="99">
        <v>336</v>
      </c>
      <c r="G575" s="99">
        <v>4.35</v>
      </c>
      <c r="H575" s="99">
        <f t="shared" si="20"/>
        <v>1461.6</v>
      </c>
      <c r="I575" s="6" t="s">
        <v>325</v>
      </c>
      <c r="J575" s="6" t="s">
        <v>355</v>
      </c>
      <c r="K575" s="139">
        <v>46232</v>
      </c>
      <c r="L575" s="140">
        <v>46227</v>
      </c>
      <c r="M575" s="142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7">
        <v>46191</v>
      </c>
      <c r="B576" s="15" t="str">
        <f>VLOOKUP(C576,'Product List'!A:C,3,0)</f>
        <v>MMO-PAPER TWIST BLU/WHT</v>
      </c>
      <c r="C576" s="19" t="s">
        <v>44</v>
      </c>
      <c r="D576" s="19">
        <v>31441551</v>
      </c>
      <c r="E576" s="6" t="s">
        <v>409</v>
      </c>
      <c r="F576" s="99">
        <v>150</v>
      </c>
      <c r="G576" s="99">
        <v>3.89</v>
      </c>
      <c r="H576" s="99">
        <f>F576*G576</f>
        <v>583.5</v>
      </c>
      <c r="I576" s="6" t="s">
        <v>325</v>
      </c>
      <c r="J576" s="6" t="s">
        <v>355</v>
      </c>
      <c r="K576" s="139">
        <v>46232</v>
      </c>
      <c r="L576" s="140">
        <v>46227</v>
      </c>
      <c r="M576" s="142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7">
        <v>46191</v>
      </c>
      <c r="B577" s="15" t="str">
        <f>VLOOKUP(C577,'Product List'!A:C,3,0)</f>
        <v>MMO-CLOUD WATER BOTTLE</v>
      </c>
      <c r="C577" s="19" t="s">
        <v>37</v>
      </c>
      <c r="D577" s="19">
        <v>31441551</v>
      </c>
      <c r="E577" s="6" t="s">
        <v>409</v>
      </c>
      <c r="F577" s="99">
        <v>400</v>
      </c>
      <c r="G577" s="99">
        <v>1.32</v>
      </c>
      <c r="H577" s="99">
        <f>F577*G577</f>
        <v>528</v>
      </c>
      <c r="I577" s="6" t="s">
        <v>325</v>
      </c>
      <c r="J577" s="6" t="s">
        <v>355</v>
      </c>
      <c r="K577" s="139">
        <v>46232</v>
      </c>
      <c r="L577" s="140">
        <v>46227</v>
      </c>
      <c r="M577" s="142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7">
        <v>46191</v>
      </c>
      <c r="B578" s="15" t="str">
        <f>VLOOKUP(C578,'Product List'!A:C,3,0)</f>
        <v>MINI/MOE RUFFLE BOWL</v>
      </c>
      <c r="C578" s="19" t="s">
        <v>83</v>
      </c>
      <c r="D578" s="19">
        <v>31441551</v>
      </c>
      <c r="E578" s="6" t="s">
        <v>409</v>
      </c>
      <c r="F578" s="99">
        <v>336</v>
      </c>
      <c r="G578" s="99">
        <v>2.35</v>
      </c>
      <c r="H578" s="99">
        <f>F578*G578</f>
        <v>789.6</v>
      </c>
      <c r="I578" s="6" t="s">
        <v>325</v>
      </c>
      <c r="J578" s="6" t="s">
        <v>355</v>
      </c>
      <c r="K578" s="139">
        <v>46232</v>
      </c>
      <c r="L578" s="140">
        <v>46227</v>
      </c>
      <c r="M578" s="142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7">
        <v>46191</v>
      </c>
      <c r="B579" s="15" t="str">
        <f>VLOOKUP(C579,'Product List'!A:C,3,0)</f>
        <v>MMO-PAPER PEBBLES</v>
      </c>
      <c r="C579" s="19" t="s">
        <v>42</v>
      </c>
      <c r="D579" s="19">
        <v>31441551</v>
      </c>
      <c r="E579" s="6" t="s">
        <v>409</v>
      </c>
      <c r="F579" s="99">
        <v>120</v>
      </c>
      <c r="G579" s="99">
        <v>5.81</v>
      </c>
      <c r="H579" s="99">
        <f>F579*G579</f>
        <v>697.2</v>
      </c>
      <c r="I579" s="6" t="s">
        <v>325</v>
      </c>
      <c r="J579" s="6" t="s">
        <v>355</v>
      </c>
      <c r="K579" s="139">
        <v>46232</v>
      </c>
      <c r="L579" s="140">
        <v>46227</v>
      </c>
      <c r="M579" s="142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7">
        <v>46191</v>
      </c>
      <c r="B580" s="15" t="str">
        <f>VLOOKUP(C580,'Product List'!A:C,3,0)</f>
        <v>MMO-COTTON NESTING BALLS</v>
      </c>
      <c r="C580" s="19" t="s">
        <v>43</v>
      </c>
      <c r="D580" s="19">
        <v>31441551</v>
      </c>
      <c r="E580" s="6" t="s">
        <v>409</v>
      </c>
      <c r="F580" s="99">
        <v>192</v>
      </c>
      <c r="G580" s="99">
        <v>3.37</v>
      </c>
      <c r="H580" s="99">
        <f>F580*G580</f>
        <v>647.04</v>
      </c>
      <c r="I580" s="6" t="s">
        <v>325</v>
      </c>
      <c r="J580" s="6" t="s">
        <v>355</v>
      </c>
      <c r="K580" s="139">
        <v>46232</v>
      </c>
      <c r="L580" s="140">
        <v>46227</v>
      </c>
      <c r="M580" s="142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7">
        <v>46198</v>
      </c>
      <c r="B581" s="15" t="str">
        <f>VLOOKUP(C581,'Product List'!A:C,3,0)</f>
        <v>MMO-GREEN APPLE CHEW</v>
      </c>
      <c r="C581" s="19" t="s">
        <v>39</v>
      </c>
      <c r="D581" s="99">
        <v>31496998</v>
      </c>
      <c r="E581" s="6" t="s">
        <v>410</v>
      </c>
      <c r="F581" s="99">
        <v>144</v>
      </c>
      <c r="G581" s="99">
        <v>1.53</v>
      </c>
      <c r="H581" s="99">
        <f t="shared" ref="H581:H644" si="23">F581*G581</f>
        <v>220.32</v>
      </c>
      <c r="I581" s="6" t="s">
        <v>325</v>
      </c>
      <c r="J581" s="6" t="s">
        <v>350</v>
      </c>
      <c r="K581" s="139">
        <v>46260</v>
      </c>
      <c r="L581" s="140">
        <v>46251</v>
      </c>
      <c r="M581" s="142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7">
        <v>46198</v>
      </c>
      <c r="B582" s="15" t="str">
        <f>VLOOKUP(C582,'Product List'!A:C,3,0)</f>
        <v>MMO-CAMP LUNCH BOX CHEW</v>
      </c>
      <c r="C582" s="19" t="s">
        <v>40</v>
      </c>
      <c r="D582" s="99">
        <v>31496998</v>
      </c>
      <c r="E582" s="6" t="s">
        <v>410</v>
      </c>
      <c r="F582" s="99">
        <v>144</v>
      </c>
      <c r="G582" s="99">
        <v>2.48</v>
      </c>
      <c r="H582" s="99">
        <f t="shared" si="23"/>
        <v>357.12</v>
      </c>
      <c r="I582" s="6" t="s">
        <v>325</v>
      </c>
      <c r="J582" s="6" t="s">
        <v>350</v>
      </c>
      <c r="K582" s="139">
        <v>46260</v>
      </c>
      <c r="L582" s="140">
        <v>46251</v>
      </c>
      <c r="M582" s="142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7">
        <v>46198</v>
      </c>
      <c r="B583" s="15" t="str">
        <f>VLOOKUP(C583,'Product List'!A:C,3,0)</f>
        <v>MMO-SHELL PEARL HAMSTER CHEW</v>
      </c>
      <c r="C583" s="19" t="s">
        <v>48</v>
      </c>
      <c r="D583" s="99">
        <v>31496998</v>
      </c>
      <c r="E583" s="6" t="s">
        <v>410</v>
      </c>
      <c r="F583" s="99">
        <v>256</v>
      </c>
      <c r="G583" s="99">
        <v>1.61</v>
      </c>
      <c r="H583" s="99">
        <f t="shared" si="23"/>
        <v>412.16</v>
      </c>
      <c r="I583" s="6" t="s">
        <v>325</v>
      </c>
      <c r="J583" s="6" t="s">
        <v>350</v>
      </c>
      <c r="K583" s="139">
        <v>46260</v>
      </c>
      <c r="L583" s="140">
        <v>46251</v>
      </c>
      <c r="M583" s="142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7">
        <v>46198</v>
      </c>
      <c r="B584" s="15" t="str">
        <f>VLOOKUP(C584,'Product List'!A:C,3,0)</f>
        <v>MINI/MOE TV VIEWING CAGE</v>
      </c>
      <c r="C584" s="19" t="s">
        <v>27</v>
      </c>
      <c r="D584" s="99">
        <v>31496998</v>
      </c>
      <c r="E584" s="6" t="s">
        <v>410</v>
      </c>
      <c r="F584" s="99">
        <v>196</v>
      </c>
      <c r="G584" s="99">
        <v>48.49</v>
      </c>
      <c r="H584" s="99">
        <f t="shared" si="23"/>
        <v>9504.04</v>
      </c>
      <c r="I584" s="6" t="s">
        <v>325</v>
      </c>
      <c r="J584" s="6" t="s">
        <v>350</v>
      </c>
      <c r="K584" s="139">
        <v>46260</v>
      </c>
      <c r="L584" s="140">
        <v>46251</v>
      </c>
      <c r="M584" s="142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7">
        <v>46198</v>
      </c>
      <c r="B585" s="15" t="str">
        <f>VLOOKUP(C585,'Product List'!A:C,3,0)</f>
        <v>MMO-STARFISH CASTLE</v>
      </c>
      <c r="C585" s="19" t="s">
        <v>76</v>
      </c>
      <c r="D585" s="99">
        <v>31496998</v>
      </c>
      <c r="E585" s="6" t="s">
        <v>410</v>
      </c>
      <c r="F585" s="99">
        <v>140</v>
      </c>
      <c r="G585" s="99">
        <v>5.32</v>
      </c>
      <c r="H585" s="99">
        <f t="shared" si="23"/>
        <v>744.8</v>
      </c>
      <c r="I585" s="6" t="s">
        <v>325</v>
      </c>
      <c r="J585" s="6" t="s">
        <v>350</v>
      </c>
      <c r="K585" s="139">
        <v>46260</v>
      </c>
      <c r="L585" s="140">
        <v>46251</v>
      </c>
      <c r="M585" s="142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7">
        <v>46198</v>
      </c>
      <c r="B586" s="15" t="str">
        <f>VLOOKUP(C586,'Product List'!A:C,3,0)</f>
        <v>MINI/MOE BENDABLE BIRCHWOOD FENCE</v>
      </c>
      <c r="C586" s="19" t="s">
        <v>34</v>
      </c>
      <c r="D586" s="99">
        <v>31496998</v>
      </c>
      <c r="E586" s="6" t="s">
        <v>410</v>
      </c>
      <c r="F586" s="99">
        <v>64</v>
      </c>
      <c r="G586" s="99">
        <v>5.01</v>
      </c>
      <c r="H586" s="99">
        <f t="shared" si="23"/>
        <v>320.64</v>
      </c>
      <c r="I586" s="6" t="s">
        <v>325</v>
      </c>
      <c r="J586" s="6" t="s">
        <v>350</v>
      </c>
      <c r="K586" s="139">
        <v>46260</v>
      </c>
      <c r="L586" s="140">
        <v>46251</v>
      </c>
      <c r="M586" s="142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7">
        <v>46198</v>
      </c>
      <c r="B587" s="15" t="str">
        <f>VLOOKUP(C587,'Product List'!A:C,3,0)</f>
        <v>MMO-BUBBLE WATER BOTTLE</v>
      </c>
      <c r="C587" s="19" t="s">
        <v>38</v>
      </c>
      <c r="D587" s="99">
        <v>31496998</v>
      </c>
      <c r="E587" s="6" t="s">
        <v>410</v>
      </c>
      <c r="F587" s="99">
        <v>168</v>
      </c>
      <c r="G587" s="99">
        <v>4.35</v>
      </c>
      <c r="H587" s="99">
        <f t="shared" si="23"/>
        <v>730.8</v>
      </c>
      <c r="I587" s="6" t="s">
        <v>325</v>
      </c>
      <c r="J587" s="6" t="s">
        <v>350</v>
      </c>
      <c r="K587" s="139">
        <v>46260</v>
      </c>
      <c r="L587" s="140">
        <v>46251</v>
      </c>
      <c r="M587" s="142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7">
        <v>46198</v>
      </c>
      <c r="B588" s="15" t="str">
        <f>VLOOKUP(C588,'Product List'!A:C,3,0)</f>
        <v>MMO-PAPER TWIST BLU/WHT</v>
      </c>
      <c r="C588" s="19" t="s">
        <v>44</v>
      </c>
      <c r="D588" s="99">
        <v>31496998</v>
      </c>
      <c r="E588" s="6" t="s">
        <v>410</v>
      </c>
      <c r="F588" s="99">
        <v>150</v>
      </c>
      <c r="G588" s="99">
        <v>3.89</v>
      </c>
      <c r="H588" s="99">
        <f t="shared" si="23"/>
        <v>583.5</v>
      </c>
      <c r="I588" s="6" t="s">
        <v>325</v>
      </c>
      <c r="J588" s="6" t="s">
        <v>350</v>
      </c>
      <c r="K588" s="139">
        <v>46260</v>
      </c>
      <c r="L588" s="140">
        <v>46251</v>
      </c>
      <c r="M588" s="142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7">
        <v>46198</v>
      </c>
      <c r="B589" s="15" t="str">
        <f>VLOOKUP(C589,'Product List'!A:C,3,0)</f>
        <v>MMO-CLOUD WATER BOTTLE</v>
      </c>
      <c r="C589" s="19" t="s">
        <v>37</v>
      </c>
      <c r="D589" s="99">
        <v>31496998</v>
      </c>
      <c r="E589" s="6" t="s">
        <v>410</v>
      </c>
      <c r="F589" s="99">
        <v>100</v>
      </c>
      <c r="G589" s="99">
        <v>1.32</v>
      </c>
      <c r="H589" s="99">
        <f t="shared" si="23"/>
        <v>132</v>
      </c>
      <c r="I589" s="6" t="s">
        <v>325</v>
      </c>
      <c r="J589" s="6" t="s">
        <v>350</v>
      </c>
      <c r="K589" s="139">
        <v>46260</v>
      </c>
      <c r="L589" s="140">
        <v>46251</v>
      </c>
      <c r="M589" s="142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7">
        <v>46198</v>
      </c>
      <c r="B590" s="15" t="str">
        <f>VLOOKUP(C590,'Product List'!A:C,3,0)</f>
        <v>MINI/MOE RUFFLE BOWL</v>
      </c>
      <c r="C590" s="19" t="s">
        <v>83</v>
      </c>
      <c r="D590" s="99">
        <v>31496998</v>
      </c>
      <c r="E590" s="6" t="s">
        <v>410</v>
      </c>
      <c r="F590" s="99">
        <v>144</v>
      </c>
      <c r="G590" s="99">
        <v>2.35</v>
      </c>
      <c r="H590" s="99">
        <f t="shared" si="23"/>
        <v>338.4</v>
      </c>
      <c r="I590" s="6" t="s">
        <v>325</v>
      </c>
      <c r="J590" s="6" t="s">
        <v>350</v>
      </c>
      <c r="K590" s="139">
        <v>46260</v>
      </c>
      <c r="L590" s="140">
        <v>46251</v>
      </c>
      <c r="M590" s="142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7">
        <v>46198</v>
      </c>
      <c r="B591" s="15" t="str">
        <f>VLOOKUP(C591,'Product List'!A:C,3,0)</f>
        <v>MMO-PAPER PEBBLES</v>
      </c>
      <c r="C591" s="19" t="s">
        <v>42</v>
      </c>
      <c r="D591" s="99">
        <v>31496998</v>
      </c>
      <c r="E591" s="6" t="s">
        <v>410</v>
      </c>
      <c r="F591" s="99">
        <v>108</v>
      </c>
      <c r="G591" s="99">
        <v>5.81</v>
      </c>
      <c r="H591" s="99">
        <f t="shared" si="23"/>
        <v>627.48</v>
      </c>
      <c r="I591" s="6" t="s">
        <v>325</v>
      </c>
      <c r="J591" s="6" t="s">
        <v>350</v>
      </c>
      <c r="K591" s="139">
        <v>46260</v>
      </c>
      <c r="L591" s="140">
        <v>46251</v>
      </c>
      <c r="M591" s="142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7">
        <v>46198</v>
      </c>
      <c r="B592" s="15" t="str">
        <f>VLOOKUP(C592,'Product List'!A:C,3,0)</f>
        <v>MMO-COTTON NESTING BALLS</v>
      </c>
      <c r="C592" s="19" t="s">
        <v>43</v>
      </c>
      <c r="D592" s="99">
        <v>31496998</v>
      </c>
      <c r="E592" s="6" t="s">
        <v>410</v>
      </c>
      <c r="F592" s="99">
        <v>160</v>
      </c>
      <c r="G592" s="99">
        <v>3.37</v>
      </c>
      <c r="H592" s="99">
        <f t="shared" si="23"/>
        <v>539.2</v>
      </c>
      <c r="I592" s="6" t="s">
        <v>325</v>
      </c>
      <c r="J592" s="6" t="s">
        <v>350</v>
      </c>
      <c r="K592" s="139">
        <v>46260</v>
      </c>
      <c r="L592" s="140">
        <v>46251</v>
      </c>
      <c r="M592" s="142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7">
        <v>46198</v>
      </c>
      <c r="B593" s="27" t="str">
        <f>VLOOKUP(C593,'Product List'!A:C,3,0)</f>
        <v>MMO-CAMP LUNCH BOX CHEW</v>
      </c>
      <c r="C593" s="154" t="s">
        <v>40</v>
      </c>
      <c r="D593" s="156">
        <v>31496999</v>
      </c>
      <c r="E593" s="6" t="s">
        <v>411</v>
      </c>
      <c r="F593" s="99">
        <v>72</v>
      </c>
      <c r="G593" s="99">
        <v>2.48</v>
      </c>
      <c r="H593" s="99">
        <f t="shared" si="23"/>
        <v>178.56</v>
      </c>
      <c r="I593" s="6" t="s">
        <v>325</v>
      </c>
      <c r="J593" s="6" t="s">
        <v>344</v>
      </c>
      <c r="K593" s="139">
        <v>46260</v>
      </c>
      <c r="L593" s="140">
        <v>46253</v>
      </c>
      <c r="M593" s="142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7">
        <v>46198</v>
      </c>
      <c r="B594" s="27" t="str">
        <f>VLOOKUP(C594,'Product List'!A:C,3,0)</f>
        <v>MMO-SHELL PEARL HAMSTER CHEW</v>
      </c>
      <c r="C594" s="154" t="s">
        <v>48</v>
      </c>
      <c r="D594" s="156">
        <v>31496999</v>
      </c>
      <c r="E594" s="6" t="s">
        <v>411</v>
      </c>
      <c r="F594" s="99">
        <v>64</v>
      </c>
      <c r="G594" s="99">
        <v>1.61</v>
      </c>
      <c r="H594" s="99">
        <f t="shared" si="23"/>
        <v>103.04</v>
      </c>
      <c r="I594" s="6" t="s">
        <v>325</v>
      </c>
      <c r="J594" s="6" t="s">
        <v>344</v>
      </c>
      <c r="K594" s="139">
        <v>46260</v>
      </c>
      <c r="L594" s="140">
        <v>46253</v>
      </c>
      <c r="M594" s="142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7">
        <v>46198</v>
      </c>
      <c r="B595" s="27" t="str">
        <f>VLOOKUP(C595,'Product List'!A:C,3,0)</f>
        <v>MINI/MOE TV VIEWING CAGE</v>
      </c>
      <c r="C595" s="154" t="s">
        <v>27</v>
      </c>
      <c r="D595" s="156">
        <v>31496999</v>
      </c>
      <c r="E595" s="6" t="s">
        <v>411</v>
      </c>
      <c r="F595" s="99">
        <v>48</v>
      </c>
      <c r="G595" s="99">
        <v>48.49</v>
      </c>
      <c r="H595" s="99">
        <f t="shared" si="23"/>
        <v>2327.52</v>
      </c>
      <c r="I595" s="6" t="s">
        <v>325</v>
      </c>
      <c r="J595" s="6" t="s">
        <v>344</v>
      </c>
      <c r="K595" s="139">
        <v>46260</v>
      </c>
      <c r="L595" s="140">
        <v>46253</v>
      </c>
      <c r="M595" s="142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7">
        <v>46198</v>
      </c>
      <c r="B596" s="27" t="str">
        <f>VLOOKUP(C596,'Product List'!A:C,3,0)</f>
        <v>MMO-STARFISH CASTLE</v>
      </c>
      <c r="C596" s="154" t="s">
        <v>76</v>
      </c>
      <c r="D596" s="156">
        <v>31496999</v>
      </c>
      <c r="E596" s="6" t="s">
        <v>411</v>
      </c>
      <c r="F596" s="99">
        <v>60</v>
      </c>
      <c r="G596" s="99">
        <v>5.32</v>
      </c>
      <c r="H596" s="99">
        <f t="shared" si="23"/>
        <v>319.2</v>
      </c>
      <c r="I596" s="6" t="s">
        <v>325</v>
      </c>
      <c r="J596" s="6" t="s">
        <v>344</v>
      </c>
      <c r="K596" s="139">
        <v>46260</v>
      </c>
      <c r="L596" s="140">
        <v>46253</v>
      </c>
      <c r="M596" s="142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7">
        <v>46198</v>
      </c>
      <c r="B597" s="27" t="str">
        <f>VLOOKUP(C597,'Product List'!A:C,3,0)</f>
        <v>MINI/MOE BENDABLE BIRCHWOOD FENCE</v>
      </c>
      <c r="C597" s="154" t="s">
        <v>34</v>
      </c>
      <c r="D597" s="156">
        <v>31496999</v>
      </c>
      <c r="E597" s="6" t="s">
        <v>411</v>
      </c>
      <c r="F597" s="99">
        <v>32</v>
      </c>
      <c r="G597" s="99">
        <v>5.01</v>
      </c>
      <c r="H597" s="99">
        <f t="shared" si="23"/>
        <v>160.32</v>
      </c>
      <c r="I597" s="6" t="s">
        <v>325</v>
      </c>
      <c r="J597" s="6" t="s">
        <v>344</v>
      </c>
      <c r="K597" s="139">
        <v>46260</v>
      </c>
      <c r="L597" s="140">
        <v>46253</v>
      </c>
      <c r="M597" s="142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7">
        <v>46198</v>
      </c>
      <c r="B598" s="27" t="str">
        <f>VLOOKUP(C598,'Product List'!A:C,3,0)</f>
        <v>MMO-PAPER TWIST BLU/WHT</v>
      </c>
      <c r="C598" s="154" t="s">
        <v>44</v>
      </c>
      <c r="D598" s="156">
        <v>31496999</v>
      </c>
      <c r="E598" s="6" t="s">
        <v>411</v>
      </c>
      <c r="F598" s="99">
        <v>90</v>
      </c>
      <c r="G598" s="99">
        <v>3.89</v>
      </c>
      <c r="H598" s="99">
        <f t="shared" si="23"/>
        <v>350.1</v>
      </c>
      <c r="I598" s="6" t="s">
        <v>325</v>
      </c>
      <c r="J598" s="6" t="s">
        <v>344</v>
      </c>
      <c r="K598" s="139">
        <v>46260</v>
      </c>
      <c r="L598" s="140">
        <v>46253</v>
      </c>
      <c r="M598" s="142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7">
        <v>46198</v>
      </c>
      <c r="B599" s="27" t="str">
        <f>VLOOKUP(C599,'Product List'!A:C,3,0)</f>
        <v>MMO-PAPER PEBBLES</v>
      </c>
      <c r="C599" s="154" t="s">
        <v>42</v>
      </c>
      <c r="D599" s="156">
        <v>31496999</v>
      </c>
      <c r="E599" s="6" t="s">
        <v>411</v>
      </c>
      <c r="F599" s="99">
        <v>72</v>
      </c>
      <c r="G599" s="99">
        <v>5.81</v>
      </c>
      <c r="H599" s="99">
        <f t="shared" si="23"/>
        <v>418.32</v>
      </c>
      <c r="I599" s="6" t="s">
        <v>325</v>
      </c>
      <c r="J599" s="6" t="s">
        <v>344</v>
      </c>
      <c r="K599" s="139">
        <v>46260</v>
      </c>
      <c r="L599" s="140">
        <v>46253</v>
      </c>
      <c r="M599" s="142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7">
        <v>46198</v>
      </c>
      <c r="B600" s="27" t="str">
        <f>VLOOKUP(C600,'Product List'!A:C,3,0)</f>
        <v>MMO-COTTON NESTING BALLS</v>
      </c>
      <c r="C600" s="154" t="s">
        <v>43</v>
      </c>
      <c r="D600" s="156">
        <v>31496999</v>
      </c>
      <c r="E600" s="6" t="s">
        <v>411</v>
      </c>
      <c r="F600" s="99">
        <v>96</v>
      </c>
      <c r="G600" s="99">
        <v>3.37</v>
      </c>
      <c r="H600" s="99">
        <f t="shared" si="23"/>
        <v>323.52</v>
      </c>
      <c r="I600" s="6" t="s">
        <v>325</v>
      </c>
      <c r="J600" s="6" t="s">
        <v>344</v>
      </c>
      <c r="K600" s="139">
        <v>46260</v>
      </c>
      <c r="L600" s="140">
        <v>46253</v>
      </c>
      <c r="M600" s="142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7">
        <v>46198</v>
      </c>
      <c r="B601" s="15" t="str">
        <f>VLOOKUP(C601,'Product List'!A:C,3,0)</f>
        <v>MMO-GREEN APPLE CHEW</v>
      </c>
      <c r="C601" s="19" t="s">
        <v>39</v>
      </c>
      <c r="D601" s="99">
        <v>31497000</v>
      </c>
      <c r="E601" s="6" t="s">
        <v>412</v>
      </c>
      <c r="F601" s="99">
        <v>48</v>
      </c>
      <c r="G601" s="99">
        <v>1.53</v>
      </c>
      <c r="H601" s="99">
        <f t="shared" si="23"/>
        <v>73.44</v>
      </c>
      <c r="I601" s="6" t="s">
        <v>325</v>
      </c>
      <c r="J601" s="6" t="s">
        <v>345</v>
      </c>
      <c r="K601" s="139">
        <v>46253</v>
      </c>
      <c r="L601" s="140">
        <v>46253</v>
      </c>
      <c r="M601" s="142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7">
        <v>46198</v>
      </c>
      <c r="B602" s="15" t="str">
        <f>VLOOKUP(C602,'Product List'!A:C,3,0)</f>
        <v>MMO-SHELL PEARL HAMSTER CHEW</v>
      </c>
      <c r="C602" s="19" t="s">
        <v>48</v>
      </c>
      <c r="D602" s="99">
        <v>31497000</v>
      </c>
      <c r="E602" s="6" t="s">
        <v>412</v>
      </c>
      <c r="F602" s="99">
        <v>64</v>
      </c>
      <c r="G602" s="99">
        <v>1.61</v>
      </c>
      <c r="H602" s="99">
        <f t="shared" si="23"/>
        <v>103.04</v>
      </c>
      <c r="I602" s="6" t="s">
        <v>325</v>
      </c>
      <c r="J602" s="6" t="s">
        <v>345</v>
      </c>
      <c r="K602" s="139">
        <v>46253</v>
      </c>
      <c r="L602" s="140">
        <v>46253</v>
      </c>
      <c r="M602" s="142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7">
        <v>46198</v>
      </c>
      <c r="B603" s="15" t="str">
        <f>VLOOKUP(C603,'Product List'!A:C,3,0)</f>
        <v>MINI/MOE TV VIEWING CAGE</v>
      </c>
      <c r="C603" s="19" t="s">
        <v>27</v>
      </c>
      <c r="D603" s="99">
        <v>31497000</v>
      </c>
      <c r="E603" s="6" t="s">
        <v>412</v>
      </c>
      <c r="F603" s="99">
        <v>57</v>
      </c>
      <c r="G603" s="99">
        <v>48.49</v>
      </c>
      <c r="H603" s="99">
        <f t="shared" si="23"/>
        <v>2763.93</v>
      </c>
      <c r="I603" s="6" t="s">
        <v>325</v>
      </c>
      <c r="J603" s="6" t="s">
        <v>345</v>
      </c>
      <c r="K603" s="139">
        <v>46253</v>
      </c>
      <c r="L603" s="140">
        <v>46253</v>
      </c>
      <c r="M603" s="142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7">
        <v>46198</v>
      </c>
      <c r="B604" s="15" t="str">
        <f>VLOOKUP(C604,'Product List'!A:C,3,0)</f>
        <v>MMO-STARFISH CASTLE</v>
      </c>
      <c r="C604" s="19" t="s">
        <v>76</v>
      </c>
      <c r="D604" s="99">
        <v>31497000</v>
      </c>
      <c r="E604" s="6" t="s">
        <v>412</v>
      </c>
      <c r="F604" s="99">
        <v>40</v>
      </c>
      <c r="G604" s="99">
        <v>5.32</v>
      </c>
      <c r="H604" s="99">
        <f t="shared" si="23"/>
        <v>212.8</v>
      </c>
      <c r="I604" s="6" t="s">
        <v>325</v>
      </c>
      <c r="J604" s="6" t="s">
        <v>345</v>
      </c>
      <c r="K604" s="139">
        <v>46253</v>
      </c>
      <c r="L604" s="140">
        <v>46253</v>
      </c>
      <c r="M604" s="142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7">
        <v>46198</v>
      </c>
      <c r="B605" s="15" t="str">
        <f>VLOOKUP(C605,'Product List'!A:C,3,0)</f>
        <v>MINI/MOE BENDABLE BIRCHWOOD FENCE</v>
      </c>
      <c r="C605" s="19" t="s">
        <v>34</v>
      </c>
      <c r="D605" s="99">
        <v>31497000</v>
      </c>
      <c r="E605" s="6" t="s">
        <v>412</v>
      </c>
      <c r="F605" s="99">
        <v>96</v>
      </c>
      <c r="G605" s="99">
        <v>5.01</v>
      </c>
      <c r="H605" s="99">
        <f t="shared" si="23"/>
        <v>480.96</v>
      </c>
      <c r="I605" s="6" t="s">
        <v>325</v>
      </c>
      <c r="J605" s="6" t="s">
        <v>345</v>
      </c>
      <c r="K605" s="139">
        <v>46253</v>
      </c>
      <c r="L605" s="140">
        <v>46253</v>
      </c>
      <c r="M605" s="142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7">
        <v>46198</v>
      </c>
      <c r="B606" s="15" t="str">
        <f>VLOOKUP(C606,'Product List'!A:C,3,0)</f>
        <v>MMO-BUBBLE WATER BOTTLE</v>
      </c>
      <c r="C606" s="19" t="s">
        <v>38</v>
      </c>
      <c r="D606" s="99">
        <v>31497000</v>
      </c>
      <c r="E606" s="6" t="s">
        <v>412</v>
      </c>
      <c r="F606" s="99">
        <v>42</v>
      </c>
      <c r="G606" s="99">
        <v>4.35</v>
      </c>
      <c r="H606" s="99">
        <f t="shared" si="23"/>
        <v>182.7</v>
      </c>
      <c r="I606" s="6" t="s">
        <v>325</v>
      </c>
      <c r="J606" s="6" t="s">
        <v>345</v>
      </c>
      <c r="K606" s="139">
        <v>46253</v>
      </c>
      <c r="L606" s="140">
        <v>46253</v>
      </c>
      <c r="M606" s="142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7">
        <v>46198</v>
      </c>
      <c r="B607" s="15" t="str">
        <f>VLOOKUP(C607,'Product List'!A:C,3,0)</f>
        <v>MMO-PAPER TWIST BLU/WHT</v>
      </c>
      <c r="C607" s="19" t="s">
        <v>44</v>
      </c>
      <c r="D607" s="99">
        <v>31497000</v>
      </c>
      <c r="E607" s="6" t="s">
        <v>412</v>
      </c>
      <c r="F607" s="99">
        <v>150</v>
      </c>
      <c r="G607" s="99">
        <v>3.89</v>
      </c>
      <c r="H607" s="99">
        <f t="shared" si="23"/>
        <v>583.5</v>
      </c>
      <c r="I607" s="6" t="s">
        <v>325</v>
      </c>
      <c r="J607" s="6" t="s">
        <v>345</v>
      </c>
      <c r="K607" s="139">
        <v>46253</v>
      </c>
      <c r="L607" s="140">
        <v>46253</v>
      </c>
      <c r="M607" s="142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7">
        <v>46198</v>
      </c>
      <c r="B608" s="15" t="str">
        <f>VLOOKUP(C608,'Product List'!A:C,3,0)</f>
        <v>MINI/MOE RUFFLE BOWL</v>
      </c>
      <c r="C608" s="19" t="s">
        <v>83</v>
      </c>
      <c r="D608" s="99">
        <v>31497000</v>
      </c>
      <c r="E608" s="6" t="s">
        <v>412</v>
      </c>
      <c r="F608" s="99">
        <v>48</v>
      </c>
      <c r="G608" s="99">
        <v>2.35</v>
      </c>
      <c r="H608" s="99">
        <f t="shared" si="23"/>
        <v>112.8</v>
      </c>
      <c r="I608" s="6" t="s">
        <v>325</v>
      </c>
      <c r="J608" s="6" t="s">
        <v>345</v>
      </c>
      <c r="K608" s="139">
        <v>46253</v>
      </c>
      <c r="L608" s="140">
        <v>46253</v>
      </c>
      <c r="M608" s="142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7">
        <v>46198</v>
      </c>
      <c r="B609" s="15" t="str">
        <f>VLOOKUP(C609,'Product List'!A:C,3,0)</f>
        <v>MMO-PAPER PEBBLES</v>
      </c>
      <c r="C609" s="19" t="s">
        <v>42</v>
      </c>
      <c r="D609" s="99">
        <v>31497000</v>
      </c>
      <c r="E609" s="6" t="s">
        <v>412</v>
      </c>
      <c r="F609" s="99">
        <v>108</v>
      </c>
      <c r="G609" s="99">
        <v>5.81</v>
      </c>
      <c r="H609" s="99">
        <f t="shared" si="23"/>
        <v>627.48</v>
      </c>
      <c r="I609" s="6" t="s">
        <v>325</v>
      </c>
      <c r="J609" s="6" t="s">
        <v>345</v>
      </c>
      <c r="K609" s="139">
        <v>46253</v>
      </c>
      <c r="L609" s="140">
        <v>46253</v>
      </c>
      <c r="M609" s="142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7">
        <v>46198</v>
      </c>
      <c r="B610" s="15" t="str">
        <f>VLOOKUP(C610,'Product List'!A:C,3,0)</f>
        <v>MMO-COTTON NESTING BALLS</v>
      </c>
      <c r="C610" s="19" t="s">
        <v>43</v>
      </c>
      <c r="D610" s="99">
        <v>31497000</v>
      </c>
      <c r="E610" s="6" t="s">
        <v>412</v>
      </c>
      <c r="F610" s="99">
        <v>96</v>
      </c>
      <c r="G610" s="99">
        <v>3.37</v>
      </c>
      <c r="H610" s="99">
        <f t="shared" si="23"/>
        <v>323.52</v>
      </c>
      <c r="I610" s="6" t="s">
        <v>325</v>
      </c>
      <c r="J610" s="6" t="s">
        <v>345</v>
      </c>
      <c r="K610" s="139">
        <v>46253</v>
      </c>
      <c r="L610" s="140">
        <v>46253</v>
      </c>
      <c r="M610" s="142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7">
        <v>46198</v>
      </c>
      <c r="B611" s="15" t="str">
        <f>VLOOKUP(C611,'Product List'!A:C,3,0)</f>
        <v>MMO-GREEN APPLE CHEW</v>
      </c>
      <c r="C611" s="19" t="s">
        <v>39</v>
      </c>
      <c r="D611" s="99">
        <v>31497001</v>
      </c>
      <c r="E611" s="6" t="s">
        <v>413</v>
      </c>
      <c r="F611" s="99">
        <v>144</v>
      </c>
      <c r="G611" s="99">
        <v>1.53</v>
      </c>
      <c r="H611" s="99">
        <f t="shared" si="23"/>
        <v>220.32</v>
      </c>
      <c r="I611" s="6" t="s">
        <v>325</v>
      </c>
      <c r="J611" s="6" t="s">
        <v>355</v>
      </c>
      <c r="K611" s="139">
        <v>46265</v>
      </c>
      <c r="L611" s="140">
        <v>46253</v>
      </c>
      <c r="M611" s="142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7">
        <v>46198</v>
      </c>
      <c r="B612" s="15" t="str">
        <f>VLOOKUP(C612,'Product List'!A:C,3,0)</f>
        <v>MMO-CAMP LUNCH BOX CHEW</v>
      </c>
      <c r="C612" s="19" t="s">
        <v>40</v>
      </c>
      <c r="D612" s="99">
        <v>31497001</v>
      </c>
      <c r="E612" s="6" t="s">
        <v>413</v>
      </c>
      <c r="F612" s="99">
        <v>144</v>
      </c>
      <c r="G612" s="99">
        <v>2.48</v>
      </c>
      <c r="H612" s="99">
        <f t="shared" si="23"/>
        <v>357.12</v>
      </c>
      <c r="I612" s="6" t="s">
        <v>325</v>
      </c>
      <c r="J612" s="6" t="s">
        <v>355</v>
      </c>
      <c r="K612" s="139">
        <v>46265</v>
      </c>
      <c r="L612" s="140">
        <v>46253</v>
      </c>
      <c r="M612" s="142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7">
        <v>46198</v>
      </c>
      <c r="B613" s="15" t="str">
        <f>VLOOKUP(C613,'Product List'!A:C,3,0)</f>
        <v>MMO-SHELL PEARL HAMSTER CHEW</v>
      </c>
      <c r="C613" s="19" t="s">
        <v>48</v>
      </c>
      <c r="D613" s="99">
        <v>31497001</v>
      </c>
      <c r="E613" s="6" t="s">
        <v>413</v>
      </c>
      <c r="F613" s="99">
        <v>64</v>
      </c>
      <c r="G613" s="99">
        <v>1.61</v>
      </c>
      <c r="H613" s="99">
        <f t="shared" si="23"/>
        <v>103.04</v>
      </c>
      <c r="I613" s="6" t="s">
        <v>325</v>
      </c>
      <c r="J613" s="6" t="s">
        <v>355</v>
      </c>
      <c r="K613" s="139">
        <v>46265</v>
      </c>
      <c r="L613" s="140">
        <v>46253</v>
      </c>
      <c r="M613" s="142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7">
        <v>46198</v>
      </c>
      <c r="B614" s="15" t="str">
        <f>VLOOKUP(C614,'Product List'!A:C,3,0)</f>
        <v>MINI/MOE TV VIEWING CAGE</v>
      </c>
      <c r="C614" s="19" t="s">
        <v>27</v>
      </c>
      <c r="D614" s="99">
        <v>31497001</v>
      </c>
      <c r="E614" s="6" t="s">
        <v>413</v>
      </c>
      <c r="F614" s="99">
        <v>171</v>
      </c>
      <c r="G614" s="99">
        <v>48.49</v>
      </c>
      <c r="H614" s="99">
        <f t="shared" si="23"/>
        <v>8291.79</v>
      </c>
      <c r="I614" s="6" t="s">
        <v>325</v>
      </c>
      <c r="J614" s="6" t="s">
        <v>355</v>
      </c>
      <c r="K614" s="139">
        <v>46265</v>
      </c>
      <c r="L614" s="140">
        <v>46253</v>
      </c>
      <c r="M614" s="142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7">
        <v>46198</v>
      </c>
      <c r="B615" s="15" t="str">
        <f>VLOOKUP(C615,'Product List'!A:C,3,0)</f>
        <v>MMO-STARFISH CASTLE</v>
      </c>
      <c r="C615" s="19" t="s">
        <v>76</v>
      </c>
      <c r="D615" s="99">
        <v>31497001</v>
      </c>
      <c r="E615" s="6" t="s">
        <v>413</v>
      </c>
      <c r="F615" s="99">
        <v>220</v>
      </c>
      <c r="G615" s="99">
        <v>5.32</v>
      </c>
      <c r="H615" s="99">
        <f t="shared" si="23"/>
        <v>1170.4</v>
      </c>
      <c r="I615" s="6" t="s">
        <v>325</v>
      </c>
      <c r="J615" s="6" t="s">
        <v>355</v>
      </c>
      <c r="K615" s="139">
        <v>46265</v>
      </c>
      <c r="L615" s="140">
        <v>46253</v>
      </c>
      <c r="M615" s="142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7">
        <v>46198</v>
      </c>
      <c r="B616" s="15" t="str">
        <f>VLOOKUP(C616,'Product List'!A:C,3,0)</f>
        <v>MINI/MOE BENDABLE BIRCHWOOD FENCE</v>
      </c>
      <c r="C616" s="19" t="s">
        <v>34</v>
      </c>
      <c r="D616" s="99">
        <v>31497001</v>
      </c>
      <c r="E616" s="6" t="s">
        <v>413</v>
      </c>
      <c r="F616" s="99">
        <v>128</v>
      </c>
      <c r="G616" s="99">
        <v>5.01</v>
      </c>
      <c r="H616" s="99">
        <f t="shared" si="23"/>
        <v>641.28</v>
      </c>
      <c r="I616" s="6" t="s">
        <v>325</v>
      </c>
      <c r="J616" s="6" t="s">
        <v>355</v>
      </c>
      <c r="K616" s="139">
        <v>46265</v>
      </c>
      <c r="L616" s="140">
        <v>46253</v>
      </c>
      <c r="M616" s="142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7">
        <v>46198</v>
      </c>
      <c r="B617" s="15" t="str">
        <f>VLOOKUP(C617,'Product List'!A:C,3,0)</f>
        <v>MMO-BUBBLE WATER BOTTLE</v>
      </c>
      <c r="C617" s="19" t="s">
        <v>38</v>
      </c>
      <c r="D617" s="99">
        <v>31497001</v>
      </c>
      <c r="E617" s="6" t="s">
        <v>413</v>
      </c>
      <c r="F617" s="99">
        <v>210</v>
      </c>
      <c r="G617" s="99">
        <v>4.35</v>
      </c>
      <c r="H617" s="99">
        <f t="shared" si="23"/>
        <v>913.5</v>
      </c>
      <c r="I617" s="6" t="s">
        <v>325</v>
      </c>
      <c r="J617" s="6" t="s">
        <v>355</v>
      </c>
      <c r="K617" s="139">
        <v>46265</v>
      </c>
      <c r="L617" s="140">
        <v>46253</v>
      </c>
      <c r="M617" s="142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7">
        <v>46198</v>
      </c>
      <c r="B618" s="15" t="str">
        <f>VLOOKUP(C618,'Product List'!A:C,3,0)</f>
        <v>MMO-PAPER TWIST BLU/WHT</v>
      </c>
      <c r="C618" s="19" t="s">
        <v>44</v>
      </c>
      <c r="D618" s="99">
        <v>31497001</v>
      </c>
      <c r="E618" s="6" t="s">
        <v>413</v>
      </c>
      <c r="F618" s="99">
        <v>210</v>
      </c>
      <c r="G618" s="99">
        <v>3.89</v>
      </c>
      <c r="H618" s="99">
        <f t="shared" si="23"/>
        <v>816.9</v>
      </c>
      <c r="I618" s="6" t="s">
        <v>325</v>
      </c>
      <c r="J618" s="6" t="s">
        <v>355</v>
      </c>
      <c r="K618" s="139">
        <v>46265</v>
      </c>
      <c r="L618" s="140">
        <v>46253</v>
      </c>
      <c r="M618" s="142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7">
        <v>46198</v>
      </c>
      <c r="B619" s="15" t="str">
        <f>VLOOKUP(C619,'Product List'!A:C,3,0)</f>
        <v>MMO-CLOUD WATER BOTTLE</v>
      </c>
      <c r="C619" s="158" t="s">
        <v>37</v>
      </c>
      <c r="D619" s="99">
        <v>31497001</v>
      </c>
      <c r="E619" s="6" t="s">
        <v>413</v>
      </c>
      <c r="F619" s="99">
        <v>150</v>
      </c>
      <c r="G619" s="99">
        <v>1.32</v>
      </c>
      <c r="H619" s="99">
        <f t="shared" si="23"/>
        <v>198</v>
      </c>
      <c r="I619" s="6" t="s">
        <v>325</v>
      </c>
      <c r="J619" s="6" t="s">
        <v>355</v>
      </c>
      <c r="K619" s="139">
        <v>46265</v>
      </c>
      <c r="L619" s="140">
        <v>46253</v>
      </c>
      <c r="M619" s="142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7">
        <v>46198</v>
      </c>
      <c r="B620" s="15" t="str">
        <f>VLOOKUP(C620,'Product List'!A:C,3,0)</f>
        <v>MINI/MOE RUFFLE BOWL</v>
      </c>
      <c r="C620" s="158" t="s">
        <v>83</v>
      </c>
      <c r="D620" s="99">
        <v>31497001</v>
      </c>
      <c r="E620" s="6" t="s">
        <v>413</v>
      </c>
      <c r="F620" s="99">
        <v>192</v>
      </c>
      <c r="G620" s="99">
        <v>2.35</v>
      </c>
      <c r="H620" s="99">
        <f t="shared" si="23"/>
        <v>451.2</v>
      </c>
      <c r="I620" s="6" t="s">
        <v>325</v>
      </c>
      <c r="J620" s="6" t="s">
        <v>355</v>
      </c>
      <c r="K620" s="139">
        <v>46265</v>
      </c>
      <c r="L620" s="140">
        <v>46253</v>
      </c>
      <c r="M620" s="142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7">
        <v>46198</v>
      </c>
      <c r="B621" s="15" t="str">
        <f>VLOOKUP(C621,'Product List'!A:C,3,0)</f>
        <v>MMO-PAPER PEBBLES</v>
      </c>
      <c r="C621" s="158" t="s">
        <v>42</v>
      </c>
      <c r="D621" s="99">
        <v>31497001</v>
      </c>
      <c r="E621" s="6" t="s">
        <v>413</v>
      </c>
      <c r="F621" s="99">
        <v>132</v>
      </c>
      <c r="G621" s="99">
        <v>5.81</v>
      </c>
      <c r="H621" s="99">
        <f t="shared" si="23"/>
        <v>766.92</v>
      </c>
      <c r="I621" s="6" t="s">
        <v>325</v>
      </c>
      <c r="J621" s="6" t="s">
        <v>355</v>
      </c>
      <c r="K621" s="139">
        <v>46265</v>
      </c>
      <c r="L621" s="140">
        <v>46253</v>
      </c>
      <c r="M621" s="142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7">
        <v>46198</v>
      </c>
      <c r="B622" s="15" t="str">
        <f>VLOOKUP(C622,'Product List'!A:C,3,0)</f>
        <v>MMO-COTTON NESTING BALLS</v>
      </c>
      <c r="C622" s="158" t="s">
        <v>43</v>
      </c>
      <c r="D622" s="99">
        <v>31497001</v>
      </c>
      <c r="E622" s="6" t="s">
        <v>413</v>
      </c>
      <c r="F622" s="99">
        <v>128</v>
      </c>
      <c r="G622" s="99">
        <v>3.37</v>
      </c>
      <c r="H622" s="99">
        <f t="shared" si="23"/>
        <v>431.36</v>
      </c>
      <c r="I622" s="6" t="s">
        <v>325</v>
      </c>
      <c r="J622" s="6" t="s">
        <v>355</v>
      </c>
      <c r="K622" s="139">
        <v>46265</v>
      </c>
      <c r="L622" s="140">
        <v>46253</v>
      </c>
      <c r="M622" s="142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7">
        <v>46202</v>
      </c>
      <c r="B623" s="15" t="str">
        <f>VLOOKUP(C623,'Product List'!A:C,3,0)</f>
        <v>MMO-CLOUD WATER BOTTLE</v>
      </c>
      <c r="C623" s="159" t="s">
        <v>37</v>
      </c>
      <c r="D623" s="19" t="s">
        <v>414</v>
      </c>
      <c r="E623" s="6"/>
      <c r="F623" s="99">
        <v>2280</v>
      </c>
      <c r="G623" s="99"/>
      <c r="H623" s="99"/>
      <c r="I623" s="19" t="s">
        <v>414</v>
      </c>
      <c r="J623" s="19" t="s">
        <v>414</v>
      </c>
      <c r="K623" s="139">
        <v>46265</v>
      </c>
      <c r="L623" s="139">
        <v>46265</v>
      </c>
      <c r="M623" s="142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7">
        <v>46202</v>
      </c>
      <c r="B624" s="15" t="str">
        <f>VLOOKUP(C624,'Product List'!A:C,3,0)</f>
        <v>MINI/MOE TULIP WATER BOTTLE</v>
      </c>
      <c r="C624" s="160" t="s">
        <v>29</v>
      </c>
      <c r="D624" s="19" t="s">
        <v>414</v>
      </c>
      <c r="E624" s="6"/>
      <c r="F624" s="99">
        <v>1560</v>
      </c>
      <c r="G624" s="99"/>
      <c r="H624" s="99"/>
      <c r="I624" s="19" t="s">
        <v>414</v>
      </c>
      <c r="J624" s="19" t="s">
        <v>414</v>
      </c>
      <c r="K624" s="139">
        <v>46265</v>
      </c>
      <c r="L624" s="139">
        <v>46265</v>
      </c>
      <c r="M624" s="142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7">
        <v>46202</v>
      </c>
      <c r="B625" s="15" t="str">
        <f>VLOOKUP(C625,'Product List'!A:C,3,0)</f>
        <v>Simple Rabbit Hay Feeder</v>
      </c>
      <c r="C625" s="160" t="s">
        <v>86</v>
      </c>
      <c r="D625" s="19" t="s">
        <v>414</v>
      </c>
      <c r="E625" s="6"/>
      <c r="F625" s="99">
        <v>1116</v>
      </c>
      <c r="G625" s="99"/>
      <c r="H625" s="99"/>
      <c r="I625" s="19" t="s">
        <v>414</v>
      </c>
      <c r="J625" s="19" t="s">
        <v>414</v>
      </c>
      <c r="K625" s="139">
        <v>46265</v>
      </c>
      <c r="L625" s="139">
        <v>46265</v>
      </c>
      <c r="M625" s="142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7">
        <v>46202</v>
      </c>
      <c r="B626" s="15" t="str">
        <f>VLOOKUP(C626,'Product List'!A:C,3,0)</f>
        <v>Rabbit Drinking Bottle (250ml)</v>
      </c>
      <c r="C626" s="160" t="s">
        <v>84</v>
      </c>
      <c r="D626" s="19" t="s">
        <v>414</v>
      </c>
      <c r="E626" s="6"/>
      <c r="F626" s="99">
        <v>1560</v>
      </c>
      <c r="G626" s="99"/>
      <c r="H626" s="99"/>
      <c r="I626" s="19" t="s">
        <v>414</v>
      </c>
      <c r="J626" s="19" t="s">
        <v>414</v>
      </c>
      <c r="K626" s="139">
        <v>46265</v>
      </c>
      <c r="L626" s="139">
        <v>46265</v>
      </c>
      <c r="M626" s="142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7">
        <v>46202</v>
      </c>
      <c r="B627" s="15" t="str">
        <f>VLOOKUP(C627,'Product List'!A:C,3,0)</f>
        <v>Rabbit Drinking Bottle (500ml)</v>
      </c>
      <c r="C627" s="160" t="s">
        <v>85</v>
      </c>
      <c r="D627" s="19" t="s">
        <v>414</v>
      </c>
      <c r="E627" s="6"/>
      <c r="F627" s="99">
        <v>1440</v>
      </c>
      <c r="G627" s="99"/>
      <c r="H627" s="99"/>
      <c r="I627" s="19" t="s">
        <v>414</v>
      </c>
      <c r="J627" s="19" t="s">
        <v>414</v>
      </c>
      <c r="K627" s="139">
        <v>46265</v>
      </c>
      <c r="L627" s="139">
        <v>46265</v>
      </c>
      <c r="M627" s="142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7">
        <v>46202</v>
      </c>
      <c r="B628" s="15" t="str">
        <f>VLOOKUP(C628,'Product List'!A:C,3,0)</f>
        <v>Rabbit Drinking Bottle (750ml)</v>
      </c>
      <c r="C628" s="160" t="s">
        <v>87</v>
      </c>
      <c r="D628" s="19" t="s">
        <v>414</v>
      </c>
      <c r="E628" s="6"/>
      <c r="F628" s="99">
        <v>1200</v>
      </c>
      <c r="G628" s="99"/>
      <c r="H628" s="99"/>
      <c r="I628" s="19" t="s">
        <v>414</v>
      </c>
      <c r="J628" s="19" t="s">
        <v>414</v>
      </c>
      <c r="K628" s="139">
        <v>46265</v>
      </c>
      <c r="L628" s="139">
        <v>46265</v>
      </c>
      <c r="M628" s="142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7">
        <v>46202</v>
      </c>
      <c r="B629" s="15" t="str">
        <f>VLOOKUP(C629,'Product List'!A:C,3,0)</f>
        <v>Travel Cage 7.17in(18.2cm)-Little Elf</v>
      </c>
      <c r="C629" s="161" t="s">
        <v>100</v>
      </c>
      <c r="D629" s="19" t="s">
        <v>414</v>
      </c>
      <c r="E629" s="6"/>
      <c r="F629" s="99">
        <v>252</v>
      </c>
      <c r="G629" s="99"/>
      <c r="H629" s="99"/>
      <c r="I629" s="19" t="s">
        <v>414</v>
      </c>
      <c r="J629" s="19" t="s">
        <v>414</v>
      </c>
      <c r="K629" s="139">
        <v>46265</v>
      </c>
      <c r="L629" s="139">
        <v>46265</v>
      </c>
      <c r="M629" s="142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7">
        <v>46202</v>
      </c>
      <c r="B630" s="15" t="str">
        <f>VLOOKUP(C630,'Product List'!A:C,3,0)</f>
        <v>Little Devil Travel Cage</v>
      </c>
      <c r="C630" s="159" t="s">
        <v>58</v>
      </c>
      <c r="D630" s="19" t="s">
        <v>414</v>
      </c>
      <c r="E630" s="6"/>
      <c r="F630" s="99">
        <v>252</v>
      </c>
      <c r="G630" s="99"/>
      <c r="H630" s="99"/>
      <c r="I630" s="19" t="s">
        <v>414</v>
      </c>
      <c r="J630" s="19" t="s">
        <v>414</v>
      </c>
      <c r="K630" s="139">
        <v>46265</v>
      </c>
      <c r="L630" s="139">
        <v>46265</v>
      </c>
      <c r="M630" s="142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7">
        <v>46202</v>
      </c>
      <c r="B631" s="15" t="str">
        <f>VLOOKUP(C631,'Product List'!A:C,3,0)</f>
        <v>Simple Rabbit Bowl</v>
      </c>
      <c r="C631" s="160" t="s">
        <v>88</v>
      </c>
      <c r="D631" s="19" t="s">
        <v>414</v>
      </c>
      <c r="E631" s="6"/>
      <c r="F631" s="99">
        <v>720</v>
      </c>
      <c r="G631" s="99"/>
      <c r="H631" s="99"/>
      <c r="I631" s="19" t="s">
        <v>414</v>
      </c>
      <c r="J631" s="19" t="s">
        <v>414</v>
      </c>
      <c r="K631" s="139">
        <v>46265</v>
      </c>
      <c r="L631" s="139">
        <v>46265</v>
      </c>
      <c r="M631" s="142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7">
        <v>46202</v>
      </c>
      <c r="B632" s="15" t="str">
        <f>VLOOKUP(C632,'Product List'!A:C,3,0)</f>
        <v>Crystal Outdoor Cage</v>
      </c>
      <c r="C632" s="160" t="s">
        <v>52</v>
      </c>
      <c r="D632" s="19" t="s">
        <v>414</v>
      </c>
      <c r="E632" s="6"/>
      <c r="F632" s="99">
        <v>504</v>
      </c>
      <c r="G632" s="99"/>
      <c r="H632" s="99"/>
      <c r="I632" s="19" t="s">
        <v>414</v>
      </c>
      <c r="J632" s="19" t="s">
        <v>414</v>
      </c>
      <c r="K632" s="139">
        <v>46265</v>
      </c>
      <c r="L632" s="139">
        <v>46265</v>
      </c>
      <c r="M632" s="142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7">
        <v>46202</v>
      </c>
      <c r="B633" s="15" t="str">
        <f>VLOOKUP(C633,'Product List'!A:C,3,0)</f>
        <v>Simple Hay/Grass Feeder</v>
      </c>
      <c r="C633" s="159" t="s">
        <v>92</v>
      </c>
      <c r="D633" s="19" t="s">
        <v>414</v>
      </c>
      <c r="E633" s="6"/>
      <c r="F633" s="99">
        <v>660</v>
      </c>
      <c r="G633" s="99"/>
      <c r="H633" s="99"/>
      <c r="I633" s="19" t="s">
        <v>414</v>
      </c>
      <c r="J633" s="19" t="s">
        <v>414</v>
      </c>
      <c r="K633" s="139">
        <v>46265</v>
      </c>
      <c r="L633" s="139">
        <v>46265</v>
      </c>
      <c r="M633" s="142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7">
        <v>46202</v>
      </c>
      <c r="B634" s="15" t="str">
        <f>VLOOKUP(C634,'Product List'!A:C,3,0)</f>
        <v>NONO Magnetic Water Bottle (220 ML)</v>
      </c>
      <c r="C634" s="160" t="s">
        <v>67</v>
      </c>
      <c r="D634" s="19" t="s">
        <v>414</v>
      </c>
      <c r="E634" s="6"/>
      <c r="F634" s="99">
        <v>1080</v>
      </c>
      <c r="G634" s="99"/>
      <c r="H634" s="99"/>
      <c r="I634" s="19" t="s">
        <v>414</v>
      </c>
      <c r="J634" s="19" t="s">
        <v>414</v>
      </c>
      <c r="K634" s="139">
        <v>46265</v>
      </c>
      <c r="L634" s="139">
        <v>46265</v>
      </c>
      <c r="M634" s="142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7">
        <v>46202</v>
      </c>
      <c r="B635" s="15" t="str">
        <f>VLOOKUP(C635,'Product List'!A:C,3,0)</f>
        <v>Little Devil Travel Cage</v>
      </c>
      <c r="C635" s="160" t="s">
        <v>90</v>
      </c>
      <c r="D635" s="19" t="s">
        <v>414</v>
      </c>
      <c r="E635" s="6"/>
      <c r="F635" s="99">
        <v>720</v>
      </c>
      <c r="G635" s="99"/>
      <c r="H635" s="99"/>
      <c r="I635" s="19" t="s">
        <v>414</v>
      </c>
      <c r="J635" s="19" t="s">
        <v>414</v>
      </c>
      <c r="K635" s="139">
        <v>46265</v>
      </c>
      <c r="L635" s="139">
        <v>46265</v>
      </c>
      <c r="M635" s="142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7">
        <v>46202</v>
      </c>
      <c r="B636" s="15" t="str">
        <f>VLOOKUP(C636,'Product List'!A:C,3,0)</f>
        <v>Tulip Toilet</v>
      </c>
      <c r="C636" s="160" t="s">
        <v>91</v>
      </c>
      <c r="D636" s="102" t="s">
        <v>414</v>
      </c>
      <c r="E636" s="102"/>
      <c r="F636" s="99">
        <v>470</v>
      </c>
      <c r="G636" s="19"/>
      <c r="H636" s="99"/>
      <c r="I636" s="19" t="s">
        <v>414</v>
      </c>
      <c r="J636" s="102" t="s">
        <v>414</v>
      </c>
      <c r="K636" s="139">
        <v>46265</v>
      </c>
      <c r="L636" s="139">
        <v>46265</v>
      </c>
      <c r="M636" s="142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7">
        <v>46202</v>
      </c>
      <c r="B637" s="15" t="str">
        <f>VLOOKUP(C637,'Product List'!A:C,3,0)</f>
        <v>Tulip Hay Feeder</v>
      </c>
      <c r="C637" s="160" t="s">
        <v>89</v>
      </c>
      <c r="D637" s="102" t="s">
        <v>414</v>
      </c>
      <c r="E637" s="102"/>
      <c r="F637" s="99">
        <v>552</v>
      </c>
      <c r="G637" s="19"/>
      <c r="H637" s="99"/>
      <c r="I637" s="19" t="s">
        <v>414</v>
      </c>
      <c r="J637" s="102" t="s">
        <v>414</v>
      </c>
      <c r="K637" s="139">
        <v>46265</v>
      </c>
      <c r="L637" s="139">
        <v>46265</v>
      </c>
      <c r="M637" s="142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7">
        <v>46202</v>
      </c>
      <c r="B638" s="15" t="str">
        <f>VLOOKUP(C638,'Product List'!A:C,3,0)</f>
        <v>MINI/MOE SILENT CRSTL RUN WHEEL LG 8.5-White</v>
      </c>
      <c r="C638" s="160" t="s">
        <v>41</v>
      </c>
      <c r="D638" s="102" t="s">
        <v>414</v>
      </c>
      <c r="E638" s="102"/>
      <c r="F638" s="99">
        <v>456</v>
      </c>
      <c r="G638" s="19"/>
      <c r="H638" s="99"/>
      <c r="I638" s="19" t="s">
        <v>414</v>
      </c>
      <c r="J638" s="102" t="s">
        <v>414</v>
      </c>
      <c r="K638" s="139">
        <v>46265</v>
      </c>
      <c r="L638" s="139">
        <v>46265</v>
      </c>
      <c r="M638" s="142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7">
        <v>46202</v>
      </c>
      <c r="B639" s="15" t="str">
        <f>VLOOKUP(C639,'Product List'!A:C,3,0)</f>
        <v>Bubble water bottle (color:green)</v>
      </c>
      <c r="C639" s="160" t="s">
        <v>80</v>
      </c>
      <c r="D639" s="102" t="s">
        <v>414</v>
      </c>
      <c r="E639" s="102"/>
      <c r="F639" s="99">
        <v>684</v>
      </c>
      <c r="G639" s="19"/>
      <c r="H639" s="99"/>
      <c r="I639" s="19" t="s">
        <v>414</v>
      </c>
      <c r="J639" s="102" t="s">
        <v>414</v>
      </c>
      <c r="K639" s="139">
        <v>46265</v>
      </c>
      <c r="L639" s="139">
        <v>46265</v>
      </c>
      <c r="M639" s="142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7">
        <v>46202</v>
      </c>
      <c r="B640" s="15" t="str">
        <f>VLOOKUP(C640,'Product List'!A:C,3,0)</f>
        <v>MINI/MOE TV VIEWING CAGE</v>
      </c>
      <c r="C640" s="160" t="s">
        <v>27</v>
      </c>
      <c r="D640" s="102" t="s">
        <v>414</v>
      </c>
      <c r="E640" s="102"/>
      <c r="F640" s="99">
        <v>350</v>
      </c>
      <c r="G640" s="19"/>
      <c r="H640" s="99"/>
      <c r="I640" s="19" t="s">
        <v>414</v>
      </c>
      <c r="J640" s="102" t="s">
        <v>414</v>
      </c>
      <c r="K640" s="139">
        <v>46265</v>
      </c>
      <c r="L640" s="139">
        <v>46265</v>
      </c>
      <c r="M640" s="142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7">
        <v>46202</v>
      </c>
      <c r="B641" s="15" t="str">
        <f>VLOOKUP(C641,'Product List'!A:C,3,0)</f>
        <v>Modern Viewing Cage (100cm)</v>
      </c>
      <c r="C641" s="160" t="s">
        <v>99</v>
      </c>
      <c r="D641" s="102" t="s">
        <v>414</v>
      </c>
      <c r="E641" s="102"/>
      <c r="F641" s="99">
        <v>200</v>
      </c>
      <c r="G641" s="19"/>
      <c r="H641" s="99"/>
      <c r="I641" s="19" t="s">
        <v>414</v>
      </c>
      <c r="J641" s="102" t="s">
        <v>414</v>
      </c>
      <c r="K641" s="139">
        <v>46265</v>
      </c>
      <c r="L641" s="139">
        <v>46265</v>
      </c>
      <c r="M641" s="142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7">
        <v>46202</v>
      </c>
      <c r="B642" s="15" t="str">
        <f>VLOOKUP(C642,'Product List'!A:C,3,0)</f>
        <v>Silent Crystal Running Wheel XL</v>
      </c>
      <c r="C642" s="160" t="s">
        <v>98</v>
      </c>
      <c r="D642" s="102" t="s">
        <v>414</v>
      </c>
      <c r="E642" s="102"/>
      <c r="F642" s="99">
        <v>316</v>
      </c>
      <c r="G642" s="19"/>
      <c r="H642" s="99"/>
      <c r="I642" s="19" t="s">
        <v>414</v>
      </c>
      <c r="J642" s="102" t="s">
        <v>414</v>
      </c>
      <c r="K642" s="139">
        <v>46265</v>
      </c>
      <c r="L642" s="139">
        <v>46265</v>
      </c>
      <c r="M642" s="142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7">
        <v>46202</v>
      </c>
      <c r="B643" s="15" t="str">
        <f>VLOOKUP(C643,'Product List'!A:C,3,0)</f>
        <v>triangle-shaped rabbit toilet(big)</v>
      </c>
      <c r="C643" s="159" t="s">
        <v>95</v>
      </c>
      <c r="D643" s="102" t="s">
        <v>414</v>
      </c>
      <c r="E643" s="102"/>
      <c r="F643" s="99">
        <v>460</v>
      </c>
      <c r="G643" s="19"/>
      <c r="H643" s="99"/>
      <c r="I643" s="19" t="s">
        <v>414</v>
      </c>
      <c r="J643" s="102" t="s">
        <v>414</v>
      </c>
      <c r="K643" s="139">
        <v>46265</v>
      </c>
      <c r="L643" s="139">
        <v>46265</v>
      </c>
      <c r="M643" s="142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7">
        <v>46202</v>
      </c>
      <c r="B644" s="15" t="str">
        <f>VLOOKUP(C644,'Product List'!A:C,3,0)</f>
        <v>D. MMO-COTTAGE VIEW CAGE</v>
      </c>
      <c r="C644" s="160" t="s">
        <v>57</v>
      </c>
      <c r="D644" s="102" t="s">
        <v>414</v>
      </c>
      <c r="E644" s="102"/>
      <c r="F644" s="99">
        <v>200</v>
      </c>
      <c r="G644" s="19"/>
      <c r="H644" s="99"/>
      <c r="I644" s="19" t="s">
        <v>414</v>
      </c>
      <c r="J644" s="102" t="s">
        <v>414</v>
      </c>
      <c r="K644" s="139">
        <v>46265</v>
      </c>
      <c r="L644" s="139">
        <v>46265</v>
      </c>
      <c r="M644" s="142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7">
        <v>46202</v>
      </c>
      <c r="B645" s="15" t="str">
        <f>VLOOKUP(C645,'Product List'!A:C,3,0)</f>
        <v>XL Garden Travel Cage</v>
      </c>
      <c r="C645" s="160" t="s">
        <v>97</v>
      </c>
      <c r="D645" s="102" t="s">
        <v>414</v>
      </c>
      <c r="E645" s="102"/>
      <c r="F645" s="99">
        <v>372</v>
      </c>
      <c r="G645" s="19"/>
      <c r="H645" s="99"/>
      <c r="I645" s="19" t="s">
        <v>414</v>
      </c>
      <c r="J645" s="102" t="s">
        <v>414</v>
      </c>
      <c r="K645" s="139">
        <v>46265</v>
      </c>
      <c r="L645" s="139">
        <v>46265</v>
      </c>
      <c r="M645" s="142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7">
        <v>46202</v>
      </c>
      <c r="B646" s="15" t="str">
        <f>VLOOKUP(C646,'Product List'!A:C,3,0)</f>
        <v>XL Garden Travel Cage</v>
      </c>
      <c r="C646" s="160" t="s">
        <v>96</v>
      </c>
      <c r="D646" s="102" t="s">
        <v>414</v>
      </c>
      <c r="E646" s="102"/>
      <c r="F646" s="99">
        <v>408</v>
      </c>
      <c r="G646" s="19"/>
      <c r="H646" s="99"/>
      <c r="I646" s="19" t="s">
        <v>414</v>
      </c>
      <c r="J646" s="102" t="s">
        <v>414</v>
      </c>
      <c r="K646" s="139">
        <v>46265</v>
      </c>
      <c r="L646" s="139">
        <v>46265</v>
      </c>
      <c r="M646" s="142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7">
        <v>46202</v>
      </c>
      <c r="B647" s="15" t="str">
        <f>VLOOKUP(C647,'Product List'!A:C,3,0)</f>
        <v>XL Garden Travel Cage</v>
      </c>
      <c r="C647" s="160" t="s">
        <v>101</v>
      </c>
      <c r="D647" s="102" t="s">
        <v>414</v>
      </c>
      <c r="E647" s="102"/>
      <c r="F647" s="99">
        <v>220</v>
      </c>
      <c r="G647" s="19"/>
      <c r="H647" s="99"/>
      <c r="I647" s="19" t="s">
        <v>414</v>
      </c>
      <c r="J647" s="102" t="s">
        <v>414</v>
      </c>
      <c r="K647" s="139">
        <v>46265</v>
      </c>
      <c r="L647" s="139">
        <v>46265</v>
      </c>
      <c r="M647" s="142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7">
        <v>46202</v>
      </c>
      <c r="B648" s="15" t="str">
        <f>VLOOKUP(C648,'Product List'!A:C,3,0)</f>
        <v>Crystal Outdoor Cage</v>
      </c>
      <c r="C648" s="160" t="s">
        <v>93</v>
      </c>
      <c r="D648" s="102" t="s">
        <v>414</v>
      </c>
      <c r="E648" s="102"/>
      <c r="F648" s="99">
        <v>504</v>
      </c>
      <c r="G648" s="19"/>
      <c r="H648" s="99"/>
      <c r="I648" s="19" t="s">
        <v>414</v>
      </c>
      <c r="J648" s="102" t="s">
        <v>414</v>
      </c>
      <c r="K648" s="139">
        <v>46265</v>
      </c>
      <c r="L648" s="139">
        <v>46265</v>
      </c>
      <c r="M648" s="142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7">
        <v>46202</v>
      </c>
      <c r="B649" s="15" t="str">
        <f>VLOOKUP(C649,'Product List'!A:C,3,0)</f>
        <v>Crystal Outdoor Cage</v>
      </c>
      <c r="C649" s="160" t="s">
        <v>94</v>
      </c>
      <c r="D649" s="102" t="s">
        <v>414</v>
      </c>
      <c r="E649" s="102"/>
      <c r="F649" s="99">
        <v>504</v>
      </c>
      <c r="G649" s="19"/>
      <c r="H649" s="99"/>
      <c r="I649" s="19" t="s">
        <v>414</v>
      </c>
      <c r="J649" s="102" t="s">
        <v>414</v>
      </c>
      <c r="K649" s="139">
        <v>46265</v>
      </c>
      <c r="L649" s="139">
        <v>46265</v>
      </c>
      <c r="M649" s="142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7">
        <v>46202</v>
      </c>
      <c r="B650" s="15" t="str">
        <f>VLOOKUP(C650,'Product List'!A:C,3,0)</f>
        <v>MINI/MOE TV VIEWING CAGE</v>
      </c>
      <c r="C650" s="162" t="s">
        <v>27</v>
      </c>
      <c r="D650" s="102" t="s">
        <v>245</v>
      </c>
      <c r="E650" s="102"/>
      <c r="F650" s="162">
        <v>260</v>
      </c>
      <c r="G650" s="19"/>
      <c r="H650" s="99"/>
      <c r="I650" s="6" t="s">
        <v>415</v>
      </c>
      <c r="J650" s="102" t="s">
        <v>245</v>
      </c>
      <c r="K650" s="139">
        <v>46230</v>
      </c>
      <c r="L650" s="139">
        <v>46230</v>
      </c>
      <c r="M650" s="142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7">
        <v>46202</v>
      </c>
      <c r="B651" s="15" t="str">
        <f>VLOOKUP(C651,'Product List'!A:C,3,0)</f>
        <v>M&amp;M Modern Viewing Cage 80x50x50</v>
      </c>
      <c r="C651" s="163" t="s">
        <v>108</v>
      </c>
      <c r="D651" s="102" t="s">
        <v>245</v>
      </c>
      <c r="E651" s="102"/>
      <c r="F651" s="162">
        <v>100</v>
      </c>
      <c r="G651" s="19"/>
      <c r="H651" s="99"/>
      <c r="I651" s="6" t="s">
        <v>415</v>
      </c>
      <c r="J651" s="102" t="s">
        <v>245</v>
      </c>
      <c r="K651" s="139">
        <v>46230</v>
      </c>
      <c r="L651" s="139">
        <v>46230</v>
      </c>
      <c r="M651" s="142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7">
        <v>46202</v>
      </c>
      <c r="B652" s="15" t="str">
        <f>VLOOKUP(C652,'Product List'!A:C,3,0)</f>
        <v>Modern Viewing Cage (100cm)</v>
      </c>
      <c r="C652" s="163" t="s">
        <v>99</v>
      </c>
      <c r="D652" s="102" t="s">
        <v>245</v>
      </c>
      <c r="E652" s="102"/>
      <c r="F652" s="162">
        <v>60</v>
      </c>
      <c r="G652" s="19"/>
      <c r="H652" s="99"/>
      <c r="I652" s="6" t="s">
        <v>415</v>
      </c>
      <c r="J652" s="102" t="s">
        <v>245</v>
      </c>
      <c r="K652" s="139">
        <v>46230</v>
      </c>
      <c r="L652" s="139">
        <v>46230</v>
      </c>
      <c r="M652" s="142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7">
        <v>46202</v>
      </c>
      <c r="B653" s="15" t="str">
        <f>VLOOKUP(C653,'Product List'!A:C,3,0)</f>
        <v>Little Devil Travel Cage</v>
      </c>
      <c r="C653" s="162" t="s">
        <v>58</v>
      </c>
      <c r="D653" s="102" t="s">
        <v>245</v>
      </c>
      <c r="E653" s="102"/>
      <c r="F653" s="162">
        <v>18</v>
      </c>
      <c r="G653" s="19"/>
      <c r="H653" s="99"/>
      <c r="I653" s="6" t="s">
        <v>415</v>
      </c>
      <c r="J653" s="102" t="s">
        <v>245</v>
      </c>
      <c r="K653" s="139">
        <v>46230</v>
      </c>
      <c r="L653" s="139">
        <v>46230</v>
      </c>
      <c r="M653" s="142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7">
        <v>46202</v>
      </c>
      <c r="B654" s="15" t="str">
        <f>VLOOKUP(C654,'Product List'!A:C,3,0)</f>
        <v>Crystal Outdoor Cage</v>
      </c>
      <c r="C654" s="162" t="s">
        <v>52</v>
      </c>
      <c r="D654" s="102" t="s">
        <v>245</v>
      </c>
      <c r="E654" s="102"/>
      <c r="F654" s="162">
        <v>24</v>
      </c>
      <c r="G654" s="19"/>
      <c r="H654" s="99"/>
      <c r="I654" s="6" t="s">
        <v>415</v>
      </c>
      <c r="J654" s="102" t="s">
        <v>245</v>
      </c>
      <c r="K654" s="139">
        <v>46230</v>
      </c>
      <c r="L654" s="139">
        <v>46230</v>
      </c>
      <c r="M654" s="142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7">
        <v>46202</v>
      </c>
      <c r="B655" s="15" t="str">
        <f>VLOOKUP(C655,'Product List'!A:C,3,0)</f>
        <v>Cotton multi color bedding</v>
      </c>
      <c r="C655" s="22" t="s">
        <v>50</v>
      </c>
      <c r="D655" s="102" t="s">
        <v>245</v>
      </c>
      <c r="E655" s="102"/>
      <c r="F655" s="162">
        <v>600</v>
      </c>
      <c r="G655" s="19"/>
      <c r="H655" s="99"/>
      <c r="I655" s="6" t="s">
        <v>415</v>
      </c>
      <c r="J655" s="102" t="s">
        <v>245</v>
      </c>
      <c r="K655" s="139">
        <v>46230</v>
      </c>
      <c r="L655" s="139">
        <v>46230</v>
      </c>
      <c r="M655" s="142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7">
        <v>46202</v>
      </c>
      <c r="B656" s="15" t="str">
        <f>VLOOKUP(C656,'Product List'!A:C,3,0)</f>
        <v>M&amp;M Silent Crystal Running Wheel 8.5" - Blue</v>
      </c>
      <c r="C656" s="162" t="s">
        <v>117</v>
      </c>
      <c r="D656" s="102" t="s">
        <v>245</v>
      </c>
      <c r="E656" s="102"/>
      <c r="F656" s="162">
        <v>8</v>
      </c>
      <c r="G656" s="19"/>
      <c r="H656" s="99"/>
      <c r="I656" s="6" t="s">
        <v>415</v>
      </c>
      <c r="J656" s="102" t="s">
        <v>245</v>
      </c>
      <c r="K656" s="139">
        <v>46230</v>
      </c>
      <c r="L656" s="139">
        <v>46230</v>
      </c>
      <c r="M656" s="142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7">
        <v>46202</v>
      </c>
      <c r="B657" s="15" t="str">
        <f>VLOOKUP(C657,'Product List'!A:C,3,0)</f>
        <v>M&amp;M Silent Crystal Running Wheel 8.5" - Clear</v>
      </c>
      <c r="C657" s="162" t="s">
        <v>104</v>
      </c>
      <c r="D657" s="102" t="s">
        <v>245</v>
      </c>
      <c r="E657" s="102"/>
      <c r="F657" s="162">
        <v>208</v>
      </c>
      <c r="G657" s="19"/>
      <c r="H657" s="99"/>
      <c r="I657" s="6" t="s">
        <v>415</v>
      </c>
      <c r="J657" s="102" t="s">
        <v>245</v>
      </c>
      <c r="K657" s="139">
        <v>46230</v>
      </c>
      <c r="L657" s="139">
        <v>46230</v>
      </c>
      <c r="M657" s="142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7">
        <v>46202</v>
      </c>
      <c r="B658" s="15" t="str">
        <f>VLOOKUP(C658,'Product List'!A:C,3,0)</f>
        <v>Silent Crystal Running Wheel XL</v>
      </c>
      <c r="C658" s="162" t="s">
        <v>56</v>
      </c>
      <c r="D658" s="102" t="s">
        <v>245</v>
      </c>
      <c r="E658" s="102"/>
      <c r="F658" s="162">
        <v>4</v>
      </c>
      <c r="G658" s="19"/>
      <c r="H658" s="99"/>
      <c r="I658" s="6" t="s">
        <v>415</v>
      </c>
      <c r="J658" s="102" t="s">
        <v>245</v>
      </c>
      <c r="K658" s="139">
        <v>46230</v>
      </c>
      <c r="L658" s="139">
        <v>46230</v>
      </c>
      <c r="M658" s="142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7">
        <v>46202</v>
      </c>
      <c r="B659" s="15" t="str">
        <f>VLOOKUP(C659,'Product List'!A:C,3,0)</f>
        <v>Silent Crystal Running Wheel XL</v>
      </c>
      <c r="C659" s="162" t="s">
        <v>98</v>
      </c>
      <c r="D659" s="102" t="s">
        <v>245</v>
      </c>
      <c r="E659" s="102"/>
      <c r="F659" s="162">
        <v>20</v>
      </c>
      <c r="G659" s="19"/>
      <c r="H659" s="99"/>
      <c r="I659" s="6" t="s">
        <v>415</v>
      </c>
      <c r="J659" s="102" t="s">
        <v>245</v>
      </c>
      <c r="K659" s="139">
        <v>46230</v>
      </c>
      <c r="L659" s="139">
        <v>46230</v>
      </c>
      <c r="M659" s="142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7">
        <v>46202</v>
      </c>
      <c r="B660" s="15" t="str">
        <f>VLOOKUP(C660,'Product List'!A:C,3,0)</f>
        <v>MINI/MOE SILENT CRSTL RUN WHEEL XL 11.5 1EA</v>
      </c>
      <c r="C660" s="162" t="s">
        <v>31</v>
      </c>
      <c r="D660" s="102" t="s">
        <v>245</v>
      </c>
      <c r="E660" s="102"/>
      <c r="F660" s="162">
        <v>12</v>
      </c>
      <c r="G660" s="19"/>
      <c r="H660" s="99"/>
      <c r="I660" s="6" t="s">
        <v>415</v>
      </c>
      <c r="J660" s="102" t="s">
        <v>245</v>
      </c>
      <c r="K660" s="139">
        <v>46230</v>
      </c>
      <c r="L660" s="139">
        <v>46230</v>
      </c>
      <c r="M660" s="142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7">
        <v>46202</v>
      </c>
      <c r="B661" s="15" t="str">
        <f>VLOOKUP(C661,'Product List'!A:C,3,0)</f>
        <v>M&amp;M Silent Crystal Running Wheel XL - Blue</v>
      </c>
      <c r="C661" s="162" t="s">
        <v>115</v>
      </c>
      <c r="D661" s="102" t="s">
        <v>245</v>
      </c>
      <c r="E661" s="102"/>
      <c r="F661" s="162">
        <v>24</v>
      </c>
      <c r="G661" s="19"/>
      <c r="H661" s="99"/>
      <c r="I661" s="6" t="s">
        <v>415</v>
      </c>
      <c r="J661" s="102" t="s">
        <v>245</v>
      </c>
      <c r="K661" s="139">
        <v>46230</v>
      </c>
      <c r="L661" s="139">
        <v>46230</v>
      </c>
      <c r="M661" s="142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7">
        <v>46202</v>
      </c>
      <c r="B662" s="15" t="str">
        <f>VLOOKUP(C662,'Product List'!A:C,3,0)</f>
        <v>MMO-CLOUD WATER BOTTLE</v>
      </c>
      <c r="C662" s="22" t="s">
        <v>37</v>
      </c>
      <c r="D662" s="102" t="s">
        <v>245</v>
      </c>
      <c r="E662" s="102"/>
      <c r="F662" s="162">
        <v>240</v>
      </c>
      <c r="G662" s="19"/>
      <c r="H662" s="99"/>
      <c r="I662" s="6" t="s">
        <v>415</v>
      </c>
      <c r="J662" s="102" t="s">
        <v>245</v>
      </c>
      <c r="K662" s="139">
        <v>46230</v>
      </c>
      <c r="L662" s="139">
        <v>46230</v>
      </c>
      <c r="M662" s="142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7">
        <v>46202</v>
      </c>
      <c r="B663" s="15" t="str">
        <f>VLOOKUP(C663,'Product List'!A:C,3,0)</f>
        <v>MINI/MOE CAMPING TENT HIDE</v>
      </c>
      <c r="C663" s="22" t="s">
        <v>25</v>
      </c>
      <c r="D663" s="102" t="s">
        <v>245</v>
      </c>
      <c r="E663" s="102"/>
      <c r="F663" s="162">
        <v>96</v>
      </c>
      <c r="G663" s="19"/>
      <c r="H663" s="99"/>
      <c r="I663" s="6" t="s">
        <v>415</v>
      </c>
      <c r="J663" s="102" t="s">
        <v>245</v>
      </c>
      <c r="K663" s="139">
        <v>46230</v>
      </c>
      <c r="L663" s="139">
        <v>46230</v>
      </c>
      <c r="M663" s="142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7">
        <v>46202</v>
      </c>
      <c r="B664" s="15" t="str">
        <f>VLOOKUP(C664,'Product List'!A:C,3,0)</f>
        <v>Simple Rabbit Bowl</v>
      </c>
      <c r="C664" s="162" t="s">
        <v>88</v>
      </c>
      <c r="D664" s="102" t="s">
        <v>245</v>
      </c>
      <c r="E664" s="102"/>
      <c r="F664" s="162">
        <v>120</v>
      </c>
      <c r="G664" s="19"/>
      <c r="H664" s="99"/>
      <c r="I664" s="6" t="s">
        <v>415</v>
      </c>
      <c r="J664" s="102" t="s">
        <v>245</v>
      </c>
      <c r="K664" s="139">
        <v>46230</v>
      </c>
      <c r="L664" s="139">
        <v>46230</v>
      </c>
      <c r="M664" s="142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7">
        <v>46202</v>
      </c>
      <c r="B665" s="15" t="str">
        <f>VLOOKUP(C665,'Product List'!A:C,3,0)</f>
        <v>Simple Rabbit Hay Feeder</v>
      </c>
      <c r="C665" s="162" t="s">
        <v>86</v>
      </c>
      <c r="D665" s="102" t="s">
        <v>245</v>
      </c>
      <c r="E665" s="102"/>
      <c r="F665" s="162">
        <v>180</v>
      </c>
      <c r="G665" s="19"/>
      <c r="H665" s="99"/>
      <c r="I665" s="6" t="s">
        <v>415</v>
      </c>
      <c r="J665" s="102" t="s">
        <v>245</v>
      </c>
      <c r="K665" s="139">
        <v>46230</v>
      </c>
      <c r="L665" s="139">
        <v>46230</v>
      </c>
      <c r="M665" s="142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7">
        <v>46202</v>
      </c>
      <c r="B666" s="15" t="str">
        <f>VLOOKUP(C666,'Product List'!A:C,3,0)</f>
        <v>Tulip Hay Feeder</v>
      </c>
      <c r="C666" s="162" t="s">
        <v>89</v>
      </c>
      <c r="D666" s="102" t="s">
        <v>245</v>
      </c>
      <c r="E666" s="102"/>
      <c r="F666" s="162">
        <v>248</v>
      </c>
      <c r="G666" s="19"/>
      <c r="H666" s="99"/>
      <c r="I666" s="6" t="s">
        <v>415</v>
      </c>
      <c r="J666" s="102" t="s">
        <v>245</v>
      </c>
      <c r="K666" s="139">
        <v>46230</v>
      </c>
      <c r="L666" s="139">
        <v>46230</v>
      </c>
      <c r="M666" s="142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7">
        <v>46202</v>
      </c>
      <c r="B667" s="15" t="str">
        <f>VLOOKUP(C667,'Product List'!A:C,3,0)</f>
        <v>Tulip Toilet</v>
      </c>
      <c r="C667" s="162" t="s">
        <v>91</v>
      </c>
      <c r="D667" s="102" t="s">
        <v>245</v>
      </c>
      <c r="E667" s="102"/>
      <c r="F667" s="162">
        <v>240</v>
      </c>
      <c r="G667" s="19"/>
      <c r="H667" s="99"/>
      <c r="I667" s="6" t="s">
        <v>415</v>
      </c>
      <c r="J667" s="102" t="s">
        <v>245</v>
      </c>
      <c r="K667" s="139">
        <v>46230</v>
      </c>
      <c r="L667" s="139">
        <v>46230</v>
      </c>
      <c r="M667" s="142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7">
        <v>46202</v>
      </c>
      <c r="B668" s="15" t="str">
        <f>VLOOKUP(C668,'Product List'!A:C,3,0)</f>
        <v>Cheese Bowl</v>
      </c>
      <c r="C668" s="22" t="s">
        <v>112</v>
      </c>
      <c r="D668" s="102" t="s">
        <v>245</v>
      </c>
      <c r="E668" s="102"/>
      <c r="F668" s="162">
        <v>48</v>
      </c>
      <c r="G668" s="19"/>
      <c r="H668" s="99"/>
      <c r="I668" s="6" t="s">
        <v>415</v>
      </c>
      <c r="J668" s="102" t="s">
        <v>245</v>
      </c>
      <c r="K668" s="139">
        <v>46230</v>
      </c>
      <c r="L668" s="139">
        <v>46230</v>
      </c>
      <c r="M668" s="142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7">
        <v>46202</v>
      </c>
      <c r="B669" s="15" t="str">
        <f>VLOOKUP(C669,'Product List'!A:C,3,0)</f>
        <v>M&amp;M Cheese Shoppe</v>
      </c>
      <c r="C669" s="162" t="s">
        <v>116</v>
      </c>
      <c r="D669" s="102" t="s">
        <v>245</v>
      </c>
      <c r="E669" s="102"/>
      <c r="F669" s="162">
        <v>16</v>
      </c>
      <c r="G669" s="19"/>
      <c r="H669" s="99"/>
      <c r="I669" s="6" t="s">
        <v>415</v>
      </c>
      <c r="J669" s="102" t="s">
        <v>245</v>
      </c>
      <c r="K669" s="139">
        <v>46230</v>
      </c>
      <c r="L669" s="139">
        <v>46230</v>
      </c>
      <c r="M669" s="142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7">
        <v>46202</v>
      </c>
      <c r="B670" s="15" t="str">
        <f>VLOOKUP(C670,'Product List'!A:C,3,0)</f>
        <v>M&amp;M Woodland Gravity Water Dish 500ml</v>
      </c>
      <c r="C670" s="162" t="s">
        <v>103</v>
      </c>
      <c r="D670" s="102" t="s">
        <v>245</v>
      </c>
      <c r="E670" s="102"/>
      <c r="F670" s="162">
        <v>216</v>
      </c>
      <c r="G670" s="19"/>
      <c r="H670" s="99"/>
      <c r="I670" s="6" t="s">
        <v>415</v>
      </c>
      <c r="J670" s="102" t="s">
        <v>245</v>
      </c>
      <c r="K670" s="139">
        <v>46230</v>
      </c>
      <c r="L670" s="139">
        <v>46230</v>
      </c>
      <c r="M670" s="142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7">
        <v>46202</v>
      </c>
      <c r="B671" s="15" t="str">
        <f>VLOOKUP(C671,'Product List'!A:C,3,0)</f>
        <v>Woodland Potty</v>
      </c>
      <c r="C671" s="162" t="s">
        <v>106</v>
      </c>
      <c r="D671" s="102" t="s">
        <v>245</v>
      </c>
      <c r="E671" s="102"/>
      <c r="F671" s="162">
        <v>180</v>
      </c>
      <c r="G671" s="19"/>
      <c r="H671" s="99"/>
      <c r="I671" s="6" t="s">
        <v>415</v>
      </c>
      <c r="J671" s="102" t="s">
        <v>245</v>
      </c>
      <c r="K671" s="139">
        <v>46230</v>
      </c>
      <c r="L671" s="139">
        <v>46230</v>
      </c>
      <c r="M671" s="142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7">
        <v>46202</v>
      </c>
      <c r="B672" s="15" t="str">
        <f>VLOOKUP(C672,'Product List'!A:C,3,0)</f>
        <v>Tree Stump Hide</v>
      </c>
      <c r="C672" s="162" t="s">
        <v>81</v>
      </c>
      <c r="D672" s="102" t="s">
        <v>245</v>
      </c>
      <c r="E672" s="102"/>
      <c r="F672" s="162">
        <v>36</v>
      </c>
      <c r="G672" s="19"/>
      <c r="H672" s="99"/>
      <c r="I672" s="6" t="s">
        <v>415</v>
      </c>
      <c r="J672" s="102" t="s">
        <v>245</v>
      </c>
      <c r="K672" s="139">
        <v>46230</v>
      </c>
      <c r="L672" s="139">
        <v>46230</v>
      </c>
      <c r="M672" s="142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7">
        <v>46202</v>
      </c>
      <c r="B673" s="15" t="str">
        <f>VLOOKUP(C673,'Product List'!A:C,3,0)</f>
        <v>M&amp;M Classic Potty</v>
      </c>
      <c r="C673" s="162" t="s">
        <v>113</v>
      </c>
      <c r="D673" s="102" t="s">
        <v>245</v>
      </c>
      <c r="E673" s="102"/>
      <c r="F673" s="162">
        <v>36</v>
      </c>
      <c r="G673" s="19"/>
      <c r="H673" s="99"/>
      <c r="I673" s="6" t="s">
        <v>415</v>
      </c>
      <c r="J673" s="102" t="s">
        <v>245</v>
      </c>
      <c r="K673" s="139">
        <v>46230</v>
      </c>
      <c r="L673" s="139">
        <v>46230</v>
      </c>
      <c r="M673" s="142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7">
        <v>46202</v>
      </c>
      <c r="B674" s="15" t="str">
        <f>VLOOKUP(C674,'Product List'!A:C,3,0)</f>
        <v>MINI/MOE SMALL ANIMAL FEEDING WATER BOTTLE HLDR GUMBALL 1EA</v>
      </c>
      <c r="C674" s="162" t="s">
        <v>59</v>
      </c>
      <c r="D674" s="102" t="s">
        <v>245</v>
      </c>
      <c r="E674" s="102"/>
      <c r="F674" s="162">
        <v>24</v>
      </c>
      <c r="G674" s="19"/>
      <c r="H674" s="99"/>
      <c r="I674" s="6" t="s">
        <v>415</v>
      </c>
      <c r="J674" s="102" t="s">
        <v>245</v>
      </c>
      <c r="K674" s="139">
        <v>46230</v>
      </c>
      <c r="L674" s="139">
        <v>46230</v>
      </c>
      <c r="M674" s="142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7">
        <v>46202</v>
      </c>
      <c r="B675" s="15" t="str">
        <f>VLOOKUP(C675,'Product List'!A:C,3,0)</f>
        <v>MINI/MOE SMALL ANIMAL HOUSING SWEET BRIDGE 1EA</v>
      </c>
      <c r="C675" s="162" t="s">
        <v>71</v>
      </c>
      <c r="D675" s="102" t="s">
        <v>245</v>
      </c>
      <c r="E675" s="102"/>
      <c r="F675" s="162">
        <v>72</v>
      </c>
      <c r="G675" s="19"/>
      <c r="H675" s="99"/>
      <c r="I675" s="6" t="s">
        <v>415</v>
      </c>
      <c r="J675" s="102" t="s">
        <v>245</v>
      </c>
      <c r="K675" s="139">
        <v>46230</v>
      </c>
      <c r="L675" s="139">
        <v>46230</v>
      </c>
      <c r="M675" s="142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7">
        <v>46202</v>
      </c>
      <c r="B676" s="15" t="str">
        <f>VLOOKUP(C676,'Product List'!A:C,3,0)</f>
        <v>Candy House</v>
      </c>
      <c r="C676" s="162" t="s">
        <v>66</v>
      </c>
      <c r="D676" s="102" t="s">
        <v>245</v>
      </c>
      <c r="E676" s="102"/>
      <c r="F676" s="162">
        <v>64</v>
      </c>
      <c r="G676" s="19"/>
      <c r="H676" s="99"/>
      <c r="I676" s="6" t="s">
        <v>415</v>
      </c>
      <c r="J676" s="102" t="s">
        <v>245</v>
      </c>
      <c r="K676" s="139">
        <v>46230</v>
      </c>
      <c r="L676" s="139">
        <v>46230</v>
      </c>
      <c r="M676" s="142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7">
        <v>46202</v>
      </c>
      <c r="B677" s="15" t="str">
        <f>VLOOKUP(C677,'Product List'!A:C,3,0)</f>
        <v>MINI/MOE SMALL ANIMAL HOUSING CAKE HOUSE 1EA</v>
      </c>
      <c r="C677" s="162" t="s">
        <v>53</v>
      </c>
      <c r="D677" s="102" t="s">
        <v>245</v>
      </c>
      <c r="E677" s="102"/>
      <c r="F677" s="162">
        <v>36</v>
      </c>
      <c r="G677" s="19"/>
      <c r="H677" s="99"/>
      <c r="I677" s="6" t="s">
        <v>415</v>
      </c>
      <c r="J677" s="102" t="s">
        <v>245</v>
      </c>
      <c r="K677" s="139">
        <v>46230</v>
      </c>
      <c r="L677" s="139">
        <v>46230</v>
      </c>
      <c r="M677" s="142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7">
        <v>46202</v>
      </c>
      <c r="B678" s="15" t="str">
        <f>VLOOKUP(C678,'Product List'!A:C,3,0)</f>
        <v>M&amp;M Chocolate Mountain</v>
      </c>
      <c r="C678" s="162" t="s">
        <v>111</v>
      </c>
      <c r="D678" s="102" t="s">
        <v>245</v>
      </c>
      <c r="E678" s="102"/>
      <c r="F678" s="162">
        <v>54</v>
      </c>
      <c r="G678" s="19"/>
      <c r="H678" s="99"/>
      <c r="I678" s="6" t="s">
        <v>415</v>
      </c>
      <c r="J678" s="102" t="s">
        <v>245</v>
      </c>
      <c r="K678" s="139">
        <v>46230</v>
      </c>
      <c r="L678" s="139">
        <v>46230</v>
      </c>
      <c r="M678" s="142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7">
        <v>46202</v>
      </c>
      <c r="B679" s="15" t="str">
        <f>VLOOKUP(C679,'Product List'!A:C,3,0)</f>
        <v>Sugar Jar</v>
      </c>
      <c r="C679" s="162" t="s">
        <v>65</v>
      </c>
      <c r="D679" s="102" t="s">
        <v>245</v>
      </c>
      <c r="E679" s="102"/>
      <c r="F679" s="162">
        <v>90</v>
      </c>
      <c r="G679" s="19"/>
      <c r="H679" s="99"/>
      <c r="I679" s="6" t="s">
        <v>415</v>
      </c>
      <c r="J679" s="102" t="s">
        <v>245</v>
      </c>
      <c r="K679" s="139">
        <v>46230</v>
      </c>
      <c r="L679" s="139">
        <v>46230</v>
      </c>
      <c r="M679" s="142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7">
        <v>46202</v>
      </c>
      <c r="B680" s="15" t="str">
        <f>VLOOKUP(C680,'Product List'!A:C,3,0)</f>
        <v>Ceramic Candy Dish</v>
      </c>
      <c r="C680" s="162" t="s">
        <v>114</v>
      </c>
      <c r="D680" s="102" t="s">
        <v>245</v>
      </c>
      <c r="E680" s="102"/>
      <c r="F680" s="162">
        <v>30</v>
      </c>
      <c r="G680" s="19"/>
      <c r="H680" s="99"/>
      <c r="I680" s="6" t="s">
        <v>415</v>
      </c>
      <c r="J680" s="102" t="s">
        <v>245</v>
      </c>
      <c r="K680" s="139">
        <v>46230</v>
      </c>
      <c r="L680" s="139">
        <v>46230</v>
      </c>
      <c r="M680" s="142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7">
        <v>46202</v>
      </c>
      <c r="B681" s="15" t="str">
        <f>VLOOKUP(C681,'Product List'!A:C,3,0)</f>
        <v>M&amp;M Water Bridge</v>
      </c>
      <c r="C681" s="162" t="s">
        <v>102</v>
      </c>
      <c r="D681" s="102" t="s">
        <v>245</v>
      </c>
      <c r="E681" s="102"/>
      <c r="F681" s="162">
        <v>216</v>
      </c>
      <c r="G681" s="19"/>
      <c r="H681" s="99"/>
      <c r="I681" s="6" t="s">
        <v>415</v>
      </c>
      <c r="J681" s="102" t="s">
        <v>245</v>
      </c>
      <c r="K681" s="139">
        <v>46230</v>
      </c>
      <c r="L681" s="139">
        <v>46230</v>
      </c>
      <c r="M681" s="142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7">
        <v>46202</v>
      </c>
      <c r="B682" s="15" t="str">
        <f>VLOOKUP(C682,'Product List'!A:C,3,0)</f>
        <v>M&amp;M Silent Crystal Running Wheel 6.7" - Clear</v>
      </c>
      <c r="C682" s="162" t="s">
        <v>109</v>
      </c>
      <c r="D682" s="102" t="s">
        <v>245</v>
      </c>
      <c r="E682" s="102"/>
      <c r="F682" s="162">
        <v>84</v>
      </c>
      <c r="G682" s="19"/>
      <c r="H682" s="99"/>
      <c r="I682" s="6" t="s">
        <v>415</v>
      </c>
      <c r="J682" s="102" t="s">
        <v>245</v>
      </c>
      <c r="K682" s="139">
        <v>46230</v>
      </c>
      <c r="L682" s="139">
        <v>46230</v>
      </c>
      <c r="M682" s="142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7">
        <v>46202</v>
      </c>
      <c r="B683" s="15" t="str">
        <f>VLOOKUP(C683,'Product List'!A:C,3,0)</f>
        <v>M&amp;M Silent Crystal Running Wheel 6.7" - Blue</v>
      </c>
      <c r="C683" s="162" t="s">
        <v>110</v>
      </c>
      <c r="D683" s="102" t="s">
        <v>245</v>
      </c>
      <c r="E683" s="21"/>
      <c r="F683" s="162">
        <v>60</v>
      </c>
      <c r="G683" s="164"/>
      <c r="H683" s="99"/>
      <c r="I683" s="6" t="s">
        <v>415</v>
      </c>
      <c r="J683" s="102" t="s">
        <v>245</v>
      </c>
      <c r="K683" s="139">
        <v>46230</v>
      </c>
      <c r="L683" s="139">
        <v>46230</v>
      </c>
      <c r="M683" s="142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7">
        <v>46202</v>
      </c>
      <c r="B684" s="15" t="str">
        <f>VLOOKUP(C684,'Product List'!A:C,3,0)</f>
        <v>MINI &amp; MOE COTTAGE HIDE</v>
      </c>
      <c r="C684" s="162" t="s">
        <v>28</v>
      </c>
      <c r="D684" s="102" t="s">
        <v>245</v>
      </c>
      <c r="E684" s="21"/>
      <c r="F684" s="162">
        <v>162</v>
      </c>
      <c r="G684" s="164"/>
      <c r="H684" s="99"/>
      <c r="I684" s="6" t="s">
        <v>415</v>
      </c>
      <c r="J684" s="102" t="s">
        <v>245</v>
      </c>
      <c r="K684" s="139">
        <v>46230</v>
      </c>
      <c r="L684" s="139">
        <v>46230</v>
      </c>
      <c r="M684" s="142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7">
        <v>46202</v>
      </c>
      <c r="B685" s="15" t="str">
        <f>VLOOKUP(C685,'Product List'!A:C,3,0)</f>
        <v>MMO-WAVE BRIDGE</v>
      </c>
      <c r="C685" s="162" t="s">
        <v>82</v>
      </c>
      <c r="D685" s="102" t="s">
        <v>245</v>
      </c>
      <c r="E685" s="21"/>
      <c r="F685" s="162">
        <v>162</v>
      </c>
      <c r="G685" s="164"/>
      <c r="H685" s="99"/>
      <c r="I685" s="6" t="s">
        <v>415</v>
      </c>
      <c r="J685" s="102" t="s">
        <v>245</v>
      </c>
      <c r="K685" s="139">
        <v>46230</v>
      </c>
      <c r="L685" s="139">
        <v>46230</v>
      </c>
      <c r="M685" s="142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7">
        <v>46202</v>
      </c>
      <c r="B686" s="15" t="str">
        <f>VLOOKUP(C686,'Product List'!A:C,3,0)</f>
        <v>Scuba Ladder</v>
      </c>
      <c r="C686" s="162" t="s">
        <v>107</v>
      </c>
      <c r="D686" s="102" t="s">
        <v>245</v>
      </c>
      <c r="E686" s="21"/>
      <c r="F686" s="162">
        <v>160</v>
      </c>
      <c r="G686" s="164"/>
      <c r="H686" s="99"/>
      <c r="I686" s="6" t="s">
        <v>415</v>
      </c>
      <c r="J686" s="102" t="s">
        <v>245</v>
      </c>
      <c r="K686" s="139">
        <v>46230</v>
      </c>
      <c r="L686" s="139">
        <v>46230</v>
      </c>
      <c r="M686" s="142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7">
        <v>46202</v>
      </c>
      <c r="B687" s="15" t="str">
        <f>VLOOKUP(C687,'Product List'!A:C,3,0)</f>
        <v>Coral Ladder</v>
      </c>
      <c r="C687" s="162" t="s">
        <v>105</v>
      </c>
      <c r="D687" s="102" t="s">
        <v>245</v>
      </c>
      <c r="E687" s="21"/>
      <c r="F687" s="162">
        <v>180</v>
      </c>
      <c r="G687" s="164"/>
      <c r="H687" s="99"/>
      <c r="I687" s="6" t="s">
        <v>415</v>
      </c>
      <c r="J687" s="102" t="s">
        <v>245</v>
      </c>
      <c r="K687" s="139">
        <v>46230</v>
      </c>
      <c r="L687" s="139">
        <v>46230</v>
      </c>
      <c r="M687" s="142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7">
        <v>46209</v>
      </c>
      <c r="B688" s="15" t="str">
        <f>VLOOKUP(C688,'Product List'!A:C,3,0)</f>
        <v>MINI/MOE IVY BURROWING BOX</v>
      </c>
      <c r="C688" s="162" t="s">
        <v>75</v>
      </c>
      <c r="D688" s="138" t="s">
        <v>416</v>
      </c>
      <c r="E688" s="22" t="s">
        <v>417</v>
      </c>
      <c r="F688" s="162">
        <v>8</v>
      </c>
      <c r="G688" s="99">
        <v>0</v>
      </c>
      <c r="H688" s="99">
        <f t="shared" ref="H645:H708" si="27">F688*G688</f>
        <v>0</v>
      </c>
      <c r="I688" s="6" t="s">
        <v>418</v>
      </c>
      <c r="J688" s="6" t="s">
        <v>418</v>
      </c>
      <c r="K688" s="139">
        <v>46209</v>
      </c>
      <c r="L688" s="139">
        <v>46209</v>
      </c>
      <c r="M688" s="142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7">
        <v>46209</v>
      </c>
      <c r="B689" s="15" t="str">
        <f>VLOOKUP(C689,'Product List'!A:C,3,0)</f>
        <v>MMO-BUBBLE WATER BOTTLE</v>
      </c>
      <c r="C689" s="162" t="s">
        <v>38</v>
      </c>
      <c r="D689" s="138" t="s">
        <v>416</v>
      </c>
      <c r="E689" s="22" t="s">
        <v>417</v>
      </c>
      <c r="F689" s="162">
        <v>42</v>
      </c>
      <c r="G689" s="99">
        <v>0</v>
      </c>
      <c r="H689" s="99">
        <f t="shared" si="27"/>
        <v>0</v>
      </c>
      <c r="I689" s="6" t="s">
        <v>418</v>
      </c>
      <c r="J689" s="6" t="s">
        <v>418</v>
      </c>
      <c r="K689" s="139">
        <v>46209</v>
      </c>
      <c r="L689" s="139">
        <v>46209</v>
      </c>
      <c r="M689" s="142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7">
        <v>46209</v>
      </c>
      <c r="B690" s="15" t="str">
        <f>VLOOKUP(C690,'Product List'!A:C,3,0)</f>
        <v>Forest Series Hamster Chew Toy &amp; Treat</v>
      </c>
      <c r="C690" s="162" t="s">
        <v>72</v>
      </c>
      <c r="D690" s="138" t="s">
        <v>416</v>
      </c>
      <c r="E690" s="22" t="s">
        <v>417</v>
      </c>
      <c r="F690" s="162">
        <v>60</v>
      </c>
      <c r="G690" s="99">
        <v>0</v>
      </c>
      <c r="H690" s="99">
        <f t="shared" si="27"/>
        <v>0</v>
      </c>
      <c r="I690" s="6" t="s">
        <v>418</v>
      </c>
      <c r="J690" s="6" t="s">
        <v>418</v>
      </c>
      <c r="K690" s="139">
        <v>46209</v>
      </c>
      <c r="L690" s="139">
        <v>46209</v>
      </c>
      <c r="M690" s="142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7">
        <v>46209</v>
      </c>
      <c r="B691" s="15" t="str">
        <f>VLOOKUP(C691,'Product List'!A:C,3,0)</f>
        <v>MINI/MOE SILENT CRSTL RUN WHEEL XL 11.5 1EA</v>
      </c>
      <c r="C691" s="162" t="s">
        <v>31</v>
      </c>
      <c r="D691" s="138" t="s">
        <v>416</v>
      </c>
      <c r="E691" s="22" t="s">
        <v>417</v>
      </c>
      <c r="F691" s="162">
        <v>6</v>
      </c>
      <c r="G691" s="99">
        <v>0</v>
      </c>
      <c r="H691" s="99">
        <f t="shared" si="27"/>
        <v>0</v>
      </c>
      <c r="I691" s="6" t="s">
        <v>418</v>
      </c>
      <c r="J691" s="6" t="s">
        <v>418</v>
      </c>
      <c r="K691" s="139">
        <v>46209</v>
      </c>
      <c r="L691" s="139">
        <v>46209</v>
      </c>
      <c r="M691" s="142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7">
        <v>46209</v>
      </c>
      <c r="B692" s="15" t="str">
        <f>VLOOKUP(C692,'Product List'!A:C,3,0)</f>
        <v>MINI/MOE TV VIEWING CAGE</v>
      </c>
      <c r="C692" s="162" t="s">
        <v>27</v>
      </c>
      <c r="D692" s="138" t="s">
        <v>416</v>
      </c>
      <c r="E692" s="22" t="s">
        <v>417</v>
      </c>
      <c r="F692" s="162">
        <v>6</v>
      </c>
      <c r="G692" s="99">
        <v>0</v>
      </c>
      <c r="H692" s="99">
        <f t="shared" si="27"/>
        <v>0</v>
      </c>
      <c r="I692" s="6" t="s">
        <v>418</v>
      </c>
      <c r="J692" s="6" t="s">
        <v>418</v>
      </c>
      <c r="K692" s="139">
        <v>46209</v>
      </c>
      <c r="L692" s="139">
        <v>46209</v>
      </c>
      <c r="M692" s="142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7">
        <v>46209</v>
      </c>
      <c r="B693" s="15" t="str">
        <f>VLOOKUP(C693,'Product List'!A:C,3,0)</f>
        <v>MINI/MOE SILENT CRSTL RUN WHEEL LG 8.5-Green</v>
      </c>
      <c r="C693" s="162" t="s">
        <v>32</v>
      </c>
      <c r="D693" s="138" t="s">
        <v>416</v>
      </c>
      <c r="E693" s="22" t="s">
        <v>417</v>
      </c>
      <c r="F693" s="162">
        <v>8</v>
      </c>
      <c r="G693" s="99">
        <v>0</v>
      </c>
      <c r="H693" s="99">
        <f t="shared" si="27"/>
        <v>0</v>
      </c>
      <c r="I693" s="6" t="s">
        <v>418</v>
      </c>
      <c r="J693" s="6" t="s">
        <v>418</v>
      </c>
      <c r="K693" s="139">
        <v>46209</v>
      </c>
      <c r="L693" s="139">
        <v>46209</v>
      </c>
      <c r="M693" s="142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7">
        <v>46209</v>
      </c>
      <c r="B694" s="15" t="str">
        <f>VLOOKUP(C694,'Product List'!A:C,3,0)</f>
        <v>MINI/MOE TULIP WATER BOTTLE</v>
      </c>
      <c r="C694" s="162" t="s">
        <v>29</v>
      </c>
      <c r="D694" s="138" t="s">
        <v>416</v>
      </c>
      <c r="E694" s="22" t="s">
        <v>417</v>
      </c>
      <c r="F694" s="162">
        <v>60</v>
      </c>
      <c r="G694" s="99">
        <v>0</v>
      </c>
      <c r="H694" s="99">
        <f t="shared" si="27"/>
        <v>0</v>
      </c>
      <c r="I694" s="6" t="s">
        <v>418</v>
      </c>
      <c r="J694" s="6" t="s">
        <v>418</v>
      </c>
      <c r="K694" s="139">
        <v>46209</v>
      </c>
      <c r="L694" s="139">
        <v>46209</v>
      </c>
      <c r="M694" s="142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7">
        <v>46209</v>
      </c>
      <c r="B695" s="15" t="str">
        <f>VLOOKUP(C695,'Product List'!A:C,3,0)</f>
        <v>Tree Stump Hide</v>
      </c>
      <c r="C695" s="162" t="s">
        <v>81</v>
      </c>
      <c r="D695" s="138" t="s">
        <v>416</v>
      </c>
      <c r="E695" s="22" t="s">
        <v>417</v>
      </c>
      <c r="F695" s="162">
        <v>24</v>
      </c>
      <c r="G695" s="99">
        <v>0</v>
      </c>
      <c r="H695" s="99">
        <f t="shared" si="27"/>
        <v>0</v>
      </c>
      <c r="I695" s="6" t="s">
        <v>418</v>
      </c>
      <c r="J695" s="6" t="s">
        <v>418</v>
      </c>
      <c r="K695" s="139">
        <v>46209</v>
      </c>
      <c r="L695" s="139">
        <v>46209</v>
      </c>
      <c r="M695" s="142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7">
        <v>46209</v>
      </c>
      <c r="B696" s="15" t="str">
        <f>VLOOKUP(C696,'Product List'!A:C,3,0)</f>
        <v>MMO-STARFISH CASTLE</v>
      </c>
      <c r="C696" s="162" t="s">
        <v>76</v>
      </c>
      <c r="D696" s="138" t="s">
        <v>416</v>
      </c>
      <c r="E696" s="22" t="s">
        <v>417</v>
      </c>
      <c r="F696" s="162">
        <v>20</v>
      </c>
      <c r="G696" s="99">
        <v>0</v>
      </c>
      <c r="H696" s="99">
        <f t="shared" si="27"/>
        <v>0</v>
      </c>
      <c r="I696" s="6" t="s">
        <v>418</v>
      </c>
      <c r="J696" s="6" t="s">
        <v>418</v>
      </c>
      <c r="K696" s="139">
        <v>46209</v>
      </c>
      <c r="L696" s="139">
        <v>46209</v>
      </c>
      <c r="M696" s="142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7">
        <v>46210</v>
      </c>
      <c r="B697" s="15" t="str">
        <f>VLOOKUP(C697,'Product List'!A:C,3,0)</f>
        <v>MMO-SHELL PEARL HAMSTER CHEW</v>
      </c>
      <c r="C697" s="162" t="s">
        <v>48</v>
      </c>
      <c r="D697" s="165">
        <v>31577968</v>
      </c>
      <c r="E697" s="22" t="s">
        <v>419</v>
      </c>
      <c r="F697" s="165">
        <v>64</v>
      </c>
      <c r="G697" s="165">
        <v>1.61</v>
      </c>
      <c r="H697" s="99">
        <f t="shared" si="27"/>
        <v>103.04</v>
      </c>
      <c r="I697" s="6" t="s">
        <v>325</v>
      </c>
      <c r="J697" s="6" t="s">
        <v>350</v>
      </c>
      <c r="K697" s="166">
        <v>46247</v>
      </c>
      <c r="L697" s="139">
        <v>46238</v>
      </c>
      <c r="M697" s="142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7">
        <v>46210</v>
      </c>
      <c r="B698" s="15" t="str">
        <f>VLOOKUP(C698,'Product List'!A:C,3,0)</f>
        <v>MINI/MOE TV VIEWING CAGE</v>
      </c>
      <c r="C698" s="162" t="s">
        <v>27</v>
      </c>
      <c r="D698" s="165">
        <v>31577968</v>
      </c>
      <c r="E698" s="22" t="s">
        <v>419</v>
      </c>
      <c r="F698" s="165">
        <v>117</v>
      </c>
      <c r="G698" s="165">
        <v>48.49</v>
      </c>
      <c r="H698" s="99">
        <f t="shared" si="27"/>
        <v>5673.33</v>
      </c>
      <c r="I698" s="6" t="s">
        <v>325</v>
      </c>
      <c r="J698" s="6" t="s">
        <v>350</v>
      </c>
      <c r="K698" s="166">
        <v>46247</v>
      </c>
      <c r="L698" s="139">
        <v>46238</v>
      </c>
      <c r="M698" s="142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7">
        <v>46210</v>
      </c>
      <c r="B699" s="15" t="str">
        <f>VLOOKUP(C699,'Product List'!A:C,3,0)</f>
        <v>MMO-STARFISH CASTLE</v>
      </c>
      <c r="C699" s="162" t="s">
        <v>76</v>
      </c>
      <c r="D699" s="165">
        <v>31577968</v>
      </c>
      <c r="E699" s="22" t="s">
        <v>419</v>
      </c>
      <c r="F699" s="165">
        <v>40</v>
      </c>
      <c r="G699" s="165">
        <v>5.32</v>
      </c>
      <c r="H699" s="99">
        <f t="shared" si="27"/>
        <v>212.8</v>
      </c>
      <c r="I699" s="6" t="s">
        <v>325</v>
      </c>
      <c r="J699" s="6" t="s">
        <v>350</v>
      </c>
      <c r="K699" s="166">
        <v>46247</v>
      </c>
      <c r="L699" s="139">
        <v>46238</v>
      </c>
      <c r="M699" s="142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7">
        <v>46210</v>
      </c>
      <c r="B700" s="15" t="str">
        <f>VLOOKUP(C700,'Product List'!A:C,3,0)</f>
        <v>MMO-BUBBLE WATER BOTTLE</v>
      </c>
      <c r="C700" s="162" t="s">
        <v>38</v>
      </c>
      <c r="D700" s="165">
        <v>31577968</v>
      </c>
      <c r="E700" s="22" t="s">
        <v>419</v>
      </c>
      <c r="F700" s="165">
        <v>84</v>
      </c>
      <c r="G700" s="165">
        <v>4.35</v>
      </c>
      <c r="H700" s="99">
        <f t="shared" si="27"/>
        <v>365.4</v>
      </c>
      <c r="I700" s="6" t="s">
        <v>325</v>
      </c>
      <c r="J700" s="6" t="s">
        <v>350</v>
      </c>
      <c r="K700" s="166">
        <v>46247</v>
      </c>
      <c r="L700" s="139">
        <v>46238</v>
      </c>
      <c r="M700" s="142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7">
        <v>46210</v>
      </c>
      <c r="B701" s="15" t="str">
        <f>VLOOKUP(C701,'Product List'!A:C,3,0)</f>
        <v>MMO-CLOUD WATER BOTTLE</v>
      </c>
      <c r="C701" s="162" t="s">
        <v>37</v>
      </c>
      <c r="D701" s="165">
        <v>31577968</v>
      </c>
      <c r="E701" s="22" t="s">
        <v>419</v>
      </c>
      <c r="F701" s="165">
        <v>50</v>
      </c>
      <c r="G701" s="165">
        <v>1.32</v>
      </c>
      <c r="H701" s="99">
        <f t="shared" si="27"/>
        <v>66</v>
      </c>
      <c r="I701" s="6" t="s">
        <v>325</v>
      </c>
      <c r="J701" s="6" t="s">
        <v>350</v>
      </c>
      <c r="K701" s="166">
        <v>46247</v>
      </c>
      <c r="L701" s="139">
        <v>46238</v>
      </c>
      <c r="M701" s="142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7">
        <v>46210</v>
      </c>
      <c r="B702" s="15" t="str">
        <f>VLOOKUP(C702,'Product List'!A:C,3,0)</f>
        <v>MINI/MOE RUFFLE BOWL</v>
      </c>
      <c r="C702" s="162" t="s">
        <v>83</v>
      </c>
      <c r="D702" s="165">
        <v>31577968</v>
      </c>
      <c r="E702" s="22" t="s">
        <v>419</v>
      </c>
      <c r="F702" s="165">
        <v>96</v>
      </c>
      <c r="G702" s="165">
        <v>2.35</v>
      </c>
      <c r="H702" s="99">
        <f t="shared" si="27"/>
        <v>225.6</v>
      </c>
      <c r="I702" s="6" t="s">
        <v>325</v>
      </c>
      <c r="J702" s="6" t="s">
        <v>350</v>
      </c>
      <c r="K702" s="166">
        <v>46247</v>
      </c>
      <c r="L702" s="139">
        <v>46238</v>
      </c>
      <c r="M702" s="142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7">
        <v>46210</v>
      </c>
      <c r="B703" s="15" t="str">
        <f>VLOOKUP(C703,'Product List'!A:C,3,0)</f>
        <v>MMO-PAPER PEBBLES</v>
      </c>
      <c r="C703" s="162" t="s">
        <v>42</v>
      </c>
      <c r="D703" s="165">
        <v>31577968</v>
      </c>
      <c r="E703" s="22" t="s">
        <v>419</v>
      </c>
      <c r="F703" s="165">
        <v>12</v>
      </c>
      <c r="G703" s="165">
        <v>5.81</v>
      </c>
      <c r="H703" s="99">
        <f t="shared" si="27"/>
        <v>69.72</v>
      </c>
      <c r="I703" s="6" t="s">
        <v>325</v>
      </c>
      <c r="J703" s="6" t="s">
        <v>350</v>
      </c>
      <c r="K703" s="166">
        <v>46247</v>
      </c>
      <c r="L703" s="139">
        <v>46238</v>
      </c>
      <c r="M703" s="142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7">
        <v>46210</v>
      </c>
      <c r="B704" s="15" t="str">
        <f>VLOOKUP(C704,'Product List'!A:C,3,0)</f>
        <v>MMO-GREEN APPLE CHEW</v>
      </c>
      <c r="C704" s="162" t="s">
        <v>39</v>
      </c>
      <c r="D704" s="165">
        <v>31577969</v>
      </c>
      <c r="E704" s="22" t="s">
        <v>420</v>
      </c>
      <c r="F704" s="165">
        <v>96</v>
      </c>
      <c r="G704" s="165">
        <v>1.53</v>
      </c>
      <c r="H704" s="99">
        <f t="shared" si="27"/>
        <v>146.88</v>
      </c>
      <c r="I704" s="6" t="s">
        <v>325</v>
      </c>
      <c r="J704" s="6" t="s">
        <v>351</v>
      </c>
      <c r="K704" s="166">
        <v>46247</v>
      </c>
      <c r="L704" s="139">
        <v>46239</v>
      </c>
      <c r="M704" s="142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7">
        <v>46210</v>
      </c>
      <c r="B705" s="15" t="str">
        <f>VLOOKUP(C705,'Product List'!A:C,3,0)</f>
        <v>MMO-CAMP LUNCH BOX CHEW</v>
      </c>
      <c r="C705" s="162" t="s">
        <v>40</v>
      </c>
      <c r="D705" s="165">
        <v>31577969</v>
      </c>
      <c r="E705" s="22" t="s">
        <v>420</v>
      </c>
      <c r="F705" s="165">
        <v>72</v>
      </c>
      <c r="G705" s="165">
        <v>2.48</v>
      </c>
      <c r="H705" s="99">
        <f t="shared" si="27"/>
        <v>178.56</v>
      </c>
      <c r="I705" s="6" t="s">
        <v>325</v>
      </c>
      <c r="J705" s="6" t="s">
        <v>351</v>
      </c>
      <c r="K705" s="166">
        <v>46247</v>
      </c>
      <c r="L705" s="139">
        <v>46239</v>
      </c>
      <c r="M705" s="142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7">
        <v>46210</v>
      </c>
      <c r="B706" s="15" t="str">
        <f>VLOOKUP(C706,'Product List'!A:C,3,0)</f>
        <v>MINI/MOE TV VIEWING CAGE</v>
      </c>
      <c r="C706" s="162" t="s">
        <v>27</v>
      </c>
      <c r="D706" s="165">
        <v>31577969</v>
      </c>
      <c r="E706" s="22" t="s">
        <v>420</v>
      </c>
      <c r="F706" s="165">
        <v>159</v>
      </c>
      <c r="G706" s="165">
        <v>48.49</v>
      </c>
      <c r="H706" s="99">
        <f t="shared" si="27"/>
        <v>7709.91</v>
      </c>
      <c r="I706" s="6" t="s">
        <v>325</v>
      </c>
      <c r="J706" s="6" t="s">
        <v>351</v>
      </c>
      <c r="K706" s="166">
        <v>46247</v>
      </c>
      <c r="L706" s="139">
        <v>46239</v>
      </c>
      <c r="M706" s="142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7">
        <v>46210</v>
      </c>
      <c r="B707" s="15" t="str">
        <f>VLOOKUP(C707,'Product List'!A:C,3,0)</f>
        <v>MMO-BUBBLE WATER BOTTLE</v>
      </c>
      <c r="C707" s="162" t="s">
        <v>38</v>
      </c>
      <c r="D707" s="165">
        <v>31577969</v>
      </c>
      <c r="E707" s="22" t="s">
        <v>420</v>
      </c>
      <c r="F707" s="165">
        <v>126</v>
      </c>
      <c r="G707" s="165">
        <v>4.35</v>
      </c>
      <c r="H707" s="99">
        <f t="shared" si="27"/>
        <v>548.1</v>
      </c>
      <c r="I707" s="6" t="s">
        <v>325</v>
      </c>
      <c r="J707" s="6" t="s">
        <v>351</v>
      </c>
      <c r="K707" s="166">
        <v>46247</v>
      </c>
      <c r="L707" s="139">
        <v>46239</v>
      </c>
      <c r="M707" s="142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7">
        <v>46210</v>
      </c>
      <c r="B708" s="15" t="str">
        <f>VLOOKUP(C708,'Product List'!A:C,3,0)</f>
        <v>MMO-PAPER TWIST BLU/WHT</v>
      </c>
      <c r="C708" s="162" t="s">
        <v>44</v>
      </c>
      <c r="D708" s="165">
        <v>31577969</v>
      </c>
      <c r="E708" s="22" t="s">
        <v>420</v>
      </c>
      <c r="F708" s="165">
        <v>90</v>
      </c>
      <c r="G708" s="165">
        <v>3.89</v>
      </c>
      <c r="H708" s="99">
        <f t="shared" si="27"/>
        <v>350.1</v>
      </c>
      <c r="I708" s="6" t="s">
        <v>325</v>
      </c>
      <c r="J708" s="6" t="s">
        <v>351</v>
      </c>
      <c r="K708" s="166">
        <v>46247</v>
      </c>
      <c r="L708" s="139">
        <v>46239</v>
      </c>
      <c r="M708" s="142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7">
        <v>46210</v>
      </c>
      <c r="B709" s="15" t="str">
        <f>VLOOKUP(C709,'Product List'!A:C,3,0)</f>
        <v>MMO-CLOUD WATER BOTTLE</v>
      </c>
      <c r="C709" s="162" t="s">
        <v>37</v>
      </c>
      <c r="D709" s="165">
        <v>31577969</v>
      </c>
      <c r="E709" s="22" t="s">
        <v>420</v>
      </c>
      <c r="F709" s="165">
        <v>50</v>
      </c>
      <c r="G709" s="165">
        <v>1.32</v>
      </c>
      <c r="H709" s="99">
        <f t="shared" ref="H709:H772" si="29">F709*G709</f>
        <v>66</v>
      </c>
      <c r="I709" s="6" t="s">
        <v>325</v>
      </c>
      <c r="J709" s="6" t="s">
        <v>351</v>
      </c>
      <c r="K709" s="166">
        <v>46247</v>
      </c>
      <c r="L709" s="139">
        <v>46239</v>
      </c>
      <c r="M709" s="142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7">
        <v>46210</v>
      </c>
      <c r="B710" s="15" t="str">
        <f>VLOOKUP(C710,'Product List'!A:C,3,0)</f>
        <v>MINI/MOE RUFFLE BOWL</v>
      </c>
      <c r="C710" s="162" t="s">
        <v>83</v>
      </c>
      <c r="D710" s="165">
        <v>31577969</v>
      </c>
      <c r="E710" s="22" t="s">
        <v>420</v>
      </c>
      <c r="F710" s="165">
        <v>48</v>
      </c>
      <c r="G710" s="165">
        <v>2.35</v>
      </c>
      <c r="H710" s="99">
        <f t="shared" si="29"/>
        <v>112.8</v>
      </c>
      <c r="I710" s="6" t="s">
        <v>325</v>
      </c>
      <c r="J710" s="6" t="s">
        <v>351</v>
      </c>
      <c r="K710" s="166">
        <v>46247</v>
      </c>
      <c r="L710" s="139">
        <v>46239</v>
      </c>
      <c r="M710" s="142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7">
        <v>46210</v>
      </c>
      <c r="B711" s="15" t="str">
        <f>VLOOKUP(C711,'Product List'!A:C,3,0)</f>
        <v>MMO-PAPER PEBBLES</v>
      </c>
      <c r="C711" s="162" t="s">
        <v>42</v>
      </c>
      <c r="D711" s="165">
        <v>31577969</v>
      </c>
      <c r="E711" s="22" t="s">
        <v>420</v>
      </c>
      <c r="F711" s="165">
        <v>96</v>
      </c>
      <c r="G711" s="165">
        <v>5.81</v>
      </c>
      <c r="H711" s="99">
        <f t="shared" si="29"/>
        <v>557.76</v>
      </c>
      <c r="I711" s="6" t="s">
        <v>325</v>
      </c>
      <c r="J711" s="6" t="s">
        <v>351</v>
      </c>
      <c r="K711" s="166">
        <v>46247</v>
      </c>
      <c r="L711" s="139">
        <v>46239</v>
      </c>
      <c r="M711" s="142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7">
        <v>46210</v>
      </c>
      <c r="B712" s="15" t="str">
        <f>VLOOKUP(C712,'Product List'!A:C,3,0)</f>
        <v>MMO-COTTON NESTING BALLS</v>
      </c>
      <c r="C712" s="162" t="s">
        <v>43</v>
      </c>
      <c r="D712" s="165">
        <v>31577969</v>
      </c>
      <c r="E712" s="22" t="s">
        <v>420</v>
      </c>
      <c r="F712" s="165">
        <v>160</v>
      </c>
      <c r="G712" s="165">
        <v>3.37</v>
      </c>
      <c r="H712" s="99">
        <f t="shared" si="29"/>
        <v>539.2</v>
      </c>
      <c r="I712" s="6" t="s">
        <v>325</v>
      </c>
      <c r="J712" s="6" t="s">
        <v>351</v>
      </c>
      <c r="K712" s="166">
        <v>46247</v>
      </c>
      <c r="L712" s="139">
        <v>46239</v>
      </c>
      <c r="M712" s="142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7">
        <v>46210</v>
      </c>
      <c r="B713" s="15" t="str">
        <f>VLOOKUP(C713,'Product List'!A:C,3,0)</f>
        <v>MMO-SHELL PEARL HAMSTER CHEW</v>
      </c>
      <c r="C713" s="162" t="s">
        <v>48</v>
      </c>
      <c r="D713" s="165">
        <v>31577970</v>
      </c>
      <c r="E713" s="22" t="s">
        <v>421</v>
      </c>
      <c r="F713" s="165">
        <v>64</v>
      </c>
      <c r="G713" s="165">
        <v>1.61</v>
      </c>
      <c r="H713" s="99">
        <f t="shared" si="29"/>
        <v>103.04</v>
      </c>
      <c r="I713" s="17" t="s">
        <v>325</v>
      </c>
      <c r="J713" s="6" t="s">
        <v>345</v>
      </c>
      <c r="K713" s="166">
        <v>46245</v>
      </c>
      <c r="L713" s="139">
        <v>46246</v>
      </c>
      <c r="M713" s="142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7">
        <v>46210</v>
      </c>
      <c r="B714" s="15" t="str">
        <f>VLOOKUP(C714,'Product List'!A:C,3,0)</f>
        <v>MINI/MOE TV VIEWING CAGE</v>
      </c>
      <c r="C714" s="162" t="s">
        <v>27</v>
      </c>
      <c r="D714" s="165">
        <v>31577970</v>
      </c>
      <c r="E714" s="22" t="s">
        <v>421</v>
      </c>
      <c r="F714" s="165">
        <v>77</v>
      </c>
      <c r="G714" s="165">
        <v>48.49</v>
      </c>
      <c r="H714" s="99">
        <f t="shared" si="29"/>
        <v>3733.73</v>
      </c>
      <c r="I714" s="17" t="s">
        <v>325</v>
      </c>
      <c r="J714" s="6" t="s">
        <v>345</v>
      </c>
      <c r="K714" s="166">
        <v>46245</v>
      </c>
      <c r="L714" s="139">
        <v>46246</v>
      </c>
      <c r="M714" s="142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7">
        <v>46210</v>
      </c>
      <c r="B715" s="15" t="str">
        <f>VLOOKUP(C715,'Product List'!A:C,3,0)</f>
        <v>MMO-STARFISH CASTLE</v>
      </c>
      <c r="C715" s="162" t="s">
        <v>76</v>
      </c>
      <c r="D715" s="165">
        <v>31577970</v>
      </c>
      <c r="E715" s="22" t="s">
        <v>421</v>
      </c>
      <c r="F715" s="165">
        <v>20</v>
      </c>
      <c r="G715" s="165">
        <v>5.32</v>
      </c>
      <c r="H715" s="99">
        <f t="shared" si="29"/>
        <v>106.4</v>
      </c>
      <c r="I715" s="17" t="s">
        <v>325</v>
      </c>
      <c r="J715" s="6" t="s">
        <v>345</v>
      </c>
      <c r="K715" s="166">
        <v>46245</v>
      </c>
      <c r="L715" s="139">
        <v>46246</v>
      </c>
      <c r="M715" s="142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7">
        <v>46210</v>
      </c>
      <c r="B716" s="15" t="str">
        <f>VLOOKUP(C716,'Product List'!A:C,3,0)</f>
        <v>MINI/MOE BENDABLE BIRCHWOOD FENCE</v>
      </c>
      <c r="C716" s="162" t="s">
        <v>34</v>
      </c>
      <c r="D716" s="165">
        <v>31577970</v>
      </c>
      <c r="E716" s="22" t="s">
        <v>421</v>
      </c>
      <c r="F716" s="165">
        <v>32</v>
      </c>
      <c r="G716" s="165">
        <v>5.01</v>
      </c>
      <c r="H716" s="99">
        <f t="shared" si="29"/>
        <v>160.32</v>
      </c>
      <c r="I716" s="17" t="s">
        <v>325</v>
      </c>
      <c r="J716" s="6" t="s">
        <v>345</v>
      </c>
      <c r="K716" s="166">
        <v>46245</v>
      </c>
      <c r="L716" s="139">
        <v>46246</v>
      </c>
      <c r="M716" s="142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7">
        <v>46210</v>
      </c>
      <c r="B717" s="15" t="str">
        <f>VLOOKUP(C717,'Product List'!A:C,3,0)</f>
        <v>MMO-BUBBLE WATER BOTTLE</v>
      </c>
      <c r="C717" s="162" t="s">
        <v>38</v>
      </c>
      <c r="D717" s="165">
        <v>31577970</v>
      </c>
      <c r="E717" s="22" t="s">
        <v>421</v>
      </c>
      <c r="F717" s="165">
        <v>126</v>
      </c>
      <c r="G717" s="165">
        <v>4.35</v>
      </c>
      <c r="H717" s="99">
        <f t="shared" si="29"/>
        <v>548.1</v>
      </c>
      <c r="I717" s="17" t="s">
        <v>325</v>
      </c>
      <c r="J717" s="6" t="s">
        <v>345</v>
      </c>
      <c r="K717" s="166">
        <v>46245</v>
      </c>
      <c r="L717" s="139">
        <v>46246</v>
      </c>
      <c r="M717" s="142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7">
        <v>46210</v>
      </c>
      <c r="B718" s="15" t="str">
        <f>VLOOKUP(C718,'Product List'!A:C,3,0)</f>
        <v>MMO-CLOUD WATER BOTTLE</v>
      </c>
      <c r="C718" s="162" t="s">
        <v>37</v>
      </c>
      <c r="D718" s="165">
        <v>31577970</v>
      </c>
      <c r="E718" s="22" t="s">
        <v>421</v>
      </c>
      <c r="F718" s="165">
        <v>150</v>
      </c>
      <c r="G718" s="165">
        <v>1.32</v>
      </c>
      <c r="H718" s="99">
        <f t="shared" si="29"/>
        <v>198</v>
      </c>
      <c r="I718" s="17" t="s">
        <v>325</v>
      </c>
      <c r="J718" s="6" t="s">
        <v>345</v>
      </c>
      <c r="K718" s="166">
        <v>46245</v>
      </c>
      <c r="L718" s="139">
        <v>46246</v>
      </c>
      <c r="M718" s="142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7">
        <v>46210</v>
      </c>
      <c r="B719" s="15" t="str">
        <f>VLOOKUP(C719,'Product List'!A:C,3,0)</f>
        <v>MINI/MOE RUFFLE BOWL</v>
      </c>
      <c r="C719" s="162" t="s">
        <v>83</v>
      </c>
      <c r="D719" s="165">
        <v>31577970</v>
      </c>
      <c r="E719" s="22" t="s">
        <v>421</v>
      </c>
      <c r="F719" s="165">
        <v>48</v>
      </c>
      <c r="G719" s="165">
        <v>2.35</v>
      </c>
      <c r="H719" s="99">
        <f t="shared" si="29"/>
        <v>112.8</v>
      </c>
      <c r="I719" s="17" t="s">
        <v>325</v>
      </c>
      <c r="J719" s="6" t="s">
        <v>345</v>
      </c>
      <c r="K719" s="166">
        <v>46245</v>
      </c>
      <c r="L719" s="139">
        <v>46246</v>
      </c>
      <c r="M719" s="142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7">
        <v>46210</v>
      </c>
      <c r="B720" s="15" t="str">
        <f>VLOOKUP(C720,'Product List'!A:C,3,0)</f>
        <v>MMO-PAPER PEBBLES</v>
      </c>
      <c r="C720" s="162" t="s">
        <v>42</v>
      </c>
      <c r="D720" s="165">
        <v>31577970</v>
      </c>
      <c r="E720" s="22" t="s">
        <v>421</v>
      </c>
      <c r="F720" s="165">
        <v>12</v>
      </c>
      <c r="G720" s="165">
        <v>5.81</v>
      </c>
      <c r="H720" s="99">
        <f t="shared" si="29"/>
        <v>69.72</v>
      </c>
      <c r="I720" s="17" t="s">
        <v>325</v>
      </c>
      <c r="J720" s="6" t="s">
        <v>345</v>
      </c>
      <c r="K720" s="166">
        <v>46245</v>
      </c>
      <c r="L720" s="139">
        <v>46246</v>
      </c>
      <c r="M720" s="142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7">
        <v>46210</v>
      </c>
      <c r="B721" s="15" t="str">
        <f>VLOOKUP(C721,'Product List'!A:C,3,0)</f>
        <v>MINI/MOE TV VIEWING CAGE</v>
      </c>
      <c r="C721" s="162" t="s">
        <v>27</v>
      </c>
      <c r="D721" s="165">
        <v>31577971</v>
      </c>
      <c r="E721" s="22" t="s">
        <v>422</v>
      </c>
      <c r="F721" s="165">
        <v>81</v>
      </c>
      <c r="G721" s="165">
        <v>48.49</v>
      </c>
      <c r="H721" s="99">
        <f t="shared" si="29"/>
        <v>3927.69</v>
      </c>
      <c r="I721" s="6" t="s">
        <v>325</v>
      </c>
      <c r="J721" s="6" t="s">
        <v>355</v>
      </c>
      <c r="K721" s="166">
        <v>46250</v>
      </c>
      <c r="L721" s="139">
        <v>46238</v>
      </c>
      <c r="M721" s="142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7">
        <v>46210</v>
      </c>
      <c r="B722" s="15" t="str">
        <f>VLOOKUP(C722,'Product List'!A:C,3,0)</f>
        <v>MMO-STARFISH CASTLE</v>
      </c>
      <c r="C722" s="162" t="s">
        <v>76</v>
      </c>
      <c r="D722" s="165">
        <v>31577971</v>
      </c>
      <c r="E722" s="22" t="s">
        <v>422</v>
      </c>
      <c r="F722" s="165">
        <v>20</v>
      </c>
      <c r="G722" s="165">
        <v>5.32</v>
      </c>
      <c r="H722" s="99">
        <f t="shared" si="29"/>
        <v>106.4</v>
      </c>
      <c r="I722" s="6" t="s">
        <v>325</v>
      </c>
      <c r="J722" s="6" t="s">
        <v>355</v>
      </c>
      <c r="K722" s="166">
        <v>46250</v>
      </c>
      <c r="L722" s="139">
        <v>46238</v>
      </c>
      <c r="M722" s="142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7">
        <v>46210</v>
      </c>
      <c r="B723" s="15" t="str">
        <f>VLOOKUP(C723,'Product List'!A:C,3,0)</f>
        <v>MINI/MOE BENDABLE BIRCHWOOD FENCE</v>
      </c>
      <c r="C723" s="162" t="s">
        <v>34</v>
      </c>
      <c r="D723" s="165">
        <v>31577971</v>
      </c>
      <c r="E723" s="22" t="s">
        <v>422</v>
      </c>
      <c r="F723" s="165">
        <v>32</v>
      </c>
      <c r="G723" s="165">
        <v>5.01</v>
      </c>
      <c r="H723" s="99">
        <f t="shared" si="29"/>
        <v>160.32</v>
      </c>
      <c r="I723" s="6" t="s">
        <v>325</v>
      </c>
      <c r="J723" s="6" t="s">
        <v>355</v>
      </c>
      <c r="K723" s="166">
        <v>46250</v>
      </c>
      <c r="L723" s="139">
        <v>46238</v>
      </c>
      <c r="M723" s="142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7">
        <v>46210</v>
      </c>
      <c r="B724" s="15" t="str">
        <f>VLOOKUP(C724,'Product List'!A:C,3,0)</f>
        <v>D. MMO-COTTAGE VIEW CAGE</v>
      </c>
      <c r="C724" s="162" t="s">
        <v>57</v>
      </c>
      <c r="D724" s="165">
        <v>31577971</v>
      </c>
      <c r="E724" s="22" t="s">
        <v>422</v>
      </c>
      <c r="F724" s="165">
        <v>1</v>
      </c>
      <c r="G724" s="165">
        <v>70.28</v>
      </c>
      <c r="H724" s="99">
        <f t="shared" si="29"/>
        <v>70.28</v>
      </c>
      <c r="I724" s="6" t="s">
        <v>325</v>
      </c>
      <c r="J724" s="6" t="s">
        <v>355</v>
      </c>
      <c r="K724" s="166">
        <v>46250</v>
      </c>
      <c r="L724" s="139">
        <v>46238</v>
      </c>
      <c r="M724" s="142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7">
        <v>46211</v>
      </c>
      <c r="B725" s="15" t="str">
        <f>VLOOKUP(C725,'Product List'!A:C,3,0)</f>
        <v>MINI/MOE TV VIEWING CAGE</v>
      </c>
      <c r="C725" s="162" t="s">
        <v>27</v>
      </c>
      <c r="D725" s="165">
        <v>31583554</v>
      </c>
      <c r="E725" s="22" t="s">
        <v>423</v>
      </c>
      <c r="F725" s="162">
        <v>47</v>
      </c>
      <c r="G725" s="162">
        <v>48.49</v>
      </c>
      <c r="H725" s="99">
        <f t="shared" si="29"/>
        <v>2279.03</v>
      </c>
      <c r="I725" s="6" t="s">
        <v>325</v>
      </c>
      <c r="J725" s="6" t="s">
        <v>347</v>
      </c>
      <c r="K725" s="166">
        <v>46246</v>
      </c>
      <c r="L725" s="139">
        <v>46240</v>
      </c>
      <c r="M725" s="142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7">
        <v>46211</v>
      </c>
      <c r="B726" s="15" t="str">
        <f>VLOOKUP(C726,'Product List'!A:C,3,0)</f>
        <v>MINI/MOE BENDABLE BIRCHWOOD FENCE</v>
      </c>
      <c r="C726" s="162" t="s">
        <v>34</v>
      </c>
      <c r="D726" s="165">
        <v>31583554</v>
      </c>
      <c r="E726" s="22" t="s">
        <v>423</v>
      </c>
      <c r="F726" s="162">
        <v>96</v>
      </c>
      <c r="G726" s="162">
        <v>5.01</v>
      </c>
      <c r="H726" s="99">
        <f t="shared" si="29"/>
        <v>480.96</v>
      </c>
      <c r="I726" s="6" t="s">
        <v>325</v>
      </c>
      <c r="J726" s="6" t="s">
        <v>347</v>
      </c>
      <c r="K726" s="166">
        <v>46246</v>
      </c>
      <c r="L726" s="139">
        <v>46240</v>
      </c>
      <c r="M726" s="142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7">
        <v>46211</v>
      </c>
      <c r="B727" s="15" t="str">
        <f>VLOOKUP(C727,'Product List'!A:C,3,0)</f>
        <v>MINI/MOE RUFFLE BOWL</v>
      </c>
      <c r="C727" s="162" t="s">
        <v>83</v>
      </c>
      <c r="D727" s="165">
        <v>31583554</v>
      </c>
      <c r="E727" s="22" t="s">
        <v>423</v>
      </c>
      <c r="F727" s="162">
        <v>48</v>
      </c>
      <c r="G727" s="162">
        <v>2.35</v>
      </c>
      <c r="H727" s="99">
        <f t="shared" si="29"/>
        <v>112.8</v>
      </c>
      <c r="I727" s="6" t="s">
        <v>325</v>
      </c>
      <c r="J727" s="6" t="s">
        <v>347</v>
      </c>
      <c r="K727" s="166">
        <v>46246</v>
      </c>
      <c r="L727" s="139">
        <v>46240</v>
      </c>
      <c r="M727" s="142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7">
        <v>46211</v>
      </c>
      <c r="B728" s="15" t="str">
        <f>VLOOKUP(C728,'Product List'!A:C,3,0)</f>
        <v>MMO-PAPER PEBBLES</v>
      </c>
      <c r="C728" s="162" t="s">
        <v>42</v>
      </c>
      <c r="D728" s="165">
        <v>31583554</v>
      </c>
      <c r="E728" s="22" t="s">
        <v>423</v>
      </c>
      <c r="F728" s="162">
        <v>24</v>
      </c>
      <c r="G728" s="162">
        <v>5.81</v>
      </c>
      <c r="H728" s="99">
        <f t="shared" si="29"/>
        <v>139.44</v>
      </c>
      <c r="I728" s="6" t="s">
        <v>325</v>
      </c>
      <c r="J728" s="6" t="s">
        <v>347</v>
      </c>
      <c r="K728" s="166">
        <v>46246</v>
      </c>
      <c r="L728" s="139">
        <v>46240</v>
      </c>
      <c r="M728" s="142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7">
        <v>46219</v>
      </c>
      <c r="B729" s="15" t="str">
        <f>VLOOKUP(C729,'Product List'!A:C,3,0)</f>
        <v>MINI &amp; MOE MAG CONECT WTR BTL 4 OZ</v>
      </c>
      <c r="C729" s="15" t="s">
        <v>36</v>
      </c>
      <c r="D729" s="165">
        <v>454348660</v>
      </c>
      <c r="E729" s="165"/>
      <c r="F729" s="165">
        <v>756</v>
      </c>
      <c r="G729" s="165">
        <v>2.66</v>
      </c>
      <c r="H729" s="99">
        <f t="shared" si="29"/>
        <v>2010.96</v>
      </c>
      <c r="I729" s="162" t="s">
        <v>424</v>
      </c>
      <c r="J729" s="6" t="s">
        <v>425</v>
      </c>
      <c r="K729" s="166">
        <v>46236</v>
      </c>
      <c r="L729" s="166">
        <v>46239</v>
      </c>
      <c r="M729" s="142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7">
        <v>46219</v>
      </c>
      <c r="B730" s="15" t="str">
        <f>VLOOKUP(C730,'Product List'!A:C,3,0)</f>
        <v>MINI &amp; MOE WOODEN BRIDGE</v>
      </c>
      <c r="C730" s="15" t="s">
        <v>24</v>
      </c>
      <c r="D730" s="165">
        <v>454348660</v>
      </c>
      <c r="E730" s="165"/>
      <c r="F730" s="165">
        <v>864</v>
      </c>
      <c r="G730" s="165">
        <v>3.01</v>
      </c>
      <c r="H730" s="99">
        <f t="shared" si="29"/>
        <v>2600.64</v>
      </c>
      <c r="I730" s="162" t="s">
        <v>424</v>
      </c>
      <c r="J730" s="6" t="s">
        <v>425</v>
      </c>
      <c r="K730" s="166">
        <v>46236</v>
      </c>
      <c r="L730" s="166">
        <v>46239</v>
      </c>
      <c r="M730" s="142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7">
        <v>46219</v>
      </c>
      <c r="B731" s="15" t="str">
        <f>VLOOKUP(C731,'Product List'!A:C,3,0)</f>
        <v>MINI &amp; MOE GARDEN DECOR CHEW</v>
      </c>
      <c r="C731" s="15" t="s">
        <v>23</v>
      </c>
      <c r="D731" s="165">
        <v>454348660</v>
      </c>
      <c r="E731" s="165"/>
      <c r="F731" s="165">
        <v>810</v>
      </c>
      <c r="G731" s="165">
        <v>3.23</v>
      </c>
      <c r="H731" s="99">
        <f t="shared" si="29"/>
        <v>2616.3</v>
      </c>
      <c r="I731" s="162" t="s">
        <v>424</v>
      </c>
      <c r="J731" s="6" t="s">
        <v>425</v>
      </c>
      <c r="K731" s="166">
        <v>46236</v>
      </c>
      <c r="L731" s="166">
        <v>46239</v>
      </c>
      <c r="M731" s="142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7">
        <v>46219</v>
      </c>
      <c r="B732" s="15" t="str">
        <f>VLOOKUP(C732,'Product List'!A:C,3,0)</f>
        <v>MINI &amp; MOE TREE DECOR CHEW</v>
      </c>
      <c r="C732" s="15" t="s">
        <v>26</v>
      </c>
      <c r="D732" s="165">
        <v>454348660</v>
      </c>
      <c r="E732" s="165"/>
      <c r="F732" s="165">
        <v>784</v>
      </c>
      <c r="G732" s="165">
        <v>3.53</v>
      </c>
      <c r="H732" s="99">
        <f t="shared" si="29"/>
        <v>2767.52</v>
      </c>
      <c r="I732" s="162" t="s">
        <v>424</v>
      </c>
      <c r="J732" s="6" t="s">
        <v>425</v>
      </c>
      <c r="K732" s="166">
        <v>46236</v>
      </c>
      <c r="L732" s="166">
        <v>46239</v>
      </c>
      <c r="M732" s="142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7">
        <v>46219</v>
      </c>
      <c r="B733" s="15" t="str">
        <f>VLOOKUP(C733,'Product List'!A:C,3,0)</f>
        <v>MINI/MOE TV VIEWING CAGE</v>
      </c>
      <c r="C733" s="15" t="s">
        <v>27</v>
      </c>
      <c r="D733" s="165">
        <v>454348660</v>
      </c>
      <c r="E733" s="165"/>
      <c r="F733" s="165">
        <v>94</v>
      </c>
      <c r="G733" s="165">
        <v>45.87</v>
      </c>
      <c r="H733" s="99">
        <f t="shared" si="29"/>
        <v>4311.78</v>
      </c>
      <c r="I733" s="162" t="s">
        <v>424</v>
      </c>
      <c r="J733" s="6" t="s">
        <v>425</v>
      </c>
      <c r="K733" s="166">
        <v>46236</v>
      </c>
      <c r="L733" s="166">
        <v>46239</v>
      </c>
      <c r="M733" s="142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7">
        <v>46219</v>
      </c>
      <c r="B734" s="15" t="str">
        <f>VLOOKUP(C734,'Product List'!A:C,3,0)</f>
        <v>MINI &amp; MOE COTTAGE HIDE</v>
      </c>
      <c r="C734" s="15" t="s">
        <v>28</v>
      </c>
      <c r="D734" s="165">
        <v>454348660</v>
      </c>
      <c r="E734" s="165"/>
      <c r="F734" s="165">
        <v>672</v>
      </c>
      <c r="G734" s="165">
        <v>6.28</v>
      </c>
      <c r="H734" s="99">
        <f t="shared" si="29"/>
        <v>4220.16</v>
      </c>
      <c r="I734" s="162" t="s">
        <v>424</v>
      </c>
      <c r="J734" s="6" t="s">
        <v>425</v>
      </c>
      <c r="K734" s="166">
        <v>46236</v>
      </c>
      <c r="L734" s="166">
        <v>46239</v>
      </c>
      <c r="M734" s="142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7">
        <v>46219</v>
      </c>
      <c r="B735" s="15" t="str">
        <f>VLOOKUP(C735,'Product List'!A:C,3,0)</f>
        <v>MINI/MOE CAMPING TENT HIDE</v>
      </c>
      <c r="C735" s="15" t="s">
        <v>25</v>
      </c>
      <c r="D735" s="165">
        <v>454348660</v>
      </c>
      <c r="E735" s="165"/>
      <c r="F735" s="165">
        <v>720</v>
      </c>
      <c r="G735" s="165">
        <v>3.35</v>
      </c>
      <c r="H735" s="99">
        <f t="shared" si="29"/>
        <v>2412</v>
      </c>
      <c r="I735" s="162" t="s">
        <v>424</v>
      </c>
      <c r="J735" s="6" t="s">
        <v>425</v>
      </c>
      <c r="K735" s="166">
        <v>46236</v>
      </c>
      <c r="L735" s="166">
        <v>46239</v>
      </c>
      <c r="M735" s="142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7">
        <v>46219</v>
      </c>
      <c r="B736" s="15" t="str">
        <f>VLOOKUP(C736,'Product List'!A:C,3,0)</f>
        <v>MINI &amp; MOE MAG CONECT WTR BTL 4 OZ</v>
      </c>
      <c r="C736" s="15" t="s">
        <v>36</v>
      </c>
      <c r="D736" s="165">
        <v>454348661</v>
      </c>
      <c r="E736" s="165"/>
      <c r="F736" s="165">
        <v>540</v>
      </c>
      <c r="G736" s="165">
        <v>2.66</v>
      </c>
      <c r="H736" s="99">
        <f t="shared" si="29"/>
        <v>1436.4</v>
      </c>
      <c r="I736" s="162" t="s">
        <v>424</v>
      </c>
      <c r="J736" s="6" t="s">
        <v>426</v>
      </c>
      <c r="K736" s="166">
        <v>46236</v>
      </c>
      <c r="L736" s="166">
        <v>46239</v>
      </c>
      <c r="M736" s="142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7">
        <v>46219</v>
      </c>
      <c r="B737" s="15" t="str">
        <f>VLOOKUP(C737,'Product List'!A:C,3,0)</f>
        <v>MINI &amp; MOE WOODEN BRIDGE</v>
      </c>
      <c r="C737" s="15" t="s">
        <v>24</v>
      </c>
      <c r="D737" s="165">
        <v>454348661</v>
      </c>
      <c r="E737" s="165"/>
      <c r="F737" s="165">
        <v>720</v>
      </c>
      <c r="G737" s="165">
        <v>3.01</v>
      </c>
      <c r="H737" s="99">
        <f t="shared" si="29"/>
        <v>2167.2</v>
      </c>
      <c r="I737" s="162" t="s">
        <v>424</v>
      </c>
      <c r="J737" s="6" t="s">
        <v>426</v>
      </c>
      <c r="K737" s="166">
        <v>46236</v>
      </c>
      <c r="L737" s="166">
        <v>46239</v>
      </c>
      <c r="M737" s="142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7">
        <v>46219</v>
      </c>
      <c r="B738" s="15" t="str">
        <f>VLOOKUP(C738,'Product List'!A:C,3,0)</f>
        <v>MINI &amp; MOE GARDEN DECOR CHEW</v>
      </c>
      <c r="C738" s="15" t="s">
        <v>23</v>
      </c>
      <c r="D738" s="165">
        <v>454348661</v>
      </c>
      <c r="E738" s="165"/>
      <c r="F738" s="165">
        <v>585</v>
      </c>
      <c r="G738" s="165">
        <v>3.23</v>
      </c>
      <c r="H738" s="99">
        <f t="shared" si="29"/>
        <v>1889.55</v>
      </c>
      <c r="I738" s="162" t="s">
        <v>424</v>
      </c>
      <c r="J738" s="6" t="s">
        <v>426</v>
      </c>
      <c r="K738" s="166">
        <v>46236</v>
      </c>
      <c r="L738" s="166">
        <v>46239</v>
      </c>
      <c r="M738" s="142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7">
        <v>46219</v>
      </c>
      <c r="B739" s="15" t="str">
        <f>VLOOKUP(C739,'Product List'!A:C,3,0)</f>
        <v>MINI &amp; MOE TREE DECOR CHEW</v>
      </c>
      <c r="C739" s="15" t="s">
        <v>26</v>
      </c>
      <c r="D739" s="165">
        <v>454348661</v>
      </c>
      <c r="E739" s="165"/>
      <c r="F739" s="165">
        <v>588</v>
      </c>
      <c r="G739" s="165">
        <v>3.53</v>
      </c>
      <c r="H739" s="99">
        <f t="shared" si="29"/>
        <v>2075.64</v>
      </c>
      <c r="I739" s="162" t="s">
        <v>424</v>
      </c>
      <c r="J739" s="6" t="s">
        <v>426</v>
      </c>
      <c r="K739" s="166">
        <v>46236</v>
      </c>
      <c r="L739" s="166">
        <v>46239</v>
      </c>
      <c r="M739" s="142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7">
        <v>46219</v>
      </c>
      <c r="B740" s="15" t="str">
        <f>VLOOKUP(C740,'Product List'!A:C,3,0)</f>
        <v>MINI &amp; MOE COTTAGE HIDE</v>
      </c>
      <c r="C740" s="15" t="s">
        <v>28</v>
      </c>
      <c r="D740" s="165">
        <v>454348661</v>
      </c>
      <c r="E740" s="165"/>
      <c r="F740" s="165">
        <v>576</v>
      </c>
      <c r="G740" s="165">
        <v>6.28</v>
      </c>
      <c r="H740" s="99">
        <f t="shared" si="29"/>
        <v>3617.28</v>
      </c>
      <c r="I740" s="162" t="s">
        <v>424</v>
      </c>
      <c r="J740" s="6" t="s">
        <v>426</v>
      </c>
      <c r="K740" s="166">
        <v>46236</v>
      </c>
      <c r="L740" s="166">
        <v>46239</v>
      </c>
      <c r="M740" s="142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7">
        <v>46219</v>
      </c>
      <c r="B741" s="15" t="str">
        <f>VLOOKUP(C741,'Product List'!A:C,3,0)</f>
        <v>MINI/MOE CAMPING TENT HIDE</v>
      </c>
      <c r="C741" s="15" t="s">
        <v>25</v>
      </c>
      <c r="D741" s="165">
        <v>454348661</v>
      </c>
      <c r="E741" s="165"/>
      <c r="F741" s="165">
        <v>576</v>
      </c>
      <c r="G741" s="165">
        <v>3.35</v>
      </c>
      <c r="H741" s="99">
        <f t="shared" si="29"/>
        <v>1929.6</v>
      </c>
      <c r="I741" s="162" t="s">
        <v>424</v>
      </c>
      <c r="J741" s="6" t="s">
        <v>426</v>
      </c>
      <c r="K741" s="166">
        <v>46236</v>
      </c>
      <c r="L741" s="166">
        <v>46239</v>
      </c>
      <c r="M741" s="142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7">
        <v>46219</v>
      </c>
      <c r="B742" s="15" t="str">
        <f>VLOOKUP(C742,'Product List'!A:C,3,0)</f>
        <v>MINI &amp; MOE MAG CONECT WTR BTL 4 OZ</v>
      </c>
      <c r="C742" s="15" t="s">
        <v>36</v>
      </c>
      <c r="D742" s="165">
        <v>454348662</v>
      </c>
      <c r="E742" s="165"/>
      <c r="F742" s="165">
        <v>972</v>
      </c>
      <c r="G742" s="165">
        <v>2.66</v>
      </c>
      <c r="H742" s="99">
        <f t="shared" si="29"/>
        <v>2585.52</v>
      </c>
      <c r="I742" s="162" t="s">
        <v>424</v>
      </c>
      <c r="J742" s="6" t="s">
        <v>427</v>
      </c>
      <c r="K742" s="166">
        <v>46236</v>
      </c>
      <c r="L742" s="166">
        <v>46234</v>
      </c>
      <c r="M742" s="142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7">
        <v>46219</v>
      </c>
      <c r="B743" s="15" t="str">
        <f>VLOOKUP(C743,'Product List'!A:C,3,0)</f>
        <v>MINI &amp; MOE WOODEN BRIDGE</v>
      </c>
      <c r="C743" s="15" t="s">
        <v>24</v>
      </c>
      <c r="D743" s="165">
        <v>454348662</v>
      </c>
      <c r="E743" s="165"/>
      <c r="F743" s="165">
        <v>1296</v>
      </c>
      <c r="G743" s="165">
        <v>3.01</v>
      </c>
      <c r="H743" s="99">
        <f t="shared" si="29"/>
        <v>3900.96</v>
      </c>
      <c r="I743" s="162" t="s">
        <v>424</v>
      </c>
      <c r="J743" s="6" t="s">
        <v>427</v>
      </c>
      <c r="K743" s="166">
        <v>46236</v>
      </c>
      <c r="L743" s="166">
        <v>46234</v>
      </c>
      <c r="M743" s="142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7">
        <v>46219</v>
      </c>
      <c r="B744" s="15" t="str">
        <f>VLOOKUP(C744,'Product List'!A:C,3,0)</f>
        <v>MINI &amp; MOE GARDEN DECOR CHEW</v>
      </c>
      <c r="C744" s="15" t="s">
        <v>23</v>
      </c>
      <c r="D744" s="165">
        <v>454348662</v>
      </c>
      <c r="E744" s="165"/>
      <c r="F744" s="165">
        <v>1080</v>
      </c>
      <c r="G744" s="165">
        <v>3.23</v>
      </c>
      <c r="H744" s="99">
        <f t="shared" si="29"/>
        <v>3488.4</v>
      </c>
      <c r="I744" s="162" t="s">
        <v>424</v>
      </c>
      <c r="J744" s="6" t="s">
        <v>427</v>
      </c>
      <c r="K744" s="166">
        <v>46236</v>
      </c>
      <c r="L744" s="166">
        <v>46234</v>
      </c>
      <c r="M744" s="142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7">
        <v>46219</v>
      </c>
      <c r="B745" s="15" t="str">
        <f>VLOOKUP(C745,'Product List'!A:C,3,0)</f>
        <v>MINI &amp; MOE TREE DECOR CHEW</v>
      </c>
      <c r="C745" s="15" t="s">
        <v>26</v>
      </c>
      <c r="D745" s="165">
        <v>454348662</v>
      </c>
      <c r="E745" s="165"/>
      <c r="F745" s="165">
        <v>1064</v>
      </c>
      <c r="G745" s="165">
        <v>3.53</v>
      </c>
      <c r="H745" s="99">
        <f t="shared" si="29"/>
        <v>3755.92</v>
      </c>
      <c r="I745" s="162" t="s">
        <v>424</v>
      </c>
      <c r="J745" s="6" t="s">
        <v>427</v>
      </c>
      <c r="K745" s="166">
        <v>46236</v>
      </c>
      <c r="L745" s="166">
        <v>46234</v>
      </c>
      <c r="M745" s="142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7">
        <v>46219</v>
      </c>
      <c r="B746" s="15" t="str">
        <f>VLOOKUP(C746,'Product List'!A:C,3,0)</f>
        <v>MINI/MOE TV VIEWING CAGE</v>
      </c>
      <c r="C746" s="15" t="s">
        <v>27</v>
      </c>
      <c r="D746" s="165">
        <v>454348662</v>
      </c>
      <c r="E746" s="165"/>
      <c r="F746" s="165">
        <v>446</v>
      </c>
      <c r="G746" s="165">
        <v>45.87</v>
      </c>
      <c r="H746" s="99">
        <f t="shared" si="29"/>
        <v>20458.02</v>
      </c>
      <c r="I746" s="162" t="s">
        <v>424</v>
      </c>
      <c r="J746" s="6" t="s">
        <v>427</v>
      </c>
      <c r="K746" s="166">
        <v>46236</v>
      </c>
      <c r="L746" s="166">
        <v>46234</v>
      </c>
      <c r="M746" s="142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7">
        <v>46219</v>
      </c>
      <c r="B747" s="15" t="str">
        <f>VLOOKUP(C747,'Product List'!A:C,3,0)</f>
        <v>MINI &amp; MOE COTTAGE HIDE</v>
      </c>
      <c r="C747" s="15" t="s">
        <v>28</v>
      </c>
      <c r="D747" s="165">
        <v>454348662</v>
      </c>
      <c r="E747" s="165"/>
      <c r="F747" s="165">
        <v>1152</v>
      </c>
      <c r="G747" s="165">
        <v>6.28</v>
      </c>
      <c r="H747" s="99">
        <f t="shared" si="29"/>
        <v>7234.56</v>
      </c>
      <c r="I747" s="162" t="s">
        <v>424</v>
      </c>
      <c r="J747" s="6" t="s">
        <v>427</v>
      </c>
      <c r="K747" s="166">
        <v>46236</v>
      </c>
      <c r="L747" s="166">
        <v>46234</v>
      </c>
      <c r="M747" s="142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7">
        <v>46219</v>
      </c>
      <c r="B748" s="15" t="str">
        <f>VLOOKUP(C748,'Product List'!A:C,3,0)</f>
        <v>MINI/MOE CAMPING TENT HIDE</v>
      </c>
      <c r="C748" s="15" t="s">
        <v>25</v>
      </c>
      <c r="D748" s="165">
        <v>454348662</v>
      </c>
      <c r="E748" s="165"/>
      <c r="F748" s="165">
        <v>1152</v>
      </c>
      <c r="G748" s="165">
        <v>3.35</v>
      </c>
      <c r="H748" s="99">
        <f t="shared" si="29"/>
        <v>3859.2</v>
      </c>
      <c r="I748" s="162" t="s">
        <v>424</v>
      </c>
      <c r="J748" s="6" t="s">
        <v>427</v>
      </c>
      <c r="K748" s="166">
        <v>46236</v>
      </c>
      <c r="L748" s="166">
        <v>46234</v>
      </c>
      <c r="M748" s="142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7">
        <v>46219</v>
      </c>
      <c r="B749" s="15" t="str">
        <f>VLOOKUP(C749,'Product List'!A:C,3,0)</f>
        <v>MINI/MOE TV VIEWING CAGE</v>
      </c>
      <c r="C749" s="15" t="s">
        <v>27</v>
      </c>
      <c r="D749" s="167">
        <v>454348663</v>
      </c>
      <c r="E749" s="165"/>
      <c r="F749" s="165">
        <v>699</v>
      </c>
      <c r="G749" s="165">
        <v>45.87</v>
      </c>
      <c r="H749" s="99">
        <f t="shared" si="29"/>
        <v>32063.13</v>
      </c>
      <c r="I749" s="162" t="s">
        <v>424</v>
      </c>
      <c r="J749" s="6" t="s">
        <v>428</v>
      </c>
      <c r="K749" s="166">
        <v>46234</v>
      </c>
      <c r="L749" s="166">
        <v>46230</v>
      </c>
      <c r="M749" s="142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7">
        <v>46219</v>
      </c>
      <c r="B750" s="15" t="str">
        <f>VLOOKUP(C750,'Product List'!A:C,3,0)</f>
        <v>MINI &amp; MOE MAG CONECT WTR BTL 4 OZ</v>
      </c>
      <c r="C750" s="15" t="s">
        <v>36</v>
      </c>
      <c r="D750" s="165">
        <v>454348664</v>
      </c>
      <c r="E750" s="165"/>
      <c r="F750" s="165">
        <v>1188</v>
      </c>
      <c r="G750" s="165">
        <v>2.66</v>
      </c>
      <c r="H750" s="99">
        <f t="shared" si="29"/>
        <v>3160.08</v>
      </c>
      <c r="I750" s="162" t="s">
        <v>424</v>
      </c>
      <c r="J750" s="6" t="s">
        <v>428</v>
      </c>
      <c r="K750" s="166">
        <v>46234</v>
      </c>
      <c r="L750" s="166">
        <v>46233</v>
      </c>
      <c r="M750" s="142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7">
        <v>46219</v>
      </c>
      <c r="B751" s="15" t="str">
        <f>VLOOKUP(C751,'Product List'!A:C,3,0)</f>
        <v>MINI &amp; MOE WOODEN BRIDGE</v>
      </c>
      <c r="C751" s="15" t="s">
        <v>24</v>
      </c>
      <c r="D751" s="165">
        <v>454348664</v>
      </c>
      <c r="E751" s="165"/>
      <c r="F751" s="165">
        <v>1440</v>
      </c>
      <c r="G751" s="165">
        <v>3.01</v>
      </c>
      <c r="H751" s="99">
        <f t="shared" si="29"/>
        <v>4334.4</v>
      </c>
      <c r="I751" s="162" t="s">
        <v>424</v>
      </c>
      <c r="J751" s="6" t="s">
        <v>428</v>
      </c>
      <c r="K751" s="166">
        <v>46234</v>
      </c>
      <c r="L751" s="166">
        <v>46233</v>
      </c>
      <c r="M751" s="142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7">
        <v>46219</v>
      </c>
      <c r="B752" s="15" t="str">
        <f>VLOOKUP(C752,'Product List'!A:C,3,0)</f>
        <v>MINI &amp; MOE GARDEN DECOR CHEW</v>
      </c>
      <c r="C752" s="15" t="s">
        <v>23</v>
      </c>
      <c r="D752" s="165">
        <v>454348664</v>
      </c>
      <c r="E752" s="165"/>
      <c r="F752" s="165">
        <v>1260</v>
      </c>
      <c r="G752" s="165">
        <v>3.23</v>
      </c>
      <c r="H752" s="99">
        <f t="shared" si="29"/>
        <v>4069.8</v>
      </c>
      <c r="I752" s="162" t="s">
        <v>424</v>
      </c>
      <c r="J752" s="6" t="s">
        <v>428</v>
      </c>
      <c r="K752" s="166">
        <v>46234</v>
      </c>
      <c r="L752" s="166">
        <v>46233</v>
      </c>
      <c r="M752" s="142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7">
        <v>46219</v>
      </c>
      <c r="B753" s="15" t="str">
        <f>VLOOKUP(C753,'Product List'!A:C,3,0)</f>
        <v>MINI &amp; MOE TREE DECOR CHEW</v>
      </c>
      <c r="C753" s="15" t="s">
        <v>26</v>
      </c>
      <c r="D753" s="165">
        <v>454348664</v>
      </c>
      <c r="E753" s="165"/>
      <c r="F753" s="165">
        <v>1260</v>
      </c>
      <c r="G753" s="165">
        <v>3.53</v>
      </c>
      <c r="H753" s="99">
        <f t="shared" si="29"/>
        <v>4447.8</v>
      </c>
      <c r="I753" s="162" t="s">
        <v>424</v>
      </c>
      <c r="J753" s="6" t="s">
        <v>428</v>
      </c>
      <c r="K753" s="166">
        <v>46234</v>
      </c>
      <c r="L753" s="166">
        <v>46233</v>
      </c>
      <c r="M753" s="142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7">
        <v>46219</v>
      </c>
      <c r="B754" s="15" t="str">
        <f>VLOOKUP(C754,'Product List'!A:C,3,0)</f>
        <v>MINI &amp; MOE COTTAGE HIDE</v>
      </c>
      <c r="C754" s="15" t="s">
        <v>28</v>
      </c>
      <c r="D754" s="165">
        <v>454348664</v>
      </c>
      <c r="E754" s="165"/>
      <c r="F754" s="165">
        <v>1152</v>
      </c>
      <c r="G754" s="165">
        <v>6.28</v>
      </c>
      <c r="H754" s="99">
        <f t="shared" si="29"/>
        <v>7234.56</v>
      </c>
      <c r="I754" s="162" t="s">
        <v>424</v>
      </c>
      <c r="J754" s="6" t="s">
        <v>428</v>
      </c>
      <c r="K754" s="166">
        <v>46234</v>
      </c>
      <c r="L754" s="166">
        <v>46233</v>
      </c>
      <c r="M754" s="142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7">
        <v>46219</v>
      </c>
      <c r="B755" s="15" t="str">
        <f>VLOOKUP(C755,'Product List'!A:C,3,0)</f>
        <v>MINI/MOE CAMPING TENT HIDE</v>
      </c>
      <c r="C755" s="15" t="s">
        <v>25</v>
      </c>
      <c r="D755" s="165">
        <v>454348664</v>
      </c>
      <c r="E755" s="165"/>
      <c r="F755" s="165">
        <v>1296</v>
      </c>
      <c r="G755" s="165">
        <v>3.35</v>
      </c>
      <c r="H755" s="99">
        <f t="shared" si="29"/>
        <v>4341.6</v>
      </c>
      <c r="I755" s="162" t="s">
        <v>424</v>
      </c>
      <c r="J755" s="6" t="s">
        <v>428</v>
      </c>
      <c r="K755" s="166">
        <v>46234</v>
      </c>
      <c r="L755" s="166">
        <v>46233</v>
      </c>
      <c r="M755" s="142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7">
        <v>46219</v>
      </c>
      <c r="B756" s="15" t="str">
        <f>VLOOKUP(C756,'Product List'!A:C,3,0)</f>
        <v>MINI/MOE TV VIEWING CAGE</v>
      </c>
      <c r="C756" s="15" t="s">
        <v>27</v>
      </c>
      <c r="D756" s="167">
        <v>454348665</v>
      </c>
      <c r="E756" s="165"/>
      <c r="F756" s="165">
        <v>633</v>
      </c>
      <c r="G756" s="165">
        <v>45.87</v>
      </c>
      <c r="H756" s="99">
        <f t="shared" si="29"/>
        <v>29035.71</v>
      </c>
      <c r="I756" s="162" t="s">
        <v>424</v>
      </c>
      <c r="J756" s="6" t="s">
        <v>429</v>
      </c>
      <c r="K756" s="166">
        <v>46235</v>
      </c>
      <c r="L756" s="166">
        <v>46230</v>
      </c>
      <c r="M756" s="142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7">
        <v>46219</v>
      </c>
      <c r="B757" s="15" t="str">
        <f>VLOOKUP(C757,'Product List'!A:C,3,0)</f>
        <v>MINI &amp; MOE MAG CONECT WTR BTL 4 OZ</v>
      </c>
      <c r="C757" s="15" t="s">
        <v>36</v>
      </c>
      <c r="D757" s="165">
        <v>454348666</v>
      </c>
      <c r="E757" s="165"/>
      <c r="F757" s="165">
        <v>1188</v>
      </c>
      <c r="G757" s="165">
        <v>2.66</v>
      </c>
      <c r="H757" s="99">
        <f t="shared" si="29"/>
        <v>3160.08</v>
      </c>
      <c r="I757" s="162" t="s">
        <v>424</v>
      </c>
      <c r="J757" s="6" t="s">
        <v>429</v>
      </c>
      <c r="K757" s="166">
        <v>46235</v>
      </c>
      <c r="L757" s="166">
        <v>46239</v>
      </c>
      <c r="M757" s="142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7">
        <v>46219</v>
      </c>
      <c r="B758" s="15" t="str">
        <f>VLOOKUP(C758,'Product List'!A:C,3,0)</f>
        <v>MINI &amp; MOE WOODEN BRIDGE</v>
      </c>
      <c r="C758" s="15" t="s">
        <v>24</v>
      </c>
      <c r="D758" s="165">
        <v>454348666</v>
      </c>
      <c r="E758" s="165"/>
      <c r="F758" s="165">
        <v>1440</v>
      </c>
      <c r="G758" s="165">
        <v>3.01</v>
      </c>
      <c r="H758" s="99">
        <f t="shared" si="29"/>
        <v>4334.4</v>
      </c>
      <c r="I758" s="162" t="s">
        <v>424</v>
      </c>
      <c r="J758" s="6" t="s">
        <v>429</v>
      </c>
      <c r="K758" s="166">
        <v>46235</v>
      </c>
      <c r="L758" s="166">
        <v>46239</v>
      </c>
      <c r="M758" s="142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7">
        <v>46219</v>
      </c>
      <c r="B759" s="15" t="str">
        <f>VLOOKUP(C759,'Product List'!A:C,3,0)</f>
        <v>MINI &amp; MOE GARDEN DECOR CHEW</v>
      </c>
      <c r="C759" s="15" t="s">
        <v>23</v>
      </c>
      <c r="D759" s="165">
        <v>454348666</v>
      </c>
      <c r="E759" s="165"/>
      <c r="F759" s="165">
        <v>1260</v>
      </c>
      <c r="G759" s="165">
        <v>3.23</v>
      </c>
      <c r="H759" s="99">
        <f t="shared" si="29"/>
        <v>4069.8</v>
      </c>
      <c r="I759" s="162" t="s">
        <v>424</v>
      </c>
      <c r="J759" s="6" t="s">
        <v>429</v>
      </c>
      <c r="K759" s="166">
        <v>46235</v>
      </c>
      <c r="L759" s="166">
        <v>46239</v>
      </c>
      <c r="M759" s="142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7">
        <v>46219</v>
      </c>
      <c r="B760" s="15" t="str">
        <f>VLOOKUP(C760,'Product List'!A:C,3,0)</f>
        <v>MINI &amp; MOE TREE DECOR CHEW</v>
      </c>
      <c r="C760" s="15" t="s">
        <v>26</v>
      </c>
      <c r="D760" s="165">
        <v>454348666</v>
      </c>
      <c r="E760" s="165"/>
      <c r="F760" s="165">
        <v>1260</v>
      </c>
      <c r="G760" s="165">
        <v>3.53</v>
      </c>
      <c r="H760" s="99">
        <f t="shared" si="29"/>
        <v>4447.8</v>
      </c>
      <c r="I760" s="162" t="s">
        <v>424</v>
      </c>
      <c r="J760" s="6" t="s">
        <v>429</v>
      </c>
      <c r="K760" s="166">
        <v>46235</v>
      </c>
      <c r="L760" s="166">
        <v>46239</v>
      </c>
      <c r="M760" s="142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7">
        <v>46219</v>
      </c>
      <c r="B761" s="15" t="str">
        <f>VLOOKUP(C761,'Product List'!A:C,3,0)</f>
        <v>MINI &amp; MOE COTTAGE HIDE</v>
      </c>
      <c r="C761" s="15" t="s">
        <v>28</v>
      </c>
      <c r="D761" s="165">
        <v>454348666</v>
      </c>
      <c r="E761" s="165"/>
      <c r="F761" s="165">
        <v>1152</v>
      </c>
      <c r="G761" s="165">
        <v>6.28</v>
      </c>
      <c r="H761" s="99">
        <f t="shared" si="29"/>
        <v>7234.56</v>
      </c>
      <c r="I761" s="162" t="s">
        <v>424</v>
      </c>
      <c r="J761" s="6" t="s">
        <v>429</v>
      </c>
      <c r="K761" s="166">
        <v>46235</v>
      </c>
      <c r="L761" s="166">
        <v>46239</v>
      </c>
      <c r="M761" s="142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7">
        <v>46219</v>
      </c>
      <c r="B762" s="15" t="str">
        <f>VLOOKUP(C762,'Product List'!A:C,3,0)</f>
        <v>MINI/MOE CAMPING TENT HIDE</v>
      </c>
      <c r="C762" s="15" t="s">
        <v>25</v>
      </c>
      <c r="D762" s="165">
        <v>454348666</v>
      </c>
      <c r="E762" s="165"/>
      <c r="F762" s="165">
        <v>1296</v>
      </c>
      <c r="G762" s="165">
        <v>3.35</v>
      </c>
      <c r="H762" s="99">
        <f t="shared" si="29"/>
        <v>4341.6</v>
      </c>
      <c r="I762" s="162" t="s">
        <v>424</v>
      </c>
      <c r="J762" s="6" t="s">
        <v>429</v>
      </c>
      <c r="K762" s="166">
        <v>46235</v>
      </c>
      <c r="L762" s="166">
        <v>46239</v>
      </c>
      <c r="M762" s="142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7">
        <v>46219</v>
      </c>
      <c r="B763" s="15" t="str">
        <f>VLOOKUP(C763,'Product List'!A:C,3,0)</f>
        <v>MINI &amp; MOE MAG CONECT WTR BTL 4 OZ</v>
      </c>
      <c r="C763" s="15" t="s">
        <v>36</v>
      </c>
      <c r="D763" s="165">
        <v>454348667</v>
      </c>
      <c r="E763" s="165"/>
      <c r="F763" s="165">
        <v>540</v>
      </c>
      <c r="G763" s="165">
        <v>2.66</v>
      </c>
      <c r="H763" s="99">
        <f t="shared" si="29"/>
        <v>1436.4</v>
      </c>
      <c r="I763" s="162" t="s">
        <v>424</v>
      </c>
      <c r="J763" s="6" t="s">
        <v>430</v>
      </c>
      <c r="K763" s="166">
        <v>46235</v>
      </c>
      <c r="L763" s="166">
        <v>46239</v>
      </c>
      <c r="M763" s="142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7">
        <v>46219</v>
      </c>
      <c r="B764" s="15" t="str">
        <f>VLOOKUP(C764,'Product List'!A:C,3,0)</f>
        <v>MINI &amp; MOE WOODEN BRIDGE</v>
      </c>
      <c r="C764" s="15" t="s">
        <v>24</v>
      </c>
      <c r="D764" s="165">
        <v>454348667</v>
      </c>
      <c r="E764" s="165"/>
      <c r="F764" s="165">
        <v>576</v>
      </c>
      <c r="G764" s="165">
        <v>3.01</v>
      </c>
      <c r="H764" s="99">
        <f t="shared" si="29"/>
        <v>1733.76</v>
      </c>
      <c r="I764" s="162" t="s">
        <v>424</v>
      </c>
      <c r="J764" s="6" t="s">
        <v>430</v>
      </c>
      <c r="K764" s="166">
        <v>46235</v>
      </c>
      <c r="L764" s="166">
        <v>46239</v>
      </c>
      <c r="M764" s="142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7">
        <v>46219</v>
      </c>
      <c r="B765" s="15" t="str">
        <f>VLOOKUP(C765,'Product List'!A:C,3,0)</f>
        <v>MINI &amp; MOE GARDEN DECOR CHEW</v>
      </c>
      <c r="C765" s="15" t="s">
        <v>23</v>
      </c>
      <c r="D765" s="165">
        <v>454348667</v>
      </c>
      <c r="E765" s="165"/>
      <c r="F765" s="165">
        <v>585</v>
      </c>
      <c r="G765" s="165">
        <v>3.23</v>
      </c>
      <c r="H765" s="99">
        <f t="shared" si="29"/>
        <v>1889.55</v>
      </c>
      <c r="I765" s="162" t="s">
        <v>424</v>
      </c>
      <c r="J765" s="6" t="s">
        <v>430</v>
      </c>
      <c r="K765" s="166">
        <v>46235</v>
      </c>
      <c r="L765" s="166">
        <v>46239</v>
      </c>
      <c r="M765" s="142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7">
        <v>46219</v>
      </c>
      <c r="B766" s="15" t="str">
        <f>VLOOKUP(C766,'Product List'!A:C,3,0)</f>
        <v>MINI &amp; MOE TREE DECOR CHEW</v>
      </c>
      <c r="C766" s="15" t="s">
        <v>26</v>
      </c>
      <c r="D766" s="165">
        <v>454348667</v>
      </c>
      <c r="E766" s="165"/>
      <c r="F766" s="165">
        <v>588</v>
      </c>
      <c r="G766" s="165">
        <v>3.53</v>
      </c>
      <c r="H766" s="99">
        <f t="shared" si="29"/>
        <v>2075.64</v>
      </c>
      <c r="I766" s="162" t="s">
        <v>424</v>
      </c>
      <c r="J766" s="6" t="s">
        <v>430</v>
      </c>
      <c r="K766" s="166">
        <v>46235</v>
      </c>
      <c r="L766" s="166">
        <v>46239</v>
      </c>
      <c r="M766" s="142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7">
        <v>46219</v>
      </c>
      <c r="B767" s="15" t="str">
        <f>VLOOKUP(C767,'Product List'!A:C,3,0)</f>
        <v>MINI &amp; MOE COTTAGE HIDE</v>
      </c>
      <c r="C767" s="15" t="s">
        <v>28</v>
      </c>
      <c r="D767" s="165">
        <v>454348667</v>
      </c>
      <c r="E767" s="165"/>
      <c r="F767" s="165">
        <v>576</v>
      </c>
      <c r="G767" s="165">
        <v>6.28</v>
      </c>
      <c r="H767" s="99">
        <f t="shared" si="29"/>
        <v>3617.28</v>
      </c>
      <c r="I767" s="162" t="s">
        <v>424</v>
      </c>
      <c r="J767" s="6" t="s">
        <v>430</v>
      </c>
      <c r="K767" s="166">
        <v>46235</v>
      </c>
      <c r="L767" s="166">
        <v>46239</v>
      </c>
      <c r="M767" s="142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7">
        <v>46219</v>
      </c>
      <c r="B768" s="15" t="str">
        <f>VLOOKUP(C768,'Product List'!A:C,3,0)</f>
        <v>MINI/MOE CAMPING TENT HIDE</v>
      </c>
      <c r="C768" s="15" t="s">
        <v>25</v>
      </c>
      <c r="D768" s="165">
        <v>454348667</v>
      </c>
      <c r="E768" s="165"/>
      <c r="F768" s="165">
        <v>576</v>
      </c>
      <c r="G768" s="165">
        <v>3.35</v>
      </c>
      <c r="H768" s="99">
        <f t="shared" si="29"/>
        <v>1929.6</v>
      </c>
      <c r="I768" s="162" t="s">
        <v>424</v>
      </c>
      <c r="J768" s="6" t="s">
        <v>430</v>
      </c>
      <c r="K768" s="166">
        <v>46235</v>
      </c>
      <c r="L768" s="166">
        <v>46239</v>
      </c>
      <c r="M768" s="142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7">
        <v>46230</v>
      </c>
      <c r="B769" s="15" t="str">
        <f>VLOOKUP(C769,'Product List'!A:C,3,0)</f>
        <v>MINI/MOE SILENT CRSTL RUN WHEEL LG 8.5-Green</v>
      </c>
      <c r="C769" s="20" t="s">
        <v>32</v>
      </c>
      <c r="D769" s="15" t="s">
        <v>431</v>
      </c>
      <c r="E769" s="15"/>
      <c r="F769" s="15">
        <v>24</v>
      </c>
      <c r="G769" s="15">
        <v>12.63</v>
      </c>
      <c r="H769" s="99">
        <f t="shared" si="29"/>
        <v>303.12</v>
      </c>
      <c r="I769" s="20" t="s">
        <v>334</v>
      </c>
      <c r="J769" s="15" t="s">
        <v>335</v>
      </c>
      <c r="K769" s="166">
        <v>46251</v>
      </c>
      <c r="L769" s="166">
        <v>46241</v>
      </c>
      <c r="M769" s="142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7">
        <v>46230</v>
      </c>
      <c r="B770" s="15" t="str">
        <f>VLOOKUP(C770,'Product List'!A:C,3,0)</f>
        <v>MINI/MOE MUSHROOM CABIN</v>
      </c>
      <c r="C770" s="15" t="s">
        <v>33</v>
      </c>
      <c r="D770" s="15" t="s">
        <v>431</v>
      </c>
      <c r="E770" s="15"/>
      <c r="F770" s="15">
        <v>64</v>
      </c>
      <c r="G770" s="15">
        <v>6.98</v>
      </c>
      <c r="H770" s="99">
        <f t="shared" si="29"/>
        <v>446.72</v>
      </c>
      <c r="I770" s="20" t="s">
        <v>334</v>
      </c>
      <c r="J770" s="15" t="s">
        <v>335</v>
      </c>
      <c r="K770" s="166">
        <v>46251</v>
      </c>
      <c r="L770" s="166">
        <v>46241</v>
      </c>
      <c r="M770" s="142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7">
        <v>46230</v>
      </c>
      <c r="B771" s="15" t="str">
        <f>VLOOKUP(C771,'Product List'!A:C,3,0)</f>
        <v>MINI/MOE TREEHOUSE CABIN</v>
      </c>
      <c r="C771" s="15" t="s">
        <v>79</v>
      </c>
      <c r="D771" s="15" t="s">
        <v>431</v>
      </c>
      <c r="E771" s="15"/>
      <c r="F771" s="15">
        <v>30</v>
      </c>
      <c r="G771" s="15">
        <v>4.28</v>
      </c>
      <c r="H771" s="99">
        <f t="shared" si="29"/>
        <v>128.4</v>
      </c>
      <c r="I771" s="20" t="s">
        <v>334</v>
      </c>
      <c r="J771" s="15" t="s">
        <v>335</v>
      </c>
      <c r="K771" s="166">
        <v>46251</v>
      </c>
      <c r="L771" s="166">
        <v>46241</v>
      </c>
      <c r="M771" s="142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7">
        <v>46230</v>
      </c>
      <c r="B772" s="15" t="str">
        <f>VLOOKUP(C772,'Product List'!A:C,3,0)</f>
        <v>MINI/MOE GARDEN TEAPOT</v>
      </c>
      <c r="C772" s="15" t="s">
        <v>73</v>
      </c>
      <c r="D772" s="15" t="s">
        <v>431</v>
      </c>
      <c r="E772" s="15"/>
      <c r="F772" s="15">
        <v>60</v>
      </c>
      <c r="G772" s="15">
        <v>4.61</v>
      </c>
      <c r="H772" s="99">
        <f t="shared" si="29"/>
        <v>276.6</v>
      </c>
      <c r="I772" s="20" t="s">
        <v>334</v>
      </c>
      <c r="J772" s="15" t="s">
        <v>335</v>
      </c>
      <c r="K772" s="166">
        <v>46251</v>
      </c>
      <c r="L772" s="166">
        <v>46241</v>
      </c>
      <c r="M772" s="142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7">
        <v>46230</v>
      </c>
      <c r="B773" s="15" t="str">
        <f>VLOOKUP(C773,'Product List'!A:C,3,0)</f>
        <v>MINI/MOE TULIP WATER BOTTLE</v>
      </c>
      <c r="C773" s="15" t="s">
        <v>29</v>
      </c>
      <c r="D773" s="15" t="s">
        <v>431</v>
      </c>
      <c r="E773" s="15"/>
      <c r="F773" s="15">
        <v>120</v>
      </c>
      <c r="G773" s="15">
        <v>1.7</v>
      </c>
      <c r="H773" s="99">
        <f t="shared" ref="H773:H836" si="32">F773*G773</f>
        <v>204</v>
      </c>
      <c r="I773" s="20" t="s">
        <v>334</v>
      </c>
      <c r="J773" s="15" t="s">
        <v>335</v>
      </c>
      <c r="K773" s="166">
        <v>46251</v>
      </c>
      <c r="L773" s="166">
        <v>46241</v>
      </c>
      <c r="M773" s="142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7">
        <v>46230</v>
      </c>
      <c r="B774" s="15" t="str">
        <f>VLOOKUP(C774,'Product List'!A:C,3,0)</f>
        <v>MINI/MOE CAMPING TENT HIDE</v>
      </c>
      <c r="C774" s="15" t="s">
        <v>25</v>
      </c>
      <c r="D774" s="15" t="s">
        <v>431</v>
      </c>
      <c r="E774" s="15"/>
      <c r="F774" s="15">
        <v>60</v>
      </c>
      <c r="G774" s="15">
        <v>3.36</v>
      </c>
      <c r="H774" s="99">
        <f t="shared" si="32"/>
        <v>201.6</v>
      </c>
      <c r="I774" s="20" t="s">
        <v>334</v>
      </c>
      <c r="J774" s="15" t="s">
        <v>335</v>
      </c>
      <c r="K774" s="166">
        <v>46251</v>
      </c>
      <c r="L774" s="166">
        <v>46241</v>
      </c>
      <c r="M774" s="142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7">
        <v>46230</v>
      </c>
      <c r="B775" s="15" t="str">
        <f>VLOOKUP(C775,'Product List'!A:C,3,0)</f>
        <v>MINI/MOE WOODLAND POTTY</v>
      </c>
      <c r="C775" s="15" t="s">
        <v>30</v>
      </c>
      <c r="D775" s="15" t="s">
        <v>431</v>
      </c>
      <c r="E775" s="15"/>
      <c r="F775" s="15">
        <v>36</v>
      </c>
      <c r="G775" s="15">
        <v>2.61</v>
      </c>
      <c r="H775" s="99">
        <f t="shared" si="32"/>
        <v>93.96</v>
      </c>
      <c r="I775" s="20" t="s">
        <v>334</v>
      </c>
      <c r="J775" s="15" t="s">
        <v>335</v>
      </c>
      <c r="K775" s="166">
        <v>46251</v>
      </c>
      <c r="L775" s="166">
        <v>46241</v>
      </c>
      <c r="M775" s="142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7">
        <v>46230</v>
      </c>
      <c r="B776" s="15" t="str">
        <f>VLOOKUP(C776,'Product List'!A:C,3,0)</f>
        <v>MINI/MOE MUSHROOM CABIN</v>
      </c>
      <c r="C776" s="15" t="s">
        <v>33</v>
      </c>
      <c r="D776" s="15" t="s">
        <v>432</v>
      </c>
      <c r="E776" s="15"/>
      <c r="F776" s="15">
        <v>16</v>
      </c>
      <c r="G776" s="15">
        <v>6.98</v>
      </c>
      <c r="H776" s="99">
        <f t="shared" si="32"/>
        <v>111.68</v>
      </c>
      <c r="I776" s="20" t="s">
        <v>334</v>
      </c>
      <c r="J776" s="15" t="s">
        <v>341</v>
      </c>
      <c r="K776" s="166">
        <v>46251</v>
      </c>
      <c r="L776" s="166">
        <v>46241</v>
      </c>
      <c r="M776" s="142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7">
        <v>46230</v>
      </c>
      <c r="B777" s="15" t="str">
        <f>VLOOKUP(C777,'Product List'!A:C,3,0)</f>
        <v>MINI/MOE TREEHOUSE CABIN</v>
      </c>
      <c r="C777" s="15" t="s">
        <v>79</v>
      </c>
      <c r="D777" s="15" t="s">
        <v>432</v>
      </c>
      <c r="E777" s="15"/>
      <c r="F777" s="15">
        <v>30</v>
      </c>
      <c r="G777" s="15">
        <v>4.28</v>
      </c>
      <c r="H777" s="99">
        <f t="shared" si="32"/>
        <v>128.4</v>
      </c>
      <c r="I777" s="20" t="s">
        <v>334</v>
      </c>
      <c r="J777" s="15" t="s">
        <v>341</v>
      </c>
      <c r="K777" s="166">
        <v>46251</v>
      </c>
      <c r="L777" s="166">
        <v>46241</v>
      </c>
      <c r="M777" s="142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7">
        <v>46230</v>
      </c>
      <c r="B778" s="15" t="str">
        <f>VLOOKUP(C778,'Product List'!A:C,3,0)</f>
        <v>MINI/MOE IVY BURROWING BOX</v>
      </c>
      <c r="C778" s="15" t="s">
        <v>75</v>
      </c>
      <c r="D778" s="15" t="s">
        <v>432</v>
      </c>
      <c r="E778" s="15"/>
      <c r="F778" s="15">
        <v>4</v>
      </c>
      <c r="G778" s="15">
        <v>14.89</v>
      </c>
      <c r="H778" s="99">
        <f t="shared" si="32"/>
        <v>59.56</v>
      </c>
      <c r="I778" s="20" t="s">
        <v>334</v>
      </c>
      <c r="J778" s="15" t="s">
        <v>341</v>
      </c>
      <c r="K778" s="166">
        <v>46251</v>
      </c>
      <c r="L778" s="166">
        <v>46241</v>
      </c>
      <c r="M778" s="142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7">
        <v>46230</v>
      </c>
      <c r="B779" s="15" t="str">
        <f>VLOOKUP(C779,'Product List'!A:C,3,0)</f>
        <v>MINI/MOE CAMPING TENT HIDE</v>
      </c>
      <c r="C779" s="15" t="s">
        <v>25</v>
      </c>
      <c r="D779" s="15" t="s">
        <v>432</v>
      </c>
      <c r="E779" s="15"/>
      <c r="F779" s="15">
        <v>24</v>
      </c>
      <c r="G779" s="15">
        <v>3.36</v>
      </c>
      <c r="H779" s="99">
        <f t="shared" si="32"/>
        <v>80.64</v>
      </c>
      <c r="I779" s="20" t="s">
        <v>334</v>
      </c>
      <c r="J779" s="15" t="s">
        <v>341</v>
      </c>
      <c r="K779" s="166">
        <v>46251</v>
      </c>
      <c r="L779" s="166">
        <v>46241</v>
      </c>
      <c r="M779" s="142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7">
        <v>46234</v>
      </c>
      <c r="B780" s="15" t="str">
        <f>VLOOKUP(C780,'Product List'!A:C,3,0)</f>
        <v>MINI/MOE IVY BURROWING BOX</v>
      </c>
      <c r="C780" s="15" t="s">
        <v>75</v>
      </c>
      <c r="D780" s="15" t="s">
        <v>433</v>
      </c>
      <c r="E780" s="15"/>
      <c r="F780" s="15">
        <v>120</v>
      </c>
      <c r="G780" s="15">
        <v>14.89</v>
      </c>
      <c r="H780" s="99">
        <f t="shared" si="32"/>
        <v>1786.8</v>
      </c>
      <c r="I780" s="20" t="s">
        <v>334</v>
      </c>
      <c r="J780" s="15" t="s">
        <v>341</v>
      </c>
      <c r="K780" s="139">
        <v>46276</v>
      </c>
      <c r="L780" s="166">
        <v>46266</v>
      </c>
      <c r="M780" s="142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6">
        <v>46255</v>
      </c>
    </row>
    <row r="781" spans="1:19">
      <c r="A781" s="137">
        <v>46234</v>
      </c>
      <c r="B781" s="15" t="str">
        <f>VLOOKUP(C781,'Product List'!A:C,3,0)</f>
        <v>MINI/MOE SMALL ANIMAL BEDDING NESTING COTTON BALLS LAV 23LT</v>
      </c>
      <c r="C781" s="15" t="s">
        <v>49</v>
      </c>
      <c r="D781" s="15" t="s">
        <v>433</v>
      </c>
      <c r="E781" s="15"/>
      <c r="F781" s="15">
        <v>384</v>
      </c>
      <c r="G781" s="15">
        <v>3.26</v>
      </c>
      <c r="H781" s="99">
        <f t="shared" si="32"/>
        <v>1251.84</v>
      </c>
      <c r="I781" s="20" t="s">
        <v>334</v>
      </c>
      <c r="J781" s="15" t="s">
        <v>341</v>
      </c>
      <c r="K781" s="139">
        <v>46276</v>
      </c>
      <c r="L781" s="166">
        <v>46266</v>
      </c>
      <c r="M781" s="142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6">
        <v>46255</v>
      </c>
    </row>
    <row r="782" spans="1:19">
      <c r="A782" s="137">
        <v>46239</v>
      </c>
      <c r="B782" s="15" t="str">
        <f>VLOOKUP(C782,'Product List'!A:C,3,0)</f>
        <v>MINI/MOE BENDABLE BIRCHWOOD FENCE</v>
      </c>
      <c r="C782" s="15" t="s">
        <v>34</v>
      </c>
      <c r="D782" s="15">
        <v>31799425</v>
      </c>
      <c r="E782" s="15"/>
      <c r="F782" s="15">
        <v>128</v>
      </c>
      <c r="G782" s="15">
        <v>5.01</v>
      </c>
      <c r="H782" s="99">
        <f t="shared" si="32"/>
        <v>641.28</v>
      </c>
      <c r="I782" s="15" t="s">
        <v>325</v>
      </c>
      <c r="J782" s="15" t="s">
        <v>344</v>
      </c>
      <c r="K782" s="139">
        <v>46279</v>
      </c>
      <c r="L782" s="139">
        <v>46269</v>
      </c>
      <c r="M782" s="142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7">
        <v>46239</v>
      </c>
      <c r="B783" s="15" t="str">
        <f>VLOOKUP(C783,'Product List'!A:C,3,0)</f>
        <v>MMO-BUBBLE WATER BOTTLE</v>
      </c>
      <c r="C783" s="15" t="s">
        <v>38</v>
      </c>
      <c r="D783" s="15">
        <v>31799425</v>
      </c>
      <c r="E783" s="15"/>
      <c r="F783" s="15">
        <v>210</v>
      </c>
      <c r="G783" s="15">
        <v>4.35</v>
      </c>
      <c r="H783" s="99">
        <f t="shared" si="32"/>
        <v>913.5</v>
      </c>
      <c r="I783" s="15" t="s">
        <v>325</v>
      </c>
      <c r="J783" s="15" t="s">
        <v>344</v>
      </c>
      <c r="K783" s="139">
        <v>46279</v>
      </c>
      <c r="L783" s="139">
        <v>46269</v>
      </c>
      <c r="M783" s="142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7">
        <v>46239</v>
      </c>
      <c r="B784" s="15" t="str">
        <f>VLOOKUP(C784,'Product List'!A:C,3,0)</f>
        <v>MMO-CLOUD WATER BOTTLE</v>
      </c>
      <c r="C784" s="15" t="s">
        <v>37</v>
      </c>
      <c r="D784" s="15">
        <v>31799425</v>
      </c>
      <c r="E784" s="15"/>
      <c r="F784" s="15">
        <v>400</v>
      </c>
      <c r="G784" s="15">
        <v>1.32</v>
      </c>
      <c r="H784" s="99">
        <f t="shared" si="32"/>
        <v>528</v>
      </c>
      <c r="I784" s="15" t="s">
        <v>325</v>
      </c>
      <c r="J784" s="15" t="s">
        <v>344</v>
      </c>
      <c r="K784" s="139">
        <v>46279</v>
      </c>
      <c r="L784" s="139">
        <v>46269</v>
      </c>
      <c r="M784" s="142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7">
        <v>46239</v>
      </c>
      <c r="B785" s="15" t="str">
        <f>VLOOKUP(C785,'Product List'!A:C,3,0)</f>
        <v>MINI/MOE RUFFLE BOWL</v>
      </c>
      <c r="C785" s="15" t="s">
        <v>83</v>
      </c>
      <c r="D785" s="15">
        <v>31799425</v>
      </c>
      <c r="E785" s="15"/>
      <c r="F785" s="15">
        <v>336</v>
      </c>
      <c r="G785" s="15">
        <v>2.35</v>
      </c>
      <c r="H785" s="99">
        <f t="shared" si="32"/>
        <v>789.6</v>
      </c>
      <c r="I785" s="15" t="s">
        <v>325</v>
      </c>
      <c r="J785" s="15" t="s">
        <v>344</v>
      </c>
      <c r="K785" s="139">
        <v>46279</v>
      </c>
      <c r="L785" s="139">
        <v>46269</v>
      </c>
      <c r="M785" s="142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7">
        <v>46239</v>
      </c>
      <c r="B786" s="15" t="str">
        <f>VLOOKUP(C786,'Product List'!A:C,3,0)</f>
        <v>MMO-PAPER PEBBLES</v>
      </c>
      <c r="C786" s="15" t="s">
        <v>42</v>
      </c>
      <c r="D786" s="15">
        <v>31799425</v>
      </c>
      <c r="E786" s="15"/>
      <c r="F786" s="15">
        <v>36</v>
      </c>
      <c r="G786" s="15">
        <v>5.81</v>
      </c>
      <c r="H786" s="99">
        <f t="shared" si="32"/>
        <v>209.16</v>
      </c>
      <c r="I786" s="15" t="s">
        <v>325</v>
      </c>
      <c r="J786" s="15" t="s">
        <v>344</v>
      </c>
      <c r="K786" s="139">
        <v>46279</v>
      </c>
      <c r="L786" s="139">
        <v>46269</v>
      </c>
      <c r="M786" s="142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7">
        <v>46244</v>
      </c>
      <c r="B787" s="15" t="str">
        <f>VLOOKUP(C787,'Product List'!A:C,3,0)</f>
        <v>MINI/MOE TV VIEWING CAGE</v>
      </c>
      <c r="C787" s="162" t="s">
        <v>27</v>
      </c>
      <c r="D787" s="168" t="s">
        <v>416</v>
      </c>
      <c r="E787" s="162"/>
      <c r="F787" s="162">
        <v>1</v>
      </c>
      <c r="G787" s="99">
        <v>0</v>
      </c>
      <c r="H787" s="99">
        <f t="shared" si="32"/>
        <v>0</v>
      </c>
      <c r="I787" s="6" t="s">
        <v>418</v>
      </c>
      <c r="J787" s="6" t="s">
        <v>418</v>
      </c>
      <c r="K787" s="139">
        <v>46244</v>
      </c>
      <c r="L787" s="166">
        <v>46244</v>
      </c>
      <c r="M787" s="142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7">
        <v>46244</v>
      </c>
      <c r="B788" s="15" t="str">
        <f>VLOOKUP(C788,'Product List'!A:C,3,0)</f>
        <v>MINI/MOE MUSHROOM CABIN</v>
      </c>
      <c r="C788" s="162" t="s">
        <v>33</v>
      </c>
      <c r="D788" s="168" t="s">
        <v>416</v>
      </c>
      <c r="E788" s="162"/>
      <c r="F788" s="162">
        <v>16</v>
      </c>
      <c r="G788" s="99">
        <v>0</v>
      </c>
      <c r="H788" s="99">
        <f t="shared" si="32"/>
        <v>0</v>
      </c>
      <c r="I788" s="6" t="s">
        <v>418</v>
      </c>
      <c r="J788" s="6" t="s">
        <v>418</v>
      </c>
      <c r="K788" s="139">
        <v>46244</v>
      </c>
      <c r="L788" s="166">
        <v>46244</v>
      </c>
      <c r="M788" s="142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7">
        <v>46244</v>
      </c>
      <c r="B789" s="15" t="str">
        <f>VLOOKUP(C789,'Product List'!A:C,3,0)</f>
        <v>MINI/MOE TREEHOUSE CABIN</v>
      </c>
      <c r="C789" s="162" t="s">
        <v>79</v>
      </c>
      <c r="D789" s="168" t="s">
        <v>416</v>
      </c>
      <c r="E789" s="162"/>
      <c r="F789" s="162">
        <v>30</v>
      </c>
      <c r="G789" s="99">
        <v>0</v>
      </c>
      <c r="H789" s="99">
        <f t="shared" si="32"/>
        <v>0</v>
      </c>
      <c r="I789" s="6" t="s">
        <v>418</v>
      </c>
      <c r="J789" s="6" t="s">
        <v>418</v>
      </c>
      <c r="K789" s="139">
        <v>46244</v>
      </c>
      <c r="L789" s="166">
        <v>46244</v>
      </c>
      <c r="M789" s="142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7">
        <v>46244</v>
      </c>
      <c r="B790" s="15" t="str">
        <f>VLOOKUP(C790,'Product List'!A:C,3,0)</f>
        <v>MINI/MOE SMALL ANIMAL BEDDING PAPER FLK XMAS CRAN/MATCHA 1EA</v>
      </c>
      <c r="C790" s="162" t="s">
        <v>61</v>
      </c>
      <c r="D790" s="168" t="s">
        <v>416</v>
      </c>
      <c r="E790" s="162"/>
      <c r="F790" s="162">
        <v>14</v>
      </c>
      <c r="G790" s="99">
        <v>0</v>
      </c>
      <c r="H790" s="99">
        <f t="shared" si="32"/>
        <v>0</v>
      </c>
      <c r="I790" s="6" t="s">
        <v>418</v>
      </c>
      <c r="J790" s="6" t="s">
        <v>418</v>
      </c>
      <c r="K790" s="139">
        <v>46244</v>
      </c>
      <c r="L790" s="166">
        <v>46244</v>
      </c>
      <c r="M790" s="142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7">
        <v>46244</v>
      </c>
      <c r="B791" s="15" t="str">
        <f>VLOOKUP(C791,'Product List'!A:C,3,0)</f>
        <v>MINI/MOE SMALL ANIMAL BEDDING PAPER TWISTS BUBBLEGUM 1EA</v>
      </c>
      <c r="C791" s="162" t="s">
        <v>60</v>
      </c>
      <c r="D791" s="168" t="s">
        <v>416</v>
      </c>
      <c r="E791" s="162"/>
      <c r="F791" s="162">
        <v>30</v>
      </c>
      <c r="G791" s="99">
        <v>0</v>
      </c>
      <c r="H791" s="99">
        <f t="shared" si="32"/>
        <v>0</v>
      </c>
      <c r="I791" s="6" t="s">
        <v>418</v>
      </c>
      <c r="J791" s="6" t="s">
        <v>418</v>
      </c>
      <c r="K791" s="139">
        <v>46244</v>
      </c>
      <c r="L791" s="166">
        <v>46244</v>
      </c>
      <c r="M791" s="142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7">
        <v>46244</v>
      </c>
      <c r="B792" s="15" t="str">
        <f>VLOOKUP(C792,'Product List'!A:C,3,0)</f>
        <v>MINI/MOE MINI TV TUNNEL CAGE 1EA</v>
      </c>
      <c r="C792" s="162" t="s">
        <v>74</v>
      </c>
      <c r="D792" s="168" t="s">
        <v>416</v>
      </c>
      <c r="E792" s="162"/>
      <c r="F792" s="162">
        <v>2</v>
      </c>
      <c r="G792" s="99">
        <v>0</v>
      </c>
      <c r="H792" s="99">
        <f t="shared" si="32"/>
        <v>0</v>
      </c>
      <c r="I792" s="6" t="s">
        <v>418</v>
      </c>
      <c r="J792" s="6" t="s">
        <v>418</v>
      </c>
      <c r="K792" s="139">
        <v>46244</v>
      </c>
      <c r="L792" s="166">
        <v>46244</v>
      </c>
      <c r="M792" s="142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7">
        <v>46240</v>
      </c>
      <c r="B793" s="15" t="str">
        <f>VLOOKUP(C793,'Product List'!A:C,3,0)</f>
        <v>MINI/MOE SMALL ANIMAL BEDDING NESTING COTTON BALLS LAV 23LT</v>
      </c>
      <c r="C793" s="15" t="s">
        <v>49</v>
      </c>
      <c r="D793" s="15" t="s">
        <v>434</v>
      </c>
      <c r="E793" s="162"/>
      <c r="F793" s="15">
        <v>480</v>
      </c>
      <c r="G793" s="15">
        <v>3.26</v>
      </c>
      <c r="H793" s="99">
        <f t="shared" si="32"/>
        <v>1564.8</v>
      </c>
      <c r="I793" s="15" t="s">
        <v>334</v>
      </c>
      <c r="J793" s="15" t="s">
        <v>341</v>
      </c>
      <c r="K793" s="139">
        <v>46262</v>
      </c>
      <c r="L793" s="169">
        <v>46246</v>
      </c>
      <c r="M793" s="142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7">
        <v>46241</v>
      </c>
      <c r="B794" s="15" t="str">
        <f>VLOOKUP(C794,'Product List'!A:C,3,0)</f>
        <v>MINI/MOE BENDABLE BIRCHWOOD FENCE</v>
      </c>
      <c r="C794" s="15" t="s">
        <v>34</v>
      </c>
      <c r="D794" s="165">
        <v>31820610</v>
      </c>
      <c r="E794" s="165"/>
      <c r="F794" s="165">
        <v>224</v>
      </c>
      <c r="G794" s="165">
        <v>5.01</v>
      </c>
      <c r="H794" s="99">
        <f t="shared" si="32"/>
        <v>1122.24</v>
      </c>
      <c r="I794" s="162" t="s">
        <v>325</v>
      </c>
      <c r="J794" s="162" t="s">
        <v>350</v>
      </c>
      <c r="K794" s="139">
        <v>46279</v>
      </c>
      <c r="L794" s="166">
        <v>46269</v>
      </c>
      <c r="M794" s="142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7">
        <v>46241</v>
      </c>
      <c r="B795" s="15" t="str">
        <f>VLOOKUP(C795,'Product List'!A:C,3,0)</f>
        <v>MMO-BUBBLE WATER BOTTLE</v>
      </c>
      <c r="C795" s="15" t="s">
        <v>38</v>
      </c>
      <c r="D795" s="165">
        <v>31820610</v>
      </c>
      <c r="E795" s="165"/>
      <c r="F795" s="165">
        <v>168</v>
      </c>
      <c r="G795" s="165">
        <v>4.35</v>
      </c>
      <c r="H795" s="99">
        <f t="shared" si="32"/>
        <v>730.8</v>
      </c>
      <c r="I795" s="162" t="s">
        <v>325</v>
      </c>
      <c r="J795" s="162" t="s">
        <v>350</v>
      </c>
      <c r="K795" s="139">
        <v>46279</v>
      </c>
      <c r="L795" s="166">
        <v>46269</v>
      </c>
      <c r="M795" s="142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7">
        <v>46241</v>
      </c>
      <c r="B796" s="15" t="str">
        <f>VLOOKUP(C796,'Product List'!A:C,3,0)</f>
        <v>MMO-CLOUD WATER BOTTLE</v>
      </c>
      <c r="C796" s="15" t="s">
        <v>37</v>
      </c>
      <c r="D796" s="165">
        <v>31820610</v>
      </c>
      <c r="E796" s="165"/>
      <c r="F796" s="165">
        <v>300</v>
      </c>
      <c r="G796" s="165">
        <v>1.32</v>
      </c>
      <c r="H796" s="99">
        <f t="shared" si="32"/>
        <v>396</v>
      </c>
      <c r="I796" s="162" t="s">
        <v>325</v>
      </c>
      <c r="J796" s="162" t="s">
        <v>350</v>
      </c>
      <c r="K796" s="139">
        <v>46279</v>
      </c>
      <c r="L796" s="166">
        <v>46269</v>
      </c>
      <c r="M796" s="142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7">
        <v>46241</v>
      </c>
      <c r="B797" s="15" t="str">
        <f>VLOOKUP(C797,'Product List'!A:C,3,0)</f>
        <v>MINI/MOE RUFFLE BOWL</v>
      </c>
      <c r="C797" s="15" t="s">
        <v>83</v>
      </c>
      <c r="D797" s="165">
        <v>31820610</v>
      </c>
      <c r="E797" s="165"/>
      <c r="F797" s="165">
        <v>96</v>
      </c>
      <c r="G797" s="165">
        <v>2.35</v>
      </c>
      <c r="H797" s="99">
        <f t="shared" si="32"/>
        <v>225.6</v>
      </c>
      <c r="I797" s="162" t="s">
        <v>325</v>
      </c>
      <c r="J797" s="162" t="s">
        <v>350</v>
      </c>
      <c r="K797" s="139">
        <v>46279</v>
      </c>
      <c r="L797" s="166">
        <v>46269</v>
      </c>
      <c r="M797" s="142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7">
        <v>46241</v>
      </c>
      <c r="B798" s="15" t="str">
        <f>VLOOKUP(C798,'Product List'!A:C,3,0)</f>
        <v>MMO-PAPER PEBBLES</v>
      </c>
      <c r="C798" s="15" t="s">
        <v>42</v>
      </c>
      <c r="D798" s="165">
        <v>31820610</v>
      </c>
      <c r="E798" s="165"/>
      <c r="F798" s="165">
        <v>48</v>
      </c>
      <c r="G798" s="165">
        <v>5.81</v>
      </c>
      <c r="H798" s="99">
        <f t="shared" si="32"/>
        <v>278.88</v>
      </c>
      <c r="I798" s="162" t="s">
        <v>325</v>
      </c>
      <c r="J798" s="162" t="s">
        <v>350</v>
      </c>
      <c r="K798" s="139">
        <v>46279</v>
      </c>
      <c r="L798" s="166">
        <v>46269</v>
      </c>
      <c r="M798" s="142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7">
        <v>46241</v>
      </c>
      <c r="B799" s="15" t="str">
        <f>VLOOKUP(C799,'Product List'!A:C,3,0)</f>
        <v>MINI/MOE TV VIEWING CAGE</v>
      </c>
      <c r="C799" s="15" t="s">
        <v>27</v>
      </c>
      <c r="D799" s="165">
        <v>31820611</v>
      </c>
      <c r="E799" s="165"/>
      <c r="F799" s="165">
        <v>32</v>
      </c>
      <c r="G799" s="165">
        <v>48.49</v>
      </c>
      <c r="H799" s="99">
        <f t="shared" si="32"/>
        <v>1551.68</v>
      </c>
      <c r="I799" s="162" t="s">
        <v>325</v>
      </c>
      <c r="J799" s="162" t="s">
        <v>347</v>
      </c>
      <c r="K799" s="139">
        <v>46276</v>
      </c>
      <c r="L799" s="166">
        <v>46269</v>
      </c>
      <c r="M799" s="142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7">
        <v>46241</v>
      </c>
      <c r="B800" s="15" t="str">
        <f>VLOOKUP(C800,'Product List'!A:C,3,0)</f>
        <v>MMO-STARFISH CASTLE</v>
      </c>
      <c r="C800" s="15" t="s">
        <v>76</v>
      </c>
      <c r="D800" s="165">
        <v>31820611</v>
      </c>
      <c r="E800" s="165"/>
      <c r="F800" s="165">
        <v>40</v>
      </c>
      <c r="G800" s="165">
        <v>5.32</v>
      </c>
      <c r="H800" s="99">
        <f t="shared" si="32"/>
        <v>212.8</v>
      </c>
      <c r="I800" s="162" t="s">
        <v>325</v>
      </c>
      <c r="J800" s="162" t="s">
        <v>347</v>
      </c>
      <c r="K800" s="139">
        <v>46276</v>
      </c>
      <c r="L800" s="166">
        <v>46269</v>
      </c>
      <c r="M800" s="142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7">
        <v>46241</v>
      </c>
      <c r="B801" s="15" t="str">
        <f>VLOOKUP(C801,'Product List'!A:C,3,0)</f>
        <v>MINI/MOE BENDABLE BIRCHWOOD FENCE</v>
      </c>
      <c r="C801" s="15" t="s">
        <v>34</v>
      </c>
      <c r="D801" s="165">
        <v>31820611</v>
      </c>
      <c r="E801" s="165"/>
      <c r="F801" s="165">
        <v>32</v>
      </c>
      <c r="G801" s="165">
        <v>5.01</v>
      </c>
      <c r="H801" s="99">
        <f t="shared" si="32"/>
        <v>160.32</v>
      </c>
      <c r="I801" s="162" t="s">
        <v>325</v>
      </c>
      <c r="J801" s="162" t="s">
        <v>347</v>
      </c>
      <c r="K801" s="139">
        <v>46276</v>
      </c>
      <c r="L801" s="166">
        <v>46269</v>
      </c>
      <c r="M801" s="142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7">
        <v>46241</v>
      </c>
      <c r="B802" s="15" t="str">
        <f>VLOOKUP(C802,'Product List'!A:C,3,0)</f>
        <v>MMO-BUBBLE WATER BOTTLE</v>
      </c>
      <c r="C802" s="15" t="s">
        <v>38</v>
      </c>
      <c r="D802" s="165">
        <v>31820611</v>
      </c>
      <c r="E802" s="165"/>
      <c r="F802" s="165">
        <v>84</v>
      </c>
      <c r="G802" s="165">
        <v>4.35</v>
      </c>
      <c r="H802" s="99">
        <f t="shared" si="32"/>
        <v>365.4</v>
      </c>
      <c r="I802" s="162" t="s">
        <v>325</v>
      </c>
      <c r="J802" s="162" t="s">
        <v>347</v>
      </c>
      <c r="K802" s="139">
        <v>46276</v>
      </c>
      <c r="L802" s="166">
        <v>46269</v>
      </c>
      <c r="M802" s="142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7">
        <v>46241</v>
      </c>
      <c r="B803" s="15" t="str">
        <f>VLOOKUP(C803,'Product List'!A:C,3,0)</f>
        <v>MMO-PAPER TWIST BLU/WHT</v>
      </c>
      <c r="C803" s="15" t="s">
        <v>44</v>
      </c>
      <c r="D803" s="165">
        <v>31820611</v>
      </c>
      <c r="E803" s="165"/>
      <c r="F803" s="165">
        <v>30</v>
      </c>
      <c r="G803" s="165">
        <v>3.89</v>
      </c>
      <c r="H803" s="99">
        <f t="shared" si="32"/>
        <v>116.7</v>
      </c>
      <c r="I803" s="162" t="s">
        <v>325</v>
      </c>
      <c r="J803" s="162" t="s">
        <v>347</v>
      </c>
      <c r="K803" s="139">
        <v>46276</v>
      </c>
      <c r="L803" s="166">
        <v>46269</v>
      </c>
      <c r="M803" s="142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7">
        <v>46241</v>
      </c>
      <c r="B804" s="15" t="str">
        <f>VLOOKUP(C804,'Product List'!A:C,3,0)</f>
        <v>MMO-CLOUD WATER BOTTLE</v>
      </c>
      <c r="C804" s="15" t="s">
        <v>37</v>
      </c>
      <c r="D804" s="165">
        <v>31820611</v>
      </c>
      <c r="E804" s="165"/>
      <c r="F804" s="165">
        <v>50</v>
      </c>
      <c r="G804" s="165">
        <v>1.32</v>
      </c>
      <c r="H804" s="99">
        <f t="shared" si="32"/>
        <v>66</v>
      </c>
      <c r="I804" s="162" t="s">
        <v>325</v>
      </c>
      <c r="J804" s="162" t="s">
        <v>347</v>
      </c>
      <c r="K804" s="139">
        <v>46276</v>
      </c>
      <c r="L804" s="166">
        <v>46269</v>
      </c>
      <c r="M804" s="142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7">
        <v>46241</v>
      </c>
      <c r="B805" s="15" t="str">
        <f>VLOOKUP(C805,'Product List'!A:C,3,0)</f>
        <v>MINI/MOE RUFFLE BOWL</v>
      </c>
      <c r="C805" s="15" t="s">
        <v>83</v>
      </c>
      <c r="D805" s="165">
        <v>31820611</v>
      </c>
      <c r="E805" s="165"/>
      <c r="F805" s="165">
        <v>96</v>
      </c>
      <c r="G805" s="165">
        <v>2.35</v>
      </c>
      <c r="H805" s="99">
        <f t="shared" si="32"/>
        <v>225.6</v>
      </c>
      <c r="I805" s="162" t="s">
        <v>325</v>
      </c>
      <c r="J805" s="162" t="s">
        <v>347</v>
      </c>
      <c r="K805" s="139">
        <v>46276</v>
      </c>
      <c r="L805" s="166">
        <v>46269</v>
      </c>
      <c r="M805" s="142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7">
        <v>46241</v>
      </c>
      <c r="B806" s="15" t="str">
        <f>VLOOKUP(C806,'Product List'!A:C,3,0)</f>
        <v>MMO-PAPER PEBBLES</v>
      </c>
      <c r="C806" s="15" t="s">
        <v>42</v>
      </c>
      <c r="D806" s="165">
        <v>31820611</v>
      </c>
      <c r="E806" s="165"/>
      <c r="F806" s="165">
        <v>48</v>
      </c>
      <c r="G806" s="165">
        <v>5.81</v>
      </c>
      <c r="H806" s="99">
        <f t="shared" si="32"/>
        <v>278.88</v>
      </c>
      <c r="I806" s="162" t="s">
        <v>325</v>
      </c>
      <c r="J806" s="162" t="s">
        <v>347</v>
      </c>
      <c r="K806" s="139">
        <v>46276</v>
      </c>
      <c r="L806" s="166">
        <v>46269</v>
      </c>
      <c r="M806" s="142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7">
        <v>46244</v>
      </c>
      <c r="B807" s="15" t="str">
        <f>VLOOKUP(C807,'Product List'!A:C,3,0)</f>
        <v>MINI/MOE TV VIEWING CAGE</v>
      </c>
      <c r="C807" s="15" t="s">
        <v>27</v>
      </c>
      <c r="D807" s="170" t="s">
        <v>435</v>
      </c>
      <c r="E807" s="162"/>
      <c r="F807" s="162">
        <v>1</v>
      </c>
      <c r="G807" s="99">
        <v>0</v>
      </c>
      <c r="H807" s="99">
        <f t="shared" si="32"/>
        <v>0</v>
      </c>
      <c r="I807" s="6" t="s">
        <v>418</v>
      </c>
      <c r="J807" s="6" t="s">
        <v>418</v>
      </c>
      <c r="K807" s="139">
        <v>46244</v>
      </c>
      <c r="L807" s="166">
        <v>46244</v>
      </c>
      <c r="M807" s="142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7">
        <v>46244</v>
      </c>
      <c r="B808" s="15" t="str">
        <f>VLOOKUP(C808,'Product List'!A:C,3,0)</f>
        <v>MINI/MOE MINI TV TUNNEL CAGE 1EA</v>
      </c>
      <c r="C808" s="15" t="s">
        <v>74</v>
      </c>
      <c r="D808" s="170" t="s">
        <v>435</v>
      </c>
      <c r="E808" s="162"/>
      <c r="F808" s="162">
        <v>1</v>
      </c>
      <c r="G808" s="99">
        <v>0</v>
      </c>
      <c r="H808" s="99">
        <f t="shared" si="32"/>
        <v>0</v>
      </c>
      <c r="I808" s="6" t="s">
        <v>418</v>
      </c>
      <c r="J808" s="6" t="s">
        <v>418</v>
      </c>
      <c r="K808" s="139">
        <v>46244</v>
      </c>
      <c r="L808" s="166">
        <v>46244</v>
      </c>
      <c r="M808" s="142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7">
        <v>46244</v>
      </c>
      <c r="B809" s="15" t="str">
        <f>VLOOKUP(C809,'Product List'!A:C,3,0)</f>
        <v>MINI/MOE SILENT CRSTL RUN WHEEL XL 11.5 1EA</v>
      </c>
      <c r="C809" s="15" t="s">
        <v>31</v>
      </c>
      <c r="D809" s="170" t="s">
        <v>435</v>
      </c>
      <c r="E809" s="162"/>
      <c r="F809" s="162">
        <v>3</v>
      </c>
      <c r="G809" s="99">
        <v>0</v>
      </c>
      <c r="H809" s="99">
        <f t="shared" si="32"/>
        <v>0</v>
      </c>
      <c r="I809" s="6" t="s">
        <v>418</v>
      </c>
      <c r="J809" s="6" t="s">
        <v>418</v>
      </c>
      <c r="K809" s="139">
        <v>46244</v>
      </c>
      <c r="L809" s="166">
        <v>46244</v>
      </c>
      <c r="M809" s="142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7">
        <v>46247</v>
      </c>
      <c r="B810" s="15" t="str">
        <f>VLOOKUP(C810,'Product List'!A:C,3,0)</f>
        <v>MINI/MOE SILENT CRSTL RUN WHEEL LG 8.5-Green</v>
      </c>
      <c r="C810" s="15" t="s">
        <v>32</v>
      </c>
      <c r="D810" s="170" t="s">
        <v>436</v>
      </c>
      <c r="E810" s="162"/>
      <c r="F810" s="162">
        <v>48</v>
      </c>
      <c r="G810" s="99">
        <v>12.63</v>
      </c>
      <c r="H810" s="99">
        <f t="shared" si="32"/>
        <v>606.24</v>
      </c>
      <c r="I810" s="6" t="s">
        <v>334</v>
      </c>
      <c r="J810" s="6" t="s">
        <v>341</v>
      </c>
      <c r="K810" s="139">
        <v>46273</v>
      </c>
      <c r="L810" s="166">
        <v>46260</v>
      </c>
      <c r="M810" s="142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7">
        <v>46247</v>
      </c>
      <c r="B811" s="15" t="str">
        <f>VLOOKUP(C811,'Product List'!A:C,3,0)</f>
        <v>MINI/MOE TV VIEWING CAGE</v>
      </c>
      <c r="C811" s="15" t="s">
        <v>27</v>
      </c>
      <c r="D811" s="170" t="s">
        <v>436</v>
      </c>
      <c r="E811" s="162"/>
      <c r="F811" s="162">
        <v>39</v>
      </c>
      <c r="G811" s="99">
        <v>51.71</v>
      </c>
      <c r="H811" s="99">
        <f t="shared" si="32"/>
        <v>2016.69</v>
      </c>
      <c r="I811" s="6" t="s">
        <v>334</v>
      </c>
      <c r="J811" s="6" t="s">
        <v>341</v>
      </c>
      <c r="K811" s="139">
        <v>46273</v>
      </c>
      <c r="L811" s="166">
        <v>46260</v>
      </c>
      <c r="M811" s="142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7">
        <v>46247</v>
      </c>
      <c r="B812" s="15" t="str">
        <f>VLOOKUP(C812,'Product List'!A:C,3,0)</f>
        <v>MINI/MOE TULIP WATER BOTTLE</v>
      </c>
      <c r="C812" s="15" t="s">
        <v>29</v>
      </c>
      <c r="D812" s="170" t="s">
        <v>436</v>
      </c>
      <c r="E812" s="162"/>
      <c r="F812" s="162">
        <v>120</v>
      </c>
      <c r="G812" s="99">
        <v>1.7</v>
      </c>
      <c r="H812" s="99">
        <f t="shared" si="32"/>
        <v>204</v>
      </c>
      <c r="I812" s="6" t="s">
        <v>334</v>
      </c>
      <c r="J812" s="6" t="s">
        <v>341</v>
      </c>
      <c r="K812" s="139">
        <v>46273</v>
      </c>
      <c r="L812" s="166">
        <v>46260</v>
      </c>
      <c r="M812" s="142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7">
        <v>46247</v>
      </c>
      <c r="B813" s="15" t="str">
        <f>VLOOKUP(C813,'Product List'!A:C,3,0)</f>
        <v>MINI/MOE BENDABLE BIRCHWOOD FENCE</v>
      </c>
      <c r="C813" s="15" t="s">
        <v>34</v>
      </c>
      <c r="D813" s="170" t="s">
        <v>436</v>
      </c>
      <c r="E813" s="162"/>
      <c r="F813" s="162">
        <v>64</v>
      </c>
      <c r="G813" s="99">
        <v>4.65</v>
      </c>
      <c r="H813" s="99">
        <f t="shared" si="32"/>
        <v>297.6</v>
      </c>
      <c r="I813" s="6" t="s">
        <v>334</v>
      </c>
      <c r="J813" s="6" t="s">
        <v>341</v>
      </c>
      <c r="K813" s="139">
        <v>46273</v>
      </c>
      <c r="L813" s="166">
        <v>46260</v>
      </c>
      <c r="M813" s="142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7">
        <v>46247</v>
      </c>
      <c r="B814" s="15" t="str">
        <f>VLOOKUP(C814,'Product List'!A:C,3,0)</f>
        <v>D. MMO-COTTAGE VIEW CAGE</v>
      </c>
      <c r="C814" s="15" t="s">
        <v>57</v>
      </c>
      <c r="D814" s="170" t="s">
        <v>436</v>
      </c>
      <c r="E814" s="162"/>
      <c r="F814" s="162">
        <v>32</v>
      </c>
      <c r="G814" s="99">
        <v>70.28</v>
      </c>
      <c r="H814" s="99">
        <f t="shared" si="32"/>
        <v>2248.96</v>
      </c>
      <c r="I814" s="6" t="s">
        <v>334</v>
      </c>
      <c r="J814" s="6" t="s">
        <v>341</v>
      </c>
      <c r="K814" s="139">
        <v>46273</v>
      </c>
      <c r="L814" s="166">
        <v>46260</v>
      </c>
      <c r="M814" s="142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7">
        <v>46247</v>
      </c>
      <c r="B815" s="15" t="str">
        <f>VLOOKUP(C815,'Product List'!A:C,3,0)</f>
        <v>MINI/MOE SILENT CRSTL RUN WHEEL XL 11.5 1EA</v>
      </c>
      <c r="C815" s="15" t="s">
        <v>31</v>
      </c>
      <c r="D815" s="170" t="s">
        <v>436</v>
      </c>
      <c r="E815" s="162"/>
      <c r="F815" s="162">
        <v>129</v>
      </c>
      <c r="G815" s="99">
        <v>19.75</v>
      </c>
      <c r="H815" s="99">
        <f t="shared" si="32"/>
        <v>2547.75</v>
      </c>
      <c r="I815" s="6" t="s">
        <v>334</v>
      </c>
      <c r="J815" s="6" t="s">
        <v>341</v>
      </c>
      <c r="K815" s="139">
        <v>46273</v>
      </c>
      <c r="L815" s="166">
        <v>46260</v>
      </c>
      <c r="M815" s="142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7">
        <v>46247</v>
      </c>
      <c r="B816" s="15" t="str">
        <f>VLOOKUP(C816,'Product List'!A:C,3,0)</f>
        <v>MINI/MOE WOODLAND POTTY</v>
      </c>
      <c r="C816" s="15" t="s">
        <v>30</v>
      </c>
      <c r="D816" s="170" t="s">
        <v>436</v>
      </c>
      <c r="E816" s="162"/>
      <c r="F816" s="162">
        <v>72</v>
      </c>
      <c r="G816" s="99">
        <v>2.61</v>
      </c>
      <c r="H816" s="99">
        <f t="shared" si="32"/>
        <v>187.92</v>
      </c>
      <c r="I816" s="6" t="s">
        <v>334</v>
      </c>
      <c r="J816" s="6" t="s">
        <v>341</v>
      </c>
      <c r="K816" s="139">
        <v>46273</v>
      </c>
      <c r="L816" s="166">
        <v>46260</v>
      </c>
      <c r="M816" s="142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7">
        <v>46247</v>
      </c>
      <c r="B817" s="15" t="str">
        <f>VLOOKUP(C817,'Product List'!A:C,3,0)</f>
        <v>MINI/MOE SILENT CRSTL RUN WHEEL LG 8.5-Green</v>
      </c>
      <c r="C817" s="15" t="s">
        <v>32</v>
      </c>
      <c r="D817" s="170" t="s">
        <v>437</v>
      </c>
      <c r="E817" s="162"/>
      <c r="F817" s="162">
        <v>184</v>
      </c>
      <c r="G817" s="99">
        <v>12.63</v>
      </c>
      <c r="H817" s="99">
        <f t="shared" si="32"/>
        <v>2323.92</v>
      </c>
      <c r="I817" s="6" t="s">
        <v>334</v>
      </c>
      <c r="J817" s="6" t="s">
        <v>335</v>
      </c>
      <c r="K817" s="139">
        <v>46273</v>
      </c>
      <c r="L817" s="166">
        <v>46265</v>
      </c>
      <c r="M817" s="142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7">
        <v>46247</v>
      </c>
      <c r="B818" s="15" t="str">
        <f>VLOOKUP(C818,'Product List'!A:C,3,0)</f>
        <v>MINI/MOE TV VIEWING CAGE</v>
      </c>
      <c r="C818" s="15" t="s">
        <v>27</v>
      </c>
      <c r="D818" s="170" t="s">
        <v>437</v>
      </c>
      <c r="E818" s="162"/>
      <c r="F818" s="162">
        <v>134</v>
      </c>
      <c r="G818" s="99">
        <v>51.71</v>
      </c>
      <c r="H818" s="99">
        <f t="shared" si="32"/>
        <v>6929.14</v>
      </c>
      <c r="I818" s="6" t="s">
        <v>334</v>
      </c>
      <c r="J818" s="6" t="s">
        <v>335</v>
      </c>
      <c r="K818" s="139">
        <v>46273</v>
      </c>
      <c r="L818" s="166">
        <v>46265</v>
      </c>
      <c r="M818" s="142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7">
        <v>46247</v>
      </c>
      <c r="B819" s="15" t="str">
        <f>VLOOKUP(C819,'Product List'!A:C,3,0)</f>
        <v>MINI/MOE TULIP WATER BOTTLE</v>
      </c>
      <c r="C819" s="15" t="s">
        <v>29</v>
      </c>
      <c r="D819" s="170" t="s">
        <v>437</v>
      </c>
      <c r="E819" s="162"/>
      <c r="F819" s="162">
        <v>240</v>
      </c>
      <c r="G819" s="99">
        <v>1.7</v>
      </c>
      <c r="H819" s="99">
        <f t="shared" si="32"/>
        <v>408</v>
      </c>
      <c r="I819" s="6" t="s">
        <v>334</v>
      </c>
      <c r="J819" s="6" t="s">
        <v>335</v>
      </c>
      <c r="K819" s="139">
        <v>46273</v>
      </c>
      <c r="L819" s="166">
        <v>46265</v>
      </c>
      <c r="M819" s="142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7">
        <v>46247</v>
      </c>
      <c r="B820" s="15" t="str">
        <f>VLOOKUP(C820,'Product List'!A:C,3,0)</f>
        <v>MINI/MOE BENDABLE BIRCHWOOD FENCE</v>
      </c>
      <c r="C820" s="15" t="s">
        <v>34</v>
      </c>
      <c r="D820" s="170" t="s">
        <v>437</v>
      </c>
      <c r="E820" s="162"/>
      <c r="F820" s="162">
        <v>128</v>
      </c>
      <c r="G820" s="99">
        <v>4.65</v>
      </c>
      <c r="H820" s="99">
        <f t="shared" si="32"/>
        <v>595.2</v>
      </c>
      <c r="I820" s="6" t="s">
        <v>334</v>
      </c>
      <c r="J820" s="6" t="s">
        <v>335</v>
      </c>
      <c r="K820" s="139">
        <v>46273</v>
      </c>
      <c r="L820" s="166">
        <v>46265</v>
      </c>
      <c r="M820" s="142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7">
        <v>46247</v>
      </c>
      <c r="B821" s="15" t="str">
        <f>VLOOKUP(C821,'Product List'!A:C,3,0)</f>
        <v>D. MMO-COTTAGE VIEW CAGE</v>
      </c>
      <c r="C821" s="15" t="s">
        <v>57</v>
      </c>
      <c r="D821" s="170" t="s">
        <v>437</v>
      </c>
      <c r="E821" s="162"/>
      <c r="F821" s="162">
        <v>47</v>
      </c>
      <c r="G821" s="99">
        <v>70.28</v>
      </c>
      <c r="H821" s="99">
        <f t="shared" si="32"/>
        <v>3303.16</v>
      </c>
      <c r="I821" s="6" t="s">
        <v>334</v>
      </c>
      <c r="J821" s="6" t="s">
        <v>335</v>
      </c>
      <c r="K821" s="139">
        <v>46273</v>
      </c>
      <c r="L821" s="166">
        <v>46265</v>
      </c>
      <c r="M821" s="142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7">
        <v>46247</v>
      </c>
      <c r="B822" s="15" t="str">
        <f>VLOOKUP(C822,'Product List'!A:C,3,0)</f>
        <v>MINI/MOE SILENT CRSTL RUN WHEEL XL 11.5 1EA</v>
      </c>
      <c r="C822" s="15" t="s">
        <v>31</v>
      </c>
      <c r="D822" s="170" t="s">
        <v>437</v>
      </c>
      <c r="E822" s="162"/>
      <c r="F822" s="162">
        <v>279</v>
      </c>
      <c r="G822" s="99">
        <v>19.75</v>
      </c>
      <c r="H822" s="99">
        <f t="shared" si="32"/>
        <v>5510.25</v>
      </c>
      <c r="I822" s="6" t="s">
        <v>334</v>
      </c>
      <c r="J822" s="6" t="s">
        <v>335</v>
      </c>
      <c r="K822" s="139">
        <v>46273</v>
      </c>
      <c r="L822" s="166">
        <v>46265</v>
      </c>
      <c r="M822" s="142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7">
        <v>46247</v>
      </c>
      <c r="B823" s="15" t="str">
        <f>VLOOKUP(C823,'Product List'!A:C,3,0)</f>
        <v>MINI/MOE WOODLAND POTTY</v>
      </c>
      <c r="C823" s="15" t="s">
        <v>30</v>
      </c>
      <c r="D823" s="170" t="s">
        <v>437</v>
      </c>
      <c r="E823" s="162"/>
      <c r="F823" s="162">
        <v>108</v>
      </c>
      <c r="G823" s="99">
        <v>2.61</v>
      </c>
      <c r="H823" s="99">
        <f t="shared" si="32"/>
        <v>281.88</v>
      </c>
      <c r="I823" s="6" t="s">
        <v>334</v>
      </c>
      <c r="J823" s="6" t="s">
        <v>335</v>
      </c>
      <c r="K823" s="139">
        <v>46273</v>
      </c>
      <c r="L823" s="166">
        <v>46265</v>
      </c>
      <c r="M823" s="142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7">
        <v>46247</v>
      </c>
      <c r="B824" s="15" t="str">
        <f>VLOOKUP(C824,'Product List'!A:C,3,0)</f>
        <v>MINI/MOE MUSHROOM CABIN</v>
      </c>
      <c r="C824" s="15" t="s">
        <v>33</v>
      </c>
      <c r="D824" s="170" t="s">
        <v>438</v>
      </c>
      <c r="E824" s="162"/>
      <c r="F824" s="162">
        <v>208</v>
      </c>
      <c r="G824" s="99">
        <v>6.98</v>
      </c>
      <c r="H824" s="99">
        <f t="shared" si="32"/>
        <v>1451.84</v>
      </c>
      <c r="I824" s="6" t="s">
        <v>334</v>
      </c>
      <c r="J824" s="6" t="s">
        <v>335</v>
      </c>
      <c r="K824" s="139">
        <v>46273</v>
      </c>
      <c r="L824" s="166">
        <v>46259</v>
      </c>
      <c r="M824" s="142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7">
        <v>46247</v>
      </c>
      <c r="B825" s="15" t="str">
        <f>VLOOKUP(C825,'Product List'!A:C,3,0)</f>
        <v>MINI/MOE TREEHOUSE CABIN</v>
      </c>
      <c r="C825" s="15" t="s">
        <v>79</v>
      </c>
      <c r="D825" s="170" t="s">
        <v>438</v>
      </c>
      <c r="E825" s="162"/>
      <c r="F825" s="162">
        <v>300</v>
      </c>
      <c r="G825" s="99">
        <v>4.28</v>
      </c>
      <c r="H825" s="99">
        <f t="shared" si="32"/>
        <v>1284</v>
      </c>
      <c r="I825" s="6" t="s">
        <v>334</v>
      </c>
      <c r="J825" s="6" t="s">
        <v>335</v>
      </c>
      <c r="K825" s="139">
        <v>46273</v>
      </c>
      <c r="L825" s="166">
        <v>46259</v>
      </c>
      <c r="M825" s="142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7">
        <v>46247</v>
      </c>
      <c r="B826" s="15" t="str">
        <f>VLOOKUP(C826,'Product List'!A:C,3,0)</f>
        <v>MINI/MOE IVY BURROWING BOX</v>
      </c>
      <c r="C826" s="15" t="s">
        <v>75</v>
      </c>
      <c r="D826" s="170" t="s">
        <v>438</v>
      </c>
      <c r="E826" s="162"/>
      <c r="F826" s="162">
        <v>448</v>
      </c>
      <c r="G826" s="99">
        <v>14.89</v>
      </c>
      <c r="H826" s="99">
        <f t="shared" si="32"/>
        <v>6670.72</v>
      </c>
      <c r="I826" s="6" t="s">
        <v>334</v>
      </c>
      <c r="J826" s="6" t="s">
        <v>335</v>
      </c>
      <c r="K826" s="139">
        <v>46273</v>
      </c>
      <c r="L826" s="166">
        <v>46259</v>
      </c>
      <c r="M826" s="142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7">
        <v>46247</v>
      </c>
      <c r="B827" s="15" t="str">
        <f>VLOOKUP(C827,'Product List'!A:C,3,0)</f>
        <v>MINI/MOE TULIP WATER BOTTLE</v>
      </c>
      <c r="C827" s="15" t="s">
        <v>29</v>
      </c>
      <c r="D827" s="170" t="s">
        <v>438</v>
      </c>
      <c r="E827" s="162"/>
      <c r="F827" s="162">
        <v>120</v>
      </c>
      <c r="G827" s="99">
        <v>1.7</v>
      </c>
      <c r="H827" s="99">
        <f t="shared" si="32"/>
        <v>204</v>
      </c>
      <c r="I827" s="6" t="s">
        <v>334</v>
      </c>
      <c r="J827" s="6" t="s">
        <v>335</v>
      </c>
      <c r="K827" s="139">
        <v>46273</v>
      </c>
      <c r="L827" s="166">
        <v>46259</v>
      </c>
      <c r="M827" s="142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7">
        <v>46247</v>
      </c>
      <c r="B828" s="15" t="str">
        <f>VLOOKUP(C828,'Product List'!A:C,3,0)</f>
        <v>MINI/MOE CAMPING TENT HIDE</v>
      </c>
      <c r="C828" s="15" t="s">
        <v>25</v>
      </c>
      <c r="D828" s="170" t="s">
        <v>438</v>
      </c>
      <c r="E828" s="162"/>
      <c r="F828" s="162">
        <v>312</v>
      </c>
      <c r="G828" s="99">
        <v>3.36</v>
      </c>
      <c r="H828" s="99">
        <f t="shared" si="32"/>
        <v>1048.32</v>
      </c>
      <c r="I828" s="6" t="s">
        <v>334</v>
      </c>
      <c r="J828" s="6" t="s">
        <v>335</v>
      </c>
      <c r="K828" s="139">
        <v>46273</v>
      </c>
      <c r="L828" s="166">
        <v>46259</v>
      </c>
      <c r="M828" s="142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7">
        <v>46247</v>
      </c>
      <c r="B829" s="15" t="str">
        <f>VLOOKUP(C829,'Product List'!A:C,3,0)</f>
        <v>MINI/MOE MUSHROOM CABIN</v>
      </c>
      <c r="C829" s="15" t="s">
        <v>33</v>
      </c>
      <c r="D829" s="170" t="s">
        <v>439</v>
      </c>
      <c r="E829" s="162"/>
      <c r="F829" s="162">
        <v>80</v>
      </c>
      <c r="G829" s="99">
        <v>6.98</v>
      </c>
      <c r="H829" s="99">
        <f t="shared" si="32"/>
        <v>558.4</v>
      </c>
      <c r="I829" s="6" t="s">
        <v>334</v>
      </c>
      <c r="J829" s="6" t="s">
        <v>341</v>
      </c>
      <c r="K829" s="139">
        <v>46273</v>
      </c>
      <c r="L829" s="166">
        <v>46260</v>
      </c>
      <c r="M829" s="142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7">
        <v>46247</v>
      </c>
      <c r="B830" s="15" t="str">
        <f>VLOOKUP(C830,'Product List'!A:C,3,0)</f>
        <v>MINI/MOE TREEHOUSE CABIN</v>
      </c>
      <c r="C830" s="15" t="s">
        <v>79</v>
      </c>
      <c r="D830" s="170" t="s">
        <v>439</v>
      </c>
      <c r="E830" s="162"/>
      <c r="F830" s="162">
        <v>120</v>
      </c>
      <c r="G830" s="99">
        <v>4.28</v>
      </c>
      <c r="H830" s="99">
        <f t="shared" si="32"/>
        <v>513.6</v>
      </c>
      <c r="I830" s="6" t="s">
        <v>334</v>
      </c>
      <c r="J830" s="6" t="s">
        <v>341</v>
      </c>
      <c r="K830" s="139">
        <v>46273</v>
      </c>
      <c r="L830" s="166">
        <v>46260</v>
      </c>
      <c r="M830" s="142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7">
        <v>46247</v>
      </c>
      <c r="B831" s="15" t="str">
        <f>VLOOKUP(C831,'Product List'!A:C,3,0)</f>
        <v>MINI/MOE GARDEN TEAPOT</v>
      </c>
      <c r="C831" s="15" t="s">
        <v>73</v>
      </c>
      <c r="D831" s="170" t="s">
        <v>439</v>
      </c>
      <c r="E831" s="162"/>
      <c r="F831" s="162">
        <v>60</v>
      </c>
      <c r="G831" s="99">
        <v>4.61</v>
      </c>
      <c r="H831" s="99">
        <f t="shared" si="32"/>
        <v>276.6</v>
      </c>
      <c r="I831" s="6" t="s">
        <v>334</v>
      </c>
      <c r="J831" s="6" t="s">
        <v>341</v>
      </c>
      <c r="K831" s="139">
        <v>46273</v>
      </c>
      <c r="L831" s="166">
        <v>46260</v>
      </c>
      <c r="M831" s="142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7">
        <v>46247</v>
      </c>
      <c r="B832" s="15" t="str">
        <f>VLOOKUP(C832,'Product List'!A:C,3,0)</f>
        <v>MINI/MOE IVY BURROWING BOX</v>
      </c>
      <c r="C832" s="15" t="s">
        <v>75</v>
      </c>
      <c r="D832" s="170" t="s">
        <v>439</v>
      </c>
      <c r="E832" s="162"/>
      <c r="F832" s="162">
        <v>4</v>
      </c>
      <c r="G832" s="99">
        <v>14.89</v>
      </c>
      <c r="H832" s="99">
        <f t="shared" si="32"/>
        <v>59.56</v>
      </c>
      <c r="I832" s="6" t="s">
        <v>334</v>
      </c>
      <c r="J832" s="6" t="s">
        <v>341</v>
      </c>
      <c r="K832" s="139">
        <v>46273</v>
      </c>
      <c r="L832" s="166">
        <v>46260</v>
      </c>
      <c r="M832" s="142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7">
        <v>46247</v>
      </c>
      <c r="B833" s="15" t="str">
        <f>VLOOKUP(C833,'Product List'!A:C,3,0)</f>
        <v>MINI/MOE TULIP WATER BOTTLE</v>
      </c>
      <c r="C833" s="15" t="s">
        <v>29</v>
      </c>
      <c r="D833" s="170" t="s">
        <v>439</v>
      </c>
      <c r="E833" s="162"/>
      <c r="F833" s="162">
        <v>60</v>
      </c>
      <c r="G833" s="99">
        <v>1.7</v>
      </c>
      <c r="H833" s="99">
        <f t="shared" si="32"/>
        <v>102</v>
      </c>
      <c r="I833" s="6" t="s">
        <v>334</v>
      </c>
      <c r="J833" s="6" t="s">
        <v>341</v>
      </c>
      <c r="K833" s="139">
        <v>46273</v>
      </c>
      <c r="L833" s="166">
        <v>46260</v>
      </c>
      <c r="M833" s="142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7">
        <v>46247</v>
      </c>
      <c r="B834" s="15" t="str">
        <f>VLOOKUP(C834,'Product List'!A:C,3,0)</f>
        <v>MINI/MOE CAMPING TENT HIDE</v>
      </c>
      <c r="C834" s="15" t="s">
        <v>25</v>
      </c>
      <c r="D834" s="170" t="s">
        <v>439</v>
      </c>
      <c r="E834" s="162"/>
      <c r="F834" s="162">
        <v>168</v>
      </c>
      <c r="G834" s="99">
        <v>3.36</v>
      </c>
      <c r="H834" s="99">
        <f t="shared" si="32"/>
        <v>564.48</v>
      </c>
      <c r="I834" s="6" t="s">
        <v>334</v>
      </c>
      <c r="J834" s="6" t="s">
        <v>341</v>
      </c>
      <c r="K834" s="139">
        <v>46273</v>
      </c>
      <c r="L834" s="166">
        <v>46260</v>
      </c>
      <c r="M834" s="142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7">
        <v>46248</v>
      </c>
      <c r="B835" s="15" t="str">
        <f>VLOOKUP(C835,'Product List'!A:C,3,0)</f>
        <v>MINI/MOE SILENT CRSTL RUN WHEEL LG 8.5-White</v>
      </c>
      <c r="C835" s="15" t="s">
        <v>41</v>
      </c>
      <c r="D835" s="170">
        <v>31877481</v>
      </c>
      <c r="E835" s="162"/>
      <c r="F835" s="162">
        <v>48</v>
      </c>
      <c r="G835" s="99">
        <v>13.22</v>
      </c>
      <c r="H835" s="99">
        <f t="shared" si="32"/>
        <v>634.56</v>
      </c>
      <c r="I835" s="6" t="s">
        <v>325</v>
      </c>
      <c r="J835" s="6" t="s">
        <v>355</v>
      </c>
      <c r="K835" s="139">
        <v>46288</v>
      </c>
      <c r="L835" s="166">
        <v>46275</v>
      </c>
      <c r="M835" s="142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7">
        <v>46248</v>
      </c>
      <c r="B836" s="15" t="str">
        <f>VLOOKUP(C836,'Product List'!A:C,3,0)</f>
        <v>MINI/MOE BENDABLE BIRCHWOOD FENCE</v>
      </c>
      <c r="C836" s="147" t="s">
        <v>34</v>
      </c>
      <c r="D836" s="171">
        <v>31877481</v>
      </c>
      <c r="E836" s="162"/>
      <c r="F836" s="172">
        <v>64</v>
      </c>
      <c r="G836" s="99">
        <v>5.01</v>
      </c>
      <c r="H836" s="99">
        <f t="shared" si="32"/>
        <v>320.64</v>
      </c>
      <c r="I836" s="6" t="s">
        <v>325</v>
      </c>
      <c r="J836" s="6" t="s">
        <v>355</v>
      </c>
      <c r="K836" s="139">
        <v>46288</v>
      </c>
      <c r="L836" s="166">
        <v>46275</v>
      </c>
      <c r="M836" s="142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7">
        <v>46248</v>
      </c>
      <c r="B837" s="15" t="str">
        <f>VLOOKUP(C837,'Product List'!A:C,3,0)</f>
        <v>D. MMO-COTTAGE VIEW CAGE</v>
      </c>
      <c r="C837" s="15" t="s">
        <v>57</v>
      </c>
      <c r="D837" s="170">
        <v>31877481</v>
      </c>
      <c r="E837" s="162"/>
      <c r="F837" s="162">
        <v>1</v>
      </c>
      <c r="G837" s="99">
        <v>70.28</v>
      </c>
      <c r="H837" s="99">
        <f t="shared" ref="H837:H904" si="36">F837*G837</f>
        <v>70.28</v>
      </c>
      <c r="I837" s="6" t="s">
        <v>325</v>
      </c>
      <c r="J837" s="6" t="s">
        <v>355</v>
      </c>
      <c r="K837" s="139">
        <v>46288</v>
      </c>
      <c r="L837" s="166">
        <v>46275</v>
      </c>
      <c r="M837" s="142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7">
        <v>46248</v>
      </c>
      <c r="B838" s="15" t="str">
        <f>VLOOKUP(C838,'Product List'!A:C,3,0)</f>
        <v>MMO-BUBBLE WATER BOTTLE</v>
      </c>
      <c r="C838" s="15" t="s">
        <v>38</v>
      </c>
      <c r="D838" s="171">
        <v>31877481</v>
      </c>
      <c r="E838" s="162"/>
      <c r="F838" s="162">
        <v>294</v>
      </c>
      <c r="G838" s="99">
        <v>4.35</v>
      </c>
      <c r="H838" s="99">
        <f t="shared" si="36"/>
        <v>1278.9</v>
      </c>
      <c r="I838" s="6" t="s">
        <v>325</v>
      </c>
      <c r="J838" s="6" t="s">
        <v>355</v>
      </c>
      <c r="K838" s="139">
        <v>46288</v>
      </c>
      <c r="L838" s="166">
        <v>46275</v>
      </c>
      <c r="M838" s="142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7">
        <v>46248</v>
      </c>
      <c r="B839" s="15" t="str">
        <f>VLOOKUP(C839,'Product List'!A:C,3,0)</f>
        <v>MMO-CLOUD WATER BOTTLE</v>
      </c>
      <c r="C839" s="15" t="s">
        <v>37</v>
      </c>
      <c r="D839" s="170">
        <v>31877481</v>
      </c>
      <c r="E839" s="162"/>
      <c r="F839" s="162">
        <v>200</v>
      </c>
      <c r="G839" s="99">
        <v>1.32</v>
      </c>
      <c r="H839" s="99">
        <f t="shared" si="36"/>
        <v>264</v>
      </c>
      <c r="I839" s="6" t="s">
        <v>325</v>
      </c>
      <c r="J839" s="6" t="s">
        <v>355</v>
      </c>
      <c r="K839" s="139">
        <v>46288</v>
      </c>
      <c r="L839" s="166">
        <v>46275</v>
      </c>
      <c r="M839" s="142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7">
        <v>46253</v>
      </c>
      <c r="B840" s="15" t="str">
        <f>VLOOKUP(C840,'Product List'!A:C,3,0)</f>
        <v>NONO Magnetic Water Bottle (220 ML)</v>
      </c>
      <c r="C840" s="149" t="s">
        <v>67</v>
      </c>
      <c r="D840" s="170" t="s">
        <v>440</v>
      </c>
      <c r="E840" s="6"/>
      <c r="F840" s="132">
        <v>480</v>
      </c>
      <c r="G840" s="99">
        <v>2.93</v>
      </c>
      <c r="H840" s="99">
        <f t="shared" si="36"/>
        <v>1406.4</v>
      </c>
      <c r="I840" s="6" t="s">
        <v>334</v>
      </c>
      <c r="J840" s="19" t="s">
        <v>335</v>
      </c>
      <c r="K840" s="139">
        <v>46269</v>
      </c>
      <c r="L840" s="139">
        <v>46265</v>
      </c>
      <c r="M840" s="142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7">
        <v>46253</v>
      </c>
      <c r="B841" s="15" t="str">
        <f>VLOOKUP(C841,'Product List'!A:C,3,0)</f>
        <v>Forest Series Hamster Chew Toy &amp; Treat</v>
      </c>
      <c r="C841" s="149" t="s">
        <v>72</v>
      </c>
      <c r="D841" s="170" t="s">
        <v>440</v>
      </c>
      <c r="E841" s="6"/>
      <c r="F841" s="132">
        <v>480</v>
      </c>
      <c r="G841" s="99">
        <v>3.47</v>
      </c>
      <c r="H841" s="99">
        <f t="shared" si="36"/>
        <v>1665.6</v>
      </c>
      <c r="I841" s="6" t="s">
        <v>334</v>
      </c>
      <c r="J841" s="19" t="s">
        <v>335</v>
      </c>
      <c r="K841" s="139">
        <v>46269</v>
      </c>
      <c r="L841" s="139">
        <v>46265</v>
      </c>
      <c r="M841" s="142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7">
        <v>46253</v>
      </c>
      <c r="B842" s="15" t="str">
        <f>VLOOKUP(C842,'Product List'!A:C,3,0)</f>
        <v>MMO-CAMP LUNCH BOX CHEW</v>
      </c>
      <c r="C842" s="149" t="s">
        <v>40</v>
      </c>
      <c r="D842" s="170" t="s">
        <v>440</v>
      </c>
      <c r="E842" s="6"/>
      <c r="F842" s="132">
        <v>432</v>
      </c>
      <c r="G842" s="99">
        <v>2.48</v>
      </c>
      <c r="H842" s="99">
        <f t="shared" si="36"/>
        <v>1071.36</v>
      </c>
      <c r="I842" s="6" t="s">
        <v>334</v>
      </c>
      <c r="J842" s="19" t="s">
        <v>335</v>
      </c>
      <c r="K842" s="139">
        <v>46269</v>
      </c>
      <c r="L842" s="139">
        <v>46265</v>
      </c>
      <c r="M842" s="142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7">
        <v>46253</v>
      </c>
      <c r="B843" s="15" t="str">
        <f>VLOOKUP(C843,'Product List'!A:C,3,0)</f>
        <v>Mushroom Spiral Staircase</v>
      </c>
      <c r="C843" s="149" t="s">
        <v>55</v>
      </c>
      <c r="D843" s="170" t="s">
        <v>440</v>
      </c>
      <c r="E843" s="6"/>
      <c r="F843" s="132">
        <v>432</v>
      </c>
      <c r="G843" s="99">
        <v>2.62</v>
      </c>
      <c r="H843" s="99">
        <f t="shared" si="36"/>
        <v>1131.84</v>
      </c>
      <c r="I843" s="6" t="s">
        <v>334</v>
      </c>
      <c r="J843" s="19" t="s">
        <v>335</v>
      </c>
      <c r="K843" s="139">
        <v>46269</v>
      </c>
      <c r="L843" s="139">
        <v>46265</v>
      </c>
      <c r="M843" s="142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7">
        <v>46253</v>
      </c>
      <c r="B844" s="15" t="str">
        <f>VLOOKUP(C844,'Product List'!A:C,3,0)</f>
        <v>Paper twist brown / white bedding</v>
      </c>
      <c r="C844" s="149" t="s">
        <v>54</v>
      </c>
      <c r="D844" s="170" t="s">
        <v>440</v>
      </c>
      <c r="E844" s="6"/>
      <c r="F844" s="132">
        <v>450</v>
      </c>
      <c r="G844" s="99">
        <v>3.8</v>
      </c>
      <c r="H844" s="99">
        <f t="shared" si="36"/>
        <v>1710</v>
      </c>
      <c r="I844" s="6" t="s">
        <v>334</v>
      </c>
      <c r="J844" s="19" t="s">
        <v>335</v>
      </c>
      <c r="K844" s="139">
        <v>46269</v>
      </c>
      <c r="L844" s="139">
        <v>46265</v>
      </c>
      <c r="M844" s="142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7">
        <v>46253</v>
      </c>
      <c r="B845" s="15" t="str">
        <f>VLOOKUP(C845,'Product List'!A:C,3,0)</f>
        <v>Cotton multi color bedding</v>
      </c>
      <c r="C845" s="149" t="s">
        <v>50</v>
      </c>
      <c r="D845" s="170" t="s">
        <v>440</v>
      </c>
      <c r="E845" s="6"/>
      <c r="F845" s="132">
        <v>448</v>
      </c>
      <c r="G845" s="99">
        <v>3.26</v>
      </c>
      <c r="H845" s="99">
        <f t="shared" si="36"/>
        <v>1460.48</v>
      </c>
      <c r="I845" s="6" t="s">
        <v>334</v>
      </c>
      <c r="J845" s="19" t="s">
        <v>335</v>
      </c>
      <c r="K845" s="139">
        <v>46269</v>
      </c>
      <c r="L845" s="139">
        <v>46265</v>
      </c>
      <c r="M845" s="142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7">
        <v>46253</v>
      </c>
      <c r="B846" s="15" t="str">
        <f>VLOOKUP(C846,'Product List'!A:C,3,0)</f>
        <v>MMO-GREEN APPLE CHEW</v>
      </c>
      <c r="C846" s="149" t="s">
        <v>39</v>
      </c>
      <c r="D846" s="170" t="s">
        <v>440</v>
      </c>
      <c r="E846" s="6"/>
      <c r="F846" s="132">
        <v>432</v>
      </c>
      <c r="G846" s="99">
        <v>1.53</v>
      </c>
      <c r="H846" s="99">
        <f t="shared" si="36"/>
        <v>660.96</v>
      </c>
      <c r="I846" s="6" t="s">
        <v>334</v>
      </c>
      <c r="J846" s="19" t="s">
        <v>335</v>
      </c>
      <c r="K846" s="139">
        <v>46269</v>
      </c>
      <c r="L846" s="139">
        <v>46265</v>
      </c>
      <c r="M846" s="142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7">
        <v>46253</v>
      </c>
      <c r="B847" s="15" t="str">
        <f>VLOOKUP(C847,'Product List'!A:C,3,0)</f>
        <v>MINI/MOE SMALL ANIMAL BEDDING PAPER PEBBLES PSTCH/CREAM 1EA</v>
      </c>
      <c r="C847" s="149" t="s">
        <v>63</v>
      </c>
      <c r="D847" s="170" t="s">
        <v>440</v>
      </c>
      <c r="E847" s="6"/>
      <c r="F847" s="132">
        <v>450</v>
      </c>
      <c r="G847" s="99">
        <v>3.89</v>
      </c>
      <c r="H847" s="99">
        <f t="shared" si="36"/>
        <v>1750.5</v>
      </c>
      <c r="I847" s="6" t="s">
        <v>334</v>
      </c>
      <c r="J847" s="19" t="s">
        <v>335</v>
      </c>
      <c r="K847" s="139">
        <v>46269</v>
      </c>
      <c r="L847" s="139">
        <v>46265</v>
      </c>
      <c r="M847" s="142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7">
        <v>46253</v>
      </c>
      <c r="B848" s="15" t="str">
        <f>VLOOKUP(C848,'Product List'!A:C,3,0)</f>
        <v>MINI/MOE SMALL ANIMAL BEDDING PAPER TWISTS BUBBLEGUM 1EA</v>
      </c>
      <c r="C848" s="149" t="s">
        <v>60</v>
      </c>
      <c r="D848" s="170" t="s">
        <v>440</v>
      </c>
      <c r="E848" s="6"/>
      <c r="F848" s="132">
        <v>450</v>
      </c>
      <c r="G848" s="99">
        <v>3.8</v>
      </c>
      <c r="H848" s="99">
        <f t="shared" si="36"/>
        <v>1710</v>
      </c>
      <c r="I848" s="6" t="s">
        <v>334</v>
      </c>
      <c r="J848" s="19" t="s">
        <v>335</v>
      </c>
      <c r="K848" s="139">
        <v>46269</v>
      </c>
      <c r="L848" s="139">
        <v>46265</v>
      </c>
      <c r="M848" s="142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7">
        <v>46253</v>
      </c>
      <c r="B849" s="15" t="str">
        <f>VLOOKUP(C849,'Product List'!A:C,3,0)</f>
        <v>MINI/MOE SMALL ANIMAL BEDDING PAPER PEBBLES PSTCH/CREAM 1EA</v>
      </c>
      <c r="C849" s="149" t="s">
        <v>69</v>
      </c>
      <c r="D849" s="170" t="s">
        <v>440</v>
      </c>
      <c r="E849" s="6"/>
      <c r="F849" s="132">
        <v>444</v>
      </c>
      <c r="G849" s="99">
        <v>5.71</v>
      </c>
      <c r="H849" s="99">
        <f t="shared" si="36"/>
        <v>2535.24</v>
      </c>
      <c r="I849" s="6" t="s">
        <v>334</v>
      </c>
      <c r="J849" s="19" t="s">
        <v>335</v>
      </c>
      <c r="K849" s="139">
        <v>46269</v>
      </c>
      <c r="L849" s="139">
        <v>46265</v>
      </c>
      <c r="M849" s="142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7">
        <v>46253</v>
      </c>
      <c r="B850" s="15" t="str">
        <f>VLOOKUP(C850,'Product List'!A:C,3,0)</f>
        <v>MINI/MOE MUSHROOM LADDER 1EA</v>
      </c>
      <c r="C850" s="149" t="s">
        <v>64</v>
      </c>
      <c r="D850" s="170" t="s">
        <v>440</v>
      </c>
      <c r="E850" s="6"/>
      <c r="F850" s="132">
        <v>450</v>
      </c>
      <c r="G850" s="99">
        <v>4.28</v>
      </c>
      <c r="H850" s="99">
        <f t="shared" si="36"/>
        <v>1926</v>
      </c>
      <c r="I850" s="6" t="s">
        <v>334</v>
      </c>
      <c r="J850" s="19" t="s">
        <v>335</v>
      </c>
      <c r="K850" s="139">
        <v>46269</v>
      </c>
      <c r="L850" s="139">
        <v>46265</v>
      </c>
      <c r="M850" s="142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7">
        <v>46253</v>
      </c>
      <c r="B851" s="15" t="str">
        <f>VLOOKUP(C851,'Product List'!A:C,3,0)</f>
        <v>Ceramic Candy Bowl</v>
      </c>
      <c r="C851" s="149" t="s">
        <v>70</v>
      </c>
      <c r="D851" s="170" t="s">
        <v>440</v>
      </c>
      <c r="E851" s="6"/>
      <c r="F851" s="132">
        <v>480</v>
      </c>
      <c r="G851" s="99">
        <v>2.85</v>
      </c>
      <c r="H851" s="99">
        <f t="shared" si="36"/>
        <v>1368</v>
      </c>
      <c r="I851" s="6" t="s">
        <v>334</v>
      </c>
      <c r="J851" s="19" t="s">
        <v>335</v>
      </c>
      <c r="K851" s="139">
        <v>46269</v>
      </c>
      <c r="L851" s="139">
        <v>46265</v>
      </c>
      <c r="M851" s="142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7">
        <v>46253</v>
      </c>
      <c r="B852" s="15" t="str">
        <f>VLOOKUP(C852,'Product List'!A:C,3,0)</f>
        <v>MINI/MOE SMALL ANIMAL HOUSING SWEET BRIDGE 1EA</v>
      </c>
      <c r="C852" s="148" t="s">
        <v>71</v>
      </c>
      <c r="D852" s="170" t="s">
        <v>440</v>
      </c>
      <c r="E852" s="6"/>
      <c r="F852" s="132">
        <v>490</v>
      </c>
      <c r="G852" s="156">
        <v>2.91</v>
      </c>
      <c r="H852" s="99">
        <f t="shared" si="36"/>
        <v>1425.9</v>
      </c>
      <c r="I852" s="17" t="s">
        <v>334</v>
      </c>
      <c r="J852" s="154" t="s">
        <v>335</v>
      </c>
      <c r="K852" s="139">
        <v>46269</v>
      </c>
      <c r="L852" s="139">
        <v>46265</v>
      </c>
      <c r="M852" s="142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54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</row>
    <row r="853" spans="1:31">
      <c r="A853" s="137">
        <v>46253</v>
      </c>
      <c r="B853" s="15" t="str">
        <f>VLOOKUP(C853,'Product List'!A:C,3,0)</f>
        <v>Little Devil Travel Cage</v>
      </c>
      <c r="C853" s="149" t="s">
        <v>58</v>
      </c>
      <c r="D853" s="170" t="s">
        <v>440</v>
      </c>
      <c r="E853" s="6"/>
      <c r="F853" s="132">
        <v>450</v>
      </c>
      <c r="G853" s="99">
        <v>5.48</v>
      </c>
      <c r="H853" s="99">
        <f t="shared" si="36"/>
        <v>2466</v>
      </c>
      <c r="I853" s="6" t="s">
        <v>334</v>
      </c>
      <c r="J853" s="19" t="s">
        <v>335</v>
      </c>
      <c r="K853" s="139">
        <v>46269</v>
      </c>
      <c r="L853" s="139">
        <v>46265</v>
      </c>
      <c r="M853" s="142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7">
        <v>46253</v>
      </c>
      <c r="B854" s="15" t="str">
        <f>VLOOKUP(C854,'Product List'!A:C,3,0)</f>
        <v>Crystal Outdoor Cage</v>
      </c>
      <c r="C854" s="149" t="s">
        <v>52</v>
      </c>
      <c r="D854" s="170" t="s">
        <v>440</v>
      </c>
      <c r="E854" s="6"/>
      <c r="F854" s="132">
        <v>220</v>
      </c>
      <c r="G854" s="99">
        <v>8.2</v>
      </c>
      <c r="H854" s="99">
        <f t="shared" si="36"/>
        <v>1804</v>
      </c>
      <c r="I854" s="6" t="s">
        <v>334</v>
      </c>
      <c r="J854" s="19" t="s">
        <v>335</v>
      </c>
      <c r="K854" s="139">
        <v>46269</v>
      </c>
      <c r="L854" s="139">
        <v>46265</v>
      </c>
      <c r="M854" s="142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7">
        <v>46253</v>
      </c>
      <c r="B855" s="15" t="str">
        <f>VLOOKUP(C855,'Product List'!A:C,3,0)</f>
        <v>MINI/MOE SMALL ANIMAL HOUSING CAKE HOUSE 1EA</v>
      </c>
      <c r="C855" s="149" t="s">
        <v>53</v>
      </c>
      <c r="D855" s="170" t="s">
        <v>440</v>
      </c>
      <c r="E855" s="6"/>
      <c r="F855" s="132">
        <v>221</v>
      </c>
      <c r="G855" s="99">
        <v>5.47</v>
      </c>
      <c r="H855" s="99">
        <f t="shared" si="36"/>
        <v>1208.87</v>
      </c>
      <c r="I855" s="6" t="s">
        <v>334</v>
      </c>
      <c r="J855" s="19" t="s">
        <v>335</v>
      </c>
      <c r="K855" s="139">
        <v>46269</v>
      </c>
      <c r="L855" s="139">
        <v>46265</v>
      </c>
      <c r="M855" s="142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7">
        <v>46255</v>
      </c>
      <c r="B856" s="15" t="str">
        <f>VLOOKUP(C856,'Product List'!A:C,3,0)</f>
        <v>MINI/MOE SILENT CRSTL RUN WHEEL LG 8.5-White</v>
      </c>
      <c r="C856" s="129" t="s">
        <v>41</v>
      </c>
      <c r="D856" s="19" t="s">
        <v>414</v>
      </c>
      <c r="E856" s="21"/>
      <c r="F856" s="99">
        <v>456</v>
      </c>
      <c r="G856" s="99">
        <v>9.55</v>
      </c>
      <c r="H856" s="99">
        <f t="shared" ref="H856:H882" si="38">F856*G856</f>
        <v>4354.8</v>
      </c>
      <c r="I856" s="129" t="s">
        <v>414</v>
      </c>
      <c r="J856" s="129" t="s">
        <v>414</v>
      </c>
      <c r="K856" s="139"/>
      <c r="L856" s="21"/>
      <c r="M856" s="142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7">
        <v>46255</v>
      </c>
      <c r="B857" s="15" t="str">
        <f>VLOOKUP(C857,'Product List'!A:C,3,0)</f>
        <v>Crystal Outdoor Cage</v>
      </c>
      <c r="C857" s="129" t="s">
        <v>52</v>
      </c>
      <c r="D857" s="19" t="s">
        <v>414</v>
      </c>
      <c r="E857" s="21"/>
      <c r="F857" s="99">
        <v>612</v>
      </c>
      <c r="G857" s="99">
        <v>4.66</v>
      </c>
      <c r="H857" s="99">
        <f t="shared" si="38"/>
        <v>2851.92</v>
      </c>
      <c r="I857" s="129" t="s">
        <v>414</v>
      </c>
      <c r="J857" s="129" t="s">
        <v>414</v>
      </c>
      <c r="K857" s="139"/>
      <c r="L857" s="21"/>
      <c r="M857" s="142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7">
        <v>46255</v>
      </c>
      <c r="B858" s="15" t="str">
        <f>VLOOKUP(C858,'Product List'!A:C,3,0)</f>
        <v>Simple Rabbit Bowl</v>
      </c>
      <c r="C858" s="129" t="s">
        <v>88</v>
      </c>
      <c r="D858" s="19" t="s">
        <v>414</v>
      </c>
      <c r="E858" s="21"/>
      <c r="F858" s="99">
        <v>1020</v>
      </c>
      <c r="G858" s="99">
        <v>1.49</v>
      </c>
      <c r="H858" s="99">
        <f t="shared" si="38"/>
        <v>1519.8</v>
      </c>
      <c r="I858" s="129" t="s">
        <v>414</v>
      </c>
      <c r="J858" s="129" t="s">
        <v>414</v>
      </c>
      <c r="K858" s="139"/>
      <c r="L858" s="21"/>
      <c r="M858" s="142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7">
        <v>46255</v>
      </c>
      <c r="B859" s="15" t="str">
        <f>VLOOKUP(C859,'Product List'!A:C,3,0)</f>
        <v>MINI/MOE TULIP WATER BOTTLE</v>
      </c>
      <c r="C859" s="129" t="s">
        <v>29</v>
      </c>
      <c r="D859" s="19" t="s">
        <v>414</v>
      </c>
      <c r="E859" s="21"/>
      <c r="F859" s="99">
        <v>2400</v>
      </c>
      <c r="G859" s="99">
        <v>1.14</v>
      </c>
      <c r="H859" s="99">
        <f t="shared" si="38"/>
        <v>2736</v>
      </c>
      <c r="I859" s="129" t="s">
        <v>414</v>
      </c>
      <c r="J859" s="129" t="s">
        <v>414</v>
      </c>
      <c r="K859" s="139"/>
      <c r="L859" s="21"/>
      <c r="M859" s="142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7">
        <v>46255</v>
      </c>
      <c r="B860" s="15" t="str">
        <f>VLOOKUP(C860,'Product List'!A:C,3,0)</f>
        <v>Silent Crystal Running Wheel XL</v>
      </c>
      <c r="C860" s="129" t="s">
        <v>98</v>
      </c>
      <c r="D860" s="19" t="s">
        <v>414</v>
      </c>
      <c r="E860" s="21"/>
      <c r="F860" s="99">
        <v>120</v>
      </c>
      <c r="G860" s="99">
        <v>14.78</v>
      </c>
      <c r="H860" s="99">
        <f t="shared" si="38"/>
        <v>1773.6</v>
      </c>
      <c r="I860" s="129" t="s">
        <v>414</v>
      </c>
      <c r="J860" s="129" t="s">
        <v>414</v>
      </c>
      <c r="K860" s="139"/>
      <c r="L860" s="21"/>
      <c r="M860" s="142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7">
        <v>46255</v>
      </c>
      <c r="B861" s="15" t="str">
        <f>VLOOKUP(C861,'Product List'!A:C,3,0)</f>
        <v>Little Devil Travel Cage</v>
      </c>
      <c r="C861" s="129" t="s">
        <v>58</v>
      </c>
      <c r="D861" s="19" t="s">
        <v>414</v>
      </c>
      <c r="E861" s="21"/>
      <c r="F861" s="99">
        <v>576</v>
      </c>
      <c r="G861" s="99">
        <v>3.32</v>
      </c>
      <c r="H861" s="99">
        <f t="shared" si="38"/>
        <v>1912.32</v>
      </c>
      <c r="I861" s="129" t="s">
        <v>414</v>
      </c>
      <c r="J861" s="129" t="s">
        <v>414</v>
      </c>
      <c r="K861" s="139"/>
      <c r="L861" s="21"/>
      <c r="M861" s="142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7">
        <v>46255</v>
      </c>
      <c r="B862" s="15" t="str">
        <f>VLOOKUP(C862,'Product List'!A:C,3,0)</f>
        <v>Cheese Bowl</v>
      </c>
      <c r="C862" s="129" t="s">
        <v>112</v>
      </c>
      <c r="D862" s="19" t="s">
        <v>414</v>
      </c>
      <c r="E862" s="21"/>
      <c r="F862" s="99">
        <v>528</v>
      </c>
      <c r="G862" s="99">
        <v>2.09</v>
      </c>
      <c r="H862" s="99">
        <f t="shared" si="38"/>
        <v>1103.52</v>
      </c>
      <c r="I862" s="129" t="s">
        <v>414</v>
      </c>
      <c r="J862" s="129" t="s">
        <v>414</v>
      </c>
      <c r="K862" s="139"/>
      <c r="L862" s="21"/>
      <c r="M862" s="142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7">
        <v>46255</v>
      </c>
      <c r="B863" s="15" t="str">
        <f>VLOOKUP(C863,'Product List'!A:C,3,0)</f>
        <v>Modern Viewing Cage (100cm)</v>
      </c>
      <c r="C863" s="129" t="s">
        <v>99</v>
      </c>
      <c r="D863" s="19" t="s">
        <v>414</v>
      </c>
      <c r="E863" s="21"/>
      <c r="F863" s="99">
        <v>196</v>
      </c>
      <c r="G863" s="99">
        <v>47.4903</v>
      </c>
      <c r="H863" s="99">
        <f t="shared" si="38"/>
        <v>9308.0988</v>
      </c>
      <c r="I863" s="129" t="s">
        <v>414</v>
      </c>
      <c r="J863" s="129" t="s">
        <v>414</v>
      </c>
      <c r="K863" s="139"/>
      <c r="L863" s="21"/>
      <c r="M863" s="142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7">
        <v>46255</v>
      </c>
      <c r="B864" s="15" t="str">
        <f>VLOOKUP(C864,'Product List'!A:C,3,0)</f>
        <v>Little Devil Travel Cage</v>
      </c>
      <c r="C864" s="129" t="s">
        <v>90</v>
      </c>
      <c r="D864" s="19" t="s">
        <v>414</v>
      </c>
      <c r="E864" s="21"/>
      <c r="F864" s="99">
        <v>1152</v>
      </c>
      <c r="G864" s="99">
        <v>2.61</v>
      </c>
      <c r="H864" s="99">
        <f t="shared" si="38"/>
        <v>3006.72</v>
      </c>
      <c r="I864" s="129" t="s">
        <v>414</v>
      </c>
      <c r="J864" s="129" t="s">
        <v>414</v>
      </c>
      <c r="K864" s="139"/>
      <c r="L864" s="21"/>
      <c r="M864" s="142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7">
        <v>46255</v>
      </c>
      <c r="B865" s="15" t="str">
        <f>VLOOKUP(C865,'Product List'!A:C,3,0)</f>
        <v>Tulip Hay Feeder</v>
      </c>
      <c r="C865" s="129" t="s">
        <v>89</v>
      </c>
      <c r="D865" s="19" t="s">
        <v>414</v>
      </c>
      <c r="E865" s="21"/>
      <c r="F865" s="99">
        <v>528</v>
      </c>
      <c r="G865" s="99">
        <v>3.18</v>
      </c>
      <c r="H865" s="99">
        <f t="shared" si="38"/>
        <v>1679.04</v>
      </c>
      <c r="I865" s="129" t="s">
        <v>414</v>
      </c>
      <c r="J865" s="129" t="s">
        <v>414</v>
      </c>
      <c r="K865" s="139"/>
      <c r="L865" s="21"/>
      <c r="M865" s="142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7">
        <v>46255</v>
      </c>
      <c r="B866" s="15" t="str">
        <f>VLOOKUP(C866,'Product List'!A:C,3,0)</f>
        <v>Ceramic Candy Bowl</v>
      </c>
      <c r="C866" s="129" t="s">
        <v>70</v>
      </c>
      <c r="D866" s="19" t="s">
        <v>414</v>
      </c>
      <c r="E866" s="21"/>
      <c r="F866" s="99">
        <v>288</v>
      </c>
      <c r="G866" s="99">
        <v>2.05</v>
      </c>
      <c r="H866" s="99">
        <f t="shared" si="38"/>
        <v>590.4</v>
      </c>
      <c r="I866" s="129" t="s">
        <v>414</v>
      </c>
      <c r="J866" s="129" t="s">
        <v>414</v>
      </c>
      <c r="K866" s="139"/>
      <c r="L866" s="21"/>
      <c r="M866" s="142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7">
        <v>46255</v>
      </c>
      <c r="B867" s="15" t="str">
        <f>VLOOKUP(C867,'Product List'!A:C,3,0)</f>
        <v>Tulip Toilet</v>
      </c>
      <c r="C867" s="129" t="s">
        <v>91</v>
      </c>
      <c r="D867" s="19" t="s">
        <v>414</v>
      </c>
      <c r="E867" s="21"/>
      <c r="F867" s="99">
        <v>700</v>
      </c>
      <c r="G867" s="99">
        <v>4.32</v>
      </c>
      <c r="H867" s="99">
        <f t="shared" si="38"/>
        <v>3024</v>
      </c>
      <c r="I867" s="129" t="s">
        <v>414</v>
      </c>
      <c r="J867" s="129" t="s">
        <v>414</v>
      </c>
      <c r="K867" s="139"/>
      <c r="L867" s="21"/>
      <c r="M867" s="142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7">
        <v>46255</v>
      </c>
      <c r="B868" s="15" t="str">
        <f>VLOOKUP(C868,'Product List'!A:C,3,0)</f>
        <v>MMO-CLOUD WATER BOTTLE</v>
      </c>
      <c r="C868" s="161" t="s">
        <v>37</v>
      </c>
      <c r="D868" s="19" t="s">
        <v>414</v>
      </c>
      <c r="E868" s="21"/>
      <c r="F868" s="99">
        <v>3360</v>
      </c>
      <c r="G868" s="99">
        <v>0.91</v>
      </c>
      <c r="H868" s="99">
        <f t="shared" si="38"/>
        <v>3057.6</v>
      </c>
      <c r="I868" s="129" t="s">
        <v>414</v>
      </c>
      <c r="J868" s="129" t="s">
        <v>414</v>
      </c>
      <c r="K868" s="139"/>
      <c r="L868" s="21"/>
      <c r="M868" s="142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7">
        <v>46255</v>
      </c>
      <c r="B869" s="15" t="str">
        <f>VLOOKUP(C869,'Product List'!A:C,3,0)</f>
        <v>MINI/MOE TV VIEWING CAGE</v>
      </c>
      <c r="C869" s="129" t="s">
        <v>27</v>
      </c>
      <c r="D869" s="19" t="s">
        <v>414</v>
      </c>
      <c r="E869" s="21"/>
      <c r="F869" s="99">
        <v>389</v>
      </c>
      <c r="G869" s="99">
        <v>32.97</v>
      </c>
      <c r="H869" s="99">
        <f t="shared" si="38"/>
        <v>12825.33</v>
      </c>
      <c r="I869" s="129" t="s">
        <v>414</v>
      </c>
      <c r="J869" s="129" t="s">
        <v>414</v>
      </c>
      <c r="K869" s="139"/>
      <c r="L869" s="21"/>
      <c r="M869" s="142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7">
        <v>46255</v>
      </c>
      <c r="B870" s="15" t="str">
        <f>VLOOKUP(C870,'Product List'!A:C,3,0)</f>
        <v>XL Garden Travel Cage</v>
      </c>
      <c r="C870" s="129" t="s">
        <v>101</v>
      </c>
      <c r="D870" s="19" t="s">
        <v>414</v>
      </c>
      <c r="E870" s="21"/>
      <c r="F870" s="99">
        <v>508</v>
      </c>
      <c r="G870" s="99">
        <v>15.21</v>
      </c>
      <c r="H870" s="99">
        <f t="shared" si="38"/>
        <v>7726.68</v>
      </c>
      <c r="I870" s="129" t="s">
        <v>414</v>
      </c>
      <c r="J870" s="129" t="s">
        <v>414</v>
      </c>
      <c r="K870" s="139"/>
      <c r="L870" s="21"/>
      <c r="M870" s="142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7">
        <v>46255</v>
      </c>
      <c r="B871" s="15" t="str">
        <f>VLOOKUP(C871,'Product List'!A:C,3,0)</f>
        <v>NONO Magnetic Water Bottle (220 ML)</v>
      </c>
      <c r="C871" s="129" t="s">
        <v>67</v>
      </c>
      <c r="D871" s="19" t="s">
        <v>414</v>
      </c>
      <c r="E871" s="21"/>
      <c r="F871" s="99">
        <v>900</v>
      </c>
      <c r="G871" s="99">
        <v>2.57</v>
      </c>
      <c r="H871" s="99">
        <f t="shared" si="38"/>
        <v>2313</v>
      </c>
      <c r="I871" s="129" t="s">
        <v>414</v>
      </c>
      <c r="J871" s="129" t="s">
        <v>414</v>
      </c>
      <c r="K871" s="139"/>
      <c r="L871" s="21"/>
      <c r="M871" s="142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7">
        <v>46255</v>
      </c>
      <c r="B872" s="15" t="str">
        <f>VLOOKUP(C872,'Product List'!A:C,3,0)</f>
        <v>XL Garden Travel Cage</v>
      </c>
      <c r="C872" s="129" t="s">
        <v>97</v>
      </c>
      <c r="D872" s="19" t="s">
        <v>414</v>
      </c>
      <c r="E872" s="21"/>
      <c r="F872" s="99">
        <v>332</v>
      </c>
      <c r="G872" s="99">
        <v>15.21</v>
      </c>
      <c r="H872" s="99">
        <f t="shared" si="38"/>
        <v>5049.72</v>
      </c>
      <c r="I872" s="129" t="s">
        <v>414</v>
      </c>
      <c r="J872" s="129" t="s">
        <v>414</v>
      </c>
      <c r="K872" s="139"/>
      <c r="L872" s="21"/>
      <c r="M872" s="142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7">
        <v>46255</v>
      </c>
      <c r="B873" s="15" t="str">
        <f>VLOOKUP(C873,'Product List'!A:C,3,0)</f>
        <v>Simple Hay/Grass Feeder</v>
      </c>
      <c r="C873" s="161" t="s">
        <v>92</v>
      </c>
      <c r="D873" s="19" t="s">
        <v>414</v>
      </c>
      <c r="E873" s="21"/>
      <c r="F873" s="99">
        <v>480</v>
      </c>
      <c r="G873" s="99">
        <v>0.62</v>
      </c>
      <c r="H873" s="99">
        <f t="shared" si="38"/>
        <v>297.6</v>
      </c>
      <c r="I873" s="129" t="s">
        <v>414</v>
      </c>
      <c r="J873" s="129" t="s">
        <v>414</v>
      </c>
      <c r="K873" s="139"/>
      <c r="L873" s="21"/>
      <c r="M873" s="142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7">
        <v>46255</v>
      </c>
      <c r="B874" s="15" t="str">
        <f>VLOOKUP(C874,'Product List'!A:C,3,0)</f>
        <v>Rabbit Drinking Bottle (750ml)</v>
      </c>
      <c r="C874" s="129" t="s">
        <v>87</v>
      </c>
      <c r="D874" s="19" t="s">
        <v>414</v>
      </c>
      <c r="E874" s="21"/>
      <c r="F874" s="99">
        <v>1740</v>
      </c>
      <c r="G874" s="99">
        <v>0.87</v>
      </c>
      <c r="H874" s="99">
        <f t="shared" si="38"/>
        <v>1513.8</v>
      </c>
      <c r="I874" s="129" t="s">
        <v>414</v>
      </c>
      <c r="J874" s="129" t="s">
        <v>414</v>
      </c>
      <c r="K874" s="139"/>
      <c r="L874" s="21"/>
      <c r="M874" s="142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7">
        <v>46255</v>
      </c>
      <c r="B875" s="15" t="str">
        <f>VLOOKUP(C875,'Product List'!A:C,3,0)</f>
        <v>Bubble water bottle (color:green)</v>
      </c>
      <c r="C875" s="129" t="s">
        <v>80</v>
      </c>
      <c r="D875" s="19" t="s">
        <v>414</v>
      </c>
      <c r="E875" s="21"/>
      <c r="F875" s="99">
        <v>540</v>
      </c>
      <c r="G875" s="99">
        <v>3.5</v>
      </c>
      <c r="H875" s="99">
        <f t="shared" si="38"/>
        <v>1890</v>
      </c>
      <c r="I875" s="129" t="s">
        <v>414</v>
      </c>
      <c r="J875" s="129" t="s">
        <v>414</v>
      </c>
      <c r="K875" s="139"/>
      <c r="L875" s="21"/>
      <c r="M875" s="142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7">
        <v>46255</v>
      </c>
      <c r="B876" s="15" t="str">
        <f>VLOOKUP(C876,'Product List'!A:C,3,0)</f>
        <v>D. MMO-COTTAGE VIEW CAGE</v>
      </c>
      <c r="C876" s="129" t="s">
        <v>57</v>
      </c>
      <c r="D876" s="19" t="s">
        <v>414</v>
      </c>
      <c r="E876" s="21"/>
      <c r="F876" s="99">
        <v>119</v>
      </c>
      <c r="G876" s="99">
        <v>35.5</v>
      </c>
      <c r="H876" s="99">
        <f t="shared" si="38"/>
        <v>4224.5</v>
      </c>
      <c r="I876" s="129" t="s">
        <v>414</v>
      </c>
      <c r="J876" s="129" t="s">
        <v>414</v>
      </c>
      <c r="K876" s="139"/>
      <c r="L876" s="21"/>
      <c r="M876" s="142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7">
        <v>46255</v>
      </c>
      <c r="B877" s="15" t="str">
        <f>VLOOKUP(C877,'Product List'!A:C,3,0)</f>
        <v>XL Garden Travel Cage</v>
      </c>
      <c r="C877" s="129" t="s">
        <v>96</v>
      </c>
      <c r="D877" s="19" t="s">
        <v>414</v>
      </c>
      <c r="E877" s="21"/>
      <c r="F877" s="99">
        <v>468</v>
      </c>
      <c r="G877" s="99">
        <v>15.21</v>
      </c>
      <c r="H877" s="99">
        <f t="shared" si="38"/>
        <v>7118.28</v>
      </c>
      <c r="I877" s="129" t="s">
        <v>414</v>
      </c>
      <c r="J877" s="129" t="s">
        <v>414</v>
      </c>
      <c r="K877" s="139"/>
      <c r="L877" s="21"/>
      <c r="M877" s="142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7">
        <v>46255</v>
      </c>
      <c r="B878" s="15" t="str">
        <f>VLOOKUP(C878,'Product List'!A:C,3,0)</f>
        <v>Rabbit Drinking Bottle (250ml)</v>
      </c>
      <c r="C878" s="129" t="s">
        <v>84</v>
      </c>
      <c r="D878" s="19" t="s">
        <v>414</v>
      </c>
      <c r="E878" s="21"/>
      <c r="F878" s="99">
        <v>2160</v>
      </c>
      <c r="G878" s="99">
        <v>0.63</v>
      </c>
      <c r="H878" s="99">
        <f t="shared" si="38"/>
        <v>1360.8</v>
      </c>
      <c r="I878" s="129" t="s">
        <v>414</v>
      </c>
      <c r="J878" s="129" t="s">
        <v>414</v>
      </c>
      <c r="K878" s="139"/>
      <c r="L878" s="21"/>
      <c r="M878" s="142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7">
        <v>46255</v>
      </c>
      <c r="B879" s="15" t="str">
        <f>VLOOKUP(C879,'Product List'!A:C,3,0)</f>
        <v>Rabbit Drinking Bottle (500ml)</v>
      </c>
      <c r="C879" s="129" t="s">
        <v>85</v>
      </c>
      <c r="D879" s="19" t="s">
        <v>414</v>
      </c>
      <c r="E879" s="21"/>
      <c r="F879" s="99">
        <v>2160</v>
      </c>
      <c r="G879" s="99">
        <v>0.76</v>
      </c>
      <c r="H879" s="99">
        <f t="shared" si="38"/>
        <v>1641.6</v>
      </c>
      <c r="I879" s="129" t="s">
        <v>414</v>
      </c>
      <c r="J879" s="129" t="s">
        <v>414</v>
      </c>
      <c r="K879" s="139"/>
      <c r="L879" s="21"/>
      <c r="M879" s="142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7">
        <v>46255</v>
      </c>
      <c r="B880" s="15" t="str">
        <f>VLOOKUP(C880,'Product List'!A:C,3,0)</f>
        <v>Crystal Outdoor Cage</v>
      </c>
      <c r="C880" s="129" t="s">
        <v>93</v>
      </c>
      <c r="D880" s="19" t="s">
        <v>414</v>
      </c>
      <c r="E880" s="21"/>
      <c r="F880" s="99">
        <v>396</v>
      </c>
      <c r="G880" s="99">
        <v>4.66</v>
      </c>
      <c r="H880" s="99">
        <f t="shared" si="38"/>
        <v>1845.36</v>
      </c>
      <c r="I880" s="129" t="s">
        <v>414</v>
      </c>
      <c r="J880" s="129" t="s">
        <v>414</v>
      </c>
      <c r="K880" s="139"/>
      <c r="L880" s="21"/>
      <c r="M880" s="142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7">
        <v>46255</v>
      </c>
      <c r="B881" s="15" t="str">
        <f>VLOOKUP(C881,'Product List'!A:C,3,0)</f>
        <v>Crystal Outdoor Cage</v>
      </c>
      <c r="C881" s="129" t="s">
        <v>94</v>
      </c>
      <c r="D881" s="19" t="s">
        <v>414</v>
      </c>
      <c r="E881" s="21"/>
      <c r="F881" s="99">
        <v>396</v>
      </c>
      <c r="G881" s="99">
        <v>4.66</v>
      </c>
      <c r="H881" s="99">
        <f t="shared" si="38"/>
        <v>1845.36</v>
      </c>
      <c r="I881" s="129" t="s">
        <v>414</v>
      </c>
      <c r="J881" s="129" t="s">
        <v>414</v>
      </c>
      <c r="K881" s="139"/>
      <c r="L881" s="21"/>
      <c r="M881" s="142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7">
        <v>46255</v>
      </c>
      <c r="B882" s="15" t="str">
        <f>VLOOKUP(C882,'Product List'!A:C,3,0)</f>
        <v>Travel Cage 7.17in(18.2cm)-Little Elf</v>
      </c>
      <c r="C882" s="129" t="s">
        <v>100</v>
      </c>
      <c r="D882" s="19" t="s">
        <v>414</v>
      </c>
      <c r="E882" s="21"/>
      <c r="F882" s="99">
        <v>432</v>
      </c>
      <c r="G882" s="99">
        <v>3.32</v>
      </c>
      <c r="H882" s="99">
        <f t="shared" si="38"/>
        <v>1434.24</v>
      </c>
      <c r="I882" s="129" t="s">
        <v>414</v>
      </c>
      <c r="J882" s="129" t="s">
        <v>414</v>
      </c>
      <c r="K882" s="139"/>
      <c r="L882" s="21"/>
      <c r="M882" s="142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7">
        <v>46259</v>
      </c>
      <c r="B883" s="15" t="str">
        <f>VLOOKUP(C883,'Product List'!A:C,3,0)</f>
        <v>MINI/MOE SILENT CRSTL RUN WHEEL LG 8.5-White</v>
      </c>
      <c r="C883" s="129" t="s">
        <v>41</v>
      </c>
      <c r="D883" s="173">
        <v>31955933</v>
      </c>
      <c r="E883" s="21"/>
      <c r="F883" s="99">
        <v>120</v>
      </c>
      <c r="G883" s="99">
        <v>13.22</v>
      </c>
      <c r="H883" s="99">
        <f t="shared" si="36"/>
        <v>1586.4</v>
      </c>
      <c r="I883" s="129" t="s">
        <v>325</v>
      </c>
      <c r="J883" s="129" t="s">
        <v>350</v>
      </c>
      <c r="K883" s="139">
        <v>46296</v>
      </c>
      <c r="L883" s="21"/>
      <c r="M883" s="142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7">
        <v>46259</v>
      </c>
      <c r="B884" s="15" t="str">
        <f>VLOOKUP(C884,'Product List'!A:C,3,0)</f>
        <v>MMO-GREEN APPLE CHEW</v>
      </c>
      <c r="C884" s="129" t="s">
        <v>39</v>
      </c>
      <c r="D884" s="173">
        <v>31955933</v>
      </c>
      <c r="E884" s="21"/>
      <c r="F884" s="99">
        <v>48</v>
      </c>
      <c r="G884" s="99">
        <v>1.53</v>
      </c>
      <c r="H884" s="99">
        <f t="shared" si="36"/>
        <v>73.44</v>
      </c>
      <c r="I884" s="129" t="s">
        <v>325</v>
      </c>
      <c r="J884" s="129" t="s">
        <v>350</v>
      </c>
      <c r="K884" s="139">
        <v>46296</v>
      </c>
      <c r="L884" s="21"/>
      <c r="M884" s="142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7">
        <v>46259</v>
      </c>
      <c r="B885" s="15" t="str">
        <f>VLOOKUP(C885,'Product List'!A:C,3,0)</f>
        <v>MMO-CAMP LUNCH BOX CHEW</v>
      </c>
      <c r="C885" s="129" t="s">
        <v>40</v>
      </c>
      <c r="D885" s="173">
        <v>31955933</v>
      </c>
      <c r="E885" s="21"/>
      <c r="F885" s="99">
        <v>144</v>
      </c>
      <c r="G885" s="99">
        <v>2.48</v>
      </c>
      <c r="H885" s="99">
        <f t="shared" si="36"/>
        <v>357.12</v>
      </c>
      <c r="I885" s="129" t="s">
        <v>325</v>
      </c>
      <c r="J885" s="129" t="s">
        <v>350</v>
      </c>
      <c r="K885" s="139">
        <v>46296</v>
      </c>
      <c r="L885" s="21"/>
      <c r="M885" s="142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7">
        <v>46259</v>
      </c>
      <c r="B886" s="15" t="str">
        <f>VLOOKUP(C886,'Product List'!A:C,3,0)</f>
        <v>MMO-BUBBLE WATER BOTTLE</v>
      </c>
      <c r="C886" s="129" t="s">
        <v>38</v>
      </c>
      <c r="D886" s="173">
        <v>31955933</v>
      </c>
      <c r="E886" s="21"/>
      <c r="F886" s="99">
        <v>168</v>
      </c>
      <c r="G886" s="99">
        <v>4.35</v>
      </c>
      <c r="H886" s="99">
        <f t="shared" si="36"/>
        <v>730.8</v>
      </c>
      <c r="I886" s="129" t="s">
        <v>325</v>
      </c>
      <c r="J886" s="129" t="s">
        <v>350</v>
      </c>
      <c r="K886" s="139">
        <v>46296</v>
      </c>
      <c r="L886" s="21"/>
      <c r="M886" s="142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7">
        <v>46259</v>
      </c>
      <c r="B887" s="15" t="str">
        <f>VLOOKUP(C887,'Product List'!A:C,3,0)</f>
        <v>MMO-CLOUD WATER BOTTLE</v>
      </c>
      <c r="C887" s="129" t="s">
        <v>37</v>
      </c>
      <c r="D887" s="173">
        <v>31955933</v>
      </c>
      <c r="E887" s="21"/>
      <c r="F887" s="99">
        <v>200</v>
      </c>
      <c r="G887" s="99">
        <v>1.32</v>
      </c>
      <c r="H887" s="99">
        <f t="shared" si="36"/>
        <v>264</v>
      </c>
      <c r="I887" s="129" t="s">
        <v>325</v>
      </c>
      <c r="J887" s="129" t="s">
        <v>350</v>
      </c>
      <c r="K887" s="139">
        <v>46296</v>
      </c>
      <c r="L887" s="21"/>
      <c r="M887" s="142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7">
        <v>46258</v>
      </c>
      <c r="B888" s="15" t="str">
        <f>VLOOKUP(C888,'Product List'!A:C,3,0)</f>
        <v>MINI/MOE GARDEN TEAPOT</v>
      </c>
      <c r="C888" s="129" t="s">
        <v>73</v>
      </c>
      <c r="D888" s="173" t="s">
        <v>441</v>
      </c>
      <c r="E888" s="21"/>
      <c r="F888" s="99">
        <v>30</v>
      </c>
      <c r="G888" s="99">
        <v>4.61</v>
      </c>
      <c r="H888" s="99">
        <f t="shared" si="36"/>
        <v>138.3</v>
      </c>
      <c r="I888" s="129" t="s">
        <v>334</v>
      </c>
      <c r="J888" s="129" t="s">
        <v>335</v>
      </c>
      <c r="K888" s="139">
        <v>46279</v>
      </c>
      <c r="L888" s="139">
        <v>46280</v>
      </c>
      <c r="M888" s="142">
        <f>_xlfn.XLOOKUP(C888,'Product List'!A:A,'Product List'!K:K)</f>
        <v>2.25</v>
      </c>
      <c r="N888" s="19">
        <f t="shared" ref="N888:N906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7">
        <v>46258</v>
      </c>
      <c r="B889" s="15" t="str">
        <f>VLOOKUP(C889,'Product List'!A:C,3,0)</f>
        <v>MINI/MOE TREEHOUSE CABIN</v>
      </c>
      <c r="C889" s="129" t="s">
        <v>79</v>
      </c>
      <c r="D889" s="173" t="s">
        <v>441</v>
      </c>
      <c r="E889" s="21"/>
      <c r="F889" s="99">
        <v>120</v>
      </c>
      <c r="G889" s="99">
        <v>4.28</v>
      </c>
      <c r="H889" s="99">
        <f t="shared" si="36"/>
        <v>513.6</v>
      </c>
      <c r="I889" s="129" t="s">
        <v>334</v>
      </c>
      <c r="J889" s="129" t="s">
        <v>335</v>
      </c>
      <c r="K889" s="139">
        <v>46279</v>
      </c>
      <c r="L889" s="139">
        <v>46280</v>
      </c>
      <c r="M889" s="142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7">
        <v>46258</v>
      </c>
      <c r="B890" s="15" t="str">
        <f>VLOOKUP(C890,'Product List'!A:C,3,0)</f>
        <v>MINI/MOE CAMPING TENT HIDE</v>
      </c>
      <c r="C890" s="129" t="s">
        <v>25</v>
      </c>
      <c r="D890" s="173" t="s">
        <v>441</v>
      </c>
      <c r="E890" s="21"/>
      <c r="F890" s="99">
        <v>168</v>
      </c>
      <c r="G890" s="99">
        <v>3.36</v>
      </c>
      <c r="H890" s="99">
        <f t="shared" si="36"/>
        <v>564.48</v>
      </c>
      <c r="I890" s="129" t="s">
        <v>334</v>
      </c>
      <c r="J890" s="129" t="s">
        <v>335</v>
      </c>
      <c r="K890" s="139">
        <v>46279</v>
      </c>
      <c r="L890" s="139">
        <v>46280</v>
      </c>
      <c r="M890" s="142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7">
        <v>46258</v>
      </c>
      <c r="B891" s="15" t="str">
        <f>VLOOKUP(C891,'Product List'!A:C,3,0)</f>
        <v>MINI/MOE BENDABLE BIRCHWOOD FENCE</v>
      </c>
      <c r="C891" s="174" t="s">
        <v>34</v>
      </c>
      <c r="D891" s="173" t="s">
        <v>441</v>
      </c>
      <c r="E891" s="21"/>
      <c r="F891" s="132">
        <v>32</v>
      </c>
      <c r="G891" s="99">
        <v>4.65</v>
      </c>
      <c r="H891" s="99">
        <f t="shared" si="36"/>
        <v>148.8</v>
      </c>
      <c r="I891" s="129" t="s">
        <v>334</v>
      </c>
      <c r="J891" s="129" t="s">
        <v>335</v>
      </c>
      <c r="K891" s="139">
        <v>46279</v>
      </c>
      <c r="L891" s="139">
        <v>46280</v>
      </c>
      <c r="M891" s="142">
        <f>_xlfn.XLOOKUP(C891,'Product List'!A:A,'Product List'!K:K)</f>
        <v>2.63</v>
      </c>
      <c r="N891" s="19">
        <f t="shared" si="39"/>
        <v>84.16</v>
      </c>
      <c r="O891" s="19">
        <f>F891/_xlfn.XLOOKUP(C891,'Product List'!A:A,'Product List'!J:J)</f>
        <v>1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0.04</v>
      </c>
    </row>
    <row r="892" customFormat="1" spans="1:18">
      <c r="A892" s="137">
        <v>46258</v>
      </c>
      <c r="B892" s="15" t="str">
        <f>VLOOKUP(C892,'Product List'!A:C,3,0)</f>
        <v>MINI/MOE TULIP WATER BOTTLE</v>
      </c>
      <c r="C892" s="129" t="s">
        <v>29</v>
      </c>
      <c r="D892" s="173" t="s">
        <v>441</v>
      </c>
      <c r="E892" s="21"/>
      <c r="F892" s="99">
        <v>240</v>
      </c>
      <c r="G892" s="99">
        <v>1.7</v>
      </c>
      <c r="H892" s="99">
        <f t="shared" si="36"/>
        <v>408</v>
      </c>
      <c r="I892" s="129" t="s">
        <v>334</v>
      </c>
      <c r="J892" s="129" t="s">
        <v>335</v>
      </c>
      <c r="K892" s="139">
        <v>46279</v>
      </c>
      <c r="L892" s="139">
        <v>46280</v>
      </c>
      <c r="M892" s="142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7">
        <v>46258</v>
      </c>
      <c r="B893" s="15" t="str">
        <f>VLOOKUP(C893,'Product List'!A:C,3,0)</f>
        <v>MINI/MOE SILENT CRSTL RUN WHEEL LG 8.5-Green</v>
      </c>
      <c r="C893" s="129" t="s">
        <v>32</v>
      </c>
      <c r="D893" s="173" t="s">
        <v>441</v>
      </c>
      <c r="E893" s="21"/>
      <c r="F893" s="99">
        <v>48</v>
      </c>
      <c r="G893" s="99">
        <v>12.63</v>
      </c>
      <c r="H893" s="99">
        <f t="shared" si="36"/>
        <v>606.24</v>
      </c>
      <c r="I893" s="129" t="s">
        <v>334</v>
      </c>
      <c r="J893" s="129" t="s">
        <v>335</v>
      </c>
      <c r="K893" s="139">
        <v>46279</v>
      </c>
      <c r="L893" s="139">
        <v>46280</v>
      </c>
      <c r="M893" s="142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7">
        <v>46258</v>
      </c>
      <c r="B894" s="15" t="str">
        <f>VLOOKUP(C894,'Product List'!A:C,3,0)</f>
        <v>MINI/MOE SILENT CRSTL RUN WHEEL XL 11.5 1EA</v>
      </c>
      <c r="C894" s="129" t="s">
        <v>31</v>
      </c>
      <c r="D894" s="173" t="s">
        <v>441</v>
      </c>
      <c r="E894" s="21"/>
      <c r="F894" s="99">
        <v>54</v>
      </c>
      <c r="G894" s="99">
        <v>19.75</v>
      </c>
      <c r="H894" s="99">
        <f t="shared" si="36"/>
        <v>1066.5</v>
      </c>
      <c r="I894" s="129" t="s">
        <v>334</v>
      </c>
      <c r="J894" s="129" t="s">
        <v>335</v>
      </c>
      <c r="K894" s="139">
        <v>46279</v>
      </c>
      <c r="L894" s="139">
        <v>46280</v>
      </c>
      <c r="M894" s="142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7">
        <v>46258</v>
      </c>
      <c r="B895" s="15" t="str">
        <f>VLOOKUP(C895,'Product List'!A:C,3,0)</f>
        <v>MINI/MOE TV VIEWING CAGE</v>
      </c>
      <c r="C895" s="129" t="s">
        <v>27</v>
      </c>
      <c r="D895" s="173" t="s">
        <v>441</v>
      </c>
      <c r="E895" s="21"/>
      <c r="F895" s="99">
        <v>26</v>
      </c>
      <c r="G895" s="99">
        <v>51.71</v>
      </c>
      <c r="H895" s="99">
        <f t="shared" si="36"/>
        <v>1344.46</v>
      </c>
      <c r="I895" s="129" t="s">
        <v>334</v>
      </c>
      <c r="J895" s="129" t="s">
        <v>335</v>
      </c>
      <c r="K895" s="139">
        <v>46279</v>
      </c>
      <c r="L895" s="139">
        <v>46280</v>
      </c>
      <c r="M895" s="142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7">
        <v>46258</v>
      </c>
      <c r="B896" s="15" t="str">
        <f>VLOOKUP(C896,'Product List'!A:C,3,0)</f>
        <v>MINI/MOE MUSHROOM CABIN</v>
      </c>
      <c r="C896" s="129" t="s">
        <v>33</v>
      </c>
      <c r="D896" s="173" t="s">
        <v>441</v>
      </c>
      <c r="E896" s="21"/>
      <c r="F896" s="99">
        <v>128</v>
      </c>
      <c r="G896" s="99">
        <v>6.98</v>
      </c>
      <c r="H896" s="99">
        <f t="shared" si="36"/>
        <v>893.44</v>
      </c>
      <c r="I896" s="129" t="s">
        <v>334</v>
      </c>
      <c r="J896" s="129" t="s">
        <v>335</v>
      </c>
      <c r="K896" s="139">
        <v>46279</v>
      </c>
      <c r="L896" s="139">
        <v>46280</v>
      </c>
      <c r="M896" s="142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7">
        <v>46258</v>
      </c>
      <c r="B897" s="15" t="str">
        <f>VLOOKUP(C897,'Product List'!A:C,3,0)</f>
        <v>MINI/MOE WOODLAND POTTY</v>
      </c>
      <c r="C897" s="129" t="s">
        <v>30</v>
      </c>
      <c r="D897" s="173" t="s">
        <v>441</v>
      </c>
      <c r="E897" s="21"/>
      <c r="F897" s="99">
        <v>108</v>
      </c>
      <c r="G897" s="99">
        <v>2.61</v>
      </c>
      <c r="H897" s="99">
        <f t="shared" si="36"/>
        <v>281.88</v>
      </c>
      <c r="I897" s="129" t="s">
        <v>334</v>
      </c>
      <c r="J897" s="129" t="s">
        <v>335</v>
      </c>
      <c r="K897" s="139">
        <v>46279</v>
      </c>
      <c r="L897" s="139">
        <v>46280</v>
      </c>
      <c r="M897" s="142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7">
        <v>46258</v>
      </c>
      <c r="B898" s="15" t="str">
        <f>VLOOKUP(C898,'Product List'!A:C,3,0)</f>
        <v>MINI/MOE SMALL ANIMAL BEDDING NESTING COTTON BALLS LAV 23LT</v>
      </c>
      <c r="C898" s="129" t="s">
        <v>49</v>
      </c>
      <c r="D898" s="173" t="s">
        <v>441</v>
      </c>
      <c r="E898" s="21"/>
      <c r="F898" s="99">
        <v>320</v>
      </c>
      <c r="G898" s="99">
        <v>3.26</v>
      </c>
      <c r="H898" s="99">
        <f t="shared" si="36"/>
        <v>1043.2</v>
      </c>
      <c r="I898" s="129" t="s">
        <v>334</v>
      </c>
      <c r="J898" s="129" t="s">
        <v>335</v>
      </c>
      <c r="K898" s="139">
        <v>46279</v>
      </c>
      <c r="L898" s="139">
        <v>46280</v>
      </c>
      <c r="M898" s="142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7">
        <v>46258</v>
      </c>
      <c r="B899" s="15" t="str">
        <f>VLOOKUP(C899,'Product List'!A:C,3,0)</f>
        <v>MINI/MOE SMALL ANIMAL BEDDING ROLLED PAPER FOREST MIX 1EA</v>
      </c>
      <c r="C899" s="129" t="s">
        <v>45</v>
      </c>
      <c r="D899" s="173" t="s">
        <v>441</v>
      </c>
      <c r="E899" s="21"/>
      <c r="F899" s="99">
        <v>300</v>
      </c>
      <c r="G899" s="99">
        <v>4.75</v>
      </c>
      <c r="H899" s="99">
        <f t="shared" si="36"/>
        <v>1425</v>
      </c>
      <c r="I899" s="129" t="s">
        <v>334</v>
      </c>
      <c r="J899" s="129" t="s">
        <v>335</v>
      </c>
      <c r="K899" s="139">
        <v>46279</v>
      </c>
      <c r="L899" s="139">
        <v>46280</v>
      </c>
      <c r="M899" s="142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7">
        <v>46258</v>
      </c>
      <c r="B900" s="15" t="str">
        <f>VLOOKUP(C900,'Product List'!A:C,3,0)</f>
        <v>MINI/MOE SMALL ANIMAL BEDDING PAPER PEBBLES OCEAN BLUE 23LT</v>
      </c>
      <c r="C900" s="129" t="s">
        <v>47</v>
      </c>
      <c r="D900" s="173" t="s">
        <v>441</v>
      </c>
      <c r="E900" s="21"/>
      <c r="F900" s="99">
        <v>264</v>
      </c>
      <c r="G900" s="99">
        <v>5.71</v>
      </c>
      <c r="H900" s="99">
        <f t="shared" si="36"/>
        <v>1507.44</v>
      </c>
      <c r="I900" s="129" t="s">
        <v>334</v>
      </c>
      <c r="J900" s="129" t="s">
        <v>335</v>
      </c>
      <c r="K900" s="139">
        <v>46279</v>
      </c>
      <c r="L900" s="139">
        <v>46280</v>
      </c>
      <c r="M900" s="142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7">
        <v>46258</v>
      </c>
      <c r="B901" s="15" t="str">
        <f>VLOOKUP(C901,'Product List'!A:C,3,0)</f>
        <v>MINI/MOE SMALL ANIMAL BEDDING PAPER FLAKE LAV FIELD 50LT</v>
      </c>
      <c r="C901" s="129" t="s">
        <v>46</v>
      </c>
      <c r="D901" s="173" t="s">
        <v>441</v>
      </c>
      <c r="E901" s="21"/>
      <c r="F901" s="99">
        <v>280</v>
      </c>
      <c r="G901" s="99">
        <v>6.79</v>
      </c>
      <c r="H901" s="99">
        <f t="shared" si="36"/>
        <v>1901.2</v>
      </c>
      <c r="I901" s="129" t="s">
        <v>334</v>
      </c>
      <c r="J901" s="129" t="s">
        <v>335</v>
      </c>
      <c r="K901" s="139">
        <v>46279</v>
      </c>
      <c r="L901" s="139">
        <v>46280</v>
      </c>
      <c r="M901" s="142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7">
        <v>46258</v>
      </c>
      <c r="B902" s="15" t="str">
        <f>VLOOKUP(C902,'Product List'!A:C,3,0)</f>
        <v>MINI/MOE SMALL ANIMAL BEDDING PAPER TWISTS</v>
      </c>
      <c r="C902" s="129" t="s">
        <v>51</v>
      </c>
      <c r="D902" s="173" t="s">
        <v>441</v>
      </c>
      <c r="E902" s="21"/>
      <c r="F902" s="99">
        <v>210</v>
      </c>
      <c r="G902" s="99">
        <v>3.8</v>
      </c>
      <c r="H902" s="99">
        <f t="shared" si="36"/>
        <v>798</v>
      </c>
      <c r="I902" s="129" t="s">
        <v>334</v>
      </c>
      <c r="J902" s="129" t="s">
        <v>335</v>
      </c>
      <c r="K902" s="139">
        <v>46279</v>
      </c>
      <c r="L902" s="139">
        <v>46280</v>
      </c>
      <c r="M902" s="142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spans="1:18">
      <c r="A903" s="137">
        <v>46266</v>
      </c>
      <c r="B903" s="15" t="str">
        <f>VLOOKUP(C903,'Product List'!A:C,3,0)</f>
        <v>MINI/MOE BENDABLE BIRCHWOOD FENCE</v>
      </c>
      <c r="C903" s="174" t="s">
        <v>34</v>
      </c>
      <c r="D903" s="129">
        <v>32011885</v>
      </c>
      <c r="E903" s="129"/>
      <c r="F903" s="174">
        <v>64</v>
      </c>
      <c r="G903" s="129">
        <v>5.01</v>
      </c>
      <c r="H903" s="129">
        <f t="shared" si="36"/>
        <v>320.64</v>
      </c>
      <c r="I903" s="129" t="s">
        <v>325</v>
      </c>
      <c r="J903" s="129" t="s">
        <v>347</v>
      </c>
      <c r="K903" s="139">
        <v>46301</v>
      </c>
      <c r="L903" s="21"/>
      <c r="M903" s="142">
        <f>_xlfn.XLOOKUP(C903,'Product List'!A:A,'Product List'!K:K)</f>
        <v>2.63</v>
      </c>
      <c r="N903" s="19">
        <f t="shared" si="39"/>
        <v>168.32</v>
      </c>
      <c r="O903" s="19">
        <f>F903/_xlfn.XLOOKUP(C903,'Product List'!A:A,'Product List'!J:J)</f>
        <v>2</v>
      </c>
      <c r="P903" s="19" t="str">
        <f>IF(COUNTIF('PO Check'!A:A,D903)&gt;0,"Yes","No")</f>
        <v>Yes</v>
      </c>
      <c r="Q903" s="19" t="str">
        <f>VLOOKUP(C903,'Product List'!A:V,22,0)</f>
        <v>F</v>
      </c>
      <c r="R903" s="19">
        <f>ROUND(IFERROR(VLOOKUP(Q903,'Case Pack'!A:H,8,0),0)*O903,2)</f>
        <v>0.07</v>
      </c>
    </row>
    <row r="904" spans="1:18">
      <c r="A904" s="137">
        <v>46266</v>
      </c>
      <c r="B904" s="15" t="str">
        <f>VLOOKUP(C904,'Product List'!A:C,3,0)</f>
        <v>MMO-CLOUD WATER BOTTLE</v>
      </c>
      <c r="C904" s="129" t="s">
        <v>37</v>
      </c>
      <c r="D904" s="129">
        <v>32011885</v>
      </c>
      <c r="E904" s="129"/>
      <c r="F904" s="129">
        <v>250</v>
      </c>
      <c r="G904" s="129">
        <v>1.32</v>
      </c>
      <c r="H904" s="129">
        <f t="shared" si="36"/>
        <v>330</v>
      </c>
      <c r="I904" s="129" t="s">
        <v>325</v>
      </c>
      <c r="J904" s="129" t="s">
        <v>347</v>
      </c>
      <c r="K904" s="139">
        <v>46301</v>
      </c>
      <c r="L904" s="21"/>
      <c r="M904" s="142">
        <f>_xlfn.XLOOKUP(C904,'Product List'!A:A,'Product List'!K:K)</f>
        <v>0.62</v>
      </c>
      <c r="N904" s="19">
        <f t="shared" si="39"/>
        <v>155</v>
      </c>
      <c r="O904" s="19">
        <f>F904/_xlfn.XLOOKUP(C904,'Product List'!A:A,'Product List'!J:J)</f>
        <v>5</v>
      </c>
      <c r="P904" s="19" t="str">
        <f>IF(COUNTIF('PO Check'!A:A,D904)&gt;0,"Yes","No")</f>
        <v>Yes</v>
      </c>
      <c r="Q904" s="19" t="str">
        <f>VLOOKUP(C904,'Product List'!A:V,22,0)</f>
        <v>A</v>
      </c>
      <c r="R904" s="19">
        <f>ROUND(IFERROR(VLOOKUP(Q904,'Case Pack'!A:H,8,0),0)*O904,2)</f>
        <v>0.55</v>
      </c>
    </row>
    <row r="905" spans="1:18">
      <c r="A905" s="137">
        <v>46266</v>
      </c>
      <c r="B905" s="15" t="str">
        <f>VLOOKUP(C905,'Product List'!A:C,3,0)</f>
        <v>MINI/MOE TV VIEWING CAGE</v>
      </c>
      <c r="C905" s="129" t="s">
        <v>27</v>
      </c>
      <c r="D905" s="129">
        <v>32011885</v>
      </c>
      <c r="E905" s="129"/>
      <c r="F905" s="129">
        <v>50</v>
      </c>
      <c r="G905" s="129">
        <v>48.49</v>
      </c>
      <c r="H905" s="129">
        <f t="shared" ref="H905:H920" si="40">F905*G905</f>
        <v>2424.5</v>
      </c>
      <c r="I905" s="129" t="s">
        <v>325</v>
      </c>
      <c r="J905" s="129" t="s">
        <v>347</v>
      </c>
      <c r="K905" s="139">
        <v>46301</v>
      </c>
      <c r="L905" s="21"/>
      <c r="M905" s="142">
        <f>_xlfn.XLOOKUP(C905,'Product List'!A:A,'Product List'!K:K)</f>
        <v>24.09</v>
      </c>
      <c r="N905" s="19">
        <f t="shared" si="39"/>
        <v>1204.5</v>
      </c>
      <c r="O905" s="19">
        <f>F905/_xlfn.XLOOKUP(C905,'Product List'!A:A,'Product List'!J:J)</f>
        <v>50</v>
      </c>
      <c r="P905" s="19" t="str">
        <f>IF(COUNTIF('PO Check'!A:A,D905)&gt;0,"Yes","No")</f>
        <v>Yes</v>
      </c>
      <c r="Q905" s="19" t="str">
        <f>VLOOKUP(C905,'Product List'!A:V,22,0)</f>
        <v>S1</v>
      </c>
      <c r="R905" s="19">
        <f>ROUND(IFERROR(VLOOKUP(Q905,'Case Pack'!A:H,8,0),0)*O905,2)</f>
        <v>3.7</v>
      </c>
    </row>
    <row r="906" spans="1:18">
      <c r="A906" s="137">
        <v>46266</v>
      </c>
      <c r="B906" s="15" t="str">
        <f>VLOOKUP(C906,'Product List'!A:C,3,0)</f>
        <v>MMO-BUBBLE WATER BOTTLE</v>
      </c>
      <c r="C906" s="129" t="s">
        <v>38</v>
      </c>
      <c r="D906" s="129">
        <v>32011885</v>
      </c>
      <c r="E906" s="129"/>
      <c r="F906" s="129">
        <v>252</v>
      </c>
      <c r="G906" s="129">
        <v>4.35</v>
      </c>
      <c r="H906" s="129">
        <f t="shared" si="40"/>
        <v>1096.2</v>
      </c>
      <c r="I906" s="129" t="s">
        <v>325</v>
      </c>
      <c r="J906" s="129" t="s">
        <v>347</v>
      </c>
      <c r="K906" s="139">
        <v>46301</v>
      </c>
      <c r="L906" s="21"/>
      <c r="M906" s="142">
        <f>_xlfn.XLOOKUP(C906,'Product List'!A:A,'Product List'!K:K)</f>
        <v>3.1</v>
      </c>
      <c r="N906" s="19">
        <f t="shared" si="39"/>
        <v>781.2</v>
      </c>
      <c r="O906" s="19">
        <f>F906/_xlfn.XLOOKUP(C906,'Product List'!A:A,'Product List'!J:J)</f>
        <v>6</v>
      </c>
      <c r="P906" s="19" t="str">
        <f>IF(COUNTIF('PO Check'!A:A,D906)&gt;0,"Yes","No")</f>
        <v>Yes</v>
      </c>
      <c r="Q906" s="19" t="str">
        <f>VLOOKUP(C906,'Product List'!A:V,22,0)</f>
        <v>C</v>
      </c>
      <c r="R906" s="19">
        <f>ROUND(IFERROR(VLOOKUP(Q906,'Case Pack'!A:H,8,0),0)*O906,2)</f>
        <v>0.94</v>
      </c>
    </row>
    <row r="907" spans="1:18">
      <c r="A907" s="137">
        <v>46269</v>
      </c>
      <c r="B907" s="15" t="str">
        <f>VLOOKUP(C907,'Product List'!A:C,3,0)</f>
        <v>MINI/MOE SILENT CRSTL RUN WHEEL LG 8.5-White</v>
      </c>
      <c r="C907" s="129" t="s">
        <v>41</v>
      </c>
      <c r="D907" s="129">
        <v>32044352</v>
      </c>
      <c r="F907" s="129">
        <v>88</v>
      </c>
      <c r="G907" s="129">
        <v>13.22</v>
      </c>
      <c r="H907" s="129">
        <f t="shared" si="40"/>
        <v>1163.36</v>
      </c>
      <c r="I907" s="129" t="s">
        <v>325</v>
      </c>
      <c r="J907" s="129" t="s">
        <v>350</v>
      </c>
      <c r="K907" s="139">
        <v>46307</v>
      </c>
      <c r="L907" s="21"/>
      <c r="M907" s="142">
        <f>_xlfn.XLOOKUP(C907,'Product List'!A:A,'Product List'!K:K)</f>
        <v>6.27</v>
      </c>
      <c r="N907" s="19">
        <f t="shared" ref="N907:N920" si="41">M907*F907</f>
        <v>551.76</v>
      </c>
      <c r="O907" s="19">
        <f>F907/_xlfn.XLOOKUP(C907,'Product List'!A:A,'Product List'!J:J)</f>
        <v>11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1.73</v>
      </c>
    </row>
    <row r="908" spans="1:18">
      <c r="A908" s="137">
        <v>46269</v>
      </c>
      <c r="B908" s="15" t="str">
        <f>VLOOKUP(C908,'Product List'!A:C,3,0)</f>
        <v>MMO-GREEN APPLE CHEW</v>
      </c>
      <c r="C908" s="129" t="s">
        <v>39</v>
      </c>
      <c r="D908" s="129">
        <v>32044352</v>
      </c>
      <c r="F908" s="129">
        <v>144</v>
      </c>
      <c r="G908" s="129">
        <v>1.53</v>
      </c>
      <c r="H908" s="129">
        <f t="shared" si="40"/>
        <v>220.32</v>
      </c>
      <c r="I908" s="129" t="s">
        <v>325</v>
      </c>
      <c r="J908" s="129" t="s">
        <v>350</v>
      </c>
      <c r="K908" s="139">
        <v>46307</v>
      </c>
      <c r="L908" s="21"/>
      <c r="M908" s="142">
        <f>_xlfn.XLOOKUP(C908,'Product List'!A:A,'Product List'!K:K)</f>
        <v>1.04</v>
      </c>
      <c r="N908" s="19">
        <f t="shared" si="41"/>
        <v>149.76</v>
      </c>
      <c r="O908" s="19">
        <f>F908/_xlfn.XLOOKUP(C908,'Product List'!A:A,'Product List'!J:J)</f>
        <v>3</v>
      </c>
      <c r="P908" s="19" t="str">
        <f>IF(COUNTIF('PO Check'!A:A,D908)&gt;0,"Yes","No")</f>
        <v>Yes</v>
      </c>
      <c r="Q908" s="19" t="str">
        <f>VLOOKUP(C908,'Product List'!A:V,22,0)</f>
        <v>B</v>
      </c>
      <c r="R908" s="19">
        <f>ROUND(IFERROR(VLOOKUP(Q908,'Case Pack'!A:H,8,0),0)*O908,2)</f>
        <v>0.22</v>
      </c>
    </row>
    <row r="909" spans="1:18">
      <c r="A909" s="137">
        <v>46269</v>
      </c>
      <c r="B909" s="15" t="str">
        <f>VLOOKUP(C909,'Product List'!A:C,3,0)</f>
        <v>MMO-CAMP LUNCH BOX CHEW</v>
      </c>
      <c r="C909" s="129" t="s">
        <v>40</v>
      </c>
      <c r="D909" s="129">
        <v>32044352</v>
      </c>
      <c r="F909" s="129">
        <v>216</v>
      </c>
      <c r="G909" s="129">
        <v>2.48</v>
      </c>
      <c r="H909" s="129">
        <f t="shared" si="40"/>
        <v>535.68</v>
      </c>
      <c r="I909" s="129" t="s">
        <v>325</v>
      </c>
      <c r="J909" s="129" t="s">
        <v>350</v>
      </c>
      <c r="K909" s="139">
        <v>46307</v>
      </c>
      <c r="L909" s="21"/>
      <c r="M909" s="142">
        <f>_xlfn.XLOOKUP(C909,'Product List'!A:A,'Product List'!K:K)</f>
        <v>1.59</v>
      </c>
      <c r="N909" s="19">
        <f t="shared" si="41"/>
        <v>343.44</v>
      </c>
      <c r="O909" s="19">
        <f>F909/_xlfn.XLOOKUP(C909,'Product List'!A:A,'Product List'!J:J)</f>
        <v>3</v>
      </c>
      <c r="P909" s="19" t="str">
        <f>IF(COUNTIF('PO Check'!A:A,D909)&gt;0,"Yes","No")</f>
        <v>Yes</v>
      </c>
      <c r="Q909" s="19" t="str">
        <f>VLOOKUP(C909,'Product List'!A:V,22,0)</f>
        <v>B</v>
      </c>
      <c r="R909" s="19">
        <f>ROUND(IFERROR(VLOOKUP(Q909,'Case Pack'!A:H,8,0),0)*O909,2)</f>
        <v>0.22</v>
      </c>
    </row>
    <row r="910" spans="1:18">
      <c r="A910" s="137">
        <v>46269</v>
      </c>
      <c r="B910" s="15" t="str">
        <f>VLOOKUP(C910,'Product List'!A:C,3,0)</f>
        <v>MMO-BUBBLE WATER BOTTLE</v>
      </c>
      <c r="C910" s="129" t="s">
        <v>38</v>
      </c>
      <c r="D910" s="129">
        <v>32044352</v>
      </c>
      <c r="F910" s="129">
        <v>210</v>
      </c>
      <c r="G910" s="129">
        <v>4.35</v>
      </c>
      <c r="H910" s="129">
        <f t="shared" si="40"/>
        <v>913.5</v>
      </c>
      <c r="I910" s="129" t="s">
        <v>325</v>
      </c>
      <c r="J910" s="129" t="s">
        <v>350</v>
      </c>
      <c r="K910" s="139">
        <v>46307</v>
      </c>
      <c r="L910" s="21"/>
      <c r="M910" s="142">
        <f>_xlfn.XLOOKUP(C910,'Product List'!A:A,'Product List'!K:K)</f>
        <v>3.1</v>
      </c>
      <c r="N910" s="19">
        <f t="shared" si="41"/>
        <v>651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C</v>
      </c>
      <c r="R910" s="19">
        <f>ROUND(IFERROR(VLOOKUP(Q910,'Case Pack'!A:H,8,0),0)*O910,2)</f>
        <v>0.79</v>
      </c>
    </row>
    <row r="911" spans="1:18">
      <c r="A911" s="137">
        <v>46269</v>
      </c>
      <c r="B911" s="15" t="str">
        <f>VLOOKUP(C911,'Product List'!A:C,3,0)</f>
        <v>MMO-CLOUD WATER BOTTLE</v>
      </c>
      <c r="C911" s="129" t="s">
        <v>37</v>
      </c>
      <c r="D911" s="129">
        <v>32044352</v>
      </c>
      <c r="F911" s="129">
        <v>200</v>
      </c>
      <c r="G911" s="129">
        <v>1.32</v>
      </c>
      <c r="H911" s="129">
        <f t="shared" si="40"/>
        <v>264</v>
      </c>
      <c r="I911" s="129" t="s">
        <v>325</v>
      </c>
      <c r="J911" s="129" t="s">
        <v>350</v>
      </c>
      <c r="K911" s="139">
        <v>46307</v>
      </c>
      <c r="L911" s="21"/>
      <c r="M911" s="142">
        <f>_xlfn.XLOOKUP(C911,'Product List'!A:A,'Product List'!K:K)</f>
        <v>0.62</v>
      </c>
      <c r="N911" s="19">
        <f t="shared" si="41"/>
        <v>124</v>
      </c>
      <c r="O911" s="19">
        <f>F911/_xlfn.XLOOKUP(C911,'Product List'!A:A,'Product List'!J:J)</f>
        <v>4</v>
      </c>
      <c r="P911" s="19" t="str">
        <f>IF(COUNTIF('PO Check'!A:A,D911)&gt;0,"Yes","No")</f>
        <v>Yes</v>
      </c>
      <c r="Q911" s="19" t="str">
        <f>VLOOKUP(C911,'Product List'!A:V,22,0)</f>
        <v>A</v>
      </c>
      <c r="R911" s="19">
        <f>ROUND(IFERROR(VLOOKUP(Q911,'Case Pack'!A:H,8,0),0)*O911,2)</f>
        <v>0.44</v>
      </c>
    </row>
    <row r="912" spans="1:18">
      <c r="A912" s="137">
        <v>46269</v>
      </c>
      <c r="B912" s="15" t="str">
        <f>VLOOKUP(C912,'Product List'!A:C,3,0)</f>
        <v>MINI/MOE SILENT CRSTL RUN WHEEL LG 8.5-White</v>
      </c>
      <c r="C912" s="129" t="s">
        <v>41</v>
      </c>
      <c r="D912" s="129">
        <v>32044353</v>
      </c>
      <c r="F912" s="129">
        <v>16</v>
      </c>
      <c r="G912" s="129">
        <v>13.22</v>
      </c>
      <c r="H912" s="129">
        <f t="shared" si="40"/>
        <v>211.52</v>
      </c>
      <c r="I912" s="129" t="s">
        <v>325</v>
      </c>
      <c r="J912" s="129" t="s">
        <v>344</v>
      </c>
      <c r="K912" s="139">
        <v>46309</v>
      </c>
      <c r="L912" s="21"/>
      <c r="M912" s="142">
        <f>_xlfn.XLOOKUP(C912,'Product List'!A:A,'Product List'!K:K)</f>
        <v>6.27</v>
      </c>
      <c r="N912" s="19">
        <f t="shared" si="41"/>
        <v>100.32</v>
      </c>
      <c r="O912" s="19">
        <f>F912/_xlfn.XLOOKUP(C912,'Product List'!A:A,'Product List'!J:J)</f>
        <v>2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0.31</v>
      </c>
    </row>
    <row r="913" spans="1:18">
      <c r="A913" s="137">
        <v>46269</v>
      </c>
      <c r="B913" s="15" t="str">
        <f>VLOOKUP(C913,'Product List'!A:C,3,0)</f>
        <v>MINI/MOE TV VIEWING CAGE</v>
      </c>
      <c r="C913" s="129" t="s">
        <v>27</v>
      </c>
      <c r="D913" s="129">
        <v>32044353</v>
      </c>
      <c r="F913" s="129">
        <v>45</v>
      </c>
      <c r="G913" s="129">
        <v>48.49</v>
      </c>
      <c r="H913" s="129">
        <f t="shared" si="40"/>
        <v>2182.05</v>
      </c>
      <c r="I913" s="129" t="s">
        <v>325</v>
      </c>
      <c r="J913" s="129" t="s">
        <v>344</v>
      </c>
      <c r="K913" s="139">
        <v>46309</v>
      </c>
      <c r="L913" s="21"/>
      <c r="M913" s="142">
        <f>_xlfn.XLOOKUP(C913,'Product List'!A:A,'Product List'!K:K)</f>
        <v>24.09</v>
      </c>
      <c r="N913" s="19">
        <f t="shared" si="41"/>
        <v>1084.05</v>
      </c>
      <c r="O913" s="19">
        <f>F913/_xlfn.XLOOKUP(C913,'Product List'!A:A,'Product List'!J:J)</f>
        <v>45</v>
      </c>
      <c r="P913" s="19" t="str">
        <f>IF(COUNTIF('PO Check'!A:A,D913)&gt;0,"Yes","No")</f>
        <v>Yes</v>
      </c>
      <c r="Q913" s="19" t="str">
        <f>VLOOKUP(C913,'Product List'!A:V,22,0)</f>
        <v>S1</v>
      </c>
      <c r="R913" s="19">
        <f>ROUND(IFERROR(VLOOKUP(Q913,'Case Pack'!A:H,8,0),0)*O913,2)</f>
        <v>3.33</v>
      </c>
    </row>
    <row r="914" spans="1:18">
      <c r="A914" s="137">
        <v>46269</v>
      </c>
      <c r="B914" s="15" t="str">
        <f>VLOOKUP(C914,'Product List'!A:C,3,0)</f>
        <v>MMO-BUBBLE WATER BOTTLE</v>
      </c>
      <c r="C914" s="129" t="s">
        <v>38</v>
      </c>
      <c r="D914" s="129">
        <v>32044353</v>
      </c>
      <c r="F914" s="129">
        <v>210</v>
      </c>
      <c r="G914" s="129">
        <v>4.35</v>
      </c>
      <c r="H914" s="129">
        <f t="shared" si="40"/>
        <v>913.5</v>
      </c>
      <c r="I914" s="129" t="s">
        <v>325</v>
      </c>
      <c r="J914" s="129" t="s">
        <v>344</v>
      </c>
      <c r="K914" s="139">
        <v>46309</v>
      </c>
      <c r="L914" s="21"/>
      <c r="M914" s="142">
        <f>_xlfn.XLOOKUP(C914,'Product List'!A:A,'Product List'!K:K)</f>
        <v>3.1</v>
      </c>
      <c r="N914" s="19">
        <f t="shared" si="41"/>
        <v>651</v>
      </c>
      <c r="O914" s="19">
        <f>F914/_xlfn.XLOOKUP(C914,'Product List'!A:A,'Product List'!J:J)</f>
        <v>5</v>
      </c>
      <c r="P914" s="19" t="str">
        <f>IF(COUNTIF('PO Check'!A:A,D914)&gt;0,"Yes","No")</f>
        <v>Yes</v>
      </c>
      <c r="Q914" s="19" t="str">
        <f>VLOOKUP(C914,'Product List'!A:V,22,0)</f>
        <v>C</v>
      </c>
      <c r="R914" s="19">
        <f>ROUND(IFERROR(VLOOKUP(Q914,'Case Pack'!A:H,8,0),0)*O914,2)</f>
        <v>0.79</v>
      </c>
    </row>
    <row r="915" spans="1:18">
      <c r="A915" s="137">
        <v>46269</v>
      </c>
      <c r="B915" s="15" t="str">
        <f>VLOOKUP(C915,'Product List'!A:C,3,0)</f>
        <v>MMO-CLOUD WATER BOTTLE</v>
      </c>
      <c r="C915" s="129" t="s">
        <v>37</v>
      </c>
      <c r="D915" s="129">
        <v>32044353</v>
      </c>
      <c r="F915" s="129">
        <v>400</v>
      </c>
      <c r="G915" s="129">
        <v>1.32</v>
      </c>
      <c r="H915" s="129">
        <f t="shared" si="40"/>
        <v>528</v>
      </c>
      <c r="I915" s="129" t="s">
        <v>325</v>
      </c>
      <c r="J915" s="129" t="s">
        <v>344</v>
      </c>
      <c r="K915" s="139">
        <v>46309</v>
      </c>
      <c r="L915" s="21"/>
      <c r="M915" s="142">
        <f>_xlfn.XLOOKUP(C915,'Product List'!A:A,'Product List'!K:K)</f>
        <v>0.62</v>
      </c>
      <c r="N915" s="19">
        <f t="shared" si="41"/>
        <v>248</v>
      </c>
      <c r="O915" s="19">
        <f>F915/_xlfn.XLOOKUP(C915,'Product List'!A:A,'Product List'!J:J)</f>
        <v>8</v>
      </c>
      <c r="P915" s="19" t="str">
        <f>IF(COUNTIF('PO Check'!A:A,D915)&gt;0,"Yes","No")</f>
        <v>Yes</v>
      </c>
      <c r="Q915" s="19" t="str">
        <f>VLOOKUP(C915,'Product List'!A:V,22,0)</f>
        <v>A</v>
      </c>
      <c r="R915" s="19">
        <f>ROUND(IFERROR(VLOOKUP(Q915,'Case Pack'!A:H,8,0),0)*O915,2)</f>
        <v>0.88</v>
      </c>
    </row>
    <row r="916" spans="1:18">
      <c r="A916" s="137">
        <v>46269</v>
      </c>
      <c r="B916" s="15" t="str">
        <f>VLOOKUP(C916,'Product List'!A:C,3,0)</f>
        <v>MINI/MOE SILENT CRSTL RUN WHEEL LG 8.5-White</v>
      </c>
      <c r="C916" s="129" t="s">
        <v>41</v>
      </c>
      <c r="D916" s="129">
        <v>32044354</v>
      </c>
      <c r="F916" s="129">
        <v>120</v>
      </c>
      <c r="G916" s="129">
        <v>13.22</v>
      </c>
      <c r="H916" s="129">
        <f t="shared" si="40"/>
        <v>1586.4</v>
      </c>
      <c r="I916" s="129" t="s">
        <v>325</v>
      </c>
      <c r="J916" s="129" t="s">
        <v>355</v>
      </c>
      <c r="K916" s="139">
        <v>46309</v>
      </c>
      <c r="L916" s="21"/>
      <c r="M916" s="142">
        <f>_xlfn.XLOOKUP(C916,'Product List'!A:A,'Product List'!K:K)</f>
        <v>6.27</v>
      </c>
      <c r="N916" s="19">
        <f t="shared" si="41"/>
        <v>752.4</v>
      </c>
      <c r="O916" s="19">
        <f>F916/_xlfn.XLOOKUP(C916,'Product List'!A:A,'Product List'!J:J)</f>
        <v>15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2.36</v>
      </c>
    </row>
    <row r="917" spans="1:18">
      <c r="A917" s="137">
        <v>46269</v>
      </c>
      <c r="B917" s="15" t="str">
        <f>VLOOKUP(C917,'Product List'!A:C,3,0)</f>
        <v>MMO-GREEN APPLE CHEW</v>
      </c>
      <c r="C917" s="129" t="s">
        <v>39</v>
      </c>
      <c r="D917" s="129">
        <v>32044354</v>
      </c>
      <c r="F917" s="129">
        <v>144</v>
      </c>
      <c r="G917" s="129">
        <v>1.53</v>
      </c>
      <c r="H917" s="129">
        <f t="shared" si="40"/>
        <v>220.32</v>
      </c>
      <c r="I917" s="129" t="s">
        <v>325</v>
      </c>
      <c r="J917" s="129" t="s">
        <v>355</v>
      </c>
      <c r="K917" s="139">
        <v>46309</v>
      </c>
      <c r="L917" s="21"/>
      <c r="M917" s="142">
        <f>_xlfn.XLOOKUP(C917,'Product List'!A:A,'Product List'!K:K)</f>
        <v>1.04</v>
      </c>
      <c r="N917" s="19">
        <f t="shared" si="41"/>
        <v>149.76</v>
      </c>
      <c r="O917" s="19">
        <f>F917/_xlfn.XLOOKUP(C917,'Product List'!A:A,'Product List'!J:J)</f>
        <v>3</v>
      </c>
      <c r="P917" s="19" t="str">
        <f>IF(COUNTIF('PO Check'!A:A,D917)&gt;0,"Yes","No")</f>
        <v>Yes</v>
      </c>
      <c r="Q917" s="19" t="str">
        <f>VLOOKUP(C917,'Product List'!A:V,22,0)</f>
        <v>B</v>
      </c>
      <c r="R917" s="19">
        <f>ROUND(IFERROR(VLOOKUP(Q917,'Case Pack'!A:H,8,0),0)*O917,2)</f>
        <v>0.22</v>
      </c>
    </row>
    <row r="918" spans="1:18">
      <c r="A918" s="137">
        <v>46269</v>
      </c>
      <c r="B918" s="15" t="str">
        <f>VLOOKUP(C918,'Product List'!A:C,3,0)</f>
        <v>MMO-CAMP LUNCH BOX CHEW</v>
      </c>
      <c r="C918" s="129" t="s">
        <v>40</v>
      </c>
      <c r="D918" s="129">
        <v>32044354</v>
      </c>
      <c r="F918" s="129">
        <v>360</v>
      </c>
      <c r="G918" s="129">
        <v>2.48</v>
      </c>
      <c r="H918" s="129">
        <f t="shared" si="40"/>
        <v>892.8</v>
      </c>
      <c r="I918" s="129" t="s">
        <v>325</v>
      </c>
      <c r="J918" s="129" t="s">
        <v>355</v>
      </c>
      <c r="K918" s="139">
        <v>46309</v>
      </c>
      <c r="L918" s="21"/>
      <c r="M918" s="142">
        <f>_xlfn.XLOOKUP(C918,'Product List'!A:A,'Product List'!K:K)</f>
        <v>1.59</v>
      </c>
      <c r="N918" s="19">
        <f t="shared" si="41"/>
        <v>572.4</v>
      </c>
      <c r="O918" s="19">
        <f>F918/_xlfn.XLOOKUP(C918,'Product List'!A:A,'Product List'!J:J)</f>
        <v>5</v>
      </c>
      <c r="P918" s="19" t="str">
        <f>IF(COUNTIF('PO Check'!A:A,D918)&gt;0,"Yes","No")</f>
        <v>Yes</v>
      </c>
      <c r="Q918" s="19" t="str">
        <f>VLOOKUP(C918,'Product List'!A:V,22,0)</f>
        <v>B</v>
      </c>
      <c r="R918" s="19">
        <f>ROUND(IFERROR(VLOOKUP(Q918,'Case Pack'!A:H,8,0),0)*O918,2)</f>
        <v>0.37</v>
      </c>
    </row>
    <row r="919" spans="1:18">
      <c r="A919" s="137">
        <v>46269</v>
      </c>
      <c r="B919" s="15" t="str">
        <f>VLOOKUP(C919,'Product List'!A:C,3,0)</f>
        <v>MMO-BUBBLE WATER BOTTLE</v>
      </c>
      <c r="C919" s="129" t="s">
        <v>38</v>
      </c>
      <c r="D919" s="129">
        <v>32044354</v>
      </c>
      <c r="F919" s="129">
        <v>294</v>
      </c>
      <c r="G919" s="129">
        <v>4.35</v>
      </c>
      <c r="H919" s="129">
        <f t="shared" si="40"/>
        <v>1278.9</v>
      </c>
      <c r="I919" s="129" t="s">
        <v>325</v>
      </c>
      <c r="J919" s="129" t="s">
        <v>355</v>
      </c>
      <c r="K919" s="139">
        <v>46309</v>
      </c>
      <c r="L919" s="21"/>
      <c r="M919" s="142">
        <f>_xlfn.XLOOKUP(C919,'Product List'!A:A,'Product List'!K:K)</f>
        <v>3.1</v>
      </c>
      <c r="N919" s="19">
        <f t="shared" si="41"/>
        <v>911.4</v>
      </c>
      <c r="O919" s="19">
        <f>F919/_xlfn.XLOOKUP(C919,'Product List'!A:A,'Product List'!J:J)</f>
        <v>7</v>
      </c>
      <c r="P919" s="19" t="str">
        <f>IF(COUNTIF('PO Check'!A:A,D919)&gt;0,"Yes","No")</f>
        <v>Yes</v>
      </c>
      <c r="Q919" s="19" t="str">
        <f>VLOOKUP(C919,'Product List'!A:V,22,0)</f>
        <v>C</v>
      </c>
      <c r="R919" s="19">
        <f>ROUND(IFERROR(VLOOKUP(Q919,'Case Pack'!A:H,8,0),0)*O919,2)</f>
        <v>1.1</v>
      </c>
    </row>
    <row r="920" spans="1:18">
      <c r="A920" s="137">
        <v>46269</v>
      </c>
      <c r="B920" s="15" t="str">
        <f>VLOOKUP(C920,'Product List'!A:C,3,0)</f>
        <v>MMO-CLOUD WATER BOTTLE</v>
      </c>
      <c r="C920" s="129" t="s">
        <v>37</v>
      </c>
      <c r="D920" s="129">
        <v>32044354</v>
      </c>
      <c r="E920" s="129"/>
      <c r="F920" s="129">
        <v>250</v>
      </c>
      <c r="G920" s="129">
        <v>1.32</v>
      </c>
      <c r="H920" s="129">
        <f t="shared" si="40"/>
        <v>330</v>
      </c>
      <c r="I920" s="129" t="s">
        <v>325</v>
      </c>
      <c r="J920" s="129" t="s">
        <v>355</v>
      </c>
      <c r="K920" s="139">
        <v>46309</v>
      </c>
      <c r="L920" s="21"/>
      <c r="M920" s="142">
        <f>_xlfn.XLOOKUP(C920,'Product List'!A:A,'Product List'!K:K)</f>
        <v>0.62</v>
      </c>
      <c r="N920" s="19">
        <f t="shared" si="41"/>
        <v>155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A</v>
      </c>
      <c r="R920" s="19">
        <f>ROUND(IFERROR(VLOOKUP(Q920,'Case Pack'!A:H,8,0),0)*O920,2)</f>
        <v>0.55</v>
      </c>
    </row>
    <row r="921" spans="1:18">
      <c r="A921" s="137">
        <v>46273</v>
      </c>
      <c r="B921" s="15" t="str">
        <f>VLOOKUP(C921,'Product List'!A:C,3,0)</f>
        <v>MINI/MOE TV VIEWING CAGE</v>
      </c>
      <c r="C921" s="161" t="s">
        <v>27</v>
      </c>
      <c r="D921" s="129" t="s">
        <v>442</v>
      </c>
      <c r="E921" s="129"/>
      <c r="F921" s="161" t="s">
        <v>443</v>
      </c>
      <c r="G921" s="161" t="s">
        <v>444</v>
      </c>
      <c r="H921" s="129">
        <f t="shared" ref="H921:H927" si="42">F921*G921</f>
        <v>6146.5934</v>
      </c>
      <c r="I921" s="129" t="s">
        <v>357</v>
      </c>
      <c r="J921" s="129" t="s">
        <v>427</v>
      </c>
      <c r="K921" s="139">
        <v>46311</v>
      </c>
      <c r="L921" s="21"/>
      <c r="M921" s="142">
        <f>_xlfn.XLOOKUP(C921,'Product List'!A:A,'Product List'!K:K)</f>
        <v>24.09</v>
      </c>
      <c r="N921" s="19">
        <f t="shared" ref="N921:N927" si="43">M921*F921</f>
        <v>3228.06</v>
      </c>
      <c r="O921" s="19">
        <f>F921/_xlfn.XLOOKUP(C921,'Product List'!A:A,'Product List'!J:J)</f>
        <v>134</v>
      </c>
      <c r="P921" s="19" t="str">
        <f>IF(COUNTIF('PO Check'!A:A,D921)&gt;0,"Yes","No")</f>
        <v>Yes</v>
      </c>
      <c r="Q921" s="19" t="str">
        <f>VLOOKUP(C921,'Product List'!A:V,22,0)</f>
        <v>S1</v>
      </c>
      <c r="R921" s="19">
        <f>ROUND(IFERROR(VLOOKUP(Q921,'Case Pack'!A:H,8,0),0)*O921,2)</f>
        <v>9.91</v>
      </c>
    </row>
    <row r="922" spans="1:18">
      <c r="A922" s="137">
        <v>46273</v>
      </c>
      <c r="B922" s="15" t="str">
        <f>VLOOKUP(C922,'Product List'!A:C,3,0)</f>
        <v>MINI &amp; MOE COTTAGE HIDE</v>
      </c>
      <c r="C922" s="161" t="s">
        <v>28</v>
      </c>
      <c r="D922" s="129" t="s">
        <v>442</v>
      </c>
      <c r="E922" s="129"/>
      <c r="F922" s="129" t="s">
        <v>445</v>
      </c>
      <c r="G922" s="129" t="s">
        <v>446</v>
      </c>
      <c r="H922" s="129">
        <f t="shared" si="42"/>
        <v>508.5018</v>
      </c>
      <c r="I922" s="129" t="s">
        <v>357</v>
      </c>
      <c r="J922" s="129" t="s">
        <v>427</v>
      </c>
      <c r="K922" s="139">
        <v>46311</v>
      </c>
      <c r="L922" s="21"/>
      <c r="M922" s="142">
        <f>_xlfn.XLOOKUP(C922,'Product List'!A:A,'Product List'!K:K)</f>
        <v>3.61</v>
      </c>
      <c r="N922" s="19">
        <f t="shared" si="43"/>
        <v>292.41</v>
      </c>
      <c r="O922" s="19">
        <f>F922/_xlfn.XLOOKUP(C922,'Product List'!A:A,'Product List'!J:J)</f>
        <v>3.375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0.53</v>
      </c>
    </row>
    <row r="923" spans="1:18">
      <c r="A923" s="137">
        <v>46273</v>
      </c>
      <c r="B923" s="15" t="str">
        <f>VLOOKUP(C923,'Product List'!A:C,3,0)</f>
        <v>MINI &amp; MOE TREE DECOR CHEW</v>
      </c>
      <c r="C923" s="161" t="s">
        <v>26</v>
      </c>
      <c r="D923" s="129" t="s">
        <v>442</v>
      </c>
      <c r="E923" s="129"/>
      <c r="F923" s="129" t="s">
        <v>447</v>
      </c>
      <c r="G923" s="129" t="s">
        <v>448</v>
      </c>
      <c r="H923" s="129">
        <f t="shared" si="42"/>
        <v>4255.0564</v>
      </c>
      <c r="I923" s="129" t="s">
        <v>357</v>
      </c>
      <c r="J923" s="129" t="s">
        <v>427</v>
      </c>
      <c r="K923" s="139">
        <v>46311</v>
      </c>
      <c r="L923" s="21"/>
      <c r="M923" s="142">
        <f>_xlfn.XLOOKUP(C923,'Product List'!A:A,'Product List'!K:K)</f>
        <v>2.2</v>
      </c>
      <c r="N923" s="19">
        <f t="shared" si="43"/>
        <v>2648.8</v>
      </c>
      <c r="O923" s="19">
        <f>F923/_xlfn.XLOOKUP(C923,'Product List'!A:A,'Product List'!J:J)</f>
        <v>43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3.16</v>
      </c>
    </row>
    <row r="924" spans="1:18">
      <c r="A924" s="137">
        <v>46273</v>
      </c>
      <c r="B924" s="15" t="str">
        <f>VLOOKUP(C924,'Product List'!A:C,3,0)</f>
        <v>MINI &amp; MOE GARDEN DECOR CHEW</v>
      </c>
      <c r="C924" s="161" t="s">
        <v>23</v>
      </c>
      <c r="D924" s="129" t="s">
        <v>442</v>
      </c>
      <c r="E924" s="129"/>
      <c r="F924" s="129" t="s">
        <v>449</v>
      </c>
      <c r="G924" s="129" t="s">
        <v>450</v>
      </c>
      <c r="H924" s="129">
        <f t="shared" si="42"/>
        <v>2765.3265</v>
      </c>
      <c r="I924" s="129" t="s">
        <v>357</v>
      </c>
      <c r="J924" s="129" t="s">
        <v>427</v>
      </c>
      <c r="K924" s="139">
        <v>46311</v>
      </c>
      <c r="L924" s="21"/>
      <c r="M924" s="142">
        <f>_xlfn.XLOOKUP(C924,'Product List'!A:A,'Product List'!K:K)</f>
        <v>2.35</v>
      </c>
      <c r="N924" s="19">
        <f t="shared" si="43"/>
        <v>2009.25</v>
      </c>
      <c r="O924" s="19">
        <f>F924/_xlfn.XLOOKUP(C924,'Product List'!A:A,'Product List'!J:J)</f>
        <v>19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1.39</v>
      </c>
    </row>
    <row r="925" spans="1:18">
      <c r="A925" s="137">
        <v>46273</v>
      </c>
      <c r="B925" s="15" t="str">
        <f>VLOOKUP(C925,'Product List'!A:C,3,0)</f>
        <v>MINI/MOE CAMPING TENT HIDE</v>
      </c>
      <c r="C925" s="161" t="s">
        <v>25</v>
      </c>
      <c r="D925" s="129" t="s">
        <v>442</v>
      </c>
      <c r="E925" s="129"/>
      <c r="F925" s="129" t="s">
        <v>451</v>
      </c>
      <c r="G925" s="129" t="s">
        <v>452</v>
      </c>
      <c r="H925" s="129">
        <f t="shared" si="42"/>
        <v>2695.3296</v>
      </c>
      <c r="I925" s="129" t="s">
        <v>357</v>
      </c>
      <c r="J925" s="129" t="s">
        <v>427</v>
      </c>
      <c r="K925" s="139">
        <v>46311</v>
      </c>
      <c r="L925" s="21"/>
      <c r="M925" s="142">
        <f>_xlfn.XLOOKUP(C925,'Product List'!A:A,'Product List'!K:K)</f>
        <v>1.87</v>
      </c>
      <c r="N925" s="19">
        <f t="shared" si="43"/>
        <v>1503.48</v>
      </c>
      <c r="O925" s="19">
        <f>F925/_xlfn.XLOOKUP(C925,'Product List'!A:A,'Product List'!J:J)</f>
        <v>67</v>
      </c>
      <c r="P925" s="19" t="str">
        <f>IF(COUNTIF('PO Check'!A:A,D925)&gt;0,"Yes","No")</f>
        <v>Yes</v>
      </c>
      <c r="Q925" s="19" t="str">
        <f>VLOOKUP(C925,'Product List'!A:V,22,0)</f>
        <v>B</v>
      </c>
      <c r="R925" s="19">
        <f>ROUND(IFERROR(VLOOKUP(Q925,'Case Pack'!A:H,8,0),0)*O925,2)</f>
        <v>4.92</v>
      </c>
    </row>
    <row r="926" spans="1:18">
      <c r="A926" s="137">
        <v>46273</v>
      </c>
      <c r="B926" s="15" t="str">
        <f>VLOOKUP(C926,'Product List'!A:C,3,0)</f>
        <v>MINI &amp; MOE WOODEN BRIDGE</v>
      </c>
      <c r="C926" s="161" t="s">
        <v>24</v>
      </c>
      <c r="D926" s="129" t="s">
        <v>442</v>
      </c>
      <c r="E926" s="129"/>
      <c r="F926" s="129" t="s">
        <v>453</v>
      </c>
      <c r="G926" s="129" t="s">
        <v>454</v>
      </c>
      <c r="H926" s="129">
        <f t="shared" si="42"/>
        <v>288.6816</v>
      </c>
      <c r="I926" s="129" t="s">
        <v>357</v>
      </c>
      <c r="J926" s="129" t="s">
        <v>427</v>
      </c>
      <c r="K926" s="139">
        <v>46311</v>
      </c>
      <c r="L926" s="21"/>
      <c r="M926" s="142">
        <f>_xlfn.XLOOKUP(C926,'Product List'!A:A,'Product List'!K:K)</f>
        <v>1.83</v>
      </c>
      <c r="N926" s="19">
        <f t="shared" si="43"/>
        <v>175.68</v>
      </c>
      <c r="O926" s="19">
        <f>F926/_xlfn.XLOOKUP(C926,'Product List'!A:A,'Product List'!J:J)</f>
        <v>2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0.22</v>
      </c>
    </row>
    <row r="927" spans="1:18">
      <c r="A927" s="137">
        <v>46273</v>
      </c>
      <c r="B927" s="15" t="str">
        <f>VLOOKUP(C927,'Product List'!A:C,3,0)</f>
        <v>MINI &amp; MOE MAG CONECT WTR BTL 4 OZ</v>
      </c>
      <c r="C927" s="161" t="s">
        <v>36</v>
      </c>
      <c r="D927" s="129" t="s">
        <v>442</v>
      </c>
      <c r="E927" s="129"/>
      <c r="F927" s="129" t="s">
        <v>455</v>
      </c>
      <c r="G927" s="129" t="s">
        <v>456</v>
      </c>
      <c r="H927" s="129">
        <f t="shared" si="42"/>
        <v>1581.1686</v>
      </c>
      <c r="I927" s="129" t="s">
        <v>357</v>
      </c>
      <c r="J927" s="129" t="s">
        <v>427</v>
      </c>
      <c r="K927" s="139">
        <v>46311</v>
      </c>
      <c r="L927" s="21"/>
      <c r="M927" s="142">
        <f>_xlfn.XLOOKUP(C927,'Product List'!A:A,'Product List'!K:K)</f>
        <v>1.8</v>
      </c>
      <c r="N927" s="19">
        <f t="shared" si="43"/>
        <v>1069.2</v>
      </c>
      <c r="O927" s="19">
        <f>F927/_xlfn.XLOOKUP(C927,'Product List'!A:A,'Product List'!J:J)</f>
        <v>11</v>
      </c>
      <c r="P927" s="19" t="str">
        <f>IF(COUNTIF('PO Check'!A:A,D927)&gt;0,"Yes","No")</f>
        <v>Yes</v>
      </c>
      <c r="Q927" s="19" t="str">
        <f>VLOOKUP(C927,'Product List'!A:V,22,0)</f>
        <v>A</v>
      </c>
      <c r="R927" s="19">
        <f>ROUND(IFERROR(VLOOKUP(Q927,'Case Pack'!A:H,8,0),0)*O927,2)</f>
        <v>1.21</v>
      </c>
    </row>
    <row r="928" spans="1:18">
      <c r="A928" s="137">
        <v>46273</v>
      </c>
      <c r="B928" s="15" t="str">
        <f>VLOOKUP(C928,'Product List'!A:C,3,0)</f>
        <v>MINI/MOE TV VIEWING CAGE</v>
      </c>
      <c r="C928" s="129" t="s">
        <v>27</v>
      </c>
      <c r="D928" s="129">
        <v>860738340</v>
      </c>
      <c r="E928" s="129"/>
      <c r="F928" s="129">
        <v>237</v>
      </c>
      <c r="G928" s="161" t="s">
        <v>457</v>
      </c>
      <c r="H928" s="129">
        <f t="shared" ref="H928:H944" si="44">F928*G928</f>
        <v>10871.2374</v>
      </c>
      <c r="I928" s="129" t="s">
        <v>357</v>
      </c>
      <c r="J928" s="129" t="s">
        <v>425</v>
      </c>
      <c r="K928" s="139">
        <v>46310</v>
      </c>
      <c r="L928" s="21"/>
      <c r="M928" s="142">
        <f>_xlfn.XLOOKUP(C928,'Product List'!A:A,'Product List'!K:K)</f>
        <v>24.09</v>
      </c>
      <c r="N928" s="19">
        <f t="shared" ref="N928:N933" si="45">M928*F928</f>
        <v>5709.33</v>
      </c>
      <c r="O928" s="19">
        <f>F928/_xlfn.XLOOKUP(C928,'Product List'!A:A,'Product List'!J:J)</f>
        <v>237</v>
      </c>
      <c r="P928" s="19" t="str">
        <f>IF(COUNTIF('PO Check'!A:A,D928)&gt;0,"Yes","No")</f>
        <v>Yes</v>
      </c>
      <c r="Q928" s="19" t="str">
        <f>VLOOKUP(C928,'Product List'!A:V,22,0)</f>
        <v>S1</v>
      </c>
      <c r="R928" s="19">
        <f>ROUND(IFERROR(VLOOKUP(Q928,'Case Pack'!A:H,8,0),0)*O928,2)</f>
        <v>17.53</v>
      </c>
    </row>
    <row r="929" spans="1:18">
      <c r="A929" s="137">
        <v>46273</v>
      </c>
      <c r="B929" s="15" t="str">
        <f>VLOOKUP(C929,'Product List'!A:C,3,0)</f>
        <v>MINI &amp; MOE COTTAGE HIDE</v>
      </c>
      <c r="C929" s="129" t="s">
        <v>28</v>
      </c>
      <c r="D929" s="129">
        <v>860738340</v>
      </c>
      <c r="E929" s="129"/>
      <c r="F929" s="129">
        <v>106</v>
      </c>
      <c r="G929" s="129">
        <v>6.2777</v>
      </c>
      <c r="H929" s="129">
        <f t="shared" si="44"/>
        <v>665.4362</v>
      </c>
      <c r="I929" s="129" t="s">
        <v>357</v>
      </c>
      <c r="J929" s="129" t="s">
        <v>425</v>
      </c>
      <c r="K929" s="139">
        <v>46310</v>
      </c>
      <c r="L929" s="21"/>
      <c r="M929" s="142">
        <f>_xlfn.XLOOKUP(C929,'Product List'!A:A,'Product List'!K:K)</f>
        <v>3.61</v>
      </c>
      <c r="N929" s="19">
        <f t="shared" si="45"/>
        <v>382.66</v>
      </c>
      <c r="O929" s="19">
        <f>F929/_xlfn.XLOOKUP(C929,'Product List'!A:A,'Product List'!J:J)</f>
        <v>4.41666666666667</v>
      </c>
      <c r="P929" s="19" t="str">
        <f>IF(COUNTIF('PO Check'!A:A,D929)&gt;0,"Yes","No")</f>
        <v>Yes</v>
      </c>
      <c r="Q929" s="19" t="str">
        <f>VLOOKUP(C929,'Product List'!A:V,22,0)</f>
        <v>C</v>
      </c>
      <c r="R929" s="19">
        <f>ROUND(IFERROR(VLOOKUP(Q929,'Case Pack'!A:H,8,0),0)*O929,2)</f>
        <v>0.69</v>
      </c>
    </row>
    <row r="930" spans="1:18">
      <c r="A930" s="137">
        <v>46273</v>
      </c>
      <c r="B930" s="15" t="str">
        <f>VLOOKUP(C930,'Product List'!A:C,3,0)</f>
        <v>MINI &amp; MOE TREE DECOR CHEW</v>
      </c>
      <c r="C930" s="129" t="s">
        <v>26</v>
      </c>
      <c r="D930" s="129">
        <v>860738340</v>
      </c>
      <c r="E930" s="129"/>
      <c r="F930" s="129">
        <v>168</v>
      </c>
      <c r="G930" s="129">
        <v>3.534</v>
      </c>
      <c r="H930" s="129">
        <f t="shared" si="44"/>
        <v>593.712</v>
      </c>
      <c r="I930" s="129" t="s">
        <v>357</v>
      </c>
      <c r="J930" s="129" t="s">
        <v>425</v>
      </c>
      <c r="K930" s="139">
        <v>46310</v>
      </c>
      <c r="L930" s="21"/>
      <c r="M930" s="142">
        <f>_xlfn.XLOOKUP(C930,'Product List'!A:A,'Product List'!K:K)</f>
        <v>2.2</v>
      </c>
      <c r="N930" s="19">
        <f t="shared" si="45"/>
        <v>369.6</v>
      </c>
      <c r="O930" s="19">
        <f>F930/_xlfn.XLOOKUP(C930,'Product List'!A:A,'Product List'!J:J)</f>
        <v>6</v>
      </c>
      <c r="P930" s="19" t="str">
        <f>IF(COUNTIF('PO Check'!A:A,D930)&gt;0,"Yes","No")</f>
        <v>Yes</v>
      </c>
      <c r="Q930" s="19" t="str">
        <f>VLOOKUP(C930,'Product List'!A:V,22,0)</f>
        <v>B</v>
      </c>
      <c r="R930" s="19">
        <f>ROUND(IFERROR(VLOOKUP(Q930,'Case Pack'!A:H,8,0),0)*O930,2)</f>
        <v>0.44</v>
      </c>
    </row>
    <row r="931" spans="1:18">
      <c r="A931" s="137">
        <v>46273</v>
      </c>
      <c r="B931" s="15" t="str">
        <f>VLOOKUP(C931,'Product List'!A:C,3,0)</f>
        <v>MINI &amp; MOE GARDEN DECOR CHEW</v>
      </c>
      <c r="C931" s="129" t="s">
        <v>23</v>
      </c>
      <c r="D931" s="129">
        <v>860738340</v>
      </c>
      <c r="E931" s="129"/>
      <c r="F931" s="129">
        <v>315</v>
      </c>
      <c r="G931" s="129">
        <v>3.2343</v>
      </c>
      <c r="H931" s="129">
        <f t="shared" si="44"/>
        <v>1018.8045</v>
      </c>
      <c r="I931" s="129" t="s">
        <v>357</v>
      </c>
      <c r="J931" s="129" t="s">
        <v>425</v>
      </c>
      <c r="K931" s="139">
        <v>46310</v>
      </c>
      <c r="L931" s="21"/>
      <c r="M931" s="142">
        <f>_xlfn.XLOOKUP(C931,'Product List'!A:A,'Product List'!K:K)</f>
        <v>2.35</v>
      </c>
      <c r="N931" s="19">
        <f t="shared" si="45"/>
        <v>740.25</v>
      </c>
      <c r="O931" s="19">
        <f>F931/_xlfn.XLOOKUP(C931,'Product List'!A:A,'Product List'!J:J)</f>
        <v>7</v>
      </c>
      <c r="P931" s="19" t="str">
        <f>IF(COUNTIF('PO Check'!A:A,D931)&gt;0,"Yes","No")</f>
        <v>Yes</v>
      </c>
      <c r="Q931" s="19" t="str">
        <f>VLOOKUP(C931,'Product List'!A:V,22,0)</f>
        <v>B</v>
      </c>
      <c r="R931" s="19">
        <f>ROUND(IFERROR(VLOOKUP(Q931,'Case Pack'!A:H,8,0),0)*O931,2)</f>
        <v>0.51</v>
      </c>
    </row>
    <row r="932" spans="1:18">
      <c r="A932" s="137">
        <v>46273</v>
      </c>
      <c r="B932" s="15" t="str">
        <f>VLOOKUP(C932,'Product List'!A:C,3,0)</f>
        <v>MINI/MOE CAMPING TENT HIDE</v>
      </c>
      <c r="C932" s="129" t="s">
        <v>25</v>
      </c>
      <c r="D932" s="129">
        <v>860738340</v>
      </c>
      <c r="E932" s="129"/>
      <c r="F932" s="129">
        <v>312</v>
      </c>
      <c r="G932" s="129">
        <v>3.3523</v>
      </c>
      <c r="H932" s="129">
        <f t="shared" si="44"/>
        <v>1045.9176</v>
      </c>
      <c r="I932" s="129" t="s">
        <v>357</v>
      </c>
      <c r="J932" s="129" t="s">
        <v>425</v>
      </c>
      <c r="K932" s="139">
        <v>46310</v>
      </c>
      <c r="L932" s="21"/>
      <c r="M932" s="142">
        <f>_xlfn.XLOOKUP(C932,'Product List'!A:A,'Product List'!K:K)</f>
        <v>1.87</v>
      </c>
      <c r="N932" s="19">
        <f t="shared" si="45"/>
        <v>583.44</v>
      </c>
      <c r="O932" s="19">
        <f>F932/_xlfn.XLOOKUP(C932,'Product List'!A:A,'Product List'!J:J)</f>
        <v>26</v>
      </c>
      <c r="P932" s="19" t="str">
        <f>IF(COUNTIF('PO Check'!A:A,D932)&gt;0,"Yes","No")</f>
        <v>Yes</v>
      </c>
      <c r="Q932" s="19" t="str">
        <f>VLOOKUP(C932,'Product List'!A:V,22,0)</f>
        <v>B</v>
      </c>
      <c r="R932" s="19">
        <f>ROUND(IFERROR(VLOOKUP(Q932,'Case Pack'!A:H,8,0),0)*O932,2)</f>
        <v>1.91</v>
      </c>
    </row>
    <row r="933" spans="1:18">
      <c r="A933" s="137">
        <v>46273</v>
      </c>
      <c r="B933" s="15" t="str">
        <f>VLOOKUP(C933,'Product List'!A:C,3,0)</f>
        <v>MINI &amp; MOE WOODEN BRIDGE</v>
      </c>
      <c r="C933" s="129" t="s">
        <v>24</v>
      </c>
      <c r="D933" s="129">
        <v>860738340</v>
      </c>
      <c r="E933" s="129"/>
      <c r="F933" s="129">
        <v>240</v>
      </c>
      <c r="G933" s="129">
        <v>3.0071</v>
      </c>
      <c r="H933" s="129">
        <f t="shared" si="44"/>
        <v>721.704</v>
      </c>
      <c r="I933" s="129" t="s">
        <v>357</v>
      </c>
      <c r="J933" s="129" t="s">
        <v>425</v>
      </c>
      <c r="K933" s="139">
        <v>46310</v>
      </c>
      <c r="L933" s="21"/>
      <c r="M933" s="142">
        <f>_xlfn.XLOOKUP(C933,'Product List'!A:A,'Product List'!K:K)</f>
        <v>1.83</v>
      </c>
      <c r="N933" s="19">
        <f t="shared" si="45"/>
        <v>439.2</v>
      </c>
      <c r="O933" s="19">
        <f>F933/_xlfn.XLOOKUP(C933,'Product List'!A:A,'Product List'!J:J)</f>
        <v>5</v>
      </c>
      <c r="P933" s="19" t="str">
        <f>IF(COUNTIF('PO Check'!A:A,D933)&gt;0,"Yes","No")</f>
        <v>Yes</v>
      </c>
      <c r="Q933" s="19" t="str">
        <f>VLOOKUP(C933,'Product List'!A:V,22,0)</f>
        <v>A</v>
      </c>
      <c r="R933" s="19">
        <f>ROUND(IFERROR(VLOOKUP(Q933,'Case Pack'!A:H,8,0),0)*O933,2)</f>
        <v>0.55</v>
      </c>
    </row>
    <row r="934" spans="1:18">
      <c r="A934" s="137">
        <v>46273</v>
      </c>
      <c r="B934" s="15" t="str">
        <f>VLOOKUP(C934,'Product List'!A:C,3,0)</f>
        <v>MINI/MOE TV VIEWING CAGE</v>
      </c>
      <c r="C934" s="129" t="s">
        <v>27</v>
      </c>
      <c r="D934" s="129">
        <v>860738356</v>
      </c>
      <c r="E934" s="129"/>
      <c r="F934" s="129">
        <v>248</v>
      </c>
      <c r="G934" s="129" t="s">
        <v>457</v>
      </c>
      <c r="H934" s="129">
        <f t="shared" si="44"/>
        <v>11375.8096</v>
      </c>
      <c r="I934" s="129" t="s">
        <v>357</v>
      </c>
      <c r="J934" s="129" t="s">
        <v>429</v>
      </c>
      <c r="K934" s="139">
        <v>46310</v>
      </c>
      <c r="L934" s="21"/>
      <c r="M934" s="142">
        <f>_xlfn.XLOOKUP(C934,'Product List'!A:A,'Product List'!K:K)</f>
        <v>24.09</v>
      </c>
      <c r="N934" s="19">
        <f t="shared" ref="N934:N949" si="46">M934*F934</f>
        <v>5974.32</v>
      </c>
      <c r="O934" s="19">
        <f>F934/_xlfn.XLOOKUP(C934,'Product List'!A:A,'Product List'!J:J)</f>
        <v>248</v>
      </c>
      <c r="P934" s="19" t="str">
        <f>IF(COUNTIF('PO Check'!A:A,D934)&gt;0,"Yes","No")</f>
        <v>Yes</v>
      </c>
      <c r="Q934" s="19" t="str">
        <f>VLOOKUP(C934,'Product List'!A:V,22,0)</f>
        <v>S1</v>
      </c>
      <c r="R934" s="19">
        <f>ROUND(IFERROR(VLOOKUP(Q934,'Case Pack'!A:H,8,0),0)*O934,2)</f>
        <v>18.35</v>
      </c>
    </row>
    <row r="935" spans="1:18">
      <c r="A935" s="137">
        <v>46273</v>
      </c>
      <c r="B935" s="15" t="str">
        <f>VLOOKUP(C935,'Product List'!A:C,3,0)</f>
        <v>MINI &amp; MOE TREE DECOR CHEW</v>
      </c>
      <c r="C935" s="129" t="s">
        <v>26</v>
      </c>
      <c r="D935" s="129">
        <v>860738356</v>
      </c>
      <c r="E935" s="129"/>
      <c r="F935" s="129">
        <v>420</v>
      </c>
      <c r="G935" s="129">
        <v>3.534</v>
      </c>
      <c r="H935" s="129">
        <f t="shared" si="44"/>
        <v>1484.28</v>
      </c>
      <c r="I935" s="129" t="s">
        <v>357</v>
      </c>
      <c r="J935" s="129" t="s">
        <v>429</v>
      </c>
      <c r="K935" s="139">
        <v>46310</v>
      </c>
      <c r="L935" s="21"/>
      <c r="M935" s="142">
        <f>_xlfn.XLOOKUP(C935,'Product List'!A:A,'Product List'!K:K)</f>
        <v>2.2</v>
      </c>
      <c r="N935" s="19">
        <f t="shared" si="46"/>
        <v>924</v>
      </c>
      <c r="O935" s="19">
        <f>F935/_xlfn.XLOOKUP(C935,'Product List'!A:A,'Product List'!J:J)</f>
        <v>15</v>
      </c>
      <c r="P935" s="19" t="str">
        <f>IF(COUNTIF('PO Check'!A:A,D935)&gt;0,"Yes","No")</f>
        <v>Yes</v>
      </c>
      <c r="Q935" s="19" t="str">
        <f>VLOOKUP(C935,'Product List'!A:V,22,0)</f>
        <v>B</v>
      </c>
      <c r="R935" s="19">
        <f>ROUND(IFERROR(VLOOKUP(Q935,'Case Pack'!A:H,8,0),0)*O935,2)</f>
        <v>1.1</v>
      </c>
    </row>
    <row r="936" spans="1:18">
      <c r="A936" s="137">
        <v>46273</v>
      </c>
      <c r="B936" s="15" t="str">
        <f>VLOOKUP(C936,'Product List'!A:C,3,0)</f>
        <v>MINI &amp; MOE GARDEN DECOR CHEW</v>
      </c>
      <c r="C936" s="129" t="s">
        <v>23</v>
      </c>
      <c r="D936" s="129">
        <v>860738356</v>
      </c>
      <c r="E936" s="129"/>
      <c r="F936" s="129">
        <v>540</v>
      </c>
      <c r="G936" s="129">
        <v>3.2343</v>
      </c>
      <c r="H936" s="129">
        <f t="shared" si="44"/>
        <v>1746.522</v>
      </c>
      <c r="I936" s="129" t="s">
        <v>357</v>
      </c>
      <c r="J936" s="129" t="s">
        <v>429</v>
      </c>
      <c r="K936" s="139">
        <v>46310</v>
      </c>
      <c r="L936" s="21"/>
      <c r="M936" s="142">
        <f>_xlfn.XLOOKUP(C936,'Product List'!A:A,'Product List'!K:K)</f>
        <v>2.35</v>
      </c>
      <c r="N936" s="19">
        <f t="shared" si="46"/>
        <v>1269</v>
      </c>
      <c r="O936" s="19">
        <f>F936/_xlfn.XLOOKUP(C936,'Product List'!A:A,'Product List'!J:J)</f>
        <v>12</v>
      </c>
      <c r="P936" s="19" t="str">
        <f>IF(COUNTIF('PO Check'!A:A,D936)&gt;0,"Yes","No")</f>
        <v>Yes</v>
      </c>
      <c r="Q936" s="19" t="str">
        <f>VLOOKUP(C936,'Product List'!A:V,22,0)</f>
        <v>B</v>
      </c>
      <c r="R936" s="19">
        <f>ROUND(IFERROR(VLOOKUP(Q936,'Case Pack'!A:H,8,0),0)*O936,2)</f>
        <v>0.88</v>
      </c>
    </row>
    <row r="937" spans="1:18">
      <c r="A937" s="137">
        <v>46273</v>
      </c>
      <c r="B937" s="15" t="str">
        <f>VLOOKUP(C937,'Product List'!A:C,3,0)</f>
        <v>MINI/MOE CAMPING TENT HIDE</v>
      </c>
      <c r="C937" s="129" t="s">
        <v>25</v>
      </c>
      <c r="D937" s="129">
        <v>860738356</v>
      </c>
      <c r="E937" s="129"/>
      <c r="F937" s="129">
        <v>120</v>
      </c>
      <c r="G937" s="129">
        <v>3.3523</v>
      </c>
      <c r="H937" s="129">
        <f t="shared" si="44"/>
        <v>402.276</v>
      </c>
      <c r="I937" s="129" t="s">
        <v>357</v>
      </c>
      <c r="J937" s="129" t="s">
        <v>429</v>
      </c>
      <c r="K937" s="139">
        <v>46310</v>
      </c>
      <c r="L937" s="21"/>
      <c r="M937" s="142">
        <f>_xlfn.XLOOKUP(C937,'Product List'!A:A,'Product List'!K:K)</f>
        <v>1.87</v>
      </c>
      <c r="N937" s="19">
        <f t="shared" si="46"/>
        <v>224.4</v>
      </c>
      <c r="O937" s="19">
        <f>F937/_xlfn.XLOOKUP(C937,'Product List'!A:A,'Product List'!J:J)</f>
        <v>10</v>
      </c>
      <c r="P937" s="19" t="str">
        <f>IF(COUNTIF('PO Check'!A:A,D937)&gt;0,"Yes","No")</f>
        <v>Yes</v>
      </c>
      <c r="Q937" s="19" t="str">
        <f>VLOOKUP(C937,'Product List'!A:V,22,0)</f>
        <v>B</v>
      </c>
      <c r="R937" s="19">
        <f>ROUND(IFERROR(VLOOKUP(Q937,'Case Pack'!A:H,8,0),0)*O937,2)</f>
        <v>0.73</v>
      </c>
    </row>
    <row r="938" spans="1:18">
      <c r="A938" s="137">
        <v>46273</v>
      </c>
      <c r="B938" s="15" t="str">
        <f>VLOOKUP(C938,'Product List'!A:C,3,0)</f>
        <v>MINI &amp; MOE MAG CONECT WTR BTL 4 OZ</v>
      </c>
      <c r="C938" s="129" t="s">
        <v>36</v>
      </c>
      <c r="D938" s="129">
        <v>860738356</v>
      </c>
      <c r="E938" s="129"/>
      <c r="F938" s="129">
        <v>162</v>
      </c>
      <c r="G938" s="129" t="s">
        <v>456</v>
      </c>
      <c r="H938" s="129">
        <f t="shared" si="44"/>
        <v>431.2278</v>
      </c>
      <c r="I938" s="129" t="s">
        <v>357</v>
      </c>
      <c r="J938" s="129" t="s">
        <v>429</v>
      </c>
      <c r="K938" s="139">
        <v>46310</v>
      </c>
      <c r="L938" s="21"/>
      <c r="M938" s="142">
        <f>_xlfn.XLOOKUP(C938,'Product List'!A:A,'Product List'!K:K)</f>
        <v>1.8</v>
      </c>
      <c r="N938" s="19">
        <f t="shared" si="46"/>
        <v>291.6</v>
      </c>
      <c r="O938" s="19">
        <f>F938/_xlfn.XLOOKUP(C938,'Product List'!A:A,'Product List'!J:J)</f>
        <v>3</v>
      </c>
      <c r="P938" s="19" t="str">
        <f>IF(COUNTIF('PO Check'!A:A,D938)&gt;0,"Yes","No")</f>
        <v>Yes</v>
      </c>
      <c r="Q938" s="19" t="str">
        <f>VLOOKUP(C938,'Product List'!A:V,22,0)</f>
        <v>A</v>
      </c>
      <c r="R938" s="19">
        <f>ROUND(IFERROR(VLOOKUP(Q938,'Case Pack'!A:H,8,0),0)*O938,2)</f>
        <v>0.33</v>
      </c>
    </row>
    <row r="939" spans="1:18">
      <c r="A939" s="137">
        <v>46273</v>
      </c>
      <c r="B939" s="15" t="str">
        <f>VLOOKUP(C939,'Product List'!A:C,3,0)</f>
        <v>MINI/MOE TV VIEWING CAGE</v>
      </c>
      <c r="C939" s="129" t="s">
        <v>27</v>
      </c>
      <c r="D939" s="129">
        <v>860738360</v>
      </c>
      <c r="E939" s="129"/>
      <c r="F939" s="129">
        <v>259</v>
      </c>
      <c r="G939" s="129" t="s">
        <v>457</v>
      </c>
      <c r="H939" s="129">
        <f t="shared" si="44"/>
        <v>11880.3818</v>
      </c>
      <c r="I939" s="129" t="s">
        <v>357</v>
      </c>
      <c r="J939" s="129" t="s">
        <v>426</v>
      </c>
      <c r="K939" s="139">
        <v>46306</v>
      </c>
      <c r="L939" s="21"/>
      <c r="M939" s="142">
        <f>_xlfn.XLOOKUP(C939,'Product List'!A:A,'Product List'!K:K)</f>
        <v>24.09</v>
      </c>
      <c r="N939" s="19">
        <f t="shared" si="46"/>
        <v>6239.31</v>
      </c>
      <c r="O939" s="19">
        <f>F939/_xlfn.XLOOKUP(C939,'Product List'!A:A,'Product List'!J:J)</f>
        <v>259</v>
      </c>
      <c r="P939" s="19" t="str">
        <f>IF(COUNTIF('PO Check'!A:A,D939)&gt;0,"Yes","No")</f>
        <v>Yes</v>
      </c>
      <c r="Q939" s="19" t="str">
        <f>VLOOKUP(C939,'Product List'!A:V,22,0)</f>
        <v>S1</v>
      </c>
      <c r="R939" s="19">
        <f>ROUND(IFERROR(VLOOKUP(Q939,'Case Pack'!A:H,8,0),0)*O939,2)</f>
        <v>19.16</v>
      </c>
    </row>
    <row r="940" spans="1:18">
      <c r="A940" s="137">
        <v>46273</v>
      </c>
      <c r="B940" s="15" t="str">
        <f>VLOOKUP(C940,'Product List'!A:C,3,0)</f>
        <v>MINI &amp; MOE TREE DECOR CHEW</v>
      </c>
      <c r="C940" s="129" t="s">
        <v>26</v>
      </c>
      <c r="D940" s="129">
        <v>860738360</v>
      </c>
      <c r="E940" s="129"/>
      <c r="F940" s="129">
        <v>224</v>
      </c>
      <c r="G940" s="129" t="s">
        <v>448</v>
      </c>
      <c r="H940" s="129">
        <f t="shared" si="44"/>
        <v>791.6384</v>
      </c>
      <c r="I940" s="129" t="s">
        <v>357</v>
      </c>
      <c r="J940" s="129" t="s">
        <v>426</v>
      </c>
      <c r="K940" s="139">
        <v>46306</v>
      </c>
      <c r="L940" s="21"/>
      <c r="M940" s="142">
        <f>_xlfn.XLOOKUP(C940,'Product List'!A:A,'Product List'!K:K)</f>
        <v>2.2</v>
      </c>
      <c r="N940" s="19">
        <f t="shared" si="46"/>
        <v>492.8</v>
      </c>
      <c r="O940" s="19">
        <f>F940/_xlfn.XLOOKUP(C940,'Product List'!A:A,'Product List'!J:J)</f>
        <v>8</v>
      </c>
      <c r="P940" s="19" t="str">
        <f>IF(COUNTIF('PO Check'!A:A,D940)&gt;0,"Yes","No")</f>
        <v>Yes</v>
      </c>
      <c r="Q940" s="19" t="str">
        <f>VLOOKUP(C940,'Product List'!A:V,22,0)</f>
        <v>B</v>
      </c>
      <c r="R940" s="19">
        <f>ROUND(IFERROR(VLOOKUP(Q940,'Case Pack'!A:H,8,0),0)*O940,2)</f>
        <v>0.59</v>
      </c>
    </row>
    <row r="941" spans="1:18">
      <c r="A941" s="137">
        <v>46273</v>
      </c>
      <c r="B941" s="15" t="str">
        <f>VLOOKUP(C941,'Product List'!A:C,3,0)</f>
        <v>MINI &amp; MOE GARDEN DECOR CHEW</v>
      </c>
      <c r="C941" s="129" t="s">
        <v>23</v>
      </c>
      <c r="D941" s="129">
        <v>860738360</v>
      </c>
      <c r="E941" s="129"/>
      <c r="F941" s="129">
        <v>270</v>
      </c>
      <c r="G941" s="129">
        <v>3.2343</v>
      </c>
      <c r="H941" s="129">
        <f t="shared" si="44"/>
        <v>873.261</v>
      </c>
      <c r="I941" s="129" t="s">
        <v>357</v>
      </c>
      <c r="J941" s="129" t="s">
        <v>426</v>
      </c>
      <c r="K941" s="139">
        <v>46306</v>
      </c>
      <c r="L941" s="21"/>
      <c r="M941" s="142">
        <f>_xlfn.XLOOKUP(C941,'Product List'!A:A,'Product List'!K:K)</f>
        <v>2.35</v>
      </c>
      <c r="N941" s="19">
        <f t="shared" si="46"/>
        <v>634.5</v>
      </c>
      <c r="O941" s="19">
        <f>F941/_xlfn.XLOOKUP(C941,'Product List'!A:A,'Product List'!J:J)</f>
        <v>6</v>
      </c>
      <c r="P941" s="19" t="str">
        <f>IF(COUNTIF('PO Check'!A:A,D941)&gt;0,"Yes","No")</f>
        <v>Yes</v>
      </c>
      <c r="Q941" s="19" t="str">
        <f>VLOOKUP(C941,'Product List'!A:V,22,0)</f>
        <v>B</v>
      </c>
      <c r="R941" s="19">
        <f>ROUND(IFERROR(VLOOKUP(Q941,'Case Pack'!A:H,8,0),0)*O941,2)</f>
        <v>0.44</v>
      </c>
    </row>
    <row r="942" spans="1:18">
      <c r="A942" s="137">
        <v>46273</v>
      </c>
      <c r="B942" s="15" t="str">
        <f>VLOOKUP(C942,'Product List'!A:C,3,0)</f>
        <v>MINI/MOE CAMPING TENT HIDE</v>
      </c>
      <c r="C942" s="129" t="s">
        <v>25</v>
      </c>
      <c r="D942" s="129">
        <v>860738360</v>
      </c>
      <c r="E942" s="129"/>
      <c r="F942" s="129">
        <v>108</v>
      </c>
      <c r="G942" s="129" t="s">
        <v>452</v>
      </c>
      <c r="H942" s="129">
        <f t="shared" si="44"/>
        <v>362.0592</v>
      </c>
      <c r="I942" s="129" t="s">
        <v>357</v>
      </c>
      <c r="J942" s="129" t="s">
        <v>426</v>
      </c>
      <c r="K942" s="139">
        <v>46306</v>
      </c>
      <c r="L942" s="21"/>
      <c r="M942" s="142">
        <f>_xlfn.XLOOKUP(C942,'Product List'!A:A,'Product List'!K:K)</f>
        <v>1.87</v>
      </c>
      <c r="N942" s="19">
        <f t="shared" si="46"/>
        <v>201.96</v>
      </c>
      <c r="O942" s="19">
        <f>F942/_xlfn.XLOOKUP(C942,'Product List'!A:A,'Product List'!J:J)</f>
        <v>9</v>
      </c>
      <c r="P942" s="19" t="str">
        <f>IF(COUNTIF('PO Check'!A:A,D942)&gt;0,"Yes","No")</f>
        <v>Yes</v>
      </c>
      <c r="Q942" s="19" t="str">
        <f>VLOOKUP(C942,'Product List'!A:V,22,0)</f>
        <v>B</v>
      </c>
      <c r="R942" s="19">
        <f>ROUND(IFERROR(VLOOKUP(Q942,'Case Pack'!A:H,8,0),0)*O942,2)</f>
        <v>0.66</v>
      </c>
    </row>
    <row r="943" spans="1:18">
      <c r="A943" s="137">
        <v>46273</v>
      </c>
      <c r="B943" s="15" t="str">
        <f>VLOOKUP(C943,'Product List'!A:C,3,0)</f>
        <v>MINI &amp; MOE MAG CONECT WTR BTL 4 OZ</v>
      </c>
      <c r="C943" s="129" t="s">
        <v>36</v>
      </c>
      <c r="D943" s="129">
        <v>860738360</v>
      </c>
      <c r="E943" s="129"/>
      <c r="F943" s="129">
        <v>270</v>
      </c>
      <c r="G943" s="129" t="s">
        <v>456</v>
      </c>
      <c r="H943" s="129">
        <f t="shared" si="44"/>
        <v>718.713</v>
      </c>
      <c r="I943" s="129" t="s">
        <v>357</v>
      </c>
      <c r="J943" s="129" t="s">
        <v>426</v>
      </c>
      <c r="K943" s="139">
        <v>46306</v>
      </c>
      <c r="L943" s="21"/>
      <c r="M943" s="142">
        <f>_xlfn.XLOOKUP(C943,'Product List'!A:A,'Product List'!K:K)</f>
        <v>1.8</v>
      </c>
      <c r="N943" s="19">
        <f t="shared" si="46"/>
        <v>486</v>
      </c>
      <c r="O943" s="19">
        <f>F943/_xlfn.XLOOKUP(C943,'Product List'!A:A,'Product List'!J:J)</f>
        <v>5</v>
      </c>
      <c r="P943" s="19" t="str">
        <f>IF(COUNTIF('PO Check'!A:A,D943)&gt;0,"Yes","No")</f>
        <v>Yes</v>
      </c>
      <c r="Q943" s="19" t="str">
        <f>VLOOKUP(C943,'Product List'!A:V,22,0)</f>
        <v>A</v>
      </c>
      <c r="R943" s="19">
        <f>ROUND(IFERROR(VLOOKUP(Q943,'Case Pack'!A:H,8,0),0)*O943,2)</f>
        <v>0.55</v>
      </c>
    </row>
    <row r="944" spans="1:18">
      <c r="A944" s="137">
        <v>46273</v>
      </c>
      <c r="B944" s="15" t="str">
        <f>VLOOKUP(C944,'Product List'!A:C,3,0)</f>
        <v>MINI/MOE TV VIEWING CAGE</v>
      </c>
      <c r="C944" s="129" t="s">
        <v>27</v>
      </c>
      <c r="D944" s="129">
        <v>860738362</v>
      </c>
      <c r="E944" s="129"/>
      <c r="F944" s="129">
        <v>200</v>
      </c>
      <c r="G944" s="129">
        <v>45.8702</v>
      </c>
      <c r="H944" s="129">
        <f t="shared" si="44"/>
        <v>9174.04</v>
      </c>
      <c r="I944" s="129" t="s">
        <v>357</v>
      </c>
      <c r="J944" s="129" t="s">
        <v>428</v>
      </c>
      <c r="K944" s="139">
        <v>46309</v>
      </c>
      <c r="L944" s="21"/>
      <c r="M944" s="142">
        <f>_xlfn.XLOOKUP(C944,'Product List'!A:A,'Product List'!K:K)</f>
        <v>24.09</v>
      </c>
      <c r="N944" s="19">
        <f t="shared" si="46"/>
        <v>4818</v>
      </c>
      <c r="O944" s="19">
        <f>F944/_xlfn.XLOOKUP(C944,'Product List'!A:A,'Product List'!J:J)</f>
        <v>200</v>
      </c>
      <c r="P944" s="19" t="str">
        <f>IF(COUNTIF('PO Check'!A:A,D944)&gt;0,"Yes","No")</f>
        <v>Yes</v>
      </c>
      <c r="Q944" s="19" t="str">
        <f>VLOOKUP(C944,'Product List'!A:V,22,0)</f>
        <v>S1</v>
      </c>
      <c r="R944" s="19">
        <f>ROUND(IFERROR(VLOOKUP(Q944,'Case Pack'!A:H,8,0),0)*O944,2)</f>
        <v>14.8</v>
      </c>
    </row>
    <row r="945" spans="1:18">
      <c r="A945" s="137">
        <v>46273</v>
      </c>
      <c r="B945" s="15" t="str">
        <f>VLOOKUP(C945,'Product List'!A:C,3,0)</f>
        <v>MINI &amp; MOE TREE DECOR CHEW</v>
      </c>
      <c r="C945" s="129" t="s">
        <v>26</v>
      </c>
      <c r="D945" s="129">
        <v>860738362</v>
      </c>
      <c r="E945" s="129"/>
      <c r="F945" s="129">
        <v>616</v>
      </c>
      <c r="G945" s="129">
        <v>3.5341</v>
      </c>
      <c r="H945" s="129">
        <f t="shared" ref="H944:H949" si="47">F945*G945</f>
        <v>2177.0056</v>
      </c>
      <c r="I945" s="129" t="s">
        <v>357</v>
      </c>
      <c r="J945" s="129" t="s">
        <v>428</v>
      </c>
      <c r="K945" s="139">
        <v>46309</v>
      </c>
      <c r="L945" s="21"/>
      <c r="M945" s="142">
        <f>_xlfn.XLOOKUP(C945,'Product List'!A:A,'Product List'!K:K)</f>
        <v>2.2</v>
      </c>
      <c r="N945" s="19">
        <f t="shared" si="46"/>
        <v>1355.2</v>
      </c>
      <c r="O945" s="19">
        <f>F945/_xlfn.XLOOKUP(C945,'Product List'!A:A,'Product List'!J:J)</f>
        <v>22</v>
      </c>
      <c r="P945" s="19" t="str">
        <f>IF(COUNTIF('PO Check'!A:A,D945)&gt;0,"Yes","No")</f>
        <v>Yes</v>
      </c>
      <c r="Q945" s="19" t="str">
        <f>VLOOKUP(C945,'Product List'!A:V,22,0)</f>
        <v>B</v>
      </c>
      <c r="R945" s="19">
        <f>ROUND(IFERROR(VLOOKUP(Q945,'Case Pack'!A:H,8,0),0)*O945,2)</f>
        <v>1.62</v>
      </c>
    </row>
    <row r="946" spans="1:18">
      <c r="A946" s="137">
        <v>46273</v>
      </c>
      <c r="B946" s="15" t="str">
        <f>VLOOKUP(C946,'Product List'!A:C,3,0)</f>
        <v>MINI &amp; MOE GARDEN DECOR CHEW</v>
      </c>
      <c r="C946" s="129" t="s">
        <v>23</v>
      </c>
      <c r="D946" s="129">
        <v>860738362</v>
      </c>
      <c r="E946" s="129"/>
      <c r="F946" s="129">
        <v>900</v>
      </c>
      <c r="G946" s="129">
        <v>3.2343</v>
      </c>
      <c r="H946" s="129">
        <f t="shared" si="47"/>
        <v>2910.87</v>
      </c>
      <c r="I946" s="129" t="s">
        <v>357</v>
      </c>
      <c r="J946" s="129" t="s">
        <v>428</v>
      </c>
      <c r="K946" s="139">
        <v>46309</v>
      </c>
      <c r="L946" s="21"/>
      <c r="M946" s="142">
        <f>_xlfn.XLOOKUP(C946,'Product List'!A:A,'Product List'!K:K)</f>
        <v>2.35</v>
      </c>
      <c r="N946" s="19">
        <f t="shared" si="46"/>
        <v>2115</v>
      </c>
      <c r="O946" s="19">
        <f>F946/_xlfn.XLOOKUP(C946,'Product List'!A:A,'Product List'!J:J)</f>
        <v>20</v>
      </c>
      <c r="P946" s="19" t="str">
        <f>IF(COUNTIF('PO Check'!A:A,D946)&gt;0,"Yes","No")</f>
        <v>Yes</v>
      </c>
      <c r="Q946" s="19" t="str">
        <f>VLOOKUP(C946,'Product List'!A:V,22,0)</f>
        <v>B</v>
      </c>
      <c r="R946" s="19">
        <f>ROUND(IFERROR(VLOOKUP(Q946,'Case Pack'!A:H,8,0),0)*O946,2)</f>
        <v>1.47</v>
      </c>
    </row>
    <row r="947" spans="1:18">
      <c r="A947" s="137">
        <v>46273</v>
      </c>
      <c r="B947" s="15" t="str">
        <f>VLOOKUP(C947,'Product List'!A:C,3,0)</f>
        <v>MINI/MOE CAMPING TENT HIDE</v>
      </c>
      <c r="C947" s="129" t="s">
        <v>25</v>
      </c>
      <c r="D947" s="129">
        <v>860738362</v>
      </c>
      <c r="E947" s="129"/>
      <c r="F947" s="129">
        <v>372</v>
      </c>
      <c r="G947" s="129">
        <v>3.3524</v>
      </c>
      <c r="H947" s="129">
        <f t="shared" si="47"/>
        <v>1247.0928</v>
      </c>
      <c r="I947" s="129" t="s">
        <v>357</v>
      </c>
      <c r="J947" s="129" t="s">
        <v>428</v>
      </c>
      <c r="K947" s="139">
        <v>46309</v>
      </c>
      <c r="L947" s="21"/>
      <c r="M947" s="142">
        <f>_xlfn.XLOOKUP(C947,'Product List'!A:A,'Product List'!K:K)</f>
        <v>1.87</v>
      </c>
      <c r="N947" s="19">
        <f t="shared" si="46"/>
        <v>695.64</v>
      </c>
      <c r="O947" s="19">
        <f>F947/_xlfn.XLOOKUP(C947,'Product List'!A:A,'Product List'!J:J)</f>
        <v>31</v>
      </c>
      <c r="P947" s="19" t="str">
        <f>IF(COUNTIF('PO Check'!A:A,D947)&gt;0,"Yes","No")</f>
        <v>Yes</v>
      </c>
      <c r="Q947" s="19" t="str">
        <f>VLOOKUP(C947,'Product List'!A:V,22,0)</f>
        <v>B</v>
      </c>
      <c r="R947" s="19">
        <f>ROUND(IFERROR(VLOOKUP(Q947,'Case Pack'!A:H,8,0),0)*O947,2)</f>
        <v>2.28</v>
      </c>
    </row>
    <row r="948" spans="1:18">
      <c r="A948" s="137">
        <v>46273</v>
      </c>
      <c r="B948" s="15" t="str">
        <f>VLOOKUP(C948,'Product List'!A:C,3,0)</f>
        <v>MINI &amp; MOE WOODEN BRIDGE</v>
      </c>
      <c r="C948" s="129" t="s">
        <v>24</v>
      </c>
      <c r="D948" s="129">
        <v>860738362</v>
      </c>
      <c r="E948" s="129"/>
      <c r="F948" s="129">
        <v>192</v>
      </c>
      <c r="G948" s="129">
        <v>3.0071</v>
      </c>
      <c r="H948" s="129">
        <f t="shared" si="47"/>
        <v>577.3632</v>
      </c>
      <c r="I948" s="129" t="s">
        <v>357</v>
      </c>
      <c r="J948" s="129" t="s">
        <v>428</v>
      </c>
      <c r="K948" s="139">
        <v>46309</v>
      </c>
      <c r="L948" s="21"/>
      <c r="M948" s="142">
        <f>_xlfn.XLOOKUP(C948,'Product List'!A:A,'Product List'!K:K)</f>
        <v>1.83</v>
      </c>
      <c r="N948" s="19">
        <f t="shared" si="46"/>
        <v>351.36</v>
      </c>
      <c r="O948" s="19">
        <f>F948/_xlfn.XLOOKUP(C948,'Product List'!A:A,'Product List'!J:J)</f>
        <v>4</v>
      </c>
      <c r="P948" s="19" t="str">
        <f>IF(COUNTIF('PO Check'!A:A,D948)&gt;0,"Yes","No")</f>
        <v>Yes</v>
      </c>
      <c r="Q948" s="19" t="str">
        <f>VLOOKUP(C948,'Product List'!A:V,22,0)</f>
        <v>A</v>
      </c>
      <c r="R948" s="19">
        <f>ROUND(IFERROR(VLOOKUP(Q948,'Case Pack'!A:H,8,0),0)*O948,2)</f>
        <v>0.44</v>
      </c>
    </row>
    <row r="949" spans="1:18">
      <c r="A949" s="137">
        <v>46273</v>
      </c>
      <c r="B949" s="15" t="str">
        <f>VLOOKUP(C949,'Product List'!A:C,3,0)</f>
        <v>MINI &amp; MOE MAG CONECT WTR BTL 4 OZ</v>
      </c>
      <c r="C949" s="129" t="s">
        <v>36</v>
      </c>
      <c r="D949" s="129">
        <v>860738362</v>
      </c>
      <c r="E949" s="129"/>
      <c r="F949" s="129">
        <v>432</v>
      </c>
      <c r="G949" s="129">
        <v>2.6619</v>
      </c>
      <c r="H949" s="129">
        <f t="shared" si="47"/>
        <v>1149.9408</v>
      </c>
      <c r="I949" s="129" t="s">
        <v>357</v>
      </c>
      <c r="J949" s="129" t="s">
        <v>428</v>
      </c>
      <c r="K949" s="139">
        <v>46309</v>
      </c>
      <c r="L949" s="21"/>
      <c r="M949" s="142">
        <f>_xlfn.XLOOKUP(C949,'Product List'!A:A,'Product List'!K:K)</f>
        <v>1.8</v>
      </c>
      <c r="N949" s="19">
        <f t="shared" si="46"/>
        <v>777.6</v>
      </c>
      <c r="O949" s="19">
        <f>F949/_xlfn.XLOOKUP(C949,'Product List'!A:A,'Product List'!J:J)</f>
        <v>8</v>
      </c>
      <c r="P949" s="19" t="str">
        <f>IF(COUNTIF('PO Check'!A:A,D949)&gt;0,"Yes","No")</f>
        <v>Yes</v>
      </c>
      <c r="Q949" s="19" t="str">
        <f>VLOOKUP(C949,'Product List'!A:V,22,0)</f>
        <v>A</v>
      </c>
      <c r="R949" s="19">
        <f>ROUND(IFERROR(VLOOKUP(Q949,'Case Pack'!A:H,8,0),0)*O949,2)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49" etc:filterBottomFollowUsedRange="1">
    <extLst/>
  </autoFilter>
  <pageMargins left="0.75" right="0.75" top="1" bottom="1" header="0.5" footer="0.5"/>
  <headerFooter/>
  <ignoredErrors>
    <ignoredError sqref="S933:AE933 J933:K933 C933:G933 A933 A892:K902 M889:AE902 A903:AE932 G891:K891 A891:E891 A840:AE887 A888:K890 M888:AE888 M835:AE839 A835:K839 A1:AE834 G934:G94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2"/>
  <sheetViews>
    <sheetView tabSelected="1" workbookViewId="0">
      <pane xSplit="2" ySplit="1" topLeftCell="U129" activePane="bottomRight" state="frozen"/>
      <selection/>
      <selection pane="topRight"/>
      <selection pane="bottomLeft"/>
      <selection pane="bottomRight" activeCell="A123" sqref="$A56:$XFD130"/>
    </sheetView>
  </sheetViews>
  <sheetFormatPr defaultColWidth="12.6285714285714" defaultRowHeight="15.75" customHeight="1"/>
  <cols>
    <col min="1" max="1" width="16.247619047619" style="67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68" customWidth="1"/>
    <col min="22" max="22" width="14.8571428571429" style="69" customWidth="1"/>
    <col min="23" max="23" width="8.91428571428571" style="69" customWidth="1"/>
    <col min="24" max="24" width="11.2285714285714" style="69" customWidth="1"/>
    <col min="25" max="25" width="12.8571428571429" style="4"/>
    <col min="26" max="26" width="15.3047619047619" style="70" customWidth="1"/>
    <col min="27" max="27" width="13.2" style="4" customWidth="1"/>
    <col min="28" max="29" width="12.1428571428571" customWidth="1"/>
    <col min="30" max="30" width="17.8190476190476" style="71" customWidth="1"/>
    <col min="31" max="31" width="17.8190476190476" style="68" customWidth="1"/>
    <col min="32" max="32" width="24.447619047619" style="68" customWidth="1"/>
    <col min="33" max="43" width="17.8190476190476" style="68" customWidth="1"/>
  </cols>
  <sheetData>
    <row r="1" s="65" customFormat="1" ht="25.5" spans="1:43">
      <c r="A1" s="72" t="s">
        <v>4</v>
      </c>
      <c r="B1" s="73" t="s">
        <v>319</v>
      </c>
      <c r="C1" s="72" t="s">
        <v>458</v>
      </c>
      <c r="D1" s="72" t="s">
        <v>322</v>
      </c>
      <c r="E1" s="73" t="s">
        <v>21</v>
      </c>
      <c r="F1" s="73" t="s">
        <v>459</v>
      </c>
      <c r="G1" s="73" t="s">
        <v>460</v>
      </c>
      <c r="H1" s="74" t="s">
        <v>137</v>
      </c>
      <c r="I1" s="74" t="s">
        <v>461</v>
      </c>
      <c r="J1" s="74" t="s">
        <v>462</v>
      </c>
      <c r="K1" s="73" t="s">
        <v>463</v>
      </c>
      <c r="L1" s="73" t="s">
        <v>464</v>
      </c>
      <c r="M1" s="75" t="s">
        <v>465</v>
      </c>
      <c r="N1" s="72" t="s">
        <v>466</v>
      </c>
      <c r="O1" s="73" t="s">
        <v>467</v>
      </c>
      <c r="P1" s="72" t="s">
        <v>468</v>
      </c>
      <c r="Q1" s="73" t="s">
        <v>469</v>
      </c>
      <c r="R1" s="73" t="s">
        <v>470</v>
      </c>
      <c r="S1" s="76" t="s">
        <v>132</v>
      </c>
      <c r="T1" s="76" t="s">
        <v>471</v>
      </c>
      <c r="U1" s="72" t="s">
        <v>472</v>
      </c>
      <c r="V1" s="77" t="s">
        <v>473</v>
      </c>
      <c r="W1" s="77" t="s">
        <v>474</v>
      </c>
      <c r="X1" s="77" t="s">
        <v>475</v>
      </c>
      <c r="Y1" s="78" t="s">
        <v>476</v>
      </c>
      <c r="Z1" s="239" t="s">
        <v>477</v>
      </c>
      <c r="AA1" s="79" t="s">
        <v>478</v>
      </c>
      <c r="AB1" s="80" t="s">
        <v>479</v>
      </c>
      <c r="AC1" s="80"/>
      <c r="AD1" s="81" t="s">
        <v>480</v>
      </c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</row>
    <row r="2" customHeight="1" spans="1:43">
      <c r="A2" s="83" t="s">
        <v>333</v>
      </c>
      <c r="B2" s="84" t="str">
        <f>_xlfn.XLOOKUP(A2,Sales!D:D,Sales!I:I)</f>
        <v>PSP</v>
      </c>
      <c r="C2" s="85">
        <f>SUMIFS(Sales!H:H,Sales!D:D,A2)</f>
        <v>27923.4</v>
      </c>
      <c r="D2" s="85">
        <f>SUMIFS(Sales!N:N,Sales!D:D,A2)</f>
        <v>11826</v>
      </c>
      <c r="E2" s="86" t="s">
        <v>142</v>
      </c>
      <c r="F2" s="85">
        <v>1500</v>
      </c>
      <c r="G2" s="87">
        <v>2500</v>
      </c>
      <c r="H2" s="87">
        <f>SUMIFS(Sales!R:R,Sales!D:D,A2)</f>
        <v>39.95</v>
      </c>
      <c r="I2" s="87"/>
      <c r="J2" s="87">
        <v>2500</v>
      </c>
      <c r="K2" s="85">
        <v>5166</v>
      </c>
      <c r="L2" s="85">
        <f t="shared" ref="L2:L27" si="0">IF(B2="Petco",C2*0.045,IF(B2="Petsmart",C2*0.02,C2*0.05))</f>
        <v>1396.17</v>
      </c>
      <c r="M2" s="85">
        <v>0</v>
      </c>
      <c r="N2" s="85">
        <v>0</v>
      </c>
      <c r="O2" s="85">
        <f t="shared" ref="O2:O21" si="1">(C2-L2)*0.06</f>
        <v>1591.6338</v>
      </c>
      <c r="P2" s="85">
        <f t="shared" ref="P2:P65" si="2">C2-D2-F2-G2-K2-L2-O2-M2-N2</f>
        <v>3943.5962</v>
      </c>
      <c r="Q2" s="85"/>
      <c r="R2" s="85"/>
      <c r="S2" s="88">
        <f>_xlfn.XLOOKUP(A2,Sales!D:D,Sales!K:K)</f>
        <v>46078</v>
      </c>
      <c r="T2" s="88">
        <f>VLOOKUP(A2,Sales!D:L,8,0)</f>
        <v>46078</v>
      </c>
      <c r="U2" s="89" t="s">
        <v>481</v>
      </c>
      <c r="V2" s="90">
        <f t="shared" ref="V2:V65" si="3">-SUM(D2:K2)</f>
        <v>-23531.95</v>
      </c>
      <c r="W2" s="90">
        <f t="shared" ref="W2:W65" si="4">-SUM(L2:N2)</f>
        <v>-1396.17</v>
      </c>
      <c r="X2" s="90">
        <f t="shared" ref="X2:X65" si="5">IF(O2/(C2-L2)*Z2=0,-O2,-O2/(C2-L2)*Z2)</f>
        <v>-1591.6338</v>
      </c>
      <c r="Y2" s="91">
        <f t="shared" ref="Y2:Y65" si="6">C2-L2-M2-N2</f>
        <v>26527.23</v>
      </c>
      <c r="Z2" s="92">
        <v>0</v>
      </c>
      <c r="AA2" s="91">
        <f t="shared" ref="AA2:AA65" si="7">Y2-Z2</f>
        <v>26527.23</v>
      </c>
      <c r="AB2" s="93">
        <f t="shared" ref="AB2:AB65" si="8">SUM(Z2,V2:X2)</f>
        <v>-26519.7538</v>
      </c>
      <c r="AC2" s="93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</row>
    <row r="3" customHeight="1" spans="1:43">
      <c r="A3" s="83" t="s">
        <v>336</v>
      </c>
      <c r="B3" s="84" t="str">
        <f>_xlfn.XLOOKUP(A3,Sales!D:D,Sales!I:I)</f>
        <v>PSP</v>
      </c>
      <c r="C3" s="85">
        <f>SUMIFS(Sales!H:H,Sales!D:D,A3)</f>
        <v>25300.8</v>
      </c>
      <c r="D3" s="85">
        <f>SUMIFS(Sales!N:N,Sales!D:D,A3)</f>
        <v>10281.6</v>
      </c>
      <c r="E3" s="86" t="s">
        <v>142</v>
      </c>
      <c r="F3" s="85">
        <v>1500</v>
      </c>
      <c r="G3" s="87">
        <v>2500</v>
      </c>
      <c r="H3" s="87">
        <f>SUMIFS(Sales!R:R,Sales!D:D,A3)</f>
        <v>51.19</v>
      </c>
      <c r="I3" s="87"/>
      <c r="J3" s="87">
        <v>2500</v>
      </c>
      <c r="K3" s="85">
        <v>5166</v>
      </c>
      <c r="L3" s="85">
        <f t="shared" si="0"/>
        <v>1265.04</v>
      </c>
      <c r="M3" s="85">
        <v>0</v>
      </c>
      <c r="N3" s="85">
        <v>0</v>
      </c>
      <c r="O3" s="85">
        <f t="shared" si="1"/>
        <v>1442.1456</v>
      </c>
      <c r="P3" s="85">
        <f t="shared" si="2"/>
        <v>3146.0144</v>
      </c>
      <c r="Q3" s="85">
        <f t="shared" ref="Q3:Q66" si="9">C3-D3-F3-J3-K3-L3-O3-M3-N3</f>
        <v>3146.0144</v>
      </c>
      <c r="R3" s="85"/>
      <c r="S3" s="88">
        <f>_xlfn.XLOOKUP(A3,Sales!D:D,Sales!K:K)</f>
        <v>46078</v>
      </c>
      <c r="T3" s="88">
        <f>VLOOKUP(A3,Sales!D:L,8,0)</f>
        <v>46078</v>
      </c>
      <c r="U3" s="89" t="s">
        <v>482</v>
      </c>
      <c r="V3" s="90">
        <f t="shared" si="3"/>
        <v>-21998.79</v>
      </c>
      <c r="W3" s="90">
        <f t="shared" si="4"/>
        <v>-1265.04</v>
      </c>
      <c r="X3" s="90">
        <f t="shared" si="5"/>
        <v>-1442.1456</v>
      </c>
      <c r="Y3" s="91">
        <f t="shared" si="6"/>
        <v>24035.76</v>
      </c>
      <c r="Z3" s="92">
        <v>0</v>
      </c>
      <c r="AA3" s="91">
        <f t="shared" si="7"/>
        <v>24035.76</v>
      </c>
      <c r="AB3" s="93">
        <f t="shared" si="8"/>
        <v>-24705.9756</v>
      </c>
      <c r="AC3" s="93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</row>
    <row r="4" customHeight="1" spans="1:43">
      <c r="A4" s="83" t="s">
        <v>337</v>
      </c>
      <c r="B4" s="84" t="str">
        <f>_xlfn.XLOOKUP(A4,Sales!D:D,Sales!I:I)</f>
        <v>PSP</v>
      </c>
      <c r="C4" s="85">
        <f>SUMIFS(Sales!H:H,Sales!D:D,A4)</f>
        <v>26410.69</v>
      </c>
      <c r="D4" s="85">
        <f>SUMIFS(Sales!N:N,Sales!D:D,A4)</f>
        <v>11480.19</v>
      </c>
      <c r="E4" s="86" t="s">
        <v>142</v>
      </c>
      <c r="F4" s="85">
        <v>1500</v>
      </c>
      <c r="G4" s="87">
        <v>2500</v>
      </c>
      <c r="H4" s="87">
        <f>SUMIFS(Sales!R:R,Sales!D:D,A4)</f>
        <v>45.99</v>
      </c>
      <c r="I4" s="87"/>
      <c r="J4" s="87">
        <v>2500</v>
      </c>
      <c r="K4" s="85">
        <v>5166</v>
      </c>
      <c r="L4" s="85">
        <f t="shared" si="0"/>
        <v>1320.5345</v>
      </c>
      <c r="M4" s="85">
        <v>0</v>
      </c>
      <c r="N4" s="85">
        <v>0</v>
      </c>
      <c r="O4" s="85">
        <f t="shared" si="1"/>
        <v>1505.40933</v>
      </c>
      <c r="P4" s="85">
        <f t="shared" si="2"/>
        <v>2938.55617</v>
      </c>
      <c r="Q4" s="85">
        <f t="shared" si="9"/>
        <v>2938.55617</v>
      </c>
      <c r="R4" s="85"/>
      <c r="S4" s="88">
        <f>_xlfn.XLOOKUP(A4,Sales!D:D,Sales!K:K)</f>
        <v>46096</v>
      </c>
      <c r="T4" s="88">
        <f>VLOOKUP(A4,Sales!D:L,8,0)</f>
        <v>46096</v>
      </c>
      <c r="U4" s="89" t="s">
        <v>483</v>
      </c>
      <c r="V4" s="90">
        <f t="shared" si="3"/>
        <v>-23192.18</v>
      </c>
      <c r="W4" s="90">
        <f t="shared" si="4"/>
        <v>-1320.5345</v>
      </c>
      <c r="X4" s="90">
        <f t="shared" si="5"/>
        <v>-1505.40933</v>
      </c>
      <c r="Y4" s="91">
        <f t="shared" si="6"/>
        <v>25090.1555</v>
      </c>
      <c r="Z4" s="92">
        <v>0</v>
      </c>
      <c r="AA4" s="91">
        <f t="shared" si="7"/>
        <v>25090.1555</v>
      </c>
      <c r="AB4" s="93">
        <f t="shared" si="8"/>
        <v>-26018.12383</v>
      </c>
      <c r="AC4" s="93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</row>
    <row r="5" customHeight="1" spans="1:43">
      <c r="A5" s="83" t="s">
        <v>338</v>
      </c>
      <c r="B5" s="84" t="str">
        <f>_xlfn.XLOOKUP(A5,Sales!D:D,Sales!I:I)</f>
        <v>PSP</v>
      </c>
      <c r="C5" s="85">
        <f>SUMIFS(Sales!H:H,Sales!D:D,A5)</f>
        <v>34724.17</v>
      </c>
      <c r="D5" s="85">
        <f>SUMIFS(Sales!N:N,Sales!D:D,A5)</f>
        <v>16505.94</v>
      </c>
      <c r="E5" s="86" t="s">
        <v>142</v>
      </c>
      <c r="F5" s="85">
        <v>1500</v>
      </c>
      <c r="G5" s="87">
        <v>2500</v>
      </c>
      <c r="H5" s="87">
        <f>SUMIFS(Sales!R:R,Sales!D:D,A5)</f>
        <v>50.63</v>
      </c>
      <c r="I5" s="87"/>
      <c r="J5" s="87">
        <v>2500</v>
      </c>
      <c r="K5" s="85">
        <v>5166</v>
      </c>
      <c r="L5" s="85">
        <f t="shared" si="0"/>
        <v>1736.2085</v>
      </c>
      <c r="M5" s="85">
        <v>0</v>
      </c>
      <c r="N5" s="85">
        <v>0</v>
      </c>
      <c r="O5" s="85">
        <f t="shared" si="1"/>
        <v>1979.27769</v>
      </c>
      <c r="P5" s="85">
        <f t="shared" si="2"/>
        <v>5336.74381</v>
      </c>
      <c r="Q5" s="85">
        <f t="shared" si="9"/>
        <v>5336.74381</v>
      </c>
      <c r="R5" s="85"/>
      <c r="S5" s="88">
        <f>_xlfn.XLOOKUP(A5,Sales!D:D,Sales!K:K)</f>
        <v>46098</v>
      </c>
      <c r="T5" s="88">
        <f>VLOOKUP(A5,Sales!D:L,8,0)</f>
        <v>46098</v>
      </c>
      <c r="U5" s="89" t="s">
        <v>484</v>
      </c>
      <c r="V5" s="90">
        <f t="shared" si="3"/>
        <v>-28222.57</v>
      </c>
      <c r="W5" s="90">
        <f t="shared" si="4"/>
        <v>-1736.2085</v>
      </c>
      <c r="X5" s="90">
        <f t="shared" si="5"/>
        <v>-1979.27769</v>
      </c>
      <c r="Y5" s="91">
        <f t="shared" si="6"/>
        <v>32987.9615</v>
      </c>
      <c r="Z5" s="92">
        <v>0</v>
      </c>
      <c r="AA5" s="91">
        <f t="shared" si="7"/>
        <v>32987.9615</v>
      </c>
      <c r="AB5" s="93">
        <f t="shared" si="8"/>
        <v>-31938.05619</v>
      </c>
      <c r="AC5" s="93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</row>
    <row r="6" customHeight="1" spans="1:43">
      <c r="A6" s="83" t="s">
        <v>339</v>
      </c>
      <c r="B6" s="84" t="str">
        <f>_xlfn.XLOOKUP(A6,Sales!D:D,Sales!I:I)</f>
        <v>PSP</v>
      </c>
      <c r="C6" s="85">
        <f>SUMIFS(Sales!H:H,Sales!D:D,A6)</f>
        <v>38782.28</v>
      </c>
      <c r="D6" s="85">
        <f>SUMIFS(Sales!N:N,Sales!D:D,A6)</f>
        <v>19110.12</v>
      </c>
      <c r="E6" s="86" t="s">
        <v>142</v>
      </c>
      <c r="F6" s="85">
        <v>1500</v>
      </c>
      <c r="G6" s="87">
        <v>2500</v>
      </c>
      <c r="H6" s="87">
        <f>SUMIFS(Sales!R:R,Sales!D:D,A6)</f>
        <v>74.24</v>
      </c>
      <c r="I6" s="87"/>
      <c r="J6" s="87">
        <v>2500</v>
      </c>
      <c r="K6" s="85">
        <v>5166</v>
      </c>
      <c r="L6" s="85">
        <f t="shared" si="0"/>
        <v>1939.114</v>
      </c>
      <c r="M6" s="85">
        <v>0</v>
      </c>
      <c r="N6" s="85">
        <v>0</v>
      </c>
      <c r="O6" s="85">
        <f t="shared" si="1"/>
        <v>2210.58996</v>
      </c>
      <c r="P6" s="85">
        <f t="shared" si="2"/>
        <v>6356.45604</v>
      </c>
      <c r="Q6" s="85">
        <f t="shared" si="9"/>
        <v>6356.45604</v>
      </c>
      <c r="R6" s="85"/>
      <c r="S6" s="88">
        <f>_xlfn.XLOOKUP(A6,Sales!D:D,Sales!K:K)</f>
        <v>46099</v>
      </c>
      <c r="T6" s="88">
        <f>VLOOKUP(A6,Sales!D:L,8,0)</f>
        <v>46099</v>
      </c>
      <c r="U6" s="89" t="s">
        <v>485</v>
      </c>
      <c r="V6" s="90">
        <f t="shared" si="3"/>
        <v>-30850.36</v>
      </c>
      <c r="W6" s="90">
        <f t="shared" si="4"/>
        <v>-1939.114</v>
      </c>
      <c r="X6" s="90">
        <f t="shared" si="5"/>
        <v>-2210.58996</v>
      </c>
      <c r="Y6" s="91">
        <f t="shared" si="6"/>
        <v>36843.166</v>
      </c>
      <c r="Z6" s="92">
        <v>0</v>
      </c>
      <c r="AA6" s="91">
        <f t="shared" si="7"/>
        <v>36843.166</v>
      </c>
      <c r="AB6" s="93">
        <f t="shared" si="8"/>
        <v>-35000.06396</v>
      </c>
      <c r="AC6" s="93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</row>
    <row r="7" customHeight="1" spans="1:43">
      <c r="A7" s="83" t="s">
        <v>340</v>
      </c>
      <c r="B7" s="84" t="str">
        <f>_xlfn.XLOOKUP(A7,Sales!D:D,Sales!I:I)</f>
        <v>PSP</v>
      </c>
      <c r="C7" s="85">
        <f>SUMIFS(Sales!H:H,Sales!D:D,A7)</f>
        <v>19488.52</v>
      </c>
      <c r="D7" s="85">
        <f>SUMIFS(Sales!N:N,Sales!D:D,A7)</f>
        <v>7994.04</v>
      </c>
      <c r="E7" s="86" t="s">
        <v>142</v>
      </c>
      <c r="F7" s="85">
        <v>1500</v>
      </c>
      <c r="G7" s="87">
        <v>2500</v>
      </c>
      <c r="H7" s="87">
        <f>SUMIFS(Sales!R:R,Sales!D:D,A7)</f>
        <v>43.58</v>
      </c>
      <c r="I7" s="87"/>
      <c r="J7" s="87">
        <v>2500</v>
      </c>
      <c r="K7" s="85">
        <v>5752</v>
      </c>
      <c r="L7" s="85">
        <f t="shared" si="0"/>
        <v>974.426</v>
      </c>
      <c r="M7" s="85">
        <v>0</v>
      </c>
      <c r="N7" s="85">
        <v>0</v>
      </c>
      <c r="O7" s="85">
        <f t="shared" si="1"/>
        <v>1110.84564</v>
      </c>
      <c r="P7" s="85">
        <f t="shared" si="2"/>
        <v>-342.79164</v>
      </c>
      <c r="Q7" s="85">
        <f t="shared" si="9"/>
        <v>-342.79164</v>
      </c>
      <c r="R7" s="85"/>
      <c r="S7" s="88">
        <f>_xlfn.XLOOKUP(A7,Sales!D:D,Sales!K:K)</f>
        <v>46078</v>
      </c>
      <c r="T7" s="88">
        <f>VLOOKUP(A7,Sales!D:L,8,0)</f>
        <v>46078</v>
      </c>
      <c r="U7" s="89" t="s">
        <v>486</v>
      </c>
      <c r="V7" s="90">
        <f t="shared" si="3"/>
        <v>-20289.62</v>
      </c>
      <c r="W7" s="90">
        <f t="shared" si="4"/>
        <v>-974.426</v>
      </c>
      <c r="X7" s="90">
        <f t="shared" si="5"/>
        <v>-1110.84564</v>
      </c>
      <c r="Y7" s="91">
        <f t="shared" si="6"/>
        <v>18514.094</v>
      </c>
      <c r="Z7" s="92">
        <v>0</v>
      </c>
      <c r="AA7" s="91">
        <f t="shared" si="7"/>
        <v>18514.094</v>
      </c>
      <c r="AB7" s="93">
        <f t="shared" si="8"/>
        <v>-22374.89164</v>
      </c>
      <c r="AC7" s="93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</row>
    <row r="8" customHeight="1" spans="1:43">
      <c r="A8" s="83" t="s">
        <v>342</v>
      </c>
      <c r="B8" s="84" t="str">
        <f>_xlfn.XLOOKUP(A8,Sales!D:D,Sales!I:I)</f>
        <v>PSP</v>
      </c>
      <c r="C8" s="85">
        <f>SUMIFS(Sales!H:H,Sales!D:D,A8)</f>
        <v>20829.94</v>
      </c>
      <c r="D8" s="85">
        <f>SUMIFS(Sales!N:N,Sales!D:D,A8)</f>
        <v>9221.4</v>
      </c>
      <c r="E8" s="86" t="s">
        <v>142</v>
      </c>
      <c r="F8" s="85">
        <v>1500</v>
      </c>
      <c r="G8" s="87">
        <v>2500</v>
      </c>
      <c r="H8" s="87">
        <f>SUMIFS(Sales!R:R,Sales!D:D,A8)</f>
        <v>28.47</v>
      </c>
      <c r="I8" s="87"/>
      <c r="J8" s="87">
        <v>2500</v>
      </c>
      <c r="K8" s="85">
        <v>5802</v>
      </c>
      <c r="L8" s="85">
        <f t="shared" si="0"/>
        <v>1041.497</v>
      </c>
      <c r="M8" s="85">
        <v>0</v>
      </c>
      <c r="N8" s="85">
        <v>0</v>
      </c>
      <c r="O8" s="85">
        <f t="shared" si="1"/>
        <v>1187.30658</v>
      </c>
      <c r="P8" s="85">
        <f t="shared" si="2"/>
        <v>-422.263580000003</v>
      </c>
      <c r="Q8" s="85">
        <f t="shared" si="9"/>
        <v>-422.263580000003</v>
      </c>
      <c r="R8" s="85"/>
      <c r="S8" s="88">
        <f>_xlfn.XLOOKUP(A8,Sales!D:D,Sales!K:K)</f>
        <v>46078</v>
      </c>
      <c r="T8" s="88">
        <f>VLOOKUP(A8,Sales!D:L,8,0)</f>
        <v>46078</v>
      </c>
      <c r="U8" s="89" t="s">
        <v>487</v>
      </c>
      <c r="V8" s="90">
        <f t="shared" si="3"/>
        <v>-21551.87</v>
      </c>
      <c r="W8" s="90">
        <f t="shared" si="4"/>
        <v>-1041.497</v>
      </c>
      <c r="X8" s="90">
        <f t="shared" si="5"/>
        <v>-1187.30658</v>
      </c>
      <c r="Y8" s="91">
        <f t="shared" si="6"/>
        <v>19788.443</v>
      </c>
      <c r="Z8" s="92">
        <v>0</v>
      </c>
      <c r="AA8" s="91">
        <f t="shared" si="7"/>
        <v>19788.443</v>
      </c>
      <c r="AB8" s="93">
        <f t="shared" si="8"/>
        <v>-23780.67358</v>
      </c>
      <c r="AC8" s="93"/>
      <c r="AE8" s="94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</row>
    <row r="9" customHeight="1" spans="1:43">
      <c r="A9" s="83" t="s">
        <v>343</v>
      </c>
      <c r="B9" s="84" t="str">
        <f>_xlfn.XLOOKUP(A9,Sales!D:D,Sales!I:I)</f>
        <v>PSP</v>
      </c>
      <c r="C9" s="85">
        <f>SUMIFS(Sales!H:H,Sales!D:D,A9)</f>
        <v>12604</v>
      </c>
      <c r="D9" s="85">
        <f>SUMIFS(Sales!N:N,Sales!D:D,A9)</f>
        <v>6037.35</v>
      </c>
      <c r="E9" s="86" t="s">
        <v>142</v>
      </c>
      <c r="F9" s="85">
        <v>1500</v>
      </c>
      <c r="G9" s="87">
        <v>2500</v>
      </c>
      <c r="H9" s="87">
        <f>SUMIFS(Sales!R:R,Sales!D:D,A9)</f>
        <v>17.94</v>
      </c>
      <c r="I9" s="87"/>
      <c r="J9" s="87">
        <v>2500</v>
      </c>
      <c r="K9" s="85">
        <v>6384</v>
      </c>
      <c r="L9" s="85">
        <f t="shared" si="0"/>
        <v>630.2</v>
      </c>
      <c r="M9" s="85">
        <v>0</v>
      </c>
      <c r="N9" s="85">
        <v>0</v>
      </c>
      <c r="O9" s="85">
        <f t="shared" si="1"/>
        <v>718.428</v>
      </c>
      <c r="P9" s="85">
        <f t="shared" si="2"/>
        <v>-5165.978</v>
      </c>
      <c r="Q9" s="85">
        <f t="shared" si="9"/>
        <v>-5165.978</v>
      </c>
      <c r="R9" s="85"/>
      <c r="S9" s="88">
        <f>_xlfn.XLOOKUP(A9,Sales!D:D,Sales!K:K)</f>
        <v>46078</v>
      </c>
      <c r="T9" s="88">
        <f>VLOOKUP(A9,Sales!D:L,8,0)</f>
        <v>46078</v>
      </c>
      <c r="U9" s="89" t="s">
        <v>488</v>
      </c>
      <c r="V9" s="90">
        <f t="shared" si="3"/>
        <v>-18939.29</v>
      </c>
      <c r="W9" s="90">
        <f t="shared" si="4"/>
        <v>-630.2</v>
      </c>
      <c r="X9" s="90">
        <f t="shared" si="5"/>
        <v>-718.428</v>
      </c>
      <c r="Y9" s="91">
        <f t="shared" si="6"/>
        <v>11973.8</v>
      </c>
      <c r="Z9" s="92">
        <v>0</v>
      </c>
      <c r="AA9" s="91">
        <f t="shared" si="7"/>
        <v>11973.8</v>
      </c>
      <c r="AB9" s="93">
        <f t="shared" si="8"/>
        <v>-20287.918</v>
      </c>
      <c r="AC9" s="93"/>
      <c r="AE9" s="94"/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</row>
    <row r="10" customHeight="1" spans="1:43">
      <c r="A10" s="95">
        <v>29657897</v>
      </c>
      <c r="B10" s="84" t="str">
        <f>_xlfn.XLOOKUP(A10,Sales!D:D,Sales!I:I)</f>
        <v>Petco</v>
      </c>
      <c r="C10" s="85">
        <f>SUMIFS(Sales!H:H,Sales!D:D,A10)</f>
        <v>17128.83</v>
      </c>
      <c r="D10" s="85">
        <f>SUMIFS(Sales!N:N,Sales!D:D,A10)</f>
        <v>8512.67</v>
      </c>
      <c r="E10" s="86" t="s">
        <v>142</v>
      </c>
      <c r="F10" s="96">
        <v>1600</v>
      </c>
      <c r="G10" s="96">
        <v>2000</v>
      </c>
      <c r="H10" s="87">
        <f>SUMIFS(Sales!R:R,Sales!D:D,A10)</f>
        <v>23.87</v>
      </c>
      <c r="I10" s="96"/>
      <c r="J10" s="96">
        <v>2000</v>
      </c>
      <c r="K10" s="96">
        <v>5091</v>
      </c>
      <c r="L10" s="85">
        <f t="shared" si="0"/>
        <v>770.79735</v>
      </c>
      <c r="M10" s="85">
        <v>0</v>
      </c>
      <c r="N10" s="85">
        <v>0</v>
      </c>
      <c r="O10" s="96">
        <f t="shared" si="1"/>
        <v>981.481959</v>
      </c>
      <c r="P10" s="85">
        <f t="shared" si="2"/>
        <v>-1827.119309</v>
      </c>
      <c r="Q10" s="85">
        <f t="shared" si="9"/>
        <v>-1827.119309</v>
      </c>
      <c r="R10" s="96" t="s">
        <v>489</v>
      </c>
      <c r="S10" s="97">
        <f>_xlfn.XLOOKUP(A10,Sales!D:D,Sales!K:K)</f>
        <v>46048</v>
      </c>
      <c r="T10" s="97">
        <f>VLOOKUP(A10,Sales!D:L,8,0)</f>
        <v>46048</v>
      </c>
      <c r="U10" s="98" t="s">
        <v>490</v>
      </c>
      <c r="V10" s="90">
        <f t="shared" si="3"/>
        <v>-19227.54</v>
      </c>
      <c r="W10" s="90">
        <f t="shared" si="4"/>
        <v>-770.79735</v>
      </c>
      <c r="X10" s="90">
        <f t="shared" si="5"/>
        <v>-981.481959</v>
      </c>
      <c r="Y10" s="91">
        <f t="shared" si="6"/>
        <v>16358.03265</v>
      </c>
      <c r="Z10" s="92">
        <v>0</v>
      </c>
      <c r="AA10" s="91">
        <f t="shared" si="7"/>
        <v>16358.03265</v>
      </c>
      <c r="AB10" s="93">
        <f t="shared" si="8"/>
        <v>-20979.819309</v>
      </c>
      <c r="AC10" s="93"/>
      <c r="AE10" s="94"/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</row>
    <row r="11" customHeight="1" spans="1:43">
      <c r="A11" s="95">
        <v>29657900</v>
      </c>
      <c r="B11" s="84" t="str">
        <f>_xlfn.XLOOKUP(A11,Sales!D:D,Sales!I:I)</f>
        <v>Petco</v>
      </c>
      <c r="C11" s="85">
        <f>SUMIFS(Sales!H:H,Sales!D:D,A11)</f>
        <v>10987.53</v>
      </c>
      <c r="D11" s="85">
        <f>SUMIFS(Sales!N:N,Sales!D:D,A11)</f>
        <v>5464.77</v>
      </c>
      <c r="E11" s="86" t="s">
        <v>142</v>
      </c>
      <c r="F11" s="96">
        <v>1600</v>
      </c>
      <c r="G11" s="96">
        <v>2000</v>
      </c>
      <c r="H11" s="87">
        <f>SUMIFS(Sales!R:R,Sales!D:D,A11)</f>
        <v>15.24</v>
      </c>
      <c r="I11" s="96"/>
      <c r="J11" s="96">
        <v>2000</v>
      </c>
      <c r="K11" s="96">
        <v>949</v>
      </c>
      <c r="L11" s="85">
        <f t="shared" si="0"/>
        <v>494.43885</v>
      </c>
      <c r="M11" s="85">
        <v>0</v>
      </c>
      <c r="N11" s="85">
        <v>0</v>
      </c>
      <c r="O11" s="96">
        <f t="shared" si="1"/>
        <v>629.585469</v>
      </c>
      <c r="P11" s="85">
        <f t="shared" si="2"/>
        <v>-150.264319</v>
      </c>
      <c r="Q11" s="85">
        <f t="shared" si="9"/>
        <v>-150.264319</v>
      </c>
      <c r="R11" s="96" t="s">
        <v>489</v>
      </c>
      <c r="S11" s="97">
        <f>_xlfn.XLOOKUP(A11,Sales!D:D,Sales!K:K)</f>
        <v>46048</v>
      </c>
      <c r="T11" s="97">
        <f>VLOOKUP(A11,Sales!D:L,8,0)</f>
        <v>46048</v>
      </c>
      <c r="U11" s="98" t="s">
        <v>491</v>
      </c>
      <c r="V11" s="90">
        <f t="shared" si="3"/>
        <v>-12029.01</v>
      </c>
      <c r="W11" s="90">
        <f t="shared" si="4"/>
        <v>-494.43885</v>
      </c>
      <c r="X11" s="90">
        <f t="shared" si="5"/>
        <v>-629.585469</v>
      </c>
      <c r="Y11" s="91">
        <f t="shared" si="6"/>
        <v>10493.09115</v>
      </c>
      <c r="Z11" s="92">
        <v>0</v>
      </c>
      <c r="AA11" s="91">
        <f t="shared" si="7"/>
        <v>10493.09115</v>
      </c>
      <c r="AB11" s="93">
        <f t="shared" si="8"/>
        <v>-13153.034319</v>
      </c>
      <c r="AC11" s="93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</row>
    <row r="12" customHeight="1" spans="1:43">
      <c r="A12" s="95">
        <v>29657898</v>
      </c>
      <c r="B12" s="84" t="str">
        <f>_xlfn.XLOOKUP(A12,Sales!D:D,Sales!I:I)</f>
        <v>Petco</v>
      </c>
      <c r="C12" s="85">
        <f>SUMIFS(Sales!H:H,Sales!D:D,A12)</f>
        <v>13269.94</v>
      </c>
      <c r="D12" s="85">
        <f>SUMIFS(Sales!N:N,Sales!D:D,A12)</f>
        <v>6606</v>
      </c>
      <c r="E12" s="86" t="s">
        <v>142</v>
      </c>
      <c r="F12" s="96">
        <v>1600</v>
      </c>
      <c r="G12" s="96">
        <v>2000</v>
      </c>
      <c r="H12" s="87">
        <f>SUMIFS(Sales!R:R,Sales!D:D,A12)</f>
        <v>17.81</v>
      </c>
      <c r="I12" s="96"/>
      <c r="J12" s="96">
        <v>2000</v>
      </c>
      <c r="K12" s="96">
        <v>6267</v>
      </c>
      <c r="L12" s="85">
        <f t="shared" si="0"/>
        <v>597.1473</v>
      </c>
      <c r="M12" s="85">
        <v>0</v>
      </c>
      <c r="N12" s="85">
        <v>0</v>
      </c>
      <c r="O12" s="96">
        <f t="shared" si="1"/>
        <v>760.367562</v>
      </c>
      <c r="P12" s="85">
        <f t="shared" si="2"/>
        <v>-4560.574862</v>
      </c>
      <c r="Q12" s="85">
        <f t="shared" si="9"/>
        <v>-4560.574862</v>
      </c>
      <c r="R12" s="96" t="s">
        <v>489</v>
      </c>
      <c r="S12" s="97">
        <f>_xlfn.XLOOKUP(A12,Sales!D:D,Sales!K:K)</f>
        <v>46048</v>
      </c>
      <c r="T12" s="97">
        <f>VLOOKUP(A12,Sales!D:L,8,0)</f>
        <v>46048</v>
      </c>
      <c r="U12" s="98" t="s">
        <v>492</v>
      </c>
      <c r="V12" s="90">
        <f t="shared" si="3"/>
        <v>-18490.81</v>
      </c>
      <c r="W12" s="90">
        <f t="shared" si="4"/>
        <v>-597.1473</v>
      </c>
      <c r="X12" s="90">
        <f t="shared" si="5"/>
        <v>-760.367562</v>
      </c>
      <c r="Y12" s="91">
        <f t="shared" si="6"/>
        <v>12672.7927</v>
      </c>
      <c r="Z12" s="92">
        <v>0</v>
      </c>
      <c r="AA12" s="91">
        <f t="shared" si="7"/>
        <v>12672.7927</v>
      </c>
      <c r="AB12" s="93">
        <f t="shared" si="8"/>
        <v>-19848.324862</v>
      </c>
      <c r="AC12" s="93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</row>
    <row r="13" customHeight="1" spans="1:43">
      <c r="A13" s="95">
        <v>29657902</v>
      </c>
      <c r="B13" s="84" t="str">
        <f>_xlfn.XLOOKUP(A13,Sales!D:D,Sales!I:I)</f>
        <v>Petco</v>
      </c>
      <c r="C13" s="85">
        <f>SUMIFS(Sales!H:H,Sales!D:D,A13)</f>
        <v>21550.63</v>
      </c>
      <c r="D13" s="85">
        <f>SUMIFS(Sales!N:N,Sales!D:D,A13)</f>
        <v>10725.55</v>
      </c>
      <c r="E13" s="86" t="s">
        <v>142</v>
      </c>
      <c r="F13" s="96">
        <v>1600</v>
      </c>
      <c r="G13" s="96">
        <v>2000</v>
      </c>
      <c r="H13" s="87">
        <f>SUMIFS(Sales!R:R,Sales!D:D,A13)</f>
        <v>29.98</v>
      </c>
      <c r="I13" s="96"/>
      <c r="J13" s="96">
        <v>2000</v>
      </c>
      <c r="K13" s="96">
        <v>7300</v>
      </c>
      <c r="L13" s="85">
        <f t="shared" si="0"/>
        <v>969.77835</v>
      </c>
      <c r="M13" s="85">
        <v>0</v>
      </c>
      <c r="N13" s="85">
        <v>0</v>
      </c>
      <c r="O13" s="96">
        <f t="shared" si="1"/>
        <v>1234.851099</v>
      </c>
      <c r="P13" s="85">
        <f t="shared" si="2"/>
        <v>-2279.549449</v>
      </c>
      <c r="Q13" s="85">
        <f t="shared" si="9"/>
        <v>-2279.549449</v>
      </c>
      <c r="R13" s="96" t="s">
        <v>489</v>
      </c>
      <c r="S13" s="97">
        <f>_xlfn.XLOOKUP(A13,Sales!D:D,Sales!K:K)</f>
        <v>46048</v>
      </c>
      <c r="T13" s="97">
        <f>VLOOKUP(A13,Sales!D:L,8,0)</f>
        <v>46048</v>
      </c>
      <c r="U13" s="98" t="s">
        <v>493</v>
      </c>
      <c r="V13" s="90">
        <f t="shared" si="3"/>
        <v>-23655.53</v>
      </c>
      <c r="W13" s="90">
        <f t="shared" si="4"/>
        <v>-969.77835</v>
      </c>
      <c r="X13" s="90">
        <f t="shared" si="5"/>
        <v>-1234.851099</v>
      </c>
      <c r="Y13" s="91">
        <f t="shared" si="6"/>
        <v>20580.85165</v>
      </c>
      <c r="Z13" s="92">
        <v>0</v>
      </c>
      <c r="AA13" s="91">
        <f t="shared" si="7"/>
        <v>20580.85165</v>
      </c>
      <c r="AB13" s="93">
        <f t="shared" si="8"/>
        <v>-25860.159449</v>
      </c>
      <c r="AC13" s="93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</row>
    <row r="14" customHeight="1" spans="1:43">
      <c r="A14" s="95">
        <v>29657899</v>
      </c>
      <c r="B14" s="84" t="str">
        <f>_xlfn.XLOOKUP(A14,Sales!D:D,Sales!I:I)</f>
        <v>Petco</v>
      </c>
      <c r="C14" s="85">
        <f>SUMIFS(Sales!H:H,Sales!D:D,A14)</f>
        <v>10462.34</v>
      </c>
      <c r="D14" s="85">
        <f>SUMIFS(Sales!N:N,Sales!D:D,A14)</f>
        <v>5066.86</v>
      </c>
      <c r="E14" s="86" t="s">
        <v>142</v>
      </c>
      <c r="F14" s="96">
        <v>1600</v>
      </c>
      <c r="G14" s="96">
        <v>2000</v>
      </c>
      <c r="H14" s="87">
        <f>SUMIFS(Sales!R:R,Sales!D:D,A14)</f>
        <v>15.47</v>
      </c>
      <c r="I14" s="96"/>
      <c r="J14" s="96">
        <v>2000</v>
      </c>
      <c r="K14" s="96">
        <v>4394</v>
      </c>
      <c r="L14" s="85">
        <f t="shared" si="0"/>
        <v>470.8053</v>
      </c>
      <c r="M14" s="85">
        <v>0</v>
      </c>
      <c r="N14" s="85">
        <v>0</v>
      </c>
      <c r="O14" s="96">
        <f t="shared" si="1"/>
        <v>599.492082</v>
      </c>
      <c r="P14" s="85">
        <f t="shared" si="2"/>
        <v>-3668.817382</v>
      </c>
      <c r="Q14" s="85">
        <f t="shared" si="9"/>
        <v>-3668.817382</v>
      </c>
      <c r="R14" s="96" t="s">
        <v>489</v>
      </c>
      <c r="S14" s="97">
        <f>_xlfn.XLOOKUP(A14,Sales!D:D,Sales!K:K)</f>
        <v>46048</v>
      </c>
      <c r="T14" s="97">
        <f>VLOOKUP(A14,Sales!D:L,8,0)</f>
        <v>46048</v>
      </c>
      <c r="U14" s="98" t="s">
        <v>494</v>
      </c>
      <c r="V14" s="90">
        <f t="shared" si="3"/>
        <v>-15076.33</v>
      </c>
      <c r="W14" s="90">
        <f t="shared" si="4"/>
        <v>-470.8053</v>
      </c>
      <c r="X14" s="90">
        <f t="shared" si="5"/>
        <v>-599.492082</v>
      </c>
      <c r="Y14" s="91">
        <f t="shared" si="6"/>
        <v>9991.5347</v>
      </c>
      <c r="Z14" s="92">
        <v>0</v>
      </c>
      <c r="AA14" s="91">
        <f t="shared" si="7"/>
        <v>9991.5347</v>
      </c>
      <c r="AB14" s="93">
        <f t="shared" si="8"/>
        <v>-16146.627382</v>
      </c>
      <c r="AC14" s="93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</row>
    <row r="15" customHeight="1" spans="1:43">
      <c r="A15" s="95">
        <v>29657901</v>
      </c>
      <c r="B15" s="84" t="str">
        <f>_xlfn.XLOOKUP(A15,Sales!D:D,Sales!I:I)</f>
        <v>Petco</v>
      </c>
      <c r="C15" s="85">
        <f>SUMIFS(Sales!H:H,Sales!D:D,A15)</f>
        <v>13521.17</v>
      </c>
      <c r="D15" s="85">
        <f>SUMIFS(Sales!N:N,Sales!D:D,A15)</f>
        <v>6727.23</v>
      </c>
      <c r="E15" s="86" t="s">
        <v>142</v>
      </c>
      <c r="F15" s="96">
        <v>1600</v>
      </c>
      <c r="G15" s="96">
        <v>2000</v>
      </c>
      <c r="H15" s="87">
        <f>SUMIFS(Sales!R:R,Sales!D:D,A15)</f>
        <v>18.83</v>
      </c>
      <c r="I15" s="96"/>
      <c r="J15" s="96">
        <v>2000</v>
      </c>
      <c r="K15" s="96">
        <v>2129</v>
      </c>
      <c r="L15" s="85">
        <f t="shared" si="0"/>
        <v>608.45265</v>
      </c>
      <c r="M15" s="85">
        <v>0</v>
      </c>
      <c r="N15" s="85">
        <v>0</v>
      </c>
      <c r="O15" s="96">
        <f t="shared" si="1"/>
        <v>774.763041</v>
      </c>
      <c r="P15" s="85">
        <f t="shared" si="2"/>
        <v>-318.275691</v>
      </c>
      <c r="Q15" s="85">
        <f t="shared" si="9"/>
        <v>-318.275691</v>
      </c>
      <c r="R15" s="96" t="s">
        <v>489</v>
      </c>
      <c r="S15" s="97">
        <f>_xlfn.XLOOKUP(A15,Sales!D:D,Sales!K:K)</f>
        <v>46048</v>
      </c>
      <c r="T15" s="97">
        <f>VLOOKUP(A15,Sales!D:L,8,0)</f>
        <v>46048</v>
      </c>
      <c r="U15" s="98" t="s">
        <v>495</v>
      </c>
      <c r="V15" s="90">
        <f t="shared" si="3"/>
        <v>-14475.06</v>
      </c>
      <c r="W15" s="90">
        <f t="shared" si="4"/>
        <v>-608.45265</v>
      </c>
      <c r="X15" s="90">
        <f t="shared" si="5"/>
        <v>-774.763041</v>
      </c>
      <c r="Y15" s="91">
        <f t="shared" si="6"/>
        <v>12912.71735</v>
      </c>
      <c r="Z15" s="92">
        <v>0</v>
      </c>
      <c r="AA15" s="91">
        <f t="shared" si="7"/>
        <v>12912.71735</v>
      </c>
      <c r="AB15" s="93">
        <f t="shared" si="8"/>
        <v>-15858.275691</v>
      </c>
      <c r="AC15" s="93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</row>
    <row r="16" customHeight="1" spans="1:43">
      <c r="A16" s="95">
        <v>29709590</v>
      </c>
      <c r="B16" s="84" t="str">
        <f>_xlfn.XLOOKUP(A16,Sales!D:D,Sales!I:I)</f>
        <v>Petco</v>
      </c>
      <c r="C16" s="85">
        <f>SUMIFS(Sales!H:H,Sales!D:D,A16)</f>
        <v>2171.28</v>
      </c>
      <c r="D16" s="85">
        <f>SUMIFS(Sales!N:N,Sales!D:D,A16)</f>
        <v>1082.44</v>
      </c>
      <c r="E16" s="86" t="s">
        <v>142</v>
      </c>
      <c r="F16" s="96">
        <v>300</v>
      </c>
      <c r="G16" s="96">
        <v>600</v>
      </c>
      <c r="H16" s="87">
        <f>SUMIFS(Sales!R:R,Sales!D:D,A16)</f>
        <v>1.84</v>
      </c>
      <c r="I16" s="96"/>
      <c r="J16" s="96">
        <v>600</v>
      </c>
      <c r="K16" s="96">
        <v>696.46</v>
      </c>
      <c r="L16" s="85">
        <f t="shared" si="0"/>
        <v>97.7076</v>
      </c>
      <c r="M16" s="85">
        <v>0</v>
      </c>
      <c r="N16" s="85">
        <v>0</v>
      </c>
      <c r="O16" s="96">
        <f t="shared" si="1"/>
        <v>124.414344</v>
      </c>
      <c r="P16" s="85">
        <f t="shared" si="2"/>
        <v>-729.741944</v>
      </c>
      <c r="Q16" s="85">
        <f t="shared" si="9"/>
        <v>-729.741944</v>
      </c>
      <c r="R16" s="96" t="s">
        <v>489</v>
      </c>
      <c r="S16" s="97">
        <f>_xlfn.XLOOKUP(A16,Sales!D:D,Sales!K:K)</f>
        <v>46048</v>
      </c>
      <c r="T16" s="97">
        <f>VLOOKUP(A16,Sales!D:L,8,0)</f>
        <v>46048</v>
      </c>
      <c r="U16" s="98" t="s">
        <v>496</v>
      </c>
      <c r="V16" s="90">
        <f t="shared" si="3"/>
        <v>-3280.74</v>
      </c>
      <c r="W16" s="90">
        <f t="shared" si="4"/>
        <v>-97.7076</v>
      </c>
      <c r="X16" s="90">
        <f t="shared" si="5"/>
        <v>-124.414344</v>
      </c>
      <c r="Y16" s="91">
        <f t="shared" si="6"/>
        <v>2073.5724</v>
      </c>
      <c r="Z16" s="92">
        <v>0</v>
      </c>
      <c r="AA16" s="91">
        <f t="shared" si="7"/>
        <v>2073.5724</v>
      </c>
      <c r="AB16" s="93">
        <f t="shared" si="8"/>
        <v>-3502.861944</v>
      </c>
      <c r="AC16" s="93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</row>
    <row r="17" customHeight="1" spans="1:43">
      <c r="A17" s="95">
        <v>29709589</v>
      </c>
      <c r="B17" s="84" t="str">
        <f>_xlfn.XLOOKUP(A17,Sales!D:D,Sales!I:I)</f>
        <v>Petco</v>
      </c>
      <c r="C17" s="85">
        <f>SUMIFS(Sales!H:H,Sales!D:D,A17)</f>
        <v>3092.64</v>
      </c>
      <c r="D17" s="85">
        <f>SUMIFS(Sales!N:N,Sales!D:D,A17)</f>
        <v>1544.6</v>
      </c>
      <c r="E17" s="86" t="s">
        <v>142</v>
      </c>
      <c r="F17" s="96">
        <v>300</v>
      </c>
      <c r="G17" s="96">
        <v>600</v>
      </c>
      <c r="H17" s="87">
        <f>SUMIFS(Sales!R:R,Sales!D:D,A17)</f>
        <v>2.55</v>
      </c>
      <c r="I17" s="96"/>
      <c r="J17" s="96">
        <v>600</v>
      </c>
      <c r="K17" s="96">
        <v>917.07</v>
      </c>
      <c r="L17" s="85">
        <f t="shared" si="0"/>
        <v>139.1688</v>
      </c>
      <c r="M17" s="85">
        <v>0</v>
      </c>
      <c r="N17" s="85">
        <v>0</v>
      </c>
      <c r="O17" s="96">
        <f t="shared" si="1"/>
        <v>177.208272</v>
      </c>
      <c r="P17" s="85">
        <f t="shared" si="2"/>
        <v>-585.407072</v>
      </c>
      <c r="Q17" s="85">
        <f t="shared" si="9"/>
        <v>-585.407072</v>
      </c>
      <c r="R17" s="96" t="s">
        <v>489</v>
      </c>
      <c r="S17" s="97">
        <f>_xlfn.XLOOKUP(A17,Sales!D:D,Sales!K:K)</f>
        <v>46048</v>
      </c>
      <c r="T17" s="97">
        <f>VLOOKUP(A17,Sales!D:L,8,0)</f>
        <v>46048</v>
      </c>
      <c r="U17" s="98" t="s">
        <v>497</v>
      </c>
      <c r="V17" s="90">
        <f t="shared" si="3"/>
        <v>-3964.22</v>
      </c>
      <c r="W17" s="90">
        <f t="shared" si="4"/>
        <v>-139.1688</v>
      </c>
      <c r="X17" s="90">
        <f t="shared" si="5"/>
        <v>-177.208272</v>
      </c>
      <c r="Y17" s="91">
        <f t="shared" si="6"/>
        <v>2953.4712</v>
      </c>
      <c r="Z17" s="92">
        <v>0</v>
      </c>
      <c r="AA17" s="91">
        <f t="shared" si="7"/>
        <v>2953.4712</v>
      </c>
      <c r="AB17" s="93">
        <f t="shared" si="8"/>
        <v>-4280.597072</v>
      </c>
      <c r="AC17" s="93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</row>
    <row r="18" customHeight="1" spans="1:43">
      <c r="A18" s="95">
        <v>29709591</v>
      </c>
      <c r="B18" s="84" t="str">
        <f>_xlfn.XLOOKUP(A18,Sales!D:D,Sales!I:I)</f>
        <v>Petco</v>
      </c>
      <c r="C18" s="85">
        <f>SUMIFS(Sales!H:H,Sales!D:D,A18)</f>
        <v>2614.64</v>
      </c>
      <c r="D18" s="85">
        <f>SUMIFS(Sales!N:N,Sales!D:D,A18)</f>
        <v>1307.48</v>
      </c>
      <c r="E18" s="86" t="s">
        <v>142</v>
      </c>
      <c r="F18" s="96">
        <v>300</v>
      </c>
      <c r="G18" s="96">
        <v>600</v>
      </c>
      <c r="H18" s="87">
        <f>SUMIFS(Sales!R:R,Sales!D:D,A18)</f>
        <v>2.13</v>
      </c>
      <c r="I18" s="96"/>
      <c r="J18" s="96">
        <v>600</v>
      </c>
      <c r="K18" s="96">
        <v>158</v>
      </c>
      <c r="L18" s="85">
        <f t="shared" si="0"/>
        <v>117.6588</v>
      </c>
      <c r="M18" s="85">
        <v>0</v>
      </c>
      <c r="N18" s="85">
        <v>0</v>
      </c>
      <c r="O18" s="96">
        <f t="shared" si="1"/>
        <v>149.818872</v>
      </c>
      <c r="P18" s="85">
        <f t="shared" si="2"/>
        <v>-18.3176719999995</v>
      </c>
      <c r="Q18" s="85">
        <f t="shared" si="9"/>
        <v>-18.3176719999995</v>
      </c>
      <c r="R18" s="96" t="s">
        <v>489</v>
      </c>
      <c r="S18" s="97">
        <f>_xlfn.XLOOKUP(A18,Sales!D:D,Sales!K:K)</f>
        <v>46048</v>
      </c>
      <c r="T18" s="97">
        <f>VLOOKUP(A18,Sales!D:L,8,0)</f>
        <v>46048</v>
      </c>
      <c r="U18" s="98" t="s">
        <v>498</v>
      </c>
      <c r="V18" s="90">
        <f t="shared" si="3"/>
        <v>-2967.61</v>
      </c>
      <c r="W18" s="90">
        <f t="shared" si="4"/>
        <v>-117.6588</v>
      </c>
      <c r="X18" s="90">
        <f t="shared" si="5"/>
        <v>-149.818872</v>
      </c>
      <c r="Y18" s="91">
        <f t="shared" si="6"/>
        <v>2496.9812</v>
      </c>
      <c r="Z18" s="92">
        <v>0</v>
      </c>
      <c r="AA18" s="91">
        <f t="shared" si="7"/>
        <v>2496.9812</v>
      </c>
      <c r="AB18" s="93">
        <f t="shared" si="8"/>
        <v>-3235.087672</v>
      </c>
      <c r="AC18" s="93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</row>
    <row r="19" customHeight="1" spans="1:43">
      <c r="A19" s="95">
        <v>29709593</v>
      </c>
      <c r="B19" s="84" t="str">
        <f>_xlfn.XLOOKUP(A19,Sales!D:D,Sales!I:I)</f>
        <v>Petco</v>
      </c>
      <c r="C19" s="85">
        <f>SUMIFS(Sales!H:H,Sales!D:D,A19)</f>
        <v>5200.08</v>
      </c>
      <c r="D19" s="85">
        <f>SUMIFS(Sales!N:N,Sales!D:D,A19)</f>
        <v>2599.08</v>
      </c>
      <c r="E19" s="86" t="s">
        <v>142</v>
      </c>
      <c r="F19" s="96">
        <v>300</v>
      </c>
      <c r="G19" s="96">
        <v>600</v>
      </c>
      <c r="H19" s="87">
        <f>SUMIFS(Sales!R:R,Sales!D:D,A19)</f>
        <v>4.3</v>
      </c>
      <c r="I19" s="96"/>
      <c r="J19" s="96">
        <v>600</v>
      </c>
      <c r="K19" s="96">
        <v>1506</v>
      </c>
      <c r="L19" s="85">
        <f t="shared" si="0"/>
        <v>234.0036</v>
      </c>
      <c r="M19" s="85">
        <v>0</v>
      </c>
      <c r="N19" s="85">
        <v>0</v>
      </c>
      <c r="O19" s="96">
        <f t="shared" si="1"/>
        <v>297.964584</v>
      </c>
      <c r="P19" s="85">
        <f t="shared" si="2"/>
        <v>-336.968184</v>
      </c>
      <c r="Q19" s="85">
        <f t="shared" si="9"/>
        <v>-336.968184</v>
      </c>
      <c r="R19" s="96" t="s">
        <v>489</v>
      </c>
      <c r="S19" s="97">
        <f>_xlfn.XLOOKUP(A19,Sales!D:D,Sales!K:K)</f>
        <v>46048</v>
      </c>
      <c r="T19" s="97">
        <f>VLOOKUP(A19,Sales!D:L,8,0)</f>
        <v>46048</v>
      </c>
      <c r="U19" s="98" t="s">
        <v>499</v>
      </c>
      <c r="V19" s="90">
        <f t="shared" si="3"/>
        <v>-5609.38</v>
      </c>
      <c r="W19" s="90">
        <f t="shared" si="4"/>
        <v>-234.0036</v>
      </c>
      <c r="X19" s="90">
        <f t="shared" si="5"/>
        <v>-297.964584</v>
      </c>
      <c r="Y19" s="91">
        <f t="shared" si="6"/>
        <v>4966.0764</v>
      </c>
      <c r="Z19" s="92">
        <v>0</v>
      </c>
      <c r="AA19" s="91">
        <f t="shared" si="7"/>
        <v>4966.0764</v>
      </c>
      <c r="AB19" s="93">
        <f t="shared" si="8"/>
        <v>-6141.348184</v>
      </c>
      <c r="AC19" s="93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</row>
    <row r="20" customHeight="1" spans="1:43">
      <c r="A20" s="95">
        <v>29709592</v>
      </c>
      <c r="B20" s="84" t="str">
        <f>_xlfn.XLOOKUP(A20,Sales!D:D,Sales!I:I)</f>
        <v>Petco</v>
      </c>
      <c r="C20" s="85">
        <f>SUMIFS(Sales!H:H,Sales!D:D,A20)</f>
        <v>3092.64</v>
      </c>
      <c r="D20" s="85">
        <f>SUMIFS(Sales!N:N,Sales!D:D,A20)</f>
        <v>1544.6</v>
      </c>
      <c r="E20" s="86" t="s">
        <v>142</v>
      </c>
      <c r="F20" s="96">
        <v>300</v>
      </c>
      <c r="G20" s="96">
        <v>600</v>
      </c>
      <c r="H20" s="87">
        <f>SUMIFS(Sales!R:R,Sales!D:D,A20)</f>
        <v>2.55</v>
      </c>
      <c r="I20" s="96"/>
      <c r="J20" s="96">
        <v>600</v>
      </c>
      <c r="K20" s="96">
        <v>645</v>
      </c>
      <c r="L20" s="85">
        <f t="shared" si="0"/>
        <v>139.1688</v>
      </c>
      <c r="M20" s="85">
        <v>0</v>
      </c>
      <c r="N20" s="85">
        <v>0</v>
      </c>
      <c r="O20" s="96">
        <f t="shared" si="1"/>
        <v>177.208272</v>
      </c>
      <c r="P20" s="85">
        <f t="shared" si="2"/>
        <v>-313.337072</v>
      </c>
      <c r="Q20" s="85">
        <f t="shared" si="9"/>
        <v>-313.337072</v>
      </c>
      <c r="R20" s="96" t="s">
        <v>489</v>
      </c>
      <c r="S20" s="97">
        <f>_xlfn.XLOOKUP(A20,Sales!D:D,Sales!K:K)</f>
        <v>46048</v>
      </c>
      <c r="T20" s="97">
        <f>VLOOKUP(A20,Sales!D:L,8,0)</f>
        <v>46048</v>
      </c>
      <c r="U20" s="98" t="s">
        <v>500</v>
      </c>
      <c r="V20" s="90">
        <f t="shared" si="3"/>
        <v>-3692.15</v>
      </c>
      <c r="W20" s="90">
        <f t="shared" si="4"/>
        <v>-139.1688</v>
      </c>
      <c r="X20" s="90">
        <f t="shared" si="5"/>
        <v>-177.208272</v>
      </c>
      <c r="Y20" s="91">
        <f t="shared" si="6"/>
        <v>2953.4712</v>
      </c>
      <c r="Z20" s="92">
        <v>0</v>
      </c>
      <c r="AA20" s="91">
        <f t="shared" si="7"/>
        <v>2953.4712</v>
      </c>
      <c r="AB20" s="93">
        <f t="shared" si="8"/>
        <v>-4008.527072</v>
      </c>
      <c r="AC20" s="93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</row>
    <row r="21" customHeight="1" spans="1:43">
      <c r="A21" s="95">
        <v>29709588</v>
      </c>
      <c r="B21" s="84" t="str">
        <f>_xlfn.XLOOKUP(A21,Sales!D:D,Sales!I:I)</f>
        <v>Petco</v>
      </c>
      <c r="C21" s="85">
        <f>SUMIFS(Sales!H:H,Sales!D:D,A21)</f>
        <v>4048.64</v>
      </c>
      <c r="D21" s="85">
        <f>SUMIFS(Sales!N:N,Sales!D:D,A21)</f>
        <v>2018.84</v>
      </c>
      <c r="E21" s="86" t="s">
        <v>142</v>
      </c>
      <c r="F21" s="96">
        <v>300</v>
      </c>
      <c r="G21" s="96">
        <v>600</v>
      </c>
      <c r="H21" s="87">
        <f>SUMIFS(Sales!R:R,Sales!D:D,A21)</f>
        <v>3.39</v>
      </c>
      <c r="I21" s="96"/>
      <c r="J21" s="96">
        <v>600</v>
      </c>
      <c r="K21" s="96">
        <v>937.35</v>
      </c>
      <c r="L21" s="85">
        <f t="shared" si="0"/>
        <v>182.1888</v>
      </c>
      <c r="M21" s="85">
        <v>0</v>
      </c>
      <c r="N21" s="85">
        <v>0</v>
      </c>
      <c r="O21" s="96">
        <f t="shared" si="1"/>
        <v>231.987072</v>
      </c>
      <c r="P21" s="85">
        <f t="shared" si="2"/>
        <v>-221.725872000001</v>
      </c>
      <c r="Q21" s="85">
        <f t="shared" si="9"/>
        <v>-221.725872000001</v>
      </c>
      <c r="R21" s="96" t="s">
        <v>489</v>
      </c>
      <c r="S21" s="97">
        <f>_xlfn.XLOOKUP(A21,Sales!D:D,Sales!K:K)</f>
        <v>46048</v>
      </c>
      <c r="T21" s="97">
        <f>VLOOKUP(A21,Sales!D:L,8,0)</f>
        <v>46048</v>
      </c>
      <c r="U21" s="98" t="s">
        <v>501</v>
      </c>
      <c r="V21" s="90">
        <f t="shared" si="3"/>
        <v>-4459.58</v>
      </c>
      <c r="W21" s="90">
        <f t="shared" si="4"/>
        <v>-182.1888</v>
      </c>
      <c r="X21" s="90">
        <f t="shared" si="5"/>
        <v>-231.987072</v>
      </c>
      <c r="Y21" s="91">
        <f t="shared" si="6"/>
        <v>3866.4512</v>
      </c>
      <c r="Z21" s="92">
        <v>0</v>
      </c>
      <c r="AA21" s="91">
        <f t="shared" si="7"/>
        <v>3866.4512</v>
      </c>
      <c r="AB21" s="93">
        <f t="shared" si="8"/>
        <v>-4873.755872</v>
      </c>
      <c r="AC21" s="93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</row>
    <row r="22" customHeight="1" spans="1:43">
      <c r="A22" s="99">
        <v>30493123</v>
      </c>
      <c r="B22" s="84" t="str">
        <f>_xlfn.XLOOKUP(A22,Sales!D:D,Sales!I:I)</f>
        <v>Petco</v>
      </c>
      <c r="C22" s="85">
        <f>SUMIFS(Sales!H:H,Sales!D:D,A22)</f>
        <v>10648.5</v>
      </c>
      <c r="D22" s="85">
        <f>SUMIFS(Sales!N:N,Sales!D:D,A22)</f>
        <v>5504.68</v>
      </c>
      <c r="E22" s="86" t="s">
        <v>142</v>
      </c>
      <c r="F22" s="85">
        <v>700</v>
      </c>
      <c r="G22" s="87">
        <v>1500</v>
      </c>
      <c r="H22" s="87">
        <f>SUMIFS(Sales!R:R,Sales!D:D,A22)</f>
        <v>13.32</v>
      </c>
      <c r="I22" s="87"/>
      <c r="J22" s="87">
        <v>1500</v>
      </c>
      <c r="K22" s="85">
        <v>3600</v>
      </c>
      <c r="L22" s="85">
        <f t="shared" si="0"/>
        <v>479.1825</v>
      </c>
      <c r="M22" s="85">
        <v>496.46</v>
      </c>
      <c r="N22" s="85">
        <v>0</v>
      </c>
      <c r="O22" s="96">
        <f t="shared" ref="O22:O27" si="10">(C22-L22)*0.04</f>
        <v>406.7727</v>
      </c>
      <c r="P22" s="85">
        <f t="shared" si="2"/>
        <v>-2038.5952</v>
      </c>
      <c r="Q22" s="85">
        <f t="shared" si="9"/>
        <v>-2038.5952</v>
      </c>
      <c r="R22" s="85" t="s">
        <v>489</v>
      </c>
      <c r="S22" s="88">
        <f>_xlfn.XLOOKUP(A22,Sales!D:D,Sales!K:K)</f>
        <v>46115</v>
      </c>
      <c r="T22" s="88">
        <f>VLOOKUP(A22,Sales!D:L,8,0)</f>
        <v>46115</v>
      </c>
      <c r="U22" s="98" t="s">
        <v>502</v>
      </c>
      <c r="V22" s="90">
        <f t="shared" si="3"/>
        <v>-12818</v>
      </c>
      <c r="W22" s="90">
        <f t="shared" si="4"/>
        <v>-975.6425</v>
      </c>
      <c r="X22" s="90">
        <f t="shared" si="5"/>
        <v>-398.254</v>
      </c>
      <c r="Y22" s="91">
        <f t="shared" si="6"/>
        <v>9672.8575</v>
      </c>
      <c r="Z22" s="100">
        <v>9956.35</v>
      </c>
      <c r="AA22" s="91">
        <f t="shared" si="7"/>
        <v>-283.4925</v>
      </c>
      <c r="AB22" s="93">
        <f t="shared" si="8"/>
        <v>-4235.5465</v>
      </c>
      <c r="AC22" s="93"/>
      <c r="AD22" s="101" t="s">
        <v>503</v>
      </c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</row>
    <row r="23" customHeight="1" spans="1:43">
      <c r="A23" s="99">
        <v>30493126</v>
      </c>
      <c r="B23" s="84" t="str">
        <f>_xlfn.XLOOKUP(A23,Sales!D:D,Sales!I:I)</f>
        <v>Petco</v>
      </c>
      <c r="C23" s="85">
        <f>SUMIFS(Sales!H:H,Sales!D:D,A23)</f>
        <v>15118.68</v>
      </c>
      <c r="D23" s="85">
        <f>SUMIFS(Sales!N:N,Sales!D:D,A23)</f>
        <v>7778.22</v>
      </c>
      <c r="E23" s="86" t="s">
        <v>142</v>
      </c>
      <c r="F23" s="85">
        <v>700</v>
      </c>
      <c r="G23" s="87">
        <v>1500</v>
      </c>
      <c r="H23" s="87">
        <f>SUMIFS(Sales!R:R,Sales!D:D,A23)</f>
        <v>19.17</v>
      </c>
      <c r="I23" s="87"/>
      <c r="J23" s="87">
        <v>1500</v>
      </c>
      <c r="K23" s="85">
        <v>1000</v>
      </c>
      <c r="L23" s="85">
        <f t="shared" si="0"/>
        <v>680.3406</v>
      </c>
      <c r="M23" s="85">
        <v>0</v>
      </c>
      <c r="N23" s="85">
        <v>0</v>
      </c>
      <c r="O23" s="96">
        <f t="shared" si="10"/>
        <v>577.533576</v>
      </c>
      <c r="P23" s="85">
        <f t="shared" si="2"/>
        <v>2882.585824</v>
      </c>
      <c r="Q23" s="85">
        <f t="shared" si="9"/>
        <v>2882.585824</v>
      </c>
      <c r="R23" s="85" t="s">
        <v>489</v>
      </c>
      <c r="S23" s="88">
        <f>_xlfn.XLOOKUP(A23,Sales!D:D,Sales!K:K)</f>
        <v>46115</v>
      </c>
      <c r="T23" s="88">
        <f>VLOOKUP(A23,Sales!D:L,8,0)</f>
        <v>46115</v>
      </c>
      <c r="U23" s="98" t="s">
        <v>504</v>
      </c>
      <c r="V23" s="90">
        <f t="shared" si="3"/>
        <v>-12497.39</v>
      </c>
      <c r="W23" s="90">
        <f t="shared" si="4"/>
        <v>-680.3406</v>
      </c>
      <c r="X23" s="90">
        <f t="shared" si="5"/>
        <v>-565.4388</v>
      </c>
      <c r="Y23" s="91">
        <f t="shared" si="6"/>
        <v>14438.3394</v>
      </c>
      <c r="Z23" s="100">
        <v>14135.97</v>
      </c>
      <c r="AA23" s="91">
        <f t="shared" si="7"/>
        <v>302.369400000001</v>
      </c>
      <c r="AB23" s="93">
        <f t="shared" si="8"/>
        <v>392.800599999998</v>
      </c>
      <c r="AC23" s="93"/>
      <c r="AD23" s="101" t="s">
        <v>503</v>
      </c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</row>
    <row r="24" customHeight="1" spans="1:43">
      <c r="A24" s="99">
        <v>30493128</v>
      </c>
      <c r="B24" s="84" t="str">
        <f>_xlfn.XLOOKUP(A24,Sales!D:D,Sales!I:I)</f>
        <v>Petco</v>
      </c>
      <c r="C24" s="85">
        <f>SUMIFS(Sales!H:H,Sales!D:D,A24)</f>
        <v>24796.78</v>
      </c>
      <c r="D24" s="85">
        <f>SUMIFS(Sales!N:N,Sales!D:D,A24)</f>
        <v>12765.4</v>
      </c>
      <c r="E24" s="86" t="s">
        <v>142</v>
      </c>
      <c r="F24" s="85">
        <v>700</v>
      </c>
      <c r="G24" s="87">
        <v>1500</v>
      </c>
      <c r="H24" s="87">
        <f>SUMIFS(Sales!R:R,Sales!D:D,A24)</f>
        <v>31.78</v>
      </c>
      <c r="I24" s="87"/>
      <c r="J24" s="87">
        <v>1500</v>
      </c>
      <c r="K24" s="85">
        <v>7300</v>
      </c>
      <c r="L24" s="85">
        <f t="shared" si="0"/>
        <v>1115.8551</v>
      </c>
      <c r="M24" s="85">
        <v>0</v>
      </c>
      <c r="N24" s="85">
        <v>0</v>
      </c>
      <c r="O24" s="96">
        <f t="shared" si="10"/>
        <v>947.236996</v>
      </c>
      <c r="P24" s="85">
        <f t="shared" si="2"/>
        <v>468.287904000006</v>
      </c>
      <c r="Q24" s="85">
        <f t="shared" si="9"/>
        <v>468.287904000006</v>
      </c>
      <c r="R24" s="85" t="s">
        <v>489</v>
      </c>
      <c r="S24" s="88">
        <f>_xlfn.XLOOKUP(A24,Sales!D:D,Sales!K:K)</f>
        <v>46115</v>
      </c>
      <c r="T24" s="88">
        <f>VLOOKUP(A24,Sales!D:L,8,0)</f>
        <v>46115</v>
      </c>
      <c r="U24" s="98" t="s">
        <v>505</v>
      </c>
      <c r="V24" s="90">
        <f t="shared" si="3"/>
        <v>-23797.18</v>
      </c>
      <c r="W24" s="90">
        <f t="shared" si="4"/>
        <v>-1115.8551</v>
      </c>
      <c r="X24" s="90">
        <f t="shared" si="5"/>
        <v>-927.3992</v>
      </c>
      <c r="Y24" s="91">
        <f t="shared" si="6"/>
        <v>23680.9249</v>
      </c>
      <c r="Z24" s="100">
        <v>23184.98</v>
      </c>
      <c r="AA24" s="91">
        <f t="shared" si="7"/>
        <v>495.944900000006</v>
      </c>
      <c r="AB24" s="93">
        <f t="shared" si="8"/>
        <v>-2655.4543</v>
      </c>
      <c r="AC24" s="93"/>
      <c r="AD24" s="101" t="s">
        <v>503</v>
      </c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</row>
    <row r="25" customHeight="1" spans="1:43">
      <c r="A25" s="99">
        <v>30493127</v>
      </c>
      <c r="B25" s="84" t="str">
        <f>_xlfn.XLOOKUP(A25,Sales!D:D,Sales!I:I)</f>
        <v>Petco</v>
      </c>
      <c r="C25" s="85">
        <f>SUMIFS(Sales!H:H,Sales!D:D,A25)</f>
        <v>14875.23</v>
      </c>
      <c r="D25" s="85">
        <f>SUMIFS(Sales!N:N,Sales!D:D,A25)</f>
        <v>7654.05</v>
      </c>
      <c r="E25" s="86" t="s">
        <v>142</v>
      </c>
      <c r="F25" s="85">
        <v>700</v>
      </c>
      <c r="G25" s="87">
        <v>1500</v>
      </c>
      <c r="H25" s="87">
        <f>SUMIFS(Sales!R:R,Sales!D:D,A25)</f>
        <v>19.08</v>
      </c>
      <c r="I25" s="87"/>
      <c r="J25" s="87">
        <v>1500</v>
      </c>
      <c r="K25" s="85">
        <v>2300</v>
      </c>
      <c r="L25" s="85">
        <f t="shared" si="0"/>
        <v>669.38535</v>
      </c>
      <c r="M25" s="85">
        <v>0</v>
      </c>
      <c r="N25" s="85">
        <v>0</v>
      </c>
      <c r="O25" s="96">
        <f t="shared" si="10"/>
        <v>568.233786</v>
      </c>
      <c r="P25" s="85">
        <f t="shared" si="2"/>
        <v>1483.560864</v>
      </c>
      <c r="Q25" s="85">
        <f t="shared" si="9"/>
        <v>1483.560864</v>
      </c>
      <c r="R25" s="85" t="s">
        <v>489</v>
      </c>
      <c r="S25" s="88">
        <f>_xlfn.XLOOKUP(A25,Sales!D:D,Sales!K:K)</f>
        <v>46115</v>
      </c>
      <c r="T25" s="88">
        <f>VLOOKUP(A25,Sales!D:L,8,0)</f>
        <v>46115</v>
      </c>
      <c r="U25" s="98" t="s">
        <v>506</v>
      </c>
      <c r="V25" s="90">
        <f t="shared" si="3"/>
        <v>-13673.13</v>
      </c>
      <c r="W25" s="90">
        <f t="shared" si="4"/>
        <v>-669.38535</v>
      </c>
      <c r="X25" s="90">
        <f t="shared" si="5"/>
        <v>-531.2612</v>
      </c>
      <c r="Y25" s="91">
        <f t="shared" si="6"/>
        <v>14205.84465</v>
      </c>
      <c r="Z25" s="100">
        <v>13281.53</v>
      </c>
      <c r="AA25" s="91">
        <f t="shared" si="7"/>
        <v>924.314649999998</v>
      </c>
      <c r="AB25" s="93">
        <f t="shared" si="8"/>
        <v>-1592.24655</v>
      </c>
      <c r="AC25" s="93"/>
      <c r="AD25" s="101" t="s">
        <v>503</v>
      </c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</row>
    <row r="26" customHeight="1" spans="1:43">
      <c r="A26" s="99">
        <v>30493122</v>
      </c>
      <c r="B26" s="84" t="str">
        <f>_xlfn.XLOOKUP(A26,Sales!D:D,Sales!I:I)</f>
        <v>Petco</v>
      </c>
      <c r="C26" s="85">
        <f>SUMIFS(Sales!H:H,Sales!D:D,A26)</f>
        <v>20921.17</v>
      </c>
      <c r="D26" s="85">
        <f>SUMIFS(Sales!N:N,Sales!D:D,A26)</f>
        <v>10773.65</v>
      </c>
      <c r="E26" s="86" t="s">
        <v>142</v>
      </c>
      <c r="F26" s="85">
        <v>700</v>
      </c>
      <c r="G26" s="87">
        <v>1500</v>
      </c>
      <c r="H26" s="87">
        <f>SUMIFS(Sales!R:R,Sales!D:D,A26)</f>
        <v>26.69</v>
      </c>
      <c r="I26" s="87"/>
      <c r="J26" s="87">
        <v>1500</v>
      </c>
      <c r="K26" s="85">
        <v>3300</v>
      </c>
      <c r="L26" s="85">
        <f t="shared" si="0"/>
        <v>941.45265</v>
      </c>
      <c r="M26" s="85">
        <v>0</v>
      </c>
      <c r="N26" s="85">
        <v>0</v>
      </c>
      <c r="O26" s="96">
        <f t="shared" si="10"/>
        <v>799.188694</v>
      </c>
      <c r="P26" s="85">
        <f t="shared" si="2"/>
        <v>2906.878656</v>
      </c>
      <c r="Q26" s="85">
        <f t="shared" si="9"/>
        <v>2906.878656</v>
      </c>
      <c r="R26" s="85" t="s">
        <v>489</v>
      </c>
      <c r="S26" s="88">
        <f>_xlfn.XLOOKUP(A26,Sales!D:D,Sales!K:K)</f>
        <v>46115</v>
      </c>
      <c r="T26" s="88">
        <f>VLOOKUP(A26,Sales!D:L,8,0)</f>
        <v>46115</v>
      </c>
      <c r="U26" s="98" t="s">
        <v>507</v>
      </c>
      <c r="V26" s="90">
        <f t="shared" si="3"/>
        <v>-17800.34</v>
      </c>
      <c r="W26" s="90">
        <f t="shared" si="4"/>
        <v>-941.45265</v>
      </c>
      <c r="X26" s="90">
        <f t="shared" si="5"/>
        <v>-782.452</v>
      </c>
      <c r="Y26" s="91">
        <f t="shared" si="6"/>
        <v>19979.71735</v>
      </c>
      <c r="Z26" s="100">
        <v>19561.3</v>
      </c>
      <c r="AA26" s="91">
        <f t="shared" si="7"/>
        <v>418.417350000003</v>
      </c>
      <c r="AB26" s="93">
        <f t="shared" si="8"/>
        <v>37.0553499999954</v>
      </c>
      <c r="AC26" s="93"/>
      <c r="AD26" s="101" t="s">
        <v>503</v>
      </c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</row>
    <row r="27" customHeight="1" spans="1:43">
      <c r="A27" s="99">
        <v>30493124</v>
      </c>
      <c r="B27" s="84" t="str">
        <f>_xlfn.XLOOKUP(A27,Sales!D:D,Sales!I:I)</f>
        <v>Petco</v>
      </c>
      <c r="C27" s="85">
        <f>SUMIFS(Sales!H:H,Sales!D:D,A27)</f>
        <v>10443</v>
      </c>
      <c r="D27" s="85">
        <f>SUMIFS(Sales!N:N,Sales!D:D,A27)</f>
        <v>5389.14</v>
      </c>
      <c r="E27" s="86" t="s">
        <v>142</v>
      </c>
      <c r="F27" s="85">
        <v>700</v>
      </c>
      <c r="G27" s="87">
        <v>1500</v>
      </c>
      <c r="H27" s="87">
        <f>SUMIFS(Sales!R:R,Sales!D:D,A27)</f>
        <v>13.1</v>
      </c>
      <c r="I27" s="87"/>
      <c r="J27" s="87">
        <v>1500</v>
      </c>
      <c r="K27" s="85">
        <v>2900</v>
      </c>
      <c r="L27" s="85">
        <f t="shared" si="0"/>
        <v>469.935</v>
      </c>
      <c r="M27" s="85">
        <v>0</v>
      </c>
      <c r="N27" s="85">
        <v>0</v>
      </c>
      <c r="O27" s="96">
        <f t="shared" si="10"/>
        <v>398.9226</v>
      </c>
      <c r="P27" s="85">
        <f t="shared" si="2"/>
        <v>-914.997599999998</v>
      </c>
      <c r="Q27" s="85">
        <f t="shared" si="9"/>
        <v>-914.997599999998</v>
      </c>
      <c r="R27" s="85" t="s">
        <v>489</v>
      </c>
      <c r="S27" s="88">
        <f>_xlfn.XLOOKUP(A27,Sales!D:D,Sales!K:K)</f>
        <v>46115</v>
      </c>
      <c r="T27" s="88">
        <f>VLOOKUP(A27,Sales!D:L,8,0)</f>
        <v>46115</v>
      </c>
      <c r="U27" s="98" t="s">
        <v>508</v>
      </c>
      <c r="V27" s="90">
        <f t="shared" si="3"/>
        <v>-12002.24</v>
      </c>
      <c r="W27" s="90">
        <f t="shared" si="4"/>
        <v>-469.935</v>
      </c>
      <c r="X27" s="90">
        <f t="shared" si="5"/>
        <v>-390.568</v>
      </c>
      <c r="Y27" s="91">
        <f t="shared" si="6"/>
        <v>9973.065</v>
      </c>
      <c r="Z27" s="100">
        <v>9764.2</v>
      </c>
      <c r="AA27" s="91">
        <f t="shared" si="7"/>
        <v>208.865000000002</v>
      </c>
      <c r="AB27" s="93">
        <f t="shared" si="8"/>
        <v>-3098.543</v>
      </c>
      <c r="AC27" s="93"/>
      <c r="AD27" s="101" t="s">
        <v>503</v>
      </c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</row>
    <row r="28" customHeight="1" spans="1:43">
      <c r="A28" s="102" t="s">
        <v>509</v>
      </c>
      <c r="B28" s="84" t="s">
        <v>325</v>
      </c>
      <c r="C28" s="85">
        <f>SUMIFS(Sales!H:H,Sales!D:D,A28)</f>
        <v>0</v>
      </c>
      <c r="D28" s="85">
        <f>SUMIFS(Sales!N:N,Sales!D:D,A28)</f>
        <v>0</v>
      </c>
      <c r="E28" s="86" t="s">
        <v>142</v>
      </c>
      <c r="F28" s="85">
        <v>1100</v>
      </c>
      <c r="G28" s="87">
        <v>0</v>
      </c>
      <c r="H28" s="87">
        <f>SUMIFS(Sales!R:R,Sales!D:D,A28)</f>
        <v>0</v>
      </c>
      <c r="I28" s="87"/>
      <c r="J28" s="87">
        <v>0</v>
      </c>
      <c r="K28" s="85">
        <v>805.49</v>
      </c>
      <c r="L28" s="85">
        <f t="shared" ref="L28:L33" si="11">0.045*C28</f>
        <v>0</v>
      </c>
      <c r="M28" s="85">
        <v>450</v>
      </c>
      <c r="N28" s="85">
        <v>0</v>
      </c>
      <c r="O28" s="85">
        <f t="shared" ref="O28:O33" si="12">(C28-L28)*0.06</f>
        <v>0</v>
      </c>
      <c r="P28" s="85">
        <f t="shared" si="2"/>
        <v>-2355.49</v>
      </c>
      <c r="Q28" s="85">
        <f t="shared" si="9"/>
        <v>-2355.49</v>
      </c>
      <c r="R28" s="85" t="s">
        <v>489</v>
      </c>
      <c r="S28" s="88" t="s">
        <v>489</v>
      </c>
      <c r="T28" s="88" t="s">
        <v>489</v>
      </c>
      <c r="U28" s="98" t="s">
        <v>509</v>
      </c>
      <c r="V28" s="90">
        <f t="shared" si="3"/>
        <v>-1905.49</v>
      </c>
      <c r="W28" s="90">
        <f t="shared" si="4"/>
        <v>-450</v>
      </c>
      <c r="X28" s="90" t="e">
        <f t="shared" si="5"/>
        <v>#DIV/0!</v>
      </c>
      <c r="Y28" s="91">
        <f t="shared" si="6"/>
        <v>-450</v>
      </c>
      <c r="Z28" s="92">
        <v>0</v>
      </c>
      <c r="AA28" s="91">
        <f t="shared" si="7"/>
        <v>-450</v>
      </c>
      <c r="AB28" s="93" t="e">
        <f t="shared" si="8"/>
        <v>#DIV/0!</v>
      </c>
      <c r="AC28" s="93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</row>
    <row r="29" customHeight="1" spans="1:43">
      <c r="A29" s="102" t="s">
        <v>510</v>
      </c>
      <c r="B29" s="84" t="s">
        <v>325</v>
      </c>
      <c r="C29" s="85">
        <f>SUMIFS(Sales!H:H,Sales!D:D,A29)</f>
        <v>0</v>
      </c>
      <c r="D29" s="85">
        <f>SUMIFS(Sales!N:N,Sales!D:D,A29)</f>
        <v>0</v>
      </c>
      <c r="E29" s="86" t="s">
        <v>142</v>
      </c>
      <c r="F29" s="85">
        <v>400</v>
      </c>
      <c r="G29" s="87">
        <v>0</v>
      </c>
      <c r="H29" s="87">
        <f>SUMIFS(Sales!R:R,Sales!D:D,A29)</f>
        <v>0</v>
      </c>
      <c r="I29" s="87"/>
      <c r="J29" s="87">
        <v>0</v>
      </c>
      <c r="K29" s="85">
        <v>965.48</v>
      </c>
      <c r="L29" s="85">
        <f t="shared" si="11"/>
        <v>0</v>
      </c>
      <c r="M29" s="85">
        <v>0</v>
      </c>
      <c r="N29" s="85">
        <v>0</v>
      </c>
      <c r="O29" s="85">
        <f t="shared" si="12"/>
        <v>0</v>
      </c>
      <c r="P29" s="85">
        <f t="shared" si="2"/>
        <v>-1365.48</v>
      </c>
      <c r="Q29" s="85">
        <f t="shared" si="9"/>
        <v>-1365.48</v>
      </c>
      <c r="R29" s="85" t="s">
        <v>489</v>
      </c>
      <c r="S29" s="88" t="s">
        <v>489</v>
      </c>
      <c r="T29" s="88" t="s">
        <v>489</v>
      </c>
      <c r="U29" s="98" t="s">
        <v>510</v>
      </c>
      <c r="V29" s="90">
        <f t="shared" si="3"/>
        <v>-1365.48</v>
      </c>
      <c r="W29" s="90">
        <f t="shared" si="4"/>
        <v>0</v>
      </c>
      <c r="X29" s="90" t="e">
        <f t="shared" si="5"/>
        <v>#DIV/0!</v>
      </c>
      <c r="Y29" s="91">
        <f t="shared" si="6"/>
        <v>0</v>
      </c>
      <c r="Z29" s="92">
        <v>0</v>
      </c>
      <c r="AA29" s="91">
        <f t="shared" si="7"/>
        <v>0</v>
      </c>
      <c r="AB29" s="93" t="e">
        <f t="shared" si="8"/>
        <v>#DIV/0!</v>
      </c>
      <c r="AC29" s="93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</row>
    <row r="30" customHeight="1" spans="1:43">
      <c r="A30" s="102" t="s">
        <v>511</v>
      </c>
      <c r="B30" s="84" t="s">
        <v>325</v>
      </c>
      <c r="C30" s="85">
        <f>SUMIFS(Sales!H:H,Sales!D:D,A30)</f>
        <v>0</v>
      </c>
      <c r="D30" s="85">
        <f>SUMIFS(Sales!N:N,Sales!D:D,A30)</f>
        <v>0</v>
      </c>
      <c r="E30" s="86" t="s">
        <v>142</v>
      </c>
      <c r="F30" s="85">
        <v>400</v>
      </c>
      <c r="G30" s="87">
        <v>0</v>
      </c>
      <c r="H30" s="87">
        <f>SUMIFS(Sales!R:R,Sales!D:D,A30)</f>
        <v>0</v>
      </c>
      <c r="I30" s="87"/>
      <c r="J30" s="87">
        <v>0</v>
      </c>
      <c r="K30" s="85">
        <v>456.01</v>
      </c>
      <c r="L30" s="85">
        <f t="shared" si="11"/>
        <v>0</v>
      </c>
      <c r="M30" s="85">
        <v>0</v>
      </c>
      <c r="N30" s="85">
        <v>0</v>
      </c>
      <c r="O30" s="85">
        <f t="shared" si="12"/>
        <v>0</v>
      </c>
      <c r="P30" s="85">
        <f t="shared" si="2"/>
        <v>-856.01</v>
      </c>
      <c r="Q30" s="85">
        <f t="shared" si="9"/>
        <v>-856.01</v>
      </c>
      <c r="R30" s="85" t="s">
        <v>489</v>
      </c>
      <c r="S30" s="88" t="s">
        <v>489</v>
      </c>
      <c r="T30" s="88" t="s">
        <v>489</v>
      </c>
      <c r="U30" s="98" t="s">
        <v>511</v>
      </c>
      <c r="V30" s="90">
        <f t="shared" si="3"/>
        <v>-856.01</v>
      </c>
      <c r="W30" s="90">
        <f t="shared" si="4"/>
        <v>0</v>
      </c>
      <c r="X30" s="90" t="e">
        <f t="shared" si="5"/>
        <v>#DIV/0!</v>
      </c>
      <c r="Y30" s="91">
        <f t="shared" si="6"/>
        <v>0</v>
      </c>
      <c r="Z30" s="92">
        <v>0</v>
      </c>
      <c r="AA30" s="91">
        <f t="shared" si="7"/>
        <v>0</v>
      </c>
      <c r="AB30" s="93" t="e">
        <f t="shared" si="8"/>
        <v>#DIV/0!</v>
      </c>
      <c r="AC30" s="93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</row>
    <row r="31" customHeight="1" spans="1:43">
      <c r="A31" s="102" t="s">
        <v>512</v>
      </c>
      <c r="B31" s="84" t="s">
        <v>325</v>
      </c>
      <c r="C31" s="85">
        <f>SUMIFS(Sales!H:H,Sales!D:D,A31)</f>
        <v>0</v>
      </c>
      <c r="D31" s="85">
        <f>SUMIFS(Sales!N:N,Sales!D:D,A31)</f>
        <v>0</v>
      </c>
      <c r="E31" s="86" t="s">
        <v>142</v>
      </c>
      <c r="F31" s="85">
        <v>700</v>
      </c>
      <c r="G31" s="87">
        <v>0</v>
      </c>
      <c r="H31" s="87">
        <f>SUMIFS(Sales!R:R,Sales!D:D,A31)</f>
        <v>0</v>
      </c>
      <c r="I31" s="87"/>
      <c r="J31" s="87">
        <v>0</v>
      </c>
      <c r="K31" s="85">
        <v>56.82</v>
      </c>
      <c r="L31" s="85">
        <f t="shared" si="11"/>
        <v>0</v>
      </c>
      <c r="M31" s="85">
        <v>0</v>
      </c>
      <c r="N31" s="85">
        <v>0</v>
      </c>
      <c r="O31" s="85">
        <f t="shared" si="12"/>
        <v>0</v>
      </c>
      <c r="P31" s="85">
        <f t="shared" si="2"/>
        <v>-756.82</v>
      </c>
      <c r="Q31" s="85">
        <f t="shared" si="9"/>
        <v>-756.82</v>
      </c>
      <c r="R31" s="85" t="s">
        <v>489</v>
      </c>
      <c r="S31" s="88" t="s">
        <v>489</v>
      </c>
      <c r="T31" s="88" t="s">
        <v>489</v>
      </c>
      <c r="U31" s="98" t="s">
        <v>512</v>
      </c>
      <c r="V31" s="90">
        <f t="shared" si="3"/>
        <v>-756.82</v>
      </c>
      <c r="W31" s="90">
        <f t="shared" si="4"/>
        <v>0</v>
      </c>
      <c r="X31" s="90" t="e">
        <f t="shared" si="5"/>
        <v>#DIV/0!</v>
      </c>
      <c r="Y31" s="91">
        <f t="shared" si="6"/>
        <v>0</v>
      </c>
      <c r="Z31" s="92">
        <v>0</v>
      </c>
      <c r="AA31" s="91">
        <f t="shared" si="7"/>
        <v>0</v>
      </c>
      <c r="AB31" s="93" t="e">
        <f t="shared" si="8"/>
        <v>#DIV/0!</v>
      </c>
      <c r="AC31" s="93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</row>
    <row r="32" customHeight="1" spans="1:43">
      <c r="A32" s="102" t="s">
        <v>513</v>
      </c>
      <c r="B32" s="84" t="s">
        <v>325</v>
      </c>
      <c r="C32" s="85">
        <f>SUMIFS(Sales!H:H,Sales!D:D,A32)</f>
        <v>0</v>
      </c>
      <c r="D32" s="85">
        <f>SUMIFS(Sales!N:N,Sales!D:D,A32)</f>
        <v>0</v>
      </c>
      <c r="E32" s="86" t="s">
        <v>142</v>
      </c>
      <c r="F32" s="85">
        <v>1100</v>
      </c>
      <c r="G32" s="87">
        <v>0</v>
      </c>
      <c r="H32" s="87">
        <f>SUMIFS(Sales!R:R,Sales!D:D,A32)</f>
        <v>0</v>
      </c>
      <c r="I32" s="87"/>
      <c r="J32" s="87">
        <v>0</v>
      </c>
      <c r="K32" s="85">
        <v>1572.83</v>
      </c>
      <c r="L32" s="85">
        <f t="shared" si="11"/>
        <v>0</v>
      </c>
      <c r="M32" s="85">
        <v>0</v>
      </c>
      <c r="N32" s="85">
        <v>0</v>
      </c>
      <c r="O32" s="85">
        <f t="shared" si="12"/>
        <v>0</v>
      </c>
      <c r="P32" s="85">
        <f t="shared" si="2"/>
        <v>-2672.83</v>
      </c>
      <c r="Q32" s="85">
        <f t="shared" si="9"/>
        <v>-2672.83</v>
      </c>
      <c r="R32" s="85" t="s">
        <v>489</v>
      </c>
      <c r="S32" s="88" t="s">
        <v>489</v>
      </c>
      <c r="T32" s="88" t="s">
        <v>489</v>
      </c>
      <c r="U32" s="98" t="s">
        <v>513</v>
      </c>
      <c r="V32" s="90">
        <f t="shared" si="3"/>
        <v>-2672.83</v>
      </c>
      <c r="W32" s="90">
        <f t="shared" si="4"/>
        <v>0</v>
      </c>
      <c r="X32" s="90" t="e">
        <f t="shared" si="5"/>
        <v>#DIV/0!</v>
      </c>
      <c r="Y32" s="91">
        <f t="shared" si="6"/>
        <v>0</v>
      </c>
      <c r="Z32" s="92">
        <v>0</v>
      </c>
      <c r="AA32" s="91">
        <f t="shared" si="7"/>
        <v>0</v>
      </c>
      <c r="AB32" s="93" t="e">
        <f t="shared" si="8"/>
        <v>#DIV/0!</v>
      </c>
      <c r="AC32" s="93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</row>
    <row r="33" customHeight="1" spans="1:43">
      <c r="A33" s="102" t="s">
        <v>514</v>
      </c>
      <c r="B33" s="84" t="s">
        <v>325</v>
      </c>
      <c r="C33" s="85">
        <f>SUMIFS(Sales!H:H,Sales!D:D,A33)</f>
        <v>0</v>
      </c>
      <c r="D33" s="85">
        <f>SUMIFS(Sales!N:N,Sales!D:D,A33)</f>
        <v>0</v>
      </c>
      <c r="E33" s="86" t="s">
        <v>142</v>
      </c>
      <c r="F33" s="85">
        <v>700</v>
      </c>
      <c r="G33" s="87">
        <v>0</v>
      </c>
      <c r="H33" s="87">
        <f>SUMIFS(Sales!R:R,Sales!D:D,A33)</f>
        <v>0</v>
      </c>
      <c r="I33" s="87"/>
      <c r="J33" s="87">
        <v>0</v>
      </c>
      <c r="K33" s="85">
        <v>1132.65</v>
      </c>
      <c r="L33" s="85">
        <f t="shared" si="11"/>
        <v>0</v>
      </c>
      <c r="M33" s="85">
        <v>0</v>
      </c>
      <c r="N33" s="85">
        <v>0</v>
      </c>
      <c r="O33" s="85">
        <f t="shared" si="12"/>
        <v>0</v>
      </c>
      <c r="P33" s="85">
        <f t="shared" si="2"/>
        <v>-1832.65</v>
      </c>
      <c r="Q33" s="85">
        <f t="shared" si="9"/>
        <v>-1832.65</v>
      </c>
      <c r="R33" s="85" t="s">
        <v>489</v>
      </c>
      <c r="S33" s="88" t="s">
        <v>489</v>
      </c>
      <c r="T33" s="88" t="s">
        <v>489</v>
      </c>
      <c r="U33" s="98" t="s">
        <v>514</v>
      </c>
      <c r="V33" s="90">
        <f t="shared" si="3"/>
        <v>-1832.65</v>
      </c>
      <c r="W33" s="90">
        <f t="shared" si="4"/>
        <v>0</v>
      </c>
      <c r="X33" s="90" t="e">
        <f t="shared" si="5"/>
        <v>#DIV/0!</v>
      </c>
      <c r="Y33" s="91">
        <f t="shared" si="6"/>
        <v>0</v>
      </c>
      <c r="Z33" s="92">
        <v>0</v>
      </c>
      <c r="AA33" s="91">
        <f t="shared" si="7"/>
        <v>0</v>
      </c>
      <c r="AB33" s="93" t="e">
        <f t="shared" si="8"/>
        <v>#DIV/0!</v>
      </c>
      <c r="AC33" s="93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</row>
    <row r="34" customHeight="1" spans="1:43">
      <c r="A34" s="103" t="s">
        <v>515</v>
      </c>
      <c r="B34" s="104" t="s">
        <v>516</v>
      </c>
      <c r="C34" s="85">
        <f>SUMIFS(Sales!H:H,Sales!D:D,A34)</f>
        <v>0</v>
      </c>
      <c r="D34" s="85">
        <f>SUMIFS(Sales!N:N,Sales!D:D,A34)</f>
        <v>0</v>
      </c>
      <c r="E34" s="86" t="s">
        <v>142</v>
      </c>
      <c r="F34" s="85">
        <v>0</v>
      </c>
      <c r="G34" s="87">
        <v>0</v>
      </c>
      <c r="H34" s="87">
        <f>SUMIFS(Sales!R:R,Sales!D:D,A34)</f>
        <v>0</v>
      </c>
      <c r="I34" s="87"/>
      <c r="J34" s="87">
        <v>0</v>
      </c>
      <c r="K34" s="85">
        <v>0</v>
      </c>
      <c r="L34" s="85">
        <v>0</v>
      </c>
      <c r="M34" s="85">
        <v>47.49</v>
      </c>
      <c r="N34" s="85">
        <v>11600</v>
      </c>
      <c r="O34" s="85">
        <f t="shared" ref="O34:O40" si="13">C34*0.04</f>
        <v>0</v>
      </c>
      <c r="P34" s="85">
        <f t="shared" si="2"/>
        <v>-11647.49</v>
      </c>
      <c r="Q34" s="85">
        <f t="shared" si="9"/>
        <v>-11647.49</v>
      </c>
      <c r="R34" s="85" t="s">
        <v>489</v>
      </c>
      <c r="S34" s="88">
        <v>46127</v>
      </c>
      <c r="T34" s="88">
        <v>46127</v>
      </c>
      <c r="U34" s="105" t="str">
        <f>IFERROR(VLOOKUP(A34,'[1]#REF'!A:B,2,0),"")</f>
        <v/>
      </c>
      <c r="V34" s="90">
        <f t="shared" si="3"/>
        <v>0</v>
      </c>
      <c r="W34" s="90">
        <f t="shared" si="4"/>
        <v>-11647.49</v>
      </c>
      <c r="X34" s="90" t="e">
        <f t="shared" si="5"/>
        <v>#DIV/0!</v>
      </c>
      <c r="Y34" s="91">
        <f t="shared" si="6"/>
        <v>-11647.49</v>
      </c>
      <c r="Z34" s="100">
        <v>89207.25</v>
      </c>
      <c r="AA34" s="91">
        <f t="shared" si="7"/>
        <v>-100854.74</v>
      </c>
      <c r="AB34" s="93" t="e">
        <f t="shared" si="8"/>
        <v>#DIV/0!</v>
      </c>
      <c r="AC34" s="93"/>
      <c r="AD34" s="101" t="s">
        <v>503</v>
      </c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</row>
    <row r="35" customHeight="1" spans="1:43">
      <c r="A35" s="102">
        <v>30440517</v>
      </c>
      <c r="B35" s="84" t="str">
        <f>_xlfn.XLOOKUP(A35,Sales!D:D,Sales!I:I)</f>
        <v>Petco</v>
      </c>
      <c r="C35" s="85">
        <f>SUMIFS(Sales!H:H,Sales!D:D,A35)</f>
        <v>1567.04</v>
      </c>
      <c r="D35" s="85">
        <f>SUMIFS(Sales!N:N,Sales!D:D,A35)</f>
        <v>923.84</v>
      </c>
      <c r="E35" s="86" t="s">
        <v>142</v>
      </c>
      <c r="F35" s="85">
        <v>50</v>
      </c>
      <c r="G35" s="85">
        <v>50</v>
      </c>
      <c r="H35" s="87">
        <f>SUMIFS(Sales!R:R,Sales!D:D,A35)</f>
        <v>1.02</v>
      </c>
      <c r="I35" s="85"/>
      <c r="J35" s="85">
        <v>50</v>
      </c>
      <c r="K35" s="87">
        <v>350</v>
      </c>
      <c r="L35" s="85">
        <f t="shared" ref="L35:L98" si="14">IF(B35="Petco",C35*0.045,IF(B35="Petsmart",C35*0.02,C35*0.05))</f>
        <v>70.5168</v>
      </c>
      <c r="M35" s="85">
        <v>188.56</v>
      </c>
      <c r="N35" s="85">
        <v>0</v>
      </c>
      <c r="O35" s="85">
        <f t="shared" si="13"/>
        <v>62.6816</v>
      </c>
      <c r="P35" s="85">
        <f t="shared" si="2"/>
        <v>-128.5584</v>
      </c>
      <c r="Q35" s="85">
        <f t="shared" si="9"/>
        <v>-128.5584</v>
      </c>
      <c r="R35" s="85" t="s">
        <v>489</v>
      </c>
      <c r="S35" s="88">
        <f>_xlfn.XLOOKUP(A35,Sales!D:D,Sales!K:K)</f>
        <v>46122</v>
      </c>
      <c r="T35" s="88">
        <v>46127</v>
      </c>
      <c r="U35" s="98" t="s">
        <v>517</v>
      </c>
      <c r="V35" s="90">
        <f t="shared" si="3"/>
        <v>-1424.86</v>
      </c>
      <c r="W35" s="90">
        <f t="shared" si="4"/>
        <v>-259.0768</v>
      </c>
      <c r="X35" s="90">
        <f t="shared" si="5"/>
        <v>2.42303664921466</v>
      </c>
      <c r="Y35" s="91">
        <f t="shared" si="6"/>
        <v>1307.9632</v>
      </c>
      <c r="Z35" s="92">
        <v>-57.85</v>
      </c>
      <c r="AA35" s="91">
        <f t="shared" si="7"/>
        <v>1365.8132</v>
      </c>
      <c r="AB35" s="93">
        <f t="shared" si="8"/>
        <v>-1739.36376335079</v>
      </c>
      <c r="AC35" s="93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</row>
    <row r="36" customHeight="1" spans="1:43">
      <c r="A36" s="102">
        <v>30440521</v>
      </c>
      <c r="B36" s="84" t="str">
        <f>_xlfn.XLOOKUP(A36,Sales!D:D,Sales!I:I)</f>
        <v>Petco</v>
      </c>
      <c r="C36" s="85">
        <f>SUMIFS(Sales!H:H,Sales!D:D,A36)</f>
        <v>1138.56</v>
      </c>
      <c r="D36" s="85">
        <f>SUMIFS(Sales!N:N,Sales!D:D,A36)</f>
        <v>672</v>
      </c>
      <c r="E36" s="86" t="s">
        <v>142</v>
      </c>
      <c r="F36" s="85">
        <v>50</v>
      </c>
      <c r="G36" s="85">
        <v>50</v>
      </c>
      <c r="H36" s="87">
        <f>SUMIFS(Sales!R:R,Sales!D:D,A36)</f>
        <v>0.73</v>
      </c>
      <c r="I36" s="85"/>
      <c r="J36" s="85">
        <v>50</v>
      </c>
      <c r="K36" s="87">
        <v>300</v>
      </c>
      <c r="L36" s="85">
        <f t="shared" si="14"/>
        <v>51.2352</v>
      </c>
      <c r="M36" s="85">
        <v>184.16</v>
      </c>
      <c r="N36" s="85">
        <v>0</v>
      </c>
      <c r="O36" s="85">
        <f t="shared" si="13"/>
        <v>45.5424</v>
      </c>
      <c r="P36" s="85">
        <f t="shared" si="2"/>
        <v>-214.3776</v>
      </c>
      <c r="Q36" s="85">
        <f t="shared" si="9"/>
        <v>-214.3776</v>
      </c>
      <c r="R36" s="85" t="s">
        <v>489</v>
      </c>
      <c r="S36" s="88">
        <f>_xlfn.XLOOKUP(A36,Sales!D:D,Sales!K:K)</f>
        <v>46122</v>
      </c>
      <c r="T36" s="88">
        <v>46127</v>
      </c>
      <c r="U36" s="98" t="s">
        <v>518</v>
      </c>
      <c r="V36" s="90">
        <f t="shared" si="3"/>
        <v>-1122.73</v>
      </c>
      <c r="W36" s="90">
        <f t="shared" si="4"/>
        <v>-235.3952</v>
      </c>
      <c r="X36" s="90">
        <f t="shared" si="5"/>
        <v>2.14575916230366</v>
      </c>
      <c r="Y36" s="91">
        <f t="shared" si="6"/>
        <v>903.1648</v>
      </c>
      <c r="Z36" s="92">
        <v>-51.23</v>
      </c>
      <c r="AA36" s="91">
        <f t="shared" si="7"/>
        <v>954.3948</v>
      </c>
      <c r="AB36" s="93">
        <f t="shared" si="8"/>
        <v>-1407.2094408377</v>
      </c>
      <c r="AC36" s="93"/>
      <c r="AD36" s="71" t="str">
        <f>_xlfn.DISPIMG("ID_FAF156DFA4E44300A0BE3E3A244B6DA9",1)</f>
        <v>=DISPIMG("ID_FAF156DFA4E44300A0BE3E3A244B6DA9",1)</v>
      </c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</row>
    <row r="37" customHeight="1" spans="1:43">
      <c r="A37" s="102">
        <v>30440518</v>
      </c>
      <c r="B37" s="84" t="str">
        <f>_xlfn.XLOOKUP(A37,Sales!D:D,Sales!I:I)</f>
        <v>Petco</v>
      </c>
      <c r="C37" s="85">
        <f>SUMIFS(Sales!H:H,Sales!D:D,A37)</f>
        <v>1212</v>
      </c>
      <c r="D37" s="85">
        <f>SUMIFS(Sales!N:N,Sales!D:D,A37)</f>
        <v>713.76</v>
      </c>
      <c r="E37" s="86" t="s">
        <v>142</v>
      </c>
      <c r="F37" s="85">
        <v>50</v>
      </c>
      <c r="G37" s="85">
        <v>50</v>
      </c>
      <c r="H37" s="87">
        <f>SUMIFS(Sales!R:R,Sales!D:D,A37)</f>
        <v>0.81</v>
      </c>
      <c r="I37" s="85"/>
      <c r="J37" s="85">
        <v>50</v>
      </c>
      <c r="K37" s="87">
        <v>350</v>
      </c>
      <c r="L37" s="85">
        <f t="shared" si="14"/>
        <v>54.54</v>
      </c>
      <c r="M37" s="85">
        <v>186.36</v>
      </c>
      <c r="N37" s="85">
        <v>0</v>
      </c>
      <c r="O37" s="85">
        <f t="shared" si="13"/>
        <v>48.48</v>
      </c>
      <c r="P37" s="85">
        <f t="shared" si="2"/>
        <v>-241.14</v>
      </c>
      <c r="Q37" s="85">
        <f t="shared" si="9"/>
        <v>-241.14</v>
      </c>
      <c r="R37" s="85" t="s">
        <v>489</v>
      </c>
      <c r="S37" s="88">
        <f>_xlfn.XLOOKUP(A37,Sales!D:D,Sales!K:K)</f>
        <v>46122</v>
      </c>
      <c r="T37" s="88">
        <v>46127</v>
      </c>
      <c r="U37" s="98" t="s">
        <v>519</v>
      </c>
      <c r="V37" s="90">
        <f t="shared" si="3"/>
        <v>-1214.57</v>
      </c>
      <c r="W37" s="90">
        <f t="shared" si="4"/>
        <v>-240.9</v>
      </c>
      <c r="X37" s="90">
        <f t="shared" si="5"/>
        <v>-47.4647120418848</v>
      </c>
      <c r="Y37" s="91">
        <f t="shared" si="6"/>
        <v>971.1</v>
      </c>
      <c r="Z37" s="100">
        <v>1133.22</v>
      </c>
      <c r="AA37" s="91">
        <f t="shared" si="7"/>
        <v>-162.12</v>
      </c>
      <c r="AB37" s="93">
        <f t="shared" si="8"/>
        <v>-369.714712041885</v>
      </c>
      <c r="AC37" s="93"/>
      <c r="AE37" s="94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</row>
    <row r="38" customHeight="1" spans="1:43">
      <c r="A38" s="102">
        <v>30440519</v>
      </c>
      <c r="B38" s="84" t="str">
        <f>_xlfn.XLOOKUP(A38,Sales!D:D,Sales!I:I)</f>
        <v>Petco</v>
      </c>
      <c r="C38" s="85">
        <f>SUMIFS(Sales!H:H,Sales!D:D,A38)</f>
        <v>1995.52</v>
      </c>
      <c r="D38" s="85">
        <f>SUMIFS(Sales!N:N,Sales!D:D,A38)</f>
        <v>1175.68</v>
      </c>
      <c r="E38" s="86" t="s">
        <v>142</v>
      </c>
      <c r="F38" s="85">
        <v>50</v>
      </c>
      <c r="G38" s="85">
        <v>50</v>
      </c>
      <c r="H38" s="87">
        <f>SUMIFS(Sales!R:R,Sales!D:D,A38)</f>
        <v>1.33</v>
      </c>
      <c r="I38" s="85"/>
      <c r="J38" s="85">
        <v>50</v>
      </c>
      <c r="K38" s="87">
        <v>300</v>
      </c>
      <c r="L38" s="85">
        <f t="shared" si="14"/>
        <v>89.7984</v>
      </c>
      <c r="M38" s="85">
        <v>0</v>
      </c>
      <c r="N38" s="85">
        <v>0</v>
      </c>
      <c r="O38" s="85">
        <f t="shared" si="13"/>
        <v>79.8208</v>
      </c>
      <c r="P38" s="85">
        <f t="shared" si="2"/>
        <v>250.2208</v>
      </c>
      <c r="Q38" s="85">
        <f t="shared" si="9"/>
        <v>250.2208</v>
      </c>
      <c r="R38" s="85" t="s">
        <v>489</v>
      </c>
      <c r="S38" s="88">
        <f>_xlfn.XLOOKUP(A38,Sales!D:D,Sales!K:K)</f>
        <v>46122</v>
      </c>
      <c r="T38" s="88">
        <v>46127</v>
      </c>
      <c r="U38" s="98" t="s">
        <v>520</v>
      </c>
      <c r="V38" s="90">
        <f t="shared" si="3"/>
        <v>-1627.01</v>
      </c>
      <c r="W38" s="90">
        <f t="shared" si="4"/>
        <v>-89.7984</v>
      </c>
      <c r="X38" s="90">
        <f t="shared" si="5"/>
        <v>-78.149109947644</v>
      </c>
      <c r="Y38" s="91">
        <f t="shared" si="6"/>
        <v>1905.7216</v>
      </c>
      <c r="Z38" s="100">
        <v>1865.81</v>
      </c>
      <c r="AA38" s="91">
        <f t="shared" si="7"/>
        <v>39.9116000000001</v>
      </c>
      <c r="AB38" s="93">
        <f t="shared" si="8"/>
        <v>70.852490052356</v>
      </c>
      <c r="AC38" s="93"/>
      <c r="AD38" s="101" t="s">
        <v>503</v>
      </c>
      <c r="AE38" s="94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</row>
    <row r="39" customHeight="1" spans="1:43">
      <c r="A39" s="102">
        <v>30440520</v>
      </c>
      <c r="B39" s="84" t="str">
        <f>_xlfn.XLOOKUP(A39,Sales!D:D,Sales!I:I)</f>
        <v>Petco</v>
      </c>
      <c r="C39" s="85">
        <f>SUMIFS(Sales!H:H,Sales!D:D,A39)</f>
        <v>1138.56</v>
      </c>
      <c r="D39" s="85">
        <f>SUMIFS(Sales!N:N,Sales!D:D,A39)</f>
        <v>672</v>
      </c>
      <c r="E39" s="86" t="s">
        <v>142</v>
      </c>
      <c r="F39" s="85">
        <v>50</v>
      </c>
      <c r="G39" s="85">
        <v>50</v>
      </c>
      <c r="H39" s="87">
        <f>SUMIFS(Sales!R:R,Sales!D:D,A39)</f>
        <v>0.73</v>
      </c>
      <c r="I39" s="85"/>
      <c r="J39" s="85">
        <v>50</v>
      </c>
      <c r="K39" s="87">
        <v>135</v>
      </c>
      <c r="L39" s="85">
        <f t="shared" si="14"/>
        <v>51.2352</v>
      </c>
      <c r="M39" s="85">
        <v>0</v>
      </c>
      <c r="N39" s="85">
        <v>0</v>
      </c>
      <c r="O39" s="85">
        <f t="shared" si="13"/>
        <v>45.5424</v>
      </c>
      <c r="P39" s="85">
        <f t="shared" si="2"/>
        <v>134.7824</v>
      </c>
      <c r="Q39" s="85">
        <f t="shared" si="9"/>
        <v>134.7824</v>
      </c>
      <c r="R39" s="85" t="s">
        <v>489</v>
      </c>
      <c r="S39" s="88">
        <f>_xlfn.XLOOKUP(A39,Sales!D:D,Sales!K:K)</f>
        <v>46122</v>
      </c>
      <c r="T39" s="88">
        <v>46127</v>
      </c>
      <c r="U39" s="98" t="s">
        <v>521</v>
      </c>
      <c r="V39" s="90">
        <f t="shared" si="3"/>
        <v>-957.73</v>
      </c>
      <c r="W39" s="90">
        <f t="shared" si="4"/>
        <v>-51.2352</v>
      </c>
      <c r="X39" s="90">
        <f t="shared" si="5"/>
        <v>2.14575916230366</v>
      </c>
      <c r="Y39" s="91">
        <f t="shared" si="6"/>
        <v>1087.3248</v>
      </c>
      <c r="Z39" s="92">
        <v>-51.23</v>
      </c>
      <c r="AA39" s="91">
        <f t="shared" si="7"/>
        <v>1138.5548</v>
      </c>
      <c r="AB39" s="93">
        <f t="shared" si="8"/>
        <v>-1058.0494408377</v>
      </c>
      <c r="AC39" s="93"/>
      <c r="AD39" s="101"/>
      <c r="AE39" s="94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</row>
    <row r="40" customHeight="1" spans="1:43">
      <c r="A40" s="102">
        <v>30440522</v>
      </c>
      <c r="B40" s="84" t="str">
        <f>_xlfn.XLOOKUP(A40,Sales!D:D,Sales!I:I)</f>
        <v>Petco</v>
      </c>
      <c r="C40" s="85">
        <f>SUMIFS(Sales!H:H,Sales!D:D,A40)</f>
        <v>783.52</v>
      </c>
      <c r="D40" s="85">
        <f>SUMIFS(Sales!N:N,Sales!D:D,A40)</f>
        <v>461.92</v>
      </c>
      <c r="E40" s="86" t="s">
        <v>142</v>
      </c>
      <c r="F40" s="85">
        <v>50</v>
      </c>
      <c r="G40" s="85">
        <v>50</v>
      </c>
      <c r="H40" s="87">
        <f>SUMIFS(Sales!R:R,Sales!D:D,A40)</f>
        <v>0.52</v>
      </c>
      <c r="I40" s="85"/>
      <c r="J40" s="85">
        <v>50</v>
      </c>
      <c r="K40" s="87">
        <v>500</v>
      </c>
      <c r="L40" s="85">
        <f t="shared" si="14"/>
        <v>35.2584</v>
      </c>
      <c r="M40" s="106">
        <v>173.51</v>
      </c>
      <c r="N40" s="85">
        <v>0</v>
      </c>
      <c r="O40" s="85">
        <f t="shared" si="13"/>
        <v>31.3408</v>
      </c>
      <c r="P40" s="85">
        <f t="shared" si="2"/>
        <v>-518.5092</v>
      </c>
      <c r="Q40" s="85">
        <f t="shared" si="9"/>
        <v>-518.5092</v>
      </c>
      <c r="R40" s="85" t="s">
        <v>489</v>
      </c>
      <c r="S40" s="88">
        <f>_xlfn.XLOOKUP(A40,Sales!D:D,Sales!K:K)</f>
        <v>46122</v>
      </c>
      <c r="T40" s="88">
        <v>46127</v>
      </c>
      <c r="U40" s="98" t="s">
        <v>522</v>
      </c>
      <c r="V40" s="90">
        <f t="shared" si="3"/>
        <v>-1112.44</v>
      </c>
      <c r="W40" s="90">
        <f t="shared" si="4"/>
        <v>-208.7684</v>
      </c>
      <c r="X40" s="90">
        <f t="shared" si="5"/>
        <v>-30.6843979057592</v>
      </c>
      <c r="Y40" s="91">
        <f t="shared" si="6"/>
        <v>574.7516</v>
      </c>
      <c r="Z40" s="92">
        <v>732.59</v>
      </c>
      <c r="AA40" s="91">
        <f t="shared" si="7"/>
        <v>-157.8384</v>
      </c>
      <c r="AB40" s="93">
        <f t="shared" si="8"/>
        <v>-619.302797905759</v>
      </c>
      <c r="AC40" s="93"/>
      <c r="AE40" s="94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</row>
    <row r="41" customHeight="1" spans="1:43">
      <c r="A41" s="99">
        <v>733349</v>
      </c>
      <c r="B41" s="84" t="str">
        <f>_xlfn.XLOOKUP(A41,Sales!D:D,Sales!I:I)</f>
        <v>Pet Supermarket</v>
      </c>
      <c r="C41" s="85">
        <f>SUMIFS(Sales!H:H,Sales!D:D,A41)</f>
        <v>25467.92</v>
      </c>
      <c r="D41" s="85">
        <f>SUMIFS(Sales!N:N,Sales!D:D,A41)</f>
        <v>13088.62</v>
      </c>
      <c r="E41" s="86" t="s">
        <v>142</v>
      </c>
      <c r="F41" s="85">
        <v>700</v>
      </c>
      <c r="G41" s="85">
        <v>2471</v>
      </c>
      <c r="H41" s="87">
        <f>SUMIFS(Sales!R:R,Sales!D:D,A41)</f>
        <v>33.66</v>
      </c>
      <c r="I41" s="85"/>
      <c r="J41" s="85">
        <v>2471</v>
      </c>
      <c r="K41" s="87">
        <v>8650</v>
      </c>
      <c r="L41" s="85">
        <f t="shared" si="14"/>
        <v>1273.396</v>
      </c>
      <c r="M41" s="85"/>
      <c r="N41" s="85"/>
      <c r="O41" s="85">
        <f>C41*0.06</f>
        <v>1528.0752</v>
      </c>
      <c r="P41" s="85">
        <f t="shared" si="2"/>
        <v>-2243.1712</v>
      </c>
      <c r="Q41" s="85">
        <f t="shared" si="9"/>
        <v>-2243.1712</v>
      </c>
      <c r="R41" s="85" t="s">
        <v>489</v>
      </c>
      <c r="S41" s="88">
        <f>_xlfn.XLOOKUP(A41,Sales!D:D,Sales!K:K)</f>
        <v>46159</v>
      </c>
      <c r="T41" s="88">
        <f>VLOOKUP(A41,Sales!D:L,8,0)</f>
        <v>46159</v>
      </c>
      <c r="U41" s="107" t="s">
        <v>523</v>
      </c>
      <c r="V41" s="90">
        <f t="shared" si="3"/>
        <v>-27414.28</v>
      </c>
      <c r="W41" s="90">
        <f t="shared" si="4"/>
        <v>-1273.396</v>
      </c>
      <c r="X41" s="90">
        <f t="shared" si="5"/>
        <v>-1528.0752</v>
      </c>
      <c r="Y41" s="91">
        <f t="shared" si="6"/>
        <v>24194.524</v>
      </c>
      <c r="Z41" s="92"/>
      <c r="AA41" s="91">
        <f t="shared" si="7"/>
        <v>24194.524</v>
      </c>
      <c r="AB41" s="93">
        <f t="shared" si="8"/>
        <v>-30215.7512</v>
      </c>
      <c r="AC41" s="93"/>
      <c r="AD41" s="101" t="s">
        <v>524</v>
      </c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</row>
    <row r="42" customHeight="1" spans="1:43">
      <c r="A42" s="99">
        <v>30935526</v>
      </c>
      <c r="B42" s="84" t="str">
        <f>_xlfn.XLOOKUP(A42,Sales!D:D,Sales!I:I)</f>
        <v>Petco</v>
      </c>
      <c r="C42" s="85">
        <f>SUMIFS(Sales!H:H,Sales!D:D,A42)</f>
        <v>7452.92</v>
      </c>
      <c r="D42" s="85">
        <f>SUMIFS(Sales!N:N,Sales!D:D,A42)</f>
        <v>3855.06</v>
      </c>
      <c r="E42" s="86" t="s">
        <v>142</v>
      </c>
      <c r="F42" s="85">
        <v>100</v>
      </c>
      <c r="G42" s="85">
        <v>612</v>
      </c>
      <c r="H42" s="87">
        <f>SUMIFS(Sales!R:R,Sales!D:D,A42)</f>
        <v>8.97</v>
      </c>
      <c r="I42" s="85"/>
      <c r="J42" s="85">
        <v>612</v>
      </c>
      <c r="K42" s="87">
        <v>2280</v>
      </c>
      <c r="L42" s="85">
        <f t="shared" si="14"/>
        <v>335.3814</v>
      </c>
      <c r="M42" s="85">
        <v>300</v>
      </c>
      <c r="N42" s="85"/>
      <c r="O42" s="85">
        <f t="shared" ref="O42:O63" si="15">C42*0.04</f>
        <v>298.1168</v>
      </c>
      <c r="P42" s="85">
        <f t="shared" si="2"/>
        <v>-327.6382</v>
      </c>
      <c r="Q42" s="85">
        <f t="shared" si="9"/>
        <v>-327.6382</v>
      </c>
      <c r="R42" s="85" t="s">
        <v>489</v>
      </c>
      <c r="S42" s="88">
        <f>_xlfn.XLOOKUP(A42,Sales!D:D,Sales!K:K)</f>
        <v>46146</v>
      </c>
      <c r="T42" s="88">
        <f>VLOOKUP(A42,Sales!D:L,8,0)</f>
        <v>46146</v>
      </c>
      <c r="U42" s="98" t="s">
        <v>525</v>
      </c>
      <c r="V42" s="90">
        <f t="shared" si="3"/>
        <v>-7468.03</v>
      </c>
      <c r="W42" s="90">
        <f t="shared" si="4"/>
        <v>-635.3814</v>
      </c>
      <c r="X42" s="90">
        <f t="shared" si="5"/>
        <v>-216.361884816754</v>
      </c>
      <c r="Y42" s="91">
        <f t="shared" si="6"/>
        <v>6817.5386</v>
      </c>
      <c r="Z42" s="92">
        <v>5165.64</v>
      </c>
      <c r="AA42" s="91">
        <f t="shared" si="7"/>
        <v>1651.8986</v>
      </c>
      <c r="AB42" s="93">
        <f t="shared" si="8"/>
        <v>-3154.13328481675</v>
      </c>
      <c r="AC42" s="93"/>
      <c r="AE42" s="94"/>
      <c r="AF42" s="94"/>
      <c r="AG42" s="94"/>
      <c r="AH42" s="94"/>
      <c r="AI42" s="94"/>
      <c r="AJ42" s="94"/>
      <c r="AK42" s="94"/>
      <c r="AL42" s="94"/>
      <c r="AM42" s="94"/>
      <c r="AN42" s="94"/>
      <c r="AO42" s="94"/>
      <c r="AP42" s="94"/>
      <c r="AQ42" s="94"/>
    </row>
    <row r="43" ht="23.2" customHeight="1" spans="1:43">
      <c r="A43" s="108">
        <v>30935527</v>
      </c>
      <c r="B43" s="84" t="str">
        <f>_xlfn.XLOOKUP(A43,Sales!D:D,Sales!I:I)</f>
        <v>Petco</v>
      </c>
      <c r="C43" s="85">
        <f>SUMIFS(Sales!H:H,Sales!D:D,A43)</f>
        <v>10987.46</v>
      </c>
      <c r="D43" s="85">
        <f>SUMIFS(Sales!N:N,Sales!D:D,A43)</f>
        <v>5920.91</v>
      </c>
      <c r="E43" s="86" t="s">
        <v>142</v>
      </c>
      <c r="F43" s="85">
        <v>326</v>
      </c>
      <c r="G43" s="85">
        <v>1141</v>
      </c>
      <c r="H43" s="87">
        <f>SUMIFS(Sales!R:R,Sales!D:D,A43)</f>
        <v>14.56</v>
      </c>
      <c r="I43" s="85"/>
      <c r="J43" s="85">
        <v>1141</v>
      </c>
      <c r="K43" s="87">
        <v>2353</v>
      </c>
      <c r="L43" s="85">
        <f t="shared" si="14"/>
        <v>494.4357</v>
      </c>
      <c r="M43" s="85"/>
      <c r="N43" s="85"/>
      <c r="O43" s="85">
        <f t="shared" si="15"/>
        <v>439.4984</v>
      </c>
      <c r="P43" s="85">
        <f t="shared" si="2"/>
        <v>312.6159</v>
      </c>
      <c r="Q43" s="85">
        <f t="shared" si="9"/>
        <v>312.6159</v>
      </c>
      <c r="R43" s="85">
        <f>P43-O43</f>
        <v>-126.8825</v>
      </c>
      <c r="S43" s="88">
        <f>_xlfn.XLOOKUP(A43,Sales!D:D,Sales!K:K)</f>
        <v>46164</v>
      </c>
      <c r="T43" s="88">
        <f>VLOOKUP(A43,Sales!D:L,8,0)</f>
        <v>46164</v>
      </c>
      <c r="U43" s="109" t="s">
        <v>526</v>
      </c>
      <c r="V43" s="90">
        <f t="shared" si="3"/>
        <v>-10896.47</v>
      </c>
      <c r="W43" s="90">
        <f t="shared" si="4"/>
        <v>-494.4357</v>
      </c>
      <c r="X43" s="90">
        <f t="shared" si="5"/>
        <v>-430.294031413613</v>
      </c>
      <c r="Y43" s="91">
        <f t="shared" si="6"/>
        <v>10493.0243</v>
      </c>
      <c r="Z43" s="100">
        <v>10273.27</v>
      </c>
      <c r="AA43" s="91">
        <f t="shared" si="7"/>
        <v>219.754300000001</v>
      </c>
      <c r="AB43" s="93">
        <f t="shared" si="8"/>
        <v>-1547.92973141361</v>
      </c>
      <c r="AC43" s="93"/>
      <c r="AD43" s="101" t="s">
        <v>524</v>
      </c>
      <c r="AE43" s="94"/>
      <c r="AF43" s="94"/>
      <c r="AG43" s="94"/>
      <c r="AH43" s="94"/>
      <c r="AI43" s="94"/>
      <c r="AJ43" s="94"/>
      <c r="AK43" s="94"/>
      <c r="AL43" s="94"/>
      <c r="AM43" s="94"/>
      <c r="AN43" s="94"/>
      <c r="AO43" s="94"/>
      <c r="AP43" s="94"/>
      <c r="AQ43" s="94"/>
    </row>
    <row r="44" customHeight="1" spans="1:43">
      <c r="A44" s="99">
        <v>30935528</v>
      </c>
      <c r="B44" s="84" t="str">
        <f>_xlfn.XLOOKUP(A44,Sales!D:D,Sales!I:I)</f>
        <v>Petco</v>
      </c>
      <c r="C44" s="85">
        <f>SUMIFS(Sales!H:H,Sales!D:D,A44)</f>
        <v>3928.42</v>
      </c>
      <c r="D44" s="85">
        <f>SUMIFS(Sales!N:N,Sales!D:D,A44)</f>
        <v>2014.18</v>
      </c>
      <c r="E44" s="86" t="s">
        <v>142</v>
      </c>
      <c r="F44" s="85">
        <v>100</v>
      </c>
      <c r="G44" s="85">
        <v>312</v>
      </c>
      <c r="H44" s="87">
        <f>SUMIFS(Sales!R:R,Sales!D:D,A44)</f>
        <v>5.1</v>
      </c>
      <c r="I44" s="85"/>
      <c r="J44" s="85">
        <v>312</v>
      </c>
      <c r="K44" s="87">
        <v>1795</v>
      </c>
      <c r="L44" s="85">
        <f t="shared" si="14"/>
        <v>176.7789</v>
      </c>
      <c r="M44" s="85"/>
      <c r="N44" s="85"/>
      <c r="O44" s="85">
        <f t="shared" si="15"/>
        <v>157.1368</v>
      </c>
      <c r="P44" s="85">
        <f t="shared" si="2"/>
        <v>-626.6757</v>
      </c>
      <c r="Q44" s="85">
        <f t="shared" si="9"/>
        <v>-626.6757</v>
      </c>
      <c r="R44" s="85" t="s">
        <v>489</v>
      </c>
      <c r="S44" s="88">
        <f>_xlfn.XLOOKUP(A44,Sales!D:D,Sales!K:K)</f>
        <v>46146</v>
      </c>
      <c r="T44" s="88">
        <f>VLOOKUP(A44,Sales!D:L,8,0)</f>
        <v>46146</v>
      </c>
      <c r="U44" s="98" t="s">
        <v>527</v>
      </c>
      <c r="V44" s="90">
        <f t="shared" si="3"/>
        <v>-4538.28</v>
      </c>
      <c r="W44" s="90">
        <f t="shared" si="4"/>
        <v>-176.7789</v>
      </c>
      <c r="X44" s="90">
        <f t="shared" si="5"/>
        <v>-153.845863874346</v>
      </c>
      <c r="Y44" s="91">
        <f t="shared" si="6"/>
        <v>3751.6411</v>
      </c>
      <c r="Z44" s="92">
        <v>3673.07</v>
      </c>
      <c r="AA44" s="91">
        <f t="shared" si="7"/>
        <v>78.5711000000001</v>
      </c>
      <c r="AB44" s="93">
        <f t="shared" si="8"/>
        <v>-1195.83476387435</v>
      </c>
      <c r="AC44" s="93"/>
      <c r="AE44" s="94"/>
      <c r="AF44" s="94"/>
      <c r="AG44" s="94"/>
      <c r="AH44" s="94"/>
      <c r="AI44" s="94"/>
      <c r="AJ44" s="94"/>
      <c r="AK44" s="94"/>
      <c r="AL44" s="94"/>
      <c r="AM44" s="94"/>
      <c r="AN44" s="94"/>
      <c r="AO44" s="94"/>
      <c r="AP44" s="94"/>
      <c r="AQ44" s="94"/>
    </row>
    <row r="45" s="66" customFormat="1" ht="32.85" customHeight="1" spans="1:43">
      <c r="A45" s="110">
        <v>30935529</v>
      </c>
      <c r="B45" s="111" t="str">
        <f>_xlfn.XLOOKUP(A45,Sales!D:D,Sales!I:I)</f>
        <v>Petco</v>
      </c>
      <c r="C45" s="112">
        <f>SUMIFS(Sales!H:H,Sales!D:D,A45)</f>
        <v>7183.77</v>
      </c>
      <c r="D45" s="112">
        <f>SUMIFS(Sales!N:N,Sales!D:D,A45)</f>
        <v>3801.77</v>
      </c>
      <c r="E45" s="113" t="s">
        <v>142</v>
      </c>
      <c r="F45" s="112">
        <v>248</v>
      </c>
      <c r="G45" s="112">
        <v>868</v>
      </c>
      <c r="H45" s="87">
        <f>SUMIFS(Sales!R:R,Sales!D:D,A45)</f>
        <v>10.17</v>
      </c>
      <c r="I45" s="112"/>
      <c r="J45" s="112">
        <v>868</v>
      </c>
      <c r="K45" s="114">
        <v>2152</v>
      </c>
      <c r="L45" s="112">
        <f t="shared" si="14"/>
        <v>323.26965</v>
      </c>
      <c r="M45" s="112"/>
      <c r="N45" s="112"/>
      <c r="O45" s="112">
        <f t="shared" si="15"/>
        <v>287.3508</v>
      </c>
      <c r="P45" s="112">
        <f t="shared" si="2"/>
        <v>-496.62045</v>
      </c>
      <c r="Q45" s="85">
        <f t="shared" si="9"/>
        <v>-496.62045</v>
      </c>
      <c r="R45" s="112" t="s">
        <v>489</v>
      </c>
      <c r="S45" s="115">
        <f>_xlfn.XLOOKUP(A45,Sales!D:D,Sales!K:K)</f>
        <v>46164</v>
      </c>
      <c r="T45" s="115">
        <f>VLOOKUP(A45,Sales!D:L,8,0)</f>
        <v>46164</v>
      </c>
      <c r="U45" s="116" t="s">
        <v>528</v>
      </c>
      <c r="V45" s="117">
        <f t="shared" si="3"/>
        <v>-7947.94</v>
      </c>
      <c r="W45" s="117">
        <f t="shared" si="4"/>
        <v>-323.26965</v>
      </c>
      <c r="X45" s="117">
        <f t="shared" si="5"/>
        <v>-280.816335078534</v>
      </c>
      <c r="Y45" s="118">
        <f t="shared" si="6"/>
        <v>6860.50035</v>
      </c>
      <c r="Z45" s="119">
        <v>6704.49</v>
      </c>
      <c r="AA45" s="118">
        <f t="shared" si="7"/>
        <v>156.01035</v>
      </c>
      <c r="AB45" s="120">
        <f t="shared" si="8"/>
        <v>-1847.53598507853</v>
      </c>
      <c r="AC45" s="120"/>
      <c r="AD45" s="121">
        <v>46206</v>
      </c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</row>
    <row r="46" customHeight="1" spans="1:43">
      <c r="A46" s="99">
        <v>30935530</v>
      </c>
      <c r="B46" s="84" t="str">
        <f>_xlfn.XLOOKUP(A46,Sales!D:D,Sales!I:I)</f>
        <v>Petco</v>
      </c>
      <c r="C46" s="85">
        <f>SUMIFS(Sales!H:H,Sales!D:D,A46)</f>
        <v>3633.89</v>
      </c>
      <c r="D46" s="85">
        <f>SUMIFS(Sales!N:N,Sales!D:D,A46)</f>
        <v>1951.73</v>
      </c>
      <c r="E46" s="86" t="s">
        <v>142</v>
      </c>
      <c r="F46" s="85">
        <v>100</v>
      </c>
      <c r="G46" s="85">
        <v>288</v>
      </c>
      <c r="H46" s="87">
        <f>SUMIFS(Sales!R:R,Sales!D:D,A46)</f>
        <v>3.7</v>
      </c>
      <c r="I46" s="85"/>
      <c r="J46" s="85">
        <v>288</v>
      </c>
      <c r="K46" s="87">
        <v>1240</v>
      </c>
      <c r="L46" s="85">
        <f t="shared" si="14"/>
        <v>163.52505</v>
      </c>
      <c r="M46" s="85"/>
      <c r="N46" s="85"/>
      <c r="O46" s="85">
        <f t="shared" si="15"/>
        <v>145.3556</v>
      </c>
      <c r="P46" s="85">
        <f t="shared" si="2"/>
        <v>-254.72065</v>
      </c>
      <c r="Q46" s="85">
        <f t="shared" si="9"/>
        <v>-254.72065</v>
      </c>
      <c r="R46" s="85" t="s">
        <v>489</v>
      </c>
      <c r="S46" s="88">
        <f>_xlfn.XLOOKUP(A46,Sales!D:D,Sales!K:K)</f>
        <v>46146</v>
      </c>
      <c r="T46" s="88">
        <f>VLOOKUP(A46,Sales!D:L,8,0)</f>
        <v>46146</v>
      </c>
      <c r="U46" s="98" t="s">
        <v>529</v>
      </c>
      <c r="V46" s="90">
        <f t="shared" si="3"/>
        <v>-3871.43</v>
      </c>
      <c r="W46" s="90">
        <f t="shared" si="4"/>
        <v>-163.52505</v>
      </c>
      <c r="X46" s="90">
        <f t="shared" si="5"/>
        <v>-135.824083769634</v>
      </c>
      <c r="Y46" s="91">
        <f t="shared" si="6"/>
        <v>3470.36495</v>
      </c>
      <c r="Z46" s="92">
        <f>3397.68-154.88</f>
        <v>3242.8</v>
      </c>
      <c r="AA46" s="91">
        <f t="shared" si="7"/>
        <v>227.56495</v>
      </c>
      <c r="AB46" s="93">
        <f t="shared" si="8"/>
        <v>-927.979133769633</v>
      </c>
      <c r="AC46" s="93"/>
      <c r="AE46" s="94"/>
      <c r="AF46" s="94"/>
      <c r="AG46" s="94"/>
      <c r="AH46" s="94"/>
      <c r="AI46" s="94"/>
      <c r="AJ46" s="94"/>
      <c r="AK46" s="94"/>
      <c r="AL46" s="94"/>
      <c r="AM46" s="94"/>
      <c r="AN46" s="94"/>
      <c r="AO46" s="94"/>
      <c r="AP46" s="94"/>
      <c r="AQ46" s="94"/>
    </row>
    <row r="47" s="66" customFormat="1" ht="30.7" customHeight="1" spans="1:43">
      <c r="A47" s="110">
        <v>30935531</v>
      </c>
      <c r="B47" s="111" t="str">
        <f>_xlfn.XLOOKUP(A47,Sales!D:D,Sales!I:I)</f>
        <v>Petco</v>
      </c>
      <c r="C47" s="112">
        <f>SUMIFS(Sales!H:H,Sales!D:D,A47)</f>
        <v>2881.92</v>
      </c>
      <c r="D47" s="112">
        <f>SUMIFS(Sales!N:N,Sales!D:D,A47)</f>
        <v>1502.82</v>
      </c>
      <c r="E47" s="113" t="s">
        <v>142</v>
      </c>
      <c r="F47" s="112">
        <v>98</v>
      </c>
      <c r="G47" s="112">
        <v>343</v>
      </c>
      <c r="H47" s="87">
        <f>SUMIFS(Sales!R:R,Sales!D:D,A47)</f>
        <v>4.06</v>
      </c>
      <c r="I47" s="112"/>
      <c r="J47" s="112">
        <v>343</v>
      </c>
      <c r="K47" s="114">
        <v>1358</v>
      </c>
      <c r="L47" s="112">
        <f t="shared" si="14"/>
        <v>129.6864</v>
      </c>
      <c r="M47" s="112"/>
      <c r="N47" s="112"/>
      <c r="O47" s="112">
        <f t="shared" si="15"/>
        <v>115.2768</v>
      </c>
      <c r="P47" s="112">
        <f t="shared" si="2"/>
        <v>-664.8632</v>
      </c>
      <c r="Q47" s="85">
        <f t="shared" si="9"/>
        <v>-664.8632</v>
      </c>
      <c r="R47" s="112" t="s">
        <v>489</v>
      </c>
      <c r="S47" s="115">
        <f>_xlfn.XLOOKUP(A47,Sales!D:D,Sales!K:K)</f>
        <v>46164</v>
      </c>
      <c r="T47" s="115">
        <f>VLOOKUP(A47,Sales!D:L,8,0)</f>
        <v>46164</v>
      </c>
      <c r="U47" s="116" t="s">
        <v>530</v>
      </c>
      <c r="V47" s="123">
        <f t="shared" si="3"/>
        <v>-3648.88</v>
      </c>
      <c r="W47" s="123">
        <f t="shared" si="4"/>
        <v>-129.6864</v>
      </c>
      <c r="X47" s="123">
        <f t="shared" si="5"/>
        <v>-118.890471204189</v>
      </c>
      <c r="Y47" s="124">
        <f t="shared" si="6"/>
        <v>2752.2336</v>
      </c>
      <c r="Z47" s="125">
        <v>2838.51</v>
      </c>
      <c r="AA47" s="118">
        <f t="shared" si="7"/>
        <v>-86.2764000000002</v>
      </c>
      <c r="AB47" s="93">
        <f t="shared" si="8"/>
        <v>-1058.94687120419</v>
      </c>
      <c r="AC47" s="120"/>
      <c r="AD47" s="121">
        <v>46214</v>
      </c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</row>
    <row r="48" customHeight="1" spans="1:43">
      <c r="A48" s="99">
        <v>30935532</v>
      </c>
      <c r="B48" s="84" t="str">
        <f>_xlfn.XLOOKUP(A48,Sales!D:D,Sales!I:I)</f>
        <v>Petco</v>
      </c>
      <c r="C48" s="85">
        <f>SUMIFS(Sales!H:H,Sales!D:D,A48)</f>
        <v>3352.35</v>
      </c>
      <c r="D48" s="85">
        <f>SUMIFS(Sales!N:N,Sales!D:D,A48)</f>
        <v>1738.23</v>
      </c>
      <c r="E48" s="86" t="s">
        <v>142</v>
      </c>
      <c r="F48" s="85">
        <v>100</v>
      </c>
      <c r="G48" s="85">
        <v>0</v>
      </c>
      <c r="H48" s="87">
        <f>SUMIFS(Sales!R:R,Sales!D:D,A48)</f>
        <v>4.05</v>
      </c>
      <c r="I48" s="85"/>
      <c r="J48" s="85">
        <v>0</v>
      </c>
      <c r="K48" s="87">
        <v>300</v>
      </c>
      <c r="L48" s="85">
        <f t="shared" si="14"/>
        <v>150.85575</v>
      </c>
      <c r="M48" s="85">
        <v>25</v>
      </c>
      <c r="N48" s="85"/>
      <c r="O48" s="85">
        <f t="shared" si="15"/>
        <v>134.094</v>
      </c>
      <c r="P48" s="85">
        <f t="shared" si="2"/>
        <v>904.17025</v>
      </c>
      <c r="Q48" s="85">
        <f t="shared" si="9"/>
        <v>904.17025</v>
      </c>
      <c r="R48" s="85" t="s">
        <v>489</v>
      </c>
      <c r="S48" s="88">
        <f>_xlfn.XLOOKUP(A48,Sales!D:D,Sales!K:K)</f>
        <v>46146</v>
      </c>
      <c r="T48" s="88">
        <f>VLOOKUP(A48,Sales!D:L,8,0)</f>
        <v>46146</v>
      </c>
      <c r="U48" s="98" t="s">
        <v>531</v>
      </c>
      <c r="V48" s="90">
        <f t="shared" si="3"/>
        <v>-2142.28</v>
      </c>
      <c r="W48" s="90">
        <f t="shared" si="4"/>
        <v>-175.85575</v>
      </c>
      <c r="X48" s="90">
        <f t="shared" si="5"/>
        <v>-129.386387434555</v>
      </c>
      <c r="Y48" s="91">
        <f t="shared" si="6"/>
        <v>3176.49425</v>
      </c>
      <c r="Z48" s="92">
        <v>3089.1</v>
      </c>
      <c r="AA48" s="91">
        <f t="shared" si="7"/>
        <v>87.3942499999998</v>
      </c>
      <c r="AB48" s="93">
        <f t="shared" si="8"/>
        <v>641.577862565445</v>
      </c>
      <c r="AC48" s="93"/>
      <c r="AE48" s="94"/>
      <c r="AF48" s="94"/>
      <c r="AG48" s="94"/>
      <c r="AH48" s="94"/>
      <c r="AI48" s="94"/>
      <c r="AJ48" s="94"/>
      <c r="AK48" s="94"/>
      <c r="AL48" s="94"/>
      <c r="AM48" s="94"/>
      <c r="AN48" s="94"/>
      <c r="AO48" s="94"/>
      <c r="AP48" s="94"/>
      <c r="AQ48" s="94"/>
    </row>
    <row r="49" s="66" customFormat="1" ht="22.15" customHeight="1" spans="1:43">
      <c r="A49" s="110">
        <v>30935533</v>
      </c>
      <c r="B49" s="111" t="str">
        <f>_xlfn.XLOOKUP(A49,Sales!D:D,Sales!I:I)</f>
        <v>Petco</v>
      </c>
      <c r="C49" s="112">
        <f>SUMIFS(Sales!H:H,Sales!D:D,A49)</f>
        <v>6030.82</v>
      </c>
      <c r="D49" s="112">
        <f>SUMIFS(Sales!N:N,Sales!D:D,A49)</f>
        <v>3281.68</v>
      </c>
      <c r="E49" s="113" t="s">
        <v>142</v>
      </c>
      <c r="F49" s="112">
        <v>182</v>
      </c>
      <c r="G49" s="112">
        <v>637</v>
      </c>
      <c r="H49" s="87">
        <f>SUMIFS(Sales!R:R,Sales!D:D,A49)</f>
        <v>7.89</v>
      </c>
      <c r="I49" s="112"/>
      <c r="J49" s="112">
        <v>637</v>
      </c>
      <c r="K49" s="114">
        <v>440</v>
      </c>
      <c r="L49" s="112">
        <f t="shared" si="14"/>
        <v>271.3869</v>
      </c>
      <c r="M49" s="112"/>
      <c r="N49" s="112"/>
      <c r="O49" s="112">
        <f t="shared" si="15"/>
        <v>241.2328</v>
      </c>
      <c r="P49" s="112">
        <f t="shared" si="2"/>
        <v>977.520299999999</v>
      </c>
      <c r="Q49" s="85">
        <f t="shared" si="9"/>
        <v>977.520299999999</v>
      </c>
      <c r="R49" s="112" t="s">
        <v>489</v>
      </c>
      <c r="S49" s="115">
        <f>_xlfn.XLOOKUP(A49,Sales!D:D,Sales!K:K)</f>
        <v>46164</v>
      </c>
      <c r="T49" s="115">
        <f>VLOOKUP(A49,Sales!D:L,8,0)</f>
        <v>46164</v>
      </c>
      <c r="U49" s="116" t="s">
        <v>532</v>
      </c>
      <c r="V49" s="117">
        <f t="shared" si="3"/>
        <v>-5185.57</v>
      </c>
      <c r="W49" s="117">
        <f t="shared" si="4"/>
        <v>-271.3869</v>
      </c>
      <c r="X49" s="117">
        <f t="shared" si="5"/>
        <v>-233.811937172775</v>
      </c>
      <c r="Y49" s="118">
        <f t="shared" si="6"/>
        <v>5759.4331</v>
      </c>
      <c r="Z49" s="119">
        <v>5582.26</v>
      </c>
      <c r="AA49" s="118">
        <f t="shared" si="7"/>
        <v>177.1731</v>
      </c>
      <c r="AB49" s="93">
        <f t="shared" si="8"/>
        <v>-108.508837172775</v>
      </c>
      <c r="AC49" s="120"/>
      <c r="AD49" s="121">
        <v>46206</v>
      </c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</row>
    <row r="50" customHeight="1" spans="1:43">
      <c r="A50" s="99">
        <v>30935534</v>
      </c>
      <c r="B50" s="84" t="str">
        <f>_xlfn.XLOOKUP(A50,Sales!D:D,Sales!I:I)</f>
        <v>Petco</v>
      </c>
      <c r="C50" s="85">
        <f>SUMIFS(Sales!H:H,Sales!D:D,A50)</f>
        <v>3900.92</v>
      </c>
      <c r="D50" s="85">
        <f>SUMIFS(Sales!N:N,Sales!D:D,A50)</f>
        <v>2018.36</v>
      </c>
      <c r="E50" s="86" t="s">
        <v>142</v>
      </c>
      <c r="F50" s="85">
        <v>100</v>
      </c>
      <c r="G50" s="85">
        <v>312</v>
      </c>
      <c r="H50" s="87">
        <f>SUMIFS(Sales!R:R,Sales!D:D,A50)</f>
        <v>4.84</v>
      </c>
      <c r="I50" s="85"/>
      <c r="J50" s="85">
        <v>312</v>
      </c>
      <c r="K50" s="87">
        <v>1140</v>
      </c>
      <c r="L50" s="85">
        <f t="shared" si="14"/>
        <v>175.5414</v>
      </c>
      <c r="M50" s="85">
        <v>267.03</v>
      </c>
      <c r="N50" s="85"/>
      <c r="O50" s="85">
        <f t="shared" si="15"/>
        <v>156.0368</v>
      </c>
      <c r="P50" s="85">
        <f t="shared" si="2"/>
        <v>-268.0482</v>
      </c>
      <c r="Q50" s="85">
        <f t="shared" si="9"/>
        <v>-268.0482</v>
      </c>
      <c r="R50" s="85" t="s">
        <v>489</v>
      </c>
      <c r="S50" s="88">
        <f>_xlfn.XLOOKUP(A50,Sales!D:D,Sales!K:K)</f>
        <v>46146</v>
      </c>
      <c r="T50" s="88">
        <f>VLOOKUP(A50,Sales!D:L,8,0)</f>
        <v>46146</v>
      </c>
      <c r="U50" s="109" t="s">
        <v>533</v>
      </c>
      <c r="V50" s="90">
        <f t="shared" si="3"/>
        <v>-3887.2</v>
      </c>
      <c r="W50" s="90">
        <f t="shared" si="4"/>
        <v>-442.5714</v>
      </c>
      <c r="X50" s="90">
        <f t="shared" si="5"/>
        <v>-152.769005235602</v>
      </c>
      <c r="Y50" s="91">
        <f t="shared" si="6"/>
        <v>3458.3486</v>
      </c>
      <c r="Z50" s="92">
        <v>3647.36</v>
      </c>
      <c r="AA50" s="91">
        <f t="shared" si="7"/>
        <v>-189.0114</v>
      </c>
      <c r="AB50" s="93">
        <f t="shared" si="8"/>
        <v>-835.180405235602</v>
      </c>
      <c r="AC50" s="93"/>
      <c r="AE50" s="94"/>
      <c r="AF50" s="94"/>
      <c r="AG50" s="94"/>
      <c r="AH50" s="94"/>
      <c r="AI50" s="94"/>
      <c r="AJ50" s="94"/>
      <c r="AK50" s="94"/>
      <c r="AL50" s="94"/>
      <c r="AM50" s="94"/>
      <c r="AN50" s="94"/>
      <c r="AO50" s="94"/>
      <c r="AP50" s="94"/>
      <c r="AQ50" s="94"/>
    </row>
    <row r="51" s="66" customFormat="1" ht="22.15" customHeight="1" spans="1:43">
      <c r="A51" s="110">
        <v>30935535</v>
      </c>
      <c r="B51" s="111" t="str">
        <f>_xlfn.XLOOKUP(A51,Sales!D:D,Sales!I:I)</f>
        <v>Petco</v>
      </c>
      <c r="C51" s="112">
        <f>SUMIFS(Sales!H:H,Sales!D:D,A51)</f>
        <v>6407.89</v>
      </c>
      <c r="D51" s="112">
        <f>SUMIFS(Sales!N:N,Sales!D:D,A51)</f>
        <v>3468.98</v>
      </c>
      <c r="E51" s="113" t="s">
        <v>142</v>
      </c>
      <c r="F51" s="112">
        <v>182</v>
      </c>
      <c r="G51" s="112">
        <v>637</v>
      </c>
      <c r="H51" s="87">
        <f>SUMIFS(Sales!R:R,Sales!D:D,A51)</f>
        <v>8.52</v>
      </c>
      <c r="I51" s="112"/>
      <c r="J51" s="112">
        <v>637</v>
      </c>
      <c r="K51" s="114">
        <v>1427</v>
      </c>
      <c r="L51" s="112">
        <f t="shared" si="14"/>
        <v>288.35505</v>
      </c>
      <c r="M51" s="112"/>
      <c r="N51" s="112"/>
      <c r="O51" s="112">
        <f t="shared" si="15"/>
        <v>256.3156</v>
      </c>
      <c r="P51" s="112">
        <f t="shared" si="2"/>
        <v>148.23935</v>
      </c>
      <c r="Q51" s="85">
        <f t="shared" si="9"/>
        <v>148.23935</v>
      </c>
      <c r="R51" s="112" t="s">
        <v>489</v>
      </c>
      <c r="S51" s="115">
        <f>_xlfn.XLOOKUP(A51,Sales!D:D,Sales!K:K)</f>
        <v>46164</v>
      </c>
      <c r="T51" s="115">
        <f>VLOOKUP(A51,Sales!D:L,8,0)</f>
        <v>46164</v>
      </c>
      <c r="U51" s="116" t="s">
        <v>534</v>
      </c>
      <c r="V51" s="117">
        <f t="shared" si="3"/>
        <v>-6360.5</v>
      </c>
      <c r="W51" s="117">
        <f t="shared" si="4"/>
        <v>-288.35505</v>
      </c>
      <c r="X51" s="117">
        <f t="shared" si="5"/>
        <v>-222.705759162304</v>
      </c>
      <c r="Y51" s="118">
        <f t="shared" si="6"/>
        <v>6119.53495</v>
      </c>
      <c r="Z51" s="119">
        <v>5317.1</v>
      </c>
      <c r="AA51" s="118">
        <f t="shared" si="7"/>
        <v>802.43495</v>
      </c>
      <c r="AB51" s="93">
        <f t="shared" si="8"/>
        <v>-1554.4608091623</v>
      </c>
      <c r="AC51" s="120"/>
      <c r="AD51" s="121">
        <v>46220</v>
      </c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</row>
    <row r="52" customHeight="1" spans="1:43">
      <c r="A52" s="99">
        <v>30935536</v>
      </c>
      <c r="B52" s="84" t="str">
        <f>_xlfn.XLOOKUP(A52,Sales!D:D,Sales!I:I)</f>
        <v>Petco</v>
      </c>
      <c r="C52" s="85">
        <f>SUMIFS(Sales!H:H,Sales!D:D,A52)</f>
        <v>7395.15</v>
      </c>
      <c r="D52" s="85">
        <f>SUMIFS(Sales!N:N,Sales!D:D,A52)</f>
        <v>3799.79</v>
      </c>
      <c r="E52" s="86" t="s">
        <v>142</v>
      </c>
      <c r="F52" s="85">
        <v>100</v>
      </c>
      <c r="G52" s="85">
        <v>612</v>
      </c>
      <c r="H52" s="87">
        <f>SUMIFS(Sales!R:R,Sales!D:D,A52)</f>
        <v>8.9</v>
      </c>
      <c r="I52" s="85"/>
      <c r="J52" s="85">
        <v>612</v>
      </c>
      <c r="K52" s="87">
        <v>3200</v>
      </c>
      <c r="L52" s="85">
        <f t="shared" si="14"/>
        <v>332.78175</v>
      </c>
      <c r="M52" s="85"/>
      <c r="N52" s="85"/>
      <c r="O52" s="85">
        <f t="shared" si="15"/>
        <v>295.806</v>
      </c>
      <c r="P52" s="85">
        <f t="shared" si="2"/>
        <v>-945.227749999999</v>
      </c>
      <c r="Q52" s="85">
        <f t="shared" si="9"/>
        <v>-945.227749999999</v>
      </c>
      <c r="R52" s="85" t="s">
        <v>489</v>
      </c>
      <c r="S52" s="88">
        <f>_xlfn.XLOOKUP(A52,Sales!D:D,Sales!K:K)</f>
        <v>46146</v>
      </c>
      <c r="T52" s="88">
        <f>VLOOKUP(A52,Sales!D:L,8,0)</f>
        <v>46146</v>
      </c>
      <c r="U52" s="98" t="s">
        <v>535</v>
      </c>
      <c r="V52" s="90">
        <f t="shared" si="3"/>
        <v>-8332.69</v>
      </c>
      <c r="W52" s="90">
        <f t="shared" si="4"/>
        <v>-332.78175</v>
      </c>
      <c r="X52" s="90">
        <f t="shared" si="5"/>
        <v>-289.611308900524</v>
      </c>
      <c r="Y52" s="91">
        <f t="shared" si="6"/>
        <v>7062.36825</v>
      </c>
      <c r="Z52" s="92">
        <v>6914.47</v>
      </c>
      <c r="AA52" s="91">
        <f t="shared" si="7"/>
        <v>147.89825</v>
      </c>
      <c r="AB52" s="93">
        <f t="shared" si="8"/>
        <v>-2040.61305890052</v>
      </c>
      <c r="AC52" s="93"/>
      <c r="AE52" s="94"/>
      <c r="AF52" s="94"/>
      <c r="AG52" s="94"/>
      <c r="AH52" s="94"/>
      <c r="AI52" s="94"/>
      <c r="AJ52" s="94"/>
      <c r="AK52" s="94"/>
      <c r="AL52" s="94"/>
      <c r="AM52" s="94"/>
      <c r="AN52" s="94"/>
      <c r="AO52" s="94"/>
      <c r="AP52" s="94"/>
      <c r="AQ52" s="94"/>
    </row>
    <row r="53" s="66" customFormat="1" ht="28.2" customHeight="1" spans="1:43">
      <c r="A53" s="110">
        <v>30935537</v>
      </c>
      <c r="B53" s="111" t="str">
        <f>_xlfn.XLOOKUP(A53,Sales!D:D,Sales!I:I)</f>
        <v>Petco</v>
      </c>
      <c r="C53" s="112">
        <f>SUMIFS(Sales!H:H,Sales!D:D,A53)</f>
        <v>10659.27</v>
      </c>
      <c r="D53" s="112">
        <f>SUMIFS(Sales!N:N,Sales!D:D,A53)</f>
        <v>5704.15</v>
      </c>
      <c r="E53" s="113" t="s">
        <v>142</v>
      </c>
      <c r="F53" s="112">
        <v>330</v>
      </c>
      <c r="G53" s="112">
        <v>1155</v>
      </c>
      <c r="H53" s="87">
        <f>SUMIFS(Sales!R:R,Sales!D:D,A53)</f>
        <v>14.61</v>
      </c>
      <c r="I53" s="112"/>
      <c r="J53" s="112">
        <v>1155</v>
      </c>
      <c r="K53" s="114">
        <v>4000</v>
      </c>
      <c r="L53" s="112">
        <f t="shared" si="14"/>
        <v>479.66715</v>
      </c>
      <c r="M53" s="112"/>
      <c r="N53" s="112"/>
      <c r="O53" s="112">
        <f t="shared" si="15"/>
        <v>426.3708</v>
      </c>
      <c r="P53" s="112">
        <f t="shared" si="2"/>
        <v>-1435.91795</v>
      </c>
      <c r="Q53" s="85">
        <f t="shared" si="9"/>
        <v>-1435.91795</v>
      </c>
      <c r="R53" s="112" t="s">
        <v>489</v>
      </c>
      <c r="S53" s="115">
        <f>_xlfn.XLOOKUP(A53,Sales!D:D,Sales!K:K)</f>
        <v>46164</v>
      </c>
      <c r="T53" s="115">
        <f>VLOOKUP(A53,Sales!D:L,8,0)</f>
        <v>46164</v>
      </c>
      <c r="U53" s="126" t="s">
        <v>536</v>
      </c>
      <c r="V53" s="117">
        <f t="shared" si="3"/>
        <v>-12358.76</v>
      </c>
      <c r="W53" s="117">
        <f t="shared" si="4"/>
        <v>-479.66715</v>
      </c>
      <c r="X53" s="117">
        <f t="shared" si="5"/>
        <v>-408.410890052356</v>
      </c>
      <c r="Y53" s="118">
        <f t="shared" si="6"/>
        <v>10179.60285</v>
      </c>
      <c r="Z53" s="119">
        <v>9750.81</v>
      </c>
      <c r="AA53" s="118">
        <f t="shared" si="7"/>
        <v>428.792850000002</v>
      </c>
      <c r="AB53" s="93">
        <f t="shared" si="8"/>
        <v>-3496.02804005236</v>
      </c>
      <c r="AC53" s="120"/>
      <c r="AD53" s="127">
        <v>46210</v>
      </c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</row>
    <row r="54" customHeight="1" spans="1:43">
      <c r="A54" s="102" t="s">
        <v>374</v>
      </c>
      <c r="B54" s="84" t="str">
        <f>_xlfn.XLOOKUP(A54,Sales!D:D,Sales!I:I)</f>
        <v>PSP</v>
      </c>
      <c r="C54" s="85">
        <f>SUMIFS(Sales!H:H,Sales!D:D,A54)</f>
        <v>2229.16</v>
      </c>
      <c r="D54" s="85">
        <f>SUMIFS(Sales!N:N,Sales!D:D,A54)</f>
        <v>1083.64</v>
      </c>
      <c r="E54" s="96">
        <f>SUMIF(Sales!D:D,A54,Sales!O:O)</f>
        <v>26</v>
      </c>
      <c r="F54" s="85">
        <v>78</v>
      </c>
      <c r="G54" s="85">
        <v>210</v>
      </c>
      <c r="H54" s="87">
        <f>SUMIFS(Sales!R:R,Sales!D:D,A54)</f>
        <v>3.17</v>
      </c>
      <c r="I54" s="85"/>
      <c r="J54" s="85">
        <v>210</v>
      </c>
      <c r="K54" s="87">
        <v>1418</v>
      </c>
      <c r="L54" s="85">
        <f t="shared" si="14"/>
        <v>111.458</v>
      </c>
      <c r="M54" s="85"/>
      <c r="N54" s="85"/>
      <c r="O54" s="85">
        <f t="shared" si="15"/>
        <v>89.1664</v>
      </c>
      <c r="P54" s="85">
        <f t="shared" si="2"/>
        <v>-761.1044</v>
      </c>
      <c r="Q54" s="85">
        <f t="shared" si="9"/>
        <v>-761.1044</v>
      </c>
      <c r="R54" s="85" t="s">
        <v>489</v>
      </c>
      <c r="S54" s="88">
        <f>_xlfn.XLOOKUP(A54,Sales!D:D,Sales!K:K)</f>
        <v>46174</v>
      </c>
      <c r="T54" s="88">
        <f>VLOOKUP(A54,Sales!D:L,8,0)</f>
        <v>46174</v>
      </c>
      <c r="U54" s="107" t="s">
        <v>537</v>
      </c>
      <c r="V54" s="90">
        <f t="shared" si="3"/>
        <v>-3028.81</v>
      </c>
      <c r="W54" s="90">
        <f t="shared" si="4"/>
        <v>-111.458</v>
      </c>
      <c r="X54" s="90">
        <f t="shared" si="5"/>
        <v>-88.2277894736842</v>
      </c>
      <c r="Y54" s="91">
        <f t="shared" si="6"/>
        <v>2117.702</v>
      </c>
      <c r="Z54" s="92">
        <v>2095.41</v>
      </c>
      <c r="AA54" s="91">
        <f t="shared" si="7"/>
        <v>22.2919999999999</v>
      </c>
      <c r="AB54" s="93">
        <f t="shared" si="8"/>
        <v>-1133.08578947368</v>
      </c>
      <c r="AC54" s="93"/>
      <c r="AD54" s="101" t="s">
        <v>524</v>
      </c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</row>
    <row r="55" customHeight="1" spans="1:43">
      <c r="A55" s="102" t="s">
        <v>375</v>
      </c>
      <c r="B55" s="84" t="str">
        <f>_xlfn.XLOOKUP(A55,Sales!D:D,Sales!I:I)</f>
        <v>PSP</v>
      </c>
      <c r="C55" s="85">
        <f>SUMIFS(Sales!H:H,Sales!D:D,A55)</f>
        <v>7711.58</v>
      </c>
      <c r="D55" s="85">
        <f>SUMIFS(Sales!N:N,Sales!D:D,A55)</f>
        <v>3767.84</v>
      </c>
      <c r="E55" s="96">
        <f>SUMIF(Sales!D:D,A55,Sales!O:O)</f>
        <v>90</v>
      </c>
      <c r="F55" s="85">
        <v>270</v>
      </c>
      <c r="G55" s="85">
        <v>630</v>
      </c>
      <c r="H55" s="87">
        <f>SUMIFS(Sales!R:R,Sales!D:D,A55)</f>
        <v>11.05</v>
      </c>
      <c r="I55" s="85"/>
      <c r="J55" s="85">
        <v>630</v>
      </c>
      <c r="K55" s="87">
        <v>2393.8</v>
      </c>
      <c r="L55" s="85">
        <f t="shared" si="14"/>
        <v>385.579</v>
      </c>
      <c r="M55" s="85"/>
      <c r="N55" s="85"/>
      <c r="O55" s="85">
        <f t="shared" si="15"/>
        <v>308.4632</v>
      </c>
      <c r="P55" s="85">
        <f t="shared" si="2"/>
        <v>-44.1022000000004</v>
      </c>
      <c r="Q55" s="85">
        <f t="shared" si="9"/>
        <v>-44.1022000000004</v>
      </c>
      <c r="R55" s="85" t="s">
        <v>489</v>
      </c>
      <c r="S55" s="88">
        <f>_xlfn.XLOOKUP(A55,Sales!D:D,Sales!K:K)</f>
        <v>46174</v>
      </c>
      <c r="T55" s="88">
        <f>VLOOKUP(A55,Sales!D:L,8,0)</f>
        <v>46174</v>
      </c>
      <c r="U55" s="107" t="s">
        <v>538</v>
      </c>
      <c r="V55" s="90">
        <f t="shared" si="3"/>
        <v>-7792.69</v>
      </c>
      <c r="W55" s="90">
        <f t="shared" si="4"/>
        <v>-385.579</v>
      </c>
      <c r="X55" s="90">
        <f t="shared" si="5"/>
        <v>-291.283789473684</v>
      </c>
      <c r="Y55" s="91">
        <f t="shared" si="6"/>
        <v>7326.001</v>
      </c>
      <c r="Z55" s="92">
        <v>6917.99</v>
      </c>
      <c r="AA55" s="91">
        <f t="shared" si="7"/>
        <v>408.011</v>
      </c>
      <c r="AB55" s="93">
        <f t="shared" si="8"/>
        <v>-1551.56278947368</v>
      </c>
      <c r="AC55" s="93"/>
      <c r="AD55" s="101" t="s">
        <v>524</v>
      </c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  <c r="AP55" s="94"/>
      <c r="AQ55" s="94"/>
    </row>
    <row r="56" customHeight="1" spans="1:43">
      <c r="A56" s="102" t="s">
        <v>376</v>
      </c>
      <c r="B56" s="84" t="str">
        <f>_xlfn.XLOOKUP(A56,Sales!D:D,Sales!I:I)</f>
        <v>PSP</v>
      </c>
      <c r="C56" s="85">
        <f>SUMIFS(Sales!H:H,Sales!D:D,A56)</f>
        <v>1267.92</v>
      </c>
      <c r="D56" s="85">
        <f>SUMIFS(Sales!N:N,Sales!D:D,A56)</f>
        <v>613.68</v>
      </c>
      <c r="E56" s="96">
        <f>SUMIF(Sales!D:D,A56,Sales!O:O)</f>
        <v>16</v>
      </c>
      <c r="F56" s="85">
        <f t="shared" ref="F56:F117" si="16">E56*3</f>
        <v>48</v>
      </c>
      <c r="G56" s="85">
        <f t="shared" ref="G56:G63" si="17">(569018.39/7)/5728*E56</f>
        <v>227.06240622506</v>
      </c>
      <c r="H56" s="87">
        <f>SUMIFS(Sales!R:R,Sales!D:D,A56)</f>
        <v>1.69</v>
      </c>
      <c r="I56" s="85">
        <v>10000</v>
      </c>
      <c r="J56" s="85">
        <f t="shared" ref="J56:J84" si="18">I56*H56/68</f>
        <v>248.529411764706</v>
      </c>
      <c r="K56" s="87">
        <v>691.91</v>
      </c>
      <c r="L56" s="85">
        <f t="shared" si="14"/>
        <v>63.396</v>
      </c>
      <c r="M56" s="85"/>
      <c r="N56" s="85"/>
      <c r="O56" s="85">
        <f t="shared" si="15"/>
        <v>50.7168</v>
      </c>
      <c r="P56" s="85">
        <f t="shared" si="2"/>
        <v>-426.84520622506</v>
      </c>
      <c r="Q56" s="85">
        <f t="shared" si="9"/>
        <v>-448.312211764706</v>
      </c>
      <c r="R56" s="85"/>
      <c r="S56" s="88">
        <f>_xlfn.XLOOKUP(A56,Sales!D:D,Sales!K:K)</f>
        <v>46208</v>
      </c>
      <c r="T56" s="88">
        <v>46197</v>
      </c>
      <c r="U56" s="107" t="s">
        <v>539</v>
      </c>
      <c r="V56" s="90">
        <f t="shared" si="3"/>
        <v>-11846.8718179898</v>
      </c>
      <c r="W56" s="90">
        <f t="shared" si="4"/>
        <v>-63.396</v>
      </c>
      <c r="X56" s="90">
        <f t="shared" si="5"/>
        <v>-49.3187368421053</v>
      </c>
      <c r="Y56" s="91">
        <f t="shared" si="6"/>
        <v>1204.524</v>
      </c>
      <c r="Z56" s="92">
        <v>1171.32</v>
      </c>
      <c r="AA56" s="91">
        <f t="shared" si="7"/>
        <v>33.2040000000002</v>
      </c>
      <c r="AB56" s="93">
        <f t="shared" si="8"/>
        <v>-10788.2665548319</v>
      </c>
      <c r="AC56" s="93"/>
      <c r="AD56" s="101" t="s">
        <v>524</v>
      </c>
      <c r="AE56" s="94"/>
      <c r="AF56" s="94"/>
      <c r="AG56" s="94"/>
      <c r="AH56" s="94"/>
      <c r="AI56" s="94"/>
      <c r="AJ56" s="94"/>
      <c r="AK56" s="94"/>
      <c r="AL56" s="94"/>
      <c r="AM56" s="94"/>
      <c r="AN56" s="94"/>
      <c r="AO56" s="94"/>
      <c r="AP56" s="94"/>
      <c r="AQ56" s="94"/>
    </row>
    <row r="57" customHeight="1" spans="1:43">
      <c r="A57" s="102" t="s">
        <v>378</v>
      </c>
      <c r="B57" s="84" t="str">
        <f>_xlfn.XLOOKUP(A57,Sales!D:D,Sales!I:I)</f>
        <v>PSP</v>
      </c>
      <c r="C57" s="85">
        <f>SUMIFS(Sales!H:H,Sales!D:D,A57)</f>
        <v>8891.58</v>
      </c>
      <c r="D57" s="85">
        <f>SUMIFS(Sales!N:N,Sales!D:D,A57)</f>
        <v>4304.94</v>
      </c>
      <c r="E57" s="96">
        <f>SUMIF(Sales!D:D,A57,Sales!O:O)</f>
        <v>126</v>
      </c>
      <c r="F57" s="85">
        <f t="shared" si="16"/>
        <v>378</v>
      </c>
      <c r="G57" s="85">
        <f t="shared" si="17"/>
        <v>1788.11644902235</v>
      </c>
      <c r="H57" s="87">
        <f>SUMIFS(Sales!R:R,Sales!D:D,A57)</f>
        <v>12.25</v>
      </c>
      <c r="I57" s="85">
        <v>10000</v>
      </c>
      <c r="J57" s="85">
        <f t="shared" si="18"/>
        <v>1801.47058823529</v>
      </c>
      <c r="K57" s="87">
        <v>2474</v>
      </c>
      <c r="L57" s="85">
        <f t="shared" si="14"/>
        <v>444.579</v>
      </c>
      <c r="M57" s="85"/>
      <c r="N57" s="85"/>
      <c r="O57" s="85">
        <f t="shared" si="15"/>
        <v>355.6632</v>
      </c>
      <c r="P57" s="85">
        <f t="shared" si="2"/>
        <v>-853.718649022344</v>
      </c>
      <c r="Q57" s="85">
        <f t="shared" si="9"/>
        <v>-867.072788235292</v>
      </c>
      <c r="R57" s="85"/>
      <c r="S57" s="88">
        <f>_xlfn.XLOOKUP(A57,Sales!D:D,Sales!K:K)</f>
        <v>46208</v>
      </c>
      <c r="T57" s="88">
        <v>46197</v>
      </c>
      <c r="U57" s="107" t="s">
        <v>540</v>
      </c>
      <c r="V57" s="90">
        <f t="shared" si="3"/>
        <v>-20884.7770372576</v>
      </c>
      <c r="W57" s="90">
        <f t="shared" si="4"/>
        <v>-444.579</v>
      </c>
      <c r="X57" s="90">
        <f t="shared" si="5"/>
        <v>-91.4517894736842</v>
      </c>
      <c r="Y57" s="91">
        <f t="shared" si="6"/>
        <v>8447.001</v>
      </c>
      <c r="Z57" s="92">
        <v>2171.98</v>
      </c>
      <c r="AA57" s="91">
        <f t="shared" si="7"/>
        <v>6275.021</v>
      </c>
      <c r="AB57" s="93">
        <f t="shared" si="8"/>
        <v>-19248.8278267313</v>
      </c>
      <c r="AC57" s="93"/>
      <c r="AD57" s="101" t="s">
        <v>524</v>
      </c>
      <c r="AE57" s="94"/>
      <c r="AF57" s="94" t="s">
        <v>480</v>
      </c>
      <c r="AG57" s="94" t="s">
        <v>524</v>
      </c>
      <c r="AH57" s="94"/>
      <c r="AI57" s="94"/>
      <c r="AJ57" s="94"/>
      <c r="AK57" s="94"/>
      <c r="AL57" s="94"/>
      <c r="AM57" s="94"/>
      <c r="AN57" s="94"/>
      <c r="AO57" s="94"/>
      <c r="AP57" s="94"/>
      <c r="AQ57" s="94"/>
    </row>
    <row r="58" customHeight="1" spans="1:43">
      <c r="A58" s="102" t="s">
        <v>396</v>
      </c>
      <c r="B58" s="84" t="str">
        <f>_xlfn.XLOOKUP(A58,Sales!D:D,Sales!I:I)</f>
        <v>PSP</v>
      </c>
      <c r="C58" s="85">
        <f>SUMIFS(Sales!H:H,Sales!D:D,A58)</f>
        <v>3233.49</v>
      </c>
      <c r="D58" s="85">
        <f>SUMIFS(Sales!N:N,Sales!D:D,A58)</f>
        <v>1597.62</v>
      </c>
      <c r="E58" s="96">
        <f>SUMIF(Sales!D:D,A58,Sales!O:O)</f>
        <v>41</v>
      </c>
      <c r="F58" s="85">
        <f t="shared" si="16"/>
        <v>123</v>
      </c>
      <c r="G58" s="85">
        <f t="shared" si="17"/>
        <v>581.847415951716</v>
      </c>
      <c r="H58" s="87">
        <f>SUMIFS(Sales!R:R,Sales!D:D,A58)</f>
        <v>6.45</v>
      </c>
      <c r="I58" s="85">
        <v>10000</v>
      </c>
      <c r="J58" s="85">
        <f t="shared" si="18"/>
        <v>948.529411764706</v>
      </c>
      <c r="K58" s="87">
        <v>1828</v>
      </c>
      <c r="L58" s="85">
        <f t="shared" si="14"/>
        <v>161.6745</v>
      </c>
      <c r="M58" s="85"/>
      <c r="N58" s="85"/>
      <c r="O58" s="85">
        <f t="shared" si="15"/>
        <v>129.3396</v>
      </c>
      <c r="P58" s="85">
        <f t="shared" si="2"/>
        <v>-1187.99151595172</v>
      </c>
      <c r="Q58" s="85">
        <f t="shared" si="9"/>
        <v>-1554.67351176471</v>
      </c>
      <c r="R58" s="85"/>
      <c r="S58" s="88">
        <f>_xlfn.XLOOKUP(A58,Sales!D:D,Sales!K:K)</f>
        <v>46208</v>
      </c>
      <c r="T58" s="88">
        <v>46198</v>
      </c>
      <c r="U58" s="107" t="s">
        <v>541</v>
      </c>
      <c r="V58" s="90">
        <f t="shared" si="3"/>
        <v>-15126.4468277164</v>
      </c>
      <c r="W58" s="90">
        <f t="shared" si="4"/>
        <v>-161.6745</v>
      </c>
      <c r="X58" s="90">
        <f t="shared" si="5"/>
        <v>-34.1444210526316</v>
      </c>
      <c r="Y58" s="91">
        <f t="shared" si="6"/>
        <v>3071.8155</v>
      </c>
      <c r="Z58" s="92">
        <v>810.93</v>
      </c>
      <c r="AA58" s="91">
        <f t="shared" si="7"/>
        <v>2260.8855</v>
      </c>
      <c r="AB58" s="93">
        <f t="shared" si="8"/>
        <v>-14511.3357487691</v>
      </c>
      <c r="AC58" s="93"/>
      <c r="AD58" s="101" t="s">
        <v>524</v>
      </c>
      <c r="AE58" s="94"/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</row>
    <row r="59" customHeight="1" spans="1:43">
      <c r="A59" s="102">
        <v>31068083</v>
      </c>
      <c r="B59" s="84" t="str">
        <f>_xlfn.XLOOKUP(A59,Sales!D:D,Sales!I:I)</f>
        <v>Petco</v>
      </c>
      <c r="C59" s="85">
        <f>SUMIFS(Sales!H:H,Sales!D:D,A59)</f>
        <v>3001.66</v>
      </c>
      <c r="D59" s="85">
        <f>SUMIFS(Sales!N:N,Sales!D:D,A59)</f>
        <v>1639.56</v>
      </c>
      <c r="E59" s="96">
        <f>SUMIF(Sales!D:D,A59,Sales!O:O)</f>
        <v>27</v>
      </c>
      <c r="F59" s="85">
        <f t="shared" si="16"/>
        <v>81</v>
      </c>
      <c r="G59" s="85">
        <f t="shared" si="17"/>
        <v>383.167810504788</v>
      </c>
      <c r="H59" s="87">
        <f>SUMIFS(Sales!R:R,Sales!D:D,A59)</f>
        <v>3.97</v>
      </c>
      <c r="I59" s="85">
        <v>10000</v>
      </c>
      <c r="J59" s="85">
        <f t="shared" si="18"/>
        <v>583.823529411765</v>
      </c>
      <c r="K59" s="87">
        <v>1422.88</v>
      </c>
      <c r="L59" s="85">
        <f t="shared" si="14"/>
        <v>135.0747</v>
      </c>
      <c r="M59" s="85"/>
      <c r="N59" s="85"/>
      <c r="O59" s="85">
        <f t="shared" si="15"/>
        <v>120.0664</v>
      </c>
      <c r="P59" s="85">
        <f t="shared" si="2"/>
        <v>-780.088910504789</v>
      </c>
      <c r="Q59" s="85">
        <f t="shared" si="9"/>
        <v>-980.744629411765</v>
      </c>
      <c r="R59" s="85"/>
      <c r="S59" s="88">
        <f>_xlfn.XLOOKUP(A59,Sales!D:D,Sales!K:K)</f>
        <v>46181</v>
      </c>
      <c r="T59" s="88">
        <v>46182</v>
      </c>
      <c r="U59" s="107" t="s">
        <v>542</v>
      </c>
      <c r="V59" s="90">
        <f t="shared" si="3"/>
        <v>-14141.4013399166</v>
      </c>
      <c r="W59" s="90">
        <f t="shared" si="4"/>
        <v>-135.0747</v>
      </c>
      <c r="X59" s="90">
        <f t="shared" si="5"/>
        <v>-62.0171727748691</v>
      </c>
      <c r="Y59" s="91">
        <f t="shared" si="6"/>
        <v>2866.5853</v>
      </c>
      <c r="Z59" s="92">
        <v>1480.66</v>
      </c>
      <c r="AA59" s="91">
        <f t="shared" si="7"/>
        <v>1385.9253</v>
      </c>
      <c r="AB59" s="93">
        <f t="shared" si="8"/>
        <v>-12857.8332126914</v>
      </c>
      <c r="AC59" s="93"/>
      <c r="AD59" s="101" t="s">
        <v>524</v>
      </c>
      <c r="AE59" s="94"/>
      <c r="AF59" s="94" t="s">
        <v>319</v>
      </c>
      <c r="AG59" s="94" t="s">
        <v>472</v>
      </c>
      <c r="AH59" s="94" t="s">
        <v>543</v>
      </c>
      <c r="AI59" s="94" t="s">
        <v>544</v>
      </c>
      <c r="AJ59" s="94"/>
      <c r="AK59" s="94"/>
      <c r="AL59" s="94"/>
      <c r="AM59" s="94"/>
      <c r="AN59" s="94"/>
      <c r="AO59" s="94"/>
      <c r="AP59" s="94"/>
      <c r="AQ59" s="94"/>
    </row>
    <row r="60" customFormat="1" customHeight="1" spans="1:43">
      <c r="A60" s="102">
        <v>31068084</v>
      </c>
      <c r="B60" s="84" t="str">
        <f>_xlfn.XLOOKUP(A60,Sales!D:D,Sales!I:I)</f>
        <v>Petco</v>
      </c>
      <c r="C60" s="85">
        <f>SUMIFS(Sales!H:H,Sales!D:D,A60)</f>
        <v>3197.26</v>
      </c>
      <c r="D60" s="85">
        <f>SUMIFS(Sales!N:N,Sales!D:D,A60)</f>
        <v>1738.45</v>
      </c>
      <c r="E60" s="96">
        <f>SUMIF(Sales!D:D,A60,Sales!O:O)</f>
        <v>26</v>
      </c>
      <c r="F60" s="85">
        <f t="shared" si="16"/>
        <v>78</v>
      </c>
      <c r="G60" s="85">
        <f t="shared" si="17"/>
        <v>368.976410115722</v>
      </c>
      <c r="H60" s="87">
        <f>SUMIFS(Sales!R:R,Sales!D:D,A60)</f>
        <v>3.5</v>
      </c>
      <c r="I60" s="85">
        <v>10000</v>
      </c>
      <c r="J60" s="85">
        <f t="shared" si="18"/>
        <v>514.705882352941</v>
      </c>
      <c r="K60" s="87">
        <v>1148.86</v>
      </c>
      <c r="L60" s="85">
        <f t="shared" si="14"/>
        <v>143.8767</v>
      </c>
      <c r="M60" s="85"/>
      <c r="N60" s="85"/>
      <c r="O60" s="85">
        <f t="shared" si="15"/>
        <v>127.8904</v>
      </c>
      <c r="P60" s="85">
        <f t="shared" si="2"/>
        <v>-408.793510115722</v>
      </c>
      <c r="Q60" s="85">
        <f t="shared" si="9"/>
        <v>-554.522982352941</v>
      </c>
      <c r="R60" s="85"/>
      <c r="S60" s="88">
        <f>_xlfn.XLOOKUP(A60,Sales!D:D,Sales!K:K)</f>
        <v>46209</v>
      </c>
      <c r="T60" s="88">
        <v>46197</v>
      </c>
      <c r="U60" s="107" t="s">
        <v>545</v>
      </c>
      <c r="V60" s="90">
        <f t="shared" si="3"/>
        <v>-13878.4922924687</v>
      </c>
      <c r="W60" s="90">
        <f t="shared" si="4"/>
        <v>-143.8767</v>
      </c>
      <c r="X60" s="90">
        <f t="shared" si="5"/>
        <v>-125.211727748691</v>
      </c>
      <c r="Y60" s="91">
        <f t="shared" si="6"/>
        <v>3053.3833</v>
      </c>
      <c r="Z60" s="92">
        <v>2989.43</v>
      </c>
      <c r="AA60" s="91">
        <f t="shared" si="7"/>
        <v>63.9533000000001</v>
      </c>
      <c r="AB60" s="93">
        <f t="shared" si="8"/>
        <v>-11158.1507202174</v>
      </c>
      <c r="AC60" s="93"/>
      <c r="AD60" s="101" t="s">
        <v>524</v>
      </c>
      <c r="AE60" s="94"/>
      <c r="AF60" s="94" t="s">
        <v>353</v>
      </c>
      <c r="AG60" s="94" t="s">
        <v>523</v>
      </c>
      <c r="AH60" s="94">
        <v>13088.62</v>
      </c>
      <c r="AI60" s="94">
        <v>24194.524</v>
      </c>
      <c r="AJ60" s="94"/>
      <c r="AK60" s="94"/>
      <c r="AL60" s="94"/>
      <c r="AM60" s="94"/>
      <c r="AN60" s="94"/>
      <c r="AO60" s="94"/>
      <c r="AP60" s="94"/>
      <c r="AQ60" s="94"/>
    </row>
    <row r="61" customFormat="1" customHeight="1" spans="1:43">
      <c r="A61" s="102">
        <v>31205996</v>
      </c>
      <c r="B61" s="84" t="str">
        <f>_xlfn.XLOOKUP(A61,Sales!D:D,Sales!I:I)</f>
        <v>Petco</v>
      </c>
      <c r="C61" s="85">
        <f>SUMIFS(Sales!H:H,Sales!D:D,A61)</f>
        <v>3022</v>
      </c>
      <c r="D61" s="85">
        <f>SUMIFS(Sales!N:N,Sales!D:D,A61)</f>
        <v>1626.26</v>
      </c>
      <c r="E61" s="96">
        <f>SUMIF(Sales!D:D,A61,Sales!O:O)</f>
        <v>44</v>
      </c>
      <c r="F61" s="85">
        <f t="shared" si="16"/>
        <v>132</v>
      </c>
      <c r="G61" s="85">
        <f t="shared" si="17"/>
        <v>624.421617118915</v>
      </c>
      <c r="H61" s="87">
        <f>SUMIFS(Sales!R:R,Sales!D:D,A61)</f>
        <v>4.16</v>
      </c>
      <c r="I61" s="85">
        <v>10000</v>
      </c>
      <c r="J61" s="85">
        <f t="shared" si="18"/>
        <v>611.764705882353</v>
      </c>
      <c r="K61" s="87">
        <v>250</v>
      </c>
      <c r="L61" s="85">
        <f t="shared" si="14"/>
        <v>135.99</v>
      </c>
      <c r="M61" s="85"/>
      <c r="N61" s="85"/>
      <c r="O61" s="85">
        <f t="shared" si="15"/>
        <v>120.88</v>
      </c>
      <c r="P61" s="85">
        <f t="shared" si="2"/>
        <v>132.448382881085</v>
      </c>
      <c r="Q61" s="85">
        <f t="shared" si="9"/>
        <v>145.105294117647</v>
      </c>
      <c r="R61" s="85"/>
      <c r="S61" s="88">
        <f>_xlfn.XLOOKUP(A61,Sales!D:D,Sales!K:K)</f>
        <v>46197</v>
      </c>
      <c r="T61" s="88">
        <v>46197</v>
      </c>
      <c r="U61" s="107" t="s">
        <v>546</v>
      </c>
      <c r="V61" s="90">
        <f t="shared" si="3"/>
        <v>-13292.6063230013</v>
      </c>
      <c r="W61" s="90">
        <f t="shared" si="4"/>
        <v>-135.99</v>
      </c>
      <c r="X61" s="90">
        <f t="shared" si="5"/>
        <v>-83.7696335078534</v>
      </c>
      <c r="Y61" s="91">
        <f t="shared" si="6"/>
        <v>2886.01</v>
      </c>
      <c r="Z61" s="92">
        <v>2000</v>
      </c>
      <c r="AA61" s="91">
        <f t="shared" si="7"/>
        <v>886.01</v>
      </c>
      <c r="AB61" s="93">
        <f t="shared" si="8"/>
        <v>-11512.3659565091</v>
      </c>
      <c r="AC61" s="93"/>
      <c r="AD61" s="101" t="s">
        <v>524</v>
      </c>
      <c r="AE61" s="94"/>
      <c r="AF61" s="94" t="s">
        <v>547</v>
      </c>
      <c r="AG61" s="94"/>
      <c r="AH61" s="94">
        <v>13088.62</v>
      </c>
      <c r="AI61" s="94">
        <v>24194.524</v>
      </c>
      <c r="AJ61" s="94"/>
      <c r="AK61" s="94"/>
      <c r="AL61" s="94"/>
      <c r="AM61" s="94"/>
      <c r="AN61" s="94"/>
      <c r="AO61" s="94"/>
      <c r="AP61" s="94"/>
      <c r="AQ61" s="94"/>
    </row>
    <row r="62" customFormat="1" customHeight="1" spans="1:43">
      <c r="A62" s="102">
        <v>31173385</v>
      </c>
      <c r="B62" s="84" t="str">
        <f>_xlfn.XLOOKUP(A62,Sales!D:D,Sales!I:I)</f>
        <v>Petco</v>
      </c>
      <c r="C62" s="85">
        <f>SUMIFS(Sales!H:H,Sales!D:D,A62)</f>
        <v>3123.61</v>
      </c>
      <c r="D62" s="85">
        <f>SUMIFS(Sales!N:N,Sales!D:D,A62)</f>
        <v>1884.73</v>
      </c>
      <c r="E62" s="96">
        <f>SUMIF(Sales!D:D,A62,Sales!O:O)</f>
        <v>27</v>
      </c>
      <c r="F62" s="85">
        <f t="shared" si="16"/>
        <v>81</v>
      </c>
      <c r="G62" s="85">
        <f t="shared" si="17"/>
        <v>383.167810504788</v>
      </c>
      <c r="H62" s="87">
        <f>SUMIFS(Sales!R:R,Sales!D:D,A62)</f>
        <v>2.68</v>
      </c>
      <c r="I62" s="85">
        <v>10000</v>
      </c>
      <c r="J62" s="85">
        <f t="shared" si="18"/>
        <v>394.117647058824</v>
      </c>
      <c r="K62" s="87">
        <v>1192.77</v>
      </c>
      <c r="L62" s="85">
        <f t="shared" si="14"/>
        <v>140.56245</v>
      </c>
      <c r="M62" s="85"/>
      <c r="N62" s="85"/>
      <c r="O62" s="85">
        <f t="shared" si="15"/>
        <v>124.9444</v>
      </c>
      <c r="P62" s="85">
        <f t="shared" si="2"/>
        <v>-683.564660504789</v>
      </c>
      <c r="Q62" s="85">
        <f t="shared" si="9"/>
        <v>-694.514497058824</v>
      </c>
      <c r="R62" s="85"/>
      <c r="S62" s="88">
        <f>_xlfn.XLOOKUP(A62,Sales!D:D,Sales!K:K)</f>
        <v>46198</v>
      </c>
      <c r="T62" s="88">
        <v>46197</v>
      </c>
      <c r="U62" s="107" t="s">
        <v>548</v>
      </c>
      <c r="V62" s="90">
        <f t="shared" si="3"/>
        <v>-13965.4654575636</v>
      </c>
      <c r="W62" s="90">
        <f t="shared" si="4"/>
        <v>-140.56245</v>
      </c>
      <c r="X62" s="90">
        <f t="shared" si="5"/>
        <v>-220.019685863874</v>
      </c>
      <c r="Y62" s="91">
        <f t="shared" si="6"/>
        <v>2983.04755</v>
      </c>
      <c r="Z62" s="92">
        <v>5252.97</v>
      </c>
      <c r="AA62" s="91">
        <f t="shared" si="7"/>
        <v>-2269.92245</v>
      </c>
      <c r="AB62" s="93">
        <f t="shared" si="8"/>
        <v>-9073.07759342748</v>
      </c>
      <c r="AC62" s="93"/>
      <c r="AD62" s="101" t="s">
        <v>524</v>
      </c>
      <c r="AE62" s="94"/>
      <c r="AF62" s="94" t="s">
        <v>325</v>
      </c>
      <c r="AG62" s="94" t="s">
        <v>542</v>
      </c>
      <c r="AH62" s="94">
        <v>1639.56</v>
      </c>
      <c r="AI62" s="94">
        <v>2866.5853</v>
      </c>
      <c r="AJ62" s="94"/>
      <c r="AK62" s="94"/>
      <c r="AL62" s="94"/>
      <c r="AM62" s="94"/>
      <c r="AN62" s="94"/>
      <c r="AO62" s="94"/>
      <c r="AP62" s="94"/>
      <c r="AQ62" s="94"/>
    </row>
    <row r="63" customFormat="1" customHeight="1" spans="1:43">
      <c r="A63" s="102">
        <v>31173386</v>
      </c>
      <c r="B63" s="84" t="str">
        <f>_xlfn.XLOOKUP(A63,Sales!D:D,Sales!I:I)</f>
        <v>Petco</v>
      </c>
      <c r="C63" s="85">
        <f>SUMIFS(Sales!H:H,Sales!D:D,A63)</f>
        <v>3722.13</v>
      </c>
      <c r="D63" s="85">
        <f>SUMIFS(Sales!N:N,Sales!D:D,A63)</f>
        <v>2072.93</v>
      </c>
      <c r="E63" s="96">
        <f>SUMIF(Sales!D:D,A63,Sales!O:O)</f>
        <v>48</v>
      </c>
      <c r="F63" s="85">
        <f t="shared" si="16"/>
        <v>144</v>
      </c>
      <c r="G63" s="85">
        <f t="shared" si="17"/>
        <v>681.18721867518</v>
      </c>
      <c r="H63" s="87">
        <f>SUMIFS(Sales!R:R,Sales!D:D,A63)</f>
        <v>4.63</v>
      </c>
      <c r="I63" s="85">
        <v>10000</v>
      </c>
      <c r="J63" s="85">
        <f t="shared" si="18"/>
        <v>680.882352941177</v>
      </c>
      <c r="K63" s="87">
        <v>250</v>
      </c>
      <c r="L63" s="85">
        <f t="shared" si="14"/>
        <v>167.49585</v>
      </c>
      <c r="M63" s="85"/>
      <c r="N63" s="85"/>
      <c r="O63" s="85">
        <f t="shared" si="15"/>
        <v>148.8852</v>
      </c>
      <c r="P63" s="85">
        <f t="shared" si="2"/>
        <v>257.631731324821</v>
      </c>
      <c r="Q63" s="85">
        <f t="shared" si="9"/>
        <v>257.936597058824</v>
      </c>
      <c r="R63" s="85"/>
      <c r="S63" s="88">
        <f>_xlfn.XLOOKUP(A63,Sales!D:D,Sales!K:K)</f>
        <v>46192</v>
      </c>
      <c r="T63" s="88">
        <v>46192</v>
      </c>
      <c r="U63" s="107" t="s">
        <v>549</v>
      </c>
      <c r="V63" s="90">
        <f t="shared" si="3"/>
        <v>-13881.6295716164</v>
      </c>
      <c r="W63" s="90">
        <f t="shared" si="4"/>
        <v>-167.49585</v>
      </c>
      <c r="X63" s="90">
        <f t="shared" si="5"/>
        <v>-40.5968586387434</v>
      </c>
      <c r="Y63" s="91">
        <f t="shared" si="6"/>
        <v>3554.63415</v>
      </c>
      <c r="Z63" s="92">
        <v>969.25</v>
      </c>
      <c r="AA63" s="91">
        <f t="shared" si="7"/>
        <v>2585.38415</v>
      </c>
      <c r="AB63" s="93">
        <f t="shared" si="8"/>
        <v>-13120.4722802551</v>
      </c>
      <c r="AC63" s="93"/>
      <c r="AD63" s="101" t="s">
        <v>524</v>
      </c>
      <c r="AE63" s="94"/>
      <c r="AF63" s="94"/>
      <c r="AG63" s="94" t="s">
        <v>526</v>
      </c>
      <c r="AH63" s="94">
        <v>5920.91</v>
      </c>
      <c r="AI63" s="94">
        <v>10493.0243</v>
      </c>
      <c r="AJ63" s="94"/>
      <c r="AK63" s="94"/>
      <c r="AL63" s="94"/>
      <c r="AM63" s="94"/>
      <c r="AN63" s="94"/>
      <c r="AO63" s="94"/>
      <c r="AP63" s="94"/>
      <c r="AQ63" s="94"/>
    </row>
    <row r="64" customFormat="1" customHeight="1" spans="1:43">
      <c r="A64" s="102">
        <v>454343202</v>
      </c>
      <c r="B64" s="84" t="str">
        <f>_xlfn.XLOOKUP(A64,Sales!D:D,Sales!I:I)</f>
        <v>Petsmart</v>
      </c>
      <c r="C64" s="85">
        <f>SUMIFS(Sales!H:H,Sales!D:D,A64)</f>
        <v>26058.8988</v>
      </c>
      <c r="D64" s="85">
        <f>SUMIFS(Sales!N:N,Sales!D:D,A64)</f>
        <v>13514.49</v>
      </c>
      <c r="E64" s="96">
        <f>SUMIF(Sales!D:D,A64,Sales!O:O)</f>
        <v>561</v>
      </c>
      <c r="F64" s="85">
        <f t="shared" si="16"/>
        <v>1683</v>
      </c>
      <c r="G64" s="85">
        <f t="shared" ref="G64:G84" si="19">((401084.34-72550.7)/7)/2571*E64</f>
        <v>10241.0052808801</v>
      </c>
      <c r="H64" s="87">
        <f>SUMIFS(Sales!R:R,Sales!D:D,A64)</f>
        <v>41.5</v>
      </c>
      <c r="I64" s="85">
        <v>10000</v>
      </c>
      <c r="J64" s="85">
        <f t="shared" si="18"/>
        <v>6102.94117647059</v>
      </c>
      <c r="K64" s="87">
        <v>0</v>
      </c>
      <c r="L64" s="85">
        <f t="shared" si="14"/>
        <v>521.177976</v>
      </c>
      <c r="M64" s="85"/>
      <c r="N64" s="85"/>
      <c r="O64" s="85">
        <f t="shared" ref="O64:O69" si="20">C64*0.06</f>
        <v>1563.533928</v>
      </c>
      <c r="P64" s="85">
        <f t="shared" si="2"/>
        <v>-1464.30838488015</v>
      </c>
      <c r="Q64" s="85">
        <f t="shared" si="9"/>
        <v>2673.75571952941</v>
      </c>
      <c r="R64" s="85"/>
      <c r="S64" s="88">
        <f>_xlfn.XLOOKUP(A64,Sales!D:D,Sales!K:K)</f>
        <v>46230</v>
      </c>
      <c r="T64" s="88">
        <f>_xlfn.XLOOKUP(A64,Sales!D:D,Sales!L:L)</f>
        <v>46233</v>
      </c>
      <c r="U64" s="107" t="s">
        <v>550</v>
      </c>
      <c r="V64" s="90">
        <f t="shared" si="3"/>
        <v>-42143.9364573507</v>
      </c>
      <c r="W64" s="90">
        <f t="shared" si="4"/>
        <v>-521.177976</v>
      </c>
      <c r="X64" s="90">
        <f t="shared" si="5"/>
        <v>-1563.533928</v>
      </c>
      <c r="Y64" s="91">
        <f t="shared" si="6"/>
        <v>25537.720824</v>
      </c>
      <c r="Z64" s="92"/>
      <c r="AA64" s="91">
        <f t="shared" si="7"/>
        <v>25537.720824</v>
      </c>
      <c r="AB64" s="93">
        <f t="shared" si="8"/>
        <v>-44228.6483613507</v>
      </c>
      <c r="AC64" s="93"/>
      <c r="AD64" s="101"/>
      <c r="AE64" s="94"/>
      <c r="AF64" s="94"/>
      <c r="AG64" s="94" t="s">
        <v>546</v>
      </c>
      <c r="AH64" s="94">
        <v>1626.26</v>
      </c>
      <c r="AI64" s="94">
        <v>2886.01</v>
      </c>
      <c r="AJ64" s="94"/>
      <c r="AK64" s="94"/>
      <c r="AL64" s="94"/>
      <c r="AM64" s="94"/>
      <c r="AN64" s="94"/>
      <c r="AO64" s="94"/>
      <c r="AP64" s="94"/>
      <c r="AQ64" s="94"/>
    </row>
    <row r="65" customFormat="1" customHeight="1" spans="1:43">
      <c r="A65" s="102">
        <v>454343203</v>
      </c>
      <c r="B65" s="84" t="str">
        <f>_xlfn.XLOOKUP(A65,Sales!D:D,Sales!I:I)</f>
        <v>Petsmart</v>
      </c>
      <c r="C65" s="85">
        <f>SUMIFS(Sales!H:H,Sales!D:D,A65)</f>
        <v>33444.576</v>
      </c>
      <c r="D65" s="85">
        <f>SUMIFS(Sales!N:N,Sales!D:D,A65)</f>
        <v>17344.8</v>
      </c>
      <c r="E65" s="96">
        <f>SUMIF(Sales!D:D,A65,Sales!O:O)</f>
        <v>720</v>
      </c>
      <c r="F65" s="85">
        <f t="shared" si="16"/>
        <v>2160</v>
      </c>
      <c r="G65" s="85">
        <f t="shared" si="19"/>
        <v>13143.5361893649</v>
      </c>
      <c r="H65" s="87">
        <f>SUMIFS(Sales!R:R,Sales!D:D,A65)</f>
        <v>53.26</v>
      </c>
      <c r="I65" s="85">
        <v>10000</v>
      </c>
      <c r="J65" s="85">
        <f t="shared" si="18"/>
        <v>7832.35294117647</v>
      </c>
      <c r="K65" s="87">
        <v>0</v>
      </c>
      <c r="L65" s="85">
        <f t="shared" si="14"/>
        <v>668.89152</v>
      </c>
      <c r="M65" s="85"/>
      <c r="N65" s="85"/>
      <c r="O65" s="85">
        <f t="shared" si="20"/>
        <v>2006.67456</v>
      </c>
      <c r="P65" s="85">
        <f t="shared" si="2"/>
        <v>-1879.32626936489</v>
      </c>
      <c r="Q65" s="85">
        <f t="shared" si="9"/>
        <v>3431.85697882353</v>
      </c>
      <c r="R65" s="85"/>
      <c r="S65" s="88">
        <f>_xlfn.XLOOKUP(A65,Sales!D:D,Sales!K:K)</f>
        <v>46226</v>
      </c>
      <c r="T65" s="88">
        <f>_xlfn.XLOOKUP(A65,Sales!D:D,Sales!L:L)</f>
        <v>46232</v>
      </c>
      <c r="U65" s="107" t="s">
        <v>551</v>
      </c>
      <c r="V65" s="90">
        <f t="shared" si="3"/>
        <v>-51253.9491305414</v>
      </c>
      <c r="W65" s="90">
        <f t="shared" si="4"/>
        <v>-668.89152</v>
      </c>
      <c r="X65" s="90">
        <f t="shared" si="5"/>
        <v>-2006.67456</v>
      </c>
      <c r="Y65" s="91">
        <f t="shared" si="6"/>
        <v>32775.68448</v>
      </c>
      <c r="Z65" s="92"/>
      <c r="AA65" s="91">
        <f t="shared" si="7"/>
        <v>32775.68448</v>
      </c>
      <c r="AB65" s="93">
        <f t="shared" si="8"/>
        <v>-53929.5152105414</v>
      </c>
      <c r="AC65" s="93"/>
      <c r="AD65" s="101"/>
      <c r="AE65" s="94"/>
      <c r="AF65" s="94"/>
      <c r="AG65" s="94" t="s">
        <v>548</v>
      </c>
      <c r="AH65" s="94">
        <v>1884.73</v>
      </c>
      <c r="AI65" s="94">
        <v>2983.04755</v>
      </c>
      <c r="AJ65" s="94"/>
      <c r="AK65" s="94"/>
      <c r="AL65" s="94"/>
      <c r="AM65" s="94"/>
      <c r="AN65" s="94"/>
      <c r="AO65" s="94"/>
      <c r="AP65" s="94"/>
      <c r="AQ65" s="94"/>
    </row>
    <row r="66" customFormat="1" customHeight="1" spans="1:43">
      <c r="A66" s="102">
        <v>454343204</v>
      </c>
      <c r="B66" s="84" t="str">
        <f>_xlfn.XLOOKUP(A66,Sales!D:D,Sales!I:I)</f>
        <v>Petsmart</v>
      </c>
      <c r="C66" s="85">
        <f>SUMIFS(Sales!H:H,Sales!D:D,A66)</f>
        <v>33444.576</v>
      </c>
      <c r="D66" s="85">
        <f>SUMIFS(Sales!N:N,Sales!D:D,A66)</f>
        <v>17344.8</v>
      </c>
      <c r="E66" s="96">
        <f>SUMIF(Sales!D:D,A66,Sales!O:O)</f>
        <v>720</v>
      </c>
      <c r="F66" s="85">
        <f t="shared" si="16"/>
        <v>2160</v>
      </c>
      <c r="G66" s="85">
        <f t="shared" si="19"/>
        <v>13143.5361893649</v>
      </c>
      <c r="H66" s="87">
        <f>SUMIFS(Sales!R:R,Sales!D:D,A66)</f>
        <v>53.26</v>
      </c>
      <c r="I66" s="85">
        <v>10000</v>
      </c>
      <c r="J66" s="85">
        <f t="shared" si="18"/>
        <v>7832.35294117647</v>
      </c>
      <c r="K66" s="87">
        <v>0</v>
      </c>
      <c r="L66" s="85">
        <f t="shared" si="14"/>
        <v>668.89152</v>
      </c>
      <c r="M66" s="85"/>
      <c r="N66" s="85"/>
      <c r="O66" s="85">
        <f t="shared" si="20"/>
        <v>2006.67456</v>
      </c>
      <c r="P66" s="85">
        <f t="shared" ref="P66:P117" si="21">C66-D66-F66-G66-K66-L66-O66-M66-N66</f>
        <v>-1879.32626936489</v>
      </c>
      <c r="Q66" s="85">
        <f t="shared" si="9"/>
        <v>3431.85697882353</v>
      </c>
      <c r="R66" s="85"/>
      <c r="S66" s="88">
        <f>_xlfn.XLOOKUP(A66,Sales!D:D,Sales!K:K)</f>
        <v>46226</v>
      </c>
      <c r="T66" s="88">
        <f>_xlfn.XLOOKUP(A66,Sales!D:D,Sales!L:L)</f>
        <v>46232</v>
      </c>
      <c r="U66" s="107" t="s">
        <v>552</v>
      </c>
      <c r="V66" s="90">
        <f t="shared" ref="V66:V113" si="22">-SUM(D66:K66)</f>
        <v>-51253.9491305414</v>
      </c>
      <c r="W66" s="90">
        <f t="shared" ref="W66:W113" si="23">-SUM(L66:N66)</f>
        <v>-668.89152</v>
      </c>
      <c r="X66" s="90">
        <f t="shared" ref="X66:X113" si="24">IF(O66/(C66-L66)*Z66=0,-O66,-O66/(C66-L66)*Z66)</f>
        <v>-2006.67456</v>
      </c>
      <c r="Y66" s="91">
        <f t="shared" ref="Y66:Y113" si="25">C66-L66-M66-N66</f>
        <v>32775.68448</v>
      </c>
      <c r="Z66" s="92"/>
      <c r="AA66" s="91">
        <f t="shared" ref="AA66:AA113" si="26">Y66-Z66</f>
        <v>32775.68448</v>
      </c>
      <c r="AB66" s="93">
        <f t="shared" ref="AB66:AB113" si="27">SUM(Z66,V66:X66)</f>
        <v>-53929.5152105414</v>
      </c>
      <c r="AC66" s="93"/>
      <c r="AD66" s="101"/>
      <c r="AE66" s="94"/>
      <c r="AF66" s="94"/>
      <c r="AG66" s="94" t="s">
        <v>545</v>
      </c>
      <c r="AH66" s="94">
        <v>1738.45</v>
      </c>
      <c r="AI66" s="94">
        <v>3053.3833</v>
      </c>
      <c r="AJ66" s="94"/>
      <c r="AK66" s="94"/>
      <c r="AL66" s="94"/>
      <c r="AM66" s="94"/>
      <c r="AN66" s="94"/>
      <c r="AO66" s="94"/>
      <c r="AP66" s="94"/>
      <c r="AQ66" s="94"/>
    </row>
    <row r="67" customFormat="1" customHeight="1" spans="1:43">
      <c r="A67" s="102">
        <v>454343205</v>
      </c>
      <c r="B67" s="84" t="str">
        <f>_xlfn.XLOOKUP(A67,Sales!D:D,Sales!I:I)</f>
        <v>Petsmart</v>
      </c>
      <c r="C67" s="85">
        <f>SUMIFS(Sales!H:H,Sales!D:D,A67)</f>
        <v>33444.576</v>
      </c>
      <c r="D67" s="85">
        <f>SUMIFS(Sales!N:N,Sales!D:D,A67)</f>
        <v>17344.8</v>
      </c>
      <c r="E67" s="96">
        <f>SUMIF(Sales!D:D,A67,Sales!O:O)</f>
        <v>720</v>
      </c>
      <c r="F67" s="85">
        <f t="shared" si="16"/>
        <v>2160</v>
      </c>
      <c r="G67" s="85">
        <f t="shared" si="19"/>
        <v>13143.5361893649</v>
      </c>
      <c r="H67" s="87">
        <f>SUMIFS(Sales!R:R,Sales!D:D,A67)</f>
        <v>53.26</v>
      </c>
      <c r="I67" s="85">
        <v>10000</v>
      </c>
      <c r="J67" s="85">
        <f t="shared" si="18"/>
        <v>7832.35294117647</v>
      </c>
      <c r="K67" s="87">
        <v>0</v>
      </c>
      <c r="L67" s="85">
        <f t="shared" si="14"/>
        <v>668.89152</v>
      </c>
      <c r="M67" s="85"/>
      <c r="N67" s="85"/>
      <c r="O67" s="85">
        <f t="shared" si="20"/>
        <v>2006.67456</v>
      </c>
      <c r="P67" s="85">
        <f t="shared" si="21"/>
        <v>-1879.32626936489</v>
      </c>
      <c r="Q67" s="85">
        <f t="shared" ref="Q67:Q117" si="28">C67-D67-F67-J67-K67-L67-O67-M67-N67</f>
        <v>3431.85697882353</v>
      </c>
      <c r="R67" s="85"/>
      <c r="S67" s="88">
        <f>_xlfn.XLOOKUP(A67,Sales!D:D,Sales!K:K)</f>
        <v>46226</v>
      </c>
      <c r="T67" s="88">
        <v>46234</v>
      </c>
      <c r="U67" s="107" t="s">
        <v>553</v>
      </c>
      <c r="V67" s="90">
        <f t="shared" si="22"/>
        <v>-51253.9491305414</v>
      </c>
      <c r="W67" s="90">
        <f t="shared" si="23"/>
        <v>-668.89152</v>
      </c>
      <c r="X67" s="90">
        <f t="shared" si="24"/>
        <v>-2006.67456</v>
      </c>
      <c r="Y67" s="91">
        <f t="shared" si="25"/>
        <v>32775.68448</v>
      </c>
      <c r="Z67" s="92"/>
      <c r="AA67" s="91">
        <f t="shared" si="26"/>
        <v>32775.68448</v>
      </c>
      <c r="AB67" s="93">
        <f t="shared" si="27"/>
        <v>-53929.5152105414</v>
      </c>
      <c r="AC67" s="93"/>
      <c r="AD67" s="101"/>
      <c r="AE67" s="94"/>
      <c r="AF67" s="94"/>
      <c r="AG67" s="94" t="s">
        <v>549</v>
      </c>
      <c r="AH67" s="94">
        <v>2072.93</v>
      </c>
      <c r="AI67" s="94">
        <v>3554.63415</v>
      </c>
      <c r="AJ67" s="94"/>
      <c r="AK67" s="94"/>
      <c r="AL67" s="94"/>
      <c r="AM67" s="94"/>
      <c r="AN67" s="94"/>
      <c r="AO67" s="94"/>
      <c r="AP67" s="94"/>
      <c r="AQ67" s="94"/>
    </row>
    <row r="68" customFormat="1" customHeight="1" spans="1:43">
      <c r="A68" s="102">
        <v>454343206</v>
      </c>
      <c r="B68" s="84" t="str">
        <f>_xlfn.XLOOKUP(A68,Sales!D:D,Sales!I:I)</f>
        <v>Petsmart</v>
      </c>
      <c r="C68" s="85">
        <f>SUMIFS(Sales!H:H,Sales!D:D,A68)</f>
        <v>30146.5692</v>
      </c>
      <c r="D68" s="85">
        <f>SUMIFS(Sales!N:N,Sales!D:D,A68)</f>
        <v>15634.41</v>
      </c>
      <c r="E68" s="96">
        <f>SUMIF(Sales!D:D,A68,Sales!O:O)</f>
        <v>649</v>
      </c>
      <c r="F68" s="85">
        <f t="shared" si="16"/>
        <v>1947</v>
      </c>
      <c r="G68" s="85">
        <f t="shared" si="19"/>
        <v>11847.4374818025</v>
      </c>
      <c r="H68" s="87">
        <f>SUMIFS(Sales!R:R,Sales!D:D,A68)</f>
        <v>48.01</v>
      </c>
      <c r="I68" s="85">
        <v>10000</v>
      </c>
      <c r="J68" s="85">
        <f t="shared" si="18"/>
        <v>7060.29411764706</v>
      </c>
      <c r="K68" s="87">
        <v>0</v>
      </c>
      <c r="L68" s="85">
        <f t="shared" si="14"/>
        <v>602.931384</v>
      </c>
      <c r="M68" s="85"/>
      <c r="N68" s="85"/>
      <c r="O68" s="85">
        <f t="shared" si="20"/>
        <v>1808.794152</v>
      </c>
      <c r="P68" s="85">
        <f t="shared" si="21"/>
        <v>-1694.00381780252</v>
      </c>
      <c r="Q68" s="85">
        <f t="shared" si="28"/>
        <v>3093.13954635294</v>
      </c>
      <c r="R68" s="85"/>
      <c r="S68" s="88">
        <f>_xlfn.XLOOKUP(A68,Sales!D:D,Sales!K:K)</f>
        <v>46230</v>
      </c>
      <c r="T68" s="88">
        <v>46234</v>
      </c>
      <c r="U68" s="107" t="s">
        <v>554</v>
      </c>
      <c r="V68" s="90">
        <f t="shared" si="22"/>
        <v>-47186.1515994496</v>
      </c>
      <c r="W68" s="90">
        <f t="shared" si="23"/>
        <v>-602.931384</v>
      </c>
      <c r="X68" s="90">
        <f t="shared" si="24"/>
        <v>-1808.794152</v>
      </c>
      <c r="Y68" s="91">
        <f t="shared" si="25"/>
        <v>29543.637816</v>
      </c>
      <c r="Z68" s="92"/>
      <c r="AA68" s="91">
        <f t="shared" si="26"/>
        <v>29543.637816</v>
      </c>
      <c r="AB68" s="93">
        <f t="shared" si="27"/>
        <v>-49597.8771354496</v>
      </c>
      <c r="AC68" s="93"/>
      <c r="AD68" s="101"/>
      <c r="AE68" s="94"/>
      <c r="AF68" s="94" t="s">
        <v>555</v>
      </c>
      <c r="AG68" s="94"/>
      <c r="AH68" s="94">
        <v>14882.84</v>
      </c>
      <c r="AI68" s="94">
        <v>25836.6846</v>
      </c>
      <c r="AJ68" s="94"/>
      <c r="AK68" s="94"/>
      <c r="AL68" s="94"/>
      <c r="AM68" s="94"/>
      <c r="AN68" s="94"/>
      <c r="AO68" s="94"/>
      <c r="AP68" s="94"/>
      <c r="AQ68" s="94"/>
    </row>
    <row r="69" customFormat="1" customHeight="1" spans="1:43">
      <c r="A69" s="102">
        <v>454343207</v>
      </c>
      <c r="B69" s="84" t="str">
        <f>_xlfn.XLOOKUP(A69,Sales!D:D,Sales!I:I)</f>
        <v>Petsmart</v>
      </c>
      <c r="C69" s="85">
        <f>SUMIFS(Sales!H:H,Sales!D:D,A69)</f>
        <v>33444.576</v>
      </c>
      <c r="D69" s="85">
        <f>SUMIFS(Sales!N:N,Sales!D:D,A69)</f>
        <v>17344.8</v>
      </c>
      <c r="E69" s="96">
        <f>SUMIF(Sales!D:D,A69,Sales!O:O)</f>
        <v>720</v>
      </c>
      <c r="F69" s="85">
        <f t="shared" si="16"/>
        <v>2160</v>
      </c>
      <c r="G69" s="85">
        <f t="shared" si="19"/>
        <v>13143.5361893649</v>
      </c>
      <c r="H69" s="87">
        <f>SUMIFS(Sales!R:R,Sales!D:D,A69)</f>
        <v>53.26</v>
      </c>
      <c r="I69" s="85">
        <v>10000</v>
      </c>
      <c r="J69" s="85">
        <f t="shared" si="18"/>
        <v>7832.35294117647</v>
      </c>
      <c r="K69" s="87">
        <v>0</v>
      </c>
      <c r="L69" s="85">
        <f t="shared" si="14"/>
        <v>668.89152</v>
      </c>
      <c r="M69" s="85"/>
      <c r="N69" s="85"/>
      <c r="O69" s="85">
        <f t="shared" si="20"/>
        <v>2006.67456</v>
      </c>
      <c r="P69" s="85">
        <f t="shared" si="21"/>
        <v>-1879.32626936489</v>
      </c>
      <c r="Q69" s="85">
        <f t="shared" si="28"/>
        <v>3431.85697882353</v>
      </c>
      <c r="R69" s="85"/>
      <c r="S69" s="88">
        <f>_xlfn.XLOOKUP(A69,Sales!D:D,Sales!K:K)</f>
        <v>46227</v>
      </c>
      <c r="T69" s="88">
        <f>_xlfn.XLOOKUP(A69,Sales!D:D,Sales!L:L)</f>
        <v>46231</v>
      </c>
      <c r="U69" s="107" t="s">
        <v>556</v>
      </c>
      <c r="V69" s="90">
        <f t="shared" si="22"/>
        <v>-51253.9491305414</v>
      </c>
      <c r="W69" s="90">
        <f t="shared" si="23"/>
        <v>-668.89152</v>
      </c>
      <c r="X69" s="90">
        <f t="shared" si="24"/>
        <v>-2006.67456</v>
      </c>
      <c r="Y69" s="91">
        <f t="shared" si="25"/>
        <v>32775.68448</v>
      </c>
      <c r="Z69" s="92"/>
      <c r="AA69" s="91">
        <f t="shared" si="26"/>
        <v>32775.68448</v>
      </c>
      <c r="AB69" s="93">
        <f t="shared" si="27"/>
        <v>-53929.5152105414</v>
      </c>
      <c r="AC69" s="93"/>
      <c r="AD69" s="101"/>
      <c r="AE69" s="94"/>
      <c r="AF69" s="94" t="s">
        <v>334</v>
      </c>
      <c r="AG69" s="94" t="s">
        <v>537</v>
      </c>
      <c r="AH69" s="94">
        <v>1083.64</v>
      </c>
      <c r="AI69" s="94">
        <v>2117.702</v>
      </c>
      <c r="AJ69" s="94"/>
      <c r="AK69" s="94"/>
      <c r="AL69" s="94"/>
      <c r="AM69" s="94"/>
      <c r="AN69" s="94"/>
      <c r="AO69" s="94"/>
      <c r="AP69" s="94"/>
      <c r="AQ69" s="94"/>
    </row>
    <row r="70" customFormat="1" customHeight="1" spans="1:43">
      <c r="A70" s="102">
        <v>31151333</v>
      </c>
      <c r="B70" s="84" t="str">
        <f>_xlfn.XLOOKUP(A70,Sales!D:D,Sales!I:I)</f>
        <v>Petco</v>
      </c>
      <c r="C70" s="85">
        <f>SUMIFS(Sales!H:H,Sales!D:D,A70)</f>
        <v>3048.32</v>
      </c>
      <c r="D70" s="85">
        <f>SUMIFS(Sales!N:N,Sales!D:D,A70)</f>
        <v>1725.2</v>
      </c>
      <c r="E70" s="96">
        <f>SUMIF(Sales!D:D,A70,Sales!O:O)</f>
        <v>27</v>
      </c>
      <c r="F70" s="85">
        <f t="shared" si="16"/>
        <v>81</v>
      </c>
      <c r="G70" s="85">
        <f t="shared" si="19"/>
        <v>492.882607101184</v>
      </c>
      <c r="H70" s="87">
        <f>SUMIFS(Sales!R:R,Sales!D:D,A70)</f>
        <v>3.03</v>
      </c>
      <c r="I70" s="85">
        <v>10000</v>
      </c>
      <c r="J70" s="85">
        <f t="shared" si="18"/>
        <v>445.588235294118</v>
      </c>
      <c r="K70" s="87">
        <v>1066.23</v>
      </c>
      <c r="L70" s="85">
        <f t="shared" si="14"/>
        <v>137.1744</v>
      </c>
      <c r="M70" s="85"/>
      <c r="N70" s="85"/>
      <c r="O70" s="85">
        <f t="shared" ref="O70:O82" si="29">C70*0.04</f>
        <v>121.9328</v>
      </c>
      <c r="P70" s="85">
        <f t="shared" si="21"/>
        <v>-576.099807101184</v>
      </c>
      <c r="Q70" s="85">
        <f t="shared" si="28"/>
        <v>-528.805435294118</v>
      </c>
      <c r="R70" s="85"/>
      <c r="S70" s="88">
        <f>_xlfn.XLOOKUP(A70,Sales!D:D,Sales!K:K)</f>
        <v>46220</v>
      </c>
      <c r="T70" s="88">
        <f>_xlfn.XLOOKUP(A70,Sales!D:D,Sales!L:L)</f>
        <v>46211</v>
      </c>
      <c r="U70" s="107" t="s">
        <v>557</v>
      </c>
      <c r="V70" s="90">
        <f t="shared" si="22"/>
        <v>-13840.9308423953</v>
      </c>
      <c r="W70" s="90">
        <f t="shared" si="23"/>
        <v>-137.1744</v>
      </c>
      <c r="X70" s="90">
        <f t="shared" si="24"/>
        <v>-121.9328</v>
      </c>
      <c r="Y70" s="91">
        <f t="shared" si="25"/>
        <v>2911.1456</v>
      </c>
      <c r="Z70" s="92"/>
      <c r="AA70" s="91">
        <f t="shared" si="26"/>
        <v>2911.1456</v>
      </c>
      <c r="AB70" s="93">
        <f t="shared" si="27"/>
        <v>-14100.0380423953</v>
      </c>
      <c r="AC70" s="93"/>
      <c r="AD70" s="101"/>
      <c r="AE70" s="94"/>
      <c r="AF70" s="94"/>
      <c r="AG70" s="94" t="s">
        <v>538</v>
      </c>
      <c r="AH70" s="94">
        <v>3767.84</v>
      </c>
      <c r="AI70" s="94">
        <v>7326.001</v>
      </c>
      <c r="AJ70" s="94"/>
      <c r="AK70" s="94"/>
      <c r="AL70" s="94"/>
      <c r="AM70" s="94"/>
      <c r="AN70" s="94"/>
      <c r="AO70" s="94"/>
      <c r="AP70" s="94"/>
      <c r="AQ70" s="94"/>
    </row>
    <row r="71" customFormat="1" customHeight="1" spans="1:43">
      <c r="A71" s="102">
        <v>31151334</v>
      </c>
      <c r="B71" s="84" t="str">
        <f>_xlfn.XLOOKUP(A71,Sales!D:D,Sales!I:I)</f>
        <v>Petco</v>
      </c>
      <c r="C71" s="85">
        <f>SUMIFS(Sales!H:H,Sales!D:D,A71)</f>
        <v>4328.08</v>
      </c>
      <c r="D71" s="85">
        <f>SUMIFS(Sales!N:N,Sales!D:D,A71)</f>
        <v>2621.52</v>
      </c>
      <c r="E71" s="96">
        <f>SUMIF(Sales!D:D,A71,Sales!O:O)</f>
        <v>38</v>
      </c>
      <c r="F71" s="85">
        <f t="shared" si="16"/>
        <v>114</v>
      </c>
      <c r="G71" s="85">
        <f t="shared" si="19"/>
        <v>693.686632216481</v>
      </c>
      <c r="H71" s="87">
        <f>SUMIFS(Sales!R:R,Sales!D:D,A71)</f>
        <v>4.07</v>
      </c>
      <c r="I71" s="85">
        <v>10000</v>
      </c>
      <c r="J71" s="85">
        <f t="shared" si="18"/>
        <v>598.529411764706</v>
      </c>
      <c r="K71" s="87">
        <v>1411.23</v>
      </c>
      <c r="L71" s="85">
        <f t="shared" si="14"/>
        <v>194.7636</v>
      </c>
      <c r="M71" s="85"/>
      <c r="N71" s="85"/>
      <c r="O71" s="85">
        <f t="shared" si="29"/>
        <v>173.1232</v>
      </c>
      <c r="P71" s="85">
        <f t="shared" si="21"/>
        <v>-880.243432216481</v>
      </c>
      <c r="Q71" s="85">
        <f t="shared" si="28"/>
        <v>-785.086211764706</v>
      </c>
      <c r="R71" s="85"/>
      <c r="S71" s="88">
        <f>_xlfn.XLOOKUP(A71,Sales!D:D,Sales!K:K)</f>
        <v>46220</v>
      </c>
      <c r="T71" s="88">
        <f>_xlfn.XLOOKUP(A71,Sales!D:D,Sales!L:L)</f>
        <v>46216</v>
      </c>
      <c r="U71" s="107" t="s">
        <v>558</v>
      </c>
      <c r="V71" s="90">
        <f t="shared" si="22"/>
        <v>-15481.0360439812</v>
      </c>
      <c r="W71" s="90">
        <f t="shared" si="23"/>
        <v>-194.7636</v>
      </c>
      <c r="X71" s="90">
        <f t="shared" si="24"/>
        <v>-173.1232</v>
      </c>
      <c r="Y71" s="91">
        <f t="shared" si="25"/>
        <v>4133.3164</v>
      </c>
      <c r="Z71" s="92"/>
      <c r="AA71" s="91">
        <f t="shared" si="26"/>
        <v>4133.3164</v>
      </c>
      <c r="AB71" s="93">
        <f t="shared" si="27"/>
        <v>-15848.9228439812</v>
      </c>
      <c r="AC71" s="93"/>
      <c r="AD71" s="101"/>
      <c r="AE71" s="94"/>
      <c r="AF71" s="94"/>
      <c r="AG71" s="94" t="s">
        <v>539</v>
      </c>
      <c r="AH71" s="94">
        <v>613.68</v>
      </c>
      <c r="AI71" s="94">
        <v>1204.524</v>
      </c>
      <c r="AJ71" s="94"/>
      <c r="AK71" s="94"/>
      <c r="AL71" s="94"/>
      <c r="AM71" s="94"/>
      <c r="AN71" s="94"/>
      <c r="AO71" s="94"/>
      <c r="AP71" s="94"/>
      <c r="AQ71" s="94"/>
    </row>
    <row r="72" customFormat="1" customHeight="1" spans="1:43">
      <c r="A72" s="102">
        <v>31367791</v>
      </c>
      <c r="B72" s="84" t="str">
        <f>_xlfn.XLOOKUP(A72,Sales!D:D,Sales!I:I)</f>
        <v>Petco</v>
      </c>
      <c r="C72" s="85">
        <f>SUMIFS(Sales!H:H,Sales!D:D,A72)</f>
        <v>7787.08</v>
      </c>
      <c r="D72" s="85">
        <f>SUMIFS(Sales!N:N,Sales!D:D,A72)</f>
        <v>4116.64</v>
      </c>
      <c r="E72" s="96">
        <f>SUMIF(Sales!D:D,A72,Sales!O:O)</f>
        <v>118</v>
      </c>
      <c r="F72" s="85">
        <f t="shared" si="16"/>
        <v>354</v>
      </c>
      <c r="G72" s="85">
        <f t="shared" si="19"/>
        <v>2154.07954214591</v>
      </c>
      <c r="H72" s="87">
        <f>SUMIFS(Sales!R:R,Sales!D:D,A72)</f>
        <v>9.98</v>
      </c>
      <c r="I72" s="85">
        <v>10000</v>
      </c>
      <c r="J72" s="85">
        <f t="shared" si="18"/>
        <v>1467.64705882353</v>
      </c>
      <c r="K72" s="87">
        <v>1792</v>
      </c>
      <c r="L72" s="85">
        <f t="shared" si="14"/>
        <v>350.4186</v>
      </c>
      <c r="M72" s="85"/>
      <c r="N72" s="85"/>
      <c r="O72" s="85">
        <f t="shared" si="29"/>
        <v>311.4832</v>
      </c>
      <c r="P72" s="85">
        <f t="shared" si="21"/>
        <v>-1291.54134214591</v>
      </c>
      <c r="Q72" s="85">
        <f t="shared" si="28"/>
        <v>-605.10885882353</v>
      </c>
      <c r="R72" s="85"/>
      <c r="S72" s="88">
        <f>_xlfn.XLOOKUP(A72,Sales!D:D,Sales!K:K)</f>
        <v>46218</v>
      </c>
      <c r="T72" s="88">
        <f>_xlfn.XLOOKUP(A72,Sales!D:D,Sales!L:L)</f>
        <v>46211</v>
      </c>
      <c r="U72" s="107" t="s">
        <v>559</v>
      </c>
      <c r="V72" s="90">
        <f t="shared" si="22"/>
        <v>-20012.3466009694</v>
      </c>
      <c r="W72" s="90">
        <f t="shared" si="23"/>
        <v>-350.4186</v>
      </c>
      <c r="X72" s="90">
        <f t="shared" si="24"/>
        <v>-311.4832</v>
      </c>
      <c r="Y72" s="91">
        <f t="shared" si="25"/>
        <v>7436.6614</v>
      </c>
      <c r="Z72" s="92"/>
      <c r="AA72" s="91">
        <f t="shared" si="26"/>
        <v>7436.6614</v>
      </c>
      <c r="AB72" s="93">
        <f t="shared" si="27"/>
        <v>-20674.2484009694</v>
      </c>
      <c r="AC72" s="93"/>
      <c r="AD72" s="101"/>
      <c r="AE72" s="94"/>
      <c r="AF72" s="94"/>
      <c r="AG72" s="94" t="s">
        <v>540</v>
      </c>
      <c r="AH72" s="94">
        <v>4304.94</v>
      </c>
      <c r="AI72" s="94">
        <v>8447.001</v>
      </c>
      <c r="AJ72" s="94"/>
      <c r="AK72" s="94"/>
      <c r="AL72" s="94"/>
      <c r="AM72" s="94"/>
      <c r="AN72" s="94"/>
      <c r="AO72" s="94"/>
      <c r="AP72" s="94"/>
      <c r="AQ72" s="94"/>
    </row>
    <row r="73" customFormat="1" customHeight="1" spans="1:43">
      <c r="A73" s="102">
        <v>31205995</v>
      </c>
      <c r="B73" s="84" t="str">
        <f>_xlfn.XLOOKUP(A73,Sales!D:D,Sales!I:I)</f>
        <v>Petco</v>
      </c>
      <c r="C73" s="85">
        <f>SUMIFS(Sales!H:H,Sales!D:D,A73)</f>
        <v>3048.17</v>
      </c>
      <c r="D73" s="85">
        <f>SUMIFS(Sales!N:N,Sales!D:D,A73)</f>
        <v>1601.49</v>
      </c>
      <c r="E73" s="96">
        <f>SUMIF(Sales!D:D,A73,Sales!O:O)</f>
        <v>56</v>
      </c>
      <c r="F73" s="85">
        <f t="shared" si="16"/>
        <v>168</v>
      </c>
      <c r="G73" s="85">
        <f t="shared" si="19"/>
        <v>1022.2750369506</v>
      </c>
      <c r="H73" s="87">
        <f>SUMIFS(Sales!R:R,Sales!D:D,A73)</f>
        <v>4.3</v>
      </c>
      <c r="I73" s="85">
        <v>10000</v>
      </c>
      <c r="J73" s="85">
        <f t="shared" si="18"/>
        <v>632.352941176471</v>
      </c>
      <c r="K73" s="87">
        <v>1495.61</v>
      </c>
      <c r="L73" s="85">
        <f t="shared" si="14"/>
        <v>137.16765</v>
      </c>
      <c r="M73" s="85"/>
      <c r="N73" s="85"/>
      <c r="O73" s="85">
        <f t="shared" si="29"/>
        <v>121.9268</v>
      </c>
      <c r="P73" s="85">
        <f t="shared" si="21"/>
        <v>-1498.2994869506</v>
      </c>
      <c r="Q73" s="85">
        <f t="shared" si="28"/>
        <v>-1108.37739117647</v>
      </c>
      <c r="R73" s="85"/>
      <c r="S73" s="88">
        <f>_xlfn.XLOOKUP(A73,Sales!D:D,Sales!K:K)</f>
        <v>46225</v>
      </c>
      <c r="T73" s="88">
        <f>_xlfn.XLOOKUP(A73,Sales!D:D,Sales!L:L)</f>
        <v>46218</v>
      </c>
      <c r="U73" s="107" t="s">
        <v>560</v>
      </c>
      <c r="V73" s="90">
        <f t="shared" si="22"/>
        <v>-14980.0279781271</v>
      </c>
      <c r="W73" s="90">
        <f t="shared" si="23"/>
        <v>-137.16765</v>
      </c>
      <c r="X73" s="90">
        <f t="shared" si="24"/>
        <v>-121.9268</v>
      </c>
      <c r="Y73" s="91">
        <f t="shared" si="25"/>
        <v>2911.00235</v>
      </c>
      <c r="Z73" s="92"/>
      <c r="AA73" s="91">
        <f t="shared" si="26"/>
        <v>2911.00235</v>
      </c>
      <c r="AB73" s="93">
        <f t="shared" si="27"/>
        <v>-15239.1224281271</v>
      </c>
      <c r="AC73" s="93"/>
      <c r="AD73" s="101"/>
      <c r="AE73" s="94"/>
      <c r="AF73" s="94"/>
      <c r="AG73" s="94" t="s">
        <v>541</v>
      </c>
      <c r="AH73" s="94">
        <v>1597.62</v>
      </c>
      <c r="AI73" s="94">
        <v>3071.8155</v>
      </c>
      <c r="AJ73" s="94"/>
      <c r="AK73" s="94"/>
      <c r="AL73" s="94"/>
      <c r="AM73" s="94"/>
      <c r="AN73" s="94"/>
      <c r="AO73" s="94"/>
      <c r="AP73" s="94"/>
      <c r="AQ73" s="94"/>
    </row>
    <row r="74" customFormat="1" customHeight="1" spans="1:43">
      <c r="A74" s="102">
        <v>31441547</v>
      </c>
      <c r="B74" s="84" t="str">
        <f>_xlfn.XLOOKUP(A74,Sales!D:D,Sales!I:I)</f>
        <v>Petco</v>
      </c>
      <c r="C74" s="85">
        <f>SUMIFS(Sales!H:H,Sales!D:D,A74)</f>
        <v>12495.11</v>
      </c>
      <c r="D74" s="85">
        <f>SUMIFS(Sales!N:N,Sales!D:D,A74)</f>
        <v>6588.15</v>
      </c>
      <c r="E74" s="96">
        <f>SUMIF(Sales!D:D,A74,Sales!O:O)</f>
        <v>181</v>
      </c>
      <c r="F74" s="85">
        <f t="shared" si="16"/>
        <v>543</v>
      </c>
      <c r="G74" s="85">
        <f t="shared" si="19"/>
        <v>3304.13895871534</v>
      </c>
      <c r="H74" s="87">
        <f>SUMIFS(Sales!R:R,Sales!D:D,A74)</f>
        <v>16.5</v>
      </c>
      <c r="I74" s="85">
        <v>10000</v>
      </c>
      <c r="J74" s="85">
        <f t="shared" si="18"/>
        <v>2426.47058823529</v>
      </c>
      <c r="K74" s="87">
        <v>4321.62921348315</v>
      </c>
      <c r="L74" s="85">
        <f t="shared" si="14"/>
        <v>562.27995</v>
      </c>
      <c r="M74" s="85"/>
      <c r="N74" s="85"/>
      <c r="O74" s="85">
        <f t="shared" si="29"/>
        <v>499.8044</v>
      </c>
      <c r="P74" s="85">
        <f t="shared" si="21"/>
        <v>-3323.89252219849</v>
      </c>
      <c r="Q74" s="85">
        <f t="shared" si="28"/>
        <v>-2446.22415171844</v>
      </c>
      <c r="R74" s="85"/>
      <c r="S74" s="88">
        <f>_xlfn.XLOOKUP(A74,Sales!D:D,Sales!K:K)</f>
        <v>46232</v>
      </c>
      <c r="T74" s="88">
        <f>_xlfn.XLOOKUP(A74,Sales!D:D,Sales!L:L)</f>
        <v>46225</v>
      </c>
      <c r="U74" s="107" t="s">
        <v>561</v>
      </c>
      <c r="V74" s="90">
        <f t="shared" si="22"/>
        <v>-27380.8887604338</v>
      </c>
      <c r="W74" s="90">
        <f t="shared" si="23"/>
        <v>-562.27995</v>
      </c>
      <c r="X74" s="90">
        <f t="shared" si="24"/>
        <v>-499.8044</v>
      </c>
      <c r="Y74" s="91">
        <f t="shared" si="25"/>
        <v>11932.83005</v>
      </c>
      <c r="Z74" s="92"/>
      <c r="AA74" s="91">
        <f t="shared" si="26"/>
        <v>11932.83005</v>
      </c>
      <c r="AB74" s="93">
        <f t="shared" si="27"/>
        <v>-28442.9731104338</v>
      </c>
      <c r="AC74" s="93"/>
      <c r="AD74" s="101"/>
      <c r="AE74" s="94"/>
      <c r="AF74" s="94" t="s">
        <v>562</v>
      </c>
      <c r="AG74" s="94"/>
      <c r="AH74" s="94">
        <v>11367.72</v>
      </c>
      <c r="AI74" s="94">
        <v>22167.0435</v>
      </c>
      <c r="AJ74" s="94"/>
      <c r="AK74" s="94"/>
      <c r="AL74" s="94"/>
      <c r="AM74" s="94"/>
      <c r="AN74" s="94"/>
      <c r="AO74" s="94"/>
      <c r="AP74" s="94"/>
      <c r="AQ74" s="94"/>
    </row>
    <row r="75" customFormat="1" customHeight="1" spans="1:43">
      <c r="A75" s="102">
        <v>31367789</v>
      </c>
      <c r="B75" s="84" t="str">
        <f>_xlfn.XLOOKUP(A75,Sales!D:D,Sales!I:I)</f>
        <v>Petco</v>
      </c>
      <c r="C75" s="85">
        <f>SUMIFS(Sales!H:H,Sales!D:D,A75)</f>
        <v>13270.97</v>
      </c>
      <c r="D75" s="85">
        <f>SUMIFS(Sales!N:N,Sales!D:D,A75)</f>
        <v>7016.44</v>
      </c>
      <c r="E75" s="96">
        <f>SUMIF(Sales!D:D,A75,Sales!O:O)</f>
        <v>175</v>
      </c>
      <c r="F75" s="85">
        <f t="shared" si="16"/>
        <v>525</v>
      </c>
      <c r="G75" s="85">
        <f t="shared" si="19"/>
        <v>3194.60949047063</v>
      </c>
      <c r="H75" s="87">
        <f>SUMIFS(Sales!R:R,Sales!D:D,A75)</f>
        <v>16.69</v>
      </c>
      <c r="I75" s="85">
        <v>10000</v>
      </c>
      <c r="J75" s="85">
        <f t="shared" si="18"/>
        <v>2454.41176470588</v>
      </c>
      <c r="K75" s="87">
        <v>4178.37078651685</v>
      </c>
      <c r="L75" s="85">
        <f t="shared" si="14"/>
        <v>597.19365</v>
      </c>
      <c r="M75" s="85"/>
      <c r="N75" s="85"/>
      <c r="O75" s="85">
        <f t="shared" si="29"/>
        <v>530.8388</v>
      </c>
      <c r="P75" s="85">
        <f t="shared" si="21"/>
        <v>-2771.48272698749</v>
      </c>
      <c r="Q75" s="85">
        <f t="shared" si="28"/>
        <v>-2031.28500122273</v>
      </c>
      <c r="R75" s="85"/>
      <c r="S75" s="88">
        <f>_xlfn.XLOOKUP(A75,Sales!D:D,Sales!K:K)</f>
        <v>46230</v>
      </c>
      <c r="T75" s="88">
        <f>_xlfn.XLOOKUP(A75,Sales!D:D,Sales!L:L)</f>
        <v>46225</v>
      </c>
      <c r="U75" s="107" t="s">
        <v>563</v>
      </c>
      <c r="V75" s="90">
        <f t="shared" si="22"/>
        <v>-27560.5220416934</v>
      </c>
      <c r="W75" s="90">
        <f t="shared" si="23"/>
        <v>-597.19365</v>
      </c>
      <c r="X75" s="90">
        <f t="shared" si="24"/>
        <v>-530.8388</v>
      </c>
      <c r="Y75" s="91">
        <f t="shared" si="25"/>
        <v>12673.77635</v>
      </c>
      <c r="Z75" s="92"/>
      <c r="AA75" s="91">
        <f t="shared" si="26"/>
        <v>12673.77635</v>
      </c>
      <c r="AB75" s="93">
        <f t="shared" si="27"/>
        <v>-28688.5544916934</v>
      </c>
      <c r="AC75" s="93"/>
      <c r="AD75" s="101"/>
      <c r="AE75" s="94"/>
      <c r="AF75" s="94" t="s">
        <v>564</v>
      </c>
      <c r="AG75" s="94"/>
      <c r="AH75" s="94">
        <v>39339.18</v>
      </c>
      <c r="AI75" s="94">
        <v>72198.2521</v>
      </c>
      <c r="AJ75" s="94"/>
      <c r="AK75" s="94"/>
      <c r="AL75" s="94"/>
      <c r="AM75" s="94"/>
      <c r="AN75" s="94"/>
      <c r="AO75" s="94"/>
      <c r="AP75" s="94"/>
      <c r="AQ75" s="94"/>
    </row>
    <row r="76" customFormat="1" customHeight="1" spans="1:43">
      <c r="A76" s="102">
        <v>31367790</v>
      </c>
      <c r="B76" s="84" t="str">
        <f>_xlfn.XLOOKUP(A76,Sales!D:D,Sales!I:I)</f>
        <v>Petco</v>
      </c>
      <c r="C76" s="85">
        <f>SUMIFS(Sales!H:H,Sales!D:D,A76)</f>
        <v>5757.97</v>
      </c>
      <c r="D76" s="85">
        <f>SUMIFS(Sales!N:N,Sales!D:D,A76)</f>
        <v>3013.81</v>
      </c>
      <c r="E76" s="96">
        <f>SUMIF(Sales!D:D,A76,Sales!O:O)</f>
        <v>69</v>
      </c>
      <c r="F76" s="85">
        <f t="shared" si="16"/>
        <v>207</v>
      </c>
      <c r="G76" s="85">
        <f t="shared" si="19"/>
        <v>1259.58888481414</v>
      </c>
      <c r="H76" s="87">
        <f>SUMIFS(Sales!R:R,Sales!D:D,A76)</f>
        <v>6.52</v>
      </c>
      <c r="I76" s="85">
        <v>10000</v>
      </c>
      <c r="J76" s="85">
        <f t="shared" si="18"/>
        <v>958.823529411765</v>
      </c>
      <c r="K76" s="87">
        <v>350</v>
      </c>
      <c r="L76" s="85">
        <f t="shared" si="14"/>
        <v>259.10865</v>
      </c>
      <c r="M76" s="85"/>
      <c r="N76" s="85"/>
      <c r="O76" s="85">
        <f t="shared" si="29"/>
        <v>230.3188</v>
      </c>
      <c r="P76" s="85">
        <f t="shared" si="21"/>
        <v>438.143665185865</v>
      </c>
      <c r="Q76" s="85">
        <f t="shared" si="28"/>
        <v>738.909020588236</v>
      </c>
      <c r="R76" s="85"/>
      <c r="S76" s="88">
        <f>_xlfn.XLOOKUP(A76,Sales!D:D,Sales!K:K)</f>
        <v>46224</v>
      </c>
      <c r="T76" s="88">
        <f>_xlfn.XLOOKUP(A76,Sales!D:D,Sales!L:L)</f>
        <v>46226</v>
      </c>
      <c r="U76" s="107" t="s">
        <v>565</v>
      </c>
      <c r="V76" s="90">
        <f t="shared" si="22"/>
        <v>-15864.7424142259</v>
      </c>
      <c r="W76" s="90">
        <f t="shared" si="23"/>
        <v>-259.10865</v>
      </c>
      <c r="X76" s="90">
        <f t="shared" si="24"/>
        <v>-230.3188</v>
      </c>
      <c r="Y76" s="91">
        <f t="shared" si="25"/>
        <v>5498.86135</v>
      </c>
      <c r="Z76" s="92"/>
      <c r="AA76" s="91">
        <f t="shared" si="26"/>
        <v>5498.86135</v>
      </c>
      <c r="AB76" s="93">
        <f t="shared" si="27"/>
        <v>-16354.1698642259</v>
      </c>
      <c r="AC76" s="93"/>
      <c r="AD76" s="101"/>
      <c r="AE76" s="94"/>
      <c r="AF76" s="94"/>
      <c r="AG76" s="94"/>
      <c r="AH76" s="94"/>
      <c r="AI76" s="94"/>
      <c r="AJ76" s="94"/>
      <c r="AK76" s="94"/>
      <c r="AL76" s="94"/>
      <c r="AM76" s="94"/>
      <c r="AN76" s="94"/>
      <c r="AO76" s="94"/>
      <c r="AP76" s="94"/>
      <c r="AQ76" s="94"/>
    </row>
    <row r="77" customFormat="1" customHeight="1" spans="1:43">
      <c r="A77" s="102">
        <v>31441551</v>
      </c>
      <c r="B77" s="84" t="str">
        <f>_xlfn.XLOOKUP(A77,Sales!D:D,Sales!I:I)</f>
        <v>Petco</v>
      </c>
      <c r="C77" s="85">
        <f>SUMIFS(Sales!H:H,Sales!D:D,A77)</f>
        <v>22030.68</v>
      </c>
      <c r="D77" s="85">
        <f>SUMIFS(Sales!N:N,Sales!D:D,A77)</f>
        <v>11468.93</v>
      </c>
      <c r="E77" s="96">
        <f>SUMIF(Sales!D:D,A77,Sales!O:O)</f>
        <v>322</v>
      </c>
      <c r="F77" s="85">
        <f t="shared" si="16"/>
        <v>966</v>
      </c>
      <c r="G77" s="85">
        <f t="shared" si="19"/>
        <v>5878.08146246597</v>
      </c>
      <c r="H77" s="87">
        <f>SUMIFS(Sales!R:R,Sales!D:D,A77)</f>
        <v>28.97</v>
      </c>
      <c r="I77" s="85">
        <v>10000</v>
      </c>
      <c r="J77" s="85">
        <f t="shared" si="18"/>
        <v>4260.29411764706</v>
      </c>
      <c r="K77" s="87">
        <v>6664.48801742919</v>
      </c>
      <c r="L77" s="85">
        <f t="shared" si="14"/>
        <v>991.3806</v>
      </c>
      <c r="M77" s="85"/>
      <c r="N77" s="85"/>
      <c r="O77" s="85">
        <f t="shared" si="29"/>
        <v>881.2272</v>
      </c>
      <c r="P77" s="85">
        <f t="shared" si="21"/>
        <v>-4819.42727989516</v>
      </c>
      <c r="Q77" s="85">
        <f t="shared" si="28"/>
        <v>-3201.63993507625</v>
      </c>
      <c r="R77" s="85"/>
      <c r="S77" s="88">
        <f>_xlfn.XLOOKUP(A77,Sales!D:D,Sales!K:K)</f>
        <v>46232</v>
      </c>
      <c r="T77" s="88">
        <f>_xlfn.XLOOKUP(A77,Sales!D:D,Sales!L:L)</f>
        <v>46227</v>
      </c>
      <c r="U77" s="107" t="s">
        <v>566</v>
      </c>
      <c r="V77" s="90">
        <f t="shared" si="22"/>
        <v>-39588.7635975422</v>
      </c>
      <c r="W77" s="90">
        <f t="shared" si="23"/>
        <v>-991.3806</v>
      </c>
      <c r="X77" s="90">
        <f t="shared" si="24"/>
        <v>-881.2272</v>
      </c>
      <c r="Y77" s="91">
        <f t="shared" si="25"/>
        <v>21039.2994</v>
      </c>
      <c r="Z77" s="92"/>
      <c r="AA77" s="91">
        <f t="shared" si="26"/>
        <v>21039.2994</v>
      </c>
      <c r="AB77" s="93">
        <f t="shared" si="27"/>
        <v>-41461.3713975422</v>
      </c>
      <c r="AC77" s="93"/>
      <c r="AD77" s="101"/>
      <c r="AE77" s="94"/>
      <c r="AF77" s="94"/>
      <c r="AG77" s="94"/>
      <c r="AH77" s="94"/>
      <c r="AI77" s="94"/>
      <c r="AJ77" s="94"/>
      <c r="AK77" s="94"/>
      <c r="AL77" s="94"/>
      <c r="AM77" s="94"/>
      <c r="AN77" s="94"/>
      <c r="AO77" s="94"/>
      <c r="AP77" s="94"/>
      <c r="AQ77" s="94"/>
    </row>
    <row r="78" customFormat="1" customHeight="1" spans="1:43">
      <c r="A78" s="102">
        <v>31367792</v>
      </c>
      <c r="B78" s="84" t="str">
        <f>_xlfn.XLOOKUP(A78,Sales!D:D,Sales!I:I)</f>
        <v>Petco</v>
      </c>
      <c r="C78" s="85">
        <f>SUMIFS(Sales!H:H,Sales!D:D,A78)</f>
        <v>7540.18</v>
      </c>
      <c r="D78" s="85">
        <f>SUMIFS(Sales!N:N,Sales!D:D,A78)</f>
        <v>3998.78</v>
      </c>
      <c r="E78" s="96">
        <f>SUMIF(Sales!D:D,A78,Sales!O:O)</f>
        <v>80</v>
      </c>
      <c r="F78" s="85">
        <f t="shared" si="16"/>
        <v>240</v>
      </c>
      <c r="G78" s="85">
        <f t="shared" si="19"/>
        <v>1460.39290992943</v>
      </c>
      <c r="H78" s="87">
        <f>SUMIFS(Sales!R:R,Sales!D:D,A78)</f>
        <v>8.35</v>
      </c>
      <c r="I78" s="85">
        <v>10000</v>
      </c>
      <c r="J78" s="85">
        <f t="shared" si="18"/>
        <v>1227.94117647059</v>
      </c>
      <c r="K78" s="87">
        <v>1655.7734204793</v>
      </c>
      <c r="L78" s="85">
        <f t="shared" si="14"/>
        <v>339.3081</v>
      </c>
      <c r="M78" s="85"/>
      <c r="N78" s="85"/>
      <c r="O78" s="85">
        <f t="shared" si="29"/>
        <v>301.6072</v>
      </c>
      <c r="P78" s="85">
        <f t="shared" si="21"/>
        <v>-455.681630408734</v>
      </c>
      <c r="Q78" s="85">
        <f t="shared" si="28"/>
        <v>-223.229896949889</v>
      </c>
      <c r="R78" s="85"/>
      <c r="S78" s="88">
        <f>_xlfn.XLOOKUP(A78,Sales!D:D,Sales!K:K)</f>
        <v>46231</v>
      </c>
      <c r="T78" s="88">
        <f>_xlfn.XLOOKUP(A78,Sales!D:D,Sales!L:L)</f>
        <v>46227</v>
      </c>
      <c r="U78" s="107" t="s">
        <v>567</v>
      </c>
      <c r="V78" s="90">
        <f t="shared" si="22"/>
        <v>-18671.2375068793</v>
      </c>
      <c r="W78" s="90">
        <f t="shared" si="23"/>
        <v>-339.3081</v>
      </c>
      <c r="X78" s="90">
        <f t="shared" si="24"/>
        <v>-301.6072</v>
      </c>
      <c r="Y78" s="91">
        <f t="shared" si="25"/>
        <v>7200.8719</v>
      </c>
      <c r="Z78" s="92"/>
      <c r="AA78" s="91">
        <f t="shared" si="26"/>
        <v>7200.8719</v>
      </c>
      <c r="AB78" s="93">
        <f t="shared" si="27"/>
        <v>-19312.1528068793</v>
      </c>
      <c r="AC78" s="93"/>
      <c r="AD78" s="101"/>
      <c r="AE78" s="94"/>
      <c r="AF78" s="94"/>
      <c r="AG78" s="94"/>
      <c r="AH78" s="94"/>
      <c r="AI78" s="94"/>
      <c r="AJ78" s="94"/>
      <c r="AK78" s="94"/>
      <c r="AL78" s="94"/>
      <c r="AM78" s="94"/>
      <c r="AN78" s="94"/>
      <c r="AO78" s="94"/>
      <c r="AP78" s="94"/>
      <c r="AQ78" s="94"/>
    </row>
    <row r="79" customFormat="1" customHeight="1" spans="1:43">
      <c r="A79" s="102">
        <v>31205997</v>
      </c>
      <c r="B79" s="84" t="str">
        <f>_xlfn.XLOOKUP(A79,Sales!D:D,Sales!I:I)</f>
        <v>Petco</v>
      </c>
      <c r="C79" s="85">
        <f>SUMIFS(Sales!H:H,Sales!D:D,A79)</f>
        <v>4055.04</v>
      </c>
      <c r="D79" s="85">
        <f>SUMIFS(Sales!N:N,Sales!D:D,A79)</f>
        <v>2254.99</v>
      </c>
      <c r="E79" s="96">
        <f>SUMIF(Sales!D:D,A79,Sales!O:O)</f>
        <v>57</v>
      </c>
      <c r="F79" s="85">
        <f t="shared" si="16"/>
        <v>171</v>
      </c>
      <c r="G79" s="85">
        <f t="shared" si="19"/>
        <v>1040.52994832472</v>
      </c>
      <c r="H79" s="87">
        <f>SUMIFS(Sales!R:R,Sales!D:D,A79)</f>
        <v>5.08</v>
      </c>
      <c r="I79" s="85">
        <v>10000</v>
      </c>
      <c r="J79" s="85">
        <f t="shared" si="18"/>
        <v>747.058823529412</v>
      </c>
      <c r="K79" s="87">
        <v>1179.7385620915</v>
      </c>
      <c r="L79" s="85">
        <f t="shared" si="14"/>
        <v>182.4768</v>
      </c>
      <c r="M79" s="85"/>
      <c r="N79" s="85"/>
      <c r="O79" s="85">
        <f t="shared" si="29"/>
        <v>162.2016</v>
      </c>
      <c r="P79" s="85">
        <f t="shared" si="21"/>
        <v>-935.896910416221</v>
      </c>
      <c r="Q79" s="85">
        <f t="shared" si="28"/>
        <v>-642.425785620912</v>
      </c>
      <c r="R79" s="85"/>
      <c r="S79" s="88">
        <f>_xlfn.XLOOKUP(A79,Sales!D:D,Sales!K:K)</f>
        <v>46232</v>
      </c>
      <c r="T79" s="88">
        <f>_xlfn.XLOOKUP(A79,Sales!D:D,Sales!L:L)</f>
        <v>46227</v>
      </c>
      <c r="U79" s="107" t="s">
        <v>568</v>
      </c>
      <c r="V79" s="90">
        <f t="shared" si="22"/>
        <v>-15455.3973339456</v>
      </c>
      <c r="W79" s="90">
        <f t="shared" si="23"/>
        <v>-182.4768</v>
      </c>
      <c r="X79" s="90">
        <f t="shared" si="24"/>
        <v>-162.2016</v>
      </c>
      <c r="Y79" s="91">
        <f t="shared" si="25"/>
        <v>3872.5632</v>
      </c>
      <c r="Z79" s="92"/>
      <c r="AA79" s="91">
        <f t="shared" si="26"/>
        <v>3872.5632</v>
      </c>
      <c r="AB79" s="93">
        <f t="shared" si="27"/>
        <v>-15800.0757339456</v>
      </c>
      <c r="AC79" s="93"/>
      <c r="AD79" s="101"/>
      <c r="AE79" s="94"/>
      <c r="AF79" s="94"/>
      <c r="AG79" s="94"/>
      <c r="AH79" s="94"/>
      <c r="AI79" s="94"/>
      <c r="AJ79" s="94"/>
      <c r="AK79" s="94"/>
      <c r="AL79" s="94"/>
      <c r="AM79" s="94"/>
      <c r="AN79" s="94"/>
      <c r="AO79" s="94"/>
      <c r="AP79" s="94"/>
      <c r="AQ79" s="94"/>
    </row>
    <row r="80" customFormat="1" customHeight="1" spans="1:43">
      <c r="A80" s="102">
        <v>31367788</v>
      </c>
      <c r="B80" s="84" t="str">
        <f>_xlfn.XLOOKUP(A80,Sales!D:D,Sales!I:I)</f>
        <v>Petco</v>
      </c>
      <c r="C80" s="85">
        <f>SUMIFS(Sales!H:H,Sales!D:D,A80)</f>
        <v>5933.79</v>
      </c>
      <c r="D80" s="85">
        <f>SUMIFS(Sales!N:N,Sales!D:D,A80)</f>
        <v>3114.09</v>
      </c>
      <c r="E80" s="96">
        <f>SUMIF(Sales!D:D,A80,Sales!O:O)</f>
        <v>62</v>
      </c>
      <c r="F80" s="85">
        <f t="shared" si="16"/>
        <v>186</v>
      </c>
      <c r="G80" s="85">
        <f t="shared" si="19"/>
        <v>1131.80450519531</v>
      </c>
      <c r="H80" s="87">
        <f>SUMIFS(Sales!R:R,Sales!D:D,A80)</f>
        <v>6.4</v>
      </c>
      <c r="I80" s="85">
        <v>10000</v>
      </c>
      <c r="J80" s="85">
        <f t="shared" si="18"/>
        <v>941.176470588235</v>
      </c>
      <c r="K80" s="87">
        <v>1864.18918918919</v>
      </c>
      <c r="L80" s="85">
        <f t="shared" si="14"/>
        <v>267.02055</v>
      </c>
      <c r="M80" s="85"/>
      <c r="N80" s="85"/>
      <c r="O80" s="85">
        <f t="shared" si="29"/>
        <v>237.3516</v>
      </c>
      <c r="P80" s="85">
        <f t="shared" si="21"/>
        <v>-866.6658443845</v>
      </c>
      <c r="Q80" s="85">
        <f t="shared" si="28"/>
        <v>-676.037809777425</v>
      </c>
      <c r="R80" s="85"/>
      <c r="S80" s="88">
        <f>_xlfn.XLOOKUP(A80,Sales!D:D,Sales!K:K)</f>
        <v>46231</v>
      </c>
      <c r="T80" s="88">
        <f>_xlfn.XLOOKUP(A80,Sales!D:D,Sales!L:L)</f>
        <v>46227</v>
      </c>
      <c r="U80" s="107" t="s">
        <v>569</v>
      </c>
      <c r="V80" s="90">
        <f t="shared" si="22"/>
        <v>-17305.6601649727</v>
      </c>
      <c r="W80" s="90">
        <f t="shared" si="23"/>
        <v>-267.02055</v>
      </c>
      <c r="X80" s="90">
        <f t="shared" si="24"/>
        <v>-237.3516</v>
      </c>
      <c r="Y80" s="91">
        <f t="shared" si="25"/>
        <v>5666.76945</v>
      </c>
      <c r="Z80" s="92"/>
      <c r="AA80" s="91">
        <f t="shared" si="26"/>
        <v>5666.76945</v>
      </c>
      <c r="AB80" s="93">
        <f t="shared" si="27"/>
        <v>-17810.0323149727</v>
      </c>
      <c r="AC80" s="93"/>
      <c r="AD80" s="101"/>
      <c r="AE80" s="94"/>
      <c r="AF80" s="94"/>
      <c r="AG80" s="94"/>
      <c r="AH80" s="94"/>
      <c r="AI80" s="94"/>
      <c r="AJ80" s="94"/>
      <c r="AK80" s="94"/>
      <c r="AL80" s="94"/>
      <c r="AM80" s="94"/>
      <c r="AN80" s="94"/>
      <c r="AO80" s="94"/>
      <c r="AP80" s="94"/>
      <c r="AQ80" s="94"/>
    </row>
    <row r="81" customFormat="1" customHeight="1" spans="1:43">
      <c r="A81" s="102">
        <v>31441546</v>
      </c>
      <c r="B81" s="84" t="str">
        <f>_xlfn.XLOOKUP(A81,Sales!D:D,Sales!I:I)</f>
        <v>Petco</v>
      </c>
      <c r="C81" s="85">
        <f>SUMIFS(Sales!H:H,Sales!D:D,A81)</f>
        <v>14772.99</v>
      </c>
      <c r="D81" s="85">
        <f>SUMIFS(Sales!N:N,Sales!D:D,A81)</f>
        <v>7864.38</v>
      </c>
      <c r="E81" s="96">
        <f>SUMIF(Sales!D:D,A81,Sales!O:O)</f>
        <v>190</v>
      </c>
      <c r="F81" s="85">
        <f t="shared" si="16"/>
        <v>570</v>
      </c>
      <c r="G81" s="85">
        <f t="shared" si="19"/>
        <v>3468.4331610824</v>
      </c>
      <c r="H81" s="87">
        <f>SUMIFS(Sales!R:R,Sales!D:D,A81)</f>
        <v>18.65</v>
      </c>
      <c r="I81" s="85">
        <v>10000</v>
      </c>
      <c r="J81" s="85">
        <f t="shared" si="18"/>
        <v>2742.64705882353</v>
      </c>
      <c r="K81" s="87">
        <v>5712.83783783784</v>
      </c>
      <c r="L81" s="85">
        <f t="shared" si="14"/>
        <v>664.78455</v>
      </c>
      <c r="M81" s="85"/>
      <c r="N81" s="85"/>
      <c r="O81" s="85">
        <f t="shared" si="29"/>
        <v>590.9196</v>
      </c>
      <c r="P81" s="85">
        <f t="shared" si="21"/>
        <v>-4098.36514892024</v>
      </c>
      <c r="Q81" s="85">
        <f t="shared" si="28"/>
        <v>-3372.57904666137</v>
      </c>
      <c r="R81" s="85"/>
      <c r="S81" s="88">
        <f>_xlfn.XLOOKUP(A81,Sales!D:D,Sales!K:K)</f>
        <v>46230</v>
      </c>
      <c r="T81" s="88">
        <f>_xlfn.XLOOKUP(A81,Sales!D:D,Sales!L:L)</f>
        <v>46227</v>
      </c>
      <c r="U81" s="107" t="s">
        <v>570</v>
      </c>
      <c r="V81" s="90">
        <f t="shared" si="22"/>
        <v>-30566.9480577438</v>
      </c>
      <c r="W81" s="90">
        <f t="shared" si="23"/>
        <v>-664.78455</v>
      </c>
      <c r="X81" s="90">
        <f t="shared" si="24"/>
        <v>-590.9196</v>
      </c>
      <c r="Y81" s="91">
        <f t="shared" si="25"/>
        <v>14108.20545</v>
      </c>
      <c r="Z81" s="92"/>
      <c r="AA81" s="91">
        <f t="shared" si="26"/>
        <v>14108.20545</v>
      </c>
      <c r="AB81" s="93">
        <f t="shared" si="27"/>
        <v>-31822.6522077438</v>
      </c>
      <c r="AC81" s="93"/>
      <c r="AD81" s="101"/>
      <c r="AE81" s="94"/>
      <c r="AF81" s="94"/>
      <c r="AG81" s="94"/>
      <c r="AH81" s="94"/>
      <c r="AI81" s="94"/>
      <c r="AJ81" s="94"/>
      <c r="AK81" s="94"/>
      <c r="AL81" s="94"/>
      <c r="AM81" s="94"/>
      <c r="AN81" s="94"/>
      <c r="AO81" s="94"/>
      <c r="AP81" s="94"/>
      <c r="AQ81" s="94"/>
    </row>
    <row r="82" customFormat="1" customHeight="1" spans="1:43">
      <c r="A82" s="102">
        <v>31205994</v>
      </c>
      <c r="B82" s="84" t="str">
        <f>_xlfn.XLOOKUP(A82,Sales!D:D,Sales!I:I)</f>
        <v>Petco</v>
      </c>
      <c r="C82" s="85">
        <f>SUMIFS(Sales!H:H,Sales!D:D,A82)</f>
        <v>3123.37</v>
      </c>
      <c r="D82" s="85">
        <f>SUMIFS(Sales!N:N,Sales!D:D,A82)</f>
        <v>1776.27</v>
      </c>
      <c r="E82" s="96">
        <f>SUMIF(Sales!D:D,A82,Sales!O:O)</f>
        <v>44</v>
      </c>
      <c r="F82" s="85">
        <f t="shared" si="16"/>
        <v>132</v>
      </c>
      <c r="G82" s="85">
        <f t="shared" si="19"/>
        <v>803.216100461188</v>
      </c>
      <c r="H82" s="87">
        <f>SUMIFS(Sales!R:R,Sales!D:D,A82)</f>
        <v>3.71</v>
      </c>
      <c r="I82" s="85">
        <v>10000</v>
      </c>
      <c r="J82" s="85">
        <f t="shared" si="18"/>
        <v>545.588235294118</v>
      </c>
      <c r="K82" s="87">
        <v>1322.97297297297</v>
      </c>
      <c r="L82" s="85">
        <f t="shared" si="14"/>
        <v>140.55165</v>
      </c>
      <c r="M82" s="85"/>
      <c r="N82" s="85"/>
      <c r="O82" s="85">
        <f t="shared" si="29"/>
        <v>124.9348</v>
      </c>
      <c r="P82" s="85">
        <f t="shared" si="21"/>
        <v>-1176.57552343416</v>
      </c>
      <c r="Q82" s="85">
        <f t="shared" si="28"/>
        <v>-918.947658267088</v>
      </c>
      <c r="R82" s="85"/>
      <c r="S82" s="88">
        <f>_xlfn.XLOOKUP(A82,Sales!D:D,Sales!K:K)</f>
        <v>46231</v>
      </c>
      <c r="T82" s="88">
        <f>_xlfn.XLOOKUP(A82,Sales!D:D,Sales!L:L)</f>
        <v>46227</v>
      </c>
      <c r="U82" s="107" t="s">
        <v>571</v>
      </c>
      <c r="V82" s="90">
        <f t="shared" si="22"/>
        <v>-14627.7573087283</v>
      </c>
      <c r="W82" s="90">
        <f t="shared" si="23"/>
        <v>-140.55165</v>
      </c>
      <c r="X82" s="90">
        <f t="shared" si="24"/>
        <v>-124.9348</v>
      </c>
      <c r="Y82" s="91">
        <f t="shared" si="25"/>
        <v>2982.81835</v>
      </c>
      <c r="Z82" s="92"/>
      <c r="AA82" s="91">
        <f t="shared" si="26"/>
        <v>2982.81835</v>
      </c>
      <c r="AB82" s="93">
        <f t="shared" si="27"/>
        <v>-14893.2437587283</v>
      </c>
      <c r="AC82" s="93"/>
      <c r="AD82" s="101"/>
      <c r="AE82" s="94"/>
      <c r="AF82" s="94"/>
      <c r="AG82" s="94"/>
      <c r="AH82" s="94"/>
      <c r="AI82" s="94"/>
      <c r="AJ82" s="94"/>
      <c r="AK82" s="94"/>
      <c r="AL82" s="94"/>
      <c r="AM82" s="94"/>
      <c r="AN82" s="94"/>
      <c r="AO82" s="94"/>
      <c r="AP82" s="94"/>
      <c r="AQ82" s="94"/>
    </row>
    <row r="83" customFormat="1" customHeight="1" spans="1:43">
      <c r="A83" s="102" t="s">
        <v>380</v>
      </c>
      <c r="B83" s="84" t="str">
        <f>_xlfn.XLOOKUP(A83,Sales!D:D,Sales!I:I)</f>
        <v>PSP</v>
      </c>
      <c r="C83" s="85">
        <f>SUMIFS(Sales!H:H,Sales!D:D,A83)</f>
        <v>31689.8</v>
      </c>
      <c r="D83" s="85">
        <f>SUMIFS(Sales!N:N,Sales!D:D,A83)</f>
        <v>17066.28</v>
      </c>
      <c r="E83" s="96">
        <f>SUMIF(Sales!D:D,A83,Sales!O:O)</f>
        <v>326</v>
      </c>
      <c r="F83" s="85">
        <f t="shared" si="16"/>
        <v>978</v>
      </c>
      <c r="G83" s="85">
        <f t="shared" si="19"/>
        <v>5951.10110796244</v>
      </c>
      <c r="H83" s="87">
        <f>SUMIFS(Sales!R:R,Sales!D:D,A83)</f>
        <v>36.29</v>
      </c>
      <c r="I83" s="85">
        <v>10000</v>
      </c>
      <c r="J83" s="85">
        <f t="shared" si="18"/>
        <v>5336.76470588235</v>
      </c>
      <c r="K83" s="87">
        <v>3735.1</v>
      </c>
      <c r="L83" s="85">
        <f t="shared" si="14"/>
        <v>1584.49</v>
      </c>
      <c r="M83" s="85"/>
      <c r="N83" s="85"/>
      <c r="O83" s="85">
        <f>C83*0.06</f>
        <v>1901.388</v>
      </c>
      <c r="P83" s="85">
        <f t="shared" si="21"/>
        <v>473.440892037562</v>
      </c>
      <c r="Q83" s="85">
        <f t="shared" si="28"/>
        <v>1087.77729411765</v>
      </c>
      <c r="R83" s="85"/>
      <c r="S83" s="88">
        <f>_xlfn.XLOOKUP(A83,Sales!D:D,Sales!K:K)</f>
        <v>46231</v>
      </c>
      <c r="T83" s="88">
        <f>_xlfn.XLOOKUP(A83,Sales!D:D,Sales!L:L)</f>
        <v>46227</v>
      </c>
      <c r="U83" s="107" t="s">
        <v>572</v>
      </c>
      <c r="V83" s="90">
        <f t="shared" si="22"/>
        <v>-43429.5358138448</v>
      </c>
      <c r="W83" s="90">
        <f t="shared" si="23"/>
        <v>-1584.49</v>
      </c>
      <c r="X83" s="90">
        <f t="shared" si="24"/>
        <v>-1901.388</v>
      </c>
      <c r="Y83" s="91">
        <f t="shared" si="25"/>
        <v>30105.31</v>
      </c>
      <c r="Z83" s="92"/>
      <c r="AA83" s="91">
        <f t="shared" si="26"/>
        <v>30105.31</v>
      </c>
      <c r="AB83" s="93">
        <f t="shared" si="27"/>
        <v>-46915.4138138448</v>
      </c>
      <c r="AC83" s="93"/>
      <c r="AD83" s="101"/>
      <c r="AE83" s="94"/>
      <c r="AF83" s="94"/>
      <c r="AG83" s="94"/>
      <c r="AH83" s="94"/>
      <c r="AI83" s="94"/>
      <c r="AJ83" s="94"/>
      <c r="AK83" s="94"/>
      <c r="AL83" s="94"/>
      <c r="AM83" s="94"/>
      <c r="AN83" s="94"/>
      <c r="AO83" s="94"/>
      <c r="AP83" s="94"/>
      <c r="AQ83" s="94"/>
    </row>
    <row r="84" customFormat="1" customHeight="1" spans="1:43">
      <c r="A84" s="102" t="s">
        <v>382</v>
      </c>
      <c r="B84" s="84" t="str">
        <f>_xlfn.XLOOKUP(A84,Sales!D:D,Sales!I:I)</f>
        <v>PSP</v>
      </c>
      <c r="C84" s="85">
        <f>SUMIFS(Sales!H:H,Sales!D:D,A84)</f>
        <v>10544.94</v>
      </c>
      <c r="D84" s="85">
        <f>SUMIFS(Sales!N:N,Sales!D:D,A84)</f>
        <v>5729.64</v>
      </c>
      <c r="E84" s="96">
        <f>SUMIF(Sales!D:D,A84,Sales!O:O)</f>
        <v>109</v>
      </c>
      <c r="F84" s="85">
        <f t="shared" si="16"/>
        <v>327</v>
      </c>
      <c r="G84" s="85">
        <f t="shared" si="19"/>
        <v>1989.78533977885</v>
      </c>
      <c r="H84" s="87">
        <f>SUMIFS(Sales!R:R,Sales!D:D,A84)</f>
        <v>12.16</v>
      </c>
      <c r="I84" s="85">
        <v>10000</v>
      </c>
      <c r="J84" s="85">
        <f t="shared" si="18"/>
        <v>1788.23529411765</v>
      </c>
      <c r="K84" s="87">
        <v>6800</v>
      </c>
      <c r="L84" s="85">
        <f t="shared" si="14"/>
        <v>527.247</v>
      </c>
      <c r="M84" s="85"/>
      <c r="N84" s="85"/>
      <c r="O84" s="85">
        <f>C84*0.06</f>
        <v>632.6964</v>
      </c>
      <c r="P84" s="85">
        <f t="shared" si="21"/>
        <v>-5461.42873977885</v>
      </c>
      <c r="Q84" s="85">
        <f t="shared" si="28"/>
        <v>-5259.87869411765</v>
      </c>
      <c r="R84" s="85"/>
      <c r="S84" s="88">
        <f>_xlfn.XLOOKUP(A84,Sales!D:D,Sales!K:K)</f>
        <v>46233</v>
      </c>
      <c r="T84" s="88">
        <f>_xlfn.XLOOKUP(A84,Sales!D:D,Sales!L:L)</f>
        <v>46227</v>
      </c>
      <c r="U84" s="107" t="s">
        <v>573</v>
      </c>
      <c r="V84" s="90">
        <f t="shared" si="22"/>
        <v>-26755.8206338965</v>
      </c>
      <c r="W84" s="90">
        <f t="shared" si="23"/>
        <v>-527.247</v>
      </c>
      <c r="X84" s="90">
        <f t="shared" si="24"/>
        <v>-632.6964</v>
      </c>
      <c r="Y84" s="91">
        <f t="shared" si="25"/>
        <v>10017.693</v>
      </c>
      <c r="Z84" s="92"/>
      <c r="AA84" s="91">
        <f t="shared" si="26"/>
        <v>10017.693</v>
      </c>
      <c r="AB84" s="93">
        <f t="shared" si="27"/>
        <v>-27915.7640338965</v>
      </c>
      <c r="AC84" s="93"/>
      <c r="AD84" s="101"/>
      <c r="AE84" s="94"/>
      <c r="AF84" s="94"/>
      <c r="AG84" s="94"/>
      <c r="AH84" s="94"/>
      <c r="AI84" s="94"/>
      <c r="AJ84" s="94"/>
      <c r="AK84" s="94"/>
      <c r="AL84" s="94"/>
      <c r="AM84" s="94"/>
      <c r="AN84" s="94"/>
      <c r="AO84" s="94"/>
      <c r="AP84" s="94"/>
      <c r="AQ84" s="94"/>
    </row>
    <row r="85" customFormat="1" customHeight="1" spans="1:43">
      <c r="A85" s="102" t="s">
        <v>392</v>
      </c>
      <c r="B85" s="84" t="str">
        <f>_xlfn.XLOOKUP(A85,Sales!D:D,Sales!I:I)</f>
        <v>PSP</v>
      </c>
      <c r="C85" s="85">
        <f>SUMIFS(Sales!H:H,Sales!D:D,A85)</f>
        <v>38005.2</v>
      </c>
      <c r="D85" s="85">
        <f>SUMIFS(Sales!N:N,Sales!D:D,A85)</f>
        <v>18086.63</v>
      </c>
      <c r="E85" s="96">
        <f>SUMIF(Sales!D:D,A85,Sales!O:O)</f>
        <v>691</v>
      </c>
      <c r="F85" s="85">
        <f t="shared" si="16"/>
        <v>2073</v>
      </c>
      <c r="G85" s="85"/>
      <c r="H85" s="87">
        <f>SUMIFS(Sales!R:R,Sales!D:D,A85)</f>
        <v>58.92</v>
      </c>
      <c r="I85" s="85"/>
      <c r="J85" s="85"/>
      <c r="K85" s="87">
        <v>7800</v>
      </c>
      <c r="L85" s="85">
        <f t="shared" si="14"/>
        <v>1900.26</v>
      </c>
      <c r="M85" s="85"/>
      <c r="N85" s="85"/>
      <c r="O85" s="85">
        <f>C85*0.06</f>
        <v>2280.312</v>
      </c>
      <c r="P85" s="85">
        <f t="shared" si="21"/>
        <v>5864.998</v>
      </c>
      <c r="Q85" s="85">
        <f t="shared" si="28"/>
        <v>5864.998</v>
      </c>
      <c r="R85" s="85"/>
      <c r="S85" s="88">
        <f>_xlfn.XLOOKUP(A85,Sales!D:D,Sales!K:K)</f>
        <v>46269</v>
      </c>
      <c r="T85" s="88">
        <f>_xlfn.XLOOKUP(A85,Sales!D:D,Sales!L:L)</f>
        <v>46269</v>
      </c>
      <c r="U85" s="128" t="s">
        <v>574</v>
      </c>
      <c r="V85" s="90">
        <f t="shared" si="22"/>
        <v>-28709.55</v>
      </c>
      <c r="W85" s="90">
        <f t="shared" si="23"/>
        <v>-1900.26</v>
      </c>
      <c r="X85" s="90">
        <f t="shared" si="24"/>
        <v>-2280.312</v>
      </c>
      <c r="Y85" s="91">
        <f t="shared" si="25"/>
        <v>36104.94</v>
      </c>
      <c r="Z85" s="92"/>
      <c r="AA85" s="91">
        <f t="shared" si="26"/>
        <v>36104.94</v>
      </c>
      <c r="AB85" s="93">
        <f t="shared" si="27"/>
        <v>-32890.122</v>
      </c>
      <c r="AC85" s="93"/>
      <c r="AD85" s="101"/>
      <c r="AE85" s="94"/>
      <c r="AF85" s="94"/>
      <c r="AG85" s="94"/>
      <c r="AH85" s="94"/>
      <c r="AI85" s="94"/>
      <c r="AJ85" s="94"/>
      <c r="AK85" s="94"/>
      <c r="AL85" s="94"/>
      <c r="AM85" s="94"/>
      <c r="AN85" s="94"/>
      <c r="AO85" s="94"/>
      <c r="AP85" s="94"/>
      <c r="AQ85" s="94"/>
    </row>
    <row r="86" customFormat="1" customHeight="1" spans="1:43">
      <c r="A86" s="102" t="s">
        <v>394</v>
      </c>
      <c r="B86" s="84" t="str">
        <f>_xlfn.XLOOKUP(A86,Sales!D:D,Sales!I:I)</f>
        <v>PSP</v>
      </c>
      <c r="C86" s="85">
        <f>SUMIFS(Sales!H:H,Sales!D:D,A86)</f>
        <v>24239.51</v>
      </c>
      <c r="D86" s="85">
        <f>SUMIFS(Sales!N:N,Sales!D:D,A86)</f>
        <v>11921.46</v>
      </c>
      <c r="E86" s="96">
        <f>SUMIF(Sales!D:D,A86,Sales!O:O)</f>
        <v>355</v>
      </c>
      <c r="F86" s="85">
        <f t="shared" si="16"/>
        <v>1065</v>
      </c>
      <c r="G86" s="85"/>
      <c r="H86" s="87">
        <f>SUMIFS(Sales!R:R,Sales!D:D,A86)</f>
        <v>32.36</v>
      </c>
      <c r="I86" s="85">
        <v>12000</v>
      </c>
      <c r="J86" s="85">
        <f>I86*H86/68</f>
        <v>5710.58823529412</v>
      </c>
      <c r="K86" s="87">
        <v>5741.8</v>
      </c>
      <c r="L86" s="85">
        <f t="shared" si="14"/>
        <v>1211.9755</v>
      </c>
      <c r="M86" s="85"/>
      <c r="N86" s="85"/>
      <c r="O86" s="85">
        <f>C86*0.06</f>
        <v>1454.3706</v>
      </c>
      <c r="P86" s="85">
        <f t="shared" si="21"/>
        <v>2844.9039</v>
      </c>
      <c r="Q86" s="85">
        <f t="shared" si="28"/>
        <v>-2865.68433529412</v>
      </c>
      <c r="R86" s="85"/>
      <c r="S86" s="88">
        <f>_xlfn.XLOOKUP(A86,Sales!D:D,Sales!K:K)</f>
        <v>46269</v>
      </c>
      <c r="T86" s="88">
        <f>_xlfn.XLOOKUP(A86,Sales!D:D,Sales!L:L)</f>
        <v>46265</v>
      </c>
      <c r="U86" s="107" t="s">
        <v>575</v>
      </c>
      <c r="V86" s="90">
        <f t="shared" si="22"/>
        <v>-36826.2082352941</v>
      </c>
      <c r="W86" s="90">
        <f t="shared" si="23"/>
        <v>-1211.9755</v>
      </c>
      <c r="X86" s="90">
        <f t="shared" si="24"/>
        <v>-1454.3706</v>
      </c>
      <c r="Y86" s="91">
        <f t="shared" si="25"/>
        <v>23027.5345</v>
      </c>
      <c r="Z86" s="92"/>
      <c r="AA86" s="91">
        <f t="shared" si="26"/>
        <v>23027.5345</v>
      </c>
      <c r="AB86" s="93">
        <f t="shared" si="27"/>
        <v>-39492.5543352941</v>
      </c>
      <c r="AC86" s="93"/>
      <c r="AD86" s="101"/>
      <c r="AE86" s="94"/>
      <c r="AF86" s="94"/>
      <c r="AG86" s="94"/>
      <c r="AH86" s="94"/>
      <c r="AI86" s="94"/>
      <c r="AJ86" s="94"/>
      <c r="AK86" s="94"/>
      <c r="AL86" s="94"/>
      <c r="AM86" s="94"/>
      <c r="AN86" s="94"/>
      <c r="AO86" s="94"/>
      <c r="AP86" s="94"/>
      <c r="AQ86" s="94"/>
    </row>
    <row r="87" customFormat="1" customHeight="1" spans="1:43">
      <c r="A87" s="102">
        <v>31307402</v>
      </c>
      <c r="B87" s="84" t="str">
        <f>_xlfn.XLOOKUP(A87,Sales!D:D,Sales!I:I)</f>
        <v>Petco</v>
      </c>
      <c r="C87" s="85">
        <f>SUMIFS(Sales!H:H,Sales!D:D,A87)</f>
        <v>3002.51</v>
      </c>
      <c r="D87" s="85">
        <f>SUMIFS(Sales!N:N,Sales!D:D,A87)</f>
        <v>1715.05</v>
      </c>
      <c r="E87" s="96">
        <f>SUMIF(Sales!D:D,A87,Sales!O:O)</f>
        <v>28</v>
      </c>
      <c r="F87" s="85">
        <f t="shared" si="16"/>
        <v>84</v>
      </c>
      <c r="G87" s="85">
        <f>((401084.34-72550.7)/7)/2571*E87</f>
        <v>511.137518475301</v>
      </c>
      <c r="H87" s="87">
        <f>SUMIFS(Sales!R:R,Sales!D:D,A87)</f>
        <v>2.42</v>
      </c>
      <c r="I87" s="85">
        <v>10000</v>
      </c>
      <c r="J87" s="85">
        <f>I87*H87/68</f>
        <v>355.882352941177</v>
      </c>
      <c r="K87" s="87">
        <v>363.461538461538</v>
      </c>
      <c r="L87" s="85">
        <f t="shared" si="14"/>
        <v>135.11295</v>
      </c>
      <c r="M87" s="85"/>
      <c r="N87" s="85"/>
      <c r="O87" s="85">
        <f t="shared" ref="O87:O117" si="30">C87*0.04</f>
        <v>120.1004</v>
      </c>
      <c r="P87" s="85">
        <f t="shared" si="21"/>
        <v>73.6475930631601</v>
      </c>
      <c r="Q87" s="85">
        <f t="shared" si="28"/>
        <v>228.902758597285</v>
      </c>
      <c r="R87" s="85"/>
      <c r="S87" s="88">
        <f>_xlfn.XLOOKUP(A87,Sales!D:D,Sales!K:K)</f>
        <v>46232</v>
      </c>
      <c r="T87" s="88">
        <f>_xlfn.XLOOKUP(A87,Sales!D:D,Sales!L:L)</f>
        <v>46231</v>
      </c>
      <c r="U87" s="107" t="s">
        <v>576</v>
      </c>
      <c r="V87" s="90">
        <f t="shared" si="22"/>
        <v>-13059.951409878</v>
      </c>
      <c r="W87" s="90">
        <f t="shared" si="23"/>
        <v>-135.11295</v>
      </c>
      <c r="X87" s="90">
        <f t="shared" si="24"/>
        <v>-120.1004</v>
      </c>
      <c r="Y87" s="91">
        <f t="shared" si="25"/>
        <v>2867.39705</v>
      </c>
      <c r="Z87" s="92"/>
      <c r="AA87" s="91">
        <f t="shared" si="26"/>
        <v>2867.39705</v>
      </c>
      <c r="AB87" s="93">
        <f t="shared" si="27"/>
        <v>-13315.164759878</v>
      </c>
      <c r="AC87" s="93"/>
      <c r="AD87" s="101"/>
      <c r="AE87" s="94"/>
      <c r="AF87" s="94"/>
      <c r="AG87" s="94"/>
      <c r="AH87" s="94"/>
      <c r="AI87" s="94"/>
      <c r="AJ87" s="94"/>
      <c r="AK87" s="94"/>
      <c r="AL87" s="94"/>
      <c r="AM87" s="94"/>
      <c r="AN87" s="94"/>
      <c r="AO87" s="94"/>
      <c r="AP87" s="94"/>
      <c r="AQ87" s="94"/>
    </row>
    <row r="88" customFormat="1" customHeight="1" spans="1:43">
      <c r="A88" s="102">
        <v>31441548</v>
      </c>
      <c r="B88" s="84" t="str">
        <f>_xlfn.XLOOKUP(A88,Sales!D:D,Sales!I:I)</f>
        <v>Petco</v>
      </c>
      <c r="C88" s="85">
        <f>SUMIFS(Sales!H:H,Sales!D:D,A88)</f>
        <v>14163.7</v>
      </c>
      <c r="D88" s="85">
        <f>SUMIFS(Sales!N:N,Sales!D:D,A88)</f>
        <v>7411.06</v>
      </c>
      <c r="E88" s="96">
        <f>SUMIF(Sales!D:D,A88,Sales!O:O)</f>
        <v>215</v>
      </c>
      <c r="F88" s="85">
        <f t="shared" si="16"/>
        <v>645</v>
      </c>
      <c r="G88" s="85"/>
      <c r="H88" s="87">
        <f>SUMIFS(Sales!R:R,Sales!D:D,A88)</f>
        <v>18.73</v>
      </c>
      <c r="I88" s="85">
        <v>12000</v>
      </c>
      <c r="J88" s="85">
        <f>I88*H88/68</f>
        <v>3305.29411764706</v>
      </c>
      <c r="K88" s="87">
        <v>3282.73</v>
      </c>
      <c r="L88" s="85">
        <f t="shared" si="14"/>
        <v>637.3665</v>
      </c>
      <c r="M88" s="85"/>
      <c r="N88" s="85"/>
      <c r="O88" s="85">
        <f t="shared" si="30"/>
        <v>566.548</v>
      </c>
      <c r="P88" s="85">
        <f t="shared" si="21"/>
        <v>1620.9955</v>
      </c>
      <c r="Q88" s="85">
        <f t="shared" si="28"/>
        <v>-1684.29861764706</v>
      </c>
      <c r="R88" s="85"/>
      <c r="S88" s="88">
        <f>_xlfn.XLOOKUP(A88,Sales!D:D,Sales!K:K)</f>
        <v>46260</v>
      </c>
      <c r="T88" s="88">
        <f>_xlfn.XLOOKUP(A88,Sales!D:D,Sales!L:L)</f>
        <v>46248</v>
      </c>
      <c r="U88" s="107" t="s">
        <v>577</v>
      </c>
      <c r="V88" s="90">
        <f t="shared" si="22"/>
        <v>-26877.8141176471</v>
      </c>
      <c r="W88" s="90">
        <f t="shared" si="23"/>
        <v>-637.3665</v>
      </c>
      <c r="X88" s="90">
        <f t="shared" si="24"/>
        <v>-566.548</v>
      </c>
      <c r="Y88" s="91">
        <f t="shared" si="25"/>
        <v>13526.3335</v>
      </c>
      <c r="Z88" s="92"/>
      <c r="AA88" s="91">
        <f t="shared" si="26"/>
        <v>13526.3335</v>
      </c>
      <c r="AB88" s="93">
        <f t="shared" si="27"/>
        <v>-28081.7286176471</v>
      </c>
      <c r="AC88" s="93"/>
      <c r="AD88" s="101"/>
      <c r="AE88" s="94"/>
      <c r="AF88" s="94"/>
      <c r="AG88" s="94"/>
      <c r="AH88" s="94"/>
      <c r="AI88" s="94"/>
      <c r="AJ88" s="94"/>
      <c r="AK88" s="94"/>
      <c r="AL88" s="94"/>
      <c r="AM88" s="94"/>
      <c r="AN88" s="94"/>
      <c r="AO88" s="94"/>
      <c r="AP88" s="94"/>
      <c r="AQ88" s="94"/>
    </row>
    <row r="89" customFormat="1" customHeight="1" spans="1:43">
      <c r="A89" s="102">
        <v>31441549</v>
      </c>
      <c r="B89" s="84" t="str">
        <f>_xlfn.XLOOKUP(A89,Sales!D:D,Sales!I:I)</f>
        <v>Petco</v>
      </c>
      <c r="C89" s="85">
        <f>SUMIFS(Sales!H:H,Sales!D:D,A89)</f>
        <v>12124.71</v>
      </c>
      <c r="D89" s="85">
        <f>SUMIFS(Sales!N:N,Sales!D:D,A89)</f>
        <v>6452.36</v>
      </c>
      <c r="E89" s="96">
        <f>SUMIF(Sales!D:D,A89,Sales!O:O)</f>
        <v>163</v>
      </c>
      <c r="F89" s="85">
        <f t="shared" si="16"/>
        <v>489</v>
      </c>
      <c r="G89" s="85"/>
      <c r="H89" s="87">
        <f>SUMIFS(Sales!R:R,Sales!D:D,A89)</f>
        <v>15.75</v>
      </c>
      <c r="I89" s="85">
        <v>12000</v>
      </c>
      <c r="J89" s="85">
        <f t="shared" ref="J89:J117" si="31">I89*H89/68</f>
        <v>2779.41176470588</v>
      </c>
      <c r="K89" s="87">
        <v>420</v>
      </c>
      <c r="L89" s="85">
        <f t="shared" si="14"/>
        <v>545.61195</v>
      </c>
      <c r="M89" s="85"/>
      <c r="N89" s="85"/>
      <c r="O89" s="85">
        <f t="shared" si="30"/>
        <v>484.9884</v>
      </c>
      <c r="P89" s="85">
        <f t="shared" si="21"/>
        <v>3732.74965</v>
      </c>
      <c r="Q89" s="85">
        <f t="shared" si="28"/>
        <v>953.33788529412</v>
      </c>
      <c r="R89" s="85"/>
      <c r="S89" s="88">
        <f>_xlfn.XLOOKUP(A89,Sales!D:D,Sales!K:K)</f>
        <v>46255</v>
      </c>
      <c r="T89" s="88">
        <f>_xlfn.XLOOKUP(A89,Sales!D:D,Sales!L:L)</f>
        <v>46258</v>
      </c>
      <c r="U89" s="107" t="s">
        <v>578</v>
      </c>
      <c r="V89" s="90">
        <f t="shared" si="22"/>
        <v>-22319.5217647059</v>
      </c>
      <c r="W89" s="90">
        <f t="shared" si="23"/>
        <v>-545.61195</v>
      </c>
      <c r="X89" s="90">
        <f t="shared" si="24"/>
        <v>-484.9884</v>
      </c>
      <c r="Y89" s="91">
        <f t="shared" si="25"/>
        <v>11579.09805</v>
      </c>
      <c r="Z89" s="92"/>
      <c r="AA89" s="91">
        <f t="shared" si="26"/>
        <v>11579.09805</v>
      </c>
      <c r="AB89" s="93">
        <f t="shared" si="27"/>
        <v>-23350.1221147059</v>
      </c>
      <c r="AC89" s="93"/>
      <c r="AD89" s="101"/>
      <c r="AE89" s="94"/>
      <c r="AF89" s="94"/>
      <c r="AG89" s="94"/>
      <c r="AH89" s="94"/>
      <c r="AI89" s="94"/>
      <c r="AJ89" s="94"/>
      <c r="AK89" s="94"/>
      <c r="AL89" s="94"/>
      <c r="AM89" s="94"/>
      <c r="AN89" s="94"/>
      <c r="AO89" s="94"/>
      <c r="AP89" s="94"/>
      <c r="AQ89" s="94"/>
    </row>
    <row r="90" customFormat="1" customHeight="1" spans="1:43">
      <c r="A90" s="102">
        <v>31441550</v>
      </c>
      <c r="B90" s="84" t="str">
        <f>_xlfn.XLOOKUP(A90,Sales!D:D,Sales!I:I)</f>
        <v>Petco</v>
      </c>
      <c r="C90" s="85">
        <f>SUMIFS(Sales!H:H,Sales!D:D,A90)</f>
        <v>12552.47</v>
      </c>
      <c r="D90" s="85">
        <f>SUMIFS(Sales!N:N,Sales!D:D,A90)</f>
        <v>6589.1</v>
      </c>
      <c r="E90" s="96">
        <f>SUMIF(Sales!D:D,A90,Sales!O:O)</f>
        <v>180</v>
      </c>
      <c r="F90" s="85">
        <f t="shared" si="16"/>
        <v>540</v>
      </c>
      <c r="G90" s="85">
        <f>((401084.34-72550.7)/7)/2571*E90</f>
        <v>3285.88404734122</v>
      </c>
      <c r="H90" s="87">
        <f>SUMIFS(Sales!R:R,Sales!D:D,A90)</f>
        <v>16.91</v>
      </c>
      <c r="I90" s="85">
        <v>10000</v>
      </c>
      <c r="J90" s="85">
        <f t="shared" si="31"/>
        <v>2486.76470588235</v>
      </c>
      <c r="K90" s="87">
        <v>2336.53846153846</v>
      </c>
      <c r="L90" s="85">
        <f t="shared" si="14"/>
        <v>564.86115</v>
      </c>
      <c r="M90" s="85"/>
      <c r="N90" s="85"/>
      <c r="O90" s="85">
        <f t="shared" si="30"/>
        <v>502.0988</v>
      </c>
      <c r="P90" s="85">
        <f t="shared" si="21"/>
        <v>-1266.01245887968</v>
      </c>
      <c r="Q90" s="85">
        <f t="shared" si="28"/>
        <v>-466.893117420813</v>
      </c>
      <c r="R90" s="85"/>
      <c r="S90" s="88">
        <f>_xlfn.XLOOKUP(A90,Sales!D:D,Sales!K:K)</f>
        <v>46232</v>
      </c>
      <c r="T90" s="88">
        <f>_xlfn.XLOOKUP(A90,Sales!D:D,Sales!L:L)</f>
        <v>46231</v>
      </c>
      <c r="U90" s="107" t="s">
        <v>579</v>
      </c>
      <c r="V90" s="90">
        <f t="shared" si="22"/>
        <v>-25435.197214762</v>
      </c>
      <c r="W90" s="90">
        <f t="shared" si="23"/>
        <v>-564.86115</v>
      </c>
      <c r="X90" s="90">
        <f t="shared" si="24"/>
        <v>-502.0988</v>
      </c>
      <c r="Y90" s="91">
        <f t="shared" si="25"/>
        <v>11987.60885</v>
      </c>
      <c r="Z90" s="92"/>
      <c r="AA90" s="91">
        <f t="shared" si="26"/>
        <v>11987.60885</v>
      </c>
      <c r="AB90" s="93">
        <f t="shared" si="27"/>
        <v>-26502.157164762</v>
      </c>
      <c r="AC90" s="93"/>
      <c r="AD90" s="101"/>
      <c r="AE90" s="94"/>
      <c r="AF90" s="94"/>
      <c r="AG90" s="94"/>
      <c r="AH90" s="94"/>
      <c r="AI90" s="94"/>
      <c r="AJ90" s="94"/>
      <c r="AK90" s="94"/>
      <c r="AL90" s="94"/>
      <c r="AM90" s="94"/>
      <c r="AN90" s="94"/>
      <c r="AO90" s="94"/>
      <c r="AP90" s="94"/>
      <c r="AQ90" s="94"/>
    </row>
    <row r="91" customFormat="1" customHeight="1" spans="1:43">
      <c r="A91" s="102">
        <v>31496998</v>
      </c>
      <c r="B91" s="84" t="str">
        <f>_xlfn.XLOOKUP(A91,Sales!D:D,Sales!I:I)</f>
        <v>Petco</v>
      </c>
      <c r="C91" s="85">
        <f>SUMIFS(Sales!H:H,Sales!D:D,A91)</f>
        <v>14510.46</v>
      </c>
      <c r="D91" s="85">
        <f>SUMIFS(Sales!N:N,Sales!D:D,A91)</f>
        <v>7549.72</v>
      </c>
      <c r="E91" s="96">
        <f>SUMIF(Sales!D:D,A91,Sales!O:O)</f>
        <v>242</v>
      </c>
      <c r="F91" s="85">
        <f t="shared" si="16"/>
        <v>726</v>
      </c>
      <c r="G91" s="85"/>
      <c r="H91" s="87">
        <f>SUMIFS(Sales!R:R,Sales!D:D,A91)</f>
        <v>19.16</v>
      </c>
      <c r="I91" s="85">
        <v>12000</v>
      </c>
      <c r="J91" s="85">
        <f t="shared" si="31"/>
        <v>3381.17647058824</v>
      </c>
      <c r="K91" s="87">
        <v>3725.71</v>
      </c>
      <c r="L91" s="85">
        <f t="shared" si="14"/>
        <v>652.9707</v>
      </c>
      <c r="M91" s="85"/>
      <c r="N91" s="85"/>
      <c r="O91" s="85">
        <f t="shared" si="30"/>
        <v>580.4184</v>
      </c>
      <c r="P91" s="85">
        <f t="shared" si="21"/>
        <v>1275.6409</v>
      </c>
      <c r="Q91" s="85">
        <f t="shared" si="28"/>
        <v>-2105.53557058824</v>
      </c>
      <c r="R91" s="85"/>
      <c r="S91" s="88">
        <f>_xlfn.XLOOKUP(A91,Sales!D:D,Sales!K:K)</f>
        <v>46260</v>
      </c>
      <c r="T91" s="88">
        <f>_xlfn.XLOOKUP(A91,Sales!D:D,Sales!L:L)</f>
        <v>46251</v>
      </c>
      <c r="U91" s="107" t="s">
        <v>580</v>
      </c>
      <c r="V91" s="90">
        <f t="shared" si="22"/>
        <v>-27643.7664705882</v>
      </c>
      <c r="W91" s="90">
        <f t="shared" si="23"/>
        <v>-652.9707</v>
      </c>
      <c r="X91" s="90">
        <f t="shared" si="24"/>
        <v>-580.4184</v>
      </c>
      <c r="Y91" s="91">
        <f t="shared" si="25"/>
        <v>13857.4893</v>
      </c>
      <c r="Z91" s="92"/>
      <c r="AA91" s="91">
        <f t="shared" si="26"/>
        <v>13857.4893</v>
      </c>
      <c r="AB91" s="93">
        <f t="shared" si="27"/>
        <v>-28877.1555705882</v>
      </c>
      <c r="AC91" s="93"/>
      <c r="AD91" s="101"/>
      <c r="AE91" s="94"/>
      <c r="AF91" s="94"/>
      <c r="AG91" s="94"/>
      <c r="AH91" s="94"/>
      <c r="AI91" s="94"/>
      <c r="AJ91" s="94"/>
      <c r="AK91" s="94"/>
      <c r="AL91" s="94"/>
      <c r="AM91" s="94"/>
      <c r="AN91" s="94"/>
      <c r="AO91" s="94"/>
      <c r="AP91" s="94"/>
      <c r="AQ91" s="94"/>
    </row>
    <row r="92" customFormat="1" customHeight="1" spans="1:43">
      <c r="A92" s="102">
        <v>31496999</v>
      </c>
      <c r="B92" s="84" t="str">
        <f>_xlfn.XLOOKUP(A92,Sales!D:D,Sales!I:I)</f>
        <v>Petco</v>
      </c>
      <c r="C92" s="85">
        <f>SUMIFS(Sales!H:H,Sales!D:D,A92)</f>
        <v>4180.58</v>
      </c>
      <c r="D92" s="85">
        <f>SUMIFS(Sales!N:N,Sales!D:D,A92)</f>
        <v>2125.12</v>
      </c>
      <c r="E92" s="96">
        <f>SUMIF(Sales!D:D,A92,Sales!O:O)</f>
        <v>66</v>
      </c>
      <c r="F92" s="85">
        <f t="shared" si="16"/>
        <v>198</v>
      </c>
      <c r="G92" s="85"/>
      <c r="H92" s="87">
        <f>SUMIFS(Sales!R:R,Sales!D:D,A92)</f>
        <v>5.3</v>
      </c>
      <c r="I92" s="85">
        <v>12000</v>
      </c>
      <c r="J92" s="85">
        <f t="shared" si="31"/>
        <v>935.294117647059</v>
      </c>
      <c r="K92" s="87">
        <v>1268.54</v>
      </c>
      <c r="L92" s="85">
        <f t="shared" si="14"/>
        <v>188.1261</v>
      </c>
      <c r="M92" s="85"/>
      <c r="N92" s="85"/>
      <c r="O92" s="85">
        <f t="shared" si="30"/>
        <v>167.2232</v>
      </c>
      <c r="P92" s="85">
        <f t="shared" si="21"/>
        <v>233.5707</v>
      </c>
      <c r="Q92" s="85">
        <f t="shared" si="28"/>
        <v>-701.723417647059</v>
      </c>
      <c r="R92" s="85"/>
      <c r="S92" s="88">
        <f>_xlfn.XLOOKUP(A92,Sales!D:D,Sales!K:K)</f>
        <v>46260</v>
      </c>
      <c r="T92" s="88">
        <f>_xlfn.XLOOKUP(A92,Sales!D:D,Sales!L:L)</f>
        <v>46253</v>
      </c>
      <c r="U92" s="107" t="s">
        <v>581</v>
      </c>
      <c r="V92" s="90">
        <f t="shared" si="22"/>
        <v>-16598.2541176471</v>
      </c>
      <c r="W92" s="90">
        <f t="shared" si="23"/>
        <v>-188.1261</v>
      </c>
      <c r="X92" s="90">
        <f t="shared" si="24"/>
        <v>-167.2232</v>
      </c>
      <c r="Y92" s="91">
        <f t="shared" si="25"/>
        <v>3992.4539</v>
      </c>
      <c r="Z92" s="92"/>
      <c r="AA92" s="91">
        <f t="shared" si="26"/>
        <v>3992.4539</v>
      </c>
      <c r="AB92" s="93">
        <f t="shared" si="27"/>
        <v>-16953.6034176471</v>
      </c>
      <c r="AC92" s="93"/>
      <c r="AD92" s="101"/>
      <c r="AE92" s="94"/>
      <c r="AF92" s="94"/>
      <c r="AG92" s="94"/>
      <c r="AH92" s="94"/>
      <c r="AI92" s="94"/>
      <c r="AJ92" s="94"/>
      <c r="AK92" s="94"/>
      <c r="AL92" s="94"/>
      <c r="AM92" s="94"/>
      <c r="AN92" s="94"/>
      <c r="AO92" s="94"/>
      <c r="AP92" s="94"/>
      <c r="AQ92" s="94"/>
    </row>
    <row r="93" customFormat="1" customHeight="1" spans="1:43">
      <c r="A93" s="102">
        <v>31497000</v>
      </c>
      <c r="B93" s="84" t="str">
        <f>_xlfn.XLOOKUP(A93,Sales!D:D,Sales!I:I)</f>
        <v>Petco</v>
      </c>
      <c r="C93" s="85">
        <f>SUMIFS(Sales!H:H,Sales!D:D,A93)</f>
        <v>5464.17</v>
      </c>
      <c r="D93" s="85">
        <f>SUMIFS(Sales!N:N,Sales!D:D,A93)</f>
        <v>2805.05</v>
      </c>
      <c r="E93" s="96">
        <f>SUMIF(Sales!D:D,A93,Sales!O:O)</f>
        <v>83</v>
      </c>
      <c r="F93" s="85">
        <f t="shared" si="16"/>
        <v>249</v>
      </c>
      <c r="G93" s="85"/>
      <c r="H93" s="87">
        <f>SUMIFS(Sales!R:R,Sales!D:D,A93)</f>
        <v>6.55</v>
      </c>
      <c r="I93" s="85">
        <v>12000</v>
      </c>
      <c r="J93" s="85">
        <f t="shared" si="31"/>
        <v>1155.88235294118</v>
      </c>
      <c r="K93" s="87">
        <v>350</v>
      </c>
      <c r="L93" s="85">
        <f t="shared" si="14"/>
        <v>245.88765</v>
      </c>
      <c r="M93" s="85"/>
      <c r="N93" s="85"/>
      <c r="O93" s="85">
        <f t="shared" si="30"/>
        <v>218.5668</v>
      </c>
      <c r="P93" s="85">
        <f t="shared" si="21"/>
        <v>1595.66555</v>
      </c>
      <c r="Q93" s="85">
        <f t="shared" si="28"/>
        <v>439.783197058824</v>
      </c>
      <c r="R93" s="85"/>
      <c r="S93" s="88">
        <f>_xlfn.XLOOKUP(A93,Sales!D:D,Sales!K:K)</f>
        <v>46253</v>
      </c>
      <c r="T93" s="88">
        <f>_xlfn.XLOOKUP(A93,Sales!D:D,Sales!L:L)</f>
        <v>46253</v>
      </c>
      <c r="U93" s="107" t="s">
        <v>582</v>
      </c>
      <c r="V93" s="90">
        <f t="shared" si="22"/>
        <v>-16649.4823529412</v>
      </c>
      <c r="W93" s="90">
        <f t="shared" si="23"/>
        <v>-245.88765</v>
      </c>
      <c r="X93" s="90">
        <f t="shared" si="24"/>
        <v>-218.5668</v>
      </c>
      <c r="Y93" s="91">
        <f t="shared" si="25"/>
        <v>5218.28235</v>
      </c>
      <c r="Z93" s="92"/>
      <c r="AA93" s="91">
        <f t="shared" si="26"/>
        <v>5218.28235</v>
      </c>
      <c r="AB93" s="93">
        <f t="shared" si="27"/>
        <v>-17113.9368029412</v>
      </c>
      <c r="AC93" s="93"/>
      <c r="AD93" s="101"/>
      <c r="AE93" s="94"/>
      <c r="AF93" s="94"/>
      <c r="AG93" s="94"/>
      <c r="AH93" s="94"/>
      <c r="AI93" s="94"/>
      <c r="AJ93" s="94"/>
      <c r="AK93" s="94"/>
      <c r="AL93" s="94"/>
      <c r="AM93" s="94"/>
      <c r="AN93" s="94"/>
      <c r="AO93" s="94"/>
      <c r="AP93" s="94"/>
      <c r="AQ93" s="94"/>
    </row>
    <row r="94" customFormat="1" customHeight="1" spans="1:43">
      <c r="A94" s="102">
        <v>31497001</v>
      </c>
      <c r="B94" s="84" t="str">
        <f>_xlfn.XLOOKUP(A94,Sales!D:D,Sales!I:I)</f>
        <v>Petco</v>
      </c>
      <c r="C94" s="85">
        <f>SUMIFS(Sales!H:H,Sales!D:D,A94)</f>
        <v>14361.83</v>
      </c>
      <c r="D94" s="85">
        <f>SUMIFS(Sales!N:N,Sales!D:D,A94)</f>
        <v>7516.27</v>
      </c>
      <c r="E94" s="96">
        <f>SUMIF(Sales!D:D,A94,Sales!O:O)</f>
        <v>226</v>
      </c>
      <c r="F94" s="85">
        <f t="shared" si="16"/>
        <v>678</v>
      </c>
      <c r="G94" s="85"/>
      <c r="H94" s="87">
        <f>SUMIFS(Sales!R:R,Sales!D:D,A94)</f>
        <v>18.4</v>
      </c>
      <c r="I94" s="85">
        <v>12000</v>
      </c>
      <c r="J94" s="85">
        <f t="shared" si="31"/>
        <v>3247.05882352941</v>
      </c>
      <c r="K94" s="87">
        <v>4983.99</v>
      </c>
      <c r="L94" s="85">
        <f t="shared" si="14"/>
        <v>646.28235</v>
      </c>
      <c r="M94" s="85"/>
      <c r="N94" s="85"/>
      <c r="O94" s="85">
        <f t="shared" si="30"/>
        <v>574.4732</v>
      </c>
      <c r="P94" s="85">
        <f t="shared" si="21"/>
        <v>-37.1855499999987</v>
      </c>
      <c r="Q94" s="85">
        <f t="shared" si="28"/>
        <v>-3284.24437352941</v>
      </c>
      <c r="R94" s="85"/>
      <c r="S94" s="88">
        <f>_xlfn.XLOOKUP(A94,Sales!D:D,Sales!K:K)</f>
        <v>46265</v>
      </c>
      <c r="T94" s="88">
        <f>_xlfn.XLOOKUP(A94,Sales!D:D,Sales!L:L)</f>
        <v>46253</v>
      </c>
      <c r="U94" s="107" t="s">
        <v>583</v>
      </c>
      <c r="V94" s="90">
        <f t="shared" si="22"/>
        <v>-28669.7188235294</v>
      </c>
      <c r="W94" s="90">
        <f t="shared" si="23"/>
        <v>-646.28235</v>
      </c>
      <c r="X94" s="90">
        <f t="shared" si="24"/>
        <v>-574.4732</v>
      </c>
      <c r="Y94" s="91">
        <f t="shared" si="25"/>
        <v>13715.54765</v>
      </c>
      <c r="Z94" s="92"/>
      <c r="AA94" s="91">
        <f t="shared" si="26"/>
        <v>13715.54765</v>
      </c>
      <c r="AB94" s="93">
        <f t="shared" si="27"/>
        <v>-29890.4743735294</v>
      </c>
      <c r="AC94" s="93"/>
      <c r="AD94" s="101"/>
      <c r="AE94" s="94"/>
      <c r="AF94" s="94"/>
      <c r="AG94" s="94"/>
      <c r="AH94" s="94"/>
      <c r="AI94" s="94"/>
      <c r="AJ94" s="94"/>
      <c r="AK94" s="94"/>
      <c r="AL94" s="94"/>
      <c r="AM94" s="94"/>
      <c r="AN94" s="94"/>
      <c r="AO94" s="94"/>
      <c r="AP94" s="94"/>
      <c r="AQ94" s="94"/>
    </row>
    <row r="95" customHeight="1" spans="1:43">
      <c r="A95" s="102">
        <v>31577968</v>
      </c>
      <c r="B95" s="84" t="str">
        <f>_xlfn.XLOOKUP(A95,Sales!D:D,Sales!I:I)</f>
        <v>Petco</v>
      </c>
      <c r="C95" s="85">
        <f>SUMIFS(Sales!H:H,Sales!D:D,A95)</f>
        <v>6715.89</v>
      </c>
      <c r="D95" s="85">
        <f>SUMIFS(Sales!N:N,Sales!D:D,A95)</f>
        <v>3446.49</v>
      </c>
      <c r="E95" s="96">
        <f>SUMIF(Sales!D:D,A95,Sales!O:O)</f>
        <v>126</v>
      </c>
      <c r="F95" s="85">
        <f t="shared" si="16"/>
        <v>378</v>
      </c>
      <c r="G95" s="85"/>
      <c r="H95" s="87">
        <f>SUMIFS(Sales!R:R,Sales!D:D,A95)</f>
        <v>9.68</v>
      </c>
      <c r="I95" s="85">
        <v>12000</v>
      </c>
      <c r="J95" s="85">
        <f t="shared" si="31"/>
        <v>1708.23529411765</v>
      </c>
      <c r="K95" s="87">
        <v>2392.81</v>
      </c>
      <c r="L95" s="85">
        <f t="shared" si="14"/>
        <v>302.21505</v>
      </c>
      <c r="M95" s="85"/>
      <c r="N95" s="85"/>
      <c r="O95" s="85">
        <f t="shared" si="30"/>
        <v>268.6356</v>
      </c>
      <c r="P95" s="85">
        <f t="shared" si="21"/>
        <v>-72.2606499999999</v>
      </c>
      <c r="Q95" s="85">
        <f t="shared" si="28"/>
        <v>-1780.49594411765</v>
      </c>
      <c r="R95" s="85"/>
      <c r="S95" s="88">
        <f>_xlfn.XLOOKUP(A95,Sales!D:D,Sales!K:K)</f>
        <v>46247</v>
      </c>
      <c r="T95" s="88">
        <f>_xlfn.XLOOKUP(A95,Sales!D:D,Sales!L:L)</f>
        <v>46238</v>
      </c>
      <c r="U95" s="107" t="s">
        <v>584</v>
      </c>
      <c r="V95" s="90">
        <f t="shared" si="22"/>
        <v>-20061.2152941177</v>
      </c>
      <c r="W95" s="90">
        <f t="shared" si="23"/>
        <v>-302.21505</v>
      </c>
      <c r="X95" s="90">
        <f t="shared" si="24"/>
        <v>-268.6356</v>
      </c>
      <c r="Y95" s="91">
        <f t="shared" si="25"/>
        <v>6413.67495</v>
      </c>
      <c r="Z95" s="92"/>
      <c r="AA95" s="91">
        <f t="shared" si="26"/>
        <v>6413.67495</v>
      </c>
      <c r="AB95" s="93">
        <f t="shared" si="27"/>
        <v>-20632.0659441177</v>
      </c>
      <c r="AC95" s="93"/>
      <c r="AD95" s="101"/>
      <c r="AE95" s="94"/>
      <c r="AF95" s="94"/>
      <c r="AG95" s="94"/>
      <c r="AH95" s="94"/>
      <c r="AI95" s="94"/>
      <c r="AJ95" s="94"/>
      <c r="AK95" s="94"/>
      <c r="AL95" s="94"/>
      <c r="AM95" s="94"/>
      <c r="AN95" s="94"/>
      <c r="AO95" s="94"/>
      <c r="AP95" s="94"/>
      <c r="AQ95" s="94"/>
    </row>
    <row r="96" customHeight="1" spans="1:43">
      <c r="A96" s="102">
        <v>31577969</v>
      </c>
      <c r="B96" s="84" t="str">
        <f>_xlfn.XLOOKUP(A96,Sales!D:D,Sales!I:I)</f>
        <v>Petco</v>
      </c>
      <c r="C96" s="85">
        <f>SUMIFS(Sales!H:H,Sales!D:D,A96)</f>
        <v>10209.31</v>
      </c>
      <c r="D96" s="85">
        <f>SUMIFS(Sales!N:N,Sales!D:D,A96)</f>
        <v>5243.79</v>
      </c>
      <c r="E96" s="96">
        <f>SUMIF(Sales!D:D,A96,Sales!O:O)</f>
        <v>183</v>
      </c>
      <c r="F96" s="85">
        <f t="shared" si="16"/>
        <v>549</v>
      </c>
      <c r="G96" s="85"/>
      <c r="H96" s="87">
        <f>SUMIFS(Sales!R:R,Sales!D:D,A96)</f>
        <v>14.1</v>
      </c>
      <c r="I96" s="85">
        <v>12000</v>
      </c>
      <c r="J96" s="85">
        <f t="shared" si="31"/>
        <v>2488.23529411765</v>
      </c>
      <c r="K96" s="87">
        <v>2867.69</v>
      </c>
      <c r="L96" s="85">
        <f t="shared" si="14"/>
        <v>459.41895</v>
      </c>
      <c r="M96" s="85"/>
      <c r="N96" s="85"/>
      <c r="O96" s="85">
        <f t="shared" si="30"/>
        <v>408.3724</v>
      </c>
      <c r="P96" s="85">
        <f t="shared" si="21"/>
        <v>681.038650000001</v>
      </c>
      <c r="Q96" s="85">
        <f t="shared" si="28"/>
        <v>-1807.19664411765</v>
      </c>
      <c r="R96" s="85"/>
      <c r="S96" s="88">
        <f>_xlfn.XLOOKUP(A96,Sales!D:D,Sales!K:K)</f>
        <v>46247</v>
      </c>
      <c r="T96" s="88">
        <f>_xlfn.XLOOKUP(A96,Sales!D:D,Sales!L:L)</f>
        <v>46239</v>
      </c>
      <c r="U96" s="107" t="s">
        <v>585</v>
      </c>
      <c r="V96" s="90">
        <f t="shared" si="22"/>
        <v>-23345.8152941176</v>
      </c>
      <c r="W96" s="90">
        <f t="shared" si="23"/>
        <v>-459.41895</v>
      </c>
      <c r="X96" s="90">
        <f t="shared" si="24"/>
        <v>-408.3724</v>
      </c>
      <c r="Y96" s="91">
        <f t="shared" si="25"/>
        <v>9749.89105</v>
      </c>
      <c r="Z96" s="92"/>
      <c r="AA96" s="91">
        <f t="shared" si="26"/>
        <v>9749.89105</v>
      </c>
      <c r="AB96" s="93">
        <f t="shared" si="27"/>
        <v>-24213.6066441176</v>
      </c>
      <c r="AC96" s="93"/>
      <c r="AD96" s="101"/>
      <c r="AE96" s="94"/>
      <c r="AF96" s="94"/>
      <c r="AG96" s="94"/>
      <c r="AH96" s="94"/>
      <c r="AI96" s="94"/>
      <c r="AJ96" s="94"/>
      <c r="AK96" s="94"/>
      <c r="AL96" s="94"/>
      <c r="AM96" s="94"/>
      <c r="AN96" s="94"/>
      <c r="AO96" s="94"/>
      <c r="AP96" s="94"/>
      <c r="AQ96" s="94"/>
    </row>
    <row r="97" customHeight="1" spans="1:43">
      <c r="A97" s="102">
        <v>31577970</v>
      </c>
      <c r="B97" s="84" t="str">
        <f>_xlfn.XLOOKUP(A97,Sales!D:D,Sales!I:I)</f>
        <v>Petco</v>
      </c>
      <c r="C97" s="85">
        <f>SUMIFS(Sales!H:H,Sales!D:D,A97)</f>
        <v>5032.11</v>
      </c>
      <c r="D97" s="85">
        <f>SUMIFS(Sales!N:N,Sales!D:D,A97)</f>
        <v>2638.73</v>
      </c>
      <c r="E97" s="96">
        <f>SUMIF(Sales!D:D,A97,Sales!O:O)</f>
        <v>88</v>
      </c>
      <c r="F97" s="85">
        <f t="shared" si="16"/>
        <v>264</v>
      </c>
      <c r="G97" s="85"/>
      <c r="H97" s="87">
        <f>SUMIFS(Sales!R:R,Sales!D:D,A97)</f>
        <v>6.91</v>
      </c>
      <c r="I97" s="85">
        <v>12000</v>
      </c>
      <c r="J97" s="85">
        <f t="shared" si="31"/>
        <v>1219.41176470588</v>
      </c>
      <c r="K97" s="87">
        <v>350</v>
      </c>
      <c r="L97" s="85">
        <f t="shared" si="14"/>
        <v>226.44495</v>
      </c>
      <c r="M97" s="85"/>
      <c r="N97" s="85"/>
      <c r="O97" s="85">
        <f t="shared" si="30"/>
        <v>201.2844</v>
      </c>
      <c r="P97" s="85">
        <f t="shared" si="21"/>
        <v>1351.65065</v>
      </c>
      <c r="Q97" s="85">
        <f t="shared" si="28"/>
        <v>132.238885294118</v>
      </c>
      <c r="R97" s="85"/>
      <c r="S97" s="88">
        <f>_xlfn.XLOOKUP(A97,Sales!D:D,Sales!K:K)</f>
        <v>46245</v>
      </c>
      <c r="T97" s="88">
        <f>_xlfn.XLOOKUP(A97,Sales!D:D,Sales!L:L)</f>
        <v>46246</v>
      </c>
      <c r="U97" s="107" t="s">
        <v>586</v>
      </c>
      <c r="V97" s="90">
        <f t="shared" si="22"/>
        <v>-16567.0517647059</v>
      </c>
      <c r="W97" s="90">
        <f t="shared" si="23"/>
        <v>-226.44495</v>
      </c>
      <c r="X97" s="90">
        <f t="shared" si="24"/>
        <v>-201.2844</v>
      </c>
      <c r="Y97" s="91">
        <f t="shared" si="25"/>
        <v>4805.66505</v>
      </c>
      <c r="Z97" s="92"/>
      <c r="AA97" s="91">
        <f t="shared" si="26"/>
        <v>4805.66505</v>
      </c>
      <c r="AB97" s="93">
        <f t="shared" si="27"/>
        <v>-16994.7811147059</v>
      </c>
      <c r="AC97" s="93"/>
      <c r="AD97" s="101"/>
      <c r="AE97" s="94"/>
      <c r="AF97" s="94"/>
      <c r="AG97" s="94"/>
      <c r="AH97" s="94"/>
      <c r="AI97" s="94"/>
      <c r="AJ97" s="94"/>
      <c r="AK97" s="94"/>
      <c r="AL97" s="94"/>
      <c r="AM97" s="94"/>
      <c r="AN97" s="94"/>
      <c r="AO97" s="94"/>
      <c r="AP97" s="94"/>
      <c r="AQ97" s="94"/>
    </row>
    <row r="98" customHeight="1" spans="1:43">
      <c r="A98" s="102">
        <v>31577971</v>
      </c>
      <c r="B98" s="84" t="str">
        <f>_xlfn.XLOOKUP(A98,Sales!D:D,Sales!I:I)</f>
        <v>Petco</v>
      </c>
      <c r="C98" s="85">
        <f>SUMIFS(Sales!H:H,Sales!D:D,A98)</f>
        <v>4264.69</v>
      </c>
      <c r="D98" s="85">
        <f>SUMIFS(Sales!N:N,Sales!D:D,A98)</f>
        <v>2120.21</v>
      </c>
      <c r="E98" s="96">
        <f>SUMIF(Sales!D:D,A98,Sales!O:O)</f>
        <v>84</v>
      </c>
      <c r="F98" s="85">
        <f t="shared" si="16"/>
        <v>252</v>
      </c>
      <c r="G98" s="85"/>
      <c r="H98" s="87">
        <f>SUMIFS(Sales!R:R,Sales!D:D,A98)</f>
        <v>6.33</v>
      </c>
      <c r="I98" s="85">
        <v>12000</v>
      </c>
      <c r="J98" s="85">
        <f t="shared" si="31"/>
        <v>1117.05882352941</v>
      </c>
      <c r="K98" s="87">
        <v>2527.01</v>
      </c>
      <c r="L98" s="85">
        <f t="shared" si="14"/>
        <v>191.91105</v>
      </c>
      <c r="M98" s="85"/>
      <c r="N98" s="85"/>
      <c r="O98" s="85">
        <f t="shared" si="30"/>
        <v>170.5876</v>
      </c>
      <c r="P98" s="85">
        <f t="shared" si="21"/>
        <v>-997.028650000001</v>
      </c>
      <c r="Q98" s="85">
        <f t="shared" si="28"/>
        <v>-2114.08747352941</v>
      </c>
      <c r="R98" s="85"/>
      <c r="S98" s="88">
        <f>_xlfn.XLOOKUP(A98,Sales!D:D,Sales!K:K)</f>
        <v>46250</v>
      </c>
      <c r="T98" s="88">
        <f>_xlfn.XLOOKUP(A98,Sales!D:D,Sales!L:L)</f>
        <v>46238</v>
      </c>
      <c r="U98" s="107" t="s">
        <v>587</v>
      </c>
      <c r="V98" s="90">
        <f t="shared" si="22"/>
        <v>-18106.6088235294</v>
      </c>
      <c r="W98" s="90">
        <f t="shared" si="23"/>
        <v>-191.91105</v>
      </c>
      <c r="X98" s="90">
        <f t="shared" si="24"/>
        <v>-170.5876</v>
      </c>
      <c r="Y98" s="91">
        <f t="shared" si="25"/>
        <v>4072.77895</v>
      </c>
      <c r="Z98" s="92"/>
      <c r="AA98" s="91">
        <f t="shared" si="26"/>
        <v>4072.77895</v>
      </c>
      <c r="AB98" s="93">
        <f t="shared" si="27"/>
        <v>-18469.1074735294</v>
      </c>
      <c r="AC98" s="93"/>
      <c r="AD98" s="101"/>
      <c r="AE98" s="94"/>
      <c r="AF98" s="94"/>
      <c r="AG98" s="94"/>
      <c r="AH98" s="94"/>
      <c r="AI98" s="94"/>
      <c r="AJ98" s="94"/>
      <c r="AK98" s="94"/>
      <c r="AL98" s="94"/>
      <c r="AM98" s="94"/>
      <c r="AN98" s="94"/>
      <c r="AO98" s="94"/>
      <c r="AP98" s="94"/>
      <c r="AQ98" s="94"/>
    </row>
    <row r="99" customHeight="1" spans="1:43">
      <c r="A99" s="102">
        <v>31583554</v>
      </c>
      <c r="B99" s="84" t="str">
        <f>_xlfn.XLOOKUP(A99,Sales!D:D,Sales!I:I)</f>
        <v>Petco</v>
      </c>
      <c r="C99" s="85">
        <f>SUMIFS(Sales!H:H,Sales!D:D,A99)</f>
        <v>3012.23</v>
      </c>
      <c r="D99" s="85">
        <f>SUMIFS(Sales!N:N,Sales!D:D,A99)</f>
        <v>1517.19</v>
      </c>
      <c r="E99" s="96">
        <f>SUMIF(Sales!D:D,A99,Sales!O:O)</f>
        <v>53</v>
      </c>
      <c r="F99" s="85">
        <f t="shared" si="16"/>
        <v>159</v>
      </c>
      <c r="G99" s="85"/>
      <c r="H99" s="87">
        <f>SUMIFS(Sales!R:R,Sales!D:D,A99)</f>
        <v>3.81</v>
      </c>
      <c r="I99" s="85">
        <v>12000</v>
      </c>
      <c r="J99" s="85">
        <f t="shared" si="31"/>
        <v>672.35294117647</v>
      </c>
      <c r="K99" s="87">
        <v>868.85</v>
      </c>
      <c r="L99" s="85">
        <f t="shared" ref="L99:L117" si="32">IF(B99="Petco",C99*0.045,IF(B99="Petsmart",C99*0.02,C99*0.05))</f>
        <v>135.55035</v>
      </c>
      <c r="M99" s="85"/>
      <c r="N99" s="85"/>
      <c r="O99" s="85">
        <f t="shared" si="30"/>
        <v>120.4892</v>
      </c>
      <c r="P99" s="85">
        <f t="shared" si="21"/>
        <v>211.15045</v>
      </c>
      <c r="Q99" s="85">
        <f t="shared" si="28"/>
        <v>-461.20249117647</v>
      </c>
      <c r="R99" s="85"/>
      <c r="S99" s="88">
        <f>_xlfn.XLOOKUP(A99,Sales!D:D,Sales!K:K)</f>
        <v>46246</v>
      </c>
      <c r="T99" s="88">
        <f>_xlfn.XLOOKUP(A99,Sales!D:D,Sales!L:L)</f>
        <v>46240</v>
      </c>
      <c r="U99" s="107" t="s">
        <v>588</v>
      </c>
      <c r="V99" s="90">
        <f t="shared" si="22"/>
        <v>-15274.2029411765</v>
      </c>
      <c r="W99" s="90">
        <f t="shared" si="23"/>
        <v>-135.55035</v>
      </c>
      <c r="X99" s="90">
        <f t="shared" si="24"/>
        <v>-120.4892</v>
      </c>
      <c r="Y99" s="91">
        <f t="shared" si="25"/>
        <v>2876.67965</v>
      </c>
      <c r="Z99" s="92"/>
      <c r="AA99" s="91">
        <f t="shared" si="26"/>
        <v>2876.67965</v>
      </c>
      <c r="AB99" s="93">
        <f t="shared" si="27"/>
        <v>-15530.2424911765</v>
      </c>
      <c r="AC99" s="93"/>
      <c r="AD99" s="101"/>
      <c r="AE99" s="94"/>
      <c r="AF99" s="94"/>
      <c r="AG99" s="94"/>
      <c r="AH99" s="94"/>
      <c r="AI99" s="94"/>
      <c r="AJ99" s="94"/>
      <c r="AK99" s="94"/>
      <c r="AL99" s="94"/>
      <c r="AM99" s="94"/>
      <c r="AN99" s="94"/>
      <c r="AO99" s="94"/>
      <c r="AP99" s="94"/>
      <c r="AQ99" s="94"/>
    </row>
    <row r="100" customHeight="1" spans="1:43">
      <c r="A100" s="102">
        <v>454348660</v>
      </c>
      <c r="B100" s="84" t="str">
        <f>_xlfn.XLOOKUP(A100,Sales!D:D,Sales!I:I)</f>
        <v>PetSmart</v>
      </c>
      <c r="C100" s="85">
        <f>SUMIFS(Sales!H:H,Sales!D:D,A100)</f>
        <v>20939.36</v>
      </c>
      <c r="D100" s="85">
        <f>SUMIFS(Sales!N:N,Sales!D:D,A100)</f>
        <v>12607</v>
      </c>
      <c r="E100" s="96">
        <f>SUMIF(Sales!D:D,A100,Sales!O:O)</f>
        <v>260</v>
      </c>
      <c r="F100" s="85">
        <f t="shared" si="16"/>
        <v>780</v>
      </c>
      <c r="G100" s="85">
        <f t="shared" ref="G100:G105" si="33">((401084.34-72550.7)/7)/2571*E100</f>
        <v>4746.27695727066</v>
      </c>
      <c r="H100" s="87">
        <f>SUMIFS(Sales!R:R,Sales!D:D,A100)</f>
        <v>22.65</v>
      </c>
      <c r="I100" s="85">
        <v>10000</v>
      </c>
      <c r="J100" s="85">
        <f t="shared" si="31"/>
        <v>3330.88235294118</v>
      </c>
      <c r="K100" s="87">
        <v>0</v>
      </c>
      <c r="L100" s="85">
        <f t="shared" si="32"/>
        <v>418.7872</v>
      </c>
      <c r="M100" s="85"/>
      <c r="N100" s="85"/>
      <c r="O100" s="85">
        <f t="shared" si="30"/>
        <v>837.5744</v>
      </c>
      <c r="P100" s="85">
        <f t="shared" si="21"/>
        <v>1549.72144272934</v>
      </c>
      <c r="Q100" s="85">
        <f t="shared" si="28"/>
        <v>2965.11604705882</v>
      </c>
      <c r="R100" s="85"/>
      <c r="S100" s="88">
        <f>_xlfn.XLOOKUP(A100,Sales!D:D,Sales!K:K)</f>
        <v>46236</v>
      </c>
      <c r="T100" s="88">
        <v>46234</v>
      </c>
      <c r="U100" s="107" t="s">
        <v>589</v>
      </c>
      <c r="V100" s="90">
        <f t="shared" si="22"/>
        <v>-31746.8093102118</v>
      </c>
      <c r="W100" s="90">
        <f t="shared" si="23"/>
        <v>-418.7872</v>
      </c>
      <c r="X100" s="90">
        <f t="shared" si="24"/>
        <v>-837.5744</v>
      </c>
      <c r="Y100" s="91">
        <f t="shared" si="25"/>
        <v>20520.5728</v>
      </c>
      <c r="Z100" s="92"/>
      <c r="AA100" s="91">
        <f t="shared" si="26"/>
        <v>20520.5728</v>
      </c>
      <c r="AB100" s="93">
        <f t="shared" si="27"/>
        <v>-33003.1709102118</v>
      </c>
      <c r="AC100" s="93"/>
      <c r="AD100" s="101"/>
      <c r="AE100" s="94"/>
      <c r="AF100" s="94"/>
      <c r="AG100" s="94"/>
      <c r="AH100" s="94"/>
      <c r="AI100" s="94"/>
      <c r="AJ100" s="94"/>
      <c r="AK100" s="94"/>
      <c r="AL100" s="94"/>
      <c r="AM100" s="94"/>
      <c r="AN100" s="94"/>
      <c r="AO100" s="94"/>
      <c r="AP100" s="94"/>
      <c r="AQ100" s="94"/>
    </row>
    <row r="101" customHeight="1" spans="1:43">
      <c r="A101" s="102">
        <v>454348661</v>
      </c>
      <c r="B101" s="84" t="str">
        <f>_xlfn.XLOOKUP(A101,Sales!D:D,Sales!I:I)</f>
        <v>PetSmart</v>
      </c>
      <c r="C101" s="85">
        <f>SUMIFS(Sales!H:H,Sales!D:D,A101)</f>
        <v>13115.67</v>
      </c>
      <c r="D101" s="85">
        <f>SUMIFS(Sales!N:N,Sales!D:D,A101)</f>
        <v>8114.43</v>
      </c>
      <c r="E101" s="96">
        <f>SUMIF(Sales!D:D,A101,Sales!O:O)</f>
        <v>131</v>
      </c>
      <c r="F101" s="85">
        <f t="shared" si="16"/>
        <v>393</v>
      </c>
      <c r="G101" s="85">
        <f t="shared" si="33"/>
        <v>2391.39339000945</v>
      </c>
      <c r="H101" s="87">
        <f>SUMIFS(Sales!R:R,Sales!D:D,A101)</f>
        <v>12.54</v>
      </c>
      <c r="I101" s="85">
        <v>10000</v>
      </c>
      <c r="J101" s="85">
        <f t="shared" si="31"/>
        <v>1844.11764705882</v>
      </c>
      <c r="K101" s="87">
        <v>0</v>
      </c>
      <c r="L101" s="85">
        <f t="shared" si="32"/>
        <v>262.3134</v>
      </c>
      <c r="M101" s="85"/>
      <c r="N101" s="85"/>
      <c r="O101" s="85">
        <f t="shared" si="30"/>
        <v>524.6268</v>
      </c>
      <c r="P101" s="85">
        <f t="shared" si="21"/>
        <v>1429.90640999055</v>
      </c>
      <c r="Q101" s="85">
        <f t="shared" si="28"/>
        <v>1977.18215294118</v>
      </c>
      <c r="R101" s="85"/>
      <c r="S101" s="88">
        <f>_xlfn.XLOOKUP(A101,Sales!D:D,Sales!K:K)</f>
        <v>46236</v>
      </c>
      <c r="T101" s="88">
        <v>46234</v>
      </c>
      <c r="U101" s="107" t="s">
        <v>590</v>
      </c>
      <c r="V101" s="90">
        <f t="shared" si="22"/>
        <v>-22886.4810370683</v>
      </c>
      <c r="W101" s="90">
        <f t="shared" si="23"/>
        <v>-262.3134</v>
      </c>
      <c r="X101" s="90">
        <f t="shared" si="24"/>
        <v>-524.6268</v>
      </c>
      <c r="Y101" s="91">
        <f t="shared" si="25"/>
        <v>12853.3566</v>
      </c>
      <c r="Z101" s="92"/>
      <c r="AA101" s="91">
        <f t="shared" si="26"/>
        <v>12853.3566</v>
      </c>
      <c r="AB101" s="93">
        <f t="shared" si="27"/>
        <v>-23673.4212370683</v>
      </c>
      <c r="AC101" s="93"/>
      <c r="AD101" s="101"/>
      <c r="AE101" s="94"/>
      <c r="AF101" s="94"/>
      <c r="AG101" s="94"/>
      <c r="AH101" s="94"/>
      <c r="AI101" s="94"/>
      <c r="AJ101" s="94"/>
      <c r="AK101" s="94"/>
      <c r="AL101" s="94"/>
      <c r="AM101" s="94"/>
      <c r="AN101" s="94"/>
      <c r="AO101" s="94"/>
      <c r="AP101" s="94"/>
      <c r="AQ101" s="94"/>
    </row>
    <row r="102" customHeight="1" spans="1:43">
      <c r="A102" s="102">
        <v>454348662</v>
      </c>
      <c r="B102" s="84" t="str">
        <f>_xlfn.XLOOKUP(A102,Sales!D:D,Sales!I:I)</f>
        <v>PetSmart</v>
      </c>
      <c r="C102" s="85">
        <f>SUMIFS(Sales!H:H,Sales!D:D,A102)</f>
        <v>45282.58</v>
      </c>
      <c r="D102" s="85">
        <f>SUMIFS(Sales!N:N,Sales!D:D,A102)</f>
        <v>26057.18</v>
      </c>
      <c r="E102" s="96">
        <f>SUMIF(Sales!D:D,A102,Sales!O:O)</f>
        <v>697</v>
      </c>
      <c r="F102" s="85">
        <f t="shared" si="16"/>
        <v>2091</v>
      </c>
      <c r="G102" s="85">
        <f t="shared" si="33"/>
        <v>12723.6732277602</v>
      </c>
      <c r="H102" s="87">
        <f>SUMIFS(Sales!R:R,Sales!D:D,A102)</f>
        <v>57.09</v>
      </c>
      <c r="I102" s="85">
        <v>10000</v>
      </c>
      <c r="J102" s="85">
        <f t="shared" si="31"/>
        <v>8395.58823529412</v>
      </c>
      <c r="K102" s="87">
        <v>0</v>
      </c>
      <c r="L102" s="85">
        <f t="shared" si="32"/>
        <v>905.6516</v>
      </c>
      <c r="M102" s="85"/>
      <c r="N102" s="85"/>
      <c r="O102" s="85">
        <f t="shared" si="30"/>
        <v>1811.3032</v>
      </c>
      <c r="P102" s="85">
        <f t="shared" si="21"/>
        <v>1693.77197223981</v>
      </c>
      <c r="Q102" s="85">
        <f t="shared" si="28"/>
        <v>6021.85696470587</v>
      </c>
      <c r="R102" s="85"/>
      <c r="S102" s="88">
        <f>_xlfn.XLOOKUP(A102,Sales!D:D,Sales!K:K)</f>
        <v>46236</v>
      </c>
      <c r="T102" s="88">
        <f>_xlfn.XLOOKUP(A102,Sales!D:D,Sales!L:L)</f>
        <v>46234</v>
      </c>
      <c r="U102" s="107" t="s">
        <v>591</v>
      </c>
      <c r="V102" s="90">
        <f t="shared" si="22"/>
        <v>-60021.5314630543</v>
      </c>
      <c r="W102" s="90">
        <f t="shared" si="23"/>
        <v>-905.6516</v>
      </c>
      <c r="X102" s="90">
        <f t="shared" si="24"/>
        <v>-1811.3032</v>
      </c>
      <c r="Y102" s="91">
        <f t="shared" si="25"/>
        <v>44376.9284</v>
      </c>
      <c r="Z102" s="92"/>
      <c r="AA102" s="91">
        <f t="shared" si="26"/>
        <v>44376.9284</v>
      </c>
      <c r="AB102" s="93">
        <f t="shared" si="27"/>
        <v>-62738.4862630543</v>
      </c>
      <c r="AC102" s="93"/>
      <c r="AD102" s="101"/>
      <c r="AE102" s="94"/>
      <c r="AF102" s="94"/>
      <c r="AG102" s="94"/>
      <c r="AH102" s="94"/>
      <c r="AI102" s="94"/>
      <c r="AJ102" s="94"/>
      <c r="AK102" s="94"/>
      <c r="AL102" s="94"/>
      <c r="AM102" s="94"/>
      <c r="AN102" s="94"/>
      <c r="AO102" s="94"/>
      <c r="AP102" s="94"/>
      <c r="AQ102" s="94"/>
    </row>
    <row r="103" customHeight="1" spans="1:43">
      <c r="A103" s="102">
        <v>454348663</v>
      </c>
      <c r="B103" s="84" t="str">
        <f>_xlfn.XLOOKUP(A103,Sales!D:D,Sales!I:I)</f>
        <v>PetSmart</v>
      </c>
      <c r="C103" s="85">
        <f>SUMIFS(Sales!H:H,Sales!D:D,A103)</f>
        <v>32063.13</v>
      </c>
      <c r="D103" s="85">
        <f>SUMIFS(Sales!N:N,Sales!D:D,A103)</f>
        <v>16838.91</v>
      </c>
      <c r="E103" s="96">
        <f>SUMIF(Sales!D:D,A103,Sales!O:O)</f>
        <v>699</v>
      </c>
      <c r="F103" s="85">
        <f t="shared" si="16"/>
        <v>2097</v>
      </c>
      <c r="G103" s="85">
        <f t="shared" si="33"/>
        <v>12760.1830505084</v>
      </c>
      <c r="H103" s="87">
        <f>SUMIFS(Sales!R:R,Sales!D:D,A103)</f>
        <v>51.71</v>
      </c>
      <c r="I103" s="85">
        <v>10000</v>
      </c>
      <c r="J103" s="85">
        <f t="shared" si="31"/>
        <v>7604.41176470588</v>
      </c>
      <c r="K103" s="87">
        <v>0</v>
      </c>
      <c r="L103" s="85">
        <f t="shared" si="32"/>
        <v>641.2626</v>
      </c>
      <c r="M103" s="85"/>
      <c r="N103" s="85"/>
      <c r="O103" s="85">
        <f t="shared" si="30"/>
        <v>1282.5252</v>
      </c>
      <c r="P103" s="85">
        <f t="shared" si="21"/>
        <v>-1556.75085050842</v>
      </c>
      <c r="Q103" s="85">
        <f t="shared" si="28"/>
        <v>3599.02043529412</v>
      </c>
      <c r="R103" s="85"/>
      <c r="S103" s="88">
        <f>_xlfn.XLOOKUP(A103,Sales!D:D,Sales!K:K)</f>
        <v>46234</v>
      </c>
      <c r="T103" s="88">
        <f>_xlfn.XLOOKUP(A103,Sales!D:D,Sales!L:L)</f>
        <v>46230</v>
      </c>
      <c r="U103" s="107" t="s">
        <v>592</v>
      </c>
      <c r="V103" s="90">
        <f t="shared" si="22"/>
        <v>-50051.2148152143</v>
      </c>
      <c r="W103" s="90">
        <f t="shared" si="23"/>
        <v>-641.2626</v>
      </c>
      <c r="X103" s="90">
        <f t="shared" si="24"/>
        <v>-1282.5252</v>
      </c>
      <c r="Y103" s="91">
        <f t="shared" si="25"/>
        <v>31421.8674</v>
      </c>
      <c r="Z103" s="92"/>
      <c r="AA103" s="91">
        <f t="shared" si="26"/>
        <v>31421.8674</v>
      </c>
      <c r="AB103" s="93">
        <f t="shared" si="27"/>
        <v>-51975.0026152143</v>
      </c>
      <c r="AC103" s="93"/>
      <c r="AD103" s="101"/>
      <c r="AE103" s="94"/>
      <c r="AF103" s="94"/>
      <c r="AG103" s="94"/>
      <c r="AH103" s="94"/>
      <c r="AI103" s="94"/>
      <c r="AJ103" s="94"/>
      <c r="AK103" s="94"/>
      <c r="AL103" s="94"/>
      <c r="AM103" s="94"/>
      <c r="AN103" s="94"/>
      <c r="AO103" s="94"/>
      <c r="AP103" s="94"/>
      <c r="AQ103" s="94"/>
    </row>
    <row r="104" customHeight="1" spans="1:43">
      <c r="A104" s="102">
        <v>454348664</v>
      </c>
      <c r="B104" s="84" t="str">
        <f>_xlfn.XLOOKUP(A104,Sales!D:D,Sales!I:I)</f>
        <v>PetSmart</v>
      </c>
      <c r="C104" s="85">
        <f>SUMIFS(Sales!H:H,Sales!D:D,A104)</f>
        <v>27588.24</v>
      </c>
      <c r="D104" s="85">
        <f>SUMIFS(Sales!N:N,Sales!D:D,A104)</f>
        <v>17088.84</v>
      </c>
      <c r="E104" s="96">
        <f>SUMIF(Sales!D:D,A104,Sales!O:O)</f>
        <v>281</v>
      </c>
      <c r="F104" s="85">
        <f t="shared" si="16"/>
        <v>843</v>
      </c>
      <c r="G104" s="85">
        <f t="shared" si="33"/>
        <v>5129.63009612713</v>
      </c>
      <c r="H104" s="87">
        <f>SUMIFS(Sales!R:R,Sales!D:D,A104)</f>
        <v>26.56</v>
      </c>
      <c r="I104" s="85">
        <v>10000</v>
      </c>
      <c r="J104" s="85">
        <f t="shared" si="31"/>
        <v>3905.88235294118</v>
      </c>
      <c r="K104" s="87">
        <v>0</v>
      </c>
      <c r="L104" s="85">
        <f t="shared" si="32"/>
        <v>551.7648</v>
      </c>
      <c r="M104" s="85"/>
      <c r="N104" s="85"/>
      <c r="O104" s="85">
        <f t="shared" si="30"/>
        <v>1103.5296</v>
      </c>
      <c r="P104" s="85">
        <f t="shared" si="21"/>
        <v>2871.47550387287</v>
      </c>
      <c r="Q104" s="85">
        <f t="shared" si="28"/>
        <v>4095.22324705882</v>
      </c>
      <c r="R104" s="85"/>
      <c r="S104" s="88">
        <f>_xlfn.XLOOKUP(A104,Sales!D:D,Sales!K:K)</f>
        <v>46234</v>
      </c>
      <c r="T104" s="88">
        <f>_xlfn.XLOOKUP(A104,Sales!D:D,Sales!L:L)</f>
        <v>46233</v>
      </c>
      <c r="U104" s="107" t="s">
        <v>593</v>
      </c>
      <c r="V104" s="90">
        <f t="shared" si="22"/>
        <v>-37274.9124490683</v>
      </c>
      <c r="W104" s="90">
        <f t="shared" si="23"/>
        <v>-551.7648</v>
      </c>
      <c r="X104" s="90">
        <f t="shared" si="24"/>
        <v>-1103.5296</v>
      </c>
      <c r="Y104" s="91">
        <f t="shared" si="25"/>
        <v>27036.4752</v>
      </c>
      <c r="Z104" s="92"/>
      <c r="AA104" s="91">
        <f t="shared" si="26"/>
        <v>27036.4752</v>
      </c>
      <c r="AB104" s="93">
        <f t="shared" si="27"/>
        <v>-38930.2068490683</v>
      </c>
      <c r="AC104" s="93"/>
      <c r="AD104" s="101"/>
      <c r="AE104" s="94"/>
      <c r="AF104" s="94"/>
      <c r="AG104" s="94"/>
      <c r="AH104" s="94"/>
      <c r="AI104" s="94"/>
      <c r="AJ104" s="94"/>
      <c r="AK104" s="94"/>
      <c r="AL104" s="94"/>
      <c r="AM104" s="94"/>
      <c r="AN104" s="94"/>
      <c r="AO104" s="94"/>
      <c r="AP104" s="94"/>
      <c r="AQ104" s="94"/>
    </row>
    <row r="105" customHeight="1" spans="1:43">
      <c r="A105" s="102">
        <v>454348665</v>
      </c>
      <c r="B105" s="84" t="str">
        <f>_xlfn.XLOOKUP(A105,Sales!D:D,Sales!I:I)</f>
        <v>PetSmart</v>
      </c>
      <c r="C105" s="85">
        <f>SUMIFS(Sales!H:H,Sales!D:D,A105)</f>
        <v>29035.71</v>
      </c>
      <c r="D105" s="85">
        <f>SUMIFS(Sales!N:N,Sales!D:D,A105)</f>
        <v>15248.97</v>
      </c>
      <c r="E105" s="96">
        <f>SUMIF(Sales!D:D,A105,Sales!O:O)</f>
        <v>633</v>
      </c>
      <c r="F105" s="85">
        <f t="shared" si="16"/>
        <v>1899</v>
      </c>
      <c r="G105" s="85">
        <f t="shared" si="33"/>
        <v>11555.3588998166</v>
      </c>
      <c r="H105" s="87">
        <f>SUMIFS(Sales!R:R,Sales!D:D,A105)</f>
        <v>46.83</v>
      </c>
      <c r="I105" s="85">
        <v>10000</v>
      </c>
      <c r="J105" s="85">
        <f t="shared" si="31"/>
        <v>6886.76470588235</v>
      </c>
      <c r="K105" s="87">
        <v>0</v>
      </c>
      <c r="L105" s="85">
        <f t="shared" si="32"/>
        <v>580.7142</v>
      </c>
      <c r="M105" s="85"/>
      <c r="N105" s="85"/>
      <c r="O105" s="85">
        <f t="shared" si="30"/>
        <v>1161.4284</v>
      </c>
      <c r="P105" s="85">
        <f t="shared" si="21"/>
        <v>-1409.76149981664</v>
      </c>
      <c r="Q105" s="85">
        <f t="shared" si="28"/>
        <v>3258.83269411765</v>
      </c>
      <c r="R105" s="85"/>
      <c r="S105" s="88">
        <f>_xlfn.XLOOKUP(A105,Sales!D:D,Sales!K:K)</f>
        <v>46235</v>
      </c>
      <c r="T105" s="88">
        <f>_xlfn.XLOOKUP(A105,Sales!D:D,Sales!L:L)</f>
        <v>46230</v>
      </c>
      <c r="U105" s="107" t="s">
        <v>594</v>
      </c>
      <c r="V105" s="90">
        <f t="shared" si="22"/>
        <v>-46269.923605699</v>
      </c>
      <c r="W105" s="90">
        <f t="shared" si="23"/>
        <v>-580.7142</v>
      </c>
      <c r="X105" s="90">
        <f t="shared" si="24"/>
        <v>-1161.4284</v>
      </c>
      <c r="Y105" s="91">
        <f t="shared" si="25"/>
        <v>28454.9958</v>
      </c>
      <c r="Z105" s="92"/>
      <c r="AA105" s="91">
        <f t="shared" si="26"/>
        <v>28454.9958</v>
      </c>
      <c r="AB105" s="93">
        <f t="shared" si="27"/>
        <v>-48012.066205699</v>
      </c>
      <c r="AC105" s="93"/>
      <c r="AD105" s="101"/>
      <c r="AE105" s="94"/>
      <c r="AF105" s="94"/>
      <c r="AG105" s="94"/>
      <c r="AH105" s="94"/>
      <c r="AI105" s="94"/>
      <c r="AJ105" s="94"/>
      <c r="AK105" s="94"/>
      <c r="AL105" s="94"/>
      <c r="AM105" s="94"/>
      <c r="AN105" s="94"/>
      <c r="AO105" s="94"/>
      <c r="AP105" s="94"/>
      <c r="AQ105" s="94"/>
    </row>
    <row r="106" customHeight="1" spans="1:43">
      <c r="A106" s="102">
        <v>454348666</v>
      </c>
      <c r="B106" s="84" t="str">
        <f>_xlfn.XLOOKUP(A106,Sales!D:D,Sales!I:I)</f>
        <v>PetSmart</v>
      </c>
      <c r="C106" s="85">
        <f>SUMIFS(Sales!H:H,Sales!D:D,A106)</f>
        <v>27588.24</v>
      </c>
      <c r="D106" s="85">
        <f>SUMIFS(Sales!N:N,Sales!D:D,A106)</f>
        <v>17088.84</v>
      </c>
      <c r="E106" s="96">
        <f>SUMIF(Sales!D:D,A106,Sales!O:O)</f>
        <v>281</v>
      </c>
      <c r="F106" s="85">
        <f t="shared" si="16"/>
        <v>843</v>
      </c>
      <c r="G106" s="85"/>
      <c r="H106" s="87">
        <f>SUMIFS(Sales!R:R,Sales!D:D,A106)</f>
        <v>26.56</v>
      </c>
      <c r="I106" s="85">
        <v>10000</v>
      </c>
      <c r="J106" s="85">
        <f t="shared" si="31"/>
        <v>3905.88235294118</v>
      </c>
      <c r="K106" s="87">
        <v>0</v>
      </c>
      <c r="L106" s="85">
        <f t="shared" si="32"/>
        <v>551.7648</v>
      </c>
      <c r="M106" s="85"/>
      <c r="N106" s="85"/>
      <c r="O106" s="85">
        <f t="shared" si="30"/>
        <v>1103.5296</v>
      </c>
      <c r="P106" s="85">
        <f t="shared" si="21"/>
        <v>8001.1056</v>
      </c>
      <c r="Q106" s="85">
        <f t="shared" si="28"/>
        <v>4095.22324705882</v>
      </c>
      <c r="R106" s="85"/>
      <c r="S106" s="88">
        <f>_xlfn.XLOOKUP(A106,Sales!D:D,Sales!K:K)</f>
        <v>46235</v>
      </c>
      <c r="T106" s="88">
        <f>_xlfn.XLOOKUP(A106,Sales!D:D,Sales!L:L)</f>
        <v>46239</v>
      </c>
      <c r="U106" s="107" t="s">
        <v>595</v>
      </c>
      <c r="V106" s="90">
        <f t="shared" si="22"/>
        <v>-32145.2823529412</v>
      </c>
      <c r="W106" s="90">
        <f t="shared" si="23"/>
        <v>-551.7648</v>
      </c>
      <c r="X106" s="90">
        <f t="shared" si="24"/>
        <v>-1103.5296</v>
      </c>
      <c r="Y106" s="91">
        <f t="shared" si="25"/>
        <v>27036.4752</v>
      </c>
      <c r="Z106" s="92"/>
      <c r="AA106" s="91">
        <f t="shared" si="26"/>
        <v>27036.4752</v>
      </c>
      <c r="AB106" s="93">
        <f t="shared" si="27"/>
        <v>-33800.5767529412</v>
      </c>
      <c r="AC106" s="93"/>
      <c r="AD106" s="101"/>
      <c r="AE106" s="94"/>
      <c r="AF106" s="94"/>
      <c r="AG106" s="94"/>
      <c r="AH106" s="94"/>
      <c r="AI106" s="94"/>
      <c r="AJ106" s="94"/>
      <c r="AK106" s="94"/>
      <c r="AL106" s="94"/>
      <c r="AM106" s="94"/>
      <c r="AN106" s="94"/>
      <c r="AO106" s="94"/>
      <c r="AP106" s="94"/>
      <c r="AQ106" s="94"/>
    </row>
    <row r="107" customHeight="1" spans="1:43">
      <c r="A107" s="102">
        <v>454348667</v>
      </c>
      <c r="B107" s="84" t="str">
        <f>_xlfn.XLOOKUP(A107,Sales!D:D,Sales!I:I)</f>
        <v>PetSmart</v>
      </c>
      <c r="C107" s="85">
        <f>SUMIFS(Sales!H:H,Sales!D:D,A107)</f>
        <v>12682.23</v>
      </c>
      <c r="D107" s="85">
        <f>SUMIFS(Sales!N:N,Sales!D:D,A107)</f>
        <v>7850.91</v>
      </c>
      <c r="E107" s="96">
        <f>SUMIF(Sales!D:D,A107,Sales!O:O)</f>
        <v>128</v>
      </c>
      <c r="F107" s="85">
        <f t="shared" si="16"/>
        <v>384</v>
      </c>
      <c r="G107" s="85"/>
      <c r="H107" s="87">
        <f>SUMIFS(Sales!R:R,Sales!D:D,A107)</f>
        <v>12.21</v>
      </c>
      <c r="I107" s="85">
        <v>10000</v>
      </c>
      <c r="J107" s="85">
        <f t="shared" si="31"/>
        <v>1795.58823529412</v>
      </c>
      <c r="K107" s="87">
        <v>0</v>
      </c>
      <c r="L107" s="85">
        <f t="shared" si="32"/>
        <v>253.6446</v>
      </c>
      <c r="M107" s="85"/>
      <c r="N107" s="85"/>
      <c r="O107" s="85">
        <f t="shared" si="30"/>
        <v>507.2892</v>
      </c>
      <c r="P107" s="85">
        <f t="shared" si="21"/>
        <v>3686.3862</v>
      </c>
      <c r="Q107" s="85">
        <f t="shared" si="28"/>
        <v>1890.79796470588</v>
      </c>
      <c r="R107" s="85"/>
      <c r="S107" s="88">
        <f>_xlfn.XLOOKUP(A107,Sales!D:D,Sales!K:K)</f>
        <v>46235</v>
      </c>
      <c r="T107" s="88">
        <f>_xlfn.XLOOKUP(A107,Sales!D:D,Sales!L:L)</f>
        <v>46239</v>
      </c>
      <c r="U107" s="107" t="s">
        <v>596</v>
      </c>
      <c r="V107" s="90">
        <f t="shared" si="22"/>
        <v>-20170.7082352941</v>
      </c>
      <c r="W107" s="90">
        <f t="shared" si="23"/>
        <v>-253.6446</v>
      </c>
      <c r="X107" s="90">
        <f t="shared" si="24"/>
        <v>-507.2892</v>
      </c>
      <c r="Y107" s="91">
        <f t="shared" si="25"/>
        <v>12428.5854</v>
      </c>
      <c r="Z107" s="92"/>
      <c r="AA107" s="91">
        <f t="shared" si="26"/>
        <v>12428.5854</v>
      </c>
      <c r="AB107" s="93">
        <f t="shared" si="27"/>
        <v>-20931.6420352941</v>
      </c>
      <c r="AC107" s="93"/>
      <c r="AD107" s="101"/>
      <c r="AE107" s="94"/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</row>
    <row r="108" customHeight="1" spans="1:43">
      <c r="A108" s="102" t="s">
        <v>431</v>
      </c>
      <c r="B108" s="84" t="str">
        <f>_xlfn.XLOOKUP(A108,Sales!D:D,Sales!I:I)</f>
        <v>PSP</v>
      </c>
      <c r="C108" s="85">
        <f>SUMIFS(Sales!H:H,Sales!D:D,A108)</f>
        <v>1654.4</v>
      </c>
      <c r="D108" s="85">
        <f>SUMIFS(Sales!N:N,Sales!D:D,A108)</f>
        <v>795.02</v>
      </c>
      <c r="E108" s="96">
        <f>SUMIF(Sales!D:D,A108,Sales!O:O)</f>
        <v>18</v>
      </c>
      <c r="F108" s="85">
        <f t="shared" si="16"/>
        <v>54</v>
      </c>
      <c r="G108" s="85"/>
      <c r="H108" s="87">
        <f>SUMIFS(Sales!R:R,Sales!D:D,A108)</f>
        <v>2.41</v>
      </c>
      <c r="I108" s="85">
        <v>12000</v>
      </c>
      <c r="J108" s="85">
        <f t="shared" si="31"/>
        <v>425.294117647059</v>
      </c>
      <c r="K108" s="87">
        <v>852.22</v>
      </c>
      <c r="L108" s="85">
        <f t="shared" si="32"/>
        <v>82.72</v>
      </c>
      <c r="M108" s="85"/>
      <c r="N108" s="85"/>
      <c r="O108" s="85">
        <f t="shared" si="30"/>
        <v>66.176</v>
      </c>
      <c r="P108" s="85">
        <f t="shared" si="21"/>
        <v>-195.736</v>
      </c>
      <c r="Q108" s="85">
        <f t="shared" si="28"/>
        <v>-621.030117647059</v>
      </c>
      <c r="R108" s="85"/>
      <c r="S108" s="88">
        <f>_xlfn.XLOOKUP(A108,Sales!D:D,Sales!K:K)</f>
        <v>46251</v>
      </c>
      <c r="T108" s="88">
        <f>_xlfn.XLOOKUP(A108,Sales!D:D,Sales!L:L)</f>
        <v>46241</v>
      </c>
      <c r="U108" s="107" t="s">
        <v>597</v>
      </c>
      <c r="V108" s="90">
        <f t="shared" si="22"/>
        <v>-14146.9441176471</v>
      </c>
      <c r="W108" s="90">
        <f t="shared" si="23"/>
        <v>-82.72</v>
      </c>
      <c r="X108" s="90">
        <f t="shared" si="24"/>
        <v>-66.176</v>
      </c>
      <c r="Y108" s="91">
        <f t="shared" si="25"/>
        <v>1571.68</v>
      </c>
      <c r="Z108" s="92"/>
      <c r="AA108" s="91">
        <f t="shared" si="26"/>
        <v>1571.68</v>
      </c>
      <c r="AB108" s="93">
        <f t="shared" si="27"/>
        <v>-14295.8401176471</v>
      </c>
      <c r="AC108" s="93"/>
      <c r="AD108" s="101"/>
      <c r="AE108" s="94"/>
      <c r="AF108" s="94"/>
      <c r="AG108" s="94"/>
      <c r="AH108" s="94"/>
      <c r="AI108" s="94"/>
      <c r="AJ108" s="94"/>
      <c r="AK108" s="94"/>
      <c r="AL108" s="94"/>
      <c r="AM108" s="94"/>
      <c r="AN108" s="94"/>
      <c r="AO108" s="94"/>
      <c r="AP108" s="94"/>
      <c r="AQ108" s="94"/>
    </row>
    <row r="109" customHeight="1" spans="1:43">
      <c r="A109" s="102" t="s">
        <v>432</v>
      </c>
      <c r="B109" s="84" t="str">
        <f>_xlfn.XLOOKUP(A109,Sales!D:D,Sales!I:I)</f>
        <v>PSP</v>
      </c>
      <c r="C109" s="85">
        <f>SUMIFS(Sales!H:H,Sales!D:D,A109)</f>
        <v>380.28</v>
      </c>
      <c r="D109" s="85">
        <f>SUMIFS(Sales!N:N,Sales!D:D,A109)</f>
        <v>186.82</v>
      </c>
      <c r="E109" s="96">
        <f>SUMIF(Sales!D:D,A109,Sales!O:O)</f>
        <v>5</v>
      </c>
      <c r="F109" s="85">
        <f t="shared" si="16"/>
        <v>15</v>
      </c>
      <c r="G109" s="85"/>
      <c r="H109" s="87">
        <f>SUMIFS(Sales!R:R,Sales!D:D,A109)</f>
        <v>0.56</v>
      </c>
      <c r="I109" s="85">
        <v>12000</v>
      </c>
      <c r="J109" s="85">
        <f t="shared" si="31"/>
        <v>98.8235294117647</v>
      </c>
      <c r="K109" s="87">
        <f>860.24/(E109+E110)*E109</f>
        <v>215.06</v>
      </c>
      <c r="L109" s="85">
        <f t="shared" si="32"/>
        <v>19.014</v>
      </c>
      <c r="M109" s="85"/>
      <c r="N109" s="85"/>
      <c r="O109" s="85">
        <f t="shared" si="30"/>
        <v>15.2112</v>
      </c>
      <c r="P109" s="85">
        <f t="shared" si="21"/>
        <v>-70.8252</v>
      </c>
      <c r="Q109" s="85">
        <f t="shared" si="28"/>
        <v>-169.648729411765</v>
      </c>
      <c r="R109" s="85"/>
      <c r="S109" s="88">
        <f>_xlfn.XLOOKUP(A109,Sales!D:D,Sales!K:K)</f>
        <v>46251</v>
      </c>
      <c r="T109" s="88">
        <f>_xlfn.XLOOKUP(A109,Sales!D:D,Sales!L:L)</f>
        <v>46241</v>
      </c>
      <c r="U109" s="107" t="s">
        <v>598</v>
      </c>
      <c r="V109" s="90">
        <f t="shared" si="22"/>
        <v>-12521.2635294118</v>
      </c>
      <c r="W109" s="90">
        <f t="shared" si="23"/>
        <v>-19.014</v>
      </c>
      <c r="X109" s="90">
        <f t="shared" si="24"/>
        <v>-15.2112</v>
      </c>
      <c r="Y109" s="91">
        <f t="shared" si="25"/>
        <v>361.266</v>
      </c>
      <c r="Z109" s="92"/>
      <c r="AA109" s="91">
        <f t="shared" si="26"/>
        <v>361.266</v>
      </c>
      <c r="AB109" s="93">
        <f t="shared" si="27"/>
        <v>-12555.4887294118</v>
      </c>
      <c r="AC109" s="93"/>
      <c r="AD109" s="101"/>
      <c r="AE109" s="94"/>
      <c r="AF109" s="94"/>
      <c r="AG109" s="94"/>
      <c r="AH109" s="94"/>
      <c r="AI109" s="94"/>
      <c r="AJ109" s="94"/>
      <c r="AK109" s="94"/>
      <c r="AL109" s="94"/>
      <c r="AM109" s="94"/>
      <c r="AN109" s="94"/>
      <c r="AO109" s="94"/>
      <c r="AP109" s="94"/>
      <c r="AQ109" s="94"/>
    </row>
    <row r="110" customFormat="1" customHeight="1" spans="1:43">
      <c r="A110" s="102" t="s">
        <v>434</v>
      </c>
      <c r="B110" s="84" t="str">
        <f>_xlfn.XLOOKUP(A110,Sales!D:D,Sales!I:I)</f>
        <v>PSP</v>
      </c>
      <c r="C110" s="85">
        <f>SUMIFS(Sales!H:H,Sales!D:D,A110)</f>
        <v>1564.8</v>
      </c>
      <c r="D110" s="85">
        <f>SUMIFS(Sales!N:N,Sales!D:D,A110)</f>
        <v>787.2</v>
      </c>
      <c r="E110" s="96">
        <f>SUMIF(Sales!D:D,A110,Sales!O:O)</f>
        <v>15</v>
      </c>
      <c r="F110" s="85">
        <f t="shared" si="16"/>
        <v>45</v>
      </c>
      <c r="G110" s="85"/>
      <c r="H110" s="87">
        <f>SUMIFS(Sales!R:R,Sales!D:D,A110)</f>
        <v>1.65</v>
      </c>
      <c r="I110" s="85">
        <v>12000</v>
      </c>
      <c r="J110" s="85">
        <f t="shared" si="31"/>
        <v>291.176470588235</v>
      </c>
      <c r="K110" s="87">
        <f>860.24/(E110+E109)*E110</f>
        <v>645.18</v>
      </c>
      <c r="L110" s="85">
        <f t="shared" si="32"/>
        <v>78.24</v>
      </c>
      <c r="M110" s="85"/>
      <c r="N110" s="85"/>
      <c r="O110" s="85">
        <f t="shared" si="30"/>
        <v>62.592</v>
      </c>
      <c r="P110" s="85">
        <f t="shared" si="21"/>
        <v>-53.412</v>
      </c>
      <c r="Q110" s="85">
        <f t="shared" si="28"/>
        <v>-344.588470588235</v>
      </c>
      <c r="R110" s="85"/>
      <c r="S110" s="88">
        <f>_xlfn.XLOOKUP(A110,Sales!D:D,Sales!K:K)</f>
        <v>46262</v>
      </c>
      <c r="T110" s="88">
        <f>_xlfn.XLOOKUP(A110,Sales!D:D,Sales!L:L)</f>
        <v>46246</v>
      </c>
      <c r="U110" s="107" t="s">
        <v>599</v>
      </c>
      <c r="V110" s="90">
        <f t="shared" si="22"/>
        <v>-13785.2064705882</v>
      </c>
      <c r="W110" s="90">
        <f t="shared" si="23"/>
        <v>-78.24</v>
      </c>
      <c r="X110" s="90">
        <f t="shared" si="24"/>
        <v>-62.592</v>
      </c>
      <c r="Y110" s="91">
        <f t="shared" si="25"/>
        <v>1486.56</v>
      </c>
      <c r="Z110" s="92"/>
      <c r="AA110" s="91">
        <f t="shared" si="26"/>
        <v>1486.56</v>
      </c>
      <c r="AB110" s="93">
        <f t="shared" si="27"/>
        <v>-13926.0384705882</v>
      </c>
      <c r="AC110" s="93"/>
      <c r="AD110" s="101"/>
      <c r="AE110" s="94"/>
      <c r="AF110" s="94"/>
      <c r="AG110" s="94"/>
      <c r="AH110" s="94"/>
      <c r="AI110" s="94"/>
      <c r="AJ110" s="94"/>
      <c r="AK110" s="94"/>
      <c r="AL110" s="94"/>
      <c r="AM110" s="94"/>
      <c r="AN110" s="94"/>
      <c r="AO110" s="94"/>
      <c r="AP110" s="94"/>
      <c r="AQ110" s="94"/>
    </row>
    <row r="111" customFormat="1" customHeight="1" spans="1:43">
      <c r="A111" s="102" t="s">
        <v>438</v>
      </c>
      <c r="B111" s="84" t="str">
        <f>_xlfn.XLOOKUP(A111,Sales!D:D,Sales!I:I)</f>
        <v>PSP</v>
      </c>
      <c r="C111" s="85">
        <f>SUMIFS(Sales!H:H,Sales!D:D,A111)</f>
        <v>10658.88</v>
      </c>
      <c r="D111" s="85">
        <f>SUMIFS(Sales!N:N,Sales!D:D,A111)</f>
        <v>5165.32</v>
      </c>
      <c r="E111" s="96">
        <f>SUMIF(Sales!D:D,A111,Sales!O:O)</f>
        <v>163</v>
      </c>
      <c r="F111" s="85">
        <f t="shared" si="16"/>
        <v>489</v>
      </c>
      <c r="G111" s="85"/>
      <c r="H111" s="87">
        <f>SUMIFS(Sales!R:R,Sales!D:D,A111)</f>
        <v>15.71</v>
      </c>
      <c r="I111" s="85">
        <v>12000</v>
      </c>
      <c r="J111" s="85">
        <f t="shared" si="31"/>
        <v>2772.35294117647</v>
      </c>
      <c r="K111" s="87">
        <v>3735.1</v>
      </c>
      <c r="L111" s="85">
        <f t="shared" si="32"/>
        <v>532.944</v>
      </c>
      <c r="M111" s="85"/>
      <c r="N111" s="85"/>
      <c r="O111" s="85">
        <f t="shared" si="30"/>
        <v>426.3552</v>
      </c>
      <c r="P111" s="85">
        <f t="shared" si="21"/>
        <v>310.160799999999</v>
      </c>
      <c r="Q111" s="85">
        <f t="shared" si="28"/>
        <v>-2462.19214117647</v>
      </c>
      <c r="R111" s="85"/>
      <c r="S111" s="88">
        <f>_xlfn.XLOOKUP(A111,Sales!D:D,Sales!K:K)</f>
        <v>46273</v>
      </c>
      <c r="T111" s="88">
        <f>_xlfn.XLOOKUP(A111,Sales!D:D,Sales!L:L)</f>
        <v>46259</v>
      </c>
      <c r="U111" s="107" t="s">
        <v>600</v>
      </c>
      <c r="V111" s="90">
        <f t="shared" si="22"/>
        <v>-24340.4829411765</v>
      </c>
      <c r="W111" s="90">
        <f t="shared" si="23"/>
        <v>-532.944</v>
      </c>
      <c r="X111" s="90">
        <f t="shared" si="24"/>
        <v>-426.3552</v>
      </c>
      <c r="Y111" s="91">
        <f t="shared" si="25"/>
        <v>10125.936</v>
      </c>
      <c r="Z111" s="92"/>
      <c r="AA111" s="91">
        <f t="shared" si="26"/>
        <v>10125.936</v>
      </c>
      <c r="AB111" s="93">
        <f t="shared" si="27"/>
        <v>-25299.7821411765</v>
      </c>
      <c r="AC111" s="93"/>
      <c r="AD111" s="101"/>
      <c r="AE111" s="94"/>
      <c r="AF111" s="94"/>
      <c r="AG111" s="94"/>
      <c r="AH111" s="94"/>
      <c r="AI111" s="94"/>
      <c r="AJ111" s="94"/>
      <c r="AK111" s="94"/>
      <c r="AL111" s="94"/>
      <c r="AM111" s="94"/>
      <c r="AN111" s="94"/>
      <c r="AO111" s="94"/>
      <c r="AP111" s="94"/>
      <c r="AQ111" s="94"/>
    </row>
    <row r="112" customFormat="1" customHeight="1" spans="1:43">
      <c r="A112" s="102" t="s">
        <v>439</v>
      </c>
      <c r="B112" s="84" t="str">
        <f>_xlfn.XLOOKUP(A112,Sales!D:D,Sales!I:I)</f>
        <v>PSP</v>
      </c>
      <c r="C112" s="85">
        <f>SUMIFS(Sales!H:H,Sales!D:D,A112)</f>
        <v>2074.64</v>
      </c>
      <c r="D112" s="85">
        <f>SUMIFS(Sales!N:N,Sales!D:D,A112)</f>
        <v>1026</v>
      </c>
      <c r="E112" s="96">
        <f>SUMIF(Sales!D:D,A112,Sales!O:O)</f>
        <v>27</v>
      </c>
      <c r="F112" s="85">
        <f t="shared" si="16"/>
        <v>81</v>
      </c>
      <c r="G112" s="85"/>
      <c r="H112" s="87">
        <f>SUMIFS(Sales!R:R,Sales!D:D,A112)</f>
        <v>3.01</v>
      </c>
      <c r="I112" s="85">
        <v>12000</v>
      </c>
      <c r="J112" s="85">
        <f t="shared" si="31"/>
        <v>531.176470588235</v>
      </c>
      <c r="K112" s="87">
        <f>4586.6/(E112+E113)*E112</f>
        <v>809.4</v>
      </c>
      <c r="L112" s="85">
        <f t="shared" si="32"/>
        <v>103.732</v>
      </c>
      <c r="M112" s="85"/>
      <c r="N112" s="85"/>
      <c r="O112" s="85">
        <f t="shared" si="30"/>
        <v>82.9856</v>
      </c>
      <c r="P112" s="85">
        <f t="shared" si="21"/>
        <v>-28.4776000000002</v>
      </c>
      <c r="Q112" s="85">
        <f t="shared" si="28"/>
        <v>-559.654070588235</v>
      </c>
      <c r="R112" s="85"/>
      <c r="S112" s="88">
        <f>_xlfn.XLOOKUP(A112,Sales!D:D,Sales!K:K)</f>
        <v>46273</v>
      </c>
      <c r="T112" s="88">
        <f>_xlfn.XLOOKUP(A112,Sales!D:D,Sales!L:L)</f>
        <v>46260</v>
      </c>
      <c r="U112" s="107" t="s">
        <v>601</v>
      </c>
      <c r="V112" s="90">
        <f t="shared" si="22"/>
        <v>-14477.5864705882</v>
      </c>
      <c r="W112" s="90">
        <f t="shared" si="23"/>
        <v>-103.732</v>
      </c>
      <c r="X112" s="90">
        <f t="shared" si="24"/>
        <v>-82.9856</v>
      </c>
      <c r="Y112" s="91">
        <f t="shared" si="25"/>
        <v>1970.908</v>
      </c>
      <c r="Z112" s="92"/>
      <c r="AA112" s="91">
        <f t="shared" si="26"/>
        <v>1970.908</v>
      </c>
      <c r="AB112" s="93">
        <f t="shared" si="27"/>
        <v>-14664.3040705882</v>
      </c>
      <c r="AC112" s="93"/>
      <c r="AD112" s="101"/>
      <c r="AE112" s="94"/>
      <c r="AF112" s="94"/>
      <c r="AG112" s="94"/>
      <c r="AH112" s="94"/>
      <c r="AI112" s="94"/>
      <c r="AJ112" s="94"/>
      <c r="AK112" s="94"/>
      <c r="AL112" s="94"/>
      <c r="AM112" s="94"/>
      <c r="AN112" s="94"/>
      <c r="AO112" s="94"/>
      <c r="AP112" s="94"/>
      <c r="AQ112" s="94"/>
    </row>
    <row r="113" customFormat="1" customHeight="1" spans="1:43">
      <c r="A113" s="102" t="s">
        <v>436</v>
      </c>
      <c r="B113" s="84" t="str">
        <f>_xlfn.XLOOKUP(A113,Sales!D:D,Sales!I:I)</f>
        <v>PSP</v>
      </c>
      <c r="C113" s="85">
        <f>SUMIFS(Sales!H:H,Sales!D:D,A113)</f>
        <v>8109.16</v>
      </c>
      <c r="D113" s="85">
        <f>SUMIFS(Sales!N:N,Sales!D:D,A113)</f>
        <v>3840.17</v>
      </c>
      <c r="E113" s="96">
        <f>SUMIF(Sales!D:D,A113,Sales!O:O)</f>
        <v>126</v>
      </c>
      <c r="F113" s="85">
        <f t="shared" si="16"/>
        <v>378</v>
      </c>
      <c r="G113" s="85"/>
      <c r="H113" s="87">
        <f>SUMIFS(Sales!R:R,Sales!D:D,A113)</f>
        <v>15.83</v>
      </c>
      <c r="I113" s="85">
        <v>12000</v>
      </c>
      <c r="J113" s="85">
        <f t="shared" si="31"/>
        <v>2793.52941176471</v>
      </c>
      <c r="K113" s="87">
        <f>4586.6/(E112+E113)*E113</f>
        <v>3777.2</v>
      </c>
      <c r="L113" s="85">
        <f t="shared" si="32"/>
        <v>405.458</v>
      </c>
      <c r="M113" s="85"/>
      <c r="N113" s="85"/>
      <c r="O113" s="85">
        <f t="shared" si="30"/>
        <v>324.3664</v>
      </c>
      <c r="P113" s="85">
        <f t="shared" si="21"/>
        <v>-616.0344</v>
      </c>
      <c r="Q113" s="85">
        <f t="shared" si="28"/>
        <v>-3409.56381176471</v>
      </c>
      <c r="R113" s="85"/>
      <c r="S113" s="88">
        <f>_xlfn.XLOOKUP(A113,Sales!D:D,Sales!K:K)</f>
        <v>46273</v>
      </c>
      <c r="T113" s="88">
        <f>_xlfn.XLOOKUP(A113,Sales!D:D,Sales!L:L)</f>
        <v>46260</v>
      </c>
      <c r="U113" s="107" t="s">
        <v>602</v>
      </c>
      <c r="V113" s="90">
        <f t="shared" si="22"/>
        <v>-22930.7294117647</v>
      </c>
      <c r="W113" s="90">
        <f t="shared" si="23"/>
        <v>-405.458</v>
      </c>
      <c r="X113" s="90">
        <f t="shared" si="24"/>
        <v>-324.3664</v>
      </c>
      <c r="Y113" s="91">
        <f t="shared" si="25"/>
        <v>7703.702</v>
      </c>
      <c r="Z113" s="92"/>
      <c r="AA113" s="91">
        <f t="shared" si="26"/>
        <v>7703.702</v>
      </c>
      <c r="AB113" s="93">
        <f t="shared" si="27"/>
        <v>-23660.5538117647</v>
      </c>
      <c r="AC113" s="93"/>
      <c r="AD113" s="101"/>
      <c r="AE113" s="94"/>
      <c r="AF113" s="94"/>
      <c r="AG113" s="94"/>
      <c r="AH113" s="94"/>
      <c r="AI113" s="94"/>
      <c r="AJ113" s="94"/>
      <c r="AK113" s="94"/>
      <c r="AL113" s="94"/>
      <c r="AM113" s="94"/>
      <c r="AN113" s="94"/>
      <c r="AO113" s="94"/>
      <c r="AP113" s="94"/>
      <c r="AQ113" s="94"/>
    </row>
    <row r="114" customFormat="1" customHeight="1" spans="1:43">
      <c r="A114" s="102" t="s">
        <v>440</v>
      </c>
      <c r="B114" s="84" t="str">
        <f>_xlfn.XLOOKUP(A114,Sales!D:D,Sales!I:I)</f>
        <v>PSP</v>
      </c>
      <c r="C114" s="85">
        <f>SUMIFS(Sales!H:H,Sales!D:D,A114)</f>
        <v>25301.15</v>
      </c>
      <c r="D114" s="85">
        <f>SUMIFS(Sales!N:N,Sales!D:D,A114)</f>
        <v>12844.62</v>
      </c>
      <c r="E114" s="96">
        <f>SUMIF(Sales!D:D,A114,Sales!O:O)</f>
        <v>251</v>
      </c>
      <c r="F114" s="85">
        <f t="shared" si="16"/>
        <v>753</v>
      </c>
      <c r="G114" s="85"/>
      <c r="H114" s="87">
        <f>SUMIFS(Sales!R:R,Sales!D:D,A114)</f>
        <v>26.82</v>
      </c>
      <c r="I114" s="85">
        <v>12000</v>
      </c>
      <c r="J114" s="85">
        <f t="shared" si="31"/>
        <v>4732.94117647059</v>
      </c>
      <c r="K114" s="87">
        <f>ROUND(7800/(E114+E115)*E114,2)</f>
        <v>3502.33</v>
      </c>
      <c r="L114" s="85">
        <f t="shared" si="32"/>
        <v>1265.0575</v>
      </c>
      <c r="M114" s="85"/>
      <c r="N114" s="85"/>
      <c r="O114" s="85">
        <f t="shared" si="30"/>
        <v>1012.046</v>
      </c>
      <c r="P114" s="85">
        <f t="shared" si="21"/>
        <v>5924.0965</v>
      </c>
      <c r="Q114" s="85">
        <f t="shared" si="28"/>
        <v>1191.15532352941</v>
      </c>
      <c r="R114" s="85"/>
      <c r="S114" s="88">
        <f>_xlfn.XLOOKUP(A114,Sales!D:D,Sales!K:K)</f>
        <v>46269</v>
      </c>
      <c r="T114" s="88">
        <f>_xlfn.XLOOKUP(A114,Sales!D:D,Sales!L:L)</f>
        <v>46265</v>
      </c>
      <c r="U114" s="107" t="s">
        <v>603</v>
      </c>
      <c r="V114" s="90"/>
      <c r="W114" s="90"/>
      <c r="X114" s="90"/>
      <c r="Y114" s="91"/>
      <c r="Z114" s="92"/>
      <c r="AA114" s="91"/>
      <c r="AB114" s="93"/>
      <c r="AC114" s="93"/>
      <c r="AD114" s="101"/>
      <c r="AE114" s="94"/>
      <c r="AF114" s="94"/>
      <c r="AG114" s="94"/>
      <c r="AH114" s="94"/>
      <c r="AI114" s="94"/>
      <c r="AJ114" s="94"/>
      <c r="AK114" s="94"/>
      <c r="AL114" s="94"/>
      <c r="AM114" s="94"/>
      <c r="AN114" s="94"/>
      <c r="AO114" s="94"/>
      <c r="AP114" s="94"/>
      <c r="AQ114" s="94"/>
    </row>
    <row r="115" customFormat="1" customHeight="1" spans="1:43">
      <c r="A115" s="102" t="s">
        <v>437</v>
      </c>
      <c r="B115" s="84" t="str">
        <f>_xlfn.XLOOKUP(A115,Sales!D:D,Sales!I:I)</f>
        <v>PSP</v>
      </c>
      <c r="C115" s="85">
        <f>SUMIFS(Sales!H:H,Sales!D:D,A115)</f>
        <v>19351.55</v>
      </c>
      <c r="D115" s="85">
        <f>SUMIFS(Sales!N:N,Sales!D:D,A115)</f>
        <v>9271.6</v>
      </c>
      <c r="E115" s="96">
        <f>SUMIF(Sales!D:D,A115,Sales!O:O)</f>
        <v>308</v>
      </c>
      <c r="F115" s="85">
        <f t="shared" si="16"/>
        <v>924</v>
      </c>
      <c r="G115" s="85"/>
      <c r="H115" s="87">
        <f>SUMIFS(Sales!R:R,Sales!D:D,A115)</f>
        <v>36.09</v>
      </c>
      <c r="I115" s="85">
        <v>12000</v>
      </c>
      <c r="J115" s="85">
        <f t="shared" si="31"/>
        <v>6368.82352941177</v>
      </c>
      <c r="K115" s="87">
        <f>ROUND(7800/(E114+E115)*E115,2)</f>
        <v>4297.67</v>
      </c>
      <c r="L115" s="85">
        <f t="shared" si="32"/>
        <v>967.5775</v>
      </c>
      <c r="M115" s="85"/>
      <c r="N115" s="85"/>
      <c r="O115" s="85">
        <f t="shared" si="30"/>
        <v>774.062</v>
      </c>
      <c r="P115" s="85">
        <f t="shared" si="21"/>
        <v>3116.6405</v>
      </c>
      <c r="Q115" s="85">
        <f t="shared" si="28"/>
        <v>-3252.18302941176</v>
      </c>
      <c r="R115" s="85"/>
      <c r="S115" s="88">
        <f>_xlfn.XLOOKUP(A115,Sales!D:D,Sales!K:K)</f>
        <v>46273</v>
      </c>
      <c r="T115" s="88">
        <f>_xlfn.XLOOKUP(A115,Sales!D:D,Sales!L:L)</f>
        <v>46265</v>
      </c>
      <c r="U115" s="107" t="s">
        <v>604</v>
      </c>
      <c r="V115" s="90"/>
      <c r="W115" s="90"/>
      <c r="X115" s="90"/>
      <c r="Y115" s="91"/>
      <c r="Z115" s="92"/>
      <c r="AA115" s="91"/>
      <c r="AB115" s="93"/>
      <c r="AC115" s="93"/>
      <c r="AD115" s="101"/>
      <c r="AE115" s="94"/>
      <c r="AF115" s="94"/>
      <c r="AG115" s="94"/>
      <c r="AH115" s="94"/>
      <c r="AI115" s="94"/>
      <c r="AJ115" s="94"/>
      <c r="AK115" s="94"/>
      <c r="AL115" s="94"/>
      <c r="AM115" s="94"/>
      <c r="AN115" s="94"/>
      <c r="AO115" s="94"/>
      <c r="AP115" s="94"/>
      <c r="AQ115" s="94"/>
    </row>
    <row r="116" customFormat="1" customHeight="1" spans="1:43">
      <c r="A116" s="102" t="s">
        <v>433</v>
      </c>
      <c r="B116" s="84" t="str">
        <f>_xlfn.XLOOKUP(A116,Sales!D:D,Sales!I:I)</f>
        <v>PSP</v>
      </c>
      <c r="C116" s="85">
        <f>SUMIFS(Sales!H:H,Sales!D:D,A116)</f>
        <v>3038.64</v>
      </c>
      <c r="D116" s="85">
        <f>SUMIFS(Sales!N:N,Sales!D:D,A116)</f>
        <v>1488.96</v>
      </c>
      <c r="E116" s="96">
        <f>SUMIF(Sales!D:D,A116,Sales!O:O)</f>
        <v>42</v>
      </c>
      <c r="F116" s="85">
        <f t="shared" si="16"/>
        <v>126</v>
      </c>
      <c r="G116" s="85"/>
      <c r="H116" s="87">
        <f>SUMIFS(Sales!R:R,Sales!D:D,A116)</f>
        <v>3.96</v>
      </c>
      <c r="I116" s="85"/>
      <c r="J116" s="85">
        <f t="shared" si="31"/>
        <v>0</v>
      </c>
      <c r="K116" s="87">
        <v>979.86</v>
      </c>
      <c r="L116" s="85">
        <f t="shared" si="32"/>
        <v>151.932</v>
      </c>
      <c r="M116" s="85"/>
      <c r="N116" s="85"/>
      <c r="O116" s="85">
        <f t="shared" si="30"/>
        <v>121.5456</v>
      </c>
      <c r="P116" s="85">
        <f t="shared" si="21"/>
        <v>170.3424</v>
      </c>
      <c r="Q116" s="85">
        <f t="shared" si="28"/>
        <v>170.3424</v>
      </c>
      <c r="R116" s="85"/>
      <c r="S116" s="88">
        <f>_xlfn.XLOOKUP(A116,Sales!D:D,Sales!K:K)</f>
        <v>46276</v>
      </c>
      <c r="T116" s="88">
        <f>_xlfn.XLOOKUP(A116,Sales!D:D,Sales!L:L)</f>
        <v>46266</v>
      </c>
      <c r="U116" s="107" t="s">
        <v>605</v>
      </c>
      <c r="V116" s="90"/>
      <c r="W116" s="90"/>
      <c r="X116" s="90"/>
      <c r="Y116" s="91"/>
      <c r="Z116" s="92"/>
      <c r="AA116" s="91"/>
      <c r="AB116" s="93"/>
      <c r="AC116" s="93"/>
      <c r="AD116" s="101"/>
      <c r="AE116" s="94"/>
      <c r="AF116" s="94"/>
      <c r="AG116" s="94"/>
      <c r="AH116" s="94"/>
      <c r="AI116" s="94"/>
      <c r="AJ116" s="94"/>
      <c r="AK116" s="94"/>
      <c r="AL116" s="94"/>
      <c r="AM116" s="94"/>
      <c r="AN116" s="94"/>
      <c r="AO116" s="94"/>
      <c r="AP116" s="94"/>
      <c r="AQ116" s="94"/>
    </row>
    <row r="117" customFormat="1" customHeight="1" spans="1:43">
      <c r="A117" s="102">
        <v>31820611</v>
      </c>
      <c r="B117" s="84" t="str">
        <f>_xlfn.XLOOKUP(A117,Sales!D:D,Sales!I:I)</f>
        <v>Petco</v>
      </c>
      <c r="C117" s="85">
        <f>SUMIFS(Sales!H:H,Sales!D:D,A117)</f>
        <v>2977.38</v>
      </c>
      <c r="D117" s="85">
        <f>SUMIFS(Sales!N:N,Sales!D:D,A117)</f>
        <v>1583.2</v>
      </c>
      <c r="E117" s="96">
        <f>SUMIF(Sales!D:D,A117,Sales!O:O)</f>
        <v>45</v>
      </c>
      <c r="F117" s="85">
        <f t="shared" si="16"/>
        <v>135</v>
      </c>
      <c r="G117" s="85"/>
      <c r="H117" s="87">
        <f>SUMIFS(Sales!R:R,Sales!D:D,A117)</f>
        <v>3.69</v>
      </c>
      <c r="I117" s="85"/>
      <c r="J117" s="85">
        <f t="shared" si="31"/>
        <v>0</v>
      </c>
      <c r="K117" s="87">
        <f>ROUND(7800/(E116+E117)*E117,2)</f>
        <v>4034.48</v>
      </c>
      <c r="L117" s="85">
        <f t="shared" si="32"/>
        <v>133.9821</v>
      </c>
      <c r="M117" s="85"/>
      <c r="N117" s="85"/>
      <c r="O117" s="85">
        <f t="shared" si="30"/>
        <v>119.0952</v>
      </c>
      <c r="P117" s="85">
        <f t="shared" si="21"/>
        <v>-3028.3773</v>
      </c>
      <c r="Q117" s="85">
        <f t="shared" si="28"/>
        <v>-3028.3773</v>
      </c>
      <c r="R117" s="85"/>
      <c r="S117" s="88">
        <f>_xlfn.XLOOKUP(A117,Sales!D:D,Sales!K:K)</f>
        <v>46276</v>
      </c>
      <c r="T117" s="88">
        <f>_xlfn.XLOOKUP(A117,Sales!D:D,Sales!L:L)</f>
        <v>46269</v>
      </c>
      <c r="U117" s="107" t="s">
        <v>606</v>
      </c>
      <c r="V117" s="90"/>
      <c r="W117" s="90"/>
      <c r="X117" s="90"/>
      <c r="Y117" s="91"/>
      <c r="Z117" s="92"/>
      <c r="AA117" s="91"/>
      <c r="AB117" s="93"/>
      <c r="AC117" s="93"/>
      <c r="AD117" s="101"/>
      <c r="AE117" s="94"/>
      <c r="AF117" s="94"/>
      <c r="AG117" s="94"/>
      <c r="AH117" s="94"/>
      <c r="AI117" s="94"/>
      <c r="AJ117" s="94"/>
      <c r="AK117" s="94"/>
      <c r="AL117" s="94"/>
      <c r="AM117" s="94"/>
      <c r="AN117" s="94"/>
      <c r="AO117" s="94"/>
      <c r="AP117" s="94"/>
      <c r="AQ117" s="94"/>
    </row>
    <row r="118" customFormat="1" customHeight="1" spans="1:43">
      <c r="A118" s="102">
        <v>31799425</v>
      </c>
      <c r="B118" s="84" t="str">
        <f>_xlfn.XLOOKUP(A118,Sales!D:D,Sales!I:I)</f>
        <v>Petco</v>
      </c>
      <c r="C118" s="85">
        <f>SUMIFS(Sales!H:H,Sales!D:D,A118)</f>
        <v>3081.54</v>
      </c>
      <c r="D118" s="85">
        <f>SUMIFS(Sales!N:N,Sales!D:D,A118)</f>
        <v>1788.12</v>
      </c>
      <c r="E118" s="96">
        <f>SUMIF(Sales!D:D,A118,Sales!O:O)</f>
        <v>27</v>
      </c>
      <c r="F118" s="85">
        <f>E118*3</f>
        <v>81</v>
      </c>
      <c r="G118" s="85"/>
      <c r="H118" s="87">
        <f>SUMIFS(Sales!R:R,Sales!D:D,A118)</f>
        <v>2.55</v>
      </c>
      <c r="I118" s="85"/>
      <c r="J118" s="85">
        <f>I118*H118/68</f>
        <v>0</v>
      </c>
      <c r="K118" s="87"/>
      <c r="L118" s="85">
        <f>IF(B118="Petco",C118*0.045,IF(B118="Petsmart",C118*0.02,C118*0.05))</f>
        <v>138.6693</v>
      </c>
      <c r="M118" s="85"/>
      <c r="N118" s="85"/>
      <c r="O118" s="85">
        <f>C118*0.04</f>
        <v>123.2616</v>
      </c>
      <c r="P118" s="85">
        <f>C118-D118-F118-G118-K118-L118-O118-M118-N118</f>
        <v>950.4891</v>
      </c>
      <c r="Q118" s="85">
        <f>C118-D118-F118-J118-K118-L118-O118-M118-N118</f>
        <v>950.4891</v>
      </c>
      <c r="R118" s="85"/>
      <c r="S118" s="88">
        <f>_xlfn.XLOOKUP(A118,Sales!D:D,Sales!K:K)</f>
        <v>46279</v>
      </c>
      <c r="T118" s="88">
        <f>_xlfn.XLOOKUP(A118,Sales!D:D,Sales!L:L)</f>
        <v>46269</v>
      </c>
      <c r="U118" s="128" t="s">
        <v>607</v>
      </c>
      <c r="V118" s="90"/>
      <c r="W118" s="90"/>
      <c r="X118" s="90"/>
      <c r="Y118" s="91"/>
      <c r="Z118" s="92"/>
      <c r="AA118" s="91"/>
      <c r="AB118" s="93"/>
      <c r="AC118" s="93"/>
      <c r="AD118" s="101"/>
      <c r="AE118" s="94"/>
      <c r="AF118" s="94"/>
      <c r="AG118" s="94"/>
      <c r="AH118" s="94"/>
      <c r="AI118" s="94"/>
      <c r="AJ118" s="94"/>
      <c r="AK118" s="94"/>
      <c r="AL118" s="94"/>
      <c r="AM118" s="94"/>
      <c r="AN118" s="94"/>
      <c r="AO118" s="94"/>
      <c r="AP118" s="94"/>
      <c r="AQ118" s="94"/>
    </row>
    <row r="119" customFormat="1" customHeight="1" spans="1:43">
      <c r="A119" s="102">
        <v>31820610</v>
      </c>
      <c r="B119" s="84" t="str">
        <f>_xlfn.XLOOKUP(A119,Sales!D:D,Sales!I:I)</f>
        <v>Petco</v>
      </c>
      <c r="C119" s="85">
        <f>SUMIFS(Sales!H:H,Sales!D:D,A119)</f>
        <v>2753.52</v>
      </c>
      <c r="D119" s="85">
        <f>SUMIFS(Sales!N:N,Sales!D:D,A119)</f>
        <v>1560.88</v>
      </c>
      <c r="E119" s="96">
        <f>SUMIF(Sales!D:D,A119,Sales!O:O)</f>
        <v>23</v>
      </c>
      <c r="F119" s="85">
        <f>E119*3</f>
        <v>69</v>
      </c>
      <c r="G119" s="85"/>
      <c r="H119" s="87">
        <f>SUMIFS(Sales!R:R,Sales!D:D,A119)</f>
        <v>1.99</v>
      </c>
      <c r="I119" s="85"/>
      <c r="J119" s="85">
        <f>I119*H119/68</f>
        <v>0</v>
      </c>
      <c r="K119" s="87"/>
      <c r="L119" s="85">
        <f>IF(B119="Petco",C119*0.045,IF(B119="Petsmart",C119*0.02,C119*0.05))</f>
        <v>123.9084</v>
      </c>
      <c r="M119" s="85"/>
      <c r="N119" s="85"/>
      <c r="O119" s="85">
        <f>C119*0.04</f>
        <v>110.1408</v>
      </c>
      <c r="P119" s="85">
        <f>C119-D119-F119-G119-K119-L119-O119-M119-N119</f>
        <v>889.5908</v>
      </c>
      <c r="Q119" s="85">
        <f>C119-D119-F119-J119-K119-L119-O119-M119-N119</f>
        <v>889.5908</v>
      </c>
      <c r="R119" s="85"/>
      <c r="S119" s="88">
        <f>_xlfn.XLOOKUP(A119,Sales!D:D,Sales!K:K)</f>
        <v>46279</v>
      </c>
      <c r="T119" s="88">
        <f>_xlfn.XLOOKUP(A119,Sales!D:D,Sales!L:L)</f>
        <v>46269</v>
      </c>
      <c r="U119" s="128" t="s">
        <v>608</v>
      </c>
      <c r="V119" s="90"/>
      <c r="W119" s="90"/>
      <c r="X119" s="90"/>
      <c r="Y119" s="91"/>
      <c r="Z119" s="92"/>
      <c r="AA119" s="91"/>
      <c r="AB119" s="93"/>
      <c r="AC119" s="93"/>
      <c r="AD119" s="101"/>
      <c r="AE119" s="94"/>
      <c r="AF119" s="94"/>
      <c r="AG119" s="94"/>
      <c r="AH119" s="94"/>
      <c r="AI119" s="94"/>
      <c r="AJ119" s="94"/>
      <c r="AK119" s="94"/>
      <c r="AL119" s="94"/>
      <c r="AM119" s="94"/>
      <c r="AN119" s="94"/>
      <c r="AO119" s="94"/>
      <c r="AP119" s="94"/>
      <c r="AQ119" s="94"/>
    </row>
    <row r="120" customFormat="1" customHeight="1" spans="1:43">
      <c r="A120" s="102">
        <v>31877481</v>
      </c>
      <c r="B120" s="84" t="str">
        <f>_xlfn.XLOOKUP(A120,Sales!D:D,Sales!I:I)</f>
        <v>Petco</v>
      </c>
      <c r="C120" s="85">
        <f>SUMIFS(Sales!H:H,Sales!D:D,A120)</f>
        <v>2568.38</v>
      </c>
      <c r="D120" s="85">
        <f>SUMIFS(Sales!N:N,Sales!D:D,A120)</f>
        <v>1533.24</v>
      </c>
      <c r="E120" s="96">
        <f>SUMIF(Sales!D:D,A120,Sales!O:O)</f>
        <v>20</v>
      </c>
      <c r="F120" s="85">
        <f>E120*3</f>
        <v>60</v>
      </c>
      <c r="G120" s="85"/>
      <c r="H120" s="87">
        <f>SUMIFS(Sales!R:R,Sales!D:D,A120)</f>
        <v>2.69</v>
      </c>
      <c r="I120" s="85"/>
      <c r="J120" s="85">
        <f>I120*H120/68</f>
        <v>0</v>
      </c>
      <c r="K120" s="87"/>
      <c r="L120" s="85">
        <f>IF(B120="Petco",C120*0.045,IF(B120="Petsmart",C120*0.02,C120*0.05))</f>
        <v>115.5771</v>
      </c>
      <c r="M120" s="85"/>
      <c r="N120" s="85"/>
      <c r="O120" s="85">
        <f>C120*0.04</f>
        <v>102.7352</v>
      </c>
      <c r="P120" s="85">
        <f>C120-D120-F120-G120-K120-L120-O120-M120-N120</f>
        <v>756.8277</v>
      </c>
      <c r="Q120" s="85">
        <f>C120-D120-F120-J120-K120-L120-O120-M120-N120</f>
        <v>756.8277</v>
      </c>
      <c r="R120" s="85"/>
      <c r="S120" s="88">
        <f>_xlfn.XLOOKUP(A120,Sales!D:D,Sales!K:K)</f>
        <v>46288</v>
      </c>
      <c r="T120" s="88">
        <f>_xlfn.XLOOKUP(A120,Sales!D:D,Sales!L:L)</f>
        <v>46275</v>
      </c>
      <c r="U120" s="128" t="s">
        <v>609</v>
      </c>
      <c r="V120" s="90"/>
      <c r="W120" s="90"/>
      <c r="X120" s="90"/>
      <c r="Y120" s="91"/>
      <c r="Z120" s="92"/>
      <c r="AA120" s="91"/>
      <c r="AB120" s="93"/>
      <c r="AC120" s="93"/>
      <c r="AD120" s="101"/>
      <c r="AE120" s="94"/>
      <c r="AF120" s="94"/>
      <c r="AG120" s="94"/>
      <c r="AH120" s="94"/>
      <c r="AI120" s="94"/>
      <c r="AJ120" s="94"/>
      <c r="AK120" s="94"/>
      <c r="AL120" s="94"/>
      <c r="AM120" s="94"/>
      <c r="AN120" s="94"/>
      <c r="AO120" s="94"/>
      <c r="AP120" s="94"/>
      <c r="AQ120" s="94"/>
    </row>
    <row r="121" customFormat="1" customHeight="1" spans="1:43">
      <c r="A121" s="102">
        <v>31955933</v>
      </c>
      <c r="B121" s="84" t="str">
        <f>_xlfn.XLOOKUP(A121,Sales!D:D,Sales!I:I)</f>
        <v>Petco</v>
      </c>
      <c r="C121" s="85">
        <f>SUMIFS(Sales!H:H,Sales!D:D,A121)</f>
        <v>3011.76</v>
      </c>
      <c r="D121" s="85">
        <f>SUMIFS(Sales!N:N,Sales!D:D,A121)</f>
        <v>1676.08</v>
      </c>
      <c r="E121" s="96">
        <f>SUMIF(Sales!D:D,A121,Sales!O:O)</f>
        <v>26</v>
      </c>
      <c r="F121" s="85">
        <f>E121*3</f>
        <v>78</v>
      </c>
      <c r="G121" s="85"/>
      <c r="H121" s="87">
        <f>SUMIFS(Sales!R:R,Sales!D:D,A121)</f>
        <v>3.65</v>
      </c>
      <c r="I121" s="85"/>
      <c r="J121" s="85">
        <f>I121*H121/68</f>
        <v>0</v>
      </c>
      <c r="K121" s="87"/>
      <c r="L121" s="85">
        <f>IF(B121="Petco",C121*0.045,IF(B121="Petsmart",C121*0.02,C121*0.05))</f>
        <v>135.5292</v>
      </c>
      <c r="M121" s="85"/>
      <c r="N121" s="85"/>
      <c r="O121" s="85">
        <f>C121*0.04</f>
        <v>120.4704</v>
      </c>
      <c r="P121" s="85">
        <f>C121-D121-F121-G121-K121-L121-O121-M121-N121</f>
        <v>1001.6804</v>
      </c>
      <c r="Q121" s="85">
        <f>C121-D121-F121-J121-K121-L121-O121-M121-N121</f>
        <v>1001.6804</v>
      </c>
      <c r="R121" s="85"/>
      <c r="S121" s="88">
        <f>_xlfn.XLOOKUP(A121,Sales!D:D,Sales!K:K)</f>
        <v>46296</v>
      </c>
      <c r="T121" s="88">
        <f>_xlfn.XLOOKUP(A121,Sales!D:D,Sales!L:L)</f>
        <v>0</v>
      </c>
      <c r="U121" s="107"/>
      <c r="V121" s="90"/>
      <c r="W121" s="90"/>
      <c r="X121" s="90"/>
      <c r="Y121" s="91"/>
      <c r="Z121" s="92"/>
      <c r="AA121" s="91"/>
      <c r="AB121" s="93"/>
      <c r="AC121" s="93"/>
      <c r="AD121" s="101"/>
      <c r="AE121" s="94"/>
      <c r="AF121" s="94"/>
      <c r="AG121" s="94"/>
      <c r="AH121" s="94"/>
      <c r="AI121" s="94"/>
      <c r="AJ121" s="94"/>
      <c r="AK121" s="94"/>
      <c r="AL121" s="94"/>
      <c r="AM121" s="94"/>
      <c r="AN121" s="94"/>
      <c r="AO121" s="94"/>
      <c r="AP121" s="94"/>
      <c r="AQ121" s="94"/>
    </row>
    <row r="122" customFormat="1" customHeight="1" spans="1:43">
      <c r="A122" s="102" t="s">
        <v>441</v>
      </c>
      <c r="B122" s="84" t="str">
        <f>_xlfn.XLOOKUP(A122,Sales!D:D,Sales!I:I)</f>
        <v>PSP</v>
      </c>
      <c r="C122" s="85">
        <f>SUMIFS(Sales!H:H,Sales!D:D,A122)</f>
        <v>12640.54</v>
      </c>
      <c r="D122" s="85">
        <f>SUMIFS(Sales!N:N,Sales!D:D,A122)</f>
        <v>6524.88</v>
      </c>
      <c r="E122" s="96">
        <f>SUMIF(Sales!D:D,A122,Sales!O:O)</f>
        <v>154</v>
      </c>
      <c r="F122" s="85">
        <f>E122*3</f>
        <v>462</v>
      </c>
      <c r="G122" s="85"/>
      <c r="H122" s="87">
        <f>SUMIFS(Sales!R:R,Sales!D:D,A122)</f>
        <v>17.65</v>
      </c>
      <c r="I122" s="85"/>
      <c r="J122" s="85">
        <f>I122*H122/68</f>
        <v>0</v>
      </c>
      <c r="K122" s="87"/>
      <c r="L122" s="85">
        <f>IF(B122="Petco",C122*0.045,IF(B122="Petsmart",C122*0.02,C122*0.05))</f>
        <v>632.027</v>
      </c>
      <c r="M122" s="85"/>
      <c r="N122" s="85"/>
      <c r="O122" s="85">
        <f>C122*0.04</f>
        <v>505.6216</v>
      </c>
      <c r="P122" s="85">
        <f>C122-D122-F122-G122-K122-L122-O122-M122-N122</f>
        <v>4516.0114</v>
      </c>
      <c r="Q122" s="85">
        <f>C122-D122-F122-J122-K122-L122-O122-M122-N122</f>
        <v>4516.0114</v>
      </c>
      <c r="R122" s="85"/>
      <c r="S122" s="88">
        <f>_xlfn.XLOOKUP(A122,Sales!D:D,Sales!K:K)</f>
        <v>46279</v>
      </c>
      <c r="T122" s="88">
        <f>_xlfn.XLOOKUP(A122,Sales!D:D,Sales!L:L)</f>
        <v>46280</v>
      </c>
      <c r="U122" s="128" t="s">
        <v>610</v>
      </c>
      <c r="V122" s="90"/>
      <c r="W122" s="90"/>
      <c r="X122" s="90"/>
      <c r="Y122" s="91"/>
      <c r="Z122" s="92"/>
      <c r="AA122" s="91"/>
      <c r="AB122" s="93"/>
      <c r="AC122" s="93"/>
      <c r="AD122" s="101"/>
      <c r="AE122" s="94"/>
      <c r="AF122" s="94"/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</row>
    <row r="123" customFormat="1" customHeight="1" spans="1:43">
      <c r="A123" s="102">
        <v>32011885</v>
      </c>
      <c r="B123" s="84" t="str">
        <f>_xlfn.XLOOKUP(A123,Sales!D:D,Sales!I:I)</f>
        <v>Petco</v>
      </c>
      <c r="C123" s="85">
        <f>SUMIFS(Sales!H:H,Sales!D:D,A123)</f>
        <v>4171.34</v>
      </c>
      <c r="D123" s="85">
        <f>SUMIFS(Sales!N:N,Sales!D:D,A123)</f>
        <v>2309.02</v>
      </c>
      <c r="E123" s="96">
        <f>SUMIF(Sales!D:D,A123,Sales!O:O)</f>
        <v>63</v>
      </c>
      <c r="F123" s="85">
        <f t="shared" ref="F123:F131" si="34">E123*3</f>
        <v>189</v>
      </c>
      <c r="G123" s="85"/>
      <c r="H123" s="87">
        <f>SUMIFS(Sales!R:R,Sales!D:D,A123)</f>
        <v>5.26</v>
      </c>
      <c r="I123" s="85"/>
      <c r="J123" s="85">
        <f t="shared" ref="J123:J131" si="35">I123*H123/68</f>
        <v>0</v>
      </c>
      <c r="K123" s="87"/>
      <c r="L123" s="85">
        <f t="shared" ref="L123:L131" si="36">IF(B123="Petco",C123*0.045,IF(B123="Petsmart",C123*0.02,C123*0.05))</f>
        <v>187.7103</v>
      </c>
      <c r="M123" s="85"/>
      <c r="N123" s="85"/>
      <c r="O123" s="85">
        <f t="shared" ref="O123:O131" si="37">C123*0.04</f>
        <v>166.8536</v>
      </c>
      <c r="P123" s="85">
        <f t="shared" ref="P123:P131" si="38">C123-D123-F123-G123-K123-L123-O123-M123-N123</f>
        <v>1318.7561</v>
      </c>
      <c r="Q123" s="85">
        <f t="shared" ref="Q123:Q131" si="39">C123-D123-F123-J123-K123-L123-O123-M123-N123</f>
        <v>1318.7561</v>
      </c>
      <c r="R123" s="85"/>
      <c r="S123" s="88">
        <f>_xlfn.XLOOKUP(A123,Sales!D:D,Sales!K:K)</f>
        <v>46301</v>
      </c>
      <c r="T123" s="88">
        <f>_xlfn.XLOOKUP(A123,Sales!D:D,Sales!L:L)</f>
        <v>0</v>
      </c>
      <c r="U123" s="107"/>
      <c r="V123" s="90"/>
      <c r="W123" s="90"/>
      <c r="X123" s="90"/>
      <c r="Y123" s="91"/>
      <c r="Z123" s="92"/>
      <c r="AA123" s="91"/>
      <c r="AB123" s="93"/>
      <c r="AC123" s="93"/>
      <c r="AD123" s="101"/>
      <c r="AE123" s="94"/>
      <c r="AF123" s="94"/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</row>
    <row r="124" customFormat="1" customHeight="1" spans="1:43">
      <c r="A124" s="102">
        <v>32044352</v>
      </c>
      <c r="B124" s="84" t="str">
        <f>_xlfn.XLOOKUP(A124,Sales!D:D,Sales!I:I)</f>
        <v>Petco</v>
      </c>
      <c r="C124" s="85">
        <f>SUMIFS(Sales!H:H,Sales!D:D,A124)</f>
        <v>3096.86</v>
      </c>
      <c r="D124" s="85">
        <f>SUMIFS(Sales!N:N,Sales!D:D,A124)</f>
        <v>1819.96</v>
      </c>
      <c r="E124" s="96">
        <f>SUMIF(Sales!D:D,A124,Sales!O:O)</f>
        <v>26</v>
      </c>
      <c r="F124" s="85">
        <f t="shared" si="34"/>
        <v>78</v>
      </c>
      <c r="G124" s="85"/>
      <c r="H124" s="87">
        <f>SUMIFS(Sales!R:R,Sales!D:D,A124)</f>
        <v>3.4</v>
      </c>
      <c r="I124" s="85"/>
      <c r="J124" s="85">
        <f t="shared" si="35"/>
        <v>0</v>
      </c>
      <c r="K124" s="87"/>
      <c r="L124" s="85">
        <f t="shared" si="36"/>
        <v>139.3587</v>
      </c>
      <c r="M124" s="85"/>
      <c r="N124" s="85"/>
      <c r="O124" s="85">
        <f t="shared" si="37"/>
        <v>123.8744</v>
      </c>
      <c r="P124" s="85">
        <f t="shared" si="38"/>
        <v>935.6669</v>
      </c>
      <c r="Q124" s="85">
        <f t="shared" si="39"/>
        <v>935.6669</v>
      </c>
      <c r="R124" s="85"/>
      <c r="S124" s="88">
        <f>_xlfn.XLOOKUP(A124,Sales!D:D,Sales!K:K)</f>
        <v>46307</v>
      </c>
      <c r="T124" s="88">
        <f>_xlfn.XLOOKUP(A124,Sales!D:D,Sales!L:L)</f>
        <v>0</v>
      </c>
      <c r="U124" s="107"/>
      <c r="V124" s="90"/>
      <c r="W124" s="90"/>
      <c r="X124" s="90"/>
      <c r="Y124" s="91"/>
      <c r="Z124" s="92"/>
      <c r="AA124" s="91"/>
      <c r="AB124" s="93"/>
      <c r="AC124" s="93"/>
      <c r="AD124" s="101"/>
      <c r="AE124" s="94"/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</row>
    <row r="125" customFormat="1" customHeight="1" spans="1:43">
      <c r="A125" s="102">
        <v>32044353</v>
      </c>
      <c r="B125" s="84" t="str">
        <f>_xlfn.XLOOKUP(A125,Sales!D:D,Sales!I:I)</f>
        <v>Petco</v>
      </c>
      <c r="C125" s="85">
        <f>SUMIFS(Sales!H:H,Sales!D:D,A125)</f>
        <v>3835.07</v>
      </c>
      <c r="D125" s="85">
        <f>SUMIFS(Sales!N:N,Sales!D:D,A125)</f>
        <v>2083.37</v>
      </c>
      <c r="E125" s="96">
        <f>SUMIF(Sales!D:D,A125,Sales!O:O)</f>
        <v>60</v>
      </c>
      <c r="F125" s="85">
        <f t="shared" si="34"/>
        <v>180</v>
      </c>
      <c r="G125" s="85"/>
      <c r="H125" s="87">
        <f>SUMIFS(Sales!R:R,Sales!D:D,A125)</f>
        <v>5.31</v>
      </c>
      <c r="I125" s="85"/>
      <c r="J125" s="85">
        <f t="shared" si="35"/>
        <v>0</v>
      </c>
      <c r="K125" s="87"/>
      <c r="L125" s="85">
        <f t="shared" si="36"/>
        <v>172.57815</v>
      </c>
      <c r="M125" s="85"/>
      <c r="N125" s="85"/>
      <c r="O125" s="85">
        <f t="shared" si="37"/>
        <v>153.4028</v>
      </c>
      <c r="P125" s="85">
        <f t="shared" si="38"/>
        <v>1245.71905</v>
      </c>
      <c r="Q125" s="85">
        <f t="shared" si="39"/>
        <v>1245.71905</v>
      </c>
      <c r="R125" s="85"/>
      <c r="S125" s="88">
        <f>_xlfn.XLOOKUP(A125,Sales!D:D,Sales!K:K)</f>
        <v>46309</v>
      </c>
      <c r="T125" s="88">
        <f>_xlfn.XLOOKUP(A125,Sales!D:D,Sales!L:L)</f>
        <v>0</v>
      </c>
      <c r="U125" s="107"/>
      <c r="V125" s="90"/>
      <c r="W125" s="90"/>
      <c r="X125" s="90"/>
      <c r="Y125" s="91"/>
      <c r="Z125" s="92"/>
      <c r="AA125" s="91"/>
      <c r="AB125" s="93"/>
      <c r="AC125" s="93"/>
      <c r="AD125" s="101"/>
      <c r="AE125" s="94"/>
      <c r="AF125" s="94"/>
      <c r="AG125" s="94"/>
      <c r="AH125" s="94"/>
      <c r="AI125" s="94"/>
      <c r="AJ125" s="94"/>
      <c r="AK125" s="94"/>
      <c r="AL125" s="94"/>
      <c r="AM125" s="94"/>
      <c r="AN125" s="94"/>
      <c r="AO125" s="94"/>
      <c r="AP125" s="94"/>
      <c r="AQ125" s="94"/>
    </row>
    <row r="126" customFormat="1" customHeight="1" spans="1:43">
      <c r="A126" s="102">
        <v>32044354</v>
      </c>
      <c r="B126" s="84" t="str">
        <f>_xlfn.XLOOKUP(A126,Sales!D:D,Sales!I:I)</f>
        <v>Petco</v>
      </c>
      <c r="C126" s="85">
        <f>SUMIFS(Sales!H:H,Sales!D:D,A126)</f>
        <v>4308.42</v>
      </c>
      <c r="D126" s="85">
        <f>SUMIFS(Sales!N:N,Sales!D:D,A126)</f>
        <v>2540.96</v>
      </c>
      <c r="E126" s="96">
        <f>SUMIF(Sales!D:D,A126,Sales!O:O)</f>
        <v>35</v>
      </c>
      <c r="F126" s="85">
        <f t="shared" si="34"/>
        <v>105</v>
      </c>
      <c r="G126" s="85"/>
      <c r="H126" s="87">
        <f>SUMIFS(Sales!R:R,Sales!D:D,A126)</f>
        <v>4.6</v>
      </c>
      <c r="I126" s="85"/>
      <c r="J126" s="85">
        <f t="shared" si="35"/>
        <v>0</v>
      </c>
      <c r="K126" s="87"/>
      <c r="L126" s="85">
        <f t="shared" si="36"/>
        <v>193.8789</v>
      </c>
      <c r="M126" s="85"/>
      <c r="N126" s="85"/>
      <c r="O126" s="85">
        <f t="shared" si="37"/>
        <v>172.3368</v>
      </c>
      <c r="P126" s="85">
        <f t="shared" si="38"/>
        <v>1296.2443</v>
      </c>
      <c r="Q126" s="85">
        <f t="shared" si="39"/>
        <v>1296.2443</v>
      </c>
      <c r="R126" s="85"/>
      <c r="S126" s="88">
        <f>_xlfn.XLOOKUP(A126,Sales!D:D,Sales!K:K)</f>
        <v>46309</v>
      </c>
      <c r="T126" s="88">
        <f>_xlfn.XLOOKUP(A126,Sales!D:D,Sales!L:L)</f>
        <v>0</v>
      </c>
      <c r="U126" s="107"/>
      <c r="V126" s="90"/>
      <c r="W126" s="90"/>
      <c r="X126" s="90"/>
      <c r="Y126" s="91"/>
      <c r="Z126" s="92"/>
      <c r="AA126" s="91"/>
      <c r="AB126" s="93"/>
      <c r="AC126" s="93"/>
      <c r="AD126" s="101"/>
      <c r="AE126" s="94"/>
      <c r="AF126" s="94"/>
      <c r="AG126" s="94"/>
      <c r="AH126" s="94"/>
      <c r="AI126" s="94"/>
      <c r="AJ126" s="94"/>
      <c r="AK126" s="94"/>
      <c r="AL126" s="94"/>
      <c r="AM126" s="94"/>
      <c r="AN126" s="94"/>
      <c r="AO126" s="94"/>
      <c r="AP126" s="94"/>
      <c r="AQ126" s="94"/>
    </row>
    <row r="127" customHeight="1" spans="1:43">
      <c r="A127" s="129" t="s">
        <v>442</v>
      </c>
      <c r="B127" s="84" t="str">
        <f>_xlfn.XLOOKUP(A127,Sales!D:D,Sales!I:I)</f>
        <v>Petsmart</v>
      </c>
      <c r="C127" s="85">
        <f>SUMIFS(Sales!H:H,Sales!D:D,A127)</f>
        <v>18240.6579</v>
      </c>
      <c r="D127" s="85">
        <f>SUMIFS(Sales!N:N,Sales!D:D,A127)</f>
        <v>10926.88</v>
      </c>
      <c r="E127" s="96">
        <f>SUMIF(Sales!D:D,A127,Sales!O:O)</f>
        <v>279.375</v>
      </c>
      <c r="F127" s="85">
        <f t="shared" si="34"/>
        <v>838.125</v>
      </c>
      <c r="G127" s="85"/>
      <c r="H127" s="87">
        <f>SUMIFS(Sales!R:R,Sales!D:D,A127)</f>
        <v>21.34</v>
      </c>
      <c r="I127" s="85"/>
      <c r="J127" s="85">
        <f t="shared" si="35"/>
        <v>0</v>
      </c>
      <c r="K127" s="87"/>
      <c r="L127" s="85">
        <f t="shared" si="36"/>
        <v>364.813158</v>
      </c>
      <c r="M127" s="85"/>
      <c r="N127" s="85"/>
      <c r="O127" s="85">
        <f t="shared" si="37"/>
        <v>729.626316</v>
      </c>
      <c r="P127" s="85">
        <f t="shared" si="38"/>
        <v>5381.213426</v>
      </c>
      <c r="Q127" s="85">
        <f t="shared" si="39"/>
        <v>5381.213426</v>
      </c>
      <c r="R127" s="85"/>
      <c r="S127" s="88">
        <f>_xlfn.XLOOKUP(A127,Sales!D:D,Sales!K:K)</f>
        <v>46311</v>
      </c>
      <c r="T127" s="88">
        <f>_xlfn.XLOOKUP(A127,Sales!D:D,Sales!L:L)</f>
        <v>0</v>
      </c>
      <c r="U127" s="107"/>
      <c r="V127" s="90"/>
      <c r="W127" s="90"/>
      <c r="X127" s="90"/>
      <c r="Y127" s="91"/>
      <c r="Z127" s="92"/>
      <c r="AA127" s="91"/>
      <c r="AB127" s="93"/>
      <c r="AC127" s="93"/>
      <c r="AD127" s="101"/>
      <c r="AE127" s="94"/>
      <c r="AF127" s="94"/>
      <c r="AG127" s="94"/>
      <c r="AH127" s="94"/>
      <c r="AI127" s="94"/>
      <c r="AJ127" s="94"/>
      <c r="AK127" s="94"/>
      <c r="AL127" s="94"/>
      <c r="AM127" s="94"/>
      <c r="AN127" s="94"/>
      <c r="AO127" s="94"/>
      <c r="AP127" s="94"/>
      <c r="AQ127" s="94"/>
    </row>
    <row r="128" customHeight="1" spans="1:43">
      <c r="A128" s="129">
        <v>860738340</v>
      </c>
      <c r="B128" s="84" t="str">
        <f>_xlfn.XLOOKUP(A128,Sales!D:D,Sales!I:I)</f>
        <v>Petsmart</v>
      </c>
      <c r="C128" s="85">
        <f>SUMIFS(Sales!H:H,Sales!D:D,A128)</f>
        <v>14916.8117</v>
      </c>
      <c r="D128" s="85">
        <f>SUMIFS(Sales!N:N,Sales!D:D,A128)</f>
        <v>8224.48</v>
      </c>
      <c r="E128" s="96">
        <f>SUMIF(Sales!D:D,A128,Sales!O:O)</f>
        <v>285.416666666667</v>
      </c>
      <c r="F128" s="85">
        <f t="shared" si="34"/>
        <v>856.25</v>
      </c>
      <c r="G128" s="85"/>
      <c r="H128" s="87">
        <f>SUMIFS(Sales!R:R,Sales!D:D,A128)</f>
        <v>21.63</v>
      </c>
      <c r="I128" s="85"/>
      <c r="J128" s="85">
        <f t="shared" si="35"/>
        <v>0</v>
      </c>
      <c r="K128" s="87"/>
      <c r="L128" s="85">
        <f t="shared" si="36"/>
        <v>298.336234</v>
      </c>
      <c r="M128" s="85"/>
      <c r="N128" s="85"/>
      <c r="O128" s="85">
        <f t="shared" si="37"/>
        <v>596.672468</v>
      </c>
      <c r="P128" s="85">
        <f t="shared" si="38"/>
        <v>4941.072998</v>
      </c>
      <c r="Q128" s="85">
        <f t="shared" si="39"/>
        <v>4941.072998</v>
      </c>
      <c r="R128" s="85"/>
      <c r="S128" s="88">
        <f>_xlfn.XLOOKUP(A128,Sales!D:D,Sales!K:K)</f>
        <v>46310</v>
      </c>
      <c r="T128" s="88">
        <f>_xlfn.XLOOKUP(A128,Sales!D:D,Sales!L:L)</f>
        <v>0</v>
      </c>
      <c r="U128" s="107"/>
      <c r="V128" s="90"/>
      <c r="W128" s="90"/>
      <c r="X128" s="90"/>
      <c r="Y128" s="91"/>
      <c r="Z128" s="92"/>
      <c r="AA128" s="91"/>
      <c r="AB128" s="93"/>
      <c r="AC128" s="93"/>
      <c r="AD128" s="101"/>
      <c r="AE128" s="94"/>
      <c r="AF128" s="94"/>
      <c r="AG128" s="94"/>
      <c r="AH128" s="94"/>
      <c r="AI128" s="94"/>
      <c r="AJ128" s="94"/>
      <c r="AK128" s="94"/>
      <c r="AL128" s="94"/>
      <c r="AM128" s="94"/>
      <c r="AN128" s="94"/>
      <c r="AO128" s="94"/>
      <c r="AP128" s="94"/>
      <c r="AQ128" s="94"/>
    </row>
    <row r="129" customHeight="1" spans="1:43">
      <c r="A129" s="129">
        <v>860738356</v>
      </c>
      <c r="B129" s="84" t="str">
        <f>_xlfn.XLOOKUP(A129,Sales!D:D,Sales!I:I)</f>
        <v>Petsmart</v>
      </c>
      <c r="C129" s="85">
        <f>SUMIFS(Sales!H:H,Sales!D:D,A129)</f>
        <v>15440.1154</v>
      </c>
      <c r="D129" s="85">
        <f>SUMIFS(Sales!N:N,Sales!D:D,A129)</f>
        <v>8683.32</v>
      </c>
      <c r="E129" s="96">
        <f>SUMIF(Sales!D:D,A129,Sales!O:O)</f>
        <v>288</v>
      </c>
      <c r="F129" s="85">
        <f t="shared" si="34"/>
        <v>864</v>
      </c>
      <c r="G129" s="85"/>
      <c r="H129" s="87">
        <f>SUMIFS(Sales!R:R,Sales!D:D,A129)</f>
        <v>21.39</v>
      </c>
      <c r="I129" s="85"/>
      <c r="J129" s="85">
        <f t="shared" si="35"/>
        <v>0</v>
      </c>
      <c r="K129" s="87"/>
      <c r="L129" s="85">
        <f t="shared" si="36"/>
        <v>308.802308</v>
      </c>
      <c r="M129" s="85"/>
      <c r="N129" s="85"/>
      <c r="O129" s="85">
        <f t="shared" si="37"/>
        <v>617.604616</v>
      </c>
      <c r="P129" s="85">
        <f t="shared" si="38"/>
        <v>4966.388476</v>
      </c>
      <c r="Q129" s="85">
        <f t="shared" si="39"/>
        <v>4966.388476</v>
      </c>
      <c r="R129" s="85"/>
      <c r="S129" s="88">
        <f>_xlfn.XLOOKUP(A129,Sales!D:D,Sales!K:K)</f>
        <v>46310</v>
      </c>
      <c r="T129" s="88">
        <f>_xlfn.XLOOKUP(A129,Sales!D:D,Sales!L:L)</f>
        <v>0</v>
      </c>
      <c r="U129" s="107"/>
      <c r="V129" s="90"/>
      <c r="W129" s="90"/>
      <c r="X129" s="90"/>
      <c r="Y129" s="91"/>
      <c r="Z129" s="92"/>
      <c r="AA129" s="91"/>
      <c r="AB129" s="93"/>
      <c r="AC129" s="93"/>
      <c r="AD129" s="101"/>
      <c r="AE129" s="94"/>
      <c r="AF129" s="94"/>
      <c r="AG129" s="94"/>
      <c r="AH129" s="94"/>
      <c r="AI129" s="94"/>
      <c r="AJ129" s="94"/>
      <c r="AK129" s="94"/>
      <c r="AL129" s="94"/>
      <c r="AM129" s="94"/>
      <c r="AN129" s="94"/>
      <c r="AO129" s="94"/>
      <c r="AP129" s="94"/>
      <c r="AQ129" s="94"/>
    </row>
    <row r="130" customHeight="1" spans="1:43">
      <c r="A130" s="129">
        <v>860738360</v>
      </c>
      <c r="B130" s="84" t="str">
        <f>_xlfn.XLOOKUP(A130,Sales!D:D,Sales!I:I)</f>
        <v>Petsmart</v>
      </c>
      <c r="C130" s="85">
        <f>SUMIFS(Sales!H:H,Sales!D:D,A130)</f>
        <v>14626.0534</v>
      </c>
      <c r="D130" s="85">
        <f>SUMIFS(Sales!N:N,Sales!D:D,A130)</f>
        <v>8054.57</v>
      </c>
      <c r="E130" s="96">
        <f>SUMIF(Sales!D:D,A130,Sales!O:O)</f>
        <v>287</v>
      </c>
      <c r="F130" s="85">
        <f t="shared" si="34"/>
        <v>861</v>
      </c>
      <c r="G130" s="85"/>
      <c r="H130" s="87">
        <f>SUMIFS(Sales!R:R,Sales!D:D,A130)</f>
        <v>21.4</v>
      </c>
      <c r="I130" s="85"/>
      <c r="J130" s="85">
        <f t="shared" si="35"/>
        <v>0</v>
      </c>
      <c r="K130" s="87"/>
      <c r="L130" s="85">
        <f t="shared" si="36"/>
        <v>292.521068</v>
      </c>
      <c r="M130" s="85"/>
      <c r="N130" s="85"/>
      <c r="O130" s="85">
        <f t="shared" si="37"/>
        <v>585.042136</v>
      </c>
      <c r="P130" s="85">
        <f t="shared" si="38"/>
        <v>4832.920196</v>
      </c>
      <c r="Q130" s="85">
        <f t="shared" si="39"/>
        <v>4832.920196</v>
      </c>
      <c r="R130" s="85"/>
      <c r="S130" s="88">
        <f>_xlfn.XLOOKUP(A130,Sales!D:D,Sales!K:K)</f>
        <v>46306</v>
      </c>
      <c r="T130" s="88">
        <f>_xlfn.XLOOKUP(A130,Sales!D:D,Sales!L:L)</f>
        <v>0</v>
      </c>
      <c r="U130" s="107"/>
    </row>
    <row r="131" customHeight="1" spans="1:43">
      <c r="A131" s="129">
        <v>860738362</v>
      </c>
      <c r="B131" s="84" t="str">
        <f>_xlfn.XLOOKUP(A131,Sales!D:D,Sales!I:I)</f>
        <v>Petsmart</v>
      </c>
      <c r="C131" s="85">
        <f>SUMIFS(Sales!H:H,Sales!D:D,A131)</f>
        <v>17236.3124</v>
      </c>
      <c r="D131" s="85">
        <f>SUMIFS(Sales!N:N,Sales!D:D,A131)</f>
        <v>10112.8</v>
      </c>
      <c r="E131" s="96">
        <f>SUMIF(Sales!D:D,A131,Sales!O:O)</f>
        <v>285</v>
      </c>
      <c r="F131" s="85">
        <f t="shared" si="34"/>
        <v>855</v>
      </c>
      <c r="G131" s="85"/>
      <c r="H131" s="87">
        <f>SUMIFS(Sales!R:R,Sales!D:D,A131)</f>
        <v>21.49</v>
      </c>
      <c r="I131" s="85"/>
      <c r="J131" s="85">
        <f t="shared" si="35"/>
        <v>0</v>
      </c>
      <c r="K131" s="87"/>
      <c r="L131" s="85">
        <f t="shared" si="36"/>
        <v>344.726248</v>
      </c>
      <c r="M131" s="85"/>
      <c r="N131" s="85"/>
      <c r="O131" s="85">
        <f t="shared" si="37"/>
        <v>689.452496</v>
      </c>
      <c r="P131" s="85">
        <f t="shared" si="38"/>
        <v>5234.333656</v>
      </c>
      <c r="Q131" s="85">
        <f t="shared" si="39"/>
        <v>5234.333656</v>
      </c>
      <c r="R131" s="85"/>
      <c r="S131" s="88">
        <f>_xlfn.XLOOKUP(A131,Sales!D:D,Sales!K:K)</f>
        <v>46309</v>
      </c>
      <c r="T131" s="88">
        <f>_xlfn.XLOOKUP(A131,Sales!D:D,Sales!L:L)</f>
        <v>0</v>
      </c>
      <c r="U131" s="107"/>
    </row>
    <row r="132" customHeight="1" spans="1:43">
      <c r="A132"/>
      <c r="M132" s="130"/>
      <c r="S132" s="131"/>
      <c r="T132" s="131"/>
    </row>
    <row r="133" customHeight="1" spans="1:43">
      <c r="A133"/>
      <c r="M133" s="130"/>
      <c r="S133" s="131"/>
      <c r="T133" s="131"/>
    </row>
    <row r="134" customHeight="1" spans="1:43">
      <c r="A134"/>
      <c r="M134" s="130"/>
      <c r="S134" s="131"/>
      <c r="T134" s="131"/>
    </row>
    <row r="135" customHeight="1" spans="1:43">
      <c r="A135"/>
      <c r="M135" s="130"/>
      <c r="S135" s="131"/>
      <c r="T135" s="131"/>
    </row>
    <row r="136" customHeight="1" spans="1:43">
      <c r="A136"/>
      <c r="M136" s="130"/>
      <c r="S136" s="131"/>
      <c r="T136" s="131"/>
    </row>
    <row r="137" customHeight="1" spans="1:43">
      <c r="A137"/>
      <c r="M137" s="130"/>
      <c r="S137" s="131"/>
      <c r="T137" s="131"/>
    </row>
    <row r="138" customHeight="1" spans="1:43">
      <c r="A138"/>
      <c r="M138" s="130"/>
      <c r="S138" s="131"/>
      <c r="T138" s="131"/>
    </row>
    <row r="139" customHeight="1" spans="1:43">
      <c r="A139"/>
      <c r="M139" s="130"/>
      <c r="S139" s="131"/>
      <c r="T139" s="131"/>
    </row>
    <row r="140" customHeight="1" spans="1:43">
      <c r="A140"/>
      <c r="M140" s="130"/>
      <c r="S140" s="131"/>
      <c r="T140" s="131"/>
    </row>
    <row r="141" customHeight="1" spans="1:43">
      <c r="A141"/>
      <c r="M141" s="130"/>
      <c r="S141" s="131"/>
      <c r="T141" s="131"/>
    </row>
    <row r="142" customHeight="1" spans="1:43">
      <c r="A142"/>
      <c r="M142" s="130"/>
      <c r="S142" s="131"/>
      <c r="T142" s="131"/>
    </row>
    <row r="143" customHeight="1" spans="1:43">
      <c r="A143"/>
      <c r="M143" s="130"/>
      <c r="S143" s="131"/>
      <c r="T143" s="131"/>
    </row>
    <row r="144" customHeight="1" spans="1:43">
      <c r="A144"/>
      <c r="M144" s="130"/>
      <c r="S144" s="131"/>
      <c r="T144" s="131"/>
    </row>
    <row r="145" customHeight="1" spans="1:20">
      <c r="A145"/>
      <c r="M145" s="130"/>
      <c r="S145" s="131"/>
      <c r="T145" s="131"/>
    </row>
    <row r="146" customHeight="1" spans="1:20">
      <c r="A146"/>
      <c r="M146" s="130"/>
      <c r="S146" s="131"/>
      <c r="T146" s="131"/>
    </row>
    <row r="147" customHeight="1" spans="1:20">
      <c r="A147"/>
      <c r="M147" s="130"/>
      <c r="S147" s="131"/>
      <c r="T147" s="131"/>
    </row>
    <row r="148" customHeight="1" spans="1:20">
      <c r="A148"/>
      <c r="M148" s="130"/>
      <c r="S148" s="131"/>
      <c r="T148" s="131"/>
    </row>
    <row r="149" customHeight="1" spans="1:20">
      <c r="A149"/>
      <c r="M149" s="130"/>
      <c r="S149" s="131"/>
      <c r="T149" s="131"/>
    </row>
    <row r="150" customHeight="1" spans="1:20">
      <c r="A150"/>
      <c r="M150" s="130"/>
      <c r="S150" s="131"/>
      <c r="T150" s="131"/>
    </row>
    <row r="151" customHeight="1" spans="1:20">
      <c r="A151"/>
      <c r="M151" s="130"/>
      <c r="S151" s="131"/>
      <c r="T151" s="131"/>
    </row>
    <row r="152" customHeight="1" spans="1:20">
      <c r="A152"/>
      <c r="M152" s="130"/>
      <c r="S152" s="131"/>
      <c r="T152" s="131"/>
    </row>
    <row r="153" customHeight="1" spans="1:20">
      <c r="A153"/>
      <c r="M153" s="130"/>
      <c r="S153" s="131"/>
      <c r="T153" s="131"/>
    </row>
    <row r="154" customHeight="1" spans="1:20">
      <c r="A154"/>
      <c r="M154" s="130"/>
      <c r="S154" s="131"/>
      <c r="T154" s="131"/>
    </row>
    <row r="155" customHeight="1" spans="1:20">
      <c r="A155"/>
      <c r="M155" s="130"/>
      <c r="S155" s="131"/>
      <c r="T155" s="131"/>
    </row>
    <row r="156" customHeight="1" spans="1:20">
      <c r="A156"/>
      <c r="M156" s="130"/>
      <c r="S156" s="131"/>
      <c r="T156" s="131"/>
    </row>
    <row r="157" customHeight="1" spans="1:20">
      <c r="A157"/>
      <c r="M157" s="130"/>
      <c r="S157" s="131"/>
      <c r="T157" s="131"/>
    </row>
    <row r="158" customHeight="1" spans="1:20">
      <c r="A158"/>
      <c r="M158" s="130"/>
      <c r="S158" s="131"/>
      <c r="T158" s="131"/>
    </row>
    <row r="159" customHeight="1" spans="1:20">
      <c r="A159"/>
      <c r="M159" s="130"/>
      <c r="S159" s="131"/>
      <c r="T159" s="131"/>
    </row>
    <row r="160" customHeight="1" spans="1:20">
      <c r="A160"/>
      <c r="M160" s="130"/>
      <c r="S160" s="131"/>
      <c r="T160" s="131"/>
    </row>
    <row r="161" customHeight="1" spans="1:20">
      <c r="A161"/>
      <c r="M161" s="130"/>
      <c r="S161" s="131"/>
      <c r="T161" s="131"/>
    </row>
    <row r="162" customHeight="1" spans="1:20">
      <c r="A162"/>
      <c r="M162" s="130"/>
      <c r="S162" s="131"/>
      <c r="T162" s="131"/>
    </row>
    <row r="163" customHeight="1" spans="1:20">
      <c r="A163"/>
      <c r="M163" s="130"/>
      <c r="S163" s="131"/>
      <c r="T163" s="131"/>
    </row>
    <row r="164" customHeight="1" spans="1:20">
      <c r="A164"/>
      <c r="M164" s="130"/>
      <c r="S164" s="131"/>
      <c r="T164" s="131"/>
    </row>
    <row r="165" customHeight="1" spans="1:20">
      <c r="A165"/>
      <c r="M165" s="130"/>
      <c r="S165" s="131"/>
      <c r="T165" s="131"/>
    </row>
    <row r="166" customHeight="1" spans="1:20">
      <c r="A166"/>
      <c r="M166" s="130"/>
      <c r="S166" s="131"/>
      <c r="T166" s="131"/>
    </row>
    <row r="167" customHeight="1" spans="1:20">
      <c r="A167"/>
      <c r="M167" s="130"/>
      <c r="S167" s="131"/>
      <c r="T167" s="131"/>
    </row>
    <row r="168" customHeight="1" spans="1:20">
      <c r="A168"/>
      <c r="M168" s="130"/>
      <c r="S168" s="131"/>
      <c r="T168" s="131"/>
    </row>
    <row r="169" customHeight="1" spans="1:20">
      <c r="A169"/>
      <c r="M169" s="130"/>
      <c r="S169" s="131"/>
      <c r="T169" s="131"/>
    </row>
    <row r="170" customHeight="1" spans="1:20">
      <c r="A170"/>
      <c r="M170" s="130"/>
      <c r="S170" s="131"/>
      <c r="T170" s="131"/>
    </row>
    <row r="171" customHeight="1" spans="1:20">
      <c r="A171"/>
      <c r="M171" s="130"/>
      <c r="S171" s="131"/>
      <c r="T171" s="131"/>
    </row>
    <row r="172" customHeight="1" spans="1:20">
      <c r="A172"/>
      <c r="M172" s="130"/>
      <c r="S172" s="131"/>
      <c r="T172" s="131"/>
    </row>
    <row r="173" customHeight="1" spans="1:20">
      <c r="A173"/>
      <c r="M173" s="130"/>
      <c r="S173" s="131"/>
      <c r="T173" s="131"/>
    </row>
    <row r="174" customHeight="1" spans="1:20">
      <c r="A174"/>
      <c r="M174" s="130"/>
      <c r="S174" s="131"/>
      <c r="T174" s="131"/>
    </row>
    <row r="175" customHeight="1" spans="1:20">
      <c r="A175"/>
      <c r="M175" s="130"/>
      <c r="S175" s="131"/>
      <c r="T175" s="131"/>
    </row>
    <row r="176" customHeight="1" spans="1:20">
      <c r="A176"/>
      <c r="M176" s="130"/>
      <c r="S176" s="131"/>
      <c r="T176" s="131"/>
    </row>
    <row r="177" customHeight="1" spans="1:20">
      <c r="A177"/>
      <c r="M177" s="130"/>
      <c r="S177" s="131"/>
      <c r="T177" s="131"/>
    </row>
    <row r="178" customHeight="1" spans="1:20">
      <c r="A178"/>
      <c r="M178" s="130"/>
      <c r="S178" s="131"/>
      <c r="T178" s="131"/>
    </row>
    <row r="179" customHeight="1" spans="1:20">
      <c r="A179"/>
      <c r="M179" s="130"/>
      <c r="S179" s="131"/>
      <c r="T179" s="131"/>
    </row>
    <row r="180" customHeight="1" spans="1:20">
      <c r="A180"/>
      <c r="M180" s="130"/>
      <c r="S180" s="131"/>
      <c r="T180" s="131"/>
    </row>
    <row r="181" customHeight="1" spans="1:20">
      <c r="A181"/>
      <c r="M181" s="130"/>
      <c r="S181" s="131"/>
      <c r="T181" s="131"/>
    </row>
    <row r="182" customHeight="1" spans="1:20">
      <c r="A182"/>
      <c r="M182" s="130"/>
      <c r="S182" s="131"/>
      <c r="T182" s="131"/>
    </row>
    <row r="183" customHeight="1" spans="1:20">
      <c r="A183"/>
      <c r="M183" s="130"/>
      <c r="S183" s="131"/>
      <c r="T183" s="131"/>
    </row>
    <row r="184" customHeight="1" spans="1:20">
      <c r="A184"/>
      <c r="M184" s="130"/>
      <c r="S184" s="131"/>
      <c r="T184" s="131"/>
    </row>
    <row r="185" customHeight="1" spans="1:20">
      <c r="A185"/>
      <c r="M185" s="130"/>
      <c r="S185" s="131"/>
      <c r="T185" s="131"/>
    </row>
    <row r="186" customHeight="1" spans="1:20">
      <c r="A186"/>
      <c r="M186" s="130"/>
      <c r="S186" s="131"/>
      <c r="T186" s="131"/>
    </row>
    <row r="187" customHeight="1" spans="1:20">
      <c r="A187"/>
      <c r="M187" s="130"/>
      <c r="S187" s="131"/>
      <c r="T187" s="131"/>
    </row>
    <row r="188" customHeight="1" spans="1:20">
      <c r="A188"/>
      <c r="M188" s="130"/>
      <c r="S188" s="131"/>
      <c r="T188" s="131"/>
    </row>
    <row r="189" customHeight="1" spans="1:20">
      <c r="A189"/>
      <c r="M189" s="130"/>
      <c r="S189" s="131"/>
      <c r="T189" s="131"/>
    </row>
    <row r="190" customHeight="1" spans="1:20">
      <c r="A190"/>
      <c r="M190" s="130"/>
      <c r="S190" s="131"/>
      <c r="T190" s="131"/>
    </row>
    <row r="191" customHeight="1" spans="1:20">
      <c r="A191"/>
      <c r="M191" s="130"/>
      <c r="S191" s="131"/>
      <c r="T191" s="131"/>
    </row>
    <row r="192" customHeight="1" spans="1:20">
      <c r="A192"/>
      <c r="M192" s="130"/>
      <c r="S192" s="131"/>
      <c r="T192" s="131"/>
    </row>
    <row r="193" customHeight="1" spans="1:20">
      <c r="A193"/>
      <c r="M193" s="130"/>
      <c r="S193" s="131"/>
      <c r="T193" s="131"/>
    </row>
    <row r="194" customHeight="1" spans="1:20">
      <c r="A194"/>
      <c r="M194" s="130"/>
      <c r="S194" s="131"/>
      <c r="T194" s="131"/>
    </row>
    <row r="195" customHeight="1" spans="1:20">
      <c r="A195"/>
      <c r="M195" s="130"/>
      <c r="S195" s="131"/>
      <c r="T195" s="131"/>
    </row>
    <row r="196" customHeight="1" spans="1:20">
      <c r="A196"/>
      <c r="M196" s="130"/>
      <c r="S196" s="131"/>
      <c r="T196" s="131"/>
    </row>
    <row r="197" customHeight="1" spans="1:20">
      <c r="A197"/>
      <c r="M197" s="130"/>
      <c r="S197" s="131"/>
      <c r="T197" s="131"/>
    </row>
    <row r="198" customHeight="1" spans="1:20">
      <c r="A198"/>
      <c r="M198" s="130"/>
      <c r="S198" s="131"/>
      <c r="T198" s="131"/>
    </row>
    <row r="199" customHeight="1" spans="1:20">
      <c r="A199"/>
      <c r="M199" s="130"/>
      <c r="S199" s="131"/>
      <c r="T199" s="131"/>
    </row>
    <row r="200" customHeight="1" spans="1:20">
      <c r="A200"/>
      <c r="M200" s="130"/>
      <c r="S200" s="131"/>
      <c r="T200" s="131"/>
    </row>
    <row r="201" customHeight="1" spans="1:20">
      <c r="A201"/>
      <c r="M201" s="130"/>
      <c r="S201" s="131"/>
      <c r="T201" s="131"/>
    </row>
    <row r="202" customHeight="1" spans="1:20">
      <c r="A202"/>
      <c r="M202" s="130"/>
      <c r="S202" s="131"/>
      <c r="T202" s="131"/>
    </row>
    <row r="203" customHeight="1" spans="1:20">
      <c r="A203"/>
      <c r="M203" s="130"/>
      <c r="S203" s="131"/>
      <c r="T203" s="131"/>
    </row>
    <row r="204" customHeight="1" spans="1:20">
      <c r="A204"/>
      <c r="M204" s="130"/>
      <c r="S204" s="131"/>
      <c r="T204" s="131"/>
    </row>
    <row r="205" customHeight="1" spans="1:20">
      <c r="A205"/>
      <c r="M205" s="130"/>
      <c r="S205" s="131"/>
      <c r="T205" s="131"/>
    </row>
    <row r="206" customHeight="1" spans="1:20">
      <c r="A206"/>
      <c r="M206" s="130"/>
      <c r="S206" s="131"/>
      <c r="T206" s="131"/>
    </row>
    <row r="207" customHeight="1" spans="1:20">
      <c r="A207"/>
      <c r="M207" s="130"/>
      <c r="S207" s="131"/>
      <c r="T207" s="131"/>
    </row>
    <row r="208" customHeight="1" spans="1:20">
      <c r="A208"/>
      <c r="M208" s="130"/>
      <c r="S208" s="131"/>
      <c r="T208" s="131"/>
    </row>
    <row r="209" customHeight="1" spans="1:20">
      <c r="A209"/>
      <c r="M209" s="130"/>
      <c r="S209" s="131"/>
      <c r="T209" s="131"/>
    </row>
    <row r="210" customHeight="1" spans="1:20">
      <c r="A210"/>
      <c r="M210" s="130"/>
      <c r="S210" s="131"/>
      <c r="T210" s="131"/>
    </row>
    <row r="211" customHeight="1" spans="1:20">
      <c r="A211"/>
      <c r="M211" s="130"/>
      <c r="S211" s="131"/>
      <c r="T211" s="131"/>
    </row>
    <row r="212" customHeight="1" spans="1:20">
      <c r="A212"/>
      <c r="M212" s="130"/>
      <c r="S212" s="131"/>
      <c r="T212" s="131"/>
    </row>
    <row r="213" customHeight="1" spans="1:20">
      <c r="A213"/>
      <c r="M213" s="130"/>
      <c r="S213" s="131"/>
      <c r="T213" s="131"/>
    </row>
    <row r="214" customHeight="1" spans="1:20">
      <c r="A214"/>
      <c r="M214" s="130"/>
      <c r="S214" s="131"/>
      <c r="T214" s="131"/>
    </row>
    <row r="215" customHeight="1" spans="1:20">
      <c r="A215"/>
      <c r="M215" s="130"/>
      <c r="S215" s="131"/>
      <c r="T215" s="131"/>
    </row>
    <row r="216" customHeight="1" spans="1:20">
      <c r="A216"/>
      <c r="M216" s="130"/>
      <c r="S216" s="131"/>
      <c r="T216" s="131"/>
    </row>
    <row r="217" customHeight="1" spans="1:20">
      <c r="A217"/>
      <c r="M217" s="130"/>
      <c r="S217" s="131"/>
      <c r="T217" s="131"/>
    </row>
    <row r="218" customHeight="1" spans="1:20">
      <c r="A218"/>
      <c r="M218" s="130"/>
      <c r="S218" s="131"/>
      <c r="T218" s="131"/>
    </row>
    <row r="219" customHeight="1" spans="1:20">
      <c r="A219"/>
      <c r="M219" s="130"/>
      <c r="S219" s="131"/>
      <c r="T219" s="131"/>
    </row>
    <row r="220" customHeight="1" spans="1:20">
      <c r="A220"/>
      <c r="M220" s="130"/>
      <c r="S220" s="131"/>
      <c r="T220" s="131"/>
    </row>
    <row r="221" customHeight="1" spans="1:20">
      <c r="A221"/>
      <c r="M221" s="130"/>
      <c r="S221" s="131"/>
      <c r="T221" s="131"/>
    </row>
    <row r="222" customHeight="1" spans="1:20">
      <c r="A222"/>
      <c r="M222" s="130"/>
      <c r="S222" s="131"/>
      <c r="T222" s="131"/>
    </row>
    <row r="223" customHeight="1" spans="1:20">
      <c r="A223"/>
      <c r="M223" s="130"/>
      <c r="S223" s="131"/>
      <c r="T223" s="131"/>
    </row>
    <row r="224" customHeight="1" spans="1:20">
      <c r="A224"/>
      <c r="M224" s="130"/>
      <c r="S224" s="131"/>
      <c r="T224" s="131"/>
    </row>
    <row r="225" customHeight="1" spans="1:20">
      <c r="A225"/>
      <c r="M225" s="130"/>
      <c r="S225" s="131"/>
      <c r="T225" s="131"/>
    </row>
    <row r="226" customHeight="1" spans="1:20">
      <c r="A226"/>
      <c r="M226" s="130"/>
      <c r="S226" s="131"/>
      <c r="T226" s="131"/>
    </row>
    <row r="227" customHeight="1" spans="1:20">
      <c r="A227"/>
      <c r="M227" s="130"/>
      <c r="S227" s="131"/>
      <c r="T227" s="131"/>
    </row>
    <row r="228" customHeight="1" spans="1:20">
      <c r="A228"/>
      <c r="M228" s="130"/>
      <c r="S228" s="131"/>
      <c r="T228" s="131"/>
    </row>
    <row r="229" customHeight="1" spans="1:20">
      <c r="A229"/>
      <c r="M229" s="130"/>
      <c r="S229" s="131"/>
      <c r="T229" s="131"/>
    </row>
    <row r="230" customHeight="1" spans="1:20">
      <c r="A230"/>
      <c r="M230" s="130"/>
      <c r="S230" s="131"/>
      <c r="T230" s="131"/>
    </row>
    <row r="231" customHeight="1" spans="1:20">
      <c r="A231"/>
      <c r="M231" s="130"/>
      <c r="S231" s="131"/>
      <c r="T231" s="131"/>
    </row>
    <row r="232" customHeight="1" spans="1:20">
      <c r="A232"/>
      <c r="M232" s="130"/>
      <c r="S232" s="131"/>
      <c r="T232" s="131"/>
    </row>
    <row r="233" customHeight="1" spans="1:20">
      <c r="A233"/>
      <c r="M233" s="130"/>
      <c r="S233" s="131"/>
      <c r="T233" s="131"/>
    </row>
    <row r="234" customHeight="1" spans="1:20">
      <c r="A234"/>
      <c r="M234" s="130"/>
      <c r="S234" s="131"/>
      <c r="T234" s="131"/>
    </row>
    <row r="235" customHeight="1" spans="1:20">
      <c r="A235"/>
      <c r="M235" s="130"/>
      <c r="S235" s="131"/>
      <c r="T235" s="131"/>
    </row>
    <row r="236" customHeight="1" spans="1:20">
      <c r="A236"/>
      <c r="M236" s="130"/>
      <c r="S236" s="131"/>
      <c r="T236" s="131"/>
    </row>
    <row r="237" customHeight="1" spans="1:20">
      <c r="A237"/>
      <c r="M237" s="130"/>
      <c r="S237" s="131"/>
      <c r="T237" s="131"/>
    </row>
    <row r="238" customHeight="1" spans="1:20">
      <c r="A238"/>
      <c r="M238" s="130"/>
      <c r="S238" s="131"/>
      <c r="T238" s="131"/>
    </row>
    <row r="239" customHeight="1" spans="1:20">
      <c r="A239"/>
      <c r="M239" s="130"/>
      <c r="S239" s="131"/>
      <c r="T239" s="131"/>
    </row>
    <row r="240" customHeight="1" spans="1:20">
      <c r="A240"/>
      <c r="M240" s="130"/>
      <c r="S240" s="131"/>
      <c r="T240" s="131"/>
    </row>
    <row r="241" customHeight="1" spans="1:20">
      <c r="A241"/>
      <c r="M241" s="130"/>
      <c r="S241" s="131"/>
      <c r="T241" s="131"/>
    </row>
    <row r="242" customHeight="1" spans="1:20">
      <c r="A242"/>
      <c r="M242" s="130"/>
      <c r="S242" s="131"/>
      <c r="T242" s="131"/>
    </row>
    <row r="243" customHeight="1" spans="1:20">
      <c r="A243"/>
      <c r="M243" s="130"/>
      <c r="S243" s="131"/>
      <c r="T243" s="131"/>
    </row>
    <row r="244" customHeight="1" spans="1:20">
      <c r="A244"/>
      <c r="M244" s="130"/>
      <c r="S244" s="131"/>
      <c r="T244" s="131"/>
    </row>
    <row r="245" customHeight="1" spans="1:20">
      <c r="A245"/>
      <c r="M245" s="130"/>
      <c r="S245" s="131"/>
      <c r="T245" s="131"/>
    </row>
    <row r="246" customHeight="1" spans="1:20">
      <c r="A246"/>
      <c r="M246" s="130"/>
      <c r="S246" s="131"/>
      <c r="T246" s="131"/>
    </row>
    <row r="247" customHeight="1" spans="1:20">
      <c r="A247"/>
      <c r="M247" s="130"/>
      <c r="S247" s="131"/>
      <c r="T247" s="131"/>
    </row>
    <row r="248" customHeight="1" spans="1:20">
      <c r="A248"/>
      <c r="M248" s="130"/>
      <c r="S248" s="131"/>
      <c r="T248" s="131"/>
    </row>
    <row r="249" customHeight="1" spans="1:20">
      <c r="A249"/>
      <c r="M249" s="130"/>
      <c r="S249" s="131"/>
      <c r="T249" s="131"/>
    </row>
    <row r="250" customHeight="1" spans="1:20">
      <c r="A250"/>
      <c r="M250" s="130"/>
      <c r="S250" s="131"/>
      <c r="T250" s="131"/>
    </row>
    <row r="251" customHeight="1" spans="1:20">
      <c r="A251"/>
      <c r="M251" s="130"/>
      <c r="S251" s="131"/>
      <c r="T251" s="131"/>
    </row>
    <row r="252" customHeight="1" spans="1:20">
      <c r="A252"/>
      <c r="M252" s="130"/>
      <c r="S252" s="131"/>
      <c r="T252" s="131"/>
    </row>
    <row r="253" customHeight="1" spans="1:20">
      <c r="A253"/>
      <c r="M253" s="130"/>
      <c r="S253" s="131"/>
      <c r="T253" s="131"/>
    </row>
    <row r="254" customHeight="1" spans="1:20">
      <c r="A254"/>
      <c r="M254" s="130"/>
      <c r="S254" s="131"/>
      <c r="T254" s="131"/>
    </row>
    <row r="255" customHeight="1" spans="1:20">
      <c r="A255"/>
      <c r="M255" s="130"/>
      <c r="S255" s="131"/>
      <c r="T255" s="131"/>
    </row>
    <row r="256" customHeight="1" spans="1:20">
      <c r="A256"/>
      <c r="M256" s="130"/>
      <c r="S256" s="131"/>
      <c r="T256" s="131"/>
    </row>
    <row r="257" customHeight="1" spans="1:20">
      <c r="A257"/>
      <c r="M257" s="130"/>
      <c r="S257" s="131"/>
      <c r="T257" s="131"/>
    </row>
    <row r="258" customHeight="1" spans="1:20">
      <c r="A258"/>
      <c r="M258" s="130"/>
      <c r="S258" s="131"/>
      <c r="T258" s="131"/>
    </row>
    <row r="259" customHeight="1" spans="1:20">
      <c r="A259"/>
      <c r="M259" s="130"/>
      <c r="S259" s="131"/>
      <c r="T259" s="131"/>
    </row>
    <row r="260" customHeight="1" spans="1:20">
      <c r="A260"/>
      <c r="M260" s="130"/>
      <c r="S260" s="131"/>
      <c r="T260" s="131"/>
    </row>
    <row r="261" customHeight="1" spans="1:20">
      <c r="A261"/>
      <c r="M261" s="130"/>
      <c r="S261" s="131"/>
      <c r="T261" s="131"/>
    </row>
    <row r="262" customHeight="1" spans="1:20">
      <c r="A262"/>
      <c r="M262" s="130"/>
      <c r="S262" s="131"/>
      <c r="T262" s="131"/>
    </row>
    <row r="263" customHeight="1" spans="1:20">
      <c r="A263"/>
      <c r="M263" s="130"/>
      <c r="S263" s="131"/>
      <c r="T263" s="131"/>
    </row>
    <row r="264" customHeight="1" spans="1:20">
      <c r="A264"/>
      <c r="M264" s="130"/>
      <c r="S264" s="131"/>
      <c r="T264" s="131"/>
    </row>
    <row r="265" customHeight="1" spans="1:20">
      <c r="A265"/>
      <c r="M265" s="130"/>
      <c r="S265" s="131"/>
      <c r="T265" s="131"/>
    </row>
    <row r="266" customHeight="1" spans="1:20">
      <c r="A266"/>
      <c r="M266" s="130"/>
      <c r="S266" s="131"/>
      <c r="T266" s="131"/>
    </row>
    <row r="267" customHeight="1" spans="1:20">
      <c r="A267"/>
      <c r="M267" s="130"/>
      <c r="S267" s="131"/>
      <c r="T267" s="131"/>
    </row>
    <row r="268" customHeight="1" spans="1:20">
      <c r="A268"/>
      <c r="M268" s="130"/>
      <c r="S268" s="131"/>
      <c r="T268" s="131"/>
    </row>
    <row r="269" customHeight="1" spans="1:20">
      <c r="A269"/>
      <c r="M269" s="130"/>
      <c r="S269" s="131"/>
      <c r="T269" s="131"/>
    </row>
    <row r="270" customHeight="1" spans="1:20">
      <c r="A270"/>
      <c r="M270" s="130"/>
      <c r="S270" s="131"/>
      <c r="T270" s="131"/>
    </row>
    <row r="271" customHeight="1" spans="1:20">
      <c r="A271"/>
      <c r="M271" s="130"/>
      <c r="S271" s="131"/>
      <c r="T271" s="131"/>
    </row>
    <row r="272" customHeight="1" spans="1:20">
      <c r="A272"/>
      <c r="M272" s="130"/>
      <c r="S272" s="131"/>
      <c r="T272" s="131"/>
    </row>
    <row r="273" customHeight="1" spans="1:20">
      <c r="A273"/>
      <c r="M273" s="130"/>
      <c r="S273" s="131"/>
      <c r="T273" s="131"/>
    </row>
    <row r="274" customHeight="1" spans="1:20">
      <c r="A274"/>
      <c r="M274" s="130"/>
      <c r="S274" s="131"/>
      <c r="T274" s="131"/>
    </row>
    <row r="275" customHeight="1" spans="1:20">
      <c r="A275"/>
      <c r="M275" s="130"/>
      <c r="S275" s="131"/>
      <c r="T275" s="131"/>
    </row>
    <row r="276" customHeight="1" spans="1:20">
      <c r="A276"/>
      <c r="M276" s="130"/>
      <c r="S276" s="131"/>
      <c r="T276" s="131"/>
    </row>
    <row r="277" customHeight="1" spans="1:20">
      <c r="A277"/>
      <c r="M277" s="130"/>
      <c r="S277" s="131"/>
      <c r="T277" s="131"/>
    </row>
    <row r="278" customHeight="1" spans="1:20">
      <c r="A278"/>
      <c r="M278" s="130"/>
      <c r="S278" s="131"/>
      <c r="T278" s="131"/>
    </row>
    <row r="279" customHeight="1" spans="1:20">
      <c r="A279"/>
      <c r="M279" s="130"/>
      <c r="S279" s="131"/>
      <c r="T279" s="131"/>
    </row>
    <row r="280" customHeight="1" spans="1:20">
      <c r="A280"/>
      <c r="M280" s="130"/>
      <c r="S280" s="131"/>
      <c r="T280" s="131"/>
    </row>
    <row r="281" customHeight="1" spans="1:20">
      <c r="A281"/>
      <c r="M281" s="130"/>
      <c r="S281" s="131"/>
      <c r="T281" s="131"/>
    </row>
    <row r="282" customHeight="1" spans="1:20">
      <c r="A282"/>
      <c r="M282" s="130"/>
      <c r="S282" s="131"/>
      <c r="T282" s="131"/>
    </row>
    <row r="283" customHeight="1" spans="1:20">
      <c r="A283"/>
      <c r="M283" s="130"/>
      <c r="S283" s="131"/>
      <c r="T283" s="131"/>
    </row>
    <row r="284" customHeight="1" spans="1:20">
      <c r="A284"/>
      <c r="M284" s="130"/>
      <c r="S284" s="131"/>
      <c r="T284" s="131"/>
    </row>
    <row r="285" customHeight="1" spans="1:20">
      <c r="A285"/>
      <c r="M285" s="130"/>
      <c r="S285" s="131"/>
      <c r="T285" s="131"/>
    </row>
    <row r="286" customHeight="1" spans="1:20">
      <c r="A286"/>
      <c r="M286" s="130"/>
      <c r="S286" s="131"/>
      <c r="T286" s="131"/>
    </row>
    <row r="287" customHeight="1" spans="1:20">
      <c r="A287"/>
      <c r="M287" s="130"/>
      <c r="S287" s="131"/>
      <c r="T287" s="131"/>
    </row>
    <row r="288" customHeight="1" spans="1:20">
      <c r="A288"/>
      <c r="M288" s="130"/>
      <c r="S288" s="131"/>
      <c r="T288" s="131"/>
    </row>
    <row r="289" customHeight="1" spans="1:20">
      <c r="A289"/>
      <c r="M289" s="130"/>
      <c r="S289" s="131"/>
      <c r="T289" s="131"/>
    </row>
    <row r="290" customHeight="1" spans="1:20">
      <c r="A290"/>
      <c r="M290" s="130"/>
      <c r="S290" s="131"/>
      <c r="T290" s="131"/>
    </row>
    <row r="291" customHeight="1" spans="1:20">
      <c r="A291"/>
      <c r="M291" s="130"/>
      <c r="S291" s="131"/>
      <c r="T291" s="131"/>
    </row>
    <row r="292" customHeight="1" spans="1:20">
      <c r="A292"/>
      <c r="M292" s="130"/>
      <c r="S292" s="131"/>
      <c r="T292" s="131"/>
    </row>
    <row r="293" customHeight="1" spans="1:20">
      <c r="A293"/>
      <c r="M293" s="130"/>
      <c r="S293" s="131"/>
      <c r="T293" s="131"/>
    </row>
    <row r="294" customHeight="1" spans="1:20">
      <c r="A294"/>
      <c r="M294" s="130"/>
      <c r="S294" s="131"/>
      <c r="T294" s="131"/>
    </row>
    <row r="295" customHeight="1" spans="1:20">
      <c r="A295"/>
      <c r="M295" s="130"/>
      <c r="S295" s="131"/>
      <c r="T295" s="131"/>
    </row>
    <row r="296" customHeight="1" spans="1:20">
      <c r="A296"/>
      <c r="M296" s="130"/>
      <c r="S296" s="131"/>
      <c r="T296" s="131"/>
    </row>
    <row r="297" customHeight="1" spans="1:20">
      <c r="A297"/>
      <c r="M297" s="130"/>
      <c r="S297" s="131"/>
      <c r="T297" s="131"/>
    </row>
    <row r="298" customHeight="1" spans="1:20">
      <c r="A298"/>
      <c r="M298" s="130"/>
      <c r="S298" s="131"/>
      <c r="T298" s="131"/>
    </row>
    <row r="299" customHeight="1" spans="1:20">
      <c r="A299"/>
      <c r="M299" s="130"/>
      <c r="S299" s="131"/>
      <c r="T299" s="131"/>
    </row>
    <row r="300" customHeight="1" spans="1:20">
      <c r="A300"/>
      <c r="M300" s="130"/>
      <c r="S300" s="131"/>
      <c r="T300" s="131"/>
    </row>
    <row r="301" customHeight="1" spans="1:20">
      <c r="A301"/>
      <c r="M301" s="130"/>
      <c r="S301" s="131"/>
      <c r="T301" s="131"/>
    </row>
    <row r="302" customHeight="1" spans="1:20">
      <c r="A302"/>
      <c r="M302" s="130"/>
      <c r="S302" s="131"/>
      <c r="T302" s="131"/>
    </row>
    <row r="303" customHeight="1" spans="1:20">
      <c r="A303"/>
      <c r="M303" s="130"/>
      <c r="S303" s="131"/>
      <c r="T303" s="131"/>
    </row>
    <row r="304" customHeight="1" spans="1:20">
      <c r="A304"/>
      <c r="M304" s="130"/>
      <c r="S304" s="131"/>
      <c r="T304" s="131"/>
    </row>
    <row r="305" customHeight="1" spans="1:20">
      <c r="A305"/>
      <c r="M305" s="130"/>
      <c r="S305" s="131"/>
      <c r="T305" s="131"/>
    </row>
    <row r="306" customHeight="1" spans="1:20">
      <c r="A306"/>
      <c r="M306" s="130"/>
      <c r="S306" s="131"/>
      <c r="T306" s="131"/>
    </row>
    <row r="307" customHeight="1" spans="1:20">
      <c r="A307"/>
      <c r="M307" s="130"/>
      <c r="S307" s="131"/>
      <c r="T307" s="131"/>
    </row>
    <row r="308" customHeight="1" spans="1:20">
      <c r="A308"/>
      <c r="M308" s="130"/>
      <c r="S308" s="131"/>
      <c r="T308" s="131"/>
    </row>
    <row r="309" customHeight="1" spans="1:20">
      <c r="A309"/>
      <c r="M309" s="130"/>
      <c r="S309" s="131"/>
      <c r="T309" s="131"/>
    </row>
    <row r="310" customHeight="1" spans="1:20">
      <c r="A310"/>
      <c r="M310" s="130"/>
      <c r="S310" s="131"/>
      <c r="T310" s="131"/>
    </row>
    <row r="311" customHeight="1" spans="1:20">
      <c r="A311"/>
      <c r="M311" s="130"/>
      <c r="S311" s="131"/>
      <c r="T311" s="131"/>
    </row>
    <row r="312" customHeight="1" spans="1:20">
      <c r="A312"/>
      <c r="M312" s="130"/>
      <c r="S312" s="131"/>
      <c r="T312" s="131"/>
    </row>
    <row r="313" customHeight="1" spans="1:20">
      <c r="A313"/>
      <c r="M313" s="130"/>
      <c r="S313" s="131"/>
      <c r="T313" s="131"/>
    </row>
    <row r="314" customHeight="1" spans="1:20">
      <c r="A314"/>
      <c r="M314" s="130"/>
      <c r="S314" s="131"/>
      <c r="T314" s="131"/>
    </row>
    <row r="315" customHeight="1" spans="1:20">
      <c r="A315"/>
      <c r="M315" s="130"/>
      <c r="S315" s="131"/>
      <c r="T315" s="131"/>
    </row>
    <row r="316" customHeight="1" spans="1:20">
      <c r="A316"/>
      <c r="M316" s="130"/>
      <c r="S316" s="131"/>
      <c r="T316" s="131"/>
    </row>
    <row r="317" customHeight="1" spans="1:20">
      <c r="A317"/>
      <c r="M317" s="130"/>
      <c r="S317" s="131"/>
      <c r="T317" s="131"/>
    </row>
    <row r="318" customHeight="1" spans="1:20">
      <c r="A318"/>
      <c r="M318" s="130"/>
      <c r="S318" s="131"/>
      <c r="T318" s="131"/>
    </row>
    <row r="319" customHeight="1" spans="1:20">
      <c r="A319"/>
      <c r="M319" s="130"/>
      <c r="S319" s="131"/>
      <c r="T319" s="131"/>
    </row>
    <row r="320" customHeight="1" spans="1:20">
      <c r="A320"/>
      <c r="M320" s="130"/>
      <c r="S320" s="131"/>
      <c r="T320" s="131"/>
    </row>
    <row r="321" customHeight="1" spans="13:20">
      <c r="M321" s="130"/>
      <c r="S321" s="131"/>
      <c r="T321" s="131"/>
    </row>
    <row r="322" customHeight="1" spans="13:20">
      <c r="M322" s="130"/>
      <c r="S322" s="131"/>
      <c r="T322" s="131"/>
    </row>
    <row r="323" customHeight="1" spans="13:20">
      <c r="M323" s="130"/>
      <c r="S323" s="131"/>
      <c r="T323" s="131"/>
    </row>
    <row r="324" customHeight="1" spans="13:20">
      <c r="M324" s="130"/>
      <c r="S324" s="131"/>
      <c r="T324" s="131"/>
    </row>
    <row r="325" customHeight="1" spans="13:20">
      <c r="M325" s="130"/>
      <c r="S325" s="131"/>
      <c r="T325" s="131"/>
    </row>
    <row r="326" customHeight="1" spans="13:20">
      <c r="M326" s="130"/>
      <c r="S326" s="131"/>
      <c r="T326" s="131"/>
    </row>
    <row r="327" customHeight="1" spans="13:20">
      <c r="M327" s="130"/>
      <c r="S327" s="131"/>
      <c r="T327" s="131"/>
    </row>
    <row r="328" customHeight="1" spans="13:20">
      <c r="M328" s="130"/>
      <c r="S328" s="131"/>
      <c r="T328" s="131"/>
    </row>
    <row r="329" customHeight="1" spans="13:20">
      <c r="M329" s="130"/>
      <c r="S329" s="131"/>
      <c r="T329" s="131"/>
    </row>
    <row r="330" customHeight="1" spans="13:20">
      <c r="M330" s="130"/>
      <c r="S330" s="131"/>
      <c r="T330" s="131"/>
    </row>
    <row r="331" customHeight="1" spans="13:20">
      <c r="M331" s="130"/>
      <c r="S331" s="131"/>
      <c r="T331" s="131"/>
    </row>
    <row r="332" customHeight="1" spans="13:20">
      <c r="M332" s="130"/>
      <c r="S332" s="131"/>
      <c r="T332" s="131"/>
    </row>
    <row r="333" customHeight="1" spans="13:20">
      <c r="M333" s="130"/>
      <c r="S333" s="131"/>
      <c r="T333" s="131"/>
    </row>
    <row r="334" customHeight="1" spans="13:20">
      <c r="M334" s="130"/>
      <c r="S334" s="131"/>
      <c r="T334" s="131"/>
    </row>
    <row r="335" customHeight="1" spans="13:20">
      <c r="M335" s="130"/>
      <c r="S335" s="131"/>
      <c r="T335" s="131"/>
    </row>
    <row r="336" customHeight="1" spans="13:20">
      <c r="M336" s="130"/>
      <c r="S336" s="131"/>
      <c r="T336" s="131"/>
    </row>
    <row r="337" customHeight="1" spans="13:20">
      <c r="M337" s="130"/>
      <c r="S337" s="131"/>
      <c r="T337" s="131"/>
    </row>
    <row r="338" customHeight="1" spans="13:20">
      <c r="M338" s="130"/>
      <c r="S338" s="131"/>
      <c r="T338" s="131"/>
    </row>
    <row r="339" customHeight="1" spans="13:20">
      <c r="M339" s="130"/>
      <c r="S339" s="131"/>
      <c r="T339" s="131"/>
    </row>
    <row r="340" customHeight="1" spans="13:20">
      <c r="M340" s="130"/>
      <c r="S340" s="131"/>
      <c r="T340" s="131"/>
    </row>
    <row r="341" customHeight="1" spans="13:20">
      <c r="M341" s="130"/>
      <c r="S341" s="131"/>
      <c r="T341" s="131"/>
    </row>
    <row r="342" customHeight="1" spans="13:20">
      <c r="M342" s="130"/>
      <c r="S342" s="131"/>
      <c r="T342" s="131"/>
    </row>
    <row r="343" customHeight="1" spans="13:20">
      <c r="M343" s="130"/>
      <c r="S343" s="131"/>
      <c r="T343" s="131"/>
    </row>
    <row r="344" customHeight="1" spans="13:20">
      <c r="M344" s="130"/>
      <c r="S344" s="131"/>
      <c r="T344" s="131"/>
    </row>
    <row r="345" customHeight="1" spans="13:20">
      <c r="M345" s="130"/>
      <c r="S345" s="131"/>
      <c r="T345" s="131"/>
    </row>
    <row r="346" customHeight="1" spans="13:20">
      <c r="M346" s="130"/>
      <c r="S346" s="131"/>
      <c r="T346" s="131"/>
    </row>
    <row r="347" customHeight="1" spans="13:20">
      <c r="M347" s="130"/>
      <c r="S347" s="131"/>
      <c r="T347" s="131"/>
    </row>
    <row r="348" customHeight="1" spans="13:20">
      <c r="M348" s="130"/>
      <c r="S348" s="131"/>
      <c r="T348" s="131"/>
    </row>
    <row r="349" customHeight="1" spans="13:20">
      <c r="M349" s="130"/>
      <c r="S349" s="131"/>
      <c r="T349" s="131"/>
    </row>
    <row r="350" customHeight="1" spans="13:20">
      <c r="M350" s="130"/>
      <c r="S350" s="131"/>
      <c r="T350" s="131"/>
    </row>
    <row r="351" customHeight="1" spans="13:20">
      <c r="M351" s="130"/>
      <c r="S351" s="131"/>
      <c r="T351" s="131"/>
    </row>
    <row r="352" customHeight="1" spans="13:20">
      <c r="M352" s="130"/>
      <c r="S352" s="131"/>
      <c r="T352" s="131"/>
    </row>
    <row r="353" customHeight="1" spans="13:20">
      <c r="M353" s="130"/>
      <c r="S353" s="131"/>
      <c r="T353" s="131"/>
    </row>
    <row r="354" customHeight="1" spans="13:20">
      <c r="M354" s="130"/>
      <c r="S354" s="131"/>
      <c r="T354" s="131"/>
    </row>
    <row r="355" customHeight="1" spans="13:20">
      <c r="M355" s="130"/>
      <c r="S355" s="131"/>
      <c r="T355" s="131"/>
    </row>
    <row r="356" customHeight="1" spans="13:20">
      <c r="M356" s="130"/>
      <c r="S356" s="131"/>
      <c r="T356" s="131"/>
    </row>
    <row r="357" customHeight="1" spans="13:20">
      <c r="M357" s="130"/>
      <c r="S357" s="131"/>
      <c r="T357" s="131"/>
    </row>
    <row r="358" customHeight="1" spans="13:20">
      <c r="M358" s="130"/>
      <c r="S358" s="131"/>
      <c r="T358" s="131"/>
    </row>
    <row r="359" customHeight="1" spans="13:20">
      <c r="M359" s="130"/>
      <c r="S359" s="131"/>
      <c r="T359" s="131"/>
    </row>
    <row r="360" customHeight="1" spans="13:20">
      <c r="M360" s="130"/>
      <c r="S360" s="131"/>
      <c r="T360" s="131"/>
    </row>
    <row r="361" customHeight="1" spans="13:20">
      <c r="M361" s="130"/>
      <c r="S361" s="131"/>
      <c r="T361" s="131"/>
    </row>
    <row r="362" customHeight="1" spans="13:20">
      <c r="M362" s="130"/>
      <c r="S362" s="131"/>
      <c r="T362" s="131"/>
    </row>
    <row r="363" customHeight="1" spans="13:20">
      <c r="M363" s="130"/>
      <c r="S363" s="131"/>
      <c r="T363" s="131"/>
    </row>
    <row r="364" customHeight="1" spans="13:20">
      <c r="M364" s="130"/>
      <c r="S364" s="131"/>
      <c r="T364" s="131"/>
    </row>
    <row r="365" customHeight="1" spans="13:20">
      <c r="M365" s="130"/>
      <c r="S365" s="131"/>
      <c r="T365" s="131"/>
    </row>
    <row r="366" customHeight="1" spans="13:20">
      <c r="M366" s="130"/>
      <c r="S366" s="131"/>
      <c r="T366" s="131"/>
    </row>
    <row r="367" customHeight="1" spans="13:20">
      <c r="M367" s="130"/>
      <c r="S367" s="131"/>
      <c r="T367" s="131"/>
    </row>
    <row r="368" customHeight="1" spans="13:20">
      <c r="M368" s="130"/>
      <c r="S368" s="131"/>
      <c r="T368" s="131"/>
    </row>
    <row r="369" customHeight="1" spans="13:20">
      <c r="M369" s="130"/>
      <c r="S369" s="131"/>
      <c r="T369" s="131"/>
    </row>
    <row r="370" customHeight="1" spans="13:20">
      <c r="M370" s="130"/>
      <c r="S370" s="131"/>
      <c r="T370" s="131"/>
    </row>
    <row r="371" customHeight="1" spans="13:20">
      <c r="M371" s="130"/>
      <c r="S371" s="131"/>
      <c r="T371" s="131"/>
    </row>
    <row r="372" customHeight="1" spans="13:20">
      <c r="M372" s="130"/>
      <c r="S372" s="131"/>
      <c r="T372" s="131"/>
    </row>
    <row r="373" customHeight="1" spans="13:20">
      <c r="M373" s="130"/>
      <c r="S373" s="131"/>
      <c r="T373" s="131"/>
    </row>
    <row r="374" customHeight="1" spans="13:20">
      <c r="M374" s="130"/>
      <c r="S374" s="131"/>
      <c r="T374" s="131"/>
    </row>
    <row r="375" customHeight="1" spans="13:20">
      <c r="M375" s="130"/>
      <c r="S375" s="131"/>
      <c r="T375" s="131"/>
    </row>
    <row r="376" customHeight="1" spans="13:20">
      <c r="M376" s="130"/>
      <c r="S376" s="131"/>
      <c r="T376" s="131"/>
    </row>
    <row r="377" customHeight="1" spans="13:20">
      <c r="M377" s="130"/>
      <c r="S377" s="131"/>
      <c r="T377" s="131"/>
    </row>
    <row r="378" customHeight="1" spans="13:20">
      <c r="M378" s="130"/>
      <c r="S378" s="131"/>
      <c r="T378" s="131"/>
    </row>
    <row r="379" customHeight="1" spans="13:20">
      <c r="M379" s="130"/>
      <c r="S379" s="131"/>
      <c r="T379" s="131"/>
    </row>
    <row r="380" customHeight="1" spans="13:20">
      <c r="M380" s="130"/>
      <c r="S380" s="131"/>
      <c r="T380" s="131"/>
    </row>
    <row r="381" customHeight="1" spans="13:20">
      <c r="M381" s="130"/>
      <c r="S381" s="131"/>
      <c r="T381" s="131"/>
    </row>
    <row r="382" customHeight="1" spans="13:20">
      <c r="M382" s="130"/>
      <c r="S382" s="131"/>
      <c r="T382" s="131"/>
    </row>
    <row r="383" customHeight="1" spans="13:20">
      <c r="M383" s="130"/>
      <c r="S383" s="131"/>
      <c r="T383" s="131"/>
    </row>
    <row r="384" customHeight="1" spans="13:20">
      <c r="M384" s="130"/>
      <c r="S384" s="131"/>
      <c r="T384" s="131"/>
    </row>
    <row r="385" customHeight="1" spans="13:20">
      <c r="M385" s="130"/>
      <c r="S385" s="131"/>
      <c r="T385" s="131"/>
    </row>
    <row r="386" customHeight="1" spans="13:20">
      <c r="M386" s="130"/>
      <c r="S386" s="131"/>
      <c r="T386" s="131"/>
    </row>
    <row r="387" customHeight="1" spans="13:20">
      <c r="M387" s="130"/>
      <c r="S387" s="131"/>
      <c r="T387" s="131"/>
    </row>
    <row r="388" customHeight="1" spans="13:20">
      <c r="M388" s="130"/>
      <c r="S388" s="131"/>
      <c r="T388" s="131"/>
    </row>
    <row r="389" customHeight="1" spans="13:20">
      <c r="M389" s="130"/>
      <c r="S389" s="131"/>
      <c r="T389" s="131"/>
    </row>
    <row r="390" customHeight="1" spans="13:20">
      <c r="M390" s="130"/>
      <c r="S390" s="131"/>
      <c r="T390" s="131"/>
    </row>
    <row r="391" customHeight="1" spans="13:20">
      <c r="M391" s="130"/>
      <c r="S391" s="131"/>
      <c r="T391" s="131"/>
    </row>
    <row r="392" customHeight="1" spans="13:20">
      <c r="M392" s="130"/>
      <c r="S392" s="131"/>
      <c r="T392" s="131"/>
    </row>
    <row r="393" customHeight="1" spans="13:20">
      <c r="M393" s="130"/>
      <c r="S393" s="131"/>
      <c r="T393" s="131"/>
    </row>
    <row r="394" customHeight="1" spans="13:20">
      <c r="M394" s="130"/>
      <c r="S394" s="131"/>
      <c r="T394" s="131"/>
    </row>
    <row r="395" customHeight="1" spans="13:20">
      <c r="M395" s="130"/>
      <c r="S395" s="131"/>
      <c r="T395" s="131"/>
    </row>
    <row r="396" customHeight="1" spans="13:20">
      <c r="M396" s="130"/>
      <c r="S396" s="131"/>
      <c r="T396" s="131"/>
    </row>
    <row r="397" customHeight="1" spans="13:20">
      <c r="M397" s="130"/>
      <c r="S397" s="131"/>
      <c r="T397" s="131"/>
    </row>
    <row r="398" customHeight="1" spans="13:20">
      <c r="M398" s="130"/>
      <c r="S398" s="131"/>
      <c r="T398" s="131"/>
    </row>
    <row r="399" customHeight="1" spans="13:20">
      <c r="M399" s="130"/>
      <c r="S399" s="131"/>
      <c r="T399" s="131"/>
    </row>
    <row r="400" customHeight="1" spans="13:20">
      <c r="M400" s="130"/>
      <c r="S400" s="131"/>
      <c r="T400" s="131"/>
    </row>
    <row r="401" customHeight="1" spans="13:20">
      <c r="M401" s="130"/>
      <c r="S401" s="131"/>
      <c r="T401" s="131"/>
    </row>
    <row r="402" customHeight="1" spans="13:20">
      <c r="M402" s="130"/>
      <c r="S402" s="131"/>
      <c r="T402" s="131"/>
    </row>
    <row r="403" customHeight="1" spans="13:20">
      <c r="M403" s="130"/>
      <c r="S403" s="131"/>
      <c r="T403" s="131"/>
    </row>
    <row r="404" customHeight="1" spans="13:20">
      <c r="M404" s="130"/>
      <c r="S404" s="131"/>
      <c r="T404" s="131"/>
    </row>
    <row r="405" customHeight="1" spans="13:20">
      <c r="M405" s="130"/>
      <c r="S405" s="131"/>
      <c r="T405" s="131"/>
    </row>
    <row r="406" customHeight="1" spans="13:20">
      <c r="M406" s="130"/>
      <c r="S406" s="131"/>
      <c r="T406" s="131"/>
    </row>
    <row r="407" customHeight="1" spans="13:20">
      <c r="M407" s="130"/>
      <c r="S407" s="131"/>
      <c r="T407" s="131"/>
    </row>
    <row r="408" customHeight="1" spans="13:20">
      <c r="M408" s="130"/>
      <c r="S408" s="131"/>
      <c r="T408" s="131"/>
    </row>
    <row r="409" customHeight="1" spans="13:20">
      <c r="M409" s="130"/>
      <c r="S409" s="131"/>
      <c r="T409" s="131"/>
    </row>
    <row r="410" customHeight="1" spans="13:20">
      <c r="M410" s="130"/>
      <c r="S410" s="131"/>
      <c r="T410" s="131"/>
    </row>
    <row r="411" customHeight="1" spans="13:20">
      <c r="M411" s="130"/>
      <c r="S411" s="131"/>
      <c r="T411" s="131"/>
    </row>
    <row r="412" customHeight="1" spans="13:20">
      <c r="M412" s="130"/>
      <c r="S412" s="131"/>
      <c r="T412" s="131"/>
    </row>
    <row r="413" customHeight="1" spans="13:20">
      <c r="M413" s="130"/>
      <c r="S413" s="131"/>
      <c r="T413" s="131"/>
    </row>
    <row r="414" customHeight="1" spans="13:20">
      <c r="M414" s="130"/>
      <c r="S414" s="131"/>
      <c r="T414" s="131"/>
    </row>
    <row r="415" customHeight="1" spans="13:20">
      <c r="M415" s="130"/>
      <c r="S415" s="131"/>
      <c r="T415" s="131"/>
    </row>
    <row r="416" customHeight="1" spans="13:20">
      <c r="M416" s="130"/>
      <c r="S416" s="131"/>
      <c r="T416" s="131"/>
    </row>
    <row r="417" customHeight="1" spans="13:20">
      <c r="M417" s="130"/>
      <c r="S417" s="131"/>
      <c r="T417" s="131"/>
    </row>
    <row r="418" customHeight="1" spans="13:20">
      <c r="M418" s="130"/>
      <c r="S418" s="131"/>
      <c r="T418" s="131"/>
    </row>
    <row r="419" customHeight="1" spans="13:20">
      <c r="M419" s="130"/>
      <c r="S419" s="131"/>
      <c r="T419" s="131"/>
    </row>
    <row r="420" customHeight="1" spans="13:20">
      <c r="M420" s="130"/>
      <c r="S420" s="131"/>
      <c r="T420" s="131"/>
    </row>
    <row r="421" customHeight="1" spans="13:20">
      <c r="M421" s="130"/>
      <c r="S421" s="131"/>
      <c r="T421" s="131"/>
    </row>
    <row r="422" customHeight="1" spans="13:20">
      <c r="M422" s="130"/>
      <c r="S422" s="131"/>
      <c r="T422" s="131"/>
    </row>
    <row r="423" customHeight="1" spans="13:20">
      <c r="M423" s="130"/>
      <c r="S423" s="131"/>
      <c r="T423" s="131"/>
    </row>
    <row r="424" customHeight="1" spans="13:20">
      <c r="M424" s="130"/>
      <c r="S424" s="131"/>
      <c r="T424" s="131"/>
    </row>
    <row r="425" customHeight="1" spans="13:20">
      <c r="M425" s="130"/>
      <c r="S425" s="131"/>
      <c r="T425" s="131"/>
    </row>
    <row r="426" customHeight="1" spans="13:20">
      <c r="M426" s="130"/>
      <c r="S426" s="131"/>
      <c r="T426" s="131"/>
    </row>
    <row r="427" customHeight="1" spans="13:20">
      <c r="M427" s="130"/>
      <c r="S427" s="131"/>
      <c r="T427" s="131"/>
    </row>
    <row r="428" customHeight="1" spans="13:20">
      <c r="M428" s="130"/>
      <c r="S428" s="131"/>
      <c r="T428" s="131"/>
    </row>
    <row r="429" customHeight="1" spans="13:20">
      <c r="M429" s="130"/>
      <c r="S429" s="131"/>
      <c r="T429" s="131"/>
    </row>
    <row r="430" customHeight="1" spans="13:20">
      <c r="M430" s="130"/>
      <c r="S430" s="131"/>
      <c r="T430" s="131"/>
    </row>
    <row r="431" customHeight="1" spans="13:20">
      <c r="M431" s="130"/>
      <c r="S431" s="131"/>
      <c r="T431" s="131"/>
    </row>
    <row r="432" customHeight="1" spans="13:20">
      <c r="M432" s="130"/>
      <c r="S432" s="131"/>
      <c r="T432" s="131"/>
    </row>
    <row r="433" customHeight="1" spans="13:20">
      <c r="M433" s="130"/>
      <c r="S433" s="131"/>
      <c r="T433" s="131"/>
    </row>
    <row r="434" customHeight="1" spans="13:20">
      <c r="M434" s="130"/>
      <c r="S434" s="131"/>
      <c r="T434" s="131"/>
    </row>
    <row r="435" customHeight="1" spans="13:20">
      <c r="M435" s="130"/>
      <c r="S435" s="131"/>
      <c r="T435" s="131"/>
    </row>
    <row r="436" customHeight="1" spans="13:20">
      <c r="M436" s="130"/>
      <c r="S436" s="131"/>
      <c r="T436" s="131"/>
    </row>
    <row r="437" customHeight="1" spans="13:20">
      <c r="M437" s="130"/>
      <c r="S437" s="131"/>
      <c r="T437" s="131"/>
    </row>
    <row r="438" customHeight="1" spans="13:20">
      <c r="M438" s="130"/>
      <c r="S438" s="131"/>
      <c r="T438" s="131"/>
    </row>
    <row r="439" customHeight="1" spans="13:20">
      <c r="M439" s="130"/>
      <c r="S439" s="131"/>
      <c r="T439" s="131"/>
    </row>
    <row r="440" customHeight="1" spans="13:20">
      <c r="M440" s="130"/>
      <c r="S440" s="131"/>
      <c r="T440" s="131"/>
    </row>
    <row r="441" customHeight="1" spans="13:20">
      <c r="M441" s="130"/>
      <c r="S441" s="131"/>
      <c r="T441" s="131"/>
    </row>
    <row r="442" customHeight="1" spans="13:20">
      <c r="M442" s="130"/>
      <c r="S442" s="131"/>
      <c r="T442" s="131"/>
    </row>
    <row r="443" customHeight="1" spans="13:20">
      <c r="M443" s="130"/>
      <c r="S443" s="131"/>
      <c r="T443" s="131"/>
    </row>
    <row r="444" customHeight="1" spans="13:20">
      <c r="M444" s="130"/>
      <c r="S444" s="131"/>
      <c r="T444" s="131"/>
    </row>
    <row r="445" customHeight="1" spans="13:20">
      <c r="M445" s="130"/>
      <c r="S445" s="131"/>
      <c r="T445" s="131"/>
    </row>
    <row r="446" customHeight="1" spans="13:20">
      <c r="M446" s="130"/>
      <c r="S446" s="131"/>
      <c r="T446" s="131"/>
    </row>
    <row r="447" customHeight="1" spans="13:20">
      <c r="M447" s="130"/>
      <c r="S447" s="131"/>
      <c r="T447" s="131"/>
    </row>
    <row r="448" customHeight="1" spans="13:20">
      <c r="M448" s="130"/>
      <c r="S448" s="131"/>
      <c r="T448" s="131"/>
    </row>
    <row r="449" customHeight="1" spans="13:20">
      <c r="M449" s="130"/>
      <c r="S449" s="131"/>
      <c r="T449" s="131"/>
    </row>
    <row r="450" customHeight="1" spans="13:20">
      <c r="M450" s="130"/>
      <c r="S450" s="131"/>
      <c r="T450" s="131"/>
    </row>
    <row r="451" customHeight="1" spans="13:20">
      <c r="M451" s="130"/>
      <c r="S451" s="131"/>
      <c r="T451" s="131"/>
    </row>
    <row r="452" customHeight="1" spans="13:20">
      <c r="M452" s="130"/>
      <c r="S452" s="131"/>
      <c r="T452" s="131"/>
    </row>
    <row r="453" customHeight="1" spans="13:20">
      <c r="M453" s="130"/>
      <c r="S453" s="131"/>
      <c r="T453" s="131"/>
    </row>
    <row r="454" customHeight="1" spans="13:20">
      <c r="M454" s="130"/>
      <c r="S454" s="131"/>
      <c r="T454" s="131"/>
    </row>
    <row r="455" customHeight="1" spans="13:20">
      <c r="M455" s="130"/>
      <c r="S455" s="131"/>
      <c r="T455" s="131"/>
    </row>
    <row r="456" customHeight="1" spans="13:20">
      <c r="M456" s="130"/>
      <c r="S456" s="131"/>
      <c r="T456" s="131"/>
    </row>
    <row r="457" customHeight="1" spans="13:20">
      <c r="M457" s="130"/>
      <c r="S457" s="131"/>
      <c r="T457" s="131"/>
    </row>
    <row r="458" customHeight="1" spans="13:20">
      <c r="M458" s="130"/>
      <c r="S458" s="131"/>
      <c r="T458" s="131"/>
    </row>
    <row r="459" customHeight="1" spans="13:20">
      <c r="M459" s="130"/>
      <c r="S459" s="131"/>
      <c r="T459" s="131"/>
    </row>
    <row r="460" customHeight="1" spans="13:20">
      <c r="M460" s="130"/>
      <c r="S460" s="131"/>
      <c r="T460" s="131"/>
    </row>
    <row r="461" customHeight="1" spans="13:20">
      <c r="M461" s="130"/>
      <c r="S461" s="131"/>
      <c r="T461" s="131"/>
    </row>
    <row r="462" customHeight="1" spans="13:20">
      <c r="M462" s="130"/>
      <c r="S462" s="131"/>
      <c r="T462" s="131"/>
    </row>
    <row r="463" customHeight="1" spans="13:20">
      <c r="M463" s="130"/>
      <c r="S463" s="131"/>
      <c r="T463" s="131"/>
    </row>
    <row r="464" customHeight="1" spans="13:20">
      <c r="M464" s="130"/>
      <c r="S464" s="131"/>
      <c r="T464" s="131"/>
    </row>
    <row r="465" customHeight="1" spans="13:20">
      <c r="M465" s="130"/>
      <c r="S465" s="131"/>
      <c r="T465" s="131"/>
    </row>
    <row r="466" customHeight="1" spans="13:20">
      <c r="M466" s="130"/>
      <c r="S466" s="131"/>
      <c r="T466" s="131"/>
    </row>
    <row r="467" customHeight="1" spans="13:20">
      <c r="M467" s="130"/>
      <c r="S467" s="131"/>
      <c r="T467" s="131"/>
    </row>
    <row r="468" customHeight="1" spans="13:20">
      <c r="M468" s="130"/>
      <c r="S468" s="131"/>
      <c r="T468" s="131"/>
    </row>
    <row r="469" customHeight="1" spans="13:20">
      <c r="M469" s="130"/>
      <c r="S469" s="131"/>
      <c r="T469" s="131"/>
    </row>
    <row r="470" customHeight="1" spans="13:20">
      <c r="M470" s="130"/>
      <c r="S470" s="131"/>
      <c r="T470" s="131"/>
    </row>
    <row r="471" customHeight="1" spans="13:20">
      <c r="M471" s="130"/>
      <c r="S471" s="131"/>
      <c r="T471" s="131"/>
    </row>
    <row r="472" customHeight="1" spans="13:20">
      <c r="M472" s="130"/>
      <c r="S472" s="131"/>
      <c r="T472" s="131"/>
    </row>
    <row r="473" customHeight="1" spans="13:20">
      <c r="M473" s="130"/>
      <c r="S473" s="131"/>
      <c r="T473" s="131"/>
    </row>
    <row r="474" customHeight="1" spans="13:20">
      <c r="M474" s="130"/>
      <c r="S474" s="131"/>
      <c r="T474" s="131"/>
    </row>
    <row r="475" customHeight="1" spans="13:20">
      <c r="M475" s="130"/>
      <c r="S475" s="131"/>
      <c r="T475" s="131"/>
    </row>
    <row r="476" customHeight="1" spans="13:20">
      <c r="M476" s="130"/>
      <c r="S476" s="131"/>
      <c r="T476" s="131"/>
    </row>
    <row r="477" customHeight="1" spans="13:20">
      <c r="M477" s="130"/>
      <c r="S477" s="131"/>
      <c r="T477" s="131"/>
    </row>
    <row r="478" customHeight="1" spans="13:20">
      <c r="M478" s="130"/>
      <c r="S478" s="131"/>
      <c r="T478" s="131"/>
    </row>
    <row r="479" customHeight="1" spans="13:20">
      <c r="M479" s="130"/>
      <c r="S479" s="131"/>
      <c r="T479" s="131"/>
    </row>
    <row r="480" customHeight="1" spans="13:20">
      <c r="M480" s="130"/>
      <c r="S480" s="131"/>
      <c r="T480" s="131"/>
    </row>
    <row r="481" customHeight="1" spans="13:20">
      <c r="M481" s="130"/>
      <c r="S481" s="131"/>
      <c r="T481" s="131"/>
    </row>
    <row r="482" customHeight="1" spans="13:20">
      <c r="M482" s="130"/>
      <c r="S482" s="131"/>
      <c r="T482" s="131"/>
    </row>
    <row r="483" customHeight="1" spans="13:20">
      <c r="M483" s="130"/>
      <c r="S483" s="131"/>
      <c r="T483" s="131"/>
    </row>
    <row r="484" customHeight="1" spans="13:20">
      <c r="M484" s="130"/>
      <c r="S484" s="131"/>
      <c r="T484" s="131"/>
    </row>
    <row r="485" customHeight="1" spans="13:20">
      <c r="M485" s="130"/>
      <c r="S485" s="131"/>
      <c r="T485" s="131"/>
    </row>
    <row r="486" customHeight="1" spans="13:20">
      <c r="M486" s="130"/>
      <c r="S486" s="131"/>
      <c r="T486" s="131"/>
    </row>
    <row r="487" customHeight="1" spans="13:20">
      <c r="M487" s="130"/>
      <c r="S487" s="131"/>
      <c r="T487" s="131"/>
    </row>
    <row r="488" customHeight="1" spans="13:20">
      <c r="M488" s="130"/>
      <c r="S488" s="131"/>
      <c r="T488" s="131"/>
    </row>
    <row r="489" customHeight="1" spans="13:20">
      <c r="M489" s="130"/>
      <c r="S489" s="131"/>
      <c r="T489" s="131"/>
    </row>
    <row r="490" customHeight="1" spans="13:20">
      <c r="M490" s="130"/>
      <c r="S490" s="131"/>
      <c r="T490" s="131"/>
    </row>
    <row r="491" customHeight="1" spans="13:20">
      <c r="M491" s="130"/>
      <c r="S491" s="131"/>
      <c r="T491" s="131"/>
    </row>
    <row r="492" customHeight="1" spans="13:20">
      <c r="M492" s="130"/>
      <c r="S492" s="131"/>
      <c r="T492" s="131"/>
    </row>
    <row r="493" customHeight="1" spans="13:20">
      <c r="M493" s="130"/>
      <c r="S493" s="131"/>
      <c r="T493" s="131"/>
    </row>
    <row r="494" customHeight="1" spans="13:20">
      <c r="M494" s="130"/>
      <c r="S494" s="131"/>
      <c r="T494" s="131"/>
    </row>
    <row r="495" customHeight="1" spans="13:20">
      <c r="M495" s="130"/>
      <c r="S495" s="131"/>
      <c r="T495" s="131"/>
    </row>
    <row r="496" customHeight="1" spans="13:20">
      <c r="M496" s="130"/>
      <c r="S496" s="131"/>
      <c r="T496" s="131"/>
    </row>
    <row r="497" customHeight="1" spans="13:20">
      <c r="M497" s="130"/>
      <c r="S497" s="131"/>
      <c r="T497" s="131"/>
    </row>
    <row r="498" customHeight="1" spans="13:20">
      <c r="M498" s="130"/>
      <c r="S498" s="131"/>
      <c r="T498" s="131"/>
    </row>
    <row r="499" customHeight="1" spans="13:20">
      <c r="M499" s="130"/>
      <c r="S499" s="131"/>
      <c r="T499" s="131"/>
    </row>
    <row r="500" customHeight="1" spans="13:20">
      <c r="M500" s="130"/>
      <c r="S500" s="131"/>
      <c r="T500" s="131"/>
    </row>
    <row r="501" customHeight="1" spans="13:20">
      <c r="M501" s="130"/>
      <c r="S501" s="131"/>
      <c r="T501" s="131"/>
    </row>
    <row r="502" customHeight="1" spans="13:20">
      <c r="M502" s="130"/>
      <c r="S502" s="131"/>
      <c r="T502" s="131"/>
    </row>
    <row r="503" customHeight="1" spans="13:20">
      <c r="M503" s="130"/>
      <c r="S503" s="131"/>
      <c r="T503" s="131"/>
    </row>
    <row r="504" customHeight="1" spans="13:20">
      <c r="M504" s="130"/>
      <c r="S504" s="131"/>
      <c r="T504" s="131"/>
    </row>
    <row r="505" customHeight="1" spans="13:20">
      <c r="M505" s="130"/>
      <c r="S505" s="131"/>
      <c r="T505" s="131"/>
    </row>
    <row r="506" customHeight="1" spans="13:20">
      <c r="M506" s="130"/>
      <c r="S506" s="131"/>
      <c r="T506" s="131"/>
    </row>
    <row r="507" customHeight="1" spans="13:20">
      <c r="M507" s="130"/>
      <c r="S507" s="131"/>
      <c r="T507" s="131"/>
    </row>
    <row r="508" customHeight="1" spans="13:20">
      <c r="M508" s="130"/>
      <c r="S508" s="131"/>
      <c r="T508" s="131"/>
    </row>
    <row r="509" customHeight="1" spans="13:20">
      <c r="M509" s="130"/>
      <c r="S509" s="131"/>
      <c r="T509" s="131"/>
    </row>
    <row r="510" customHeight="1" spans="13:20">
      <c r="M510" s="130"/>
      <c r="S510" s="131"/>
      <c r="T510" s="131"/>
    </row>
    <row r="511" customHeight="1" spans="13:20">
      <c r="M511" s="130"/>
      <c r="S511" s="131"/>
      <c r="T511" s="131"/>
    </row>
    <row r="512" customHeight="1" spans="13:20">
      <c r="M512" s="130"/>
      <c r="S512" s="131"/>
      <c r="T512" s="131"/>
    </row>
    <row r="513" customHeight="1" spans="13:20">
      <c r="M513" s="130"/>
      <c r="S513" s="131"/>
      <c r="T513" s="131"/>
    </row>
    <row r="514" customHeight="1" spans="13:20">
      <c r="M514" s="130"/>
      <c r="S514" s="131"/>
      <c r="T514" s="131"/>
    </row>
    <row r="515" customHeight="1" spans="13:20">
      <c r="M515" s="130"/>
      <c r="S515" s="131"/>
      <c r="T515" s="131"/>
    </row>
    <row r="516" customHeight="1" spans="13:20">
      <c r="M516" s="130"/>
      <c r="S516" s="131"/>
      <c r="T516" s="131"/>
    </row>
    <row r="517" customHeight="1" spans="13:20">
      <c r="M517" s="130"/>
      <c r="S517" s="131"/>
      <c r="T517" s="131"/>
    </row>
    <row r="518" customHeight="1" spans="13:20">
      <c r="M518" s="130"/>
      <c r="S518" s="131"/>
      <c r="T518" s="131"/>
    </row>
    <row r="519" customHeight="1" spans="13:20">
      <c r="M519" s="130"/>
      <c r="S519" s="131"/>
      <c r="T519" s="131"/>
    </row>
    <row r="520" customHeight="1" spans="13:20">
      <c r="M520" s="130"/>
      <c r="S520" s="131"/>
      <c r="T520" s="131"/>
    </row>
    <row r="521" customHeight="1" spans="13:20">
      <c r="M521" s="130"/>
      <c r="S521" s="131"/>
      <c r="T521" s="131"/>
    </row>
    <row r="522" customHeight="1" spans="13:20">
      <c r="M522" s="130"/>
      <c r="S522" s="131"/>
      <c r="T522" s="131"/>
    </row>
    <row r="523" customHeight="1" spans="13:20">
      <c r="M523" s="130"/>
      <c r="S523" s="131"/>
      <c r="T523" s="131"/>
    </row>
    <row r="524" customHeight="1" spans="13:20">
      <c r="M524" s="130"/>
      <c r="S524" s="131"/>
      <c r="T524" s="131"/>
    </row>
    <row r="525" customHeight="1" spans="13:20">
      <c r="M525" s="130"/>
      <c r="S525" s="131"/>
      <c r="T525" s="131"/>
    </row>
    <row r="526" customHeight="1" spans="13:20">
      <c r="M526" s="130"/>
      <c r="S526" s="131"/>
      <c r="T526" s="131"/>
    </row>
    <row r="527" customHeight="1" spans="13:20">
      <c r="M527" s="130"/>
      <c r="S527" s="131"/>
      <c r="T527" s="131"/>
    </row>
    <row r="528" customHeight="1" spans="13:20">
      <c r="M528" s="130"/>
      <c r="S528" s="131"/>
      <c r="T528" s="131"/>
    </row>
    <row r="529" customHeight="1" spans="13:20">
      <c r="M529" s="130"/>
      <c r="S529" s="131"/>
      <c r="T529" s="131"/>
    </row>
    <row r="530" customHeight="1" spans="13:20">
      <c r="M530" s="130"/>
      <c r="S530" s="131"/>
      <c r="T530" s="131"/>
    </row>
    <row r="531" customHeight="1" spans="13:20">
      <c r="M531" s="130"/>
      <c r="S531" s="131"/>
      <c r="T531" s="131"/>
    </row>
    <row r="532" customHeight="1" spans="13:20">
      <c r="M532" s="130"/>
      <c r="S532" s="131"/>
      <c r="T532" s="131"/>
    </row>
    <row r="533" customHeight="1" spans="13:20">
      <c r="M533" s="130"/>
      <c r="S533" s="131"/>
      <c r="T533" s="131"/>
    </row>
    <row r="534" customHeight="1" spans="13:20">
      <c r="M534" s="130"/>
      <c r="S534" s="131"/>
      <c r="T534" s="131"/>
    </row>
    <row r="535" customHeight="1" spans="13:20">
      <c r="M535" s="130"/>
      <c r="S535" s="131"/>
      <c r="T535" s="131"/>
    </row>
    <row r="536" customHeight="1" spans="13:20">
      <c r="M536" s="130"/>
      <c r="S536" s="131"/>
      <c r="T536" s="131"/>
    </row>
    <row r="537" customHeight="1" spans="13:20">
      <c r="M537" s="130"/>
      <c r="S537" s="131"/>
      <c r="T537" s="131"/>
    </row>
    <row r="538" customHeight="1" spans="13:20">
      <c r="M538" s="130"/>
      <c r="S538" s="131"/>
      <c r="T538" s="131"/>
    </row>
    <row r="539" customHeight="1" spans="13:20">
      <c r="M539" s="130"/>
      <c r="S539" s="131"/>
      <c r="T539" s="131"/>
    </row>
    <row r="540" customHeight="1" spans="13:20">
      <c r="M540" s="130"/>
      <c r="S540" s="131"/>
      <c r="T540" s="131"/>
    </row>
    <row r="541" customHeight="1" spans="13:20">
      <c r="M541" s="130"/>
      <c r="S541" s="131"/>
      <c r="T541" s="131"/>
    </row>
    <row r="542" customHeight="1" spans="13:20">
      <c r="M542" s="130"/>
      <c r="S542" s="131"/>
      <c r="T542" s="131"/>
    </row>
    <row r="543" customHeight="1" spans="13:20">
      <c r="M543" s="130"/>
      <c r="S543" s="131"/>
      <c r="T543" s="131"/>
    </row>
    <row r="544" customHeight="1" spans="13:20">
      <c r="M544" s="130"/>
      <c r="S544" s="131"/>
      <c r="T544" s="131"/>
    </row>
    <row r="545" customHeight="1" spans="13:20">
      <c r="M545" s="130"/>
      <c r="S545" s="131"/>
      <c r="T545" s="131"/>
    </row>
    <row r="546" customHeight="1" spans="13:20">
      <c r="M546" s="130"/>
      <c r="S546" s="131"/>
      <c r="T546" s="131"/>
    </row>
    <row r="547" customHeight="1" spans="13:20">
      <c r="M547" s="130"/>
      <c r="S547" s="131"/>
      <c r="T547" s="131"/>
    </row>
    <row r="548" customHeight="1" spans="13:20">
      <c r="M548" s="130"/>
      <c r="S548" s="131"/>
      <c r="T548" s="131"/>
    </row>
    <row r="549" customHeight="1" spans="13:20">
      <c r="M549" s="130"/>
      <c r="S549" s="131"/>
      <c r="T549" s="131"/>
    </row>
    <row r="550" customHeight="1" spans="13:20">
      <c r="M550" s="130"/>
      <c r="S550" s="131"/>
      <c r="T550" s="131"/>
    </row>
    <row r="551" customHeight="1" spans="13:20">
      <c r="M551" s="130"/>
      <c r="S551" s="131"/>
      <c r="T551" s="131"/>
    </row>
    <row r="552" customHeight="1" spans="13:20">
      <c r="M552" s="130"/>
      <c r="S552" s="131"/>
      <c r="T552" s="131"/>
    </row>
    <row r="553" customHeight="1" spans="13:20">
      <c r="M553" s="130"/>
      <c r="S553" s="131"/>
      <c r="T553" s="131"/>
    </row>
    <row r="554" customHeight="1" spans="13:20">
      <c r="M554" s="130"/>
      <c r="S554" s="131"/>
      <c r="T554" s="131"/>
    </row>
    <row r="555" customHeight="1" spans="13:20">
      <c r="M555" s="130"/>
      <c r="S555" s="131"/>
      <c r="T555" s="131"/>
    </row>
    <row r="556" customHeight="1" spans="13:20">
      <c r="M556" s="130"/>
      <c r="S556" s="131"/>
      <c r="T556" s="131"/>
    </row>
    <row r="557" customHeight="1" spans="13:20">
      <c r="M557" s="130"/>
      <c r="S557" s="131"/>
      <c r="T557" s="131"/>
    </row>
    <row r="558" customHeight="1" spans="13:20">
      <c r="M558" s="130"/>
      <c r="S558" s="131"/>
      <c r="T558" s="131"/>
    </row>
    <row r="559" customHeight="1" spans="13:20">
      <c r="M559" s="130"/>
      <c r="S559" s="131"/>
      <c r="T559" s="131"/>
    </row>
    <row r="560" customHeight="1" spans="13:20">
      <c r="M560" s="130"/>
      <c r="S560" s="131"/>
      <c r="T560" s="131"/>
    </row>
    <row r="561" customHeight="1" spans="13:20">
      <c r="M561" s="130"/>
      <c r="S561" s="131"/>
      <c r="T561" s="131"/>
    </row>
    <row r="562" customHeight="1" spans="13:20">
      <c r="M562" s="130"/>
      <c r="S562" s="131"/>
      <c r="T562" s="131"/>
    </row>
    <row r="563" customHeight="1" spans="13:20">
      <c r="M563" s="130"/>
      <c r="S563" s="131"/>
      <c r="T563" s="131"/>
    </row>
    <row r="564" customHeight="1" spans="13:20">
      <c r="M564" s="130"/>
      <c r="S564" s="131"/>
      <c r="T564" s="131"/>
    </row>
    <row r="565" customHeight="1" spans="13:20">
      <c r="M565" s="130"/>
      <c r="S565" s="131"/>
      <c r="T565" s="131"/>
    </row>
    <row r="566" customHeight="1" spans="13:20">
      <c r="M566" s="130"/>
      <c r="S566" s="131"/>
      <c r="T566" s="131"/>
    </row>
    <row r="567" customHeight="1" spans="13:20">
      <c r="M567" s="130"/>
      <c r="S567" s="131"/>
      <c r="T567" s="131"/>
    </row>
    <row r="568" customHeight="1" spans="13:20">
      <c r="M568" s="130"/>
      <c r="S568" s="131"/>
      <c r="T568" s="131"/>
    </row>
    <row r="569" customHeight="1" spans="13:20">
      <c r="M569" s="130"/>
      <c r="S569" s="131"/>
      <c r="T569" s="131"/>
    </row>
    <row r="570" customHeight="1" spans="13:20">
      <c r="M570" s="130"/>
      <c r="S570" s="131"/>
      <c r="T570" s="131"/>
    </row>
    <row r="571" customHeight="1" spans="13:20">
      <c r="M571" s="130"/>
      <c r="S571" s="131"/>
      <c r="T571" s="131"/>
    </row>
    <row r="572" customHeight="1" spans="13:20">
      <c r="M572" s="130"/>
      <c r="S572" s="131"/>
      <c r="T572" s="131"/>
    </row>
    <row r="573" customHeight="1" spans="13:20">
      <c r="M573" s="130"/>
      <c r="S573" s="131"/>
      <c r="T573" s="131"/>
    </row>
    <row r="574" customHeight="1" spans="13:20">
      <c r="M574" s="130"/>
      <c r="S574" s="131"/>
      <c r="T574" s="131"/>
    </row>
    <row r="575" customHeight="1" spans="13:20">
      <c r="M575" s="130"/>
      <c r="S575" s="131"/>
      <c r="T575" s="131"/>
    </row>
    <row r="576" customHeight="1" spans="13:20">
      <c r="M576" s="130"/>
      <c r="S576" s="131"/>
      <c r="T576" s="131"/>
    </row>
    <row r="577" customHeight="1" spans="13:20">
      <c r="M577" s="130"/>
      <c r="S577" s="131"/>
      <c r="T577" s="131"/>
    </row>
    <row r="578" customHeight="1" spans="13:20">
      <c r="M578" s="130"/>
      <c r="S578" s="131"/>
      <c r="T578" s="131"/>
    </row>
    <row r="579" customHeight="1" spans="13:20">
      <c r="M579" s="130"/>
      <c r="S579" s="131"/>
      <c r="T579" s="131"/>
    </row>
    <row r="580" customHeight="1" spans="13:20">
      <c r="M580" s="130"/>
      <c r="S580" s="131"/>
      <c r="T580" s="131"/>
    </row>
    <row r="581" customHeight="1" spans="13:20">
      <c r="M581" s="130"/>
      <c r="S581" s="131"/>
      <c r="T581" s="131"/>
    </row>
    <row r="582" customHeight="1" spans="13:20">
      <c r="M582" s="130"/>
      <c r="S582" s="131"/>
      <c r="T582" s="131"/>
    </row>
    <row r="583" customHeight="1" spans="13:20">
      <c r="M583" s="130"/>
      <c r="S583" s="131"/>
      <c r="T583" s="131"/>
    </row>
    <row r="584" customHeight="1" spans="13:20">
      <c r="M584" s="130"/>
      <c r="S584" s="131"/>
      <c r="T584" s="131"/>
    </row>
    <row r="585" customHeight="1" spans="13:20">
      <c r="M585" s="130"/>
      <c r="S585" s="131"/>
      <c r="T585" s="131"/>
    </row>
    <row r="586" customHeight="1" spans="13:20">
      <c r="M586" s="130"/>
      <c r="S586" s="131"/>
      <c r="T586" s="131"/>
    </row>
    <row r="587" customHeight="1" spans="13:20">
      <c r="M587" s="130"/>
      <c r="S587" s="131"/>
      <c r="T587" s="131"/>
    </row>
    <row r="588" customHeight="1" spans="13:20">
      <c r="M588" s="130"/>
      <c r="S588" s="131"/>
      <c r="T588" s="131"/>
    </row>
    <row r="589" customHeight="1" spans="13:20">
      <c r="M589" s="130"/>
      <c r="S589" s="131"/>
      <c r="T589" s="131"/>
    </row>
    <row r="590" customHeight="1" spans="13:20">
      <c r="M590" s="130"/>
      <c r="S590" s="131"/>
      <c r="T590" s="131"/>
    </row>
    <row r="591" customHeight="1" spans="13:20">
      <c r="M591" s="130"/>
      <c r="S591" s="131"/>
      <c r="T591" s="131"/>
    </row>
    <row r="592" customHeight="1" spans="13:20">
      <c r="M592" s="130"/>
      <c r="S592" s="131"/>
      <c r="T592" s="131"/>
    </row>
    <row r="593" customHeight="1" spans="13:20">
      <c r="M593" s="130"/>
      <c r="S593" s="131"/>
      <c r="T593" s="131"/>
    </row>
    <row r="594" customHeight="1" spans="13:20">
      <c r="M594" s="130"/>
      <c r="S594" s="131"/>
      <c r="T594" s="131"/>
    </row>
    <row r="595" customHeight="1" spans="13:20">
      <c r="M595" s="130"/>
      <c r="S595" s="131"/>
      <c r="T595" s="131"/>
    </row>
    <row r="596" customHeight="1" spans="13:20">
      <c r="M596" s="130"/>
      <c r="S596" s="131"/>
      <c r="T596" s="131"/>
    </row>
    <row r="597" customHeight="1" spans="13:20">
      <c r="M597" s="130"/>
      <c r="S597" s="131"/>
      <c r="T597" s="131"/>
    </row>
    <row r="598" customHeight="1" spans="13:20">
      <c r="M598" s="130"/>
      <c r="S598" s="131"/>
      <c r="T598" s="131"/>
    </row>
    <row r="599" customHeight="1" spans="13:20">
      <c r="M599" s="130"/>
      <c r="S599" s="131"/>
      <c r="T599" s="131"/>
    </row>
    <row r="600" customHeight="1" spans="13:20">
      <c r="M600" s="130"/>
      <c r="S600" s="131"/>
      <c r="T600" s="131"/>
    </row>
    <row r="601" customHeight="1" spans="13:20">
      <c r="M601" s="130"/>
      <c r="S601" s="131"/>
      <c r="T601" s="131"/>
    </row>
    <row r="602" customHeight="1" spans="13:20">
      <c r="M602" s="130"/>
      <c r="S602" s="131"/>
      <c r="T602" s="131"/>
    </row>
    <row r="603" customHeight="1" spans="13:20">
      <c r="M603" s="130"/>
      <c r="S603" s="131"/>
      <c r="T603" s="131"/>
    </row>
    <row r="604" customHeight="1" spans="13:20">
      <c r="M604" s="130"/>
      <c r="S604" s="131"/>
      <c r="T604" s="131"/>
    </row>
    <row r="605" customHeight="1" spans="13:20">
      <c r="M605" s="130"/>
      <c r="S605" s="131"/>
      <c r="T605" s="131"/>
    </row>
    <row r="606" customHeight="1" spans="13:20">
      <c r="M606" s="130"/>
      <c r="S606" s="131"/>
      <c r="T606" s="131"/>
    </row>
    <row r="607" customHeight="1" spans="13:20">
      <c r="M607" s="130"/>
      <c r="S607" s="131"/>
      <c r="T607" s="131"/>
    </row>
    <row r="608" customHeight="1" spans="13:20">
      <c r="M608" s="130"/>
      <c r="S608" s="131"/>
      <c r="T608" s="131"/>
    </row>
    <row r="609" customHeight="1" spans="13:20">
      <c r="M609" s="130"/>
      <c r="S609" s="131"/>
      <c r="T609" s="131"/>
    </row>
    <row r="610" customHeight="1" spans="13:20">
      <c r="M610" s="130"/>
      <c r="S610" s="131"/>
      <c r="T610" s="131"/>
    </row>
    <row r="611" customHeight="1" spans="13:20">
      <c r="M611" s="130"/>
      <c r="S611" s="131"/>
      <c r="T611" s="131"/>
    </row>
    <row r="612" customHeight="1" spans="13:20">
      <c r="M612" s="130"/>
      <c r="S612" s="131"/>
      <c r="T612" s="131"/>
    </row>
    <row r="613" customHeight="1" spans="13:20">
      <c r="M613" s="130"/>
      <c r="S613" s="131"/>
      <c r="T613" s="131"/>
    </row>
    <row r="614" customHeight="1" spans="13:20">
      <c r="M614" s="130"/>
      <c r="S614" s="131"/>
      <c r="T614" s="131"/>
    </row>
    <row r="615" customHeight="1" spans="13:20">
      <c r="M615" s="130"/>
      <c r="S615" s="131"/>
      <c r="T615" s="131"/>
    </row>
    <row r="616" customHeight="1" spans="13:20">
      <c r="M616" s="130"/>
      <c r="S616" s="131"/>
      <c r="T616" s="131"/>
    </row>
    <row r="617" customHeight="1" spans="13:20">
      <c r="M617" s="130"/>
      <c r="S617" s="131"/>
      <c r="T617" s="131"/>
    </row>
    <row r="618" customHeight="1" spans="13:20">
      <c r="M618" s="130"/>
      <c r="S618" s="131"/>
      <c r="T618" s="131"/>
    </row>
    <row r="619" customHeight="1" spans="13:20">
      <c r="M619" s="130"/>
      <c r="S619" s="131"/>
      <c r="T619" s="131"/>
    </row>
    <row r="620" customHeight="1" spans="13:20">
      <c r="M620" s="130"/>
      <c r="S620" s="131"/>
      <c r="T620" s="131"/>
    </row>
    <row r="621" customHeight="1" spans="13:20">
      <c r="M621" s="130"/>
      <c r="S621" s="131"/>
      <c r="T621" s="131"/>
    </row>
    <row r="622" customHeight="1" spans="13:20">
      <c r="M622" s="130"/>
      <c r="S622" s="131"/>
      <c r="T622" s="131"/>
    </row>
    <row r="623" customHeight="1" spans="13:20">
      <c r="M623" s="130"/>
      <c r="S623" s="131"/>
      <c r="T623" s="131"/>
    </row>
    <row r="624" customHeight="1" spans="13:20">
      <c r="M624" s="130"/>
      <c r="S624" s="131"/>
      <c r="T624" s="131"/>
    </row>
    <row r="625" customHeight="1" spans="13:20">
      <c r="M625" s="130"/>
      <c r="S625" s="131"/>
      <c r="T625" s="131"/>
    </row>
    <row r="626" customHeight="1" spans="13:20">
      <c r="M626" s="130"/>
      <c r="S626" s="131"/>
      <c r="T626" s="131"/>
    </row>
    <row r="627" customHeight="1" spans="13:20">
      <c r="M627" s="130"/>
      <c r="S627" s="131"/>
      <c r="T627" s="131"/>
    </row>
    <row r="628" customHeight="1" spans="13:20">
      <c r="M628" s="130"/>
      <c r="S628" s="131"/>
      <c r="T628" s="131"/>
    </row>
    <row r="629" customHeight="1" spans="13:20">
      <c r="M629" s="130"/>
      <c r="S629" s="131"/>
      <c r="T629" s="131"/>
    </row>
    <row r="630" customHeight="1" spans="13:20">
      <c r="M630" s="130"/>
      <c r="S630" s="131"/>
      <c r="T630" s="131"/>
    </row>
    <row r="631" customHeight="1" spans="13:20">
      <c r="M631" s="130"/>
      <c r="S631" s="131"/>
      <c r="T631" s="131"/>
    </row>
    <row r="632" customHeight="1" spans="13:20">
      <c r="M632" s="130"/>
      <c r="S632" s="131"/>
      <c r="T632" s="131"/>
    </row>
    <row r="633" customHeight="1" spans="13:20">
      <c r="M633" s="130"/>
      <c r="S633" s="131"/>
      <c r="T633" s="131"/>
    </row>
    <row r="634" customHeight="1" spans="13:20">
      <c r="M634" s="130"/>
      <c r="S634" s="131"/>
      <c r="T634" s="131"/>
    </row>
    <row r="635" customHeight="1" spans="13:20">
      <c r="M635" s="130"/>
      <c r="S635" s="131"/>
      <c r="T635" s="131"/>
    </row>
    <row r="636" customHeight="1" spans="13:20">
      <c r="M636" s="130"/>
      <c r="S636" s="131"/>
      <c r="T636" s="131"/>
    </row>
    <row r="637" customHeight="1" spans="13:20">
      <c r="M637" s="130"/>
      <c r="S637" s="131"/>
      <c r="T637" s="131"/>
    </row>
    <row r="638" customHeight="1" spans="13:20">
      <c r="M638" s="130"/>
      <c r="S638" s="131"/>
      <c r="T638" s="131"/>
    </row>
    <row r="639" customHeight="1" spans="13:20">
      <c r="M639" s="130"/>
      <c r="S639" s="131"/>
      <c r="T639" s="131"/>
    </row>
    <row r="640" customHeight="1" spans="13:20">
      <c r="M640" s="130"/>
      <c r="S640" s="131"/>
      <c r="T640" s="131"/>
    </row>
    <row r="641" customHeight="1" spans="13:20">
      <c r="M641" s="130"/>
      <c r="S641" s="131"/>
      <c r="T641" s="131"/>
    </row>
    <row r="642" customHeight="1" spans="13:20">
      <c r="M642" s="130"/>
      <c r="S642" s="131"/>
      <c r="T642" s="131"/>
    </row>
    <row r="643" customHeight="1" spans="13:20">
      <c r="M643" s="130"/>
      <c r="S643" s="131"/>
      <c r="T643" s="131"/>
    </row>
    <row r="644" customHeight="1" spans="13:20">
      <c r="M644" s="130"/>
      <c r="S644" s="131"/>
      <c r="T644" s="131"/>
    </row>
    <row r="645" customHeight="1" spans="13:20">
      <c r="M645" s="130"/>
      <c r="S645" s="131"/>
      <c r="T645" s="131"/>
    </row>
    <row r="646" customHeight="1" spans="13:20">
      <c r="M646" s="130"/>
      <c r="S646" s="131"/>
      <c r="T646" s="131"/>
    </row>
    <row r="647" customHeight="1" spans="13:20">
      <c r="M647" s="130"/>
      <c r="S647" s="131"/>
      <c r="T647" s="131"/>
    </row>
    <row r="648" customHeight="1" spans="13:20">
      <c r="M648" s="130"/>
      <c r="S648" s="131"/>
      <c r="T648" s="131"/>
    </row>
    <row r="649" customHeight="1" spans="13:20">
      <c r="M649" s="130"/>
      <c r="S649" s="131"/>
      <c r="T649" s="131"/>
    </row>
    <row r="650" customHeight="1" spans="13:20">
      <c r="M650" s="130"/>
      <c r="S650" s="131"/>
      <c r="T650" s="131"/>
    </row>
    <row r="651" customHeight="1" spans="13:20">
      <c r="M651" s="130"/>
      <c r="S651" s="131"/>
      <c r="T651" s="131"/>
    </row>
    <row r="652" customHeight="1" spans="13:20">
      <c r="M652" s="130"/>
      <c r="S652" s="131"/>
      <c r="T652" s="131"/>
    </row>
    <row r="653" customHeight="1" spans="13:20">
      <c r="M653" s="130"/>
      <c r="S653" s="131"/>
      <c r="T653" s="131"/>
    </row>
    <row r="654" customHeight="1" spans="13:20">
      <c r="M654" s="130"/>
      <c r="S654" s="131"/>
      <c r="T654" s="131"/>
    </row>
    <row r="655" customHeight="1" spans="13:20">
      <c r="M655" s="130"/>
      <c r="S655" s="131"/>
      <c r="T655" s="131"/>
    </row>
    <row r="656" customHeight="1" spans="13:20">
      <c r="M656" s="130"/>
      <c r="S656" s="131"/>
      <c r="T656" s="131"/>
    </row>
    <row r="657" customHeight="1" spans="13:20">
      <c r="M657" s="130"/>
      <c r="S657" s="131"/>
      <c r="T657" s="131"/>
    </row>
    <row r="658" customHeight="1" spans="13:20">
      <c r="M658" s="130"/>
      <c r="S658" s="131"/>
      <c r="T658" s="131"/>
    </row>
    <row r="659" customHeight="1" spans="13:20">
      <c r="M659" s="130"/>
      <c r="S659" s="131"/>
      <c r="T659" s="131"/>
    </row>
    <row r="660" customHeight="1" spans="13:20">
      <c r="M660" s="130"/>
      <c r="S660" s="131"/>
      <c r="T660" s="131"/>
    </row>
    <row r="661" customHeight="1" spans="13:20">
      <c r="M661" s="130"/>
      <c r="S661" s="131"/>
      <c r="T661" s="131"/>
    </row>
    <row r="662" customHeight="1" spans="13:20">
      <c r="M662" s="130"/>
      <c r="S662" s="131"/>
      <c r="T662" s="131"/>
    </row>
    <row r="663" customHeight="1" spans="13:20">
      <c r="M663" s="130"/>
      <c r="S663" s="131"/>
      <c r="T663" s="131"/>
    </row>
    <row r="664" customHeight="1" spans="13:20">
      <c r="M664" s="130"/>
      <c r="S664" s="131"/>
      <c r="T664" s="131"/>
    </row>
    <row r="665" customHeight="1" spans="13:20">
      <c r="M665" s="130"/>
      <c r="S665" s="131"/>
      <c r="T665" s="131"/>
    </row>
    <row r="666" customHeight="1" spans="13:20">
      <c r="M666" s="130"/>
      <c r="S666" s="131"/>
      <c r="T666" s="131"/>
    </row>
    <row r="667" customHeight="1" spans="13:20">
      <c r="M667" s="130"/>
      <c r="S667" s="131"/>
      <c r="T667" s="131"/>
    </row>
    <row r="668" customHeight="1" spans="13:20">
      <c r="M668" s="130"/>
      <c r="S668" s="131"/>
      <c r="T668" s="131"/>
    </row>
    <row r="669" customHeight="1" spans="13:20">
      <c r="M669" s="130"/>
      <c r="S669" s="131"/>
      <c r="T669" s="131"/>
    </row>
    <row r="670" customHeight="1" spans="13:20">
      <c r="M670" s="130"/>
      <c r="S670" s="131"/>
      <c r="T670" s="131"/>
    </row>
    <row r="671" customHeight="1" spans="13:20">
      <c r="M671" s="130"/>
      <c r="S671" s="131"/>
      <c r="T671" s="131"/>
    </row>
    <row r="672" customHeight="1" spans="13:20">
      <c r="M672" s="130"/>
      <c r="S672" s="131"/>
      <c r="T672" s="131"/>
    </row>
    <row r="673" customHeight="1" spans="13:20">
      <c r="M673" s="130"/>
      <c r="S673" s="131"/>
      <c r="T673" s="131"/>
    </row>
    <row r="674" customHeight="1" spans="13:20">
      <c r="M674" s="130"/>
      <c r="S674" s="131"/>
      <c r="T674" s="131"/>
    </row>
    <row r="675" customHeight="1" spans="13:20">
      <c r="M675" s="130"/>
      <c r="S675" s="131"/>
      <c r="T675" s="131"/>
    </row>
    <row r="676" customHeight="1" spans="13:20">
      <c r="M676" s="130"/>
      <c r="S676" s="131"/>
      <c r="T676" s="131"/>
    </row>
    <row r="677" customHeight="1" spans="13:20">
      <c r="M677" s="130"/>
      <c r="S677" s="131"/>
      <c r="T677" s="131"/>
    </row>
    <row r="678" customHeight="1" spans="13:20">
      <c r="M678" s="130"/>
      <c r="S678" s="131"/>
      <c r="T678" s="131"/>
    </row>
    <row r="679" customHeight="1" spans="13:20">
      <c r="M679" s="130"/>
      <c r="S679" s="131"/>
      <c r="T679" s="131"/>
    </row>
    <row r="680" customHeight="1" spans="13:20">
      <c r="M680" s="130"/>
      <c r="S680" s="131"/>
      <c r="T680" s="131"/>
    </row>
    <row r="681" customHeight="1" spans="13:20">
      <c r="M681" s="130"/>
      <c r="S681" s="131"/>
      <c r="T681" s="131"/>
    </row>
    <row r="682" customHeight="1" spans="13:20">
      <c r="M682" s="130"/>
      <c r="S682" s="131"/>
      <c r="T682" s="131"/>
    </row>
    <row r="683" customHeight="1" spans="13:20">
      <c r="M683" s="130"/>
      <c r="S683" s="131"/>
      <c r="T683" s="131"/>
    </row>
    <row r="684" customHeight="1" spans="13:20">
      <c r="M684" s="130"/>
      <c r="S684" s="131"/>
      <c r="T684" s="131"/>
    </row>
    <row r="685" customHeight="1" spans="13:20">
      <c r="M685" s="130"/>
      <c r="S685" s="131"/>
      <c r="T685" s="131"/>
    </row>
    <row r="686" customHeight="1" spans="13:20">
      <c r="M686" s="130"/>
      <c r="S686" s="131"/>
      <c r="T686" s="131"/>
    </row>
    <row r="687" customHeight="1" spans="13:20">
      <c r="M687" s="130"/>
      <c r="S687" s="131"/>
      <c r="T687" s="131"/>
    </row>
    <row r="688" customHeight="1" spans="13:20">
      <c r="M688" s="130"/>
      <c r="S688" s="131"/>
      <c r="T688" s="131"/>
    </row>
    <row r="689" customHeight="1" spans="13:20">
      <c r="M689" s="130"/>
      <c r="S689" s="131"/>
      <c r="T689" s="131"/>
    </row>
    <row r="690" customHeight="1" spans="13:20">
      <c r="M690" s="130"/>
      <c r="S690" s="131"/>
      <c r="T690" s="131"/>
    </row>
    <row r="691" customHeight="1" spans="13:20">
      <c r="M691" s="130"/>
      <c r="S691" s="131"/>
      <c r="T691" s="131"/>
    </row>
    <row r="692" customHeight="1" spans="13:20">
      <c r="M692" s="130"/>
      <c r="S692" s="131"/>
      <c r="T692" s="131"/>
    </row>
    <row r="693" customHeight="1" spans="13:20">
      <c r="M693" s="130"/>
      <c r="S693" s="131"/>
      <c r="T693" s="131"/>
    </row>
    <row r="694" customHeight="1" spans="13:20">
      <c r="M694" s="130"/>
      <c r="S694" s="131"/>
      <c r="T694" s="131"/>
    </row>
    <row r="695" customHeight="1" spans="13:20">
      <c r="M695" s="130"/>
      <c r="S695" s="131"/>
      <c r="T695" s="131"/>
    </row>
    <row r="696" customHeight="1" spans="13:20">
      <c r="M696" s="130"/>
      <c r="S696" s="131"/>
      <c r="T696" s="131"/>
    </row>
    <row r="697" customHeight="1" spans="13:20">
      <c r="M697" s="130"/>
      <c r="S697" s="131"/>
      <c r="T697" s="131"/>
    </row>
    <row r="698" customHeight="1" spans="13:20">
      <c r="M698" s="130"/>
      <c r="S698" s="131"/>
      <c r="T698" s="131"/>
    </row>
    <row r="699" customHeight="1" spans="13:20">
      <c r="M699" s="130"/>
      <c r="S699" s="131"/>
      <c r="T699" s="131"/>
    </row>
    <row r="700" customHeight="1" spans="13:20">
      <c r="M700" s="130"/>
      <c r="S700" s="131"/>
      <c r="T700" s="131"/>
    </row>
    <row r="701" customHeight="1" spans="13:20">
      <c r="M701" s="130"/>
      <c r="S701" s="131"/>
      <c r="T701" s="131"/>
    </row>
    <row r="702" customHeight="1" spans="13:20">
      <c r="M702" s="130"/>
      <c r="S702" s="131"/>
      <c r="T702" s="131"/>
    </row>
    <row r="703" customHeight="1" spans="13:20">
      <c r="M703" s="130"/>
      <c r="S703" s="131"/>
      <c r="T703" s="131"/>
    </row>
    <row r="704" customHeight="1" spans="13:20">
      <c r="M704" s="130"/>
      <c r="S704" s="131"/>
      <c r="T704" s="131"/>
    </row>
    <row r="705" customHeight="1" spans="13:20">
      <c r="M705" s="130"/>
      <c r="S705" s="131"/>
      <c r="T705" s="131"/>
    </row>
    <row r="706" customHeight="1" spans="13:20">
      <c r="M706" s="130"/>
      <c r="S706" s="131"/>
      <c r="T706" s="131"/>
    </row>
    <row r="707" customHeight="1" spans="13:20">
      <c r="M707" s="130"/>
      <c r="S707" s="131"/>
      <c r="T707" s="131"/>
    </row>
    <row r="708" customHeight="1" spans="13:20">
      <c r="M708" s="130"/>
      <c r="S708" s="131"/>
      <c r="T708" s="131"/>
    </row>
    <row r="709" customHeight="1" spans="13:20">
      <c r="M709" s="130"/>
      <c r="S709" s="131"/>
      <c r="T709" s="131"/>
    </row>
    <row r="710" customHeight="1" spans="13:20">
      <c r="M710" s="130"/>
      <c r="S710" s="131"/>
      <c r="T710" s="131"/>
    </row>
    <row r="711" customHeight="1" spans="13:20">
      <c r="M711" s="130"/>
      <c r="S711" s="131"/>
      <c r="T711" s="131"/>
    </row>
    <row r="712" customHeight="1" spans="13:20">
      <c r="M712" s="130"/>
      <c r="S712" s="131"/>
      <c r="T712" s="131"/>
    </row>
    <row r="713" customHeight="1" spans="13:20">
      <c r="M713" s="130"/>
      <c r="S713" s="131"/>
      <c r="T713" s="131"/>
    </row>
    <row r="714" customHeight="1" spans="13:20">
      <c r="M714" s="130"/>
      <c r="S714" s="131"/>
      <c r="T714" s="131"/>
    </row>
    <row r="715" customHeight="1" spans="13:20">
      <c r="M715" s="130"/>
      <c r="S715" s="131"/>
      <c r="T715" s="131"/>
    </row>
    <row r="716" customHeight="1" spans="13:20">
      <c r="M716" s="130"/>
      <c r="S716" s="131"/>
      <c r="T716" s="131"/>
    </row>
    <row r="717" customHeight="1" spans="13:20">
      <c r="M717" s="130"/>
      <c r="S717" s="131"/>
      <c r="T717" s="131"/>
    </row>
    <row r="718" customHeight="1" spans="13:20">
      <c r="M718" s="130"/>
      <c r="S718" s="131"/>
      <c r="T718" s="131"/>
    </row>
    <row r="719" customHeight="1" spans="13:20">
      <c r="M719" s="130"/>
      <c r="S719" s="131"/>
      <c r="T719" s="131"/>
    </row>
    <row r="720" customHeight="1" spans="13:20">
      <c r="M720" s="130"/>
      <c r="S720" s="131"/>
      <c r="T720" s="131"/>
    </row>
    <row r="721" customHeight="1" spans="13:20">
      <c r="M721" s="130"/>
      <c r="S721" s="131"/>
      <c r="T721" s="131"/>
    </row>
    <row r="722" customHeight="1" spans="13:20">
      <c r="M722" s="130"/>
      <c r="S722" s="131"/>
      <c r="T722" s="131"/>
    </row>
    <row r="723" customHeight="1" spans="13:20">
      <c r="M723" s="130"/>
      <c r="S723" s="131"/>
      <c r="T723" s="131"/>
    </row>
    <row r="724" customHeight="1" spans="13:20">
      <c r="M724" s="130"/>
      <c r="S724" s="131"/>
      <c r="T724" s="131"/>
    </row>
    <row r="725" customHeight="1" spans="13:20">
      <c r="M725" s="130"/>
      <c r="S725" s="131"/>
      <c r="T725" s="131"/>
    </row>
    <row r="726" customHeight="1" spans="13:20">
      <c r="M726" s="130"/>
      <c r="S726" s="131"/>
      <c r="T726" s="131"/>
    </row>
    <row r="727" customHeight="1" spans="13:20">
      <c r="M727" s="130"/>
      <c r="S727" s="131"/>
      <c r="T727" s="131"/>
    </row>
    <row r="728" customHeight="1" spans="13:20">
      <c r="M728" s="130"/>
      <c r="S728" s="131"/>
      <c r="T728" s="131"/>
    </row>
    <row r="729" customHeight="1" spans="13:20">
      <c r="M729" s="130"/>
      <c r="S729" s="131"/>
      <c r="T729" s="131"/>
    </row>
    <row r="730" customHeight="1" spans="13:20">
      <c r="M730" s="130"/>
      <c r="S730" s="131"/>
      <c r="T730" s="131"/>
    </row>
    <row r="731" customHeight="1" spans="13:20">
      <c r="M731" s="130"/>
      <c r="S731" s="131"/>
      <c r="T731" s="131"/>
    </row>
    <row r="732" customHeight="1" spans="13:20">
      <c r="M732" s="130"/>
      <c r="S732" s="131"/>
      <c r="T732" s="131"/>
    </row>
    <row r="733" customHeight="1" spans="13:20">
      <c r="M733" s="130"/>
      <c r="S733" s="131"/>
      <c r="T733" s="131"/>
    </row>
    <row r="734" customHeight="1" spans="13:20">
      <c r="M734" s="130"/>
      <c r="S734" s="131"/>
      <c r="T734" s="131"/>
    </row>
    <row r="735" customHeight="1" spans="13:20">
      <c r="M735" s="130"/>
      <c r="S735" s="131"/>
      <c r="T735" s="131"/>
    </row>
    <row r="736" customHeight="1" spans="13:20">
      <c r="M736" s="130"/>
      <c r="S736" s="131"/>
      <c r="T736" s="131"/>
    </row>
    <row r="737" customHeight="1" spans="13:20">
      <c r="M737" s="130"/>
      <c r="S737" s="131"/>
      <c r="T737" s="131"/>
    </row>
    <row r="738" customHeight="1" spans="13:20">
      <c r="M738" s="130"/>
      <c r="S738" s="131"/>
      <c r="T738" s="131"/>
    </row>
    <row r="739" customHeight="1" spans="13:20">
      <c r="M739" s="130"/>
      <c r="S739" s="131"/>
      <c r="T739" s="131"/>
    </row>
    <row r="740" customHeight="1" spans="13:20">
      <c r="M740" s="130"/>
      <c r="S740" s="131"/>
      <c r="T740" s="131"/>
    </row>
    <row r="741" customHeight="1" spans="13:20">
      <c r="M741" s="130"/>
      <c r="S741" s="131"/>
      <c r="T741" s="131"/>
    </row>
    <row r="742" customHeight="1" spans="13:20">
      <c r="M742" s="130"/>
      <c r="S742" s="131"/>
      <c r="T742" s="131"/>
    </row>
    <row r="743" customHeight="1" spans="13:20">
      <c r="M743" s="130"/>
      <c r="S743" s="131"/>
      <c r="T743" s="131"/>
    </row>
    <row r="744" customHeight="1" spans="13:20">
      <c r="M744" s="130"/>
      <c r="S744" s="131"/>
      <c r="T744" s="131"/>
    </row>
    <row r="745" customHeight="1" spans="13:20">
      <c r="M745" s="130"/>
      <c r="S745" s="131"/>
      <c r="T745" s="131"/>
    </row>
    <row r="746" customHeight="1" spans="13:20">
      <c r="M746" s="130"/>
      <c r="S746" s="131"/>
      <c r="T746" s="131"/>
    </row>
    <row r="747" customHeight="1" spans="13:20">
      <c r="M747" s="130"/>
      <c r="S747" s="131"/>
      <c r="T747" s="131"/>
    </row>
    <row r="748" customHeight="1" spans="13:20">
      <c r="M748" s="130"/>
      <c r="S748" s="131"/>
      <c r="T748" s="131"/>
    </row>
    <row r="749" customHeight="1" spans="13:20">
      <c r="M749" s="130"/>
      <c r="S749" s="131"/>
      <c r="T749" s="131"/>
    </row>
    <row r="750" customHeight="1" spans="13:20">
      <c r="M750" s="130"/>
      <c r="S750" s="131"/>
      <c r="T750" s="131"/>
    </row>
    <row r="751" customHeight="1" spans="13:20">
      <c r="M751" s="130"/>
      <c r="S751" s="131"/>
      <c r="T751" s="131"/>
    </row>
    <row r="752" customHeight="1" spans="13:20">
      <c r="M752" s="130"/>
      <c r="S752" s="131"/>
      <c r="T752" s="131"/>
    </row>
    <row r="753" customHeight="1" spans="13:20">
      <c r="M753" s="130"/>
      <c r="S753" s="131"/>
      <c r="T753" s="131"/>
    </row>
    <row r="754" customHeight="1" spans="13:20">
      <c r="M754" s="130"/>
      <c r="S754" s="131"/>
      <c r="T754" s="131"/>
    </row>
    <row r="755" customHeight="1" spans="13:20">
      <c r="M755" s="130"/>
      <c r="S755" s="131"/>
      <c r="T755" s="131"/>
    </row>
    <row r="756" customHeight="1" spans="13:20">
      <c r="M756" s="130"/>
      <c r="S756" s="131"/>
      <c r="T756" s="131"/>
    </row>
    <row r="757" customHeight="1" spans="13:20">
      <c r="M757" s="130"/>
      <c r="S757" s="131"/>
      <c r="T757" s="131"/>
    </row>
    <row r="758" customHeight="1" spans="13:20">
      <c r="M758" s="130"/>
      <c r="S758" s="131"/>
      <c r="T758" s="131"/>
    </row>
    <row r="759" customHeight="1" spans="13:20">
      <c r="M759" s="130"/>
      <c r="S759" s="131"/>
      <c r="T759" s="131"/>
    </row>
    <row r="760" customHeight="1" spans="13:20">
      <c r="M760" s="130"/>
      <c r="S760" s="131"/>
      <c r="T760" s="131"/>
    </row>
    <row r="761" customHeight="1" spans="13:20">
      <c r="M761" s="130"/>
      <c r="S761" s="131"/>
      <c r="T761" s="131"/>
    </row>
    <row r="762" customHeight="1" spans="13:20">
      <c r="M762" s="130"/>
      <c r="S762" s="131"/>
      <c r="T762" s="131"/>
    </row>
    <row r="763" customHeight="1" spans="13:20">
      <c r="M763" s="130"/>
      <c r="S763" s="131"/>
      <c r="T763" s="131"/>
    </row>
    <row r="764" customHeight="1" spans="13:20">
      <c r="M764" s="130"/>
      <c r="S764" s="131"/>
      <c r="T764" s="131"/>
    </row>
    <row r="765" customHeight="1" spans="13:20">
      <c r="M765" s="130"/>
      <c r="S765" s="131"/>
      <c r="T765" s="131"/>
    </row>
    <row r="766" customHeight="1" spans="13:20">
      <c r="M766" s="130"/>
      <c r="S766" s="131"/>
      <c r="T766" s="131"/>
    </row>
    <row r="767" customHeight="1" spans="13:20">
      <c r="M767" s="130"/>
      <c r="S767" s="131"/>
      <c r="T767" s="131"/>
    </row>
    <row r="768" customHeight="1" spans="13:20">
      <c r="M768" s="130"/>
      <c r="S768" s="131"/>
      <c r="T768" s="131"/>
    </row>
    <row r="769" customHeight="1" spans="13:20">
      <c r="M769" s="130"/>
      <c r="S769" s="131"/>
      <c r="T769" s="131"/>
    </row>
    <row r="770" customHeight="1" spans="13:20">
      <c r="M770" s="130"/>
      <c r="S770" s="131"/>
      <c r="T770" s="131"/>
    </row>
    <row r="771" customHeight="1" spans="13:20">
      <c r="M771" s="130"/>
      <c r="S771" s="131"/>
      <c r="T771" s="131"/>
    </row>
    <row r="772" customHeight="1" spans="13:20">
      <c r="M772" s="130"/>
      <c r="S772" s="131"/>
      <c r="T772" s="131"/>
    </row>
    <row r="773" customHeight="1" spans="13:20">
      <c r="M773" s="130"/>
      <c r="S773" s="131"/>
      <c r="T773" s="131"/>
    </row>
    <row r="774" customHeight="1" spans="13:20">
      <c r="M774" s="130"/>
      <c r="S774" s="131"/>
      <c r="T774" s="131"/>
    </row>
    <row r="775" customHeight="1" spans="13:20">
      <c r="M775" s="130"/>
      <c r="S775" s="131"/>
      <c r="T775" s="131"/>
    </row>
    <row r="776" customHeight="1" spans="13:20">
      <c r="M776" s="130"/>
      <c r="S776" s="131"/>
      <c r="T776" s="131"/>
    </row>
    <row r="777" customHeight="1" spans="13:20">
      <c r="M777" s="130"/>
      <c r="S777" s="131"/>
      <c r="T777" s="131"/>
    </row>
    <row r="778" customHeight="1" spans="13:20">
      <c r="M778" s="130"/>
      <c r="S778" s="131"/>
      <c r="T778" s="131"/>
    </row>
    <row r="779" customHeight="1" spans="13:20">
      <c r="M779" s="130"/>
      <c r="S779" s="131"/>
      <c r="T779" s="131"/>
    </row>
    <row r="780" customHeight="1" spans="13:20">
      <c r="M780" s="130"/>
      <c r="S780" s="131"/>
      <c r="T780" s="131"/>
    </row>
    <row r="781" customHeight="1" spans="13:20">
      <c r="M781" s="130"/>
      <c r="S781" s="131"/>
      <c r="T781" s="131"/>
    </row>
    <row r="782" customHeight="1" spans="13:20">
      <c r="M782" s="130"/>
      <c r="S782" s="131"/>
      <c r="T782" s="131"/>
    </row>
    <row r="783" customHeight="1" spans="13:20">
      <c r="M783" s="130"/>
      <c r="S783" s="131"/>
      <c r="T783" s="131"/>
    </row>
    <row r="784" customHeight="1" spans="13:20">
      <c r="M784" s="130"/>
      <c r="S784" s="131"/>
      <c r="T784" s="131"/>
    </row>
    <row r="785" customHeight="1" spans="13:20">
      <c r="M785" s="130"/>
      <c r="S785" s="131"/>
      <c r="T785" s="131"/>
    </row>
    <row r="786" customHeight="1" spans="13:20">
      <c r="M786" s="130"/>
      <c r="S786" s="131"/>
      <c r="T786" s="131"/>
    </row>
    <row r="787" customHeight="1" spans="13:20">
      <c r="M787" s="130"/>
      <c r="S787" s="131"/>
      <c r="T787" s="131"/>
    </row>
    <row r="788" customHeight="1" spans="13:20">
      <c r="M788" s="130"/>
      <c r="S788" s="131"/>
      <c r="T788" s="131"/>
    </row>
    <row r="789" customHeight="1" spans="13:20">
      <c r="M789" s="130"/>
      <c r="S789" s="131"/>
      <c r="T789" s="131"/>
    </row>
    <row r="790" customHeight="1" spans="13:20">
      <c r="M790" s="130"/>
      <c r="S790" s="131"/>
      <c r="T790" s="131"/>
    </row>
    <row r="791" customHeight="1" spans="13:20">
      <c r="M791" s="130"/>
      <c r="S791" s="131"/>
      <c r="T791" s="131"/>
    </row>
    <row r="792" customHeight="1" spans="13:20">
      <c r="M792" s="130"/>
      <c r="S792" s="131"/>
      <c r="T792" s="131"/>
    </row>
    <row r="793" customHeight="1" spans="13:20">
      <c r="M793" s="130"/>
      <c r="S793" s="131"/>
      <c r="T793" s="131"/>
    </row>
    <row r="794" customHeight="1" spans="13:20">
      <c r="M794" s="130"/>
      <c r="S794" s="131"/>
      <c r="T794" s="131"/>
    </row>
    <row r="795" customHeight="1" spans="13:20">
      <c r="M795" s="130"/>
      <c r="S795" s="131"/>
      <c r="T795" s="131"/>
    </row>
    <row r="796" customHeight="1" spans="13:20">
      <c r="M796" s="130"/>
      <c r="S796" s="131"/>
      <c r="T796" s="131"/>
    </row>
    <row r="797" customHeight="1" spans="13:20">
      <c r="M797" s="130"/>
      <c r="S797" s="131"/>
      <c r="T797" s="131"/>
    </row>
    <row r="798" customHeight="1" spans="13:20">
      <c r="M798" s="130"/>
      <c r="S798" s="131"/>
      <c r="T798" s="131"/>
    </row>
    <row r="799" customHeight="1" spans="13:20">
      <c r="M799" s="130"/>
      <c r="S799" s="131"/>
      <c r="T799" s="131"/>
    </row>
    <row r="800" customHeight="1" spans="13:20">
      <c r="M800" s="130"/>
      <c r="S800" s="131"/>
      <c r="T800" s="131"/>
    </row>
    <row r="801" customHeight="1" spans="13:20">
      <c r="M801" s="130"/>
      <c r="S801" s="131"/>
      <c r="T801" s="131"/>
    </row>
    <row r="802" customHeight="1" spans="13:20">
      <c r="M802" s="130"/>
      <c r="S802" s="131"/>
      <c r="T802" s="131"/>
    </row>
    <row r="803" customHeight="1" spans="13:20">
      <c r="M803" s="130"/>
      <c r="S803" s="131"/>
      <c r="T803" s="131"/>
    </row>
    <row r="804" customHeight="1" spans="13:20">
      <c r="M804" s="130"/>
      <c r="S804" s="131"/>
      <c r="T804" s="131"/>
    </row>
    <row r="805" customHeight="1" spans="13:20">
      <c r="M805" s="130"/>
      <c r="S805" s="131"/>
      <c r="T805" s="131"/>
    </row>
    <row r="806" customHeight="1" spans="13:20">
      <c r="M806" s="130"/>
      <c r="S806" s="131"/>
      <c r="T806" s="131"/>
    </row>
    <row r="807" customHeight="1" spans="13:20">
      <c r="M807" s="130"/>
      <c r="S807" s="131"/>
      <c r="T807" s="131"/>
    </row>
    <row r="808" customHeight="1" spans="13:20">
      <c r="M808" s="130"/>
      <c r="S808" s="131"/>
      <c r="T808" s="131"/>
    </row>
    <row r="809" customHeight="1" spans="13:20">
      <c r="M809" s="130"/>
      <c r="S809" s="131"/>
      <c r="T809" s="131"/>
    </row>
    <row r="810" customHeight="1" spans="13:20">
      <c r="M810" s="130"/>
      <c r="S810" s="131"/>
      <c r="T810" s="131"/>
    </row>
    <row r="811" customHeight="1" spans="13:20">
      <c r="M811" s="130"/>
      <c r="S811" s="131"/>
      <c r="T811" s="131"/>
    </row>
    <row r="812" customHeight="1" spans="13:20">
      <c r="M812" s="130"/>
      <c r="S812" s="131"/>
      <c r="T812" s="131"/>
    </row>
    <row r="813" customHeight="1" spans="13:20">
      <c r="M813" s="130"/>
      <c r="S813" s="131"/>
      <c r="T813" s="131"/>
    </row>
    <row r="814" customHeight="1" spans="13:20">
      <c r="M814" s="130"/>
      <c r="S814" s="131"/>
      <c r="T814" s="131"/>
    </row>
    <row r="815" customHeight="1" spans="13:20">
      <c r="M815" s="130"/>
      <c r="S815" s="131"/>
      <c r="T815" s="131"/>
    </row>
    <row r="816" customHeight="1" spans="13:20">
      <c r="M816" s="130"/>
      <c r="S816" s="131"/>
      <c r="T816" s="131"/>
    </row>
    <row r="817" customHeight="1" spans="13:20">
      <c r="M817" s="130"/>
      <c r="S817" s="131"/>
      <c r="T817" s="131"/>
    </row>
    <row r="818" customHeight="1" spans="13:20">
      <c r="M818" s="130"/>
      <c r="S818" s="131"/>
      <c r="T818" s="131"/>
    </row>
    <row r="819" customHeight="1" spans="13:20">
      <c r="M819" s="130"/>
      <c r="S819" s="131"/>
      <c r="T819" s="131"/>
    </row>
    <row r="820" customHeight="1" spans="13:20">
      <c r="M820" s="130"/>
      <c r="S820" s="131"/>
      <c r="T820" s="131"/>
    </row>
    <row r="821" customHeight="1" spans="13:20">
      <c r="M821" s="130"/>
      <c r="S821" s="131"/>
      <c r="T821" s="131"/>
    </row>
    <row r="822" customHeight="1" spans="13:20">
      <c r="M822" s="130"/>
      <c r="S822" s="131"/>
      <c r="T822" s="131"/>
    </row>
    <row r="823" customHeight="1" spans="13:20">
      <c r="M823" s="130"/>
      <c r="S823" s="131"/>
      <c r="T823" s="131"/>
    </row>
    <row r="824" customHeight="1" spans="13:20">
      <c r="M824" s="130"/>
      <c r="S824" s="131"/>
      <c r="T824" s="131"/>
    </row>
    <row r="825" customHeight="1" spans="13:20">
      <c r="M825" s="130"/>
      <c r="S825" s="131"/>
      <c r="T825" s="131"/>
    </row>
    <row r="826" customHeight="1" spans="13:20">
      <c r="M826" s="130"/>
      <c r="S826" s="131"/>
      <c r="T826" s="131"/>
    </row>
    <row r="827" customHeight="1" spans="13:20">
      <c r="M827" s="130"/>
      <c r="S827" s="131"/>
      <c r="T827" s="131"/>
    </row>
    <row r="828" customHeight="1" spans="13:20">
      <c r="M828" s="130"/>
      <c r="S828" s="131"/>
      <c r="T828" s="131"/>
    </row>
    <row r="829" customHeight="1" spans="13:20">
      <c r="M829" s="130"/>
      <c r="S829" s="131"/>
      <c r="T829" s="131"/>
    </row>
    <row r="830" customHeight="1" spans="13:20">
      <c r="M830" s="130"/>
      <c r="S830" s="131"/>
      <c r="T830" s="131"/>
    </row>
    <row r="831" customHeight="1" spans="13:20">
      <c r="M831" s="130"/>
      <c r="S831" s="131"/>
      <c r="T831" s="131"/>
    </row>
    <row r="832" customHeight="1" spans="13:20">
      <c r="M832" s="130"/>
      <c r="S832" s="131"/>
      <c r="T832" s="131"/>
    </row>
    <row r="833" customHeight="1" spans="13:20">
      <c r="M833" s="130"/>
      <c r="S833" s="131"/>
      <c r="T833" s="131"/>
    </row>
    <row r="834" customHeight="1" spans="13:20">
      <c r="M834" s="130"/>
      <c r="S834" s="131"/>
      <c r="T834" s="131"/>
    </row>
    <row r="835" customHeight="1" spans="13:20">
      <c r="M835" s="130"/>
      <c r="S835" s="131"/>
      <c r="T835" s="131"/>
    </row>
    <row r="836" customHeight="1" spans="13:20">
      <c r="M836" s="130"/>
      <c r="S836" s="131"/>
      <c r="T836" s="131"/>
    </row>
    <row r="837" customHeight="1" spans="13:20">
      <c r="M837" s="130"/>
      <c r="S837" s="131"/>
      <c r="T837" s="131"/>
    </row>
    <row r="838" customHeight="1" spans="13:20">
      <c r="M838" s="130"/>
      <c r="S838" s="131"/>
      <c r="T838" s="131"/>
    </row>
    <row r="839" customHeight="1" spans="13:20">
      <c r="M839" s="130"/>
      <c r="S839" s="131"/>
      <c r="T839" s="131"/>
    </row>
    <row r="840" customHeight="1" spans="13:20">
      <c r="M840" s="130"/>
      <c r="S840" s="131"/>
      <c r="T840" s="131"/>
    </row>
    <row r="841" customHeight="1" spans="13:20">
      <c r="M841" s="130"/>
      <c r="S841" s="131"/>
      <c r="T841" s="131"/>
    </row>
    <row r="842" customHeight="1" spans="13:20">
      <c r="M842" s="130"/>
      <c r="S842" s="131"/>
      <c r="T842" s="131"/>
    </row>
    <row r="843" customHeight="1" spans="13:20">
      <c r="M843" s="130"/>
      <c r="S843" s="131"/>
      <c r="T843" s="131"/>
    </row>
    <row r="844" customHeight="1" spans="13:20">
      <c r="M844" s="130"/>
      <c r="S844" s="131"/>
      <c r="T844" s="131"/>
    </row>
    <row r="845" customHeight="1" spans="13:20">
      <c r="M845" s="130"/>
      <c r="S845" s="131"/>
      <c r="T845" s="131"/>
    </row>
    <row r="846" customHeight="1" spans="13:20">
      <c r="M846" s="130"/>
      <c r="S846" s="131"/>
      <c r="T846" s="131"/>
    </row>
    <row r="847" customHeight="1" spans="13:20">
      <c r="M847" s="130"/>
      <c r="S847" s="131"/>
      <c r="T847" s="131"/>
    </row>
    <row r="848" customHeight="1" spans="13:20">
      <c r="M848" s="130"/>
      <c r="S848" s="131"/>
      <c r="T848" s="131"/>
    </row>
    <row r="849" customHeight="1" spans="13:20">
      <c r="M849" s="130"/>
      <c r="S849" s="131"/>
      <c r="T849" s="131"/>
    </row>
    <row r="850" customHeight="1" spans="13:20">
      <c r="M850" s="130"/>
      <c r="S850" s="131"/>
      <c r="T850" s="131"/>
    </row>
    <row r="851" customHeight="1" spans="13:20">
      <c r="M851" s="130"/>
      <c r="S851" s="131"/>
      <c r="T851" s="131"/>
    </row>
    <row r="852" customHeight="1" spans="13:20">
      <c r="M852" s="130"/>
      <c r="S852" s="131"/>
      <c r="T852" s="131"/>
    </row>
    <row r="853" customHeight="1" spans="13:20">
      <c r="M853" s="130"/>
      <c r="S853" s="131"/>
      <c r="T853" s="131"/>
    </row>
    <row r="854" customHeight="1" spans="13:20">
      <c r="M854" s="130"/>
      <c r="S854" s="131"/>
      <c r="T854" s="131"/>
    </row>
    <row r="855" customHeight="1" spans="13:20">
      <c r="M855" s="130"/>
      <c r="S855" s="131"/>
      <c r="T855" s="131"/>
    </row>
    <row r="856" customHeight="1" spans="13:20">
      <c r="M856" s="130"/>
      <c r="S856" s="131"/>
      <c r="T856" s="131"/>
    </row>
    <row r="857" customHeight="1" spans="13:20">
      <c r="M857" s="130"/>
      <c r="S857" s="131"/>
      <c r="T857" s="131"/>
    </row>
    <row r="858" customHeight="1" spans="13:20">
      <c r="M858" s="130"/>
      <c r="S858" s="131"/>
      <c r="T858" s="131"/>
    </row>
    <row r="859" customHeight="1" spans="13:20">
      <c r="M859" s="130"/>
      <c r="S859" s="131"/>
      <c r="T859" s="131"/>
    </row>
    <row r="860" customHeight="1" spans="13:20">
      <c r="M860" s="130"/>
      <c r="S860" s="131"/>
      <c r="T860" s="131"/>
    </row>
    <row r="861" customHeight="1" spans="13:20">
      <c r="M861" s="130"/>
      <c r="S861" s="131"/>
      <c r="T861" s="131"/>
    </row>
    <row r="862" customHeight="1" spans="13:20">
      <c r="M862" s="130"/>
      <c r="S862" s="131"/>
      <c r="T862" s="131"/>
    </row>
    <row r="863" customHeight="1" spans="13:20">
      <c r="M863" s="130"/>
      <c r="S863" s="131"/>
      <c r="T863" s="131"/>
    </row>
    <row r="864" customHeight="1" spans="13:20">
      <c r="M864" s="130"/>
      <c r="S864" s="131"/>
      <c r="T864" s="131"/>
    </row>
    <row r="865" customHeight="1" spans="13:20">
      <c r="M865" s="130"/>
      <c r="S865" s="131"/>
      <c r="T865" s="131"/>
    </row>
    <row r="866" customHeight="1" spans="13:20">
      <c r="M866" s="130"/>
      <c r="S866" s="131"/>
      <c r="T866" s="131"/>
    </row>
    <row r="867" customHeight="1" spans="13:20">
      <c r="M867" s="130"/>
      <c r="S867" s="131"/>
      <c r="T867" s="131"/>
    </row>
    <row r="868" customHeight="1" spans="13:20">
      <c r="M868" s="130"/>
      <c r="S868" s="131"/>
      <c r="T868" s="131"/>
    </row>
    <row r="869" customHeight="1" spans="13:20">
      <c r="M869" s="130"/>
      <c r="S869" s="131"/>
      <c r="T869" s="131"/>
    </row>
    <row r="870" customHeight="1" spans="13:20">
      <c r="M870" s="130"/>
      <c r="S870" s="131"/>
      <c r="T870" s="131"/>
    </row>
    <row r="871" customHeight="1" spans="13:20">
      <c r="M871" s="130"/>
      <c r="S871" s="131"/>
      <c r="T871" s="131"/>
    </row>
    <row r="872" customHeight="1" spans="13:20">
      <c r="M872" s="130"/>
      <c r="S872" s="131"/>
      <c r="T872" s="131"/>
    </row>
    <row r="873" customHeight="1" spans="13:20">
      <c r="M873" s="130"/>
      <c r="S873" s="131"/>
      <c r="T873" s="131"/>
    </row>
    <row r="874" customHeight="1" spans="13:20">
      <c r="M874" s="130"/>
      <c r="S874" s="131"/>
      <c r="T874" s="131"/>
    </row>
    <row r="875" customHeight="1" spans="13:20">
      <c r="M875" s="130"/>
      <c r="S875" s="131"/>
      <c r="T875" s="131"/>
    </row>
    <row r="876" customHeight="1" spans="13:20">
      <c r="M876" s="130"/>
      <c r="S876" s="131"/>
      <c r="T876" s="131"/>
    </row>
    <row r="877" customHeight="1" spans="13:20">
      <c r="M877" s="130"/>
      <c r="S877" s="131"/>
      <c r="T877" s="131"/>
    </row>
    <row r="878" customHeight="1" spans="13:20">
      <c r="M878" s="130"/>
      <c r="S878" s="131"/>
      <c r="T878" s="131"/>
    </row>
    <row r="879" customHeight="1" spans="13:20">
      <c r="M879" s="130"/>
      <c r="S879" s="131"/>
      <c r="T879" s="131"/>
    </row>
    <row r="880" customHeight="1" spans="13:20">
      <c r="M880" s="130"/>
      <c r="S880" s="131"/>
      <c r="T880" s="131"/>
    </row>
    <row r="881" customHeight="1" spans="13:20">
      <c r="M881" s="130"/>
      <c r="S881" s="131"/>
      <c r="T881" s="131"/>
    </row>
    <row r="882" customHeight="1" spans="13:20">
      <c r="M882" s="130"/>
      <c r="S882" s="131"/>
      <c r="T882" s="131"/>
    </row>
    <row r="883" customHeight="1" spans="13:20">
      <c r="M883" s="130"/>
      <c r="S883" s="131"/>
      <c r="T883" s="131"/>
    </row>
    <row r="884" customHeight="1" spans="13:20">
      <c r="M884" s="130"/>
      <c r="S884" s="131"/>
      <c r="T884" s="131"/>
    </row>
    <row r="885" customHeight="1" spans="13:20">
      <c r="M885" s="130"/>
      <c r="S885" s="131"/>
      <c r="T885" s="131"/>
    </row>
    <row r="886" customHeight="1" spans="13:20">
      <c r="M886" s="130"/>
      <c r="S886" s="131"/>
      <c r="T886" s="131"/>
    </row>
    <row r="887" customHeight="1" spans="13:20">
      <c r="M887" s="130"/>
      <c r="S887" s="131"/>
      <c r="T887" s="131"/>
    </row>
    <row r="888" customHeight="1" spans="13:20">
      <c r="M888" s="130"/>
      <c r="S888" s="131"/>
      <c r="T888" s="131"/>
    </row>
    <row r="889" customHeight="1" spans="13:20">
      <c r="M889" s="130"/>
      <c r="S889" s="131"/>
      <c r="T889" s="131"/>
    </row>
    <row r="890" customHeight="1" spans="13:20">
      <c r="M890" s="130"/>
      <c r="S890" s="131"/>
      <c r="T890" s="131"/>
    </row>
    <row r="891" customHeight="1" spans="13:20">
      <c r="M891" s="130"/>
      <c r="S891" s="131"/>
      <c r="T891" s="131"/>
    </row>
    <row r="892" customHeight="1" spans="13:20">
      <c r="M892" s="130"/>
      <c r="S892" s="131"/>
      <c r="T892" s="131"/>
    </row>
    <row r="893" customHeight="1" spans="13:20">
      <c r="M893" s="130"/>
      <c r="S893" s="131"/>
      <c r="T893" s="131"/>
    </row>
    <row r="894" customHeight="1" spans="13:20">
      <c r="M894" s="130"/>
      <c r="S894" s="131"/>
      <c r="T894" s="131"/>
    </row>
    <row r="895" customHeight="1" spans="13:20">
      <c r="M895" s="130"/>
      <c r="S895" s="131"/>
      <c r="T895" s="131"/>
    </row>
    <row r="896" customHeight="1" spans="13:20">
      <c r="M896" s="130"/>
      <c r="S896" s="131"/>
      <c r="T896" s="131"/>
    </row>
    <row r="897" customHeight="1" spans="13:20">
      <c r="M897" s="130"/>
      <c r="S897" s="131"/>
      <c r="T897" s="131"/>
    </row>
    <row r="898" customHeight="1" spans="13:20">
      <c r="M898" s="130"/>
      <c r="S898" s="131"/>
      <c r="T898" s="131"/>
    </row>
    <row r="899" customHeight="1" spans="13:20">
      <c r="M899" s="130"/>
      <c r="S899" s="131"/>
      <c r="T899" s="131"/>
    </row>
    <row r="900" customHeight="1" spans="13:20">
      <c r="M900" s="130"/>
      <c r="S900" s="131"/>
      <c r="T900" s="131"/>
    </row>
    <row r="901" customHeight="1" spans="13:20">
      <c r="M901" s="130"/>
      <c r="S901" s="131"/>
      <c r="T901" s="131"/>
    </row>
    <row r="902" customHeight="1" spans="13:20">
      <c r="M902" s="130"/>
      <c r="S902" s="131"/>
      <c r="T902" s="131"/>
    </row>
    <row r="903" customHeight="1" spans="13:20">
      <c r="M903" s="130"/>
      <c r="S903" s="131"/>
      <c r="T903" s="131"/>
    </row>
    <row r="904" customHeight="1" spans="13:20">
      <c r="M904" s="130"/>
      <c r="S904" s="131"/>
      <c r="T904" s="131"/>
    </row>
    <row r="905" customHeight="1" spans="13:20">
      <c r="M905" s="130"/>
      <c r="S905" s="131"/>
      <c r="T905" s="131"/>
    </row>
    <row r="906" customHeight="1" spans="13:20">
      <c r="M906" s="130"/>
      <c r="S906" s="131"/>
      <c r="T906" s="131"/>
    </row>
    <row r="907" customHeight="1" spans="13:20">
      <c r="M907" s="130"/>
      <c r="S907" s="131"/>
      <c r="T907" s="131"/>
    </row>
    <row r="908" customHeight="1" spans="13:20">
      <c r="M908" s="130"/>
      <c r="S908" s="131"/>
      <c r="T908" s="131"/>
    </row>
    <row r="909" customHeight="1" spans="13:20">
      <c r="M909" s="130"/>
      <c r="S909" s="131"/>
      <c r="T909" s="131"/>
    </row>
    <row r="910" customHeight="1" spans="13:20">
      <c r="M910" s="130"/>
      <c r="S910" s="131"/>
      <c r="T910" s="131"/>
    </row>
    <row r="911" customHeight="1" spans="13:20">
      <c r="M911" s="130"/>
      <c r="S911" s="131"/>
      <c r="T911" s="131"/>
    </row>
    <row r="912" customHeight="1" spans="13:20">
      <c r="M912" s="130"/>
      <c r="S912" s="131"/>
      <c r="T912" s="131"/>
    </row>
    <row r="913" customHeight="1" spans="1:26">
      <c r="M913" s="130"/>
      <c r="S913" s="131"/>
      <c r="T913" s="131"/>
    </row>
    <row r="916" customHeight="1" spans="1:26">
      <c r="B916" s="33"/>
    </row>
    <row r="917" customHeight="1" spans="1:26">
      <c r="A917" s="132"/>
      <c r="B917" s="64"/>
      <c r="C917" s="133"/>
      <c r="D917" s="133"/>
    </row>
    <row r="918" customHeight="1" spans="1:26">
      <c r="A918" s="99"/>
      <c r="B918" s="64"/>
      <c r="C918" s="134"/>
      <c r="D918" s="133"/>
    </row>
    <row r="919" customHeight="1" spans="1:26">
      <c r="A919" s="99"/>
      <c r="B919" s="135"/>
      <c r="C919" s="133"/>
      <c r="D919" s="133"/>
    </row>
    <row r="920" customHeight="1" spans="1:26">
      <c r="A920" s="99"/>
      <c r="B920" s="64"/>
      <c r="C920" s="133"/>
      <c r="D920" s="134"/>
    </row>
    <row r="921" customHeight="1" spans="1:26">
      <c r="A921" s="99"/>
      <c r="B921" s="64"/>
      <c r="C921" s="136"/>
      <c r="D921" s="136"/>
    </row>
    <row r="922" customHeight="1" spans="1:26">
      <c r="D922" s="70"/>
      <c r="Z922" s="70">
        <f>SUBTOTAL(9,Z44:Z921)</f>
        <v>76619.91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6 A176:A1048576">
    <cfRule type="duplicateValues" dxfId="55" priority="1"/>
  </conditionalFormatting>
  <pageMargins left="0.75" right="0.75" top="1" bottom="1" header="0.5" footer="0.5"/>
  <headerFooter/>
  <ignoredErrors>
    <ignoredError sqref="A132:AQ922 V128:AQ131 U126:AQ127 A126:B131 A121:AQ121 A122:T122 V122:AQ122 A123:AQ125 V120:AQ120 A120:T120 A1:AQ119" numberStoredAsText="1"/>
  </ignoredErrors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1000"/>
  <sheetViews>
    <sheetView zoomScale="90" zoomScaleNormal="90" topLeftCell="F913" workbookViewId="0">
      <selection activeCell="D927" sqref="D92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9" width="10.4095238095238" style="23" customWidth="1"/>
    <col min="10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6.1904761904762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3" t="s">
        <v>611</v>
      </c>
      <c r="B1" s="33" t="s">
        <v>612</v>
      </c>
      <c r="C1" s="33" t="s">
        <v>319</v>
      </c>
      <c r="D1" s="33" t="s">
        <v>1</v>
      </c>
      <c r="E1" s="34" t="s">
        <v>613</v>
      </c>
      <c r="F1" s="34" t="s">
        <v>614</v>
      </c>
      <c r="G1" s="34" t="s">
        <v>615</v>
      </c>
      <c r="H1" s="34" t="s">
        <v>616</v>
      </c>
      <c r="I1" s="34" t="s">
        <v>617</v>
      </c>
      <c r="J1" s="34" t="s">
        <v>618</v>
      </c>
      <c r="K1" s="35" t="s">
        <v>619</v>
      </c>
      <c r="L1" s="33" t="s">
        <v>620</v>
      </c>
      <c r="M1" s="33" t="s">
        <v>621</v>
      </c>
      <c r="N1" s="33" t="s">
        <v>622</v>
      </c>
      <c r="O1" s="33" t="s">
        <v>623</v>
      </c>
      <c r="P1" s="33" t="s">
        <v>624</v>
      </c>
      <c r="Q1" s="36" t="s">
        <v>625</v>
      </c>
      <c r="R1" s="33" t="s">
        <v>626</v>
      </c>
      <c r="S1" s="33" t="s">
        <v>627</v>
      </c>
      <c r="T1" s="33" t="s">
        <v>628</v>
      </c>
      <c r="U1" s="33" t="s">
        <v>629</v>
      </c>
      <c r="V1" s="33" t="s">
        <v>630</v>
      </c>
      <c r="AA1" s="33"/>
      <c r="AB1" s="33"/>
      <c r="AC1" s="33"/>
      <c r="AD1" s="37"/>
      <c r="AE1" s="37"/>
      <c r="AG1" s="33"/>
    </row>
    <row r="2" customHeight="1" spans="1:34">
      <c r="A2" s="38">
        <v>4709949</v>
      </c>
      <c r="B2" s="39" t="s">
        <v>34</v>
      </c>
      <c r="C2" s="33" t="str">
        <f t="array" ref="C2">_xlfn.XLOOKUP(A2,'Customer Code'!B:B,'Customer Code'!A:A)</f>
        <v>Petco</v>
      </c>
      <c r="D2" s="33" t="str">
        <f t="array" ref="D2">_xlfn.XLOOKUP(B2,'Product List'!A:A,'Product List'!C:C)</f>
        <v>MINI/MOE BENDABLE BIRCHWOOD FENCE</v>
      </c>
      <c r="E2" s="40">
        <v>58</v>
      </c>
      <c r="F2" s="40">
        <v>67</v>
      </c>
      <c r="G2" s="40">
        <v>64</v>
      </c>
      <c r="H2" s="40">
        <v>88</v>
      </c>
      <c r="I2" s="40">
        <v>90</v>
      </c>
      <c r="J2" s="40">
        <v>83</v>
      </c>
      <c r="K2" s="41">
        <f t="shared" ref="K2:K7" si="0">SUM(E2:J2)</f>
        <v>450</v>
      </c>
      <c r="L2" s="35">
        <v>731</v>
      </c>
      <c r="M2" s="42">
        <f t="shared" ref="M2:M7" si="1">IF(K2=0,0,ROUND(K2/L2,2))</f>
        <v>0.62</v>
      </c>
      <c r="N2" s="42">
        <f t="shared" ref="N2:N7" si="2">IF(M2=0,0,ROUNDUP(M2/6,2))</f>
        <v>0.11</v>
      </c>
      <c r="O2">
        <v>400</v>
      </c>
      <c r="P2" s="41">
        <f t="shared" ref="P2:P7" si="3">IF(K2=0,0,ROUNDUP(AVERAGE(E2:J2),0))</f>
        <v>75</v>
      </c>
      <c r="Q2" s="41"/>
      <c r="R2" s="41">
        <f t="shared" ref="R2:R7" si="4">ROUNDUP(IF(K2=0,0,IF(AVERAGE(E2:J2)&lt;30,1.28,IF(AVERAGE(E2:J2)&lt;80,1.65,2.05))*_xlfn.STDEV.S(E2:J2)),0)</f>
        <v>23</v>
      </c>
      <c r="S2" s="41">
        <f>_xlfn.XLOOKUP(B2,Sum!A:A,Sum!O:O)+_xlfn.XLOOKUP(B2,Sum!A:A,Sum!P:P)</f>
        <v>21</v>
      </c>
      <c r="T2">
        <v>30</v>
      </c>
      <c r="U2" s="41">
        <f t="shared" ref="U2:U62" si="5">T2-S2</f>
        <v>9</v>
      </c>
      <c r="V2" s="41"/>
      <c r="W2" s="43" t="s">
        <v>631</v>
      </c>
      <c r="X2" s="41">
        <f t="shared" ref="X2:X7" si="6">_xlfn.XLOOKUP(B2,AA:AA,AB:AB)</f>
        <v>83</v>
      </c>
      <c r="Z2" s="44"/>
      <c r="AA2" s="45" t="s">
        <v>612</v>
      </c>
      <c r="AB2" s="46" t="s">
        <v>632</v>
      </c>
      <c r="AC2" s="46" t="s">
        <v>633</v>
      </c>
      <c r="AD2" s="46" t="s">
        <v>634</v>
      </c>
      <c r="AE2" s="46" t="s">
        <v>635</v>
      </c>
      <c r="AF2" s="46"/>
      <c r="AG2" s="33"/>
    </row>
    <row r="3" customHeight="1" spans="1:34">
      <c r="A3" s="38">
        <v>4709957</v>
      </c>
      <c r="B3" s="39" t="s">
        <v>41</v>
      </c>
      <c r="C3" s="33" t="s">
        <v>325</v>
      </c>
      <c r="D3" s="33" t="str">
        <f t="array" ref="D3">_xlfn.XLOOKUP(B3,'Product List'!A:A,'Product List'!C:C)</f>
        <v>MINI/MOE SILENT CRSTL RUN WHEEL LG 8.5-White</v>
      </c>
      <c r="E3" s="40">
        <v>76</v>
      </c>
      <c r="F3" s="40">
        <v>94</v>
      </c>
      <c r="G3" s="40">
        <v>119</v>
      </c>
      <c r="H3" s="40">
        <v>128</v>
      </c>
      <c r="I3" s="40">
        <v>114</v>
      </c>
      <c r="J3" s="40">
        <v>114</v>
      </c>
      <c r="K3" s="41">
        <f t="shared" si="0"/>
        <v>645</v>
      </c>
      <c r="L3" s="35">
        <v>731</v>
      </c>
      <c r="M3" s="42">
        <f t="shared" si="1"/>
        <v>0.88</v>
      </c>
      <c r="N3" s="42">
        <f t="shared" si="2"/>
        <v>0.15</v>
      </c>
      <c r="O3">
        <v>400</v>
      </c>
      <c r="P3" s="41">
        <f t="shared" si="3"/>
        <v>108</v>
      </c>
      <c r="Q3" s="41">
        <f t="shared" ref="Q3:Q10" si="7">ROUNDUP((L3+O3)*N3,0)</f>
        <v>170</v>
      </c>
      <c r="R3" s="41">
        <f t="shared" si="4"/>
        <v>40</v>
      </c>
      <c r="S3" s="41">
        <f>_xlfn.XLOOKUP(B3,Sum!A:A,Sum!O:O)+_xlfn.XLOOKUP(B3,Sum!A:A,Sum!P:P)</f>
        <v>16</v>
      </c>
      <c r="T3">
        <v>30</v>
      </c>
      <c r="U3" s="41">
        <f t="shared" si="5"/>
        <v>14</v>
      </c>
      <c r="V3" s="41">
        <f t="shared" ref="V2:V55" si="8">U3*Q3</f>
        <v>2380</v>
      </c>
      <c r="W3" s="43"/>
      <c r="X3" s="41">
        <f t="shared" si="6"/>
        <v>81</v>
      </c>
      <c r="Y3" s="45"/>
      <c r="Z3" s="45">
        <v>4709965</v>
      </c>
      <c r="AA3" s="45" t="s">
        <v>83</v>
      </c>
      <c r="AB3" s="45">
        <v>69</v>
      </c>
      <c r="AC3" s="45">
        <v>243</v>
      </c>
      <c r="AD3" s="45">
        <f>VLOOKUP(AA3,B2:J16,9,0)</f>
        <v>103</v>
      </c>
      <c r="AE3" s="45">
        <v>288</v>
      </c>
      <c r="AF3" s="47">
        <f>AD3-AE3</f>
        <v>-185</v>
      </c>
      <c r="AG3" s="48">
        <f>AD3/AE3</f>
        <v>0.357638888888889</v>
      </c>
      <c r="AH3" s="49"/>
    </row>
    <row r="4" customHeight="1" spans="1:34">
      <c r="A4" s="38">
        <v>4709965</v>
      </c>
      <c r="B4" s="39" t="s">
        <v>83</v>
      </c>
      <c r="C4" s="33" t="s">
        <v>325</v>
      </c>
      <c r="D4" s="33" t="str">
        <f t="array" ref="D4">_xlfn.XLOOKUP(B4,'Product List'!A:A,'Product List'!C:C)</f>
        <v>MINI/MOE RUFFLE BOWL</v>
      </c>
      <c r="E4" s="40">
        <v>86</v>
      </c>
      <c r="F4" s="40">
        <v>103</v>
      </c>
      <c r="G4" s="40">
        <v>108</v>
      </c>
      <c r="H4" s="40">
        <v>92</v>
      </c>
      <c r="I4" s="40">
        <v>99</v>
      </c>
      <c r="J4" s="40">
        <v>103</v>
      </c>
      <c r="K4" s="41">
        <f t="shared" si="0"/>
        <v>591</v>
      </c>
      <c r="L4" s="35">
        <v>731</v>
      </c>
      <c r="M4" s="42">
        <f t="shared" si="1"/>
        <v>0.81</v>
      </c>
      <c r="N4" s="42">
        <f t="shared" si="2"/>
        <v>0.14</v>
      </c>
      <c r="O4">
        <v>400</v>
      </c>
      <c r="P4" s="41">
        <f t="shared" si="3"/>
        <v>99</v>
      </c>
      <c r="Q4" s="41">
        <f t="shared" si="7"/>
        <v>159</v>
      </c>
      <c r="R4" s="41">
        <f t="shared" si="4"/>
        <v>17</v>
      </c>
      <c r="S4" s="41">
        <f>_xlfn.XLOOKUP(B4,Sum!A:A,Sum!O:O)+_xlfn.XLOOKUP(B4,Sum!A:A,Sum!P:P)</f>
        <v>21</v>
      </c>
      <c r="T4">
        <v>30</v>
      </c>
      <c r="U4" s="41">
        <f t="shared" si="5"/>
        <v>9</v>
      </c>
      <c r="V4" s="41">
        <f t="shared" si="8"/>
        <v>1431</v>
      </c>
      <c r="W4" s="43"/>
      <c r="X4" s="41">
        <f t="shared" si="6"/>
        <v>69</v>
      </c>
      <c r="Y4" s="45"/>
      <c r="Z4" s="45">
        <v>4709990</v>
      </c>
      <c r="AA4" s="45" t="s">
        <v>82</v>
      </c>
      <c r="AB4" s="45">
        <v>44</v>
      </c>
      <c r="AC4" s="45">
        <v>127</v>
      </c>
      <c r="AD4" s="45">
        <f>VLOOKUP(AA4,$B$3:$J$17,9,0)</f>
        <v>124</v>
      </c>
      <c r="AE4" s="45">
        <v>165</v>
      </c>
      <c r="AF4" s="47">
        <f t="shared" ref="AF4:AF16" si="9">AD4-AE4</f>
        <v>-41</v>
      </c>
      <c r="AG4" s="48">
        <f t="shared" ref="AG4:AG16" si="10">AD4/AE4</f>
        <v>0.751515151515151</v>
      </c>
      <c r="AH4" s="49"/>
    </row>
    <row r="5" customHeight="1" spans="1:34">
      <c r="A5" s="38">
        <v>4709973</v>
      </c>
      <c r="B5" s="39" t="s">
        <v>37</v>
      </c>
      <c r="C5" s="33" t="s">
        <v>325</v>
      </c>
      <c r="D5" s="33" t="str">
        <f t="array" ref="D5">_xlfn.XLOOKUP(B5,'Product List'!A:A,'Product List'!C:C)</f>
        <v>MMO-CLOUD WATER BOTTLE</v>
      </c>
      <c r="E5" s="40">
        <v>168</v>
      </c>
      <c r="F5" s="40">
        <v>196</v>
      </c>
      <c r="G5" s="40">
        <v>278</v>
      </c>
      <c r="H5" s="40">
        <v>336</v>
      </c>
      <c r="I5" s="40">
        <v>393</v>
      </c>
      <c r="J5" s="40">
        <v>347</v>
      </c>
      <c r="K5" s="41">
        <v>38</v>
      </c>
      <c r="L5" s="35">
        <v>731</v>
      </c>
      <c r="M5" s="42">
        <f t="shared" si="1"/>
        <v>0.05</v>
      </c>
      <c r="N5" s="42">
        <f t="shared" si="2"/>
        <v>0.01</v>
      </c>
      <c r="O5">
        <v>400</v>
      </c>
      <c r="P5" s="41">
        <f t="shared" si="3"/>
        <v>287</v>
      </c>
      <c r="Q5" s="41">
        <f t="shared" si="7"/>
        <v>12</v>
      </c>
      <c r="R5" s="41">
        <f t="shared" si="4"/>
        <v>183</v>
      </c>
      <c r="S5" s="41">
        <f>_xlfn.XLOOKUP(B5,Sum!A:A,Sum!O:O)+_xlfn.XLOOKUP(B5,Sum!A:A,Sum!P:P)</f>
        <v>16</v>
      </c>
      <c r="T5">
        <v>30</v>
      </c>
      <c r="U5" s="41">
        <f t="shared" si="5"/>
        <v>14</v>
      </c>
      <c r="V5" s="41">
        <f t="shared" si="8"/>
        <v>168</v>
      </c>
      <c r="W5" s="43"/>
      <c r="X5" s="41">
        <f t="shared" si="6"/>
        <v>154</v>
      </c>
      <c r="Y5" s="45"/>
      <c r="Z5" s="45">
        <v>4709949</v>
      </c>
      <c r="AA5" s="45" t="s">
        <v>34</v>
      </c>
      <c r="AB5" s="45">
        <v>83</v>
      </c>
      <c r="AC5" s="45">
        <v>66</v>
      </c>
      <c r="AD5" s="45" t="e">
        <f t="shared" ref="AD5:AD16" si="11">VLOOKUP(AA5,$B$3:$J$17,9,0)</f>
        <v>#N/A</v>
      </c>
      <c r="AE5" s="45">
        <v>64</v>
      </c>
      <c r="AF5" s="47" t="e">
        <f t="shared" si="9"/>
        <v>#N/A</v>
      </c>
      <c r="AG5" s="48" t="e">
        <f t="shared" si="10"/>
        <v>#N/A</v>
      </c>
      <c r="AH5" s="49"/>
    </row>
    <row r="6" customHeight="1" spans="1:34">
      <c r="A6" s="38">
        <v>4709981</v>
      </c>
      <c r="B6" s="39" t="s">
        <v>76</v>
      </c>
      <c r="C6" s="33" t="s">
        <v>325</v>
      </c>
      <c r="D6" s="33" t="str">
        <f t="array" ref="D6">_xlfn.XLOOKUP(B6,'Product List'!A:A,'Product List'!C:C)</f>
        <v>MMO-STARFISH CASTLE</v>
      </c>
      <c r="E6" s="40">
        <v>47</v>
      </c>
      <c r="F6" s="40">
        <v>67</v>
      </c>
      <c r="G6" s="40">
        <v>74</v>
      </c>
      <c r="H6" s="40">
        <v>79</v>
      </c>
      <c r="I6" s="40">
        <v>68</v>
      </c>
      <c r="J6" s="40">
        <v>68</v>
      </c>
      <c r="K6" s="41">
        <f t="shared" si="0"/>
        <v>403</v>
      </c>
      <c r="L6" s="35">
        <v>731</v>
      </c>
      <c r="M6" s="42">
        <f t="shared" si="1"/>
        <v>0.55</v>
      </c>
      <c r="N6" s="42">
        <f t="shared" si="2"/>
        <v>0.1</v>
      </c>
      <c r="O6">
        <v>400</v>
      </c>
      <c r="P6" s="41">
        <f t="shared" si="3"/>
        <v>68</v>
      </c>
      <c r="Q6" s="41"/>
      <c r="R6" s="41">
        <f t="shared" si="4"/>
        <v>18</v>
      </c>
      <c r="S6" s="41">
        <f>_xlfn.XLOOKUP(B6,Sum!A:A,Sum!O:O)+_xlfn.XLOOKUP(B6,Sum!A:A,Sum!P:P)</f>
        <v>21</v>
      </c>
      <c r="T6">
        <v>30</v>
      </c>
      <c r="U6" s="41">
        <f t="shared" si="5"/>
        <v>9</v>
      </c>
      <c r="V6" s="41"/>
      <c r="W6" s="43"/>
      <c r="X6" s="41">
        <f t="shared" si="6"/>
        <v>30</v>
      </c>
      <c r="Y6" s="45"/>
      <c r="Z6" s="45">
        <v>4709957</v>
      </c>
      <c r="AA6" s="45" t="s">
        <v>41</v>
      </c>
      <c r="AB6" s="45">
        <v>81</v>
      </c>
      <c r="AC6" s="45">
        <v>84</v>
      </c>
      <c r="AD6" s="45">
        <f t="shared" si="11"/>
        <v>114</v>
      </c>
      <c r="AE6" s="45">
        <v>96</v>
      </c>
      <c r="AF6" s="47">
        <f t="shared" si="9"/>
        <v>18</v>
      </c>
      <c r="AG6" s="48">
        <f t="shared" si="10"/>
        <v>1.1875</v>
      </c>
      <c r="AH6" s="49"/>
    </row>
    <row r="7" customHeight="1" spans="1:34">
      <c r="A7" s="38">
        <v>4709990</v>
      </c>
      <c r="B7" s="39" t="s">
        <v>82</v>
      </c>
      <c r="C7" s="33" t="s">
        <v>325</v>
      </c>
      <c r="D7" s="33" t="str">
        <f t="array" ref="D7">_xlfn.XLOOKUP(B7,'Product List'!A:A,'Product List'!C:C)</f>
        <v>MMO-WAVE BRIDGE</v>
      </c>
      <c r="E7" s="40">
        <v>60</v>
      </c>
      <c r="F7" s="40">
        <v>71</v>
      </c>
      <c r="G7" s="40">
        <v>102</v>
      </c>
      <c r="H7" s="40">
        <v>126</v>
      </c>
      <c r="I7" s="40">
        <v>102</v>
      </c>
      <c r="J7" s="40">
        <v>124</v>
      </c>
      <c r="K7" s="41">
        <f t="shared" si="0"/>
        <v>585</v>
      </c>
      <c r="L7" s="35">
        <v>731</v>
      </c>
      <c r="M7" s="42">
        <f t="shared" si="1"/>
        <v>0.8</v>
      </c>
      <c r="N7" s="42">
        <f t="shared" si="2"/>
        <v>0.14</v>
      </c>
      <c r="O7">
        <v>400</v>
      </c>
      <c r="P7" s="41">
        <f t="shared" si="3"/>
        <v>98</v>
      </c>
      <c r="Q7" s="41"/>
      <c r="R7" s="41">
        <f t="shared" si="4"/>
        <v>56</v>
      </c>
      <c r="S7" s="41">
        <f>_xlfn.XLOOKUP(B7,Sum!A:A,Sum!O:O)+_xlfn.XLOOKUP(B7,Sum!A:A,Sum!P:P)</f>
        <v>21</v>
      </c>
      <c r="T7">
        <v>30</v>
      </c>
      <c r="U7" s="41">
        <f t="shared" si="5"/>
        <v>9</v>
      </c>
      <c r="V7" s="41"/>
      <c r="W7" s="43"/>
      <c r="X7" s="41">
        <f t="shared" si="6"/>
        <v>44</v>
      </c>
      <c r="Y7" s="45"/>
      <c r="Z7" s="45">
        <v>4709973</v>
      </c>
      <c r="AA7" s="45" t="s">
        <v>37</v>
      </c>
      <c r="AB7" s="45">
        <v>154</v>
      </c>
      <c r="AC7" s="45">
        <v>304</v>
      </c>
      <c r="AD7" s="45">
        <f t="shared" si="11"/>
        <v>347</v>
      </c>
      <c r="AE7" s="45">
        <v>200</v>
      </c>
      <c r="AF7" s="47">
        <f t="shared" si="9"/>
        <v>147</v>
      </c>
      <c r="AG7" s="48">
        <f t="shared" si="10"/>
        <v>1.735</v>
      </c>
      <c r="AH7" s="49"/>
    </row>
    <row r="8" customHeight="1" spans="1:34">
      <c r="A8" s="38">
        <v>4710000</v>
      </c>
      <c r="B8" s="39" t="s">
        <v>42</v>
      </c>
      <c r="C8" s="33" t="s">
        <v>325</v>
      </c>
      <c r="D8" s="33" t="str">
        <f t="array" ref="D8">_xlfn.XLOOKUP(B8,'Product List'!A:A,'Product List'!C:C)</f>
        <v>MMO-PAPER PEBBLES</v>
      </c>
      <c r="E8" s="40">
        <v>57</v>
      </c>
      <c r="F8" s="40">
        <v>73</v>
      </c>
      <c r="G8" s="40">
        <v>51</v>
      </c>
      <c r="H8" s="40">
        <v>58</v>
      </c>
      <c r="I8" s="40">
        <v>55</v>
      </c>
      <c r="J8" s="40">
        <v>54</v>
      </c>
      <c r="K8" s="41">
        <f t="shared" ref="K8:K55" si="12">SUM(E8:J8)</f>
        <v>348</v>
      </c>
      <c r="L8" s="35">
        <v>731</v>
      </c>
      <c r="M8" s="42">
        <f t="shared" ref="M8:M55" si="13">IF(K8=0,0,ROUND(K8/L8,2))</f>
        <v>0.48</v>
      </c>
      <c r="N8" s="42">
        <f t="shared" ref="N8:N55" si="14">IF(M8=0,0,ROUNDUP(M8/6,2))</f>
        <v>0.08</v>
      </c>
      <c r="O8">
        <v>400</v>
      </c>
      <c r="P8" s="41">
        <f t="shared" ref="P8:P57" si="15">IF(K8=0,0,ROUNDUP(AVERAGE(E8:J8),0))</f>
        <v>58</v>
      </c>
      <c r="Q8" s="41">
        <f t="shared" si="7"/>
        <v>91</v>
      </c>
      <c r="R8" s="41">
        <f t="shared" ref="R8:R57" si="16">ROUNDUP(IF(K8=0,0,IF(AVERAGE(E8:J8)&lt;30,1.28,IF(AVERAGE(E8:J8)&lt;80,1.65,2.05))*_xlfn.STDEV.S(E8:J8)),0)</f>
        <v>13</v>
      </c>
      <c r="S8" s="41">
        <f>_xlfn.XLOOKUP(B8,Sum!A:A,Sum!O:O)+_xlfn.XLOOKUP(B8,Sum!A:A,Sum!P:P)</f>
        <v>16</v>
      </c>
      <c r="T8">
        <v>30</v>
      </c>
      <c r="U8" s="41">
        <f t="shared" si="5"/>
        <v>14</v>
      </c>
      <c r="V8" s="41">
        <f t="shared" si="8"/>
        <v>1274</v>
      </c>
      <c r="W8" s="43"/>
      <c r="X8" s="41">
        <f t="shared" ref="X8:X16" si="17">_xlfn.XLOOKUP(B8,AA:AA,AB:AB)</f>
        <v>15</v>
      </c>
      <c r="Y8" s="45"/>
      <c r="Z8" s="45">
        <v>4710042</v>
      </c>
      <c r="AA8" s="45" t="s">
        <v>27</v>
      </c>
      <c r="AB8" s="45">
        <v>69</v>
      </c>
      <c r="AC8" s="45">
        <v>81</v>
      </c>
      <c r="AD8" s="45">
        <f t="shared" si="11"/>
        <v>116</v>
      </c>
      <c r="AE8" s="45">
        <v>99</v>
      </c>
      <c r="AF8" s="47">
        <f t="shared" si="9"/>
        <v>17</v>
      </c>
      <c r="AG8" s="48">
        <f t="shared" si="10"/>
        <v>1.17171717171717</v>
      </c>
      <c r="AH8" s="49"/>
    </row>
    <row r="9" customHeight="1" spans="1:34">
      <c r="A9" s="38">
        <v>4710018</v>
      </c>
      <c r="B9" s="39" t="s">
        <v>44</v>
      </c>
      <c r="C9" s="33" t="s">
        <v>325</v>
      </c>
      <c r="D9" s="33" t="str">
        <f t="array" ref="D9">_xlfn.XLOOKUP(B9,'Product List'!A:A,'Product List'!C:C)</f>
        <v>MMO-PAPER TWIST BLU/WHT</v>
      </c>
      <c r="E9" s="40">
        <v>57</v>
      </c>
      <c r="F9" s="40">
        <v>58</v>
      </c>
      <c r="G9" s="40">
        <v>48</v>
      </c>
      <c r="H9" s="40">
        <v>52</v>
      </c>
      <c r="I9" s="40">
        <v>41</v>
      </c>
      <c r="J9" s="40">
        <v>54</v>
      </c>
      <c r="K9" s="41">
        <f t="shared" si="12"/>
        <v>310</v>
      </c>
      <c r="L9" s="35">
        <v>731</v>
      </c>
      <c r="M9" s="42">
        <f t="shared" si="13"/>
        <v>0.42</v>
      </c>
      <c r="N9" s="42">
        <f t="shared" si="14"/>
        <v>0.07</v>
      </c>
      <c r="O9">
        <v>400</v>
      </c>
      <c r="P9" s="41">
        <f t="shared" si="15"/>
        <v>52</v>
      </c>
      <c r="Q9" s="41">
        <f t="shared" ref="Q9:Q16" si="18">ROUNDUP((L9+O9)*N9,0)</f>
        <v>80</v>
      </c>
      <c r="R9" s="41">
        <f t="shared" si="16"/>
        <v>11</v>
      </c>
      <c r="S9" s="41">
        <f>_xlfn.XLOOKUP(B9,Sum!A:A,Sum!O:O)+_xlfn.XLOOKUP(B9,Sum!A:A,Sum!P:P)</f>
        <v>16</v>
      </c>
      <c r="T9">
        <v>30</v>
      </c>
      <c r="U9" s="41">
        <f t="shared" si="5"/>
        <v>14</v>
      </c>
      <c r="V9" s="41">
        <f t="shared" si="8"/>
        <v>1120</v>
      </c>
      <c r="W9" s="43"/>
      <c r="X9" s="41">
        <f t="shared" si="17"/>
        <v>30</v>
      </c>
      <c r="Y9" s="45"/>
      <c r="Z9" s="45">
        <v>4709981</v>
      </c>
      <c r="AA9" s="45" t="s">
        <v>76</v>
      </c>
      <c r="AB9" s="45">
        <v>30</v>
      </c>
      <c r="AC9" s="45">
        <v>57</v>
      </c>
      <c r="AD9" s="45">
        <f t="shared" si="11"/>
        <v>68</v>
      </c>
      <c r="AE9" s="45">
        <v>60</v>
      </c>
      <c r="AF9" s="47">
        <f t="shared" si="9"/>
        <v>8</v>
      </c>
      <c r="AG9" s="48">
        <f t="shared" si="10"/>
        <v>1.13333333333333</v>
      </c>
      <c r="AH9" s="49"/>
    </row>
    <row r="10" customHeight="1" spans="1:34">
      <c r="A10" s="38">
        <v>4710026</v>
      </c>
      <c r="B10" s="39" t="s">
        <v>43</v>
      </c>
      <c r="C10" s="33" t="s">
        <v>325</v>
      </c>
      <c r="D10" s="33" t="str">
        <f t="array" ref="D10">_xlfn.XLOOKUP(B10,'Product List'!A:A,'Product List'!C:C)</f>
        <v>MMO-COTTON NESTING BALLS</v>
      </c>
      <c r="E10" s="40">
        <v>68</v>
      </c>
      <c r="F10" s="40">
        <v>63</v>
      </c>
      <c r="G10" s="40">
        <v>61</v>
      </c>
      <c r="H10" s="40">
        <v>55</v>
      </c>
      <c r="I10" s="40">
        <v>56</v>
      </c>
      <c r="J10" s="40">
        <v>43</v>
      </c>
      <c r="K10" s="41">
        <f t="shared" si="12"/>
        <v>346</v>
      </c>
      <c r="L10" s="35">
        <v>731</v>
      </c>
      <c r="M10" s="42">
        <f t="shared" si="13"/>
        <v>0.47</v>
      </c>
      <c r="N10" s="42">
        <f t="shared" si="14"/>
        <v>0.08</v>
      </c>
      <c r="O10">
        <v>400</v>
      </c>
      <c r="P10" s="41">
        <f t="shared" si="15"/>
        <v>58</v>
      </c>
      <c r="Q10" s="41">
        <f t="shared" si="18"/>
        <v>91</v>
      </c>
      <c r="R10" s="41">
        <f t="shared" si="16"/>
        <v>15</v>
      </c>
      <c r="S10" s="41">
        <f>_xlfn.XLOOKUP(B10,Sum!A:A,Sum!O:O)+_xlfn.XLOOKUP(B10,Sum!A:A,Sum!P:P)</f>
        <v>16</v>
      </c>
      <c r="T10">
        <v>30</v>
      </c>
      <c r="U10" s="41">
        <f t="shared" si="5"/>
        <v>14</v>
      </c>
      <c r="V10" s="41">
        <f t="shared" si="8"/>
        <v>1274</v>
      </c>
      <c r="W10" s="43"/>
      <c r="X10" s="41">
        <f t="shared" si="17"/>
        <v>37</v>
      </c>
      <c r="Y10" s="45"/>
      <c r="Z10" s="45">
        <v>4710026</v>
      </c>
      <c r="AA10" s="45" t="s">
        <v>43</v>
      </c>
      <c r="AB10" s="45">
        <v>37</v>
      </c>
      <c r="AC10" s="45">
        <v>105</v>
      </c>
      <c r="AD10" s="45">
        <f t="shared" si="11"/>
        <v>43</v>
      </c>
      <c r="AE10" s="45">
        <v>96</v>
      </c>
      <c r="AF10" s="47">
        <f t="shared" si="9"/>
        <v>-53</v>
      </c>
      <c r="AG10" s="48">
        <f t="shared" si="10"/>
        <v>0.447916666666667</v>
      </c>
      <c r="AH10" s="49"/>
    </row>
    <row r="11" customHeight="1" spans="1:34">
      <c r="A11" s="38">
        <v>4710034</v>
      </c>
      <c r="B11" s="39" t="s">
        <v>57</v>
      </c>
      <c r="C11" s="33" t="s">
        <v>325</v>
      </c>
      <c r="D11" s="33" t="str">
        <f t="array" ref="D11">_xlfn.XLOOKUP(B11,'Product List'!A:A,'Product List'!C:C)</f>
        <v>D. MMO-COTTAGE VIEW CAGE</v>
      </c>
      <c r="E11" s="40">
        <v>0</v>
      </c>
      <c r="F11" s="40">
        <v>0</v>
      </c>
      <c r="G11" s="40">
        <v>2</v>
      </c>
      <c r="H11" s="40">
        <v>0</v>
      </c>
      <c r="I11" s="40">
        <v>0</v>
      </c>
      <c r="J11" s="40">
        <v>0</v>
      </c>
      <c r="K11" s="41">
        <f t="shared" si="12"/>
        <v>2</v>
      </c>
      <c r="L11" s="35">
        <v>731</v>
      </c>
      <c r="M11" s="42">
        <f t="shared" si="13"/>
        <v>0</v>
      </c>
      <c r="N11" s="42">
        <f t="shared" si="14"/>
        <v>0</v>
      </c>
      <c r="O11">
        <v>400</v>
      </c>
      <c r="P11" s="41">
        <f t="shared" si="15"/>
        <v>1</v>
      </c>
      <c r="Q11" s="41">
        <f t="shared" si="18"/>
        <v>0</v>
      </c>
      <c r="R11" s="41">
        <f t="shared" si="16"/>
        <v>2</v>
      </c>
      <c r="S11" s="41">
        <f>_xlfn.XLOOKUP(B11,Sum!A:A,Sum!O:O)+_xlfn.XLOOKUP(B11,Sum!A:A,Sum!P:P)</f>
        <v>16</v>
      </c>
      <c r="T11">
        <v>30</v>
      </c>
      <c r="U11" s="41">
        <f t="shared" si="5"/>
        <v>14</v>
      </c>
      <c r="V11" s="41">
        <f t="shared" si="8"/>
        <v>0</v>
      </c>
      <c r="W11" s="43"/>
      <c r="X11" s="41" t="e">
        <f t="shared" si="17"/>
        <v>#N/A</v>
      </c>
      <c r="Y11" s="45"/>
      <c r="Z11" s="45">
        <v>4710018</v>
      </c>
      <c r="AA11" s="45" t="s">
        <v>44</v>
      </c>
      <c r="AB11" s="45">
        <v>30</v>
      </c>
      <c r="AC11" s="45">
        <v>77</v>
      </c>
      <c r="AD11" s="45">
        <f t="shared" si="11"/>
        <v>54</v>
      </c>
      <c r="AE11" s="45">
        <v>30</v>
      </c>
      <c r="AF11" s="47">
        <f t="shared" si="9"/>
        <v>24</v>
      </c>
      <c r="AG11" s="48">
        <f t="shared" si="10"/>
        <v>1.8</v>
      </c>
      <c r="AH11" s="49"/>
    </row>
    <row r="12" customHeight="1" spans="1:34">
      <c r="A12" s="38">
        <v>4710042</v>
      </c>
      <c r="B12" s="39" t="s">
        <v>27</v>
      </c>
      <c r="C12" s="33" t="s">
        <v>325</v>
      </c>
      <c r="D12" s="33" t="str">
        <f t="array" ref="D12">_xlfn.XLOOKUP(B12,'Product List'!A:A,'Product List'!C:C)</f>
        <v>MINI/MOE TV VIEWING CAGE</v>
      </c>
      <c r="E12" s="40">
        <v>38</v>
      </c>
      <c r="F12" s="40">
        <v>78</v>
      </c>
      <c r="G12" s="40">
        <v>87</v>
      </c>
      <c r="H12" s="40">
        <v>88</v>
      </c>
      <c r="I12" s="40">
        <v>111</v>
      </c>
      <c r="J12" s="40">
        <v>116</v>
      </c>
      <c r="K12" s="41">
        <f t="shared" si="12"/>
        <v>518</v>
      </c>
      <c r="L12" s="35">
        <v>731</v>
      </c>
      <c r="M12" s="42">
        <f t="shared" si="13"/>
        <v>0.71</v>
      </c>
      <c r="N12" s="42">
        <f t="shared" si="14"/>
        <v>0.12</v>
      </c>
      <c r="O12">
        <v>400</v>
      </c>
      <c r="P12" s="41">
        <f t="shared" si="15"/>
        <v>87</v>
      </c>
      <c r="Q12" s="41">
        <f t="shared" si="18"/>
        <v>136</v>
      </c>
      <c r="R12" s="41">
        <f t="shared" si="16"/>
        <v>58</v>
      </c>
      <c r="S12" s="41">
        <f>_xlfn.XLOOKUP(B12,Sum!A:A,Sum!O:O)+_xlfn.XLOOKUP(B12,Sum!A:A,Sum!P:P)</f>
        <v>16</v>
      </c>
      <c r="T12">
        <v>30</v>
      </c>
      <c r="U12" s="41">
        <f t="shared" si="5"/>
        <v>14</v>
      </c>
      <c r="V12" s="41">
        <f t="shared" si="8"/>
        <v>1904</v>
      </c>
      <c r="W12" s="43"/>
      <c r="X12" s="41">
        <f t="shared" si="17"/>
        <v>69</v>
      </c>
      <c r="Y12" s="45"/>
      <c r="Z12" s="45">
        <v>4710051</v>
      </c>
      <c r="AA12" s="45" t="s">
        <v>38</v>
      </c>
      <c r="AB12" s="45">
        <v>147</v>
      </c>
      <c r="AC12" s="45">
        <v>264</v>
      </c>
      <c r="AD12" s="45">
        <f t="shared" si="11"/>
        <v>370</v>
      </c>
      <c r="AE12" s="45">
        <v>420</v>
      </c>
      <c r="AF12" s="47">
        <f t="shared" si="9"/>
        <v>-50</v>
      </c>
      <c r="AG12" s="48">
        <f t="shared" si="10"/>
        <v>0.880952380952381</v>
      </c>
      <c r="AH12" s="49"/>
    </row>
    <row r="13" customHeight="1" spans="1:34">
      <c r="A13" s="38">
        <v>4710051</v>
      </c>
      <c r="B13" s="39" t="s">
        <v>38</v>
      </c>
      <c r="C13" s="33" t="s">
        <v>325</v>
      </c>
      <c r="D13" s="33" t="str">
        <f t="array" ref="D13">_xlfn.XLOOKUP(B13,'Product List'!A:A,'Product List'!C:C)</f>
        <v>MMO-BUBBLE WATER BOTTLE</v>
      </c>
      <c r="E13" s="40">
        <v>179</v>
      </c>
      <c r="F13" s="40">
        <v>238</v>
      </c>
      <c r="G13" s="40">
        <v>322</v>
      </c>
      <c r="H13" s="40">
        <v>320</v>
      </c>
      <c r="I13" s="40">
        <v>322</v>
      </c>
      <c r="J13" s="40">
        <v>370</v>
      </c>
      <c r="K13" s="41">
        <f t="shared" si="12"/>
        <v>1751</v>
      </c>
      <c r="L13" s="35">
        <v>731</v>
      </c>
      <c r="M13" s="42">
        <f t="shared" si="13"/>
        <v>2.4</v>
      </c>
      <c r="N13" s="42">
        <f t="shared" si="14"/>
        <v>0.4</v>
      </c>
      <c r="O13">
        <v>400</v>
      </c>
      <c r="P13" s="41">
        <f t="shared" si="15"/>
        <v>292</v>
      </c>
      <c r="Q13" s="41">
        <f t="shared" si="18"/>
        <v>453</v>
      </c>
      <c r="R13" s="41">
        <f t="shared" si="16"/>
        <v>144</v>
      </c>
      <c r="S13" s="41">
        <f>_xlfn.XLOOKUP(B13,Sum!A:A,Sum!O:O)+_xlfn.XLOOKUP(B13,Sum!A:A,Sum!P:P)</f>
        <v>16</v>
      </c>
      <c r="T13">
        <v>30</v>
      </c>
      <c r="U13" s="41">
        <f t="shared" si="5"/>
        <v>14</v>
      </c>
      <c r="V13" s="41">
        <f t="shared" si="8"/>
        <v>6342</v>
      </c>
      <c r="W13" s="43"/>
      <c r="X13" s="41">
        <f t="shared" si="17"/>
        <v>147</v>
      </c>
      <c r="Y13" s="45"/>
      <c r="Z13" s="45">
        <v>4710000</v>
      </c>
      <c r="AA13" s="45" t="s">
        <v>42</v>
      </c>
      <c r="AB13" s="45">
        <v>15</v>
      </c>
      <c r="AC13" s="45">
        <v>114</v>
      </c>
      <c r="AD13" s="45">
        <f t="shared" si="11"/>
        <v>54</v>
      </c>
      <c r="AE13" s="45">
        <v>168</v>
      </c>
      <c r="AF13" s="47">
        <f t="shared" si="9"/>
        <v>-114</v>
      </c>
      <c r="AG13" s="48">
        <f t="shared" si="10"/>
        <v>0.321428571428571</v>
      </c>
      <c r="AH13" s="49"/>
    </row>
    <row r="14" customHeight="1" spans="1:34">
      <c r="A14" s="38">
        <v>4782281</v>
      </c>
      <c r="B14" s="39" t="s">
        <v>48</v>
      </c>
      <c r="C14" s="33" t="s">
        <v>325</v>
      </c>
      <c r="D14" s="33" t="str">
        <f t="array" ref="D14">_xlfn.XLOOKUP(B14,'Product List'!A:A,'Product List'!C:C)</f>
        <v>MMO-SHELL PEARL HAMSTER CHEW</v>
      </c>
      <c r="E14" s="40">
        <v>25</v>
      </c>
      <c r="F14" s="40">
        <v>48</v>
      </c>
      <c r="G14" s="40">
        <v>38</v>
      </c>
      <c r="H14" s="40">
        <v>37</v>
      </c>
      <c r="I14" s="40">
        <v>21</v>
      </c>
      <c r="J14" s="40">
        <v>38</v>
      </c>
      <c r="K14" s="41">
        <f t="shared" si="12"/>
        <v>207</v>
      </c>
      <c r="L14" s="35">
        <v>731</v>
      </c>
      <c r="M14" s="42">
        <f t="shared" si="13"/>
        <v>0.28</v>
      </c>
      <c r="N14" s="42">
        <f t="shared" si="14"/>
        <v>0.05</v>
      </c>
      <c r="O14">
        <v>400</v>
      </c>
      <c r="P14" s="41">
        <f t="shared" si="15"/>
        <v>35</v>
      </c>
      <c r="Q14" s="41">
        <f t="shared" si="18"/>
        <v>57</v>
      </c>
      <c r="R14" s="41">
        <f t="shared" si="16"/>
        <v>17</v>
      </c>
      <c r="S14" s="41">
        <f>_xlfn.XLOOKUP(B14,Sum!A:A,Sum!O:O)+_xlfn.XLOOKUP(B14,Sum!A:A,Sum!P:P)</f>
        <v>16</v>
      </c>
      <c r="T14">
        <v>30</v>
      </c>
      <c r="U14" s="41">
        <f t="shared" si="5"/>
        <v>14</v>
      </c>
      <c r="V14" s="41">
        <f t="shared" si="8"/>
        <v>798</v>
      </c>
      <c r="W14" s="43"/>
      <c r="X14" s="41">
        <f t="shared" si="17"/>
        <v>15</v>
      </c>
      <c r="Y14" s="45"/>
      <c r="Z14" s="45">
        <v>4782302</v>
      </c>
      <c r="AA14" s="45" t="s">
        <v>40</v>
      </c>
      <c r="AB14" s="45">
        <v>66</v>
      </c>
      <c r="AC14" s="45">
        <v>144</v>
      </c>
      <c r="AD14" s="45">
        <f t="shared" si="11"/>
        <v>149</v>
      </c>
      <c r="AE14" s="45">
        <v>216</v>
      </c>
      <c r="AF14" s="47">
        <f t="shared" si="9"/>
        <v>-67</v>
      </c>
      <c r="AG14" s="48">
        <f t="shared" si="10"/>
        <v>0.689814814814815</v>
      </c>
      <c r="AH14" s="49"/>
    </row>
    <row r="15" customHeight="1" spans="1:34">
      <c r="A15" s="38">
        <v>4782290</v>
      </c>
      <c r="B15" s="39" t="s">
        <v>39</v>
      </c>
      <c r="C15" s="33" t="s">
        <v>325</v>
      </c>
      <c r="D15" s="33" t="str">
        <f t="array" ref="D15">_xlfn.XLOOKUP(B15,'Product List'!A:A,'Product List'!C:C)</f>
        <v>MMO-GREEN APPLE CHEW</v>
      </c>
      <c r="E15" s="40">
        <v>144</v>
      </c>
      <c r="F15" s="40">
        <v>124</v>
      </c>
      <c r="G15" s="40">
        <v>134</v>
      </c>
      <c r="H15" s="40">
        <v>168</v>
      </c>
      <c r="I15" s="40">
        <v>158</v>
      </c>
      <c r="J15" s="40">
        <v>164</v>
      </c>
      <c r="K15" s="41">
        <f t="shared" si="12"/>
        <v>892</v>
      </c>
      <c r="L15" s="35">
        <v>731</v>
      </c>
      <c r="M15" s="42">
        <f t="shared" si="13"/>
        <v>1.22</v>
      </c>
      <c r="N15" s="42">
        <f t="shared" si="14"/>
        <v>0.21</v>
      </c>
      <c r="O15">
        <v>400</v>
      </c>
      <c r="P15" s="41">
        <f t="shared" si="15"/>
        <v>149</v>
      </c>
      <c r="Q15" s="41">
        <f t="shared" si="18"/>
        <v>238</v>
      </c>
      <c r="R15">
        <f t="shared" si="16"/>
        <v>36</v>
      </c>
      <c r="S15" s="41">
        <f>_xlfn.XLOOKUP(B15,Sum!A:A,Sum!O:O)+_xlfn.XLOOKUP(B15,Sum!A:A,Sum!P:P)</f>
        <v>16</v>
      </c>
      <c r="T15">
        <v>30</v>
      </c>
      <c r="U15" s="41">
        <f t="shared" si="5"/>
        <v>14</v>
      </c>
      <c r="V15">
        <f t="shared" si="8"/>
        <v>3332</v>
      </c>
      <c r="W15" s="43"/>
      <c r="X15" s="41">
        <f t="shared" si="17"/>
        <v>74</v>
      </c>
      <c r="Y15" s="45"/>
      <c r="Z15" s="45">
        <v>4782290</v>
      </c>
      <c r="AA15" s="45" t="s">
        <v>39</v>
      </c>
      <c r="AB15" s="45">
        <v>74</v>
      </c>
      <c r="AC15" s="45">
        <v>151</v>
      </c>
      <c r="AD15" s="45">
        <f t="shared" si="11"/>
        <v>164</v>
      </c>
      <c r="AE15" s="45">
        <v>240</v>
      </c>
      <c r="AF15" s="47">
        <f t="shared" si="9"/>
        <v>-76</v>
      </c>
      <c r="AG15" s="48">
        <f t="shared" si="10"/>
        <v>0.683333333333333</v>
      </c>
      <c r="AH15" s="49"/>
    </row>
    <row r="16" customHeight="1" spans="1:34">
      <c r="A16" s="38">
        <v>4782302</v>
      </c>
      <c r="B16" s="39" t="s">
        <v>40</v>
      </c>
      <c r="C16" s="33" t="s">
        <v>325</v>
      </c>
      <c r="D16" s="33" t="str">
        <f t="array" ref="D16">_xlfn.XLOOKUP(B16,'Product List'!A:A,'Product List'!C:C)</f>
        <v>MMO-CAMP LUNCH BOX CHEW</v>
      </c>
      <c r="E16" s="40">
        <v>105</v>
      </c>
      <c r="F16" s="40">
        <v>141</v>
      </c>
      <c r="G16" s="40">
        <v>154</v>
      </c>
      <c r="H16" s="40">
        <v>172</v>
      </c>
      <c r="I16" s="40">
        <v>162</v>
      </c>
      <c r="J16" s="40">
        <v>149</v>
      </c>
      <c r="K16" s="41">
        <f t="shared" si="12"/>
        <v>883</v>
      </c>
      <c r="L16" s="35">
        <v>731</v>
      </c>
      <c r="M16" s="42">
        <f t="shared" si="13"/>
        <v>1.21</v>
      </c>
      <c r="N16" s="42">
        <f t="shared" si="14"/>
        <v>0.21</v>
      </c>
      <c r="O16">
        <v>400</v>
      </c>
      <c r="P16" s="41">
        <f t="shared" si="15"/>
        <v>148</v>
      </c>
      <c r="Q16" s="41">
        <f t="shared" si="18"/>
        <v>238</v>
      </c>
      <c r="R16" s="41">
        <f t="shared" si="16"/>
        <v>48</v>
      </c>
      <c r="S16" s="41">
        <f>_xlfn.XLOOKUP(B16,Sum!A:A,Sum!O:O)+_xlfn.XLOOKUP(B16,Sum!A:A,Sum!P:P)</f>
        <v>16</v>
      </c>
      <c r="T16">
        <v>30</v>
      </c>
      <c r="U16" s="41">
        <f t="shared" si="5"/>
        <v>14</v>
      </c>
      <c r="V16" s="41">
        <f t="shared" si="8"/>
        <v>3332</v>
      </c>
      <c r="W16" s="43"/>
      <c r="X16" s="41">
        <f t="shared" si="17"/>
        <v>66</v>
      </c>
      <c r="Y16" s="45"/>
      <c r="Z16" s="45">
        <v>4782281</v>
      </c>
      <c r="AA16" s="45" t="s">
        <v>48</v>
      </c>
      <c r="AB16" s="45">
        <v>15</v>
      </c>
      <c r="AC16" s="45">
        <v>73</v>
      </c>
      <c r="AD16" s="45">
        <f t="shared" si="11"/>
        <v>38</v>
      </c>
      <c r="AE16" s="45">
        <v>0</v>
      </c>
      <c r="AF16" s="47">
        <f t="shared" si="9"/>
        <v>38</v>
      </c>
      <c r="AG16" s="48" t="e">
        <f t="shared" si="10"/>
        <v>#DIV/0!</v>
      </c>
      <c r="AH16" s="49"/>
    </row>
    <row r="17" customHeight="1" spans="1:25">
      <c r="A17" s="50">
        <v>50126561</v>
      </c>
      <c r="B17" s="33" t="str">
        <f t="array" ref="B17">_xlfn.XLOOKUP(A17,'Customer Code'!B:B,'Customer Code'!C:C)</f>
        <v>HL-4</v>
      </c>
      <c r="C17" s="33" t="s">
        <v>334</v>
      </c>
      <c r="D17" s="33" t="str">
        <f t="array" ref="D17">_xlfn.XLOOKUP(B17,'Product List'!A:A,'Product List'!C:C)</f>
        <v>MINI/MOE TV VIEWING CAGE</v>
      </c>
      <c r="E17" s="40">
        <v>18</v>
      </c>
      <c r="F17" s="40">
        <v>18</v>
      </c>
      <c r="G17" s="40">
        <v>12</v>
      </c>
      <c r="H17" s="40">
        <v>16</v>
      </c>
      <c r="I17" s="40">
        <v>20</v>
      </c>
      <c r="J17" s="40">
        <v>20</v>
      </c>
      <c r="K17" s="41">
        <f t="shared" si="12"/>
        <v>104</v>
      </c>
      <c r="L17" s="35">
        <f>_xlfn.XLOOKUP(A17,'Customer Code'!B:B,'Customer Code'!F:F,0)</f>
        <v>602</v>
      </c>
      <c r="M17" s="42">
        <f t="shared" si="13"/>
        <v>0.17</v>
      </c>
      <c r="N17" s="42">
        <f t="shared" si="14"/>
        <v>0.03</v>
      </c>
      <c r="P17" s="41">
        <f t="shared" si="15"/>
        <v>18</v>
      </c>
      <c r="Q17" s="41">
        <f t="shared" ref="Q13:Q55" si="19">ROUNDUP((L17+O17)*N17,0)</f>
        <v>19</v>
      </c>
      <c r="R17" s="41">
        <f t="shared" si="16"/>
        <v>4</v>
      </c>
      <c r="S17" s="41">
        <f>_xlfn.XLOOKUP(B17,Sum!A:A,Sum!O:O)+_xlfn.XLOOKUP(B17,Sum!A:A,Sum!P:P)</f>
        <v>16</v>
      </c>
      <c r="T17">
        <v>34</v>
      </c>
      <c r="U17" s="41">
        <f t="shared" si="5"/>
        <v>18</v>
      </c>
      <c r="V17" s="41">
        <f t="shared" si="8"/>
        <v>342</v>
      </c>
      <c r="X17" s="41"/>
    </row>
    <row r="18" customHeight="1" spans="1:25">
      <c r="A18" s="50">
        <v>50126562</v>
      </c>
      <c r="B18" s="33" t="str">
        <f t="array" ref="B18">_xlfn.XLOOKUP(A18,'Customer Code'!B:B,'Customer Code'!C:C)</f>
        <v>LT-7-PK</v>
      </c>
      <c r="C18" s="33" t="s">
        <v>334</v>
      </c>
      <c r="D18" s="33" t="str">
        <f t="array" ref="D18">_xlfn.XLOOKUP(B18,'Product List'!A:A,'Product List'!C:C)</f>
        <v>MINI/MOE TULIP WATER BOTTLE</v>
      </c>
      <c r="E18" s="40">
        <v>53</v>
      </c>
      <c r="F18" s="40">
        <v>49</v>
      </c>
      <c r="G18" s="40">
        <v>60</v>
      </c>
      <c r="H18" s="40">
        <v>57</v>
      </c>
      <c r="I18" s="40">
        <v>47</v>
      </c>
      <c r="J18" s="40">
        <v>47</v>
      </c>
      <c r="K18" s="41">
        <f t="shared" si="12"/>
        <v>313</v>
      </c>
      <c r="L18" s="35">
        <f>_xlfn.XLOOKUP(A18,'Customer Code'!B:B,'Customer Code'!F:F,0)</f>
        <v>591</v>
      </c>
      <c r="M18" s="42">
        <f t="shared" si="13"/>
        <v>0.53</v>
      </c>
      <c r="N18" s="42">
        <f t="shared" si="14"/>
        <v>0.09</v>
      </c>
      <c r="P18" s="41">
        <f t="shared" si="15"/>
        <v>53</v>
      </c>
      <c r="Q18" s="41">
        <f t="shared" si="19"/>
        <v>54</v>
      </c>
      <c r="R18" s="41">
        <f t="shared" si="16"/>
        <v>10</v>
      </c>
      <c r="S18" s="41">
        <f>_xlfn.XLOOKUP(B18,Sum!A:A,Sum!O:O)+_xlfn.XLOOKUP(B18,Sum!A:A,Sum!P:P)</f>
        <v>16</v>
      </c>
      <c r="T18">
        <v>34</v>
      </c>
      <c r="U18" s="41">
        <f t="shared" si="5"/>
        <v>18</v>
      </c>
      <c r="V18" s="41">
        <f t="shared" si="8"/>
        <v>972</v>
      </c>
      <c r="X18" s="41"/>
    </row>
    <row r="19" customHeight="1" spans="1:25">
      <c r="A19" s="50">
        <v>50126563</v>
      </c>
      <c r="B19" s="33" t="str">
        <f t="array" ref="B19">_xlfn.XLOOKUP(A19,'Customer Code'!B:B,'Customer Code'!C:C)</f>
        <v>R-8</v>
      </c>
      <c r="C19" s="33" t="s">
        <v>334</v>
      </c>
      <c r="D19" s="33" t="str">
        <f t="array" ref="D19">_xlfn.XLOOKUP(B19,'Product List'!A:A,'Product List'!C:C)</f>
        <v>MINI/MOE BENDABLE BIRCHWOOD FENCE</v>
      </c>
      <c r="E19" s="40">
        <v>24</v>
      </c>
      <c r="F19" s="40">
        <v>20</v>
      </c>
      <c r="G19" s="40">
        <v>20</v>
      </c>
      <c r="H19" s="40">
        <v>11</v>
      </c>
      <c r="I19" s="40">
        <v>15</v>
      </c>
      <c r="J19" s="40">
        <v>15</v>
      </c>
      <c r="K19" s="41">
        <f t="shared" si="12"/>
        <v>105</v>
      </c>
      <c r="L19" s="35">
        <f>_xlfn.XLOOKUP(A19,'Customer Code'!B:B,'Customer Code'!F:F,0)</f>
        <v>592</v>
      </c>
      <c r="M19" s="42">
        <f t="shared" si="13"/>
        <v>0.18</v>
      </c>
      <c r="N19" s="42">
        <f t="shared" si="14"/>
        <v>0.03</v>
      </c>
      <c r="P19" s="41">
        <f t="shared" si="15"/>
        <v>18</v>
      </c>
      <c r="Q19" s="41">
        <f t="shared" si="19"/>
        <v>18</v>
      </c>
      <c r="R19" s="41">
        <f t="shared" si="16"/>
        <v>6</v>
      </c>
      <c r="S19" s="41">
        <f>_xlfn.XLOOKUP(B19,Sum!A:A,Sum!O:O)+_xlfn.XLOOKUP(B19,Sum!A:A,Sum!P:P)</f>
        <v>21</v>
      </c>
      <c r="T19">
        <v>34</v>
      </c>
      <c r="U19" s="41">
        <f t="shared" si="5"/>
        <v>13</v>
      </c>
      <c r="V19" s="41">
        <f t="shared" si="8"/>
        <v>234</v>
      </c>
      <c r="X19" s="41"/>
    </row>
    <row r="20" customHeight="1" spans="1:25">
      <c r="A20" s="50">
        <v>50126564</v>
      </c>
      <c r="B20" s="33" t="str">
        <f t="array" ref="B20">_xlfn.XLOOKUP(A20,'Customer Code'!B:B,'Customer Code'!C:C)</f>
        <v>CPWJ0012</v>
      </c>
      <c r="C20" s="33" t="s">
        <v>334</v>
      </c>
      <c r="D20" s="33" t="str">
        <f t="array" ref="D20">_xlfn.XLOOKUP(B20,'Product List'!A:A,'Product List'!C:C)</f>
        <v>MINI/MOE MUSHROOM LADDER 1EA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1">
        <f t="shared" si="12"/>
        <v>0</v>
      </c>
      <c r="L20" s="35">
        <f>_xlfn.XLOOKUP(A20,'Customer Code'!B:B,'Customer Code'!F:F,0)</f>
        <v>0</v>
      </c>
      <c r="M20" s="42">
        <f t="shared" si="13"/>
        <v>0</v>
      </c>
      <c r="N20" s="42">
        <f t="shared" si="14"/>
        <v>0</v>
      </c>
      <c r="P20" s="41">
        <f t="shared" si="15"/>
        <v>0</v>
      </c>
      <c r="Q20" s="41">
        <f t="shared" si="19"/>
        <v>0</v>
      </c>
      <c r="R20" s="41">
        <f t="shared" si="16"/>
        <v>0</v>
      </c>
      <c r="S20" s="41">
        <f>_xlfn.XLOOKUP(B20,Sum!A:A,Sum!O:O)+_xlfn.XLOOKUP(B20,Sum!A:A,Sum!P:P)</f>
        <v>21</v>
      </c>
      <c r="T20">
        <v>34</v>
      </c>
      <c r="U20" s="41">
        <f t="shared" si="5"/>
        <v>13</v>
      </c>
      <c r="V20" s="41">
        <f t="shared" si="8"/>
        <v>0</v>
      </c>
      <c r="X20" s="41"/>
    </row>
    <row r="21" customHeight="1" spans="1:25">
      <c r="A21" s="50">
        <v>50126565</v>
      </c>
      <c r="B21" s="33" t="str">
        <f t="array" ref="B21">_xlfn.XLOOKUP(A21,'Customer Code'!B:B,'Customer Code'!C:C)</f>
        <v>WJ-9-GN</v>
      </c>
      <c r="C21" s="33" t="s">
        <v>334</v>
      </c>
      <c r="D21" s="33" t="str">
        <f t="array" ref="D21">_xlfn.XLOOKUP(B21,'Product List'!A:A,'Product List'!C:C)</f>
        <v>MINI/MOE WOODLAND POTTY</v>
      </c>
      <c r="E21" s="40">
        <v>14</v>
      </c>
      <c r="F21" s="40">
        <v>21</v>
      </c>
      <c r="G21" s="40">
        <v>12</v>
      </c>
      <c r="H21" s="40">
        <v>19</v>
      </c>
      <c r="I21" s="40">
        <v>12</v>
      </c>
      <c r="J21" s="40">
        <v>12</v>
      </c>
      <c r="K21" s="41">
        <f t="shared" si="12"/>
        <v>90</v>
      </c>
      <c r="L21" s="35">
        <f>_xlfn.XLOOKUP(A21,'Customer Code'!B:B,'Customer Code'!F:F,0)</f>
        <v>329</v>
      </c>
      <c r="M21" s="42">
        <f t="shared" si="13"/>
        <v>0.27</v>
      </c>
      <c r="N21" s="42">
        <f t="shared" si="14"/>
        <v>0.05</v>
      </c>
      <c r="P21" s="41">
        <f t="shared" si="15"/>
        <v>15</v>
      </c>
      <c r="Q21" s="41">
        <f t="shared" si="19"/>
        <v>17</v>
      </c>
      <c r="R21" s="41">
        <f t="shared" si="16"/>
        <v>6</v>
      </c>
      <c r="S21" s="41">
        <f>_xlfn.XLOOKUP(B21,Sum!A:A,Sum!O:O)+_xlfn.XLOOKUP(B21,Sum!A:A,Sum!P:P)</f>
        <v>16</v>
      </c>
      <c r="T21">
        <v>34</v>
      </c>
      <c r="U21" s="41">
        <f t="shared" si="5"/>
        <v>18</v>
      </c>
      <c r="V21" s="41">
        <f t="shared" si="8"/>
        <v>306</v>
      </c>
      <c r="X21" s="41">
        <v>10</v>
      </c>
      <c r="Y21">
        <v>10</v>
      </c>
    </row>
    <row r="22" customHeight="1" spans="1:25">
      <c r="A22" s="50">
        <v>50126566</v>
      </c>
      <c r="B22" s="33" t="str">
        <f t="array" ref="B22">_xlfn.XLOOKUP(A22,'Customer Code'!B:B,'Customer Code'!C:C)</f>
        <v>CPWJ0011</v>
      </c>
      <c r="C22" s="33" t="s">
        <v>334</v>
      </c>
      <c r="D22" s="33" t="str">
        <f t="array" ref="D22">_xlfn.XLOOKUP(B22,'Product List'!A:A,'Product List'!C:C)</f>
        <v>MINI/MOE MUSHROOM CABIN</v>
      </c>
      <c r="E22" s="40">
        <v>21</v>
      </c>
      <c r="F22" s="40">
        <v>25</v>
      </c>
      <c r="G22" s="40">
        <v>20</v>
      </c>
      <c r="H22" s="40">
        <v>18</v>
      </c>
      <c r="I22" s="40">
        <v>22</v>
      </c>
      <c r="J22" s="40">
        <v>22</v>
      </c>
      <c r="K22" s="41">
        <f t="shared" si="12"/>
        <v>128</v>
      </c>
      <c r="L22" s="35">
        <f>_xlfn.XLOOKUP(A22,'Customer Code'!B:B,'Customer Code'!F:F,0)</f>
        <v>597</v>
      </c>
      <c r="M22" s="42">
        <f t="shared" si="13"/>
        <v>0.21</v>
      </c>
      <c r="N22" s="42">
        <f t="shared" si="14"/>
        <v>0.04</v>
      </c>
      <c r="P22" s="41">
        <f t="shared" si="15"/>
        <v>22</v>
      </c>
      <c r="Q22" s="41">
        <f t="shared" si="19"/>
        <v>24</v>
      </c>
      <c r="R22" s="41">
        <f t="shared" si="16"/>
        <v>3</v>
      </c>
      <c r="S22" s="41">
        <f>_xlfn.XLOOKUP(B22,Sum!A:A,Sum!O:O)+_xlfn.XLOOKUP(B22,Sum!A:A,Sum!P:P)</f>
        <v>21</v>
      </c>
      <c r="T22">
        <v>34</v>
      </c>
      <c r="U22" s="41">
        <f t="shared" si="5"/>
        <v>13</v>
      </c>
      <c r="V22" s="41">
        <f t="shared" si="8"/>
        <v>312</v>
      </c>
      <c r="X22" s="51">
        <v>8</v>
      </c>
      <c r="Y22">
        <v>12</v>
      </c>
    </row>
    <row r="23" customHeight="1" spans="1:25">
      <c r="A23" s="50">
        <v>50126567</v>
      </c>
      <c r="B23" s="33" t="str">
        <f t="array" ref="B23">_xlfn.XLOOKUP(A23,'Customer Code'!B:B,'Customer Code'!C:C)</f>
        <v>CPWJ0015</v>
      </c>
      <c r="C23" s="33" t="s">
        <v>334</v>
      </c>
      <c r="D23" s="33" t="str">
        <f t="array" ref="D23">_xlfn.XLOOKUP(B23,'Product List'!A:A,'Product List'!C:C)</f>
        <v>MINI/MOE GARDEN TEAPOT</v>
      </c>
      <c r="E23" s="40">
        <v>8</v>
      </c>
      <c r="F23" s="40">
        <v>8</v>
      </c>
      <c r="G23" s="40">
        <v>4</v>
      </c>
      <c r="H23" s="40">
        <v>9</v>
      </c>
      <c r="I23" s="40">
        <v>4</v>
      </c>
      <c r="J23" s="40">
        <v>4</v>
      </c>
      <c r="K23" s="41">
        <f t="shared" si="12"/>
        <v>37</v>
      </c>
      <c r="L23" s="35">
        <f>_xlfn.XLOOKUP(A23,'Customer Code'!B:B,'Customer Code'!F:F,0)</f>
        <v>688</v>
      </c>
      <c r="M23" s="42">
        <f t="shared" si="13"/>
        <v>0.05</v>
      </c>
      <c r="N23" s="42">
        <f t="shared" si="14"/>
        <v>0.01</v>
      </c>
      <c r="P23" s="41">
        <f t="shared" si="15"/>
        <v>7</v>
      </c>
      <c r="Q23" s="41">
        <f t="shared" si="19"/>
        <v>7</v>
      </c>
      <c r="R23" s="41">
        <f t="shared" si="16"/>
        <v>4</v>
      </c>
      <c r="S23" s="41">
        <f>_xlfn.XLOOKUP(B23,Sum!A:A,Sum!O:O)+_xlfn.XLOOKUP(B23,Sum!A:A,Sum!P:P)</f>
        <v>21</v>
      </c>
      <c r="T23">
        <v>34</v>
      </c>
      <c r="U23" s="41">
        <f t="shared" si="5"/>
        <v>13</v>
      </c>
      <c r="V23" s="41">
        <f t="shared" si="8"/>
        <v>91</v>
      </c>
      <c r="X23" s="41">
        <v>8</v>
      </c>
      <c r="Y23">
        <v>8</v>
      </c>
    </row>
    <row r="24" customHeight="1" spans="1:25">
      <c r="A24" s="50">
        <v>50126568</v>
      </c>
      <c r="B24" s="33" t="str">
        <f t="array" ref="B24">_xlfn.XLOOKUP(A24,'Customer Code'!B:B,'Customer Code'!C:C)</f>
        <v>WJ-13</v>
      </c>
      <c r="C24" s="33" t="s">
        <v>334</v>
      </c>
      <c r="D24" s="33" t="str">
        <f t="array" ref="D24">_xlfn.XLOOKUP(B24,'Product List'!A:A,'Product List'!C:C)</f>
        <v>MINI/MOE CAMPING TENT HIDE</v>
      </c>
      <c r="E24" s="40">
        <v>36</v>
      </c>
      <c r="F24" s="40">
        <v>32</v>
      </c>
      <c r="G24" s="40">
        <v>33</v>
      </c>
      <c r="H24" s="40">
        <v>29</v>
      </c>
      <c r="I24" s="40">
        <v>22</v>
      </c>
      <c r="J24" s="40">
        <v>22</v>
      </c>
      <c r="K24" s="41">
        <f t="shared" si="12"/>
        <v>174</v>
      </c>
      <c r="L24" s="35">
        <f>_xlfn.XLOOKUP(A24,'Customer Code'!B:B,'Customer Code'!F:F,0)</f>
        <v>602</v>
      </c>
      <c r="M24" s="42">
        <f t="shared" si="13"/>
        <v>0.29</v>
      </c>
      <c r="N24" s="42">
        <f t="shared" si="14"/>
        <v>0.05</v>
      </c>
      <c r="P24" s="41">
        <f t="shared" si="15"/>
        <v>29</v>
      </c>
      <c r="Q24" s="41">
        <f t="shared" si="19"/>
        <v>31</v>
      </c>
      <c r="R24" s="41">
        <f t="shared" si="16"/>
        <v>8</v>
      </c>
      <c r="S24" s="41">
        <f>_xlfn.XLOOKUP(B24,Sum!A:A,Sum!O:O)+_xlfn.XLOOKUP(B24,Sum!A:A,Sum!P:P)</f>
        <v>21</v>
      </c>
      <c r="T24">
        <v>34</v>
      </c>
      <c r="U24" s="41">
        <f t="shared" si="5"/>
        <v>13</v>
      </c>
      <c r="V24" s="41">
        <f t="shared" si="8"/>
        <v>403</v>
      </c>
      <c r="X24" s="41"/>
    </row>
    <row r="25" customHeight="1" spans="1:25">
      <c r="A25" s="50">
        <v>50126569</v>
      </c>
      <c r="B25" s="33" t="str">
        <f t="array" ref="B25">_xlfn.XLOOKUP(A25,'Customer Code'!B:B,'Customer Code'!C:C)</f>
        <v>CPWJ0013</v>
      </c>
      <c r="C25" s="33" t="s">
        <v>334</v>
      </c>
      <c r="D25" s="33" t="str">
        <f t="array" ref="D25">_xlfn.XLOOKUP(B25,'Product List'!A:A,'Product List'!C:C)</f>
        <v>MINI/MOE TREEHOUSE CABIN</v>
      </c>
      <c r="E25" s="40">
        <v>29</v>
      </c>
      <c r="F25" s="40">
        <v>30</v>
      </c>
      <c r="G25" s="40">
        <v>25</v>
      </c>
      <c r="H25" s="40">
        <v>30</v>
      </c>
      <c r="I25" s="40">
        <v>28</v>
      </c>
      <c r="J25" s="40">
        <v>28</v>
      </c>
      <c r="K25" s="41">
        <f t="shared" si="12"/>
        <v>170</v>
      </c>
      <c r="L25" s="35">
        <f>_xlfn.XLOOKUP(A25,'Customer Code'!B:B,'Customer Code'!F:F,0)</f>
        <v>604</v>
      </c>
      <c r="M25" s="42">
        <f t="shared" si="13"/>
        <v>0.28</v>
      </c>
      <c r="N25" s="42">
        <f t="shared" si="14"/>
        <v>0.05</v>
      </c>
      <c r="P25" s="41">
        <f t="shared" si="15"/>
        <v>29</v>
      </c>
      <c r="Q25" s="41">
        <f t="shared" si="19"/>
        <v>31</v>
      </c>
      <c r="R25" s="41">
        <f t="shared" si="16"/>
        <v>3</v>
      </c>
      <c r="S25" s="41">
        <f>_xlfn.XLOOKUP(B25,Sum!A:A,Sum!O:O)+_xlfn.XLOOKUP(B25,Sum!A:A,Sum!P:P)</f>
        <v>21</v>
      </c>
      <c r="T25">
        <v>34</v>
      </c>
      <c r="U25" s="41">
        <f t="shared" si="5"/>
        <v>13</v>
      </c>
      <c r="V25" s="41">
        <f t="shared" si="8"/>
        <v>403</v>
      </c>
      <c r="X25" s="41"/>
    </row>
    <row r="26" customHeight="1" spans="1:25">
      <c r="A26" s="50">
        <v>50126570</v>
      </c>
      <c r="B26" s="33" t="str">
        <f t="array" ref="B26">_xlfn.XLOOKUP(A26,'Customer Code'!B:B,'Customer Code'!C:C)</f>
        <v>CPSL22004GN</v>
      </c>
      <c r="C26" s="33" t="s">
        <v>334</v>
      </c>
      <c r="D26" s="33" t="str">
        <f t="array" ref="D26">_xlfn.XLOOKUP(B26,'Product List'!A:A,'Product List'!C:C)</f>
        <v>Ceramic Candy Bowl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1">
        <f t="shared" si="12"/>
        <v>0</v>
      </c>
      <c r="L26" s="35">
        <f>_xlfn.XLOOKUP(A26,'Customer Code'!B:B,'Customer Code'!F:F,0)</f>
        <v>0</v>
      </c>
      <c r="M26" s="42">
        <f t="shared" si="13"/>
        <v>0</v>
      </c>
      <c r="N26" s="42">
        <f t="shared" si="14"/>
        <v>0</v>
      </c>
      <c r="P26" s="41">
        <f t="shared" si="15"/>
        <v>0</v>
      </c>
      <c r="Q26" s="41">
        <f t="shared" si="19"/>
        <v>0</v>
      </c>
      <c r="R26" s="41">
        <f t="shared" si="16"/>
        <v>0</v>
      </c>
      <c r="S26" s="41">
        <f>_xlfn.XLOOKUP(B26,Sum!A:A,Sum!O:O)+_xlfn.XLOOKUP(B26,Sum!A:A,Sum!P:P)</f>
        <v>21</v>
      </c>
      <c r="T26">
        <v>34</v>
      </c>
      <c r="U26" s="41">
        <f t="shared" si="5"/>
        <v>13</v>
      </c>
      <c r="V26" s="41">
        <f t="shared" si="8"/>
        <v>0</v>
      </c>
      <c r="X26" s="41"/>
    </row>
    <row r="27" customHeight="1" spans="1:25">
      <c r="A27" s="50">
        <v>50126571</v>
      </c>
      <c r="B27" s="33" t="str">
        <f t="array" ref="B27">_xlfn.XLOOKUP(A27,'Customer Code'!B:B,'Customer Code'!C:C)</f>
        <v>WJ-46</v>
      </c>
      <c r="C27" s="33" t="s">
        <v>334</v>
      </c>
      <c r="D27" s="33" t="str">
        <f t="array" ref="D27">_xlfn.XLOOKUP(B27,'Product List'!A:A,'Product List'!C:C)</f>
        <v>MINI/MOE RUFFLE BOWL</v>
      </c>
      <c r="E27" s="40">
        <v>11</v>
      </c>
      <c r="F27" s="40">
        <v>7</v>
      </c>
      <c r="G27" s="40">
        <v>5</v>
      </c>
      <c r="H27" s="40">
        <v>4</v>
      </c>
      <c r="I27" s="40">
        <v>6</v>
      </c>
      <c r="J27" s="40">
        <v>6</v>
      </c>
      <c r="K27" s="41">
        <f t="shared" si="12"/>
        <v>39</v>
      </c>
      <c r="L27" s="35">
        <f>_xlfn.XLOOKUP(A27,'Customer Code'!B:B,'Customer Code'!F:F,0)</f>
        <v>103</v>
      </c>
      <c r="M27" s="42">
        <f t="shared" si="13"/>
        <v>0.38</v>
      </c>
      <c r="N27" s="42">
        <f t="shared" si="14"/>
        <v>0.07</v>
      </c>
      <c r="P27" s="41">
        <f t="shared" si="15"/>
        <v>7</v>
      </c>
      <c r="Q27" s="41">
        <f t="shared" si="19"/>
        <v>8</v>
      </c>
      <c r="R27" s="41">
        <f t="shared" si="16"/>
        <v>4</v>
      </c>
      <c r="S27" s="41">
        <f>_xlfn.XLOOKUP(B27,Sum!A:A,Sum!O:O)+_xlfn.XLOOKUP(B27,Sum!A:A,Sum!P:P)</f>
        <v>21</v>
      </c>
      <c r="T27">
        <v>34</v>
      </c>
      <c r="U27" s="41">
        <f t="shared" si="5"/>
        <v>13</v>
      </c>
      <c r="V27" s="41">
        <f t="shared" si="8"/>
        <v>104</v>
      </c>
      <c r="X27" s="41"/>
    </row>
    <row r="28" customHeight="1" spans="1:25">
      <c r="A28" s="50">
        <v>50126572</v>
      </c>
      <c r="B28" s="33" t="str">
        <f t="array" ref="B28">_xlfn.XLOOKUP(A28,'Customer Code'!B:B,'Customer Code'!C:C)</f>
        <v>SZP542-WH</v>
      </c>
      <c r="C28" s="33" t="s">
        <v>334</v>
      </c>
      <c r="D28" s="33" t="str">
        <f t="array" ref="D28">_xlfn.XLOOKUP(B28,'Product List'!A:A,'Product List'!C:C)</f>
        <v>MMO-BUBBLE WATER BOTTLE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1">
        <f t="shared" si="12"/>
        <v>0</v>
      </c>
      <c r="L28" s="35">
        <f>_xlfn.XLOOKUP(A28,'Customer Code'!B:B,'Customer Code'!F:F,0)</f>
        <v>0</v>
      </c>
      <c r="M28" s="42">
        <f t="shared" si="13"/>
        <v>0</v>
      </c>
      <c r="N28" s="42">
        <f t="shared" si="14"/>
        <v>0</v>
      </c>
      <c r="P28" s="41">
        <f t="shared" si="15"/>
        <v>0</v>
      </c>
      <c r="Q28" s="41">
        <f t="shared" si="19"/>
        <v>0</v>
      </c>
      <c r="R28" s="41">
        <f t="shared" si="16"/>
        <v>0</v>
      </c>
      <c r="S28" s="41">
        <f>_xlfn.XLOOKUP(B28,Sum!A:A,Sum!O:O)+_xlfn.XLOOKUP(B28,Sum!A:A,Sum!P:P)</f>
        <v>16</v>
      </c>
      <c r="T28">
        <v>34</v>
      </c>
      <c r="U28" s="41">
        <f t="shared" si="5"/>
        <v>18</v>
      </c>
      <c r="V28" s="41">
        <f t="shared" si="8"/>
        <v>0</v>
      </c>
      <c r="X28" s="41"/>
    </row>
    <row r="29" customHeight="1" spans="1:25">
      <c r="A29" s="50">
        <v>50126573</v>
      </c>
      <c r="B29" s="33" t="str">
        <f t="array" ref="B29">_xlfn.XLOOKUP(A29,'Customer Code'!B:B,'Customer Code'!C:C)</f>
        <v>WJ-39-PK</v>
      </c>
      <c r="C29" s="33" t="s">
        <v>334</v>
      </c>
      <c r="D29" s="33" t="str">
        <f t="array" ref="D29">_xlfn.XLOOKUP(B29,'Product List'!A:A,'Product List'!C:C)</f>
        <v>MINI/MOE SILENT CRSTL RUN WHEEL XL 11.5 1EA</v>
      </c>
      <c r="E29" s="40">
        <v>24</v>
      </c>
      <c r="F29" s="40">
        <v>18</v>
      </c>
      <c r="G29" s="40">
        <v>20</v>
      </c>
      <c r="H29" s="40">
        <v>17</v>
      </c>
      <c r="I29" s="40">
        <v>18</v>
      </c>
      <c r="J29" s="40">
        <v>18</v>
      </c>
      <c r="K29" s="41">
        <f t="shared" si="12"/>
        <v>115</v>
      </c>
      <c r="L29" s="35">
        <f>_xlfn.XLOOKUP(A29,'Customer Code'!B:B,'Customer Code'!F:F,0)</f>
        <v>594</v>
      </c>
      <c r="M29" s="42">
        <f t="shared" si="13"/>
        <v>0.19</v>
      </c>
      <c r="N29" s="42">
        <f t="shared" si="14"/>
        <v>0.04</v>
      </c>
      <c r="P29" s="41">
        <f t="shared" si="15"/>
        <v>20</v>
      </c>
      <c r="Q29" s="41">
        <f t="shared" si="19"/>
        <v>24</v>
      </c>
      <c r="R29" s="41">
        <f t="shared" si="16"/>
        <v>4</v>
      </c>
      <c r="S29" s="41">
        <f>_xlfn.XLOOKUP(B29,Sum!A:A,Sum!O:O)+_xlfn.XLOOKUP(B29,Sum!A:A,Sum!P:P)</f>
        <v>16</v>
      </c>
      <c r="T29">
        <v>34</v>
      </c>
      <c r="U29" s="41">
        <f t="shared" si="5"/>
        <v>18</v>
      </c>
      <c r="V29" s="41">
        <f t="shared" si="8"/>
        <v>432</v>
      </c>
      <c r="X29" s="41"/>
    </row>
    <row r="30" customHeight="1" spans="1:25">
      <c r="A30" s="50">
        <v>50126574</v>
      </c>
      <c r="B30" s="33" t="e">
        <f t="array" ref="B30">_xlfn.XLOOKUP(A30,'Customer Code'!B:B,'Customer Code'!C:C)</f>
        <v>#N/A</v>
      </c>
      <c r="C30" s="33" t="s">
        <v>334</v>
      </c>
      <c r="D30" s="33" t="e">
        <f t="array" ref="D30">_xlfn.XLOOKUP(B30,'Product List'!A:A,'Product List'!C:C)</f>
        <v>#N/A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1">
        <f t="shared" si="12"/>
        <v>0</v>
      </c>
      <c r="L30" s="35">
        <f>_xlfn.XLOOKUP(A30,'Customer Code'!B:B,'Customer Code'!F:F,0)</f>
        <v>0</v>
      </c>
      <c r="M30" s="42">
        <f t="shared" si="13"/>
        <v>0</v>
      </c>
      <c r="N30" s="42">
        <f t="shared" si="14"/>
        <v>0</v>
      </c>
      <c r="P30" s="41">
        <f t="shared" si="15"/>
        <v>0</v>
      </c>
      <c r="Q30" s="41">
        <f t="shared" si="19"/>
        <v>0</v>
      </c>
      <c r="R30" s="41">
        <f t="shared" si="16"/>
        <v>0</v>
      </c>
      <c r="S30" s="41" t="e">
        <f>_xlfn.XLOOKUP(B30,Sum!A:A,Sum!O:O)+_xlfn.XLOOKUP(B30,Sum!A:A,Sum!P:P)</f>
        <v>#N/A</v>
      </c>
      <c r="T30">
        <v>34</v>
      </c>
      <c r="U30" s="41" t="e">
        <f t="shared" si="5"/>
        <v>#N/A</v>
      </c>
      <c r="V30" s="41" t="e">
        <f t="shared" si="8"/>
        <v>#N/A</v>
      </c>
      <c r="X30" s="41"/>
    </row>
    <row r="31" customHeight="1" spans="1:25">
      <c r="A31" s="50">
        <v>50126575</v>
      </c>
      <c r="B31" s="33" t="e">
        <f t="array" ref="B31">_xlfn.XLOOKUP(A31,'Customer Code'!B:B,'Customer Code'!C:C)</f>
        <v>#N/A</v>
      </c>
      <c r="C31" s="33" t="s">
        <v>334</v>
      </c>
      <c r="D31" s="33" t="e">
        <f t="array" ref="D31">_xlfn.XLOOKUP(B31,'Product List'!A:A,'Product List'!C:C)</f>
        <v>#N/A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1">
        <f t="shared" si="12"/>
        <v>0</v>
      </c>
      <c r="L31" s="35">
        <f>_xlfn.XLOOKUP(A31,'Customer Code'!B:B,'Customer Code'!F:F,0)</f>
        <v>0</v>
      </c>
      <c r="M31" s="42">
        <f t="shared" si="13"/>
        <v>0</v>
      </c>
      <c r="N31" s="42">
        <f t="shared" si="14"/>
        <v>0</v>
      </c>
      <c r="P31" s="41">
        <f t="shared" si="15"/>
        <v>0</v>
      </c>
      <c r="Q31" s="41">
        <f t="shared" si="19"/>
        <v>0</v>
      </c>
      <c r="R31" s="41">
        <f t="shared" si="16"/>
        <v>0</v>
      </c>
      <c r="S31" s="41" t="e">
        <f>_xlfn.XLOOKUP(B31,Sum!A:A,Sum!O:O)+_xlfn.XLOOKUP(B31,Sum!A:A,Sum!P:P)</f>
        <v>#N/A</v>
      </c>
      <c r="T31">
        <v>34</v>
      </c>
      <c r="U31" s="41" t="e">
        <f t="shared" si="5"/>
        <v>#N/A</v>
      </c>
      <c r="V31" s="41" t="e">
        <f t="shared" si="8"/>
        <v>#N/A</v>
      </c>
      <c r="X31" s="41"/>
    </row>
    <row r="32" customHeight="1" spans="1:25">
      <c r="A32" s="50">
        <v>50126576</v>
      </c>
      <c r="B32" s="33" t="e">
        <f t="array" ref="B32">_xlfn.XLOOKUP(A32,'Customer Code'!B:B,'Customer Code'!C:C)</f>
        <v>#N/A</v>
      </c>
      <c r="C32" s="33" t="s">
        <v>334</v>
      </c>
      <c r="D32" s="33" t="e">
        <f t="array" ref="D32">_xlfn.XLOOKUP(B32,'Product List'!A:A,'Product List'!C:C)</f>
        <v>#N/A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1">
        <f t="shared" si="12"/>
        <v>0</v>
      </c>
      <c r="L32" s="35">
        <f>_xlfn.XLOOKUP(A32,'Customer Code'!B:B,'Customer Code'!F:F,0)</f>
        <v>0</v>
      </c>
      <c r="M32" s="42">
        <f t="shared" si="13"/>
        <v>0</v>
      </c>
      <c r="N32" s="42">
        <f t="shared" si="14"/>
        <v>0</v>
      </c>
      <c r="P32" s="41">
        <f t="shared" si="15"/>
        <v>0</v>
      </c>
      <c r="Q32" s="41">
        <f t="shared" si="19"/>
        <v>0</v>
      </c>
      <c r="R32" s="41">
        <f t="shared" si="16"/>
        <v>0</v>
      </c>
      <c r="S32" s="41" t="e">
        <f>_xlfn.XLOOKUP(B32,Sum!A:A,Sum!O:O)+_xlfn.XLOOKUP(B32,Sum!A:A,Sum!P:P)</f>
        <v>#N/A</v>
      </c>
      <c r="T32">
        <v>34</v>
      </c>
      <c r="U32" s="41" t="e">
        <f t="shared" si="5"/>
        <v>#N/A</v>
      </c>
      <c r="V32" s="41" t="e">
        <f t="shared" si="8"/>
        <v>#N/A</v>
      </c>
      <c r="X32" s="41"/>
    </row>
    <row r="33" customHeight="1" spans="1:24">
      <c r="A33" s="50">
        <v>50126577</v>
      </c>
      <c r="B33" s="33" t="str">
        <f t="array" ref="B33">_xlfn.XLOOKUP(A33,'Customer Code'!B:B,'Customer Code'!C:C)</f>
        <v>RJ510-BL</v>
      </c>
      <c r="C33" s="33" t="s">
        <v>334</v>
      </c>
      <c r="D33" s="33" t="str">
        <f t="array" ref="D33">_xlfn.XLOOKUP(B33,'Product List'!A:A,'Product List'!C:C)</f>
        <v>Crystal Outdoor Cage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1">
        <f t="shared" si="12"/>
        <v>0</v>
      </c>
      <c r="L33" s="35">
        <f>_xlfn.XLOOKUP(A33,'Customer Code'!B:B,'Customer Code'!F:F,0)</f>
        <v>0</v>
      </c>
      <c r="M33" s="42">
        <f t="shared" si="13"/>
        <v>0</v>
      </c>
      <c r="N33" s="42">
        <f t="shared" si="14"/>
        <v>0</v>
      </c>
      <c r="P33" s="41">
        <f t="shared" si="15"/>
        <v>0</v>
      </c>
      <c r="Q33" s="41">
        <f t="shared" si="19"/>
        <v>0</v>
      </c>
      <c r="R33" s="41">
        <f t="shared" si="16"/>
        <v>0</v>
      </c>
      <c r="S33" s="41">
        <f>_xlfn.XLOOKUP(B33,Sum!A:A,Sum!O:O)+_xlfn.XLOOKUP(B33,Sum!A:A,Sum!P:P)</f>
        <v>16</v>
      </c>
      <c r="T33">
        <v>34</v>
      </c>
      <c r="U33" s="41">
        <f t="shared" si="5"/>
        <v>18</v>
      </c>
      <c r="V33" s="41">
        <f t="shared" si="8"/>
        <v>0</v>
      </c>
      <c r="X33" s="41"/>
    </row>
    <row r="34" customHeight="1" spans="1:24">
      <c r="A34" s="50">
        <v>50126578</v>
      </c>
      <c r="B34" s="33" t="str">
        <f t="array" ref="B34">_xlfn.XLOOKUP(A34,'Customer Code'!B:B,'Customer Code'!C:C)</f>
        <v>CPWJ87000</v>
      </c>
      <c r="C34" s="33" t="s">
        <v>334</v>
      </c>
      <c r="D34" s="33" t="str">
        <f t="array" ref="D34">_xlfn.XLOOKUP(B34,'Product List'!A:A,'Product List'!C:C)</f>
        <v>MINI/MOE IVY BURROWING BOX</v>
      </c>
      <c r="E34" s="40">
        <v>3</v>
      </c>
      <c r="F34" s="40">
        <v>5</v>
      </c>
      <c r="G34" s="40">
        <v>4</v>
      </c>
      <c r="H34" s="40">
        <v>5</v>
      </c>
      <c r="I34" s="40">
        <v>1</v>
      </c>
      <c r="J34" s="40">
        <v>1</v>
      </c>
      <c r="K34" s="41">
        <f t="shared" si="12"/>
        <v>19</v>
      </c>
      <c r="L34" s="35">
        <f>_xlfn.XLOOKUP(A34,'Customer Code'!B:B,'Customer Code'!F:F,0)</f>
        <v>597</v>
      </c>
      <c r="M34" s="42">
        <f t="shared" si="13"/>
        <v>0.03</v>
      </c>
      <c r="N34" s="42">
        <f t="shared" si="14"/>
        <v>0.01</v>
      </c>
      <c r="P34" s="41">
        <f t="shared" si="15"/>
        <v>4</v>
      </c>
      <c r="Q34" s="41">
        <f t="shared" si="19"/>
        <v>6</v>
      </c>
      <c r="R34" s="41">
        <f t="shared" si="16"/>
        <v>3</v>
      </c>
      <c r="S34" s="41">
        <f>_xlfn.XLOOKUP(B34,Sum!A:A,Sum!O:O)+_xlfn.XLOOKUP(B34,Sum!A:A,Sum!P:P)</f>
        <v>21</v>
      </c>
      <c r="T34">
        <v>34</v>
      </c>
      <c r="U34" s="41">
        <f t="shared" si="5"/>
        <v>13</v>
      </c>
      <c r="V34" s="41">
        <f t="shared" si="8"/>
        <v>78</v>
      </c>
      <c r="X34" s="41"/>
    </row>
    <row r="35" customHeight="1" spans="1:24">
      <c r="A35" s="50">
        <v>50126579</v>
      </c>
      <c r="B35" s="33" t="str">
        <f t="array" ref="B35">_xlfn.XLOOKUP(A35,'Customer Code'!B:B,'Customer Code'!C:C)</f>
        <v>CPWJ0014</v>
      </c>
      <c r="C35" s="33" t="s">
        <v>334</v>
      </c>
      <c r="D35" s="33" t="str">
        <f t="array" ref="D35">_xlfn.XLOOKUP(B35,'Product List'!A:A,'Product List'!C:C)</f>
        <v>MINI/MOE FISHBONE BRIDGE 1EA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1">
        <f t="shared" si="12"/>
        <v>0</v>
      </c>
      <c r="L35" s="35">
        <f>_xlfn.XLOOKUP(A35,'Customer Code'!B:B,'Customer Code'!F:F,0)</f>
        <v>0</v>
      </c>
      <c r="M35" s="42">
        <f t="shared" si="13"/>
        <v>0</v>
      </c>
      <c r="N35" s="42">
        <f t="shared" si="14"/>
        <v>0</v>
      </c>
      <c r="P35" s="41">
        <f t="shared" si="15"/>
        <v>0</v>
      </c>
      <c r="Q35" s="41">
        <f t="shared" si="19"/>
        <v>0</v>
      </c>
      <c r="R35" s="41">
        <f t="shared" si="16"/>
        <v>0</v>
      </c>
      <c r="S35" s="41">
        <f>_xlfn.XLOOKUP(B35,Sum!A:A,Sum!O:O)+_xlfn.XLOOKUP(B35,Sum!A:A,Sum!P:P)</f>
        <v>21</v>
      </c>
      <c r="T35">
        <v>34</v>
      </c>
      <c r="U35" s="41">
        <f t="shared" si="5"/>
        <v>13</v>
      </c>
      <c r="V35" s="41">
        <f t="shared" si="8"/>
        <v>0</v>
      </c>
      <c r="X35" s="41"/>
    </row>
    <row r="36" customHeight="1" spans="1:24">
      <c r="A36" s="50">
        <v>50126580</v>
      </c>
      <c r="B36" s="33" t="str">
        <f t="array" ref="B36">_xlfn.XLOOKUP(A36,'Customer Code'!B:B,'Customer Code'!C:C)</f>
        <v>SP-7</v>
      </c>
      <c r="C36" s="33" t="s">
        <v>334</v>
      </c>
      <c r="D36" s="33" t="str">
        <f t="array" ref="D36">_xlfn.XLOOKUP(B36,'Product List'!A:A,'Product List'!C:C)</f>
        <v>MINI/MOE ROCKING BIRDHOUSE HIDE 1EA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1">
        <f t="shared" si="12"/>
        <v>0</v>
      </c>
      <c r="L36" s="35">
        <f>_xlfn.XLOOKUP(A36,'Customer Code'!B:B,'Customer Code'!F:F,0)</f>
        <v>0</v>
      </c>
      <c r="M36" s="42">
        <f t="shared" si="13"/>
        <v>0</v>
      </c>
      <c r="N36" s="42">
        <f t="shared" si="14"/>
        <v>0</v>
      </c>
      <c r="P36" s="41">
        <f t="shared" si="15"/>
        <v>0</v>
      </c>
      <c r="Q36" s="41">
        <f t="shared" si="19"/>
        <v>0</v>
      </c>
      <c r="R36" s="41">
        <f t="shared" si="16"/>
        <v>0</v>
      </c>
      <c r="S36" s="41">
        <f>_xlfn.XLOOKUP(B36,Sum!A:A,Sum!O:O)+_xlfn.XLOOKUP(B36,Sum!A:A,Sum!P:P)</f>
        <v>16</v>
      </c>
      <c r="T36">
        <v>34</v>
      </c>
      <c r="U36" s="41">
        <f t="shared" si="5"/>
        <v>18</v>
      </c>
      <c r="V36" s="41">
        <f t="shared" si="8"/>
        <v>0</v>
      </c>
      <c r="X36" s="41"/>
    </row>
    <row r="37" customHeight="1" spans="1:24">
      <c r="A37" s="50">
        <v>50126581</v>
      </c>
      <c r="B37" s="33" t="str">
        <f t="array" ref="B37">_xlfn.XLOOKUP(A37,'Customer Code'!B:B,'Customer Code'!C:C)</f>
        <v>LT-27</v>
      </c>
      <c r="C37" s="33" t="s">
        <v>334</v>
      </c>
      <c r="D37" s="33" t="str">
        <f t="array" ref="D37">_xlfn.XLOOKUP(B37,'Product List'!A:A,'Product List'!C:C)</f>
        <v>MINI/MOE MINI TV TUNNEL CAGE 1EA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1">
        <f t="shared" si="12"/>
        <v>0</v>
      </c>
      <c r="L37" s="35">
        <f>_xlfn.XLOOKUP(A37,'Customer Code'!B:B,'Customer Code'!F:F,0)</f>
        <v>0</v>
      </c>
      <c r="M37" s="42">
        <f t="shared" si="13"/>
        <v>0</v>
      </c>
      <c r="N37" s="42">
        <f t="shared" si="14"/>
        <v>0</v>
      </c>
      <c r="P37" s="41">
        <f t="shared" si="15"/>
        <v>0</v>
      </c>
      <c r="Q37" s="41">
        <f t="shared" si="19"/>
        <v>0</v>
      </c>
      <c r="R37" s="41">
        <f t="shared" si="16"/>
        <v>0</v>
      </c>
      <c r="S37" s="41">
        <f>_xlfn.XLOOKUP(B37,Sum!A:A,Sum!O:O)+_xlfn.XLOOKUP(B37,Sum!A:A,Sum!P:P)</f>
        <v>16</v>
      </c>
      <c r="T37">
        <v>34</v>
      </c>
      <c r="U37" s="41">
        <f t="shared" si="5"/>
        <v>18</v>
      </c>
      <c r="V37" s="41">
        <f t="shared" si="8"/>
        <v>0</v>
      </c>
      <c r="X37" s="41"/>
    </row>
    <row r="38" customHeight="1" spans="1:24">
      <c r="A38" s="50">
        <v>50126582</v>
      </c>
      <c r="B38" s="33" t="str">
        <f t="array" ref="B38">_xlfn.XLOOKUP(A38,'Customer Code'!B:B,'Customer Code'!C:C)</f>
        <v>NA</v>
      </c>
      <c r="C38" s="33" t="s">
        <v>334</v>
      </c>
      <c r="D38" s="33" t="e">
        <f t="array" ref="D38">_xlfn.XLOOKUP(B38,'Product List'!A:A,'Product List'!C:C)</f>
        <v>#N/A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1">
        <f t="shared" si="12"/>
        <v>0</v>
      </c>
      <c r="L38" s="35">
        <f>_xlfn.XLOOKUP(A38,'Customer Code'!B:B,'Customer Code'!F:F,0)</f>
        <v>0</v>
      </c>
      <c r="M38" s="42">
        <f t="shared" si="13"/>
        <v>0</v>
      </c>
      <c r="N38" s="42">
        <f t="shared" si="14"/>
        <v>0</v>
      </c>
      <c r="P38" s="41">
        <f t="shared" si="15"/>
        <v>0</v>
      </c>
      <c r="Q38" s="41">
        <f t="shared" si="19"/>
        <v>0</v>
      </c>
      <c r="R38" s="41">
        <f t="shared" si="16"/>
        <v>0</v>
      </c>
      <c r="S38" s="41" t="e">
        <f>_xlfn.XLOOKUP(B38,Sum!A:A,Sum!O:O)+_xlfn.XLOOKUP(B38,Sum!A:A,Sum!P:P)</f>
        <v>#N/A</v>
      </c>
      <c r="T38">
        <v>34</v>
      </c>
      <c r="U38" s="41" t="e">
        <f t="shared" si="5"/>
        <v>#N/A</v>
      </c>
      <c r="V38" s="41" t="e">
        <f t="shared" si="8"/>
        <v>#N/A</v>
      </c>
      <c r="X38" s="41"/>
    </row>
    <row r="39" customHeight="1" spans="1:24">
      <c r="A39" s="50">
        <v>50126583</v>
      </c>
      <c r="B39" s="33" t="str">
        <f t="array" ref="B39">_xlfn.XLOOKUP(A39,'Customer Code'!B:B,'Customer Code'!C:C)</f>
        <v>BOBO22-GN</v>
      </c>
      <c r="C39" s="33" t="s">
        <v>334</v>
      </c>
      <c r="D39" s="33" t="str">
        <f t="array" ref="D39">_xlfn.XLOOKUP(B39,'Product List'!A:A,'Product List'!C:C)</f>
        <v>MINI/MOE SILENT CRSTL RUN WHEEL LG 8.5-Green</v>
      </c>
      <c r="E39" s="40">
        <v>22</v>
      </c>
      <c r="F39" s="40">
        <v>10</v>
      </c>
      <c r="G39" s="40">
        <v>11</v>
      </c>
      <c r="H39" s="40">
        <v>12</v>
      </c>
      <c r="I39" s="40">
        <v>13</v>
      </c>
      <c r="J39" s="40">
        <v>13</v>
      </c>
      <c r="K39" s="41">
        <f t="shared" si="12"/>
        <v>81</v>
      </c>
      <c r="L39" s="35">
        <f>_xlfn.XLOOKUP(A39,'Customer Code'!B:B,'Customer Code'!F:F,0)</f>
        <v>337</v>
      </c>
      <c r="M39" s="42">
        <f t="shared" si="13"/>
        <v>0.24</v>
      </c>
      <c r="N39" s="42">
        <f t="shared" si="14"/>
        <v>0.04</v>
      </c>
      <c r="P39" s="41">
        <f t="shared" si="15"/>
        <v>14</v>
      </c>
      <c r="Q39" s="41">
        <f t="shared" si="19"/>
        <v>14</v>
      </c>
      <c r="R39" s="41">
        <f t="shared" si="16"/>
        <v>6</v>
      </c>
      <c r="S39" s="41">
        <f>_xlfn.XLOOKUP(B39,Sum!A:A,Sum!O:O)+_xlfn.XLOOKUP(B39,Sum!A:A,Sum!P:P)</f>
        <v>16</v>
      </c>
      <c r="T39">
        <v>34</v>
      </c>
      <c r="U39" s="41">
        <f t="shared" si="5"/>
        <v>18</v>
      </c>
      <c r="V39" s="41">
        <f t="shared" si="8"/>
        <v>252</v>
      </c>
      <c r="X39" s="41"/>
    </row>
    <row r="40" customHeight="1" spans="1:24">
      <c r="A40" s="50">
        <v>50126584</v>
      </c>
      <c r="B40" s="33" t="str">
        <f t="array" ref="B40">_xlfn.XLOOKUP(A40,'Customer Code'!B:B,'Customer Code'!C:C)</f>
        <v>SP-4</v>
      </c>
      <c r="C40" s="33" t="s">
        <v>334</v>
      </c>
      <c r="D40" s="33" t="str">
        <f t="array" ref="D40">_xlfn.XLOOKUP(B40,'Product List'!A:A,'Product List'!C:C)</f>
        <v>D. MMO-COTTAGE VIEW CAGE</v>
      </c>
      <c r="E40" s="40">
        <v>7</v>
      </c>
      <c r="F40" s="40">
        <v>7</v>
      </c>
      <c r="G40" s="40">
        <v>10</v>
      </c>
      <c r="H40" s="40">
        <v>3</v>
      </c>
      <c r="I40" s="40">
        <v>12</v>
      </c>
      <c r="J40" s="40">
        <v>12</v>
      </c>
      <c r="K40" s="41">
        <f t="shared" si="12"/>
        <v>51</v>
      </c>
      <c r="L40" s="35">
        <f>_xlfn.XLOOKUP(A40,'Customer Code'!B:B,'Customer Code'!F:F,0)</f>
        <v>372</v>
      </c>
      <c r="M40" s="42">
        <f t="shared" si="13"/>
        <v>0.14</v>
      </c>
      <c r="N40" s="42">
        <f t="shared" si="14"/>
        <v>0.03</v>
      </c>
      <c r="P40" s="41">
        <f t="shared" si="15"/>
        <v>9</v>
      </c>
      <c r="Q40" s="41">
        <f t="shared" si="19"/>
        <v>12</v>
      </c>
      <c r="R40" s="41">
        <f t="shared" si="16"/>
        <v>5</v>
      </c>
      <c r="S40" s="41">
        <f>_xlfn.XLOOKUP(B40,Sum!A:A,Sum!O:O)+_xlfn.XLOOKUP(B40,Sum!A:A,Sum!P:P)</f>
        <v>16</v>
      </c>
      <c r="T40">
        <v>34</v>
      </c>
      <c r="U40" s="41">
        <f t="shared" si="5"/>
        <v>18</v>
      </c>
      <c r="V40" s="41">
        <f t="shared" si="8"/>
        <v>216</v>
      </c>
      <c r="X40" s="41"/>
    </row>
    <row r="41" customHeight="1" spans="1:24">
      <c r="A41" s="50">
        <v>50130112</v>
      </c>
      <c r="B41" s="33" t="str">
        <f t="array" ref="B41">_xlfn.XLOOKUP(A41,'Customer Code'!B:B,'Customer Code'!C:C)</f>
        <v>ZM003-BL</v>
      </c>
      <c r="C41" s="33" t="s">
        <v>334</v>
      </c>
      <c r="D41" s="33" t="str">
        <f t="array" ref="D41">_xlfn.XLOOKUP(B41,'Product List'!A:A,'Product List'!C:C)</f>
        <v>MINI/MOE SMALL ANIMAL BEDDING PAPER PEBBLES OCEAN BLUE 23LT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1">
        <f t="shared" si="12"/>
        <v>0</v>
      </c>
      <c r="L41" s="35">
        <f>_xlfn.XLOOKUP(A41,'Customer Code'!B:B,'Customer Code'!F:F,0)</f>
        <v>0</v>
      </c>
      <c r="M41" s="42">
        <f t="shared" si="13"/>
        <v>0</v>
      </c>
      <c r="N41" s="42">
        <f t="shared" si="14"/>
        <v>0</v>
      </c>
      <c r="P41" s="41">
        <f t="shared" si="15"/>
        <v>0</v>
      </c>
      <c r="Q41" s="41">
        <f t="shared" si="19"/>
        <v>0</v>
      </c>
      <c r="R41" s="41">
        <f t="shared" si="16"/>
        <v>0</v>
      </c>
      <c r="S41" s="41">
        <f>_xlfn.XLOOKUP(B41,Sum!A:A,Sum!O:O)+_xlfn.XLOOKUP(B41,Sum!A:A,Sum!P:P)</f>
        <v>16</v>
      </c>
      <c r="T41">
        <v>34</v>
      </c>
      <c r="U41" s="41">
        <f t="shared" si="5"/>
        <v>18</v>
      </c>
      <c r="V41" s="41">
        <f t="shared" si="8"/>
        <v>0</v>
      </c>
      <c r="X41" s="41"/>
    </row>
    <row r="42" customHeight="1" spans="1:24">
      <c r="A42" s="50">
        <v>50130113</v>
      </c>
      <c r="B42" s="33" t="str">
        <f t="array" ref="B42">_xlfn.XLOOKUP(A42,'Customer Code'!B:B,'Customer Code'!C:C)</f>
        <v>ZM1.2-PL-BL</v>
      </c>
      <c r="C42" s="33" t="s">
        <v>334</v>
      </c>
      <c r="D42" s="33" t="str">
        <f t="array" ref="D42">_xlfn.XLOOKUP(B42,'Product List'!A:A,'Product List'!C:C)</f>
        <v>MINI/MOE SMALL ANIMAL BEDDING PAPER FLAKE LAV FIELD 50LT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1">
        <f t="shared" si="12"/>
        <v>0</v>
      </c>
      <c r="L42" s="35">
        <f>_xlfn.XLOOKUP(A42,'Customer Code'!B:B,'Customer Code'!F:F,0)</f>
        <v>0</v>
      </c>
      <c r="M42" s="42">
        <f t="shared" si="13"/>
        <v>0</v>
      </c>
      <c r="N42" s="42">
        <f t="shared" si="14"/>
        <v>0</v>
      </c>
      <c r="P42" s="41">
        <f t="shared" si="15"/>
        <v>0</v>
      </c>
      <c r="Q42" s="41">
        <f t="shared" si="19"/>
        <v>0</v>
      </c>
      <c r="R42" s="41">
        <f t="shared" si="16"/>
        <v>0</v>
      </c>
      <c r="S42" s="41">
        <f>_xlfn.XLOOKUP(B42,Sum!A:A,Sum!O:O)+_xlfn.XLOOKUP(B42,Sum!A:A,Sum!P:P)</f>
        <v>16</v>
      </c>
      <c r="T42">
        <v>34</v>
      </c>
      <c r="U42" s="41">
        <f t="shared" si="5"/>
        <v>18</v>
      </c>
      <c r="V42" s="41">
        <f t="shared" si="8"/>
        <v>0</v>
      </c>
      <c r="X42" s="41"/>
    </row>
    <row r="43" customHeight="1" spans="1:24">
      <c r="A43" s="50">
        <v>50130114</v>
      </c>
      <c r="B43" s="33" t="str">
        <f t="array" ref="B43">_xlfn.XLOOKUP(A43,'Customer Code'!B:B,'Customer Code'!C:C)</f>
        <v>CFDL9000-GN-YL</v>
      </c>
      <c r="C43" s="33" t="s">
        <v>334</v>
      </c>
      <c r="D43" s="33" t="str">
        <f t="array" ref="D43">_xlfn.XLOOKUP(B43,'Product List'!A:A,'Product List'!C:C)</f>
        <v>MINI/MOE SMALL ANIMAL BEDDING ROLLED PAPER FOREST MIX 1EA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1">
        <f t="shared" si="12"/>
        <v>0</v>
      </c>
      <c r="L43" s="35">
        <f>_xlfn.XLOOKUP(A43,'Customer Code'!B:B,'Customer Code'!F:F,0)</f>
        <v>0</v>
      </c>
      <c r="M43" s="42">
        <f t="shared" si="13"/>
        <v>0</v>
      </c>
      <c r="N43" s="42">
        <f t="shared" si="14"/>
        <v>0</v>
      </c>
      <c r="P43" s="41">
        <f t="shared" si="15"/>
        <v>0</v>
      </c>
      <c r="Q43" s="41">
        <f t="shared" si="19"/>
        <v>0</v>
      </c>
      <c r="R43" s="41">
        <f t="shared" si="16"/>
        <v>0</v>
      </c>
      <c r="S43" s="41">
        <f>_xlfn.XLOOKUP(B43,Sum!A:A,Sum!O:O)+_xlfn.XLOOKUP(B43,Sum!A:A,Sum!P:P)</f>
        <v>16</v>
      </c>
      <c r="T43">
        <v>34</v>
      </c>
      <c r="U43" s="41">
        <f t="shared" si="5"/>
        <v>18</v>
      </c>
      <c r="V43" s="41">
        <f t="shared" si="8"/>
        <v>0</v>
      </c>
      <c r="X43" s="41"/>
    </row>
    <row r="44" customHeight="1" spans="1:24">
      <c r="A44" s="50">
        <v>50130116</v>
      </c>
      <c r="B44" s="33" t="str">
        <f t="array" ref="B44">_xlfn.XLOOKUP(A44,'Customer Code'!B:B,'Customer Code'!C:C)</f>
        <v>T-1-BL-WH</v>
      </c>
      <c r="C44" s="33" t="s">
        <v>334</v>
      </c>
      <c r="D44" s="33" t="str">
        <f t="array" ref="D44">_xlfn.XLOOKUP(B44,'Product List'!A:A,'Product List'!C:C)</f>
        <v>MINI/MOE SMALL ANIMAL BEDDING PAPER TWISTS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1">
        <f t="shared" si="12"/>
        <v>0</v>
      </c>
      <c r="L44" s="35">
        <f>_xlfn.XLOOKUP(A44,'Customer Code'!B:B,'Customer Code'!F:F,0)</f>
        <v>0</v>
      </c>
      <c r="M44" s="42">
        <f t="shared" si="13"/>
        <v>0</v>
      </c>
      <c r="N44" s="42">
        <f t="shared" si="14"/>
        <v>0</v>
      </c>
      <c r="P44" s="41">
        <f t="shared" si="15"/>
        <v>0</v>
      </c>
      <c r="Q44" s="41">
        <f t="shared" si="19"/>
        <v>0</v>
      </c>
      <c r="R44" s="41">
        <f t="shared" si="16"/>
        <v>0</v>
      </c>
      <c r="S44" s="41">
        <f>_xlfn.XLOOKUP(B44,Sum!A:A,Sum!O:O)+_xlfn.XLOOKUP(B44,Sum!A:A,Sum!P:P)</f>
        <v>16</v>
      </c>
      <c r="T44">
        <v>34</v>
      </c>
      <c r="U44" s="41">
        <f t="shared" si="5"/>
        <v>18</v>
      </c>
      <c r="V44" s="41">
        <f t="shared" si="8"/>
        <v>0</v>
      </c>
      <c r="X44" s="41"/>
    </row>
    <row r="45" customHeight="1" spans="1:24">
      <c r="A45" s="50">
        <v>50130573</v>
      </c>
      <c r="B45" s="33" t="e">
        <f t="array" ref="B45">_xlfn.XLOOKUP(A45,'Customer Code'!B:B,'Customer Code'!C:C)</f>
        <v>#N/A</v>
      </c>
      <c r="C45" s="33" t="s">
        <v>334</v>
      </c>
      <c r="D45" s="33" t="e">
        <f t="array" ref="D45">_xlfn.XLOOKUP(B45,'Product List'!A:A,'Product List'!C:C)</f>
        <v>#N/A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1">
        <f t="shared" si="12"/>
        <v>0</v>
      </c>
      <c r="L45" s="35">
        <f>_xlfn.XLOOKUP(A45,'Customer Code'!B:B,'Customer Code'!F:F,0)</f>
        <v>0</v>
      </c>
      <c r="M45" s="42">
        <f t="shared" si="13"/>
        <v>0</v>
      </c>
      <c r="N45" s="42">
        <f t="shared" si="14"/>
        <v>0</v>
      </c>
      <c r="P45" s="41">
        <f t="shared" si="15"/>
        <v>0</v>
      </c>
      <c r="Q45" s="41">
        <f t="shared" si="19"/>
        <v>0</v>
      </c>
      <c r="R45" s="41">
        <f t="shared" si="16"/>
        <v>0</v>
      </c>
      <c r="S45" s="41" t="e">
        <f>_xlfn.XLOOKUP(B45,Sum!A:A,Sum!O:O)+_xlfn.XLOOKUP(B45,Sum!A:A,Sum!P:P)</f>
        <v>#N/A</v>
      </c>
      <c r="T45">
        <v>34</v>
      </c>
      <c r="U45" s="41" t="e">
        <f t="shared" si="5"/>
        <v>#N/A</v>
      </c>
      <c r="V45" s="41" t="e">
        <f t="shared" si="8"/>
        <v>#N/A</v>
      </c>
      <c r="X45" s="41"/>
    </row>
    <row r="46" customHeight="1" spans="1:24">
      <c r="A46" s="50">
        <v>50130872</v>
      </c>
      <c r="B46" s="33" t="str">
        <f t="array" ref="B46">_xlfn.XLOOKUP(A46,'Customer Code'!B:B,'Customer Code'!C:C)</f>
        <v>CFDL1090-PK</v>
      </c>
      <c r="C46" s="33" t="s">
        <v>334</v>
      </c>
      <c r="D46" s="33" t="str">
        <f t="array" ref="D46">_xlfn.XLOOKUP(B46,'Product List'!A:A,'Product List'!C:C)</f>
        <v>MINI/MOE SMALL ANIMAL BEDDING PAPER PEBBLES PSTCH/CREAM 1EA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1">
        <f t="shared" si="12"/>
        <v>0</v>
      </c>
      <c r="L46" s="35">
        <f>_xlfn.XLOOKUP(A46,'Customer Code'!B:B,'Customer Code'!F:F,0)</f>
        <v>0</v>
      </c>
      <c r="M46" s="42">
        <f t="shared" si="13"/>
        <v>0</v>
      </c>
      <c r="N46" s="42">
        <f t="shared" si="14"/>
        <v>0</v>
      </c>
      <c r="P46" s="41">
        <f t="shared" si="15"/>
        <v>0</v>
      </c>
      <c r="Q46" s="41">
        <f t="shared" si="19"/>
        <v>0</v>
      </c>
      <c r="R46" s="41">
        <f t="shared" si="16"/>
        <v>0</v>
      </c>
      <c r="S46" s="41">
        <f>_xlfn.XLOOKUP(B46,Sum!A:A,Sum!O:O)+_xlfn.XLOOKUP(B46,Sum!A:A,Sum!P:P)</f>
        <v>16</v>
      </c>
      <c r="T46">
        <v>34</v>
      </c>
      <c r="U46" s="41">
        <f t="shared" si="5"/>
        <v>18</v>
      </c>
      <c r="V46" s="41">
        <f t="shared" si="8"/>
        <v>0</v>
      </c>
      <c r="X46" s="41"/>
    </row>
    <row r="47" customHeight="1" spans="1:24">
      <c r="A47" s="50">
        <v>50130873</v>
      </c>
      <c r="B47" s="33" t="str">
        <f t="array" ref="B47">_xlfn.XLOOKUP(A47,'Customer Code'!B:B,'Customer Code'!C:C)</f>
        <v>ZM003-GN-WH</v>
      </c>
      <c r="C47" s="33" t="s">
        <v>334</v>
      </c>
      <c r="D47" s="33" t="str">
        <f t="array" ref="D47">_xlfn.XLOOKUP(B47,'Product List'!A:A,'Product List'!C:C)</f>
        <v>MINI/MOE SMALL ANIMAL BEDDING PAPER PEBBLES PSTCH/CREAM 1EA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1">
        <f t="shared" si="12"/>
        <v>0</v>
      </c>
      <c r="L47" s="35">
        <f>_xlfn.XLOOKUP(A47,'Customer Code'!B:B,'Customer Code'!F:F,0)</f>
        <v>0</v>
      </c>
      <c r="M47" s="42">
        <f t="shared" si="13"/>
        <v>0</v>
      </c>
      <c r="N47" s="42">
        <f t="shared" si="14"/>
        <v>0</v>
      </c>
      <c r="P47" s="41">
        <f t="shared" si="15"/>
        <v>0</v>
      </c>
      <c r="Q47" s="41">
        <f t="shared" si="19"/>
        <v>0</v>
      </c>
      <c r="R47" s="41">
        <f t="shared" si="16"/>
        <v>0</v>
      </c>
      <c r="S47" s="41">
        <f>_xlfn.XLOOKUP(B47,Sum!A:A,Sum!O:O)+_xlfn.XLOOKUP(B47,Sum!A:A,Sum!P:P)</f>
        <v>16</v>
      </c>
      <c r="T47">
        <v>34</v>
      </c>
      <c r="U47" s="41">
        <f t="shared" si="5"/>
        <v>18</v>
      </c>
      <c r="V47" s="41">
        <f t="shared" si="8"/>
        <v>0</v>
      </c>
      <c r="X47" s="41"/>
    </row>
    <row r="48" customHeight="1" spans="1:24">
      <c r="A48" s="50">
        <v>50130880</v>
      </c>
      <c r="B48" s="33" t="str">
        <f t="array" ref="B48">_xlfn.XLOOKUP(A48,'Customer Code'!B:B,'Customer Code'!C:C)</f>
        <v>CPWJ181002RD</v>
      </c>
      <c r="C48" s="33" t="s">
        <v>334</v>
      </c>
      <c r="D48" s="33" t="str">
        <f t="array" ref="D48">_xlfn.XLOOKUP(B48,'Product List'!A:A,'Product List'!C:C)</f>
        <v>Mushroom Spiral Staircase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1">
        <f t="shared" si="12"/>
        <v>0</v>
      </c>
      <c r="L48" s="35">
        <f>_xlfn.XLOOKUP(A48,'Customer Code'!B:B,'Customer Code'!F:F,0)</f>
        <v>0</v>
      </c>
      <c r="M48" s="42">
        <f t="shared" si="13"/>
        <v>0</v>
      </c>
      <c r="N48" s="42">
        <f t="shared" si="14"/>
        <v>0</v>
      </c>
      <c r="P48" s="41">
        <f t="shared" si="15"/>
        <v>0</v>
      </c>
      <c r="Q48" s="41">
        <f t="shared" si="19"/>
        <v>0</v>
      </c>
      <c r="R48" s="41">
        <f t="shared" si="16"/>
        <v>0</v>
      </c>
      <c r="S48" s="41">
        <f>_xlfn.XLOOKUP(B48,Sum!A:A,Sum!O:O)+_xlfn.XLOOKUP(B48,Sum!A:A,Sum!P:P)</f>
        <v>21</v>
      </c>
      <c r="T48">
        <v>34</v>
      </c>
      <c r="U48" s="41">
        <f t="shared" si="5"/>
        <v>13</v>
      </c>
      <c r="V48" s="41">
        <f t="shared" si="8"/>
        <v>0</v>
      </c>
      <c r="X48" s="41"/>
    </row>
    <row r="49" customHeight="1" spans="1:24">
      <c r="A49" s="50">
        <v>50130882</v>
      </c>
      <c r="B49" s="33" t="str">
        <f t="array" ref="B49">_xlfn.XLOOKUP(A49,'Customer Code'!B:B,'Customer Code'!C:C)</f>
        <v>WJ-14-B</v>
      </c>
      <c r="C49" s="33" t="s">
        <v>334</v>
      </c>
      <c r="D49" s="33" t="str">
        <f t="array" ref="D49">_xlfn.XLOOKUP(B49,'Product List'!A:A,'Product List'!C:C)</f>
        <v>Little Devil Travel Cage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1">
        <f t="shared" si="12"/>
        <v>0</v>
      </c>
      <c r="L49" s="35">
        <f>_xlfn.XLOOKUP(A49,'Customer Code'!B:B,'Customer Code'!F:F,0)</f>
        <v>0</v>
      </c>
      <c r="M49" s="42">
        <f t="shared" si="13"/>
        <v>0</v>
      </c>
      <c r="N49" s="42">
        <f t="shared" si="14"/>
        <v>0</v>
      </c>
      <c r="P49" s="41">
        <f t="shared" si="15"/>
        <v>0</v>
      </c>
      <c r="Q49" s="41">
        <f t="shared" si="19"/>
        <v>0</v>
      </c>
      <c r="R49" s="41">
        <f t="shared" si="16"/>
        <v>0</v>
      </c>
      <c r="S49" s="41">
        <f>_xlfn.XLOOKUP(B49,Sum!A:A,Sum!O:O)+_xlfn.XLOOKUP(B49,Sum!A:A,Sum!P:P)</f>
        <v>16</v>
      </c>
      <c r="T49">
        <v>34</v>
      </c>
      <c r="U49" s="41">
        <f t="shared" si="5"/>
        <v>18</v>
      </c>
      <c r="V49" s="41">
        <f t="shared" si="8"/>
        <v>0</v>
      </c>
      <c r="X49" s="41"/>
    </row>
    <row r="50" customHeight="1" spans="1:24">
      <c r="A50" s="50">
        <v>50130883</v>
      </c>
      <c r="B50" s="33" t="str">
        <f t="array" ref="B50">_xlfn.XLOOKUP(A50,'Customer Code'!B:B,'Customer Code'!C:C)</f>
        <v>R-63</v>
      </c>
      <c r="C50" s="33" t="s">
        <v>334</v>
      </c>
      <c r="D50" s="33" t="str">
        <f t="array" ref="D50">_xlfn.XLOOKUP(B50,'Product List'!A:A,'Product List'!C:C)</f>
        <v>Candy House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1">
        <f t="shared" si="12"/>
        <v>0</v>
      </c>
      <c r="L50" s="35">
        <f>_xlfn.XLOOKUP(A50,'Customer Code'!B:B,'Customer Code'!F:F,0)</f>
        <v>0</v>
      </c>
      <c r="M50" s="42">
        <f t="shared" si="13"/>
        <v>0</v>
      </c>
      <c r="N50" s="42">
        <f t="shared" si="14"/>
        <v>0</v>
      </c>
      <c r="P50" s="41">
        <f t="shared" si="15"/>
        <v>0</v>
      </c>
      <c r="Q50" s="41">
        <f t="shared" si="19"/>
        <v>0</v>
      </c>
      <c r="R50" s="41">
        <f t="shared" si="16"/>
        <v>0</v>
      </c>
      <c r="S50" s="41">
        <f>_xlfn.XLOOKUP(B50,Sum!A:A,Sum!O:O)+_xlfn.XLOOKUP(B50,Sum!A:A,Sum!P:P)</f>
        <v>21</v>
      </c>
      <c r="T50">
        <v>34</v>
      </c>
      <c r="U50" s="41">
        <f t="shared" si="5"/>
        <v>13</v>
      </c>
      <c r="V50" s="41">
        <f t="shared" si="8"/>
        <v>0</v>
      </c>
      <c r="X50" s="41"/>
    </row>
    <row r="51" customHeight="1" spans="1:24">
      <c r="A51" s="50">
        <v>50130885</v>
      </c>
      <c r="B51" s="33" t="str">
        <f t="array" ref="B51">_xlfn.XLOOKUP(A51,'Customer Code'!B:B,'Customer Code'!C:C)</f>
        <v>R-66</v>
      </c>
      <c r="C51" s="33" t="s">
        <v>334</v>
      </c>
      <c r="D51" s="33" t="str">
        <f t="array" ref="D51">_xlfn.XLOOKUP(B51,'Product List'!A:A,'Product List'!C:C)</f>
        <v>Sugar Jar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1">
        <f t="shared" si="12"/>
        <v>0</v>
      </c>
      <c r="L51" s="35">
        <f>_xlfn.XLOOKUP(A51,'Customer Code'!B:B,'Customer Code'!F:F,0)</f>
        <v>0</v>
      </c>
      <c r="M51" s="42">
        <f t="shared" si="13"/>
        <v>0</v>
      </c>
      <c r="N51" s="42">
        <f t="shared" si="14"/>
        <v>0</v>
      </c>
      <c r="P51" s="41">
        <f t="shared" si="15"/>
        <v>0</v>
      </c>
      <c r="Q51" s="41">
        <f t="shared" si="19"/>
        <v>0</v>
      </c>
      <c r="R51" s="41">
        <f t="shared" si="16"/>
        <v>0</v>
      </c>
      <c r="S51" s="41">
        <f>_xlfn.XLOOKUP(B51,Sum!A:A,Sum!O:O)+_xlfn.XLOOKUP(B51,Sum!A:A,Sum!P:P)</f>
        <v>21</v>
      </c>
      <c r="T51">
        <v>34</v>
      </c>
      <c r="U51" s="41">
        <f t="shared" si="5"/>
        <v>13</v>
      </c>
      <c r="V51" s="41">
        <f t="shared" si="8"/>
        <v>0</v>
      </c>
      <c r="X51" s="41"/>
    </row>
    <row r="52" customHeight="1" spans="1:24">
      <c r="A52" s="50">
        <v>50130886</v>
      </c>
      <c r="B52" s="33" t="str">
        <f t="array" ref="B52">_xlfn.XLOOKUP(A52,'Customer Code'!B:B,'Customer Code'!C:C)</f>
        <v>R-61</v>
      </c>
      <c r="C52" s="33" t="s">
        <v>334</v>
      </c>
      <c r="D52" s="33" t="str">
        <f t="array" ref="D52">_xlfn.XLOOKUP(B52,'Product List'!A:A,'Product List'!C:C)</f>
        <v>MINI/MOE SMALL ANIMAL FEEDING WATER BOTTLE HLDR GUMBALL 1EA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1">
        <f t="shared" si="12"/>
        <v>0</v>
      </c>
      <c r="L52" s="35">
        <f>_xlfn.XLOOKUP(A52,'Customer Code'!B:B,'Customer Code'!F:F,0)</f>
        <v>0</v>
      </c>
      <c r="M52" s="42">
        <f t="shared" si="13"/>
        <v>0</v>
      </c>
      <c r="N52" s="42">
        <f t="shared" si="14"/>
        <v>0</v>
      </c>
      <c r="P52" s="41">
        <f t="shared" si="15"/>
        <v>0</v>
      </c>
      <c r="Q52" s="41">
        <f t="shared" si="19"/>
        <v>0</v>
      </c>
      <c r="R52" s="41">
        <f t="shared" si="16"/>
        <v>0</v>
      </c>
      <c r="S52" s="41">
        <f>_xlfn.XLOOKUP(B52,Sum!A:A,Sum!O:O)+_xlfn.XLOOKUP(B52,Sum!A:A,Sum!P:P)</f>
        <v>21</v>
      </c>
      <c r="T52">
        <v>34</v>
      </c>
      <c r="U52" s="41">
        <f t="shared" si="5"/>
        <v>13</v>
      </c>
      <c r="V52" s="41">
        <f t="shared" si="8"/>
        <v>0</v>
      </c>
      <c r="X52" s="41"/>
    </row>
    <row r="53" customHeight="1" spans="1:24">
      <c r="A53" s="50">
        <v>50130887</v>
      </c>
      <c r="B53" s="33" t="str">
        <f t="array" ref="B53">_xlfn.XLOOKUP(A53,'Customer Code'!B:B,'Customer Code'!C:C)</f>
        <v>R-62</v>
      </c>
      <c r="C53" s="33" t="s">
        <v>334</v>
      </c>
      <c r="D53" s="33" t="str">
        <f t="array" ref="D53">_xlfn.XLOOKUP(B53,'Product List'!A:A,'Product List'!C:C)</f>
        <v>MINI/MOE SMALL ANIMAL HOUSING SWEET BRIDGE 1EA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1">
        <f t="shared" si="12"/>
        <v>0</v>
      </c>
      <c r="L53" s="35">
        <f>_xlfn.XLOOKUP(A53,'Customer Code'!B:B,'Customer Code'!F:F,0)</f>
        <v>0</v>
      </c>
      <c r="M53" s="42">
        <f t="shared" si="13"/>
        <v>0</v>
      </c>
      <c r="N53" s="42">
        <f t="shared" si="14"/>
        <v>0</v>
      </c>
      <c r="P53" s="41">
        <f t="shared" si="15"/>
        <v>0</v>
      </c>
      <c r="Q53" s="41">
        <f t="shared" si="19"/>
        <v>0</v>
      </c>
      <c r="R53" s="41">
        <f t="shared" si="16"/>
        <v>0</v>
      </c>
      <c r="S53" s="41">
        <f>_xlfn.XLOOKUP(B53,Sum!A:A,Sum!O:O)+_xlfn.XLOOKUP(B53,Sum!A:A,Sum!P:P)</f>
        <v>21</v>
      </c>
      <c r="T53">
        <v>34</v>
      </c>
      <c r="U53" s="41">
        <f t="shared" si="5"/>
        <v>13</v>
      </c>
      <c r="V53" s="41">
        <f t="shared" ref="V53:V62" si="20">U53*Q53</f>
        <v>0</v>
      </c>
      <c r="X53" s="41"/>
    </row>
    <row r="54" customHeight="1" spans="1:24">
      <c r="A54" s="50">
        <v>50130888</v>
      </c>
      <c r="B54" s="33" t="str">
        <f t="array" ref="B54">_xlfn.XLOOKUP(A54,'Customer Code'!B:B,'Customer Code'!C:C)</f>
        <v>ZM005-MIX</v>
      </c>
      <c r="C54" s="33" t="s">
        <v>334</v>
      </c>
      <c r="D54" s="33" t="str">
        <f t="array" ref="D54">_xlfn.XLOOKUP(B54,'Product List'!A:A,'Product List'!C:C)</f>
        <v>Cotton multi color bedding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1">
        <f t="shared" si="12"/>
        <v>0</v>
      </c>
      <c r="L54" s="35">
        <f>_xlfn.XLOOKUP(A54,'Customer Code'!B:B,'Customer Code'!F:F,0)</f>
        <v>0</v>
      </c>
      <c r="M54" s="42">
        <f t="shared" si="13"/>
        <v>0</v>
      </c>
      <c r="N54" s="42">
        <f t="shared" si="14"/>
        <v>0</v>
      </c>
      <c r="P54" s="41">
        <f t="shared" si="15"/>
        <v>0</v>
      </c>
      <c r="Q54" s="41">
        <f t="shared" si="19"/>
        <v>0</v>
      </c>
      <c r="R54" s="41">
        <f t="shared" si="16"/>
        <v>0</v>
      </c>
      <c r="S54" s="41">
        <f>_xlfn.XLOOKUP(B54,Sum!A:A,Sum!O:O)+_xlfn.XLOOKUP(B54,Sum!A:A,Sum!P:P)</f>
        <v>16</v>
      </c>
      <c r="T54">
        <v>34</v>
      </c>
      <c r="U54" s="41">
        <f t="shared" si="5"/>
        <v>18</v>
      </c>
      <c r="V54" s="41">
        <f t="shared" si="20"/>
        <v>0</v>
      </c>
      <c r="X54" s="41"/>
    </row>
    <row r="55" customHeight="1" spans="1:24">
      <c r="A55" s="50">
        <v>50130893</v>
      </c>
      <c r="B55" s="52" t="str">
        <f t="array" ref="B55">_xlfn.XLOOKUP(A55,'Customer Code'!B:B,'Customer Code'!C:C)</f>
        <v>R-64</v>
      </c>
      <c r="C55" s="52" t="s">
        <v>334</v>
      </c>
      <c r="D55" s="52" t="str">
        <f t="array" ref="D55">_xlfn.XLOOKUP(B55,'Product List'!A:A,'Product List'!C:C)</f>
        <v>MINI/MOE SMALL ANIMAL HOUSING CAKE HOUSE 1EA</v>
      </c>
      <c r="E55" s="53">
        <v>0</v>
      </c>
      <c r="F55" s="53">
        <v>0</v>
      </c>
      <c r="G55" s="53">
        <v>0</v>
      </c>
      <c r="H55" s="53">
        <v>0</v>
      </c>
      <c r="I55" s="53">
        <v>0</v>
      </c>
      <c r="J55" s="53">
        <v>0</v>
      </c>
      <c r="K55" s="41">
        <f t="shared" si="12"/>
        <v>0</v>
      </c>
      <c r="L55" s="35">
        <f>_xlfn.XLOOKUP(A55,'Customer Code'!B:B,'Customer Code'!F:F,0)</f>
        <v>0</v>
      </c>
      <c r="M55" s="42">
        <f t="shared" si="13"/>
        <v>0</v>
      </c>
      <c r="N55" s="42">
        <f t="shared" si="14"/>
        <v>0</v>
      </c>
      <c r="P55" s="41">
        <f t="shared" si="15"/>
        <v>0</v>
      </c>
      <c r="Q55" s="41">
        <f t="shared" si="19"/>
        <v>0</v>
      </c>
      <c r="R55" s="41">
        <f t="shared" si="16"/>
        <v>0</v>
      </c>
      <c r="S55" s="41">
        <f>_xlfn.XLOOKUP(B55,Sum!A:A,Sum!O:O)+_xlfn.XLOOKUP(B55,Sum!A:A,Sum!P:P)</f>
        <v>21</v>
      </c>
      <c r="T55">
        <v>34</v>
      </c>
      <c r="U55" s="41">
        <f t="shared" si="5"/>
        <v>13</v>
      </c>
      <c r="V55" s="41">
        <f t="shared" si="20"/>
        <v>0</v>
      </c>
      <c r="X55" s="41"/>
    </row>
    <row r="56" customHeight="1" spans="1:24">
      <c r="A56" s="50">
        <v>5383937</v>
      </c>
      <c r="B56" s="54" t="s">
        <v>27</v>
      </c>
      <c r="C56" s="55" t="s">
        <v>636</v>
      </c>
      <c r="D56" s="56" t="str">
        <f t="array" ref="D56">_xlfn.XLOOKUP(B56,'Product List'!A:A,'Product List'!C:C)</f>
        <v>MINI/MOE TV VIEWING CAGE</v>
      </c>
      <c r="E56" s="57">
        <v>0</v>
      </c>
      <c r="F56" s="57">
        <v>0</v>
      </c>
      <c r="G56" s="57">
        <v>0</v>
      </c>
      <c r="H56" s="57">
        <v>45</v>
      </c>
      <c r="I56" s="57">
        <v>127</v>
      </c>
      <c r="J56" s="58">
        <v>128</v>
      </c>
      <c r="K56" s="59">
        <f t="shared" ref="K56:K62" si="21">SUM(E56:J56)</f>
        <v>300</v>
      </c>
      <c r="L56" s="55">
        <v>1506</v>
      </c>
      <c r="M56" s="60">
        <f t="shared" ref="M56:M62" si="22">IF(K56=0,0,ROUND(K56/L56,2))</f>
        <v>0.2</v>
      </c>
      <c r="N56" s="60">
        <f>IF(M56=0,0,ROUNDUP(M56/3,2))</f>
        <v>0.07</v>
      </c>
      <c r="O56" s="55"/>
      <c r="P56" s="61">
        <f t="shared" si="15"/>
        <v>50</v>
      </c>
      <c r="Q56" s="61">
        <f t="shared" ref="Q56:Q62" si="23">ROUNDUP((L56+O56)*N56,0)</f>
        <v>106</v>
      </c>
      <c r="R56" s="61">
        <f t="shared" si="16"/>
        <v>104</v>
      </c>
      <c r="S56" s="59">
        <f>_xlfn.XLOOKUP(B56,Sum!A:A,Sum!O:O)+_xlfn.XLOOKUP(B56,Sum!A:A,Sum!P:P)</f>
        <v>16</v>
      </c>
      <c r="T56" s="62">
        <v>34</v>
      </c>
      <c r="U56" s="41">
        <f t="shared" si="5"/>
        <v>18</v>
      </c>
      <c r="V56" s="41">
        <f t="shared" si="20"/>
        <v>1908</v>
      </c>
      <c r="X56" s="41"/>
    </row>
    <row r="57" customHeight="1" spans="1:24">
      <c r="A57" s="50">
        <v>5383938</v>
      </c>
      <c r="B57" s="54" t="s">
        <v>28</v>
      </c>
      <c r="C57" s="55" t="s">
        <v>636</v>
      </c>
      <c r="D57" s="56" t="str">
        <f t="array" ref="D57">_xlfn.XLOOKUP(B57,'Product List'!A:A,'Product List'!C:C)</f>
        <v>MINI &amp; MOE COTTAGE HIDE</v>
      </c>
      <c r="E57" s="57">
        <v>0</v>
      </c>
      <c r="F57" s="57">
        <v>0</v>
      </c>
      <c r="G57" s="57">
        <v>0</v>
      </c>
      <c r="H57" s="57">
        <v>37</v>
      </c>
      <c r="I57" s="63">
        <v>101</v>
      </c>
      <c r="J57" s="63">
        <v>101</v>
      </c>
      <c r="K57" s="59">
        <f t="shared" si="21"/>
        <v>239</v>
      </c>
      <c r="L57" s="55">
        <v>1506</v>
      </c>
      <c r="M57" s="60">
        <f t="shared" si="22"/>
        <v>0.16</v>
      </c>
      <c r="N57" s="60">
        <f t="shared" ref="N57:N62" si="24">IF(M57=0,0,ROUNDUP(M57/3,2))</f>
        <v>0.06</v>
      </c>
      <c r="O57" s="55"/>
      <c r="P57" s="61">
        <f t="shared" ref="P57:P62" si="25">IF(K57=0,0,ROUNDUP(AVERAGE(E57:J57),0))</f>
        <v>40</v>
      </c>
      <c r="Q57" s="61">
        <f t="shared" si="23"/>
        <v>91</v>
      </c>
      <c r="R57" s="61">
        <f t="shared" ref="R57:R62" si="26">ROUNDUP(IF(K57=0,0,IF(AVERAGE(E57:J57)&lt;30,1.28,IF(AVERAGE(E57:J57)&lt;80,1.65,2.05))*_xlfn.STDEV.S(E57:J57)),0)</f>
        <v>82</v>
      </c>
      <c r="S57" s="59">
        <f>_xlfn.XLOOKUP(B57,Sum!A:A,Sum!O:O)+_xlfn.XLOOKUP(B57,Sum!A:A,Sum!P:P)</f>
        <v>21</v>
      </c>
      <c r="T57" s="62">
        <v>34</v>
      </c>
      <c r="U57" s="41">
        <f t="shared" si="5"/>
        <v>13</v>
      </c>
      <c r="V57" s="41">
        <f t="shared" si="20"/>
        <v>1183</v>
      </c>
      <c r="X57" s="41"/>
    </row>
    <row r="58" customHeight="1" spans="1:24">
      <c r="A58" s="50">
        <v>5383939</v>
      </c>
      <c r="B58" s="54" t="s">
        <v>26</v>
      </c>
      <c r="C58" s="55" t="s">
        <v>636</v>
      </c>
      <c r="D58" s="56" t="str">
        <f t="array" ref="D58">_xlfn.XLOOKUP(B58,'Product List'!A:A,'Product List'!C:C)</f>
        <v>MINI &amp; MOE TREE DECOR CHEW</v>
      </c>
      <c r="E58" s="57">
        <v>0</v>
      </c>
      <c r="F58" s="57">
        <v>0</v>
      </c>
      <c r="G58" s="57">
        <v>0</v>
      </c>
      <c r="H58" s="57">
        <v>86</v>
      </c>
      <c r="I58" s="63">
        <v>205</v>
      </c>
      <c r="J58" s="63">
        <v>213</v>
      </c>
      <c r="K58" s="59">
        <f t="shared" si="21"/>
        <v>504</v>
      </c>
      <c r="L58" s="55">
        <v>1506</v>
      </c>
      <c r="M58" s="60">
        <f t="shared" si="22"/>
        <v>0.33</v>
      </c>
      <c r="N58" s="60">
        <f t="shared" si="24"/>
        <v>0.11</v>
      </c>
      <c r="O58" s="55"/>
      <c r="P58" s="61">
        <f t="shared" si="25"/>
        <v>84</v>
      </c>
      <c r="Q58" s="61">
        <f t="shared" si="23"/>
        <v>166</v>
      </c>
      <c r="R58" s="61">
        <f t="shared" si="26"/>
        <v>210</v>
      </c>
      <c r="S58" s="59">
        <f>_xlfn.XLOOKUP(B58,Sum!A:A,Sum!O:O)+_xlfn.XLOOKUP(B58,Sum!A:A,Sum!P:P)</f>
        <v>16</v>
      </c>
      <c r="T58" s="62">
        <v>34</v>
      </c>
      <c r="U58" s="41">
        <f t="shared" si="5"/>
        <v>18</v>
      </c>
      <c r="V58" s="41">
        <f t="shared" si="20"/>
        <v>2988</v>
      </c>
    </row>
    <row r="59" customHeight="1" spans="1:24">
      <c r="A59" s="50">
        <v>5383940</v>
      </c>
      <c r="B59" s="54" t="s">
        <v>23</v>
      </c>
      <c r="C59" s="55" t="s">
        <v>636</v>
      </c>
      <c r="D59" s="56" t="str">
        <f t="array" ref="D59">_xlfn.XLOOKUP(B59,'Product List'!A:A,'Product List'!C:C)</f>
        <v>MINI &amp; MOE GARDEN DECOR CHEW</v>
      </c>
      <c r="E59" s="57">
        <v>0</v>
      </c>
      <c r="F59" s="57">
        <v>0</v>
      </c>
      <c r="G59" s="57">
        <v>0</v>
      </c>
      <c r="H59" s="57">
        <v>124</v>
      </c>
      <c r="I59" s="63">
        <v>286</v>
      </c>
      <c r="J59" s="63">
        <v>273</v>
      </c>
      <c r="K59" s="59">
        <f t="shared" si="21"/>
        <v>683</v>
      </c>
      <c r="L59" s="55">
        <v>1506</v>
      </c>
      <c r="M59" s="60">
        <f t="shared" si="22"/>
        <v>0.45</v>
      </c>
      <c r="N59" s="60">
        <f t="shared" si="24"/>
        <v>0.15</v>
      </c>
      <c r="O59" s="55"/>
      <c r="P59" s="61">
        <f t="shared" si="25"/>
        <v>114</v>
      </c>
      <c r="Q59" s="61">
        <f t="shared" si="23"/>
        <v>226</v>
      </c>
      <c r="R59" s="61">
        <f t="shared" si="26"/>
        <v>282</v>
      </c>
      <c r="S59" s="59">
        <f>_xlfn.XLOOKUP(B59,Sum!A:A,Sum!O:O)+_xlfn.XLOOKUP(B59,Sum!A:A,Sum!P:P)</f>
        <v>16</v>
      </c>
      <c r="T59" s="62">
        <v>34</v>
      </c>
      <c r="U59" s="41">
        <f t="shared" si="5"/>
        <v>18</v>
      </c>
      <c r="V59" s="41">
        <f t="shared" si="20"/>
        <v>4068</v>
      </c>
    </row>
    <row r="60" customHeight="1" spans="1:24">
      <c r="A60" s="50">
        <v>5383941</v>
      </c>
      <c r="B60" s="54" t="s">
        <v>25</v>
      </c>
      <c r="C60" s="55" t="s">
        <v>636</v>
      </c>
      <c r="D60" s="56" t="str">
        <f t="array" ref="D60">_xlfn.XLOOKUP(B60,'Product List'!A:A,'Product List'!C:C)</f>
        <v>MINI/MOE CAMPING TENT HIDE</v>
      </c>
      <c r="E60" s="57">
        <v>0</v>
      </c>
      <c r="F60" s="57">
        <v>0</v>
      </c>
      <c r="G60" s="57">
        <v>0</v>
      </c>
      <c r="H60" s="57">
        <v>72</v>
      </c>
      <c r="I60" s="63">
        <v>189</v>
      </c>
      <c r="J60" s="63">
        <v>221</v>
      </c>
      <c r="K60" s="59">
        <f t="shared" si="21"/>
        <v>482</v>
      </c>
      <c r="L60" s="55">
        <v>1506</v>
      </c>
      <c r="M60" s="60">
        <f t="shared" si="22"/>
        <v>0.32</v>
      </c>
      <c r="N60" s="60">
        <f t="shared" si="24"/>
        <v>0.11</v>
      </c>
      <c r="O60" s="55"/>
      <c r="P60" s="61">
        <f t="shared" si="25"/>
        <v>81</v>
      </c>
      <c r="Q60" s="61">
        <f t="shared" si="23"/>
        <v>166</v>
      </c>
      <c r="R60" s="61">
        <f t="shared" si="26"/>
        <v>208</v>
      </c>
      <c r="S60" s="59">
        <f>_xlfn.XLOOKUP(B60,Sum!A:A,Sum!O:O)+_xlfn.XLOOKUP(B60,Sum!A:A,Sum!P:P)</f>
        <v>21</v>
      </c>
      <c r="T60" s="62">
        <v>34</v>
      </c>
      <c r="U60" s="41">
        <f t="shared" si="5"/>
        <v>13</v>
      </c>
      <c r="V60" s="41">
        <f t="shared" si="20"/>
        <v>2158</v>
      </c>
    </row>
    <row r="61" customHeight="1" spans="1:24">
      <c r="A61" s="50">
        <v>5383942</v>
      </c>
      <c r="B61" s="54" t="s">
        <v>24</v>
      </c>
      <c r="C61" s="55" t="s">
        <v>636</v>
      </c>
      <c r="D61" s="56" t="str">
        <f t="array" ref="D61">_xlfn.XLOOKUP(B61,'Product List'!A:A,'Product List'!C:C)</f>
        <v>MINI &amp; MOE WOODEN BRIDGE</v>
      </c>
      <c r="E61" s="57">
        <v>0</v>
      </c>
      <c r="F61" s="57">
        <v>0</v>
      </c>
      <c r="G61" s="57">
        <v>0</v>
      </c>
      <c r="H61" s="57">
        <v>74</v>
      </c>
      <c r="I61" s="63">
        <v>210</v>
      </c>
      <c r="J61" s="63">
        <v>221</v>
      </c>
      <c r="K61" s="59">
        <f t="shared" si="21"/>
        <v>505</v>
      </c>
      <c r="L61" s="55">
        <v>1506</v>
      </c>
      <c r="M61" s="60">
        <f t="shared" si="22"/>
        <v>0.34</v>
      </c>
      <c r="N61" s="60">
        <f t="shared" si="24"/>
        <v>0.12</v>
      </c>
      <c r="O61" s="55"/>
      <c r="P61" s="61">
        <f t="shared" si="25"/>
        <v>85</v>
      </c>
      <c r="Q61" s="61">
        <f t="shared" si="23"/>
        <v>181</v>
      </c>
      <c r="R61" s="61">
        <f t="shared" si="26"/>
        <v>217</v>
      </c>
      <c r="S61" s="59">
        <f>_xlfn.XLOOKUP(B61,Sum!A:A,Sum!O:O)+_xlfn.XLOOKUP(B61,Sum!A:A,Sum!P:P)</f>
        <v>21</v>
      </c>
      <c r="T61" s="62">
        <v>34</v>
      </c>
      <c r="U61" s="41">
        <f t="shared" si="5"/>
        <v>13</v>
      </c>
      <c r="V61" s="41">
        <f t="shared" si="20"/>
        <v>2353</v>
      </c>
    </row>
    <row r="62" customHeight="1" spans="1:24">
      <c r="A62" s="50">
        <v>5383943</v>
      </c>
      <c r="B62" s="54" t="s">
        <v>36</v>
      </c>
      <c r="C62" s="55" t="s">
        <v>636</v>
      </c>
      <c r="D62" s="56" t="str">
        <f t="array" ref="D62">_xlfn.XLOOKUP(B62,'Product List'!A:A,'Product List'!C:C)</f>
        <v>MINI &amp; MOE MAG CONECT WTR BTL 4 OZ</v>
      </c>
      <c r="E62" s="57">
        <v>0</v>
      </c>
      <c r="F62" s="57">
        <v>0</v>
      </c>
      <c r="G62" s="57">
        <v>0</v>
      </c>
      <c r="H62" s="57">
        <v>117</v>
      </c>
      <c r="I62" s="63">
        <v>301</v>
      </c>
      <c r="J62" s="63">
        <v>300</v>
      </c>
      <c r="K62" s="59">
        <f t="shared" si="21"/>
        <v>718</v>
      </c>
      <c r="L62" s="55">
        <v>1506</v>
      </c>
      <c r="M62" s="60">
        <f t="shared" si="22"/>
        <v>0.48</v>
      </c>
      <c r="N62" s="60">
        <f t="shared" si="24"/>
        <v>0.16</v>
      </c>
      <c r="O62" s="55"/>
      <c r="P62" s="61">
        <f t="shared" si="25"/>
        <v>120</v>
      </c>
      <c r="Q62" s="61">
        <f t="shared" si="23"/>
        <v>241</v>
      </c>
      <c r="R62" s="61">
        <f t="shared" si="26"/>
        <v>302</v>
      </c>
      <c r="S62" s="59">
        <f>_xlfn.XLOOKUP(B62,Sum!A:A,Sum!O:O)+_xlfn.XLOOKUP(B62,Sum!A:A,Sum!P:P)</f>
        <v>16</v>
      </c>
      <c r="T62" s="62">
        <v>34</v>
      </c>
      <c r="U62" s="41">
        <f t="shared" si="5"/>
        <v>18</v>
      </c>
      <c r="V62" s="41">
        <f t="shared" si="20"/>
        <v>4338</v>
      </c>
    </row>
    <row r="63" customHeight="1" spans="1:24">
      <c r="E63" s="64"/>
    </row>
    <row r="64" customHeight="1" spans="1:24">
      <c r="E64" s="64"/>
    </row>
    <row r="65" customHeight="1" spans="5:5">
      <c r="E65" s="64"/>
    </row>
    <row r="66" customHeight="1" spans="5:5">
      <c r="E66" s="64"/>
    </row>
    <row r="67" customHeight="1" spans="5:5">
      <c r="E67" s="64"/>
    </row>
    <row r="68" customHeight="1" spans="5:5">
      <c r="E68" s="64"/>
    </row>
    <row r="69" customHeight="1" spans="5:5">
      <c r="E69" s="64"/>
    </row>
    <row r="70" customHeight="1" spans="5:5">
      <c r="E70" s="64"/>
    </row>
    <row r="71" customHeight="1" spans="5:5">
      <c r="E71" s="64"/>
    </row>
    <row r="72" customHeight="1" spans="5:5">
      <c r="E72" s="64"/>
    </row>
    <row r="73" customHeight="1" spans="5:5">
      <c r="E73" s="64"/>
    </row>
    <row r="74" customHeight="1" spans="5:5">
      <c r="E74" s="64"/>
    </row>
    <row r="75" customHeight="1" spans="5:5">
      <c r="E75" s="64"/>
    </row>
    <row r="76" customHeight="1" spans="5:5">
      <c r="E76" s="64"/>
    </row>
    <row r="77" customHeight="1" spans="5:5">
      <c r="E77" s="64"/>
    </row>
    <row r="78" customHeight="1" spans="5:5">
      <c r="E78" s="64"/>
    </row>
    <row r="79" customHeight="1" spans="5:5">
      <c r="E79" s="64"/>
    </row>
    <row r="80" customHeight="1" spans="5:5">
      <c r="E80" s="64"/>
    </row>
    <row r="81" customHeight="1" spans="5:5">
      <c r="E81" s="64"/>
    </row>
    <row r="82" customHeight="1" spans="5:5">
      <c r="E82" s="64"/>
    </row>
    <row r="83" customHeight="1" spans="5:5">
      <c r="E83" s="64"/>
    </row>
    <row r="84" customHeight="1" spans="5:5">
      <c r="E84" s="64"/>
    </row>
    <row r="85" customHeight="1" spans="5:5">
      <c r="E85" s="64"/>
    </row>
    <row r="86" customHeight="1" spans="5:5">
      <c r="E86" s="64"/>
    </row>
    <row r="87" customHeight="1" spans="5:5">
      <c r="E87" s="64"/>
    </row>
    <row r="88" customHeight="1" spans="5:5">
      <c r="E88" s="64"/>
    </row>
    <row r="89" customHeight="1" spans="5:5">
      <c r="E89" s="64"/>
    </row>
    <row r="90" customHeight="1" spans="5:5">
      <c r="E90" s="64"/>
    </row>
    <row r="91" customHeight="1" spans="5:5">
      <c r="E91" s="64"/>
    </row>
    <row r="92" customHeight="1" spans="5:5">
      <c r="E92" s="64"/>
    </row>
    <row r="93" customHeight="1" spans="5:5">
      <c r="E93" s="64"/>
    </row>
    <row r="94" customHeight="1" spans="5:5">
      <c r="E94" s="64"/>
    </row>
    <row r="95" customHeight="1" spans="5:5">
      <c r="E95" s="64"/>
    </row>
    <row r="96" customHeight="1" spans="5:5">
      <c r="E96" s="64"/>
    </row>
    <row r="97" customHeight="1" spans="5:5">
      <c r="E97" s="64"/>
    </row>
    <row r="98" customHeight="1" spans="5:5">
      <c r="E98" s="64"/>
    </row>
    <row r="99" customHeight="1" spans="5:5">
      <c r="E99" s="64"/>
    </row>
    <row r="100" customHeight="1" spans="5:5">
      <c r="E100" s="64"/>
    </row>
    <row r="101" customHeight="1" spans="5:5">
      <c r="E101" s="64"/>
    </row>
    <row r="102" customHeight="1" spans="5:5">
      <c r="E102" s="64"/>
    </row>
    <row r="103" customHeight="1" spans="5:5">
      <c r="E103" s="64"/>
    </row>
    <row r="104" customHeight="1" spans="5:5">
      <c r="E104" s="64"/>
    </row>
    <row r="105" customHeight="1" spans="5:5">
      <c r="E105" s="64"/>
    </row>
    <row r="106" customHeight="1" spans="5:5">
      <c r="E106" s="64"/>
    </row>
    <row r="107" customHeight="1" spans="5:5">
      <c r="E107" s="64"/>
    </row>
    <row r="108" customHeight="1" spans="5:5">
      <c r="E108" s="64"/>
    </row>
    <row r="109" customHeight="1" spans="5:5">
      <c r="E109" s="64"/>
    </row>
    <row r="110" customHeight="1" spans="5:5">
      <c r="E110" s="64"/>
    </row>
    <row r="111" customHeight="1" spans="5:5">
      <c r="E111" s="64"/>
    </row>
    <row r="112" customHeight="1" spans="5:5">
      <c r="E112" s="64"/>
    </row>
    <row r="113" customHeight="1" spans="5:5">
      <c r="E113" s="64"/>
    </row>
    <row r="114" customHeight="1" spans="5:5">
      <c r="E114" s="64"/>
    </row>
    <row r="115" customHeight="1" spans="5:5">
      <c r="E115" s="64"/>
    </row>
    <row r="116" customHeight="1" spans="5:5">
      <c r="E116" s="64"/>
    </row>
    <row r="117" customHeight="1" spans="5:5">
      <c r="E117" s="64"/>
    </row>
    <row r="118" customHeight="1" spans="5:5">
      <c r="E118" s="64"/>
    </row>
    <row r="119" customHeight="1" spans="5:5">
      <c r="E119" s="64"/>
    </row>
    <row r="120" customHeight="1" spans="5:5">
      <c r="E120" s="64"/>
    </row>
    <row r="121" customHeight="1" spans="5:5">
      <c r="E121" s="64"/>
    </row>
    <row r="122" customHeight="1" spans="5:5">
      <c r="E122" s="64"/>
    </row>
    <row r="123" customHeight="1" spans="5:5">
      <c r="E123" s="64"/>
    </row>
    <row r="124" customHeight="1" spans="5:5">
      <c r="E124" s="64"/>
    </row>
    <row r="125" customHeight="1" spans="5:5">
      <c r="E125" s="64"/>
    </row>
    <row r="126" customHeight="1" spans="5:5">
      <c r="E126" s="64"/>
    </row>
    <row r="127" customHeight="1" spans="5:5">
      <c r="E127" s="64"/>
    </row>
    <row r="128" customHeight="1" spans="5:5">
      <c r="E128" s="64"/>
    </row>
    <row r="129" customHeight="1" spans="5:5">
      <c r="E129" s="64"/>
    </row>
    <row r="130" customHeight="1" spans="5:5">
      <c r="E130" s="64"/>
    </row>
    <row r="131" customHeight="1" spans="5:5">
      <c r="E131" s="64"/>
    </row>
    <row r="132" customHeight="1" spans="5:5">
      <c r="E132" s="64"/>
    </row>
    <row r="133" customHeight="1" spans="5:5">
      <c r="E133" s="64"/>
    </row>
    <row r="134" customHeight="1" spans="5:5">
      <c r="E134" s="64"/>
    </row>
    <row r="135" customHeight="1" spans="5:5">
      <c r="E135" s="64"/>
    </row>
    <row r="136" customHeight="1" spans="5:5">
      <c r="E136" s="64"/>
    </row>
    <row r="137" customHeight="1" spans="5:5">
      <c r="E137" s="64"/>
    </row>
    <row r="138" customHeight="1" spans="5:5">
      <c r="E138" s="64"/>
    </row>
    <row r="139" customHeight="1" spans="5:5">
      <c r="E139" s="64"/>
    </row>
    <row r="140" customHeight="1" spans="5:5">
      <c r="E140" s="64"/>
    </row>
    <row r="141" customHeight="1" spans="5:5">
      <c r="E141" s="64"/>
    </row>
    <row r="142" customHeight="1" spans="5:5">
      <c r="E142" s="64"/>
    </row>
    <row r="143" customHeight="1" spans="5:5">
      <c r="E143" s="64"/>
    </row>
    <row r="144" customHeight="1" spans="5:5">
      <c r="E144" s="64"/>
    </row>
    <row r="145" customHeight="1" spans="5:5">
      <c r="E145" s="64"/>
    </row>
    <row r="146" customHeight="1" spans="5:5">
      <c r="E146" s="64"/>
    </row>
    <row r="147" customHeight="1" spans="5:5">
      <c r="E147" s="64"/>
    </row>
    <row r="148" customHeight="1" spans="5:5">
      <c r="E148" s="64"/>
    </row>
    <row r="149" customHeight="1" spans="5:5">
      <c r="E149" s="64"/>
    </row>
    <row r="150" customHeight="1" spans="5:5">
      <c r="E150" s="64"/>
    </row>
    <row r="151" customHeight="1" spans="5:5">
      <c r="E151" s="64"/>
    </row>
    <row r="152" customHeight="1" spans="5:5">
      <c r="E152" s="64"/>
    </row>
    <row r="153" customHeight="1" spans="5:5">
      <c r="E153" s="64"/>
    </row>
    <row r="154" customHeight="1" spans="5:5">
      <c r="E154" s="64"/>
    </row>
    <row r="155" customHeight="1" spans="5:5">
      <c r="E155" s="64"/>
    </row>
    <row r="156" customHeight="1" spans="5:5">
      <c r="E156" s="64"/>
    </row>
    <row r="157" customHeight="1" spans="5:5">
      <c r="E157" s="64"/>
    </row>
    <row r="158" customHeight="1" spans="5:5">
      <c r="E158" s="64"/>
    </row>
    <row r="159" customHeight="1" spans="5:5">
      <c r="E159" s="64"/>
    </row>
    <row r="160" customHeight="1" spans="5:5">
      <c r="E160" s="64"/>
    </row>
    <row r="161" customHeight="1" spans="5:5">
      <c r="E161" s="64"/>
    </row>
    <row r="162" customHeight="1" spans="5:5">
      <c r="E162" s="64"/>
    </row>
    <row r="163" customHeight="1" spans="5:5">
      <c r="E163" s="64"/>
    </row>
    <row r="164" customHeight="1" spans="5:5">
      <c r="E164" s="64"/>
    </row>
    <row r="165" customHeight="1" spans="5:5">
      <c r="E165" s="64"/>
    </row>
    <row r="166" customHeight="1" spans="5:5">
      <c r="E166" s="64"/>
    </row>
    <row r="167" customHeight="1" spans="5:5">
      <c r="E167" s="64"/>
    </row>
    <row r="168" customHeight="1" spans="5:5">
      <c r="E168" s="64"/>
    </row>
    <row r="169" customHeight="1" spans="5:5">
      <c r="E169" s="64"/>
    </row>
    <row r="170" customHeight="1" spans="5:5">
      <c r="E170" s="64"/>
    </row>
    <row r="171" customHeight="1" spans="5:5">
      <c r="E171" s="64"/>
    </row>
    <row r="172" customHeight="1" spans="5:5">
      <c r="E172" s="64"/>
    </row>
    <row r="173" customHeight="1" spans="5:5">
      <c r="E173" s="64"/>
    </row>
    <row r="174" customHeight="1" spans="5:5">
      <c r="E174" s="64"/>
    </row>
    <row r="175" customHeight="1" spans="5:5">
      <c r="E175" s="64"/>
    </row>
    <row r="176" customHeight="1" spans="5:5">
      <c r="E176" s="64"/>
    </row>
    <row r="177" customHeight="1" spans="5:5">
      <c r="E177" s="64"/>
    </row>
    <row r="178" customHeight="1" spans="5:5">
      <c r="E178" s="64"/>
    </row>
    <row r="179" customHeight="1" spans="5:5">
      <c r="E179" s="64"/>
    </row>
    <row r="180" customHeight="1" spans="5:5">
      <c r="E180" s="64"/>
    </row>
    <row r="181" customHeight="1" spans="5:5">
      <c r="E181" s="64"/>
    </row>
    <row r="182" customHeight="1" spans="5:5">
      <c r="E182" s="64"/>
    </row>
    <row r="183" customHeight="1" spans="5:5">
      <c r="E183" s="64"/>
    </row>
    <row r="184" customHeight="1" spans="5:5">
      <c r="E184" s="64"/>
    </row>
    <row r="185" customHeight="1" spans="5:5">
      <c r="E185" s="64"/>
    </row>
    <row r="186" customHeight="1" spans="5:5">
      <c r="E186" s="64"/>
    </row>
    <row r="187" customHeight="1" spans="5:5">
      <c r="E187" s="64"/>
    </row>
    <row r="188" customHeight="1" spans="5:5">
      <c r="E188" s="64"/>
    </row>
    <row r="189" customHeight="1" spans="5:5">
      <c r="E189" s="64"/>
    </row>
    <row r="190" customHeight="1" spans="5:5">
      <c r="E190" s="64"/>
    </row>
    <row r="191" customHeight="1" spans="5:5">
      <c r="E191" s="64"/>
    </row>
    <row r="192" customHeight="1" spans="5:5">
      <c r="E192" s="64"/>
    </row>
    <row r="193" customHeight="1" spans="5:5">
      <c r="E193" s="64"/>
    </row>
    <row r="194" customHeight="1" spans="5:5">
      <c r="E194" s="64"/>
    </row>
    <row r="195" customHeight="1" spans="5:5">
      <c r="E195" s="64"/>
    </row>
    <row r="196" customHeight="1" spans="5:5">
      <c r="E196" s="64"/>
    </row>
    <row r="197" customHeight="1" spans="5:5">
      <c r="E197" s="64"/>
    </row>
    <row r="198" customHeight="1" spans="5:5">
      <c r="E198" s="64"/>
    </row>
    <row r="199" customHeight="1" spans="5:5">
      <c r="E199" s="64"/>
    </row>
    <row r="200" customHeight="1" spans="5:5">
      <c r="E200" s="64"/>
    </row>
    <row r="201" customHeight="1" spans="5:5">
      <c r="E201" s="64"/>
    </row>
    <row r="202" customHeight="1" spans="5:5">
      <c r="E202" s="64"/>
    </row>
    <row r="203" customHeight="1" spans="5:5">
      <c r="E203" s="64"/>
    </row>
    <row r="204" customHeight="1" spans="5:5">
      <c r="E204" s="64"/>
    </row>
    <row r="205" customHeight="1" spans="5:5">
      <c r="E205" s="64"/>
    </row>
    <row r="206" customHeight="1" spans="5:5">
      <c r="E206" s="64"/>
    </row>
    <row r="207" customHeight="1" spans="5:5">
      <c r="E207" s="64"/>
    </row>
    <row r="208" customHeight="1" spans="5:5">
      <c r="E208" s="64"/>
    </row>
    <row r="209" customHeight="1" spans="5:5">
      <c r="E209" s="64"/>
    </row>
    <row r="210" customHeight="1" spans="5:5">
      <c r="E210" s="64"/>
    </row>
    <row r="211" customHeight="1" spans="5:5">
      <c r="E211" s="64"/>
    </row>
    <row r="212" customHeight="1" spans="5:5">
      <c r="E212" s="64"/>
    </row>
    <row r="213" customHeight="1" spans="5:5">
      <c r="E213" s="64"/>
    </row>
    <row r="214" customHeight="1" spans="5:5">
      <c r="E214" s="64"/>
    </row>
    <row r="215" customHeight="1" spans="5:5">
      <c r="E215" s="64"/>
    </row>
    <row r="216" customHeight="1" spans="5:5">
      <c r="E216" s="64"/>
    </row>
    <row r="217" customHeight="1" spans="5:5">
      <c r="E217" s="64"/>
    </row>
    <row r="218" customHeight="1" spans="5:5">
      <c r="E218" s="64"/>
    </row>
    <row r="219" customHeight="1" spans="5:5">
      <c r="E219" s="64"/>
    </row>
    <row r="220" customHeight="1" spans="5:5">
      <c r="E220" s="64"/>
    </row>
    <row r="221" customHeight="1" spans="5:5">
      <c r="E221" s="64"/>
    </row>
    <row r="222" customHeight="1" spans="5:5">
      <c r="E222" s="64"/>
    </row>
    <row r="223" customHeight="1" spans="5:5">
      <c r="E223" s="64"/>
    </row>
    <row r="224" customHeight="1" spans="5:5">
      <c r="E224" s="64"/>
    </row>
    <row r="225" customHeight="1" spans="5:5">
      <c r="E225" s="64"/>
    </row>
    <row r="226" customHeight="1" spans="5:5">
      <c r="E226" s="64"/>
    </row>
    <row r="227" customHeight="1" spans="5:5">
      <c r="E227" s="64"/>
    </row>
    <row r="228" customHeight="1" spans="5:5">
      <c r="E228" s="64"/>
    </row>
    <row r="229" customHeight="1" spans="5:5">
      <c r="E229" s="64"/>
    </row>
    <row r="230" customHeight="1" spans="5:5">
      <c r="E230" s="64"/>
    </row>
    <row r="231" customHeight="1" spans="5:5">
      <c r="E231" s="64"/>
    </row>
    <row r="232" customHeight="1" spans="5:5">
      <c r="E232" s="64"/>
    </row>
    <row r="233" customHeight="1" spans="5:5">
      <c r="E233" s="64"/>
    </row>
    <row r="234" customHeight="1" spans="5:5">
      <c r="E234" s="64"/>
    </row>
    <row r="235" customHeight="1" spans="5:5">
      <c r="E235" s="64"/>
    </row>
    <row r="236" customHeight="1" spans="5:5">
      <c r="E236" s="64"/>
    </row>
    <row r="237" customHeight="1" spans="5:5">
      <c r="E237" s="64"/>
    </row>
    <row r="238" customHeight="1" spans="5:5">
      <c r="E238" s="64"/>
    </row>
    <row r="239" customHeight="1" spans="5:5">
      <c r="E239" s="64"/>
    </row>
    <row r="240" customHeight="1" spans="5:5">
      <c r="E240" s="64"/>
    </row>
    <row r="241" customHeight="1" spans="5:5">
      <c r="E241" s="64"/>
    </row>
    <row r="242" customHeight="1" spans="5:5">
      <c r="E242" s="64"/>
    </row>
    <row r="243" customHeight="1" spans="5:5">
      <c r="E243" s="64"/>
    </row>
    <row r="244" customHeight="1" spans="5:5">
      <c r="E244" s="64"/>
    </row>
    <row r="245" customHeight="1" spans="5:5">
      <c r="E245" s="64"/>
    </row>
    <row r="246" customHeight="1" spans="5:5">
      <c r="E246" s="64"/>
    </row>
    <row r="247" customHeight="1" spans="5:5">
      <c r="E247" s="64"/>
    </row>
    <row r="248" customHeight="1" spans="5:5">
      <c r="E248" s="64"/>
    </row>
    <row r="249" customHeight="1" spans="5:5">
      <c r="E249" s="64"/>
    </row>
    <row r="250" customHeight="1" spans="5:5">
      <c r="E250" s="64"/>
    </row>
    <row r="251" customHeight="1" spans="5:5">
      <c r="E251" s="64"/>
    </row>
    <row r="252" customHeight="1" spans="5:5">
      <c r="E252" s="64"/>
    </row>
    <row r="253" customHeight="1" spans="5:5">
      <c r="E253" s="64"/>
    </row>
    <row r="254" customHeight="1" spans="5:5">
      <c r="E254" s="64"/>
    </row>
    <row r="255" customHeight="1" spans="5:5">
      <c r="E255" s="64"/>
    </row>
    <row r="256" customHeight="1" spans="5:5">
      <c r="E256" s="64"/>
    </row>
    <row r="257" customHeight="1" spans="5:5">
      <c r="E257" s="64"/>
    </row>
    <row r="258" customHeight="1" spans="5:5">
      <c r="E258" s="64"/>
    </row>
    <row r="259" customHeight="1" spans="5:5">
      <c r="E259" s="64"/>
    </row>
    <row r="260" customHeight="1" spans="5:5">
      <c r="E260" s="64"/>
    </row>
    <row r="261" customHeight="1" spans="5:5">
      <c r="E261" s="64"/>
    </row>
    <row r="262" customHeight="1" spans="5:5">
      <c r="E262" s="64"/>
    </row>
    <row r="263" customHeight="1" spans="5:5">
      <c r="E263" s="64"/>
    </row>
    <row r="264" customHeight="1" spans="5:5">
      <c r="E264" s="64"/>
    </row>
    <row r="265" customHeight="1" spans="5:5">
      <c r="E265" s="64"/>
    </row>
    <row r="266" customHeight="1" spans="5:5">
      <c r="E266" s="64"/>
    </row>
    <row r="267" customHeight="1" spans="5:5">
      <c r="E267" s="64"/>
    </row>
    <row r="268" customHeight="1" spans="5:5">
      <c r="E268" s="64"/>
    </row>
    <row r="269" customHeight="1" spans="5:5">
      <c r="E269" s="64"/>
    </row>
    <row r="270" customHeight="1" spans="5:5">
      <c r="E270" s="64"/>
    </row>
    <row r="271" customHeight="1" spans="5:5">
      <c r="E271" s="64"/>
    </row>
    <row r="272" customHeight="1" spans="5:5">
      <c r="E272" s="64"/>
    </row>
    <row r="273" customHeight="1" spans="5:5">
      <c r="E273" s="64"/>
    </row>
    <row r="274" customHeight="1" spans="5:5">
      <c r="E274" s="64"/>
    </row>
    <row r="275" customHeight="1" spans="5:5">
      <c r="E275" s="64"/>
    </row>
    <row r="276" customHeight="1" spans="5:5">
      <c r="E276" s="64"/>
    </row>
    <row r="277" customHeight="1" spans="5:5">
      <c r="E277" s="64"/>
    </row>
    <row r="278" customHeight="1" spans="5:5">
      <c r="E278" s="64"/>
    </row>
    <row r="279" customHeight="1" spans="5:5">
      <c r="E279" s="64"/>
    </row>
    <row r="280" customHeight="1" spans="5:5">
      <c r="E280" s="64"/>
    </row>
    <row r="281" customHeight="1" spans="5:5">
      <c r="E281" s="64"/>
    </row>
    <row r="282" customHeight="1" spans="5:5">
      <c r="E282" s="64"/>
    </row>
    <row r="283" customHeight="1" spans="5:5">
      <c r="E283" s="64"/>
    </row>
    <row r="284" customHeight="1" spans="5:5">
      <c r="E284" s="64"/>
    </row>
    <row r="285" customHeight="1" spans="5:5">
      <c r="E285" s="64"/>
    </row>
    <row r="286" customHeight="1" spans="5:5">
      <c r="E286" s="64"/>
    </row>
    <row r="287" customHeight="1" spans="5:5">
      <c r="E287" s="64"/>
    </row>
    <row r="288" customHeight="1" spans="5:5">
      <c r="E288" s="64"/>
    </row>
    <row r="289" customHeight="1" spans="5:5">
      <c r="E289" s="64"/>
    </row>
    <row r="290" customHeight="1" spans="5:5">
      <c r="E290" s="64"/>
    </row>
    <row r="291" customHeight="1" spans="5:5">
      <c r="E291" s="64"/>
    </row>
    <row r="292" customHeight="1" spans="5:5">
      <c r="E292" s="64"/>
    </row>
    <row r="293" customHeight="1" spans="5:5">
      <c r="E293" s="64"/>
    </row>
    <row r="294" customHeight="1" spans="5:5">
      <c r="E294" s="64"/>
    </row>
    <row r="295" customHeight="1" spans="5:5">
      <c r="E295" s="64"/>
    </row>
    <row r="296" customHeight="1" spans="5:5">
      <c r="E296" s="64"/>
    </row>
    <row r="297" customHeight="1" spans="5:5">
      <c r="E297" s="64"/>
    </row>
    <row r="298" customHeight="1" spans="5:5">
      <c r="E298" s="64"/>
    </row>
    <row r="299" customHeight="1" spans="5:5">
      <c r="E299" s="64"/>
    </row>
    <row r="300" customHeight="1" spans="5:5">
      <c r="E300" s="64"/>
    </row>
    <row r="301" customHeight="1" spans="5:5">
      <c r="E301" s="64"/>
    </row>
    <row r="302" customHeight="1" spans="5:5">
      <c r="E302" s="64"/>
    </row>
    <row r="303" customHeight="1" spans="5:5">
      <c r="E303" s="64"/>
    </row>
    <row r="304" customHeight="1" spans="5:5">
      <c r="E304" s="64"/>
    </row>
    <row r="305" customHeight="1" spans="5:5">
      <c r="E305" s="64"/>
    </row>
    <row r="306" customHeight="1" spans="5:5">
      <c r="E306" s="64"/>
    </row>
    <row r="307" customHeight="1" spans="5:5">
      <c r="E307" s="64"/>
    </row>
    <row r="308" customHeight="1" spans="5:5">
      <c r="E308" s="64"/>
    </row>
    <row r="309" customHeight="1" spans="5:5">
      <c r="E309" s="64"/>
    </row>
    <row r="310" customHeight="1" spans="5:5">
      <c r="E310" s="64"/>
    </row>
    <row r="311" customHeight="1" spans="5:5">
      <c r="E311" s="64"/>
    </row>
    <row r="312" customHeight="1" spans="5:5">
      <c r="E312" s="64"/>
    </row>
    <row r="313" customHeight="1" spans="5:5">
      <c r="E313" s="64"/>
    </row>
    <row r="314" customHeight="1" spans="5:5">
      <c r="E314" s="64"/>
    </row>
    <row r="315" customHeight="1" spans="5:5">
      <c r="E315" s="64"/>
    </row>
    <row r="316" customHeight="1" spans="5:5">
      <c r="E316" s="64"/>
    </row>
    <row r="317" customHeight="1" spans="5:5">
      <c r="E317" s="64"/>
    </row>
    <row r="318" customHeight="1" spans="5:5">
      <c r="E318" s="64"/>
    </row>
    <row r="319" customHeight="1" spans="5:5">
      <c r="E319" s="64"/>
    </row>
    <row r="320" customHeight="1" spans="5:5">
      <c r="E320" s="64"/>
    </row>
    <row r="321" customHeight="1" spans="5:5">
      <c r="E321" s="64"/>
    </row>
    <row r="322" customHeight="1" spans="5:5">
      <c r="E322" s="64"/>
    </row>
    <row r="323" customHeight="1" spans="5:5">
      <c r="E323" s="64"/>
    </row>
    <row r="324" customHeight="1" spans="5:5">
      <c r="E324" s="64"/>
    </row>
    <row r="325" customHeight="1" spans="5:5">
      <c r="E325" s="64"/>
    </row>
    <row r="326" customHeight="1" spans="5:5">
      <c r="E326" s="64"/>
    </row>
    <row r="327" customHeight="1" spans="5:5">
      <c r="E327" s="64"/>
    </row>
    <row r="328" customHeight="1" spans="5:5">
      <c r="E328" s="64"/>
    </row>
    <row r="329" customHeight="1" spans="5:5">
      <c r="E329" s="64"/>
    </row>
    <row r="330" customHeight="1" spans="5:5">
      <c r="E330" s="64"/>
    </row>
    <row r="331" customHeight="1" spans="5:5">
      <c r="E331" s="64"/>
    </row>
    <row r="332" customHeight="1" spans="5:5">
      <c r="E332" s="64"/>
    </row>
    <row r="333" customHeight="1" spans="5:5">
      <c r="E333" s="64"/>
    </row>
    <row r="334" customHeight="1" spans="5:5">
      <c r="E334" s="64"/>
    </row>
    <row r="335" customHeight="1" spans="5:5">
      <c r="E335" s="64"/>
    </row>
    <row r="336" customHeight="1" spans="5:5">
      <c r="E336" s="64"/>
    </row>
    <row r="337" customHeight="1" spans="5:5">
      <c r="E337" s="64"/>
    </row>
    <row r="338" customHeight="1" spans="5:5">
      <c r="E338" s="64"/>
    </row>
    <row r="339" customHeight="1" spans="5:5">
      <c r="E339" s="64"/>
    </row>
    <row r="340" customHeight="1" spans="5:5">
      <c r="E340" s="64"/>
    </row>
    <row r="341" customHeight="1" spans="5:5">
      <c r="E341" s="64"/>
    </row>
    <row r="342" customHeight="1" spans="5:5">
      <c r="E342" s="64"/>
    </row>
    <row r="343" customHeight="1" spans="5:5">
      <c r="E343" s="64"/>
    </row>
    <row r="344" customHeight="1" spans="5:5">
      <c r="E344" s="64"/>
    </row>
    <row r="345" customHeight="1" spans="5:5">
      <c r="E345" s="64"/>
    </row>
    <row r="346" customHeight="1" spans="5:5">
      <c r="E346" s="64"/>
    </row>
    <row r="347" customHeight="1" spans="5:5">
      <c r="E347" s="64"/>
    </row>
    <row r="348" customHeight="1" spans="5:5">
      <c r="E348" s="64"/>
    </row>
    <row r="349" customHeight="1" spans="5:5">
      <c r="E349" s="64"/>
    </row>
    <row r="350" customHeight="1" spans="5:5">
      <c r="E350" s="64"/>
    </row>
    <row r="351" customHeight="1" spans="5:5">
      <c r="E351" s="64"/>
    </row>
    <row r="352" customHeight="1" spans="5:5">
      <c r="E352" s="64"/>
    </row>
    <row r="353" customHeight="1" spans="5:5">
      <c r="E353" s="64"/>
    </row>
    <row r="354" customHeight="1" spans="5:5">
      <c r="E354" s="64"/>
    </row>
    <row r="355" customHeight="1" spans="5:5">
      <c r="E355" s="64"/>
    </row>
    <row r="356" customHeight="1" spans="5:5">
      <c r="E356" s="64"/>
    </row>
    <row r="357" customHeight="1" spans="5:5">
      <c r="E357" s="64"/>
    </row>
    <row r="358" customHeight="1" spans="5:5">
      <c r="E358" s="64"/>
    </row>
    <row r="359" customHeight="1" spans="5:5">
      <c r="E359" s="64"/>
    </row>
    <row r="360" customHeight="1" spans="5:5">
      <c r="E360" s="64"/>
    </row>
    <row r="361" customHeight="1" spans="5:5">
      <c r="E361" s="64"/>
    </row>
    <row r="362" customHeight="1" spans="5:5">
      <c r="E362" s="64"/>
    </row>
    <row r="363" customHeight="1" spans="5:5">
      <c r="E363" s="64"/>
    </row>
    <row r="364" customHeight="1" spans="5:5">
      <c r="E364" s="64"/>
    </row>
    <row r="365" customHeight="1" spans="5:5">
      <c r="E365" s="64"/>
    </row>
    <row r="366" customHeight="1" spans="5:5">
      <c r="E366" s="64"/>
    </row>
    <row r="367" customHeight="1" spans="5:5">
      <c r="E367" s="64"/>
    </row>
    <row r="368" customHeight="1" spans="5:5">
      <c r="E368" s="64"/>
    </row>
    <row r="369" customHeight="1" spans="5:5">
      <c r="E369" s="64"/>
    </row>
    <row r="370" customHeight="1" spans="5:5">
      <c r="E370" s="64"/>
    </row>
    <row r="371" customHeight="1" spans="5:5">
      <c r="E371" s="64"/>
    </row>
    <row r="372" customHeight="1" spans="5:5">
      <c r="E372" s="64"/>
    </row>
    <row r="373" customHeight="1" spans="5:5">
      <c r="E373" s="64"/>
    </row>
    <row r="374" customHeight="1" spans="5:5">
      <c r="E374" s="64"/>
    </row>
    <row r="375" customHeight="1" spans="5:5">
      <c r="E375" s="64"/>
    </row>
    <row r="376" customHeight="1" spans="5:5">
      <c r="E376" s="64"/>
    </row>
    <row r="377" customHeight="1" spans="5:5">
      <c r="E377" s="64"/>
    </row>
    <row r="378" customHeight="1" spans="5:5">
      <c r="E378" s="64"/>
    </row>
    <row r="379" customHeight="1" spans="5:5">
      <c r="E379" s="64"/>
    </row>
    <row r="380" customHeight="1" spans="5:5">
      <c r="E380" s="64"/>
    </row>
    <row r="381" customHeight="1" spans="5:5">
      <c r="E381" s="64"/>
    </row>
    <row r="382" customHeight="1" spans="5:5">
      <c r="E382" s="64"/>
    </row>
    <row r="383" customHeight="1" spans="5:5">
      <c r="E383" s="64"/>
    </row>
    <row r="384" customHeight="1" spans="5:5">
      <c r="E384" s="64"/>
    </row>
    <row r="385" customHeight="1" spans="5:5">
      <c r="E385" s="64"/>
    </row>
    <row r="386" customHeight="1" spans="5:5">
      <c r="E386" s="64"/>
    </row>
    <row r="387" customHeight="1" spans="5:5">
      <c r="E387" s="64"/>
    </row>
    <row r="388" customHeight="1" spans="5:5">
      <c r="E388" s="64"/>
    </row>
    <row r="389" customHeight="1" spans="5:5">
      <c r="E389" s="64"/>
    </row>
    <row r="390" customHeight="1" spans="5:5">
      <c r="E390" s="64"/>
    </row>
    <row r="391" customHeight="1" spans="5:5">
      <c r="E391" s="64"/>
    </row>
    <row r="392" customHeight="1" spans="5:5">
      <c r="E392" s="64"/>
    </row>
    <row r="393" customHeight="1" spans="5:5">
      <c r="E393" s="64"/>
    </row>
    <row r="394" customHeight="1" spans="5:5">
      <c r="E394" s="64"/>
    </row>
    <row r="395" customHeight="1" spans="5:5">
      <c r="E395" s="64"/>
    </row>
    <row r="396" customHeight="1" spans="5:5">
      <c r="E396" s="64"/>
    </row>
    <row r="397" customHeight="1" spans="5:5">
      <c r="E397" s="64"/>
    </row>
    <row r="398" customHeight="1" spans="5:5">
      <c r="E398" s="64"/>
    </row>
    <row r="399" customHeight="1" spans="5:5">
      <c r="E399" s="64"/>
    </row>
    <row r="400" customHeight="1" spans="5:5">
      <c r="E400" s="64"/>
    </row>
    <row r="401" customHeight="1" spans="5:5">
      <c r="E401" s="64"/>
    </row>
    <row r="402" customHeight="1" spans="5:5">
      <c r="E402" s="64"/>
    </row>
    <row r="403" customHeight="1" spans="5:5">
      <c r="E403" s="64"/>
    </row>
    <row r="404" customHeight="1" spans="5:5">
      <c r="E404" s="64"/>
    </row>
    <row r="405" customHeight="1" spans="5:5">
      <c r="E405" s="64"/>
    </row>
    <row r="406" customHeight="1" spans="5:5">
      <c r="E406" s="64"/>
    </row>
    <row r="407" customHeight="1" spans="5:5">
      <c r="E407" s="64"/>
    </row>
    <row r="408" customHeight="1" spans="5:5">
      <c r="E408" s="64"/>
    </row>
    <row r="409" customHeight="1" spans="5:5">
      <c r="E409" s="64"/>
    </row>
    <row r="410" customHeight="1" spans="5:5">
      <c r="E410" s="64"/>
    </row>
    <row r="411" customHeight="1" spans="5:5">
      <c r="E411" s="64"/>
    </row>
    <row r="412" customHeight="1" spans="5:5">
      <c r="E412" s="64"/>
    </row>
    <row r="413" customHeight="1" spans="5:5">
      <c r="E413" s="64"/>
    </row>
    <row r="414" customHeight="1" spans="5:5">
      <c r="E414" s="64"/>
    </row>
    <row r="415" customHeight="1" spans="5:5">
      <c r="E415" s="64"/>
    </row>
    <row r="416" customHeight="1" spans="5:5">
      <c r="E416" s="64"/>
    </row>
    <row r="417" customHeight="1" spans="5:5">
      <c r="E417" s="64"/>
    </row>
    <row r="418" customHeight="1" spans="5:5">
      <c r="E418" s="64"/>
    </row>
    <row r="419" customHeight="1" spans="5:5">
      <c r="E419" s="64"/>
    </row>
    <row r="420" customHeight="1" spans="5:5">
      <c r="E420" s="64"/>
    </row>
    <row r="421" customHeight="1" spans="5:5">
      <c r="E421" s="64"/>
    </row>
    <row r="422" customHeight="1" spans="5:5">
      <c r="E422" s="64"/>
    </row>
    <row r="423" customHeight="1" spans="5:5">
      <c r="E423" s="64"/>
    </row>
    <row r="424" customHeight="1" spans="5:5">
      <c r="E424" s="64"/>
    </row>
    <row r="425" customHeight="1" spans="5:5">
      <c r="E425" s="64"/>
    </row>
    <row r="426" customHeight="1" spans="5:5">
      <c r="E426" s="64"/>
    </row>
    <row r="427" customHeight="1" spans="5:5">
      <c r="E427" s="64"/>
    </row>
    <row r="428" customHeight="1" spans="5:5">
      <c r="E428" s="64"/>
    </row>
    <row r="429" customHeight="1" spans="5:5">
      <c r="E429" s="64"/>
    </row>
    <row r="430" customHeight="1" spans="5:5">
      <c r="E430" s="64"/>
    </row>
    <row r="431" customHeight="1" spans="5:5">
      <c r="E431" s="64"/>
    </row>
    <row r="432" customHeight="1" spans="5:5">
      <c r="E432" s="64"/>
    </row>
    <row r="433" customHeight="1" spans="5:5">
      <c r="E433" s="64"/>
    </row>
    <row r="434" customHeight="1" spans="5:5">
      <c r="E434" s="64"/>
    </row>
    <row r="435" customHeight="1" spans="5:5">
      <c r="E435" s="64"/>
    </row>
    <row r="436" customHeight="1" spans="5:5">
      <c r="E436" s="64"/>
    </row>
    <row r="437" customHeight="1" spans="5:5">
      <c r="E437" s="64"/>
    </row>
    <row r="438" customHeight="1" spans="5:5">
      <c r="E438" s="64"/>
    </row>
    <row r="439" customHeight="1" spans="5:5">
      <c r="E439" s="64"/>
    </row>
    <row r="440" customHeight="1" spans="5:5">
      <c r="E440" s="64"/>
    </row>
    <row r="441" customHeight="1" spans="5:5">
      <c r="E441" s="64"/>
    </row>
    <row r="442" customHeight="1" spans="5:5">
      <c r="E442" s="64"/>
    </row>
    <row r="443" customHeight="1" spans="5:5">
      <c r="E443" s="64"/>
    </row>
    <row r="444" customHeight="1" spans="5:5">
      <c r="E444" s="64"/>
    </row>
    <row r="445" customHeight="1" spans="5:5">
      <c r="E445" s="64"/>
    </row>
    <row r="446" customHeight="1" spans="5:5">
      <c r="E446" s="64"/>
    </row>
    <row r="447" customHeight="1" spans="5:5">
      <c r="E447" s="64"/>
    </row>
    <row r="448" customHeight="1" spans="5:5">
      <c r="E448" s="64"/>
    </row>
    <row r="449" customHeight="1" spans="5:5">
      <c r="E449" s="64"/>
    </row>
    <row r="450" customHeight="1" spans="5:5">
      <c r="E450" s="64"/>
    </row>
    <row r="451" customHeight="1" spans="5:5">
      <c r="E451" s="64"/>
    </row>
    <row r="452" customHeight="1" spans="5:5">
      <c r="E452" s="64"/>
    </row>
    <row r="453" customHeight="1" spans="5:5">
      <c r="E453" s="64"/>
    </row>
    <row r="454" customHeight="1" spans="5:5">
      <c r="E454" s="64"/>
    </row>
    <row r="455" customHeight="1" spans="5:5">
      <c r="E455" s="64"/>
    </row>
    <row r="456" customHeight="1" spans="5:5">
      <c r="E456" s="64"/>
    </row>
    <row r="457" customHeight="1" spans="5:5">
      <c r="E457" s="64"/>
    </row>
    <row r="458" customHeight="1" spans="5:5">
      <c r="E458" s="64"/>
    </row>
    <row r="459" customHeight="1" spans="5:5">
      <c r="E459" s="64"/>
    </row>
    <row r="460" customHeight="1" spans="5:5">
      <c r="E460" s="64"/>
    </row>
    <row r="461" customHeight="1" spans="5:5">
      <c r="E461" s="64"/>
    </row>
    <row r="462" customHeight="1" spans="5:5">
      <c r="E462" s="64"/>
    </row>
    <row r="463" customHeight="1" spans="5:5">
      <c r="E463" s="64"/>
    </row>
    <row r="464" customHeight="1" spans="5:5">
      <c r="E464" s="64"/>
    </row>
    <row r="465" customHeight="1" spans="5:5">
      <c r="E465" s="64"/>
    </row>
    <row r="466" customHeight="1" spans="5:5">
      <c r="E466" s="64"/>
    </row>
    <row r="467" customHeight="1" spans="5:5">
      <c r="E467" s="64"/>
    </row>
    <row r="468" customHeight="1" spans="5:5">
      <c r="E468" s="64"/>
    </row>
    <row r="469" customHeight="1" spans="5:5">
      <c r="E469" s="64"/>
    </row>
    <row r="470" customHeight="1" spans="5:5">
      <c r="E470" s="64"/>
    </row>
    <row r="471" customHeight="1" spans="5:5">
      <c r="E471" s="64"/>
    </row>
    <row r="472" customHeight="1" spans="5:5">
      <c r="E472" s="64"/>
    </row>
    <row r="473" customHeight="1" spans="5:5">
      <c r="E473" s="64"/>
    </row>
    <row r="474" customHeight="1" spans="5:5">
      <c r="E474" s="64"/>
    </row>
    <row r="475" customHeight="1" spans="5:5">
      <c r="E475" s="64"/>
    </row>
    <row r="476" customHeight="1" spans="5:5">
      <c r="E476" s="64"/>
    </row>
    <row r="477" customHeight="1" spans="5:5">
      <c r="E477" s="64"/>
    </row>
    <row r="478" customHeight="1" spans="5:5">
      <c r="E478" s="64"/>
    </row>
    <row r="479" customHeight="1" spans="5:5">
      <c r="E479" s="64"/>
    </row>
    <row r="480" customHeight="1" spans="5:5">
      <c r="E480" s="64"/>
    </row>
    <row r="481" customHeight="1" spans="5:5">
      <c r="E481" s="64"/>
    </row>
    <row r="482" customHeight="1" spans="5:5">
      <c r="E482" s="64"/>
    </row>
    <row r="483" customHeight="1" spans="5:5">
      <c r="E483" s="64"/>
    </row>
    <row r="484" customHeight="1" spans="5:5">
      <c r="E484" s="64"/>
    </row>
    <row r="485" customHeight="1" spans="5:5">
      <c r="E485" s="64"/>
    </row>
    <row r="486" customHeight="1" spans="5:5">
      <c r="E486" s="64"/>
    </row>
    <row r="487" customHeight="1" spans="5:5">
      <c r="E487" s="64"/>
    </row>
    <row r="488" customHeight="1" spans="5:5">
      <c r="E488" s="64"/>
    </row>
    <row r="489" customHeight="1" spans="5:5">
      <c r="E489" s="64"/>
    </row>
    <row r="490" customHeight="1" spans="5:5">
      <c r="E490" s="64"/>
    </row>
    <row r="491" customHeight="1" spans="5:5">
      <c r="E491" s="64"/>
    </row>
    <row r="492" customHeight="1" spans="5:5">
      <c r="E492" s="64"/>
    </row>
    <row r="493" customHeight="1" spans="5:5">
      <c r="E493" s="64"/>
    </row>
    <row r="494" customHeight="1" spans="5:5">
      <c r="E494" s="64"/>
    </row>
    <row r="495" customHeight="1" spans="5:5">
      <c r="E495" s="64"/>
    </row>
    <row r="496" customHeight="1" spans="5:5">
      <c r="E496" s="64"/>
    </row>
    <row r="497" customHeight="1" spans="5:5">
      <c r="E497" s="64"/>
    </row>
    <row r="498" customHeight="1" spans="5:5">
      <c r="E498" s="64"/>
    </row>
    <row r="499" customHeight="1" spans="5:5">
      <c r="E499" s="64"/>
    </row>
    <row r="500" customHeight="1" spans="5:5">
      <c r="E500" s="64"/>
    </row>
    <row r="501" customHeight="1" spans="5:5">
      <c r="E501" s="64"/>
    </row>
    <row r="502" customHeight="1" spans="5:5">
      <c r="E502" s="64"/>
    </row>
    <row r="503" customHeight="1" spans="5:5">
      <c r="E503" s="64"/>
    </row>
    <row r="504" customHeight="1" spans="5:5">
      <c r="E504" s="64"/>
    </row>
    <row r="505" customHeight="1" spans="5:5">
      <c r="E505" s="64"/>
    </row>
    <row r="506" customHeight="1" spans="5:5">
      <c r="E506" s="64"/>
    </row>
    <row r="507" customHeight="1" spans="5:5">
      <c r="E507" s="64"/>
    </row>
    <row r="508" customHeight="1" spans="5:5">
      <c r="E508" s="64"/>
    </row>
    <row r="509" customHeight="1" spans="5:5">
      <c r="E509" s="64"/>
    </row>
    <row r="510" customHeight="1" spans="5:5">
      <c r="E510" s="64"/>
    </row>
    <row r="511" customHeight="1" spans="5:5">
      <c r="E511" s="64"/>
    </row>
    <row r="512" customHeight="1" spans="5:5">
      <c r="E512" s="64"/>
    </row>
    <row r="513" customHeight="1" spans="5:5">
      <c r="E513" s="64"/>
    </row>
    <row r="514" customHeight="1" spans="5:5">
      <c r="E514" s="64"/>
    </row>
    <row r="515" customHeight="1" spans="5:5">
      <c r="E515" s="64"/>
    </row>
    <row r="516" customHeight="1" spans="5:5">
      <c r="E516" s="64"/>
    </row>
    <row r="517" customHeight="1" spans="5:5">
      <c r="E517" s="64"/>
    </row>
    <row r="518" customHeight="1" spans="5:5">
      <c r="E518" s="64"/>
    </row>
    <row r="519" customHeight="1" spans="5:5">
      <c r="E519" s="64"/>
    </row>
    <row r="520" customHeight="1" spans="5:5">
      <c r="E520" s="64"/>
    </row>
    <row r="521" customHeight="1" spans="5:5">
      <c r="E521" s="64"/>
    </row>
    <row r="522" customHeight="1" spans="5:5">
      <c r="E522" s="64"/>
    </row>
    <row r="523" customHeight="1" spans="5:5">
      <c r="E523" s="64"/>
    </row>
    <row r="524" customHeight="1" spans="5:5">
      <c r="E524" s="64"/>
    </row>
    <row r="525" customHeight="1" spans="5:5">
      <c r="E525" s="64"/>
    </row>
    <row r="526" customHeight="1" spans="5:5">
      <c r="E526" s="64"/>
    </row>
    <row r="527" customHeight="1" spans="5:5">
      <c r="E527" s="64"/>
    </row>
    <row r="528" customHeight="1" spans="5:5">
      <c r="E528" s="64"/>
    </row>
    <row r="529" customHeight="1" spans="5:5">
      <c r="E529" s="64"/>
    </row>
    <row r="530" customHeight="1" spans="5:5">
      <c r="E530" s="64"/>
    </row>
    <row r="531" customHeight="1" spans="5:5">
      <c r="E531" s="64"/>
    </row>
    <row r="532" customHeight="1" spans="5:5">
      <c r="E532" s="64"/>
    </row>
    <row r="533" customHeight="1" spans="5:5">
      <c r="E533" s="64"/>
    </row>
    <row r="534" customHeight="1" spans="5:5">
      <c r="E534" s="64"/>
    </row>
    <row r="535" customHeight="1" spans="5:5">
      <c r="E535" s="64"/>
    </row>
    <row r="536" customHeight="1" spans="5:5">
      <c r="E536" s="64"/>
    </row>
    <row r="537" customHeight="1" spans="5:5">
      <c r="E537" s="64"/>
    </row>
    <row r="538" customHeight="1" spans="5:5">
      <c r="E538" s="64"/>
    </row>
    <row r="539" customHeight="1" spans="5:5">
      <c r="E539" s="64"/>
    </row>
    <row r="540" customHeight="1" spans="5:5">
      <c r="E540" s="64"/>
    </row>
    <row r="541" customHeight="1" spans="5:5">
      <c r="E541" s="64"/>
    </row>
    <row r="542" customHeight="1" spans="5:5">
      <c r="E542" s="64"/>
    </row>
    <row r="543" customHeight="1" spans="5:5">
      <c r="E543" s="64"/>
    </row>
    <row r="544" customHeight="1" spans="5:5">
      <c r="E544" s="64"/>
    </row>
    <row r="545" customHeight="1" spans="5:5">
      <c r="E545" s="64"/>
    </row>
    <row r="546" customHeight="1" spans="5:5">
      <c r="E546" s="64"/>
    </row>
    <row r="547" customHeight="1" spans="5:5">
      <c r="E547" s="64"/>
    </row>
    <row r="548" customHeight="1" spans="5:5">
      <c r="E548" s="64"/>
    </row>
    <row r="549" customHeight="1" spans="5:5">
      <c r="E549" s="64"/>
    </row>
    <row r="550" customHeight="1" spans="5:5">
      <c r="E550" s="64"/>
    </row>
    <row r="551" customHeight="1" spans="5:5">
      <c r="E551" s="64"/>
    </row>
    <row r="552" customHeight="1" spans="5:5">
      <c r="E552" s="64"/>
    </row>
    <row r="553" customHeight="1" spans="5:5">
      <c r="E553" s="64"/>
    </row>
    <row r="554" customHeight="1" spans="5:5">
      <c r="E554" s="64"/>
    </row>
    <row r="555" customHeight="1" spans="5:5">
      <c r="E555" s="64"/>
    </row>
    <row r="556" customHeight="1" spans="5:5">
      <c r="E556" s="64"/>
    </row>
    <row r="557" customHeight="1" spans="5:5">
      <c r="E557" s="64"/>
    </row>
    <row r="558" customHeight="1" spans="5:5">
      <c r="E558" s="64"/>
    </row>
    <row r="559" customHeight="1" spans="5:5">
      <c r="E559" s="64"/>
    </row>
    <row r="560" customHeight="1" spans="5:5">
      <c r="E560" s="64"/>
    </row>
    <row r="561" customHeight="1" spans="5:5">
      <c r="E561" s="64"/>
    </row>
    <row r="562" customHeight="1" spans="5:5">
      <c r="E562" s="64"/>
    </row>
    <row r="563" customHeight="1" spans="5:5">
      <c r="E563" s="64"/>
    </row>
    <row r="564" customHeight="1" spans="5:5">
      <c r="E564" s="64"/>
    </row>
    <row r="565" customHeight="1" spans="5:5">
      <c r="E565" s="64"/>
    </row>
    <row r="566" customHeight="1" spans="5:5">
      <c r="E566" s="64"/>
    </row>
    <row r="567" customHeight="1" spans="5:5">
      <c r="E567" s="64"/>
    </row>
    <row r="568" customHeight="1" spans="5:5">
      <c r="E568" s="64"/>
    </row>
    <row r="569" customHeight="1" spans="5:5">
      <c r="E569" s="64"/>
    </row>
    <row r="570" customHeight="1" spans="5:5">
      <c r="E570" s="64"/>
    </row>
    <row r="571" customHeight="1" spans="5:5">
      <c r="E571" s="64"/>
    </row>
    <row r="572" customHeight="1" spans="5:5">
      <c r="E572" s="64"/>
    </row>
    <row r="573" customHeight="1" spans="5:5">
      <c r="E573" s="64"/>
    </row>
    <row r="574" customHeight="1" spans="5:5">
      <c r="E574" s="64"/>
    </row>
    <row r="575" customHeight="1" spans="5:5">
      <c r="E575" s="64"/>
    </row>
    <row r="576" customHeight="1" spans="5:5">
      <c r="E576" s="64"/>
    </row>
    <row r="577" customHeight="1" spans="5:5">
      <c r="E577" s="64"/>
    </row>
    <row r="578" customHeight="1" spans="5:5">
      <c r="E578" s="64"/>
    </row>
    <row r="579" customHeight="1" spans="5:5">
      <c r="E579" s="64"/>
    </row>
    <row r="580" customHeight="1" spans="5:5">
      <c r="E580" s="64"/>
    </row>
    <row r="581" customHeight="1" spans="5:5">
      <c r="E581" s="64"/>
    </row>
    <row r="582" customHeight="1" spans="5:5">
      <c r="E582" s="64"/>
    </row>
    <row r="583" customHeight="1" spans="5:5">
      <c r="E583" s="64"/>
    </row>
    <row r="584" customHeight="1" spans="5:5">
      <c r="E584" s="64"/>
    </row>
    <row r="585" customHeight="1" spans="5:5">
      <c r="E585" s="64"/>
    </row>
    <row r="586" customHeight="1" spans="5:5">
      <c r="E586" s="64"/>
    </row>
    <row r="587" customHeight="1" spans="5:5">
      <c r="E587" s="64"/>
    </row>
    <row r="588" customHeight="1" spans="5:5">
      <c r="E588" s="64"/>
    </row>
    <row r="589" customHeight="1" spans="5:5">
      <c r="E589" s="64"/>
    </row>
    <row r="590" customHeight="1" spans="5:5">
      <c r="E590" s="64"/>
    </row>
    <row r="591" customHeight="1" spans="5:5">
      <c r="E591" s="64"/>
    </row>
    <row r="592" customHeight="1" spans="5:5">
      <c r="E592" s="64"/>
    </row>
    <row r="593" customHeight="1" spans="5:5">
      <c r="E593" s="64"/>
    </row>
    <row r="594" customHeight="1" spans="5:5">
      <c r="E594" s="64"/>
    </row>
    <row r="595" customHeight="1" spans="5:5">
      <c r="E595" s="64"/>
    </row>
    <row r="596" customHeight="1" spans="5:5">
      <c r="E596" s="64"/>
    </row>
    <row r="597" customHeight="1" spans="5:5">
      <c r="E597" s="64"/>
    </row>
    <row r="598" customHeight="1" spans="5:5">
      <c r="E598" s="64"/>
    </row>
    <row r="599" customHeight="1" spans="5:5">
      <c r="E599" s="64"/>
    </row>
    <row r="600" customHeight="1" spans="5:5">
      <c r="E600" s="64"/>
    </row>
    <row r="601" customHeight="1" spans="5:5">
      <c r="E601" s="64"/>
    </row>
    <row r="602" customHeight="1" spans="5:5">
      <c r="E602" s="64"/>
    </row>
    <row r="603" customHeight="1" spans="5:5">
      <c r="E603" s="64"/>
    </row>
    <row r="604" customHeight="1" spans="5:5">
      <c r="E604" s="64"/>
    </row>
    <row r="605" customHeight="1" spans="5:5">
      <c r="E605" s="64"/>
    </row>
    <row r="606" customHeight="1" spans="5:5">
      <c r="E606" s="64"/>
    </row>
    <row r="607" customHeight="1" spans="5:5">
      <c r="E607" s="64"/>
    </row>
    <row r="608" customHeight="1" spans="5:5">
      <c r="E608" s="64"/>
    </row>
    <row r="609" customHeight="1" spans="5:5">
      <c r="E609" s="64"/>
    </row>
    <row r="610" customHeight="1" spans="5:5">
      <c r="E610" s="64"/>
    </row>
    <row r="611" customHeight="1" spans="5:5">
      <c r="E611" s="64"/>
    </row>
    <row r="612" customHeight="1" spans="5:5">
      <c r="E612" s="64"/>
    </row>
    <row r="613" customHeight="1" spans="5:5">
      <c r="E613" s="64"/>
    </row>
    <row r="614" customHeight="1" spans="5:5">
      <c r="E614" s="64"/>
    </row>
    <row r="615" customHeight="1" spans="5:5">
      <c r="E615" s="64"/>
    </row>
    <row r="616" customHeight="1" spans="5:5">
      <c r="E616" s="64"/>
    </row>
    <row r="617" customHeight="1" spans="5:5">
      <c r="E617" s="64"/>
    </row>
    <row r="618" customHeight="1" spans="5:5">
      <c r="E618" s="64"/>
    </row>
    <row r="619" customHeight="1" spans="5:5">
      <c r="E619" s="64"/>
    </row>
    <row r="620" customHeight="1" spans="5:5">
      <c r="E620" s="64"/>
    </row>
    <row r="621" customHeight="1" spans="5:5">
      <c r="E621" s="64"/>
    </row>
    <row r="622" customHeight="1" spans="5:5">
      <c r="E622" s="64"/>
    </row>
    <row r="623" customHeight="1" spans="5:5">
      <c r="E623" s="64"/>
    </row>
    <row r="624" customHeight="1" spans="5:5">
      <c r="E624" s="64"/>
    </row>
    <row r="625" customHeight="1" spans="5:5">
      <c r="E625" s="64"/>
    </row>
    <row r="626" customHeight="1" spans="5:5">
      <c r="E626" s="64"/>
    </row>
    <row r="627" customHeight="1" spans="5:5">
      <c r="E627" s="64"/>
    </row>
    <row r="628" customHeight="1" spans="5:5">
      <c r="E628" s="64"/>
    </row>
    <row r="629" customHeight="1" spans="5:5">
      <c r="E629" s="64"/>
    </row>
    <row r="630" customHeight="1" spans="5:5">
      <c r="E630" s="64"/>
    </row>
    <row r="631" customHeight="1" spans="5:5">
      <c r="E631" s="64"/>
    </row>
    <row r="632" customHeight="1" spans="5:5">
      <c r="E632" s="64"/>
    </row>
    <row r="633" customHeight="1" spans="5:5">
      <c r="E633" s="64"/>
    </row>
    <row r="634" customHeight="1" spans="5:5">
      <c r="E634" s="64"/>
    </row>
    <row r="635" customHeight="1" spans="5:5">
      <c r="E635" s="64"/>
    </row>
    <row r="636" customHeight="1" spans="5:5">
      <c r="E636" s="64"/>
    </row>
    <row r="637" customHeight="1" spans="5:5">
      <c r="E637" s="64"/>
    </row>
    <row r="638" customHeight="1" spans="5:5">
      <c r="E638" s="64"/>
    </row>
    <row r="639" customHeight="1" spans="5:5">
      <c r="E639" s="64"/>
    </row>
    <row r="640" customHeight="1" spans="5:5">
      <c r="E640" s="64"/>
    </row>
    <row r="641" customHeight="1" spans="5:5">
      <c r="E641" s="64"/>
    </row>
    <row r="642" customHeight="1" spans="5:5">
      <c r="E642" s="64"/>
    </row>
    <row r="643" customHeight="1" spans="5:5">
      <c r="E643" s="64"/>
    </row>
    <row r="644" customHeight="1" spans="5:5">
      <c r="E644" s="64"/>
    </row>
    <row r="645" customHeight="1" spans="5:5">
      <c r="E645" s="64"/>
    </row>
    <row r="646" customHeight="1" spans="5:5">
      <c r="E646" s="64"/>
    </row>
    <row r="647" customHeight="1" spans="5:5">
      <c r="E647" s="64"/>
    </row>
    <row r="648" customHeight="1" spans="5:5">
      <c r="E648" s="64"/>
    </row>
    <row r="649" customHeight="1" spans="5:5">
      <c r="E649" s="64"/>
    </row>
    <row r="650" customHeight="1" spans="5:5">
      <c r="E650" s="64"/>
    </row>
    <row r="651" customHeight="1" spans="5:5">
      <c r="E651" s="64"/>
    </row>
    <row r="652" customHeight="1" spans="5:5">
      <c r="E652" s="64"/>
    </row>
    <row r="653" customHeight="1" spans="5:5">
      <c r="E653" s="64"/>
    </row>
    <row r="654" customHeight="1" spans="5:5">
      <c r="E654" s="64"/>
    </row>
    <row r="655" customHeight="1" spans="5:5">
      <c r="E655" s="64"/>
    </row>
    <row r="656" customHeight="1" spans="5:5">
      <c r="E656" s="64"/>
    </row>
    <row r="657" customHeight="1" spans="5:5">
      <c r="E657" s="64"/>
    </row>
    <row r="658" customHeight="1" spans="5:5">
      <c r="E658" s="64"/>
    </row>
    <row r="659" customHeight="1" spans="5:5">
      <c r="E659" s="64"/>
    </row>
    <row r="660" customHeight="1" spans="5:5">
      <c r="E660" s="64"/>
    </row>
    <row r="661" customHeight="1" spans="5:5">
      <c r="E661" s="64"/>
    </row>
    <row r="662" customHeight="1" spans="5:5">
      <c r="E662" s="64"/>
    </row>
    <row r="663" customHeight="1" spans="5:5">
      <c r="E663" s="64"/>
    </row>
    <row r="664" customHeight="1" spans="5:5">
      <c r="E664" s="64"/>
    </row>
    <row r="665" customHeight="1" spans="5:5">
      <c r="E665" s="64"/>
    </row>
    <row r="666" customHeight="1" spans="5:5">
      <c r="E666" s="64"/>
    </row>
    <row r="667" customHeight="1" spans="5:5">
      <c r="E667" s="64"/>
    </row>
    <row r="668" customHeight="1" spans="5:5">
      <c r="E668" s="64"/>
    </row>
    <row r="669" customHeight="1" spans="5:5">
      <c r="E669" s="64"/>
    </row>
    <row r="670" customHeight="1" spans="5:5">
      <c r="E670" s="64"/>
    </row>
    <row r="671" customHeight="1" spans="5:5">
      <c r="E671" s="64"/>
    </row>
    <row r="672" customHeight="1" spans="5:5">
      <c r="E672" s="64"/>
    </row>
    <row r="673" customHeight="1" spans="5:5">
      <c r="E673" s="64"/>
    </row>
    <row r="674" customHeight="1" spans="5:5">
      <c r="E674" s="64"/>
    </row>
    <row r="675" customHeight="1" spans="5:5">
      <c r="E675" s="64"/>
    </row>
    <row r="676" customHeight="1" spans="5:5">
      <c r="E676" s="64"/>
    </row>
    <row r="677" customHeight="1" spans="5:5">
      <c r="E677" s="64"/>
    </row>
    <row r="678" customHeight="1" spans="5:5">
      <c r="E678" s="64"/>
    </row>
    <row r="679" customHeight="1" spans="5:5">
      <c r="E679" s="64"/>
    </row>
    <row r="680" customHeight="1" spans="5:5">
      <c r="E680" s="64"/>
    </row>
    <row r="681" customHeight="1" spans="5:5">
      <c r="E681" s="64"/>
    </row>
    <row r="682" customHeight="1" spans="5:5">
      <c r="E682" s="64"/>
    </row>
    <row r="683" customHeight="1" spans="5:5">
      <c r="E683" s="64"/>
    </row>
    <row r="684" customHeight="1" spans="5:5">
      <c r="E684" s="64"/>
    </row>
    <row r="685" customHeight="1" spans="5:5">
      <c r="E685" s="64"/>
    </row>
    <row r="686" customHeight="1" spans="5:5">
      <c r="E686" s="64"/>
    </row>
    <row r="687" customHeight="1" spans="5:5">
      <c r="E687" s="64"/>
    </row>
    <row r="688" customHeight="1" spans="5:5">
      <c r="E688" s="64"/>
    </row>
    <row r="689" customHeight="1" spans="5:5">
      <c r="E689" s="64"/>
    </row>
    <row r="690" customHeight="1" spans="5:5">
      <c r="E690" s="64"/>
    </row>
    <row r="691" customHeight="1" spans="5:5">
      <c r="E691" s="64"/>
    </row>
    <row r="692" customHeight="1" spans="5:5">
      <c r="E692" s="64"/>
    </row>
    <row r="693" customHeight="1" spans="5:5">
      <c r="E693" s="64"/>
    </row>
    <row r="694" customHeight="1" spans="5:5">
      <c r="E694" s="64"/>
    </row>
    <row r="695" customHeight="1" spans="5:5">
      <c r="E695" s="64"/>
    </row>
    <row r="696" customHeight="1" spans="5:5">
      <c r="E696" s="64"/>
    </row>
    <row r="697" customHeight="1" spans="5:5">
      <c r="E697" s="64"/>
    </row>
    <row r="698" customHeight="1" spans="5:5">
      <c r="E698" s="64"/>
    </row>
    <row r="699" customHeight="1" spans="5:5">
      <c r="E699" s="64"/>
    </row>
    <row r="700" customHeight="1" spans="5:5">
      <c r="E700" s="64"/>
    </row>
    <row r="701" customHeight="1" spans="5:5">
      <c r="E701" s="64"/>
    </row>
    <row r="702" customHeight="1" spans="5:5">
      <c r="E702" s="64"/>
    </row>
    <row r="703" customHeight="1" spans="5:5">
      <c r="E703" s="64"/>
    </row>
    <row r="704" customHeight="1" spans="5:5">
      <c r="E704" s="64"/>
    </row>
    <row r="705" customHeight="1" spans="5:5">
      <c r="E705" s="64"/>
    </row>
    <row r="706" customHeight="1" spans="5:5">
      <c r="E706" s="64"/>
    </row>
    <row r="707" customHeight="1" spans="5:5">
      <c r="E707" s="64"/>
    </row>
    <row r="708" customHeight="1" spans="5:5">
      <c r="E708" s="64"/>
    </row>
    <row r="709" customHeight="1" spans="5:5">
      <c r="E709" s="64"/>
    </row>
    <row r="710" customHeight="1" spans="5:5">
      <c r="E710" s="64"/>
    </row>
    <row r="711" customHeight="1" spans="5:5">
      <c r="E711" s="64"/>
    </row>
    <row r="712" customHeight="1" spans="5:5">
      <c r="E712" s="64"/>
    </row>
    <row r="713" customHeight="1" spans="5:5">
      <c r="E713" s="64"/>
    </row>
    <row r="714" customHeight="1" spans="5:5">
      <c r="E714" s="64"/>
    </row>
    <row r="715" customHeight="1" spans="5:5">
      <c r="E715" s="64"/>
    </row>
    <row r="716" customHeight="1" spans="5:5">
      <c r="E716" s="64"/>
    </row>
    <row r="717" customHeight="1" spans="5:5">
      <c r="E717" s="64"/>
    </row>
    <row r="718" customHeight="1" spans="5:5">
      <c r="E718" s="64"/>
    </row>
    <row r="719" customHeight="1" spans="5:5">
      <c r="E719" s="64"/>
    </row>
    <row r="720" customHeight="1" spans="5:5">
      <c r="E720" s="64"/>
    </row>
    <row r="721" customHeight="1" spans="5:5">
      <c r="E721" s="64"/>
    </row>
    <row r="722" customHeight="1" spans="5:5">
      <c r="E722" s="64"/>
    </row>
    <row r="723" customHeight="1" spans="5:5">
      <c r="E723" s="64"/>
    </row>
    <row r="724" customHeight="1" spans="5:5">
      <c r="E724" s="64"/>
    </row>
    <row r="725" customHeight="1" spans="5:5">
      <c r="E725" s="64"/>
    </row>
    <row r="726" customHeight="1" spans="5:5">
      <c r="E726" s="64"/>
    </row>
    <row r="727" customHeight="1" spans="5:5">
      <c r="E727" s="64"/>
    </row>
    <row r="728" customHeight="1" spans="5:5">
      <c r="E728" s="64"/>
    </row>
    <row r="729" customHeight="1" spans="5:5">
      <c r="E729" s="64"/>
    </row>
    <row r="730" customHeight="1" spans="5:5">
      <c r="E730" s="64"/>
    </row>
    <row r="731" customHeight="1" spans="5:5">
      <c r="E731" s="64"/>
    </row>
    <row r="732" customHeight="1" spans="5:5">
      <c r="E732" s="64"/>
    </row>
    <row r="733" customHeight="1" spans="5:5">
      <c r="E733" s="64"/>
    </row>
    <row r="734" customHeight="1" spans="5:5">
      <c r="E734" s="64"/>
    </row>
    <row r="735" customHeight="1" spans="5:5">
      <c r="E735" s="64"/>
    </row>
    <row r="736" customHeight="1" spans="5:5">
      <c r="E736" s="64"/>
    </row>
    <row r="737" customHeight="1" spans="5:5">
      <c r="E737" s="64"/>
    </row>
    <row r="738" customHeight="1" spans="5:5">
      <c r="E738" s="64"/>
    </row>
    <row r="739" customHeight="1" spans="5:5">
      <c r="E739" s="64"/>
    </row>
    <row r="740" customHeight="1" spans="5:5">
      <c r="E740" s="64"/>
    </row>
    <row r="741" customHeight="1" spans="5:5">
      <c r="E741" s="64"/>
    </row>
    <row r="742" customHeight="1" spans="5:5">
      <c r="E742" s="64"/>
    </row>
    <row r="743" customHeight="1" spans="5:5">
      <c r="E743" s="64"/>
    </row>
    <row r="744" customHeight="1" spans="5:5">
      <c r="E744" s="64"/>
    </row>
    <row r="745" customHeight="1" spans="5:5">
      <c r="E745" s="64"/>
    </row>
    <row r="746" customHeight="1" spans="5:5">
      <c r="E746" s="64"/>
    </row>
    <row r="747" customHeight="1" spans="5:5">
      <c r="E747" s="64"/>
    </row>
    <row r="748" customHeight="1" spans="5:5">
      <c r="E748" s="64"/>
    </row>
    <row r="749" customHeight="1" spans="5:5">
      <c r="E749" s="64"/>
    </row>
    <row r="750" customHeight="1" spans="5:5">
      <c r="E750" s="64"/>
    </row>
    <row r="751" customHeight="1" spans="5:5">
      <c r="E751" s="64"/>
    </row>
    <row r="752" customHeight="1" spans="5:5">
      <c r="E752" s="64"/>
    </row>
    <row r="753" customHeight="1" spans="5:5">
      <c r="E753" s="64"/>
    </row>
    <row r="754" customHeight="1" spans="5:5">
      <c r="E754" s="64"/>
    </row>
    <row r="755" customHeight="1" spans="5:5">
      <c r="E755" s="64"/>
    </row>
    <row r="756" customHeight="1" spans="5:5">
      <c r="E756" s="64"/>
    </row>
    <row r="757" customHeight="1" spans="5:5">
      <c r="E757" s="64"/>
    </row>
    <row r="758" customHeight="1" spans="5:5">
      <c r="E758" s="64"/>
    </row>
    <row r="759" customHeight="1" spans="5:5">
      <c r="E759" s="64"/>
    </row>
    <row r="760" customHeight="1" spans="5:5">
      <c r="E760" s="64"/>
    </row>
    <row r="761" customHeight="1" spans="5:5">
      <c r="E761" s="64"/>
    </row>
    <row r="762" customHeight="1" spans="5:5">
      <c r="E762" s="64"/>
    </row>
    <row r="763" customHeight="1" spans="5:5">
      <c r="E763" s="64"/>
    </row>
    <row r="764" customHeight="1" spans="5:5">
      <c r="E764" s="64"/>
    </row>
    <row r="765" customHeight="1" spans="5:5">
      <c r="E765" s="64"/>
    </row>
    <row r="766" customHeight="1" spans="5:5">
      <c r="E766" s="64"/>
    </row>
    <row r="767" customHeight="1" spans="5:5">
      <c r="E767" s="64"/>
    </row>
    <row r="768" customHeight="1" spans="5:5">
      <c r="E768" s="64"/>
    </row>
    <row r="769" customHeight="1" spans="5:5">
      <c r="E769" s="64"/>
    </row>
    <row r="770" customHeight="1" spans="5:5">
      <c r="E770" s="64"/>
    </row>
    <row r="771" customHeight="1" spans="5:5">
      <c r="E771" s="64"/>
    </row>
    <row r="772" customHeight="1" spans="5:5">
      <c r="E772" s="64"/>
    </row>
    <row r="773" customHeight="1" spans="5:5">
      <c r="E773" s="64"/>
    </row>
    <row r="774" customHeight="1" spans="5:5">
      <c r="E774" s="64"/>
    </row>
    <row r="775" customHeight="1" spans="5:5">
      <c r="E775" s="64"/>
    </row>
    <row r="776" customHeight="1" spans="5:5">
      <c r="E776" s="64"/>
    </row>
    <row r="777" customHeight="1" spans="5:5">
      <c r="E777" s="64"/>
    </row>
    <row r="778" customHeight="1" spans="5:5">
      <c r="E778" s="64"/>
    </row>
    <row r="779" customHeight="1" spans="5:5">
      <c r="E779" s="64"/>
    </row>
    <row r="780" customHeight="1" spans="5:5">
      <c r="E780" s="64"/>
    </row>
    <row r="781" customHeight="1" spans="5:5">
      <c r="E781" s="64"/>
    </row>
    <row r="782" customHeight="1" spans="5:5">
      <c r="E782" s="64"/>
    </row>
    <row r="783" customHeight="1" spans="5:5">
      <c r="E783" s="64"/>
    </row>
    <row r="784" customHeight="1" spans="5:5">
      <c r="E784" s="64"/>
    </row>
    <row r="785" customHeight="1" spans="5:5">
      <c r="E785" s="64"/>
    </row>
    <row r="786" customHeight="1" spans="5:5">
      <c r="E786" s="64"/>
    </row>
    <row r="787" customHeight="1" spans="5:5">
      <c r="E787" s="64"/>
    </row>
    <row r="788" customHeight="1" spans="5:5">
      <c r="E788" s="64"/>
    </row>
    <row r="789" customHeight="1" spans="5:5">
      <c r="E789" s="64"/>
    </row>
    <row r="790" customHeight="1" spans="5:5">
      <c r="E790" s="64"/>
    </row>
    <row r="791" customHeight="1" spans="5:5">
      <c r="E791" s="64"/>
    </row>
    <row r="792" customHeight="1" spans="5:5">
      <c r="E792" s="64"/>
    </row>
    <row r="793" customHeight="1" spans="5:5">
      <c r="E793" s="64"/>
    </row>
    <row r="794" customHeight="1" spans="5:5">
      <c r="E794" s="64"/>
    </row>
    <row r="795" customHeight="1" spans="5:5">
      <c r="E795" s="64"/>
    </row>
    <row r="796" customHeight="1" spans="5:5">
      <c r="E796" s="64"/>
    </row>
    <row r="797" customHeight="1" spans="5:5">
      <c r="E797" s="64"/>
    </row>
    <row r="798" customHeight="1" spans="5:5">
      <c r="E798" s="64"/>
    </row>
    <row r="799" customHeight="1" spans="5:5">
      <c r="E799" s="64"/>
    </row>
    <row r="800" customHeight="1" spans="5:5">
      <c r="E800" s="64"/>
    </row>
    <row r="801" customHeight="1" spans="5:5">
      <c r="E801" s="64"/>
    </row>
    <row r="802" customHeight="1" spans="5:5">
      <c r="E802" s="64"/>
    </row>
    <row r="803" customHeight="1" spans="5:5">
      <c r="E803" s="64"/>
    </row>
    <row r="804" customHeight="1" spans="5:5">
      <c r="E804" s="64"/>
    </row>
    <row r="805" customHeight="1" spans="5:5">
      <c r="E805" s="64"/>
    </row>
    <row r="806" customHeight="1" spans="5:5">
      <c r="E806" s="64"/>
    </row>
    <row r="807" customHeight="1" spans="5:5">
      <c r="E807" s="64"/>
    </row>
    <row r="808" customHeight="1" spans="5:5">
      <c r="E808" s="64"/>
    </row>
    <row r="809" customHeight="1" spans="5:5">
      <c r="E809" s="64"/>
    </row>
    <row r="810" customHeight="1" spans="5:5">
      <c r="E810" s="64"/>
    </row>
    <row r="811" customHeight="1" spans="5:5">
      <c r="E811" s="64"/>
    </row>
    <row r="812" customHeight="1" spans="5:5">
      <c r="E812" s="64"/>
    </row>
    <row r="813" customHeight="1" spans="5:5">
      <c r="E813" s="64"/>
    </row>
    <row r="814" customHeight="1" spans="5:5">
      <c r="E814" s="64"/>
    </row>
    <row r="815" customHeight="1" spans="5:5">
      <c r="E815" s="64"/>
    </row>
    <row r="816" customHeight="1" spans="5:5">
      <c r="E816" s="64"/>
    </row>
    <row r="817" customHeight="1" spans="5:5">
      <c r="E817" s="64"/>
    </row>
    <row r="818" customHeight="1" spans="5:5">
      <c r="E818" s="64"/>
    </row>
    <row r="819" customHeight="1" spans="5:5">
      <c r="E819" s="64"/>
    </row>
    <row r="820" customHeight="1" spans="5:5">
      <c r="E820" s="64"/>
    </row>
    <row r="821" customHeight="1" spans="5:5">
      <c r="E821" s="64"/>
    </row>
    <row r="822" customHeight="1" spans="5:5">
      <c r="E822" s="64"/>
    </row>
    <row r="823" customHeight="1" spans="5:5">
      <c r="E823" s="64"/>
    </row>
    <row r="824" customHeight="1" spans="5:5">
      <c r="E824" s="64"/>
    </row>
    <row r="825" customHeight="1" spans="5:5">
      <c r="E825" s="64"/>
    </row>
    <row r="826" customHeight="1" spans="5:5">
      <c r="E826" s="64"/>
    </row>
    <row r="827" customHeight="1" spans="5:5">
      <c r="E827" s="64"/>
    </row>
    <row r="828" customHeight="1" spans="5:5">
      <c r="E828" s="64"/>
    </row>
    <row r="829" customHeight="1" spans="5:5">
      <c r="E829" s="64"/>
    </row>
    <row r="830" customHeight="1" spans="5:5">
      <c r="E830" s="64"/>
    </row>
    <row r="831" customHeight="1" spans="5:5">
      <c r="E831" s="64"/>
    </row>
    <row r="832" customHeight="1" spans="5:5">
      <c r="E832" s="64"/>
    </row>
    <row r="833" customHeight="1" spans="5:5">
      <c r="E833" s="64"/>
    </row>
    <row r="834" customHeight="1" spans="5:5">
      <c r="E834" s="64"/>
    </row>
    <row r="835" customHeight="1" spans="5:5">
      <c r="E835" s="64"/>
    </row>
    <row r="836" customHeight="1" spans="5:5">
      <c r="E836" s="64"/>
    </row>
    <row r="837" customHeight="1" spans="5:5">
      <c r="E837" s="64"/>
    </row>
    <row r="838" customHeight="1" spans="5:5">
      <c r="E838" s="64"/>
    </row>
    <row r="839" customHeight="1" spans="5:5">
      <c r="E839" s="64"/>
    </row>
    <row r="840" customHeight="1" spans="5:5">
      <c r="E840" s="64"/>
    </row>
    <row r="841" customHeight="1" spans="5:5">
      <c r="E841" s="64"/>
    </row>
    <row r="842" customHeight="1" spans="5:5">
      <c r="E842" s="64"/>
    </row>
    <row r="843" customHeight="1" spans="5:5">
      <c r="E843" s="64"/>
    </row>
    <row r="844" customHeight="1" spans="5:5">
      <c r="E844" s="64"/>
    </row>
    <row r="845" customHeight="1" spans="5:5">
      <c r="E845" s="64"/>
    </row>
    <row r="846" customHeight="1" spans="5:5">
      <c r="E846" s="64"/>
    </row>
    <row r="847" customHeight="1" spans="5:5">
      <c r="E847" s="64"/>
    </row>
    <row r="848" customHeight="1" spans="5:5">
      <c r="E848" s="64"/>
    </row>
    <row r="849" customHeight="1" spans="5:5">
      <c r="E849" s="64"/>
    </row>
    <row r="850" customHeight="1" spans="5:5">
      <c r="E850" s="64"/>
    </row>
    <row r="851" customHeight="1" spans="5:5">
      <c r="E851" s="64"/>
    </row>
    <row r="852" customHeight="1" spans="5:5">
      <c r="E852" s="64"/>
    </row>
    <row r="853" customHeight="1" spans="5:5">
      <c r="E853" s="64"/>
    </row>
    <row r="854" customHeight="1" spans="5:5">
      <c r="E854" s="64"/>
    </row>
    <row r="855" customHeight="1" spans="5:5">
      <c r="E855" s="64"/>
    </row>
    <row r="856" customHeight="1" spans="5:5">
      <c r="E856" s="64"/>
    </row>
    <row r="857" customHeight="1" spans="5:5">
      <c r="E857" s="64"/>
    </row>
    <row r="858" customHeight="1" spans="5:5">
      <c r="E858" s="64"/>
    </row>
    <row r="859" customHeight="1" spans="5:5">
      <c r="E859" s="64"/>
    </row>
    <row r="860" customHeight="1" spans="5:5">
      <c r="E860" s="64"/>
    </row>
    <row r="861" customHeight="1" spans="5:5">
      <c r="E861" s="64"/>
    </row>
    <row r="862" customHeight="1" spans="5:5">
      <c r="E862" s="64"/>
    </row>
    <row r="863" customHeight="1" spans="5:5">
      <c r="E863" s="64"/>
    </row>
    <row r="864" customHeight="1" spans="5:5">
      <c r="E864" s="64"/>
    </row>
    <row r="865" customHeight="1" spans="5:5">
      <c r="E865" s="64"/>
    </row>
    <row r="866" customHeight="1" spans="5:5">
      <c r="E866" s="64"/>
    </row>
    <row r="867" customHeight="1" spans="5:5">
      <c r="E867" s="64"/>
    </row>
    <row r="868" customHeight="1" spans="5:5">
      <c r="E868" s="64"/>
    </row>
    <row r="869" customHeight="1" spans="5:5">
      <c r="E869" s="64"/>
    </row>
    <row r="870" customHeight="1" spans="5:5">
      <c r="E870" s="64"/>
    </row>
    <row r="871" customHeight="1" spans="5:5">
      <c r="E871" s="64"/>
    </row>
    <row r="872" customHeight="1" spans="5:5">
      <c r="E872" s="64"/>
    </row>
    <row r="873" customHeight="1" spans="5:5">
      <c r="E873" s="64"/>
    </row>
    <row r="874" customHeight="1" spans="5:5">
      <c r="E874" s="64"/>
    </row>
    <row r="875" customHeight="1" spans="5:5">
      <c r="E875" s="64"/>
    </row>
    <row r="876" customHeight="1" spans="5:5">
      <c r="E876" s="64"/>
    </row>
    <row r="877" customHeight="1" spans="5:5">
      <c r="E877" s="64"/>
    </row>
    <row r="878" customHeight="1" spans="5:5">
      <c r="E878" s="64"/>
    </row>
    <row r="879" customHeight="1" spans="5:5">
      <c r="E879" s="64"/>
    </row>
    <row r="880" customHeight="1" spans="5:5">
      <c r="E880" s="64"/>
    </row>
    <row r="881" customHeight="1" spans="5:5">
      <c r="E881" s="64"/>
    </row>
    <row r="882" customHeight="1" spans="5:5">
      <c r="E882" s="64"/>
    </row>
    <row r="883" customHeight="1" spans="5:5">
      <c r="E883" s="64"/>
    </row>
    <row r="884" customHeight="1" spans="5:5">
      <c r="E884" s="64"/>
    </row>
    <row r="885" customHeight="1" spans="5:5">
      <c r="E885" s="64"/>
    </row>
    <row r="886" customHeight="1" spans="5:5">
      <c r="E886" s="64"/>
    </row>
    <row r="887" customHeight="1" spans="5:5">
      <c r="E887" s="64"/>
    </row>
    <row r="888" customHeight="1" spans="5:5">
      <c r="E888" s="64"/>
    </row>
    <row r="889" customHeight="1" spans="5:5">
      <c r="E889" s="64"/>
    </row>
    <row r="890" customHeight="1" spans="5:5">
      <c r="E890" s="64"/>
    </row>
    <row r="891" customHeight="1" spans="5:5">
      <c r="E891" s="64"/>
    </row>
    <row r="892" customHeight="1" spans="5:5">
      <c r="E892" s="64"/>
    </row>
    <row r="893" customHeight="1" spans="5:5">
      <c r="E893" s="64"/>
    </row>
    <row r="894" customHeight="1" spans="5:5">
      <c r="E894" s="64"/>
    </row>
    <row r="895" customHeight="1" spans="5:5">
      <c r="E895" s="64"/>
    </row>
    <row r="896" customHeight="1" spans="5:5">
      <c r="E896" s="64"/>
    </row>
    <row r="897" customHeight="1" spans="5:5">
      <c r="E897" s="64"/>
    </row>
    <row r="898" customHeight="1" spans="5:5">
      <c r="E898" s="64"/>
    </row>
    <row r="899" customHeight="1" spans="5:5">
      <c r="E899" s="64"/>
    </row>
    <row r="900" customHeight="1" spans="5:5">
      <c r="E900" s="64"/>
    </row>
    <row r="901" customHeight="1" spans="5:5">
      <c r="E901" s="64"/>
    </row>
    <row r="902" customHeight="1" spans="5:5">
      <c r="E902" s="64"/>
    </row>
    <row r="903" customHeight="1" spans="5:5">
      <c r="E903" s="64"/>
    </row>
    <row r="904" customHeight="1" spans="5:5">
      <c r="E904" s="64"/>
    </row>
    <row r="905" customHeight="1" spans="5:5">
      <c r="E905" s="64"/>
    </row>
    <row r="906" customHeight="1" spans="5:5">
      <c r="E906" s="64"/>
    </row>
    <row r="907" customHeight="1" spans="5:5">
      <c r="E907" s="64"/>
    </row>
    <row r="908" customHeight="1" spans="5:5">
      <c r="E908" s="64"/>
    </row>
    <row r="909" customHeight="1" spans="5:5">
      <c r="E909" s="64"/>
    </row>
    <row r="910" customHeight="1" spans="5:5">
      <c r="E910" s="64"/>
    </row>
    <row r="911" customHeight="1" spans="5:5">
      <c r="E911" s="64"/>
    </row>
    <row r="912" customHeight="1" spans="5:5">
      <c r="E912" s="64"/>
    </row>
    <row r="913" customHeight="1" spans="5:5">
      <c r="E913" s="64"/>
    </row>
    <row r="914" customHeight="1" spans="5:5">
      <c r="E914" s="64"/>
    </row>
    <row r="915" customHeight="1" spans="5:5">
      <c r="E915" s="64"/>
    </row>
    <row r="916" customHeight="1" spans="5:5">
      <c r="E916" s="64"/>
    </row>
    <row r="917" customHeight="1" spans="5:5">
      <c r="E917" s="64"/>
    </row>
    <row r="918" customHeight="1" spans="5:5">
      <c r="E918" s="64"/>
    </row>
    <row r="919" customHeight="1" spans="5:5">
      <c r="E919" s="64"/>
    </row>
    <row r="920" customHeight="1" spans="5:5">
      <c r="E920" s="64"/>
    </row>
    <row r="921" customHeight="1" spans="5:5">
      <c r="E921" s="64"/>
    </row>
    <row r="922" customHeight="1" spans="5:5">
      <c r="E922" s="64"/>
    </row>
    <row r="923" customHeight="1" spans="5:5">
      <c r="E923" s="64"/>
    </row>
    <row r="924" customHeight="1" spans="5:5">
      <c r="E924" s="64"/>
    </row>
    <row r="925" customHeight="1" spans="5:5">
      <c r="E925" s="64"/>
    </row>
    <row r="926" customHeight="1" spans="5:5">
      <c r="E926" s="64"/>
    </row>
    <row r="927" customHeight="1" spans="5:5">
      <c r="E927" s="64"/>
    </row>
    <row r="928" customHeight="1" spans="5:5">
      <c r="E928" s="64"/>
    </row>
    <row r="929" customHeight="1" spans="5:5">
      <c r="E929" s="64"/>
    </row>
    <row r="930" customHeight="1" spans="5:5">
      <c r="E930" s="64"/>
    </row>
    <row r="931" customHeight="1" spans="5:5">
      <c r="E931" s="64"/>
    </row>
    <row r="932" customHeight="1" spans="5:5">
      <c r="E932" s="64"/>
    </row>
    <row r="933" customHeight="1" spans="5:5">
      <c r="E933" s="64"/>
    </row>
    <row r="934" customHeight="1" spans="5:5">
      <c r="E934" s="64"/>
    </row>
    <row r="935" customHeight="1" spans="5:5">
      <c r="E935" s="64"/>
    </row>
    <row r="936" customHeight="1" spans="5:5">
      <c r="E936" s="64"/>
    </row>
    <row r="937" customHeight="1" spans="5:5">
      <c r="E937" s="64"/>
    </row>
    <row r="938" customHeight="1" spans="5:5">
      <c r="E938" s="64"/>
    </row>
    <row r="939" customHeight="1" spans="5:5">
      <c r="E939" s="64"/>
    </row>
    <row r="940" customHeight="1" spans="5:5">
      <c r="E940" s="64"/>
    </row>
    <row r="941" customHeight="1" spans="5:5">
      <c r="E941" s="64"/>
    </row>
    <row r="942" customHeight="1" spans="5:5">
      <c r="E942" s="64"/>
    </row>
    <row r="943" customHeight="1" spans="5:5">
      <c r="E943" s="64"/>
    </row>
    <row r="944" customHeight="1" spans="5:5">
      <c r="E944" s="64"/>
    </row>
    <row r="945" customHeight="1" spans="5:5">
      <c r="E945" s="64"/>
    </row>
    <row r="946" customHeight="1" spans="5:5">
      <c r="E946" s="64"/>
    </row>
    <row r="947" customHeight="1" spans="5:5">
      <c r="E947" s="64"/>
    </row>
    <row r="948" customHeight="1" spans="5:5">
      <c r="E948" s="64"/>
    </row>
    <row r="949" customHeight="1" spans="5:5">
      <c r="E949" s="64"/>
    </row>
    <row r="950" customHeight="1" spans="5:5">
      <c r="E950" s="64"/>
    </row>
    <row r="951" customHeight="1" spans="5:5">
      <c r="E951" s="64"/>
    </row>
    <row r="952" customHeight="1" spans="5:5">
      <c r="E952" s="64"/>
    </row>
    <row r="953" customHeight="1" spans="5:5">
      <c r="E953" s="64"/>
    </row>
    <row r="954" customHeight="1" spans="5:5">
      <c r="E954" s="64"/>
    </row>
    <row r="955" customHeight="1" spans="5:5">
      <c r="E955" s="64"/>
    </row>
    <row r="956" customHeight="1" spans="5:5">
      <c r="E956" s="64"/>
    </row>
    <row r="957" customHeight="1" spans="5:5">
      <c r="E957" s="64"/>
    </row>
    <row r="958" customHeight="1" spans="5:5">
      <c r="E958" s="64"/>
    </row>
    <row r="959" customHeight="1" spans="5:5">
      <c r="E959" s="64"/>
    </row>
    <row r="960" customHeight="1" spans="5:5">
      <c r="E960" s="64"/>
    </row>
    <row r="961" customHeight="1" spans="5:5">
      <c r="E961" s="64"/>
    </row>
    <row r="962" customHeight="1" spans="5:5">
      <c r="E962" s="64"/>
    </row>
    <row r="963" customHeight="1" spans="5:5">
      <c r="E963" s="64"/>
    </row>
    <row r="964" customHeight="1" spans="5:5">
      <c r="E964" s="64"/>
    </row>
    <row r="965" customHeight="1" spans="5:5">
      <c r="E965" s="64"/>
    </row>
    <row r="966" customHeight="1" spans="5:5">
      <c r="E966" s="64"/>
    </row>
    <row r="967" customHeight="1" spans="5:5">
      <c r="E967" s="64"/>
    </row>
    <row r="968" customHeight="1" spans="5:5">
      <c r="E968" s="64"/>
    </row>
    <row r="969" customHeight="1" spans="5:5">
      <c r="E969" s="64"/>
    </row>
    <row r="970" customHeight="1" spans="5:5">
      <c r="E970" s="64"/>
    </row>
    <row r="971" customHeight="1" spans="5:5">
      <c r="E971" s="64"/>
    </row>
    <row r="972" customHeight="1" spans="5:5">
      <c r="E972" s="64"/>
    </row>
    <row r="973" customHeight="1" spans="5:5">
      <c r="E973" s="64"/>
    </row>
    <row r="974" customHeight="1" spans="5:5">
      <c r="E974" s="64"/>
    </row>
    <row r="975" customHeight="1" spans="5:5">
      <c r="E975" s="64"/>
    </row>
    <row r="976" customHeight="1" spans="5:5">
      <c r="E976" s="64"/>
    </row>
    <row r="977" customHeight="1" spans="5:5">
      <c r="E977" s="64"/>
    </row>
    <row r="978" customHeight="1" spans="5:5">
      <c r="E978" s="64"/>
    </row>
    <row r="979" customHeight="1" spans="5:5">
      <c r="E979" s="64"/>
    </row>
    <row r="980" customHeight="1" spans="5:5">
      <c r="E980" s="64"/>
    </row>
    <row r="981" customHeight="1" spans="5:5">
      <c r="E981" s="64"/>
    </row>
    <row r="982" customHeight="1" spans="5:5">
      <c r="E982" s="64"/>
    </row>
    <row r="983" customHeight="1" spans="5:5">
      <c r="E983" s="64"/>
    </row>
    <row r="984" customHeight="1" spans="5:5">
      <c r="E984" s="64"/>
    </row>
    <row r="985" customHeight="1" spans="5:5">
      <c r="E985" s="64"/>
    </row>
    <row r="986" customHeight="1" spans="5:5">
      <c r="E986" s="64"/>
    </row>
    <row r="987" customHeight="1" spans="5:5">
      <c r="E987" s="64"/>
    </row>
    <row r="988" customHeight="1" spans="5:5">
      <c r="E988" s="64"/>
    </row>
    <row r="989" customHeight="1" spans="5:5">
      <c r="E989" s="64"/>
    </row>
    <row r="990" customHeight="1" spans="5:5">
      <c r="E990" s="64"/>
    </row>
    <row r="991" customHeight="1" spans="5:5">
      <c r="E991" s="64"/>
    </row>
    <row r="992" customHeight="1" spans="5:5">
      <c r="E992" s="64"/>
    </row>
    <row r="993" customHeight="1" spans="5:5">
      <c r="E993" s="64"/>
    </row>
    <row r="994" customHeight="1" spans="5:5">
      <c r="E994" s="64"/>
    </row>
    <row r="995" customHeight="1" spans="5:5">
      <c r="E995" s="64"/>
    </row>
    <row r="996" customHeight="1" spans="5:5">
      <c r="E996" s="64"/>
    </row>
    <row r="997" customHeight="1" spans="5:5">
      <c r="E997" s="64"/>
    </row>
    <row r="998" customHeight="1" spans="5:5">
      <c r="E998" s="64"/>
    </row>
    <row r="999" customHeight="1" spans="5:5">
      <c r="E999" s="64"/>
    </row>
    <row r="1000" customHeight="1" spans="5:5">
      <c r="E1000" s="6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319</v>
      </c>
      <c r="B1" s="24" t="s">
        <v>637</v>
      </c>
      <c r="C1" s="24" t="s">
        <v>0</v>
      </c>
      <c r="D1" s="11" t="s">
        <v>127</v>
      </c>
      <c r="E1" s="24" t="s">
        <v>1</v>
      </c>
      <c r="F1" s="24" t="s">
        <v>638</v>
      </c>
      <c r="G1" s="24" t="s">
        <v>639</v>
      </c>
      <c r="H1" s="24" t="s">
        <v>317</v>
      </c>
    </row>
    <row r="2" customHeight="1" spans="1:8">
      <c r="A2" s="25" t="s">
        <v>325</v>
      </c>
      <c r="B2" s="25">
        <v>4709973</v>
      </c>
      <c r="C2" s="25" t="s">
        <v>37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640</v>
      </c>
      <c r="H2" s="25"/>
    </row>
    <row r="3" customHeight="1" spans="1:8">
      <c r="A3" s="25" t="s">
        <v>325</v>
      </c>
      <c r="B3" s="25">
        <v>4710051</v>
      </c>
      <c r="C3" s="25" t="s">
        <v>38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640</v>
      </c>
      <c r="H3" s="25"/>
    </row>
    <row r="4" customHeight="1" spans="1:8">
      <c r="A4" s="25" t="s">
        <v>325</v>
      </c>
      <c r="B4" s="25">
        <v>4709965</v>
      </c>
      <c r="C4" s="25" t="s">
        <v>83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640</v>
      </c>
      <c r="H4" s="25"/>
    </row>
    <row r="5" customHeight="1" spans="1:8">
      <c r="A5" s="25" t="s">
        <v>325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640</v>
      </c>
      <c r="H5" s="25"/>
    </row>
    <row r="6" customHeight="1" spans="1:8">
      <c r="A6" s="25" t="s">
        <v>325</v>
      </c>
      <c r="B6" s="25">
        <v>4709990</v>
      </c>
      <c r="C6" s="25" t="s">
        <v>82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640</v>
      </c>
      <c r="H6" s="25"/>
    </row>
    <row r="7" customHeight="1" spans="1:8">
      <c r="A7" s="25" t="s">
        <v>325</v>
      </c>
      <c r="B7" s="25">
        <v>4709949</v>
      </c>
      <c r="C7" s="25" t="s">
        <v>34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640</v>
      </c>
      <c r="H7" s="25"/>
    </row>
    <row r="8" customHeight="1" spans="1:8">
      <c r="A8" s="26" t="s">
        <v>325</v>
      </c>
      <c r="B8" s="26">
        <v>4709981</v>
      </c>
      <c r="C8" s="26" t="s">
        <v>76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640</v>
      </c>
      <c r="H8" s="26"/>
    </row>
    <row r="9" customHeight="1" spans="1:8">
      <c r="A9" s="25" t="s">
        <v>325</v>
      </c>
      <c r="B9" s="25">
        <v>4782265</v>
      </c>
      <c r="C9" s="25" t="s">
        <v>55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640</v>
      </c>
      <c r="H9" s="25"/>
    </row>
    <row r="10" customHeight="1" spans="1:8">
      <c r="A10" s="27" t="s">
        <v>325</v>
      </c>
      <c r="B10" s="27">
        <v>4710000</v>
      </c>
      <c r="C10" s="27" t="s">
        <v>42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640</v>
      </c>
      <c r="H10" s="27"/>
    </row>
    <row r="11" customHeight="1" spans="1:8">
      <c r="A11" s="25" t="s">
        <v>325</v>
      </c>
      <c r="B11" s="25">
        <v>4710018</v>
      </c>
      <c r="C11" s="25" t="s">
        <v>44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640</v>
      </c>
      <c r="H11" s="25"/>
    </row>
    <row r="12" customHeight="1" spans="1:8">
      <c r="A12" s="28" t="s">
        <v>325</v>
      </c>
      <c r="B12" s="28">
        <v>4710026</v>
      </c>
      <c r="C12" s="28" t="s">
        <v>43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640</v>
      </c>
      <c r="H12" s="28"/>
    </row>
    <row r="13" customHeight="1" spans="1:8">
      <c r="A13" s="25" t="s">
        <v>325</v>
      </c>
      <c r="B13" s="25">
        <v>4782281</v>
      </c>
      <c r="C13" s="25" t="s">
        <v>48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640</v>
      </c>
      <c r="H13" s="25"/>
    </row>
    <row r="14" customHeight="1" spans="1:8">
      <c r="A14" s="25" t="s">
        <v>325</v>
      </c>
      <c r="B14" s="25">
        <v>4782302</v>
      </c>
      <c r="C14" s="25" t="s">
        <v>40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640</v>
      </c>
      <c r="H14" s="25"/>
    </row>
    <row r="15" customHeight="1" spans="1:8">
      <c r="A15" s="25" t="s">
        <v>325</v>
      </c>
      <c r="B15" s="25">
        <v>4782290</v>
      </c>
      <c r="C15" s="25" t="s">
        <v>39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640</v>
      </c>
      <c r="H15" s="25"/>
    </row>
    <row r="16" customHeight="1" spans="1:8">
      <c r="A16" s="25" t="s">
        <v>325</v>
      </c>
      <c r="B16" s="25">
        <v>4782273</v>
      </c>
      <c r="C16" s="25" t="s">
        <v>72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640</v>
      </c>
      <c r="H16" s="25"/>
    </row>
    <row r="17" customHeight="1" spans="1:8">
      <c r="A17" s="25" t="s">
        <v>325</v>
      </c>
      <c r="B17" s="25">
        <v>4710042</v>
      </c>
      <c r="C17" s="25" t="s">
        <v>27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640</v>
      </c>
      <c r="H17" s="25"/>
    </row>
    <row r="18" customHeight="1" spans="1:8">
      <c r="A18" s="25" t="s">
        <v>325</v>
      </c>
      <c r="B18" s="25">
        <v>4710034</v>
      </c>
      <c r="C18" s="25" t="s">
        <v>57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640</v>
      </c>
      <c r="H18" s="25"/>
    </row>
    <row r="19" customHeight="1" spans="1:8">
      <c r="A19" s="25" t="s">
        <v>424</v>
      </c>
      <c r="B19" s="25">
        <v>5383937</v>
      </c>
      <c r="C19" s="25" t="s">
        <v>27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>
        <v>1506</v>
      </c>
      <c r="G19" s="25" t="s">
        <v>641</v>
      </c>
      <c r="H19" s="25"/>
    </row>
    <row r="20" customHeight="1" spans="1:8">
      <c r="A20" s="25" t="s">
        <v>424</v>
      </c>
      <c r="B20" s="25">
        <v>5383938</v>
      </c>
      <c r="C20" s="25" t="s">
        <v>28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>
        <v>1506</v>
      </c>
      <c r="G20" s="25" t="s">
        <v>641</v>
      </c>
      <c r="H20" s="25"/>
    </row>
    <row r="21" customHeight="1" spans="1:8">
      <c r="A21" s="25" t="s">
        <v>424</v>
      </c>
      <c r="B21" s="25">
        <v>5383939</v>
      </c>
      <c r="C21" s="25" t="s">
        <v>26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>
        <v>1506</v>
      </c>
      <c r="G21" s="25" t="s">
        <v>641</v>
      </c>
      <c r="H21" s="25"/>
    </row>
    <row r="22" customHeight="1" spans="1:8">
      <c r="A22" s="25" t="s">
        <v>424</v>
      </c>
      <c r="B22" s="25">
        <v>5383940</v>
      </c>
      <c r="C22" s="25" t="s">
        <v>23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>
        <v>1506</v>
      </c>
      <c r="G22" s="25" t="s">
        <v>641</v>
      </c>
      <c r="H22" s="25"/>
    </row>
    <row r="23" customHeight="1" spans="1:8">
      <c r="A23" s="25" t="s">
        <v>424</v>
      </c>
      <c r="B23" s="25">
        <v>5383941</v>
      </c>
      <c r="C23" s="25" t="s">
        <v>25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>
        <v>1506</v>
      </c>
      <c r="G23" s="25" t="s">
        <v>641</v>
      </c>
      <c r="H23" s="25"/>
    </row>
    <row r="24" customHeight="1" spans="1:8">
      <c r="A24" s="25" t="s">
        <v>424</v>
      </c>
      <c r="B24" s="25">
        <v>5383942</v>
      </c>
      <c r="C24" s="25" t="s">
        <v>24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>
        <v>1506</v>
      </c>
      <c r="G24" s="25" t="s">
        <v>641</v>
      </c>
      <c r="H24" s="25"/>
    </row>
    <row r="25" customHeight="1" spans="1:8">
      <c r="A25" s="25" t="s">
        <v>424</v>
      </c>
      <c r="B25" s="25">
        <v>5383943</v>
      </c>
      <c r="C25" s="25" t="s">
        <v>36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>
        <v>1506</v>
      </c>
      <c r="G25" s="25" t="s">
        <v>641</v>
      </c>
      <c r="H25" s="25"/>
    </row>
    <row r="26" customHeight="1" spans="1:8">
      <c r="A26" s="25" t="s">
        <v>642</v>
      </c>
      <c r="B26" s="25">
        <v>50126561</v>
      </c>
      <c r="C26" s="25" t="s">
        <v>27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640</v>
      </c>
      <c r="H26" s="25"/>
    </row>
    <row r="27" customHeight="1" spans="1:8">
      <c r="A27" s="25" t="s">
        <v>642</v>
      </c>
      <c r="B27" s="25">
        <v>50126562</v>
      </c>
      <c r="C27" s="25" t="s">
        <v>29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640</v>
      </c>
      <c r="H27" s="25"/>
    </row>
    <row r="28" customHeight="1" spans="1:8">
      <c r="A28" s="25" t="s">
        <v>642</v>
      </c>
      <c r="B28" s="25">
        <v>50126563</v>
      </c>
      <c r="C28" s="25" t="s">
        <v>34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640</v>
      </c>
      <c r="H28" s="25"/>
    </row>
    <row r="29" customHeight="1" spans="1:8">
      <c r="A29" s="25" t="s">
        <v>642</v>
      </c>
      <c r="B29" s="25">
        <v>50126564</v>
      </c>
      <c r="C29" s="25" t="s">
        <v>64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640</v>
      </c>
      <c r="H29" s="25"/>
    </row>
    <row r="30" customHeight="1" spans="1:8">
      <c r="A30" s="25" t="s">
        <v>642</v>
      </c>
      <c r="B30" s="25">
        <v>50126565</v>
      </c>
      <c r="C30" s="25" t="s">
        <v>30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640</v>
      </c>
      <c r="H30" s="25"/>
    </row>
    <row r="31" customHeight="1" spans="1:8">
      <c r="A31" s="25" t="s">
        <v>642</v>
      </c>
      <c r="B31" s="25">
        <v>50126566</v>
      </c>
      <c r="C31" s="25" t="s">
        <v>33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640</v>
      </c>
      <c r="H31" s="25"/>
    </row>
    <row r="32" customHeight="1" spans="1:8">
      <c r="A32" s="25" t="s">
        <v>642</v>
      </c>
      <c r="B32" s="25">
        <v>50126567</v>
      </c>
      <c r="C32" s="25" t="s">
        <v>73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640</v>
      </c>
      <c r="H32" s="25"/>
    </row>
    <row r="33" customHeight="1" spans="1:8">
      <c r="A33" s="25" t="s">
        <v>642</v>
      </c>
      <c r="B33" s="25">
        <v>50126568</v>
      </c>
      <c r="C33" s="25" t="s">
        <v>25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640</v>
      </c>
      <c r="H33" s="25"/>
    </row>
    <row r="34" customHeight="1" spans="1:8">
      <c r="A34" s="25" t="s">
        <v>642</v>
      </c>
      <c r="B34" s="25">
        <v>50126569</v>
      </c>
      <c r="C34" s="25" t="s">
        <v>79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640</v>
      </c>
      <c r="H34" s="25"/>
    </row>
    <row r="35" customHeight="1" spans="1:8">
      <c r="A35" s="25" t="s">
        <v>642</v>
      </c>
      <c r="B35" s="25">
        <v>50126570</v>
      </c>
      <c r="C35" s="25" t="s">
        <v>70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640</v>
      </c>
      <c r="H35" s="25"/>
    </row>
    <row r="36" customHeight="1" spans="1:8">
      <c r="A36" s="25" t="s">
        <v>642</v>
      </c>
      <c r="B36" s="25">
        <v>50126571</v>
      </c>
      <c r="C36" s="25" t="s">
        <v>83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640</v>
      </c>
      <c r="H36" s="25"/>
    </row>
    <row r="37" customHeight="1" spans="1:8">
      <c r="A37" s="25" t="s">
        <v>642</v>
      </c>
      <c r="B37" s="25">
        <v>50126572</v>
      </c>
      <c r="C37" s="25" t="s">
        <v>38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640</v>
      </c>
      <c r="H37" s="25"/>
    </row>
    <row r="38" customHeight="1" spans="1:8">
      <c r="A38" s="25" t="s">
        <v>642</v>
      </c>
      <c r="B38" s="25">
        <v>50126573</v>
      </c>
      <c r="C38" s="25" t="s">
        <v>31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640</v>
      </c>
      <c r="H38" s="25"/>
    </row>
    <row r="39" customHeight="1" spans="1:8">
      <c r="A39" s="25" t="s">
        <v>642</v>
      </c>
      <c r="B39" s="25">
        <v>50126577</v>
      </c>
      <c r="C39" s="25" t="s">
        <v>52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640</v>
      </c>
      <c r="H39" s="25"/>
    </row>
    <row r="40" customHeight="1" spans="1:8">
      <c r="A40" s="25" t="s">
        <v>642</v>
      </c>
      <c r="B40" s="25">
        <v>50126578</v>
      </c>
      <c r="C40" s="25" t="s">
        <v>75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640</v>
      </c>
      <c r="H40" s="25"/>
    </row>
    <row r="41" customHeight="1" spans="1:8">
      <c r="A41" s="25" t="s">
        <v>642</v>
      </c>
      <c r="B41" s="25">
        <v>50126579</v>
      </c>
      <c r="C41" s="25" t="s">
        <v>68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640</v>
      </c>
      <c r="H41" s="25"/>
    </row>
    <row r="42" customHeight="1" spans="1:8">
      <c r="A42" s="25" t="s">
        <v>642</v>
      </c>
      <c r="B42" s="29">
        <v>50126580</v>
      </c>
      <c r="C42" s="29" t="s">
        <v>123</v>
      </c>
      <c r="D42" s="30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640</v>
      </c>
      <c r="H42" s="25"/>
    </row>
    <row r="43" customHeight="1" spans="1:8">
      <c r="A43" s="25" t="s">
        <v>642</v>
      </c>
      <c r="B43" s="25">
        <v>50126581</v>
      </c>
      <c r="C43" s="25" t="s">
        <v>74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640</v>
      </c>
      <c r="H43" s="25"/>
    </row>
    <row r="44" customHeight="1" spans="1:8">
      <c r="A44" s="25" t="s">
        <v>642</v>
      </c>
      <c r="B44" s="29">
        <v>50126582</v>
      </c>
      <c r="C44" s="29" t="s">
        <v>643</v>
      </c>
      <c r="D44" s="30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640</v>
      </c>
      <c r="H44" s="25"/>
    </row>
    <row r="45" customHeight="1" spans="1:8">
      <c r="A45" s="25" t="s">
        <v>642</v>
      </c>
      <c r="B45" s="25">
        <v>50126583</v>
      </c>
      <c r="C45" s="25" t="s">
        <v>32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640</v>
      </c>
      <c r="H45" s="25"/>
    </row>
    <row r="46" customHeight="1" spans="1:8">
      <c r="A46" s="25" t="s">
        <v>642</v>
      </c>
      <c r="B46" s="25">
        <v>50126584</v>
      </c>
      <c r="C46" s="25" t="s">
        <v>57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640</v>
      </c>
      <c r="H46" s="25"/>
    </row>
    <row r="47" customHeight="1" spans="1:8">
      <c r="A47" s="25" t="s">
        <v>642</v>
      </c>
      <c r="B47" s="25">
        <v>50130111</v>
      </c>
      <c r="C47" s="25" t="s">
        <v>49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640</v>
      </c>
      <c r="H47" s="25"/>
    </row>
    <row r="48" customHeight="1" spans="1:8">
      <c r="A48" s="25" t="s">
        <v>642</v>
      </c>
      <c r="B48" s="25">
        <v>50130112</v>
      </c>
      <c r="C48" s="25" t="s">
        <v>47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640</v>
      </c>
      <c r="H48" s="25"/>
    </row>
    <row r="49" customHeight="1" spans="1:8">
      <c r="A49" s="25" t="s">
        <v>642</v>
      </c>
      <c r="B49" s="25">
        <v>50130113</v>
      </c>
      <c r="C49" s="25" t="s">
        <v>46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640</v>
      </c>
      <c r="H49" s="25"/>
    </row>
    <row r="50" customHeight="1" spans="1:8">
      <c r="A50" s="25" t="s">
        <v>642</v>
      </c>
      <c r="B50" s="25">
        <v>50130114</v>
      </c>
      <c r="C50" s="25" t="s">
        <v>45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640</v>
      </c>
      <c r="H50" s="25"/>
    </row>
    <row r="51" customHeight="1" spans="1:8">
      <c r="A51" s="25" t="s">
        <v>642</v>
      </c>
      <c r="B51" s="25">
        <v>50130115</v>
      </c>
      <c r="C51" s="25" t="s">
        <v>62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640</v>
      </c>
      <c r="H51" s="25"/>
    </row>
    <row r="52" customHeight="1" spans="1:8">
      <c r="A52" s="25" t="s">
        <v>642</v>
      </c>
      <c r="B52" s="25">
        <v>50130116</v>
      </c>
      <c r="C52" s="25" t="s">
        <v>51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640</v>
      </c>
      <c r="H52" s="25"/>
    </row>
    <row r="53" customHeight="1" spans="1:8">
      <c r="A53" s="25" t="s">
        <v>642</v>
      </c>
      <c r="B53" s="25">
        <v>50130872</v>
      </c>
      <c r="C53" s="25" t="s">
        <v>63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640</v>
      </c>
      <c r="H53" s="25"/>
    </row>
    <row r="54" customHeight="1" spans="1:8">
      <c r="A54" s="25" t="s">
        <v>642</v>
      </c>
      <c r="B54" s="25">
        <v>50130873</v>
      </c>
      <c r="C54" s="25" t="s">
        <v>69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640</v>
      </c>
      <c r="H54" s="25"/>
    </row>
    <row r="55" customHeight="1" spans="1:8">
      <c r="A55" s="25" t="s">
        <v>642</v>
      </c>
      <c r="B55" s="25">
        <v>50130874</v>
      </c>
      <c r="C55" s="25" t="s">
        <v>61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640</v>
      </c>
      <c r="H55" s="25"/>
    </row>
    <row r="56" customHeight="1" spans="1:8">
      <c r="A56" s="25" t="s">
        <v>642</v>
      </c>
      <c r="B56" s="25">
        <v>50130875</v>
      </c>
      <c r="C56" s="25" t="s">
        <v>54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640</v>
      </c>
      <c r="H56" s="25"/>
    </row>
    <row r="57" customHeight="1" spans="1:8">
      <c r="A57" s="25" t="s">
        <v>642</v>
      </c>
      <c r="B57" s="25">
        <v>50130876</v>
      </c>
      <c r="C57" s="25" t="s">
        <v>67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640</v>
      </c>
      <c r="H57" s="25"/>
    </row>
    <row r="58" customHeight="1" spans="1:8">
      <c r="A58" s="25" t="s">
        <v>642</v>
      </c>
      <c r="B58" s="25">
        <v>50130877</v>
      </c>
      <c r="C58" s="25" t="s">
        <v>72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640</v>
      </c>
      <c r="H58" s="25"/>
    </row>
    <row r="59" customHeight="1" spans="1:8">
      <c r="A59" s="25" t="s">
        <v>642</v>
      </c>
      <c r="B59" s="25">
        <v>50130878</v>
      </c>
      <c r="C59" s="25" t="s">
        <v>40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640</v>
      </c>
      <c r="H59" s="25"/>
    </row>
    <row r="60" customHeight="1" spans="1:8">
      <c r="A60" s="25" t="s">
        <v>642</v>
      </c>
      <c r="B60" s="25">
        <v>50130879</v>
      </c>
      <c r="C60" s="25" t="s">
        <v>39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640</v>
      </c>
      <c r="H60" s="25"/>
    </row>
    <row r="61" customHeight="1" spans="1:8">
      <c r="A61" s="25" t="s">
        <v>642</v>
      </c>
      <c r="B61" s="25">
        <v>50130880</v>
      </c>
      <c r="C61" s="25" t="s">
        <v>55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640</v>
      </c>
      <c r="H61" s="25"/>
    </row>
    <row r="62" customHeight="1" spans="1:8">
      <c r="A62" s="25" t="s">
        <v>642</v>
      </c>
      <c r="B62" s="25">
        <v>50130881</v>
      </c>
      <c r="C62" s="25" t="s">
        <v>56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640</v>
      </c>
      <c r="H62" s="25"/>
    </row>
    <row r="63" customHeight="1" spans="1:8">
      <c r="A63" s="25" t="s">
        <v>642</v>
      </c>
      <c r="B63" s="25">
        <v>50130882</v>
      </c>
      <c r="C63" s="25" t="s">
        <v>58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640</v>
      </c>
      <c r="H63" s="25"/>
    </row>
    <row r="64" customHeight="1" spans="1:8">
      <c r="A64" s="25" t="s">
        <v>642</v>
      </c>
      <c r="B64" s="25">
        <v>50130883</v>
      </c>
      <c r="C64" s="25" t="s">
        <v>66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640</v>
      </c>
      <c r="H64" s="25"/>
    </row>
    <row r="65" customHeight="1" spans="1:8">
      <c r="A65" s="25" t="s">
        <v>642</v>
      </c>
      <c r="B65" s="25">
        <v>50130885</v>
      </c>
      <c r="C65" s="25" t="s">
        <v>65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640</v>
      </c>
      <c r="H65" s="25"/>
    </row>
    <row r="66" customHeight="1" spans="1:8">
      <c r="A66" s="25" t="s">
        <v>642</v>
      </c>
      <c r="B66" s="25">
        <v>50130886</v>
      </c>
      <c r="C66" s="25" t="s">
        <v>59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640</v>
      </c>
      <c r="H66" s="25"/>
    </row>
    <row r="67" customHeight="1" spans="1:8">
      <c r="A67" s="25" t="s">
        <v>642</v>
      </c>
      <c r="B67" s="25">
        <v>50130887</v>
      </c>
      <c r="C67" s="25" t="s">
        <v>71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640</v>
      </c>
      <c r="H67" s="25"/>
    </row>
    <row r="68" customHeight="1" spans="1:8">
      <c r="A68" s="25" t="s">
        <v>642</v>
      </c>
      <c r="B68" s="25">
        <v>50130888</v>
      </c>
      <c r="C68" s="25" t="s">
        <v>50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640</v>
      </c>
      <c r="H68" s="25"/>
    </row>
    <row r="69" customHeight="1" spans="1:8">
      <c r="A69" s="25" t="s">
        <v>642</v>
      </c>
      <c r="B69" s="25">
        <v>50130891</v>
      </c>
      <c r="C69" s="25" t="s">
        <v>60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640</v>
      </c>
      <c r="H69" s="25"/>
    </row>
    <row r="70" customHeight="1" spans="1:8">
      <c r="A70" s="25" t="s">
        <v>642</v>
      </c>
      <c r="B70" s="25">
        <v>50130893</v>
      </c>
      <c r="C70" s="25" t="s">
        <v>53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640</v>
      </c>
      <c r="H70" s="25"/>
    </row>
    <row r="71" customHeight="1" spans="1:8">
      <c r="A71" s="25" t="s">
        <v>353</v>
      </c>
      <c r="B71" s="25">
        <v>9874677700</v>
      </c>
      <c r="C71" s="25" t="s">
        <v>72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640</v>
      </c>
      <c r="H71" s="25"/>
    </row>
    <row r="72" customHeight="1" spans="1:8">
      <c r="A72" s="25" t="s">
        <v>353</v>
      </c>
      <c r="B72" s="25">
        <v>9874677701</v>
      </c>
      <c r="C72" s="25" t="s">
        <v>40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640</v>
      </c>
      <c r="H72" s="25"/>
    </row>
    <row r="73" customHeight="1" spans="1:8">
      <c r="A73" s="25" t="s">
        <v>353</v>
      </c>
      <c r="B73" s="25">
        <v>9874677702</v>
      </c>
      <c r="C73" s="25" t="s">
        <v>55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640</v>
      </c>
      <c r="H73" s="25"/>
    </row>
    <row r="74" customHeight="1" spans="1:8">
      <c r="A74" s="25" t="s">
        <v>353</v>
      </c>
      <c r="B74" s="25">
        <v>9874677703</v>
      </c>
      <c r="C74" s="25" t="s">
        <v>78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640</v>
      </c>
      <c r="H74" s="25"/>
    </row>
    <row r="75" customHeight="1" spans="1:8">
      <c r="A75" s="25" t="s">
        <v>353</v>
      </c>
      <c r="B75" s="25">
        <v>5003033823</v>
      </c>
      <c r="C75" s="25" t="s">
        <v>81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640</v>
      </c>
      <c r="H75" s="25"/>
    </row>
    <row r="76" customHeight="1" spans="1:8">
      <c r="A76" s="25" t="s">
        <v>353</v>
      </c>
      <c r="B76" s="25">
        <v>5003033808</v>
      </c>
      <c r="C76" s="25" t="s">
        <v>25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640</v>
      </c>
      <c r="H76" s="25"/>
    </row>
    <row r="77" customHeight="1" spans="1:8">
      <c r="A77" s="25" t="s">
        <v>353</v>
      </c>
      <c r="B77" s="25">
        <v>3441399442</v>
      </c>
      <c r="C77" s="25" t="s">
        <v>80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640</v>
      </c>
      <c r="H77" s="25"/>
    </row>
    <row r="78" customHeight="1" spans="1:8">
      <c r="A78" s="25" t="s">
        <v>353</v>
      </c>
      <c r="B78" s="25">
        <v>5003033819</v>
      </c>
      <c r="C78" s="25" t="s">
        <v>50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640</v>
      </c>
      <c r="H78" s="25"/>
    </row>
    <row r="79" customHeight="1" spans="1:8">
      <c r="A79" s="25" t="s">
        <v>353</v>
      </c>
      <c r="B79" s="25">
        <v>5006704925</v>
      </c>
      <c r="C79" s="25" t="s">
        <v>42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640</v>
      </c>
      <c r="H79" s="25"/>
    </row>
    <row r="80" customHeight="1" spans="1:8">
      <c r="A80" s="25" t="s">
        <v>353</v>
      </c>
      <c r="B80" s="25">
        <v>6000639284</v>
      </c>
      <c r="C80" s="25" t="s">
        <v>77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640</v>
      </c>
      <c r="H80" s="25"/>
    </row>
    <row r="81" customHeight="1" spans="1:8">
      <c r="A81" s="25" t="s">
        <v>353</v>
      </c>
      <c r="B81" s="25">
        <v>5003033807</v>
      </c>
      <c r="C81" s="25" t="s">
        <v>54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640</v>
      </c>
      <c r="H81" s="25"/>
    </row>
    <row r="82" customHeight="1" spans="1:8">
      <c r="A82" s="25" t="s">
        <v>353</v>
      </c>
      <c r="B82" s="25">
        <v>5003033876</v>
      </c>
      <c r="C82" s="25" t="s">
        <v>27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640</v>
      </c>
      <c r="H82" s="25"/>
    </row>
    <row r="83" customHeight="1" spans="1:8">
      <c r="A83" s="25" t="s">
        <v>353</v>
      </c>
      <c r="B83" s="25">
        <v>5003033846</v>
      </c>
      <c r="C83" s="25" t="s">
        <v>56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640</v>
      </c>
      <c r="H83" s="25"/>
    </row>
    <row r="84" customHeight="1" spans="1:8">
      <c r="A84" s="25" t="s">
        <v>353</v>
      </c>
      <c r="B84" s="25">
        <v>5003033855</v>
      </c>
      <c r="C84" s="25" t="s">
        <v>32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640</v>
      </c>
      <c r="H84" s="25"/>
    </row>
    <row r="85" customHeight="1" spans="1:8">
      <c r="A85" s="31" t="s">
        <v>516</v>
      </c>
      <c r="B85" s="32"/>
      <c r="C85" s="32"/>
      <c r="D85" s="16"/>
      <c r="E85" s="32"/>
      <c r="F85" s="32"/>
      <c r="G85" s="31" t="s">
        <v>644</v>
      </c>
      <c r="H85" s="32"/>
    </row>
    <row r="86" customHeight="1" spans="1:8">
      <c r="A86" s="31" t="s">
        <v>415</v>
      </c>
      <c r="B86" s="32"/>
      <c r="C86" s="32"/>
      <c r="D86" s="16"/>
      <c r="E86" s="32"/>
      <c r="F86" s="32"/>
      <c r="G86" s="31" t="s">
        <v>644</v>
      </c>
      <c r="H86" s="32"/>
    </row>
    <row r="87" customHeight="1" spans="1:8">
      <c r="A87" s="32"/>
      <c r="B87" s="32"/>
      <c r="C87" s="32"/>
      <c r="D87" s="13"/>
      <c r="E87" s="32"/>
      <c r="F87" s="32"/>
      <c r="G87" s="32"/>
      <c r="H87" s="32"/>
    </row>
    <row r="88" customHeight="1" spans="1:8">
      <c r="A88" s="32"/>
      <c r="B88" s="32"/>
      <c r="C88" s="32"/>
      <c r="D88" s="13"/>
      <c r="E88" s="32"/>
      <c r="F88" s="32"/>
      <c r="G88" s="32"/>
      <c r="H88" s="32"/>
    </row>
    <row r="89" customHeight="1" spans="1:8">
      <c r="A89" s="32"/>
      <c r="B89" s="32"/>
      <c r="C89" s="32"/>
      <c r="D89" s="13"/>
      <c r="E89" s="32"/>
      <c r="F89" s="32"/>
      <c r="G89" s="32"/>
      <c r="H89" s="32"/>
    </row>
    <row r="90" customHeight="1" spans="1:8">
      <c r="A90" s="32"/>
      <c r="B90" s="32"/>
      <c r="C90" s="32"/>
      <c r="D90" s="13"/>
      <c r="E90" s="32"/>
      <c r="F90" s="32"/>
      <c r="G90" s="32"/>
      <c r="H90" s="32"/>
    </row>
    <row r="91" customHeight="1" spans="1:8">
      <c r="A91" s="32"/>
      <c r="B91" s="32"/>
      <c r="C91" s="32"/>
      <c r="D91" s="13"/>
      <c r="E91" s="32"/>
      <c r="F91" s="32"/>
      <c r="G91" s="32"/>
      <c r="H91" s="32"/>
    </row>
    <row r="92" customHeight="1" spans="1:8">
      <c r="A92" s="32"/>
      <c r="B92" s="32"/>
      <c r="C92" s="32"/>
      <c r="D92" s="13"/>
      <c r="E92" s="32"/>
      <c r="F92" s="32"/>
      <c r="G92" s="32"/>
      <c r="H92" s="32"/>
    </row>
    <row r="93" customHeight="1" spans="1:8">
      <c r="A93" s="32"/>
      <c r="B93" s="32"/>
      <c r="C93" s="32"/>
      <c r="D93" s="13"/>
      <c r="E93" s="32"/>
      <c r="F93" s="32"/>
      <c r="G93" s="32"/>
      <c r="H93" s="32"/>
    </row>
    <row r="94" customHeight="1" spans="1:8">
      <c r="A94" s="32"/>
      <c r="B94" s="32"/>
      <c r="C94" s="32"/>
      <c r="D94" s="13"/>
      <c r="E94" s="32"/>
      <c r="F94" s="32"/>
      <c r="G94" s="32"/>
      <c r="H94" s="32"/>
    </row>
    <row r="95" customHeight="1" spans="1:8">
      <c r="A95" s="32"/>
      <c r="B95" s="32"/>
      <c r="C95" s="32"/>
      <c r="D95" s="13"/>
      <c r="E95" s="32"/>
      <c r="F95" s="32"/>
      <c r="G95" s="32"/>
      <c r="H95" s="32"/>
    </row>
    <row r="96" customHeight="1" spans="1:8">
      <c r="A96" s="32"/>
      <c r="B96" s="32"/>
      <c r="C96" s="32"/>
      <c r="D96" s="13"/>
      <c r="E96" s="32"/>
      <c r="F96" s="32"/>
      <c r="G96" s="32"/>
      <c r="H96" s="32"/>
    </row>
    <row r="97" customHeight="1" spans="1:8">
      <c r="A97" s="32"/>
      <c r="B97" s="32"/>
      <c r="C97" s="32"/>
      <c r="D97" s="13"/>
      <c r="E97" s="32"/>
      <c r="F97" s="32"/>
      <c r="G97" s="32"/>
      <c r="H97" s="32"/>
    </row>
    <row r="98" customHeight="1" spans="1:8">
      <c r="A98" s="32"/>
      <c r="B98" s="32"/>
      <c r="C98" s="32"/>
      <c r="D98" s="13"/>
      <c r="E98" s="32"/>
      <c r="F98" s="32"/>
      <c r="G98" s="32"/>
      <c r="H98" s="32"/>
    </row>
    <row r="99" customHeight="1" spans="1:8">
      <c r="A99" s="32"/>
      <c r="B99" s="32"/>
      <c r="C99" s="32"/>
      <c r="D99" s="13"/>
      <c r="E99" s="32"/>
      <c r="F99" s="32"/>
      <c r="G99" s="32"/>
      <c r="H99" s="32"/>
    </row>
    <row r="100" customHeight="1" spans="1:8">
      <c r="A100" s="32"/>
      <c r="B100" s="32"/>
      <c r="C100" s="32"/>
      <c r="D100" s="13"/>
      <c r="E100" s="32"/>
      <c r="F100" s="32"/>
      <c r="G100" s="32"/>
      <c r="H100" s="32"/>
    </row>
    <row r="101" customHeight="1" spans="1:8">
      <c r="A101" s="32"/>
      <c r="B101" s="32"/>
      <c r="C101" s="32"/>
      <c r="D101" s="13"/>
      <c r="E101" s="32"/>
      <c r="F101" s="32"/>
      <c r="G101" s="32"/>
      <c r="H101" s="32"/>
    </row>
    <row r="102" customHeight="1" spans="1:8">
      <c r="A102" s="32"/>
      <c r="B102" s="32"/>
      <c r="C102" s="32"/>
      <c r="D102" s="13"/>
      <c r="E102" s="32"/>
      <c r="F102" s="32"/>
      <c r="G102" s="32"/>
      <c r="H102" s="32"/>
    </row>
    <row r="103" customHeight="1" spans="1:8">
      <c r="A103" s="32"/>
      <c r="B103" s="32"/>
      <c r="C103" s="32"/>
      <c r="E103" s="32"/>
      <c r="F103" s="32"/>
      <c r="G103" s="32"/>
      <c r="H103" s="32"/>
    </row>
    <row r="104" customHeight="1" spans="1:8">
      <c r="A104" s="32"/>
      <c r="B104" s="32"/>
      <c r="C104" s="32"/>
      <c r="E104" s="32"/>
      <c r="F104" s="32"/>
      <c r="G104" s="32"/>
      <c r="H104" s="32"/>
    </row>
    <row r="105" customHeight="1" spans="1:8">
      <c r="A105" s="32"/>
      <c r="B105" s="32"/>
      <c r="C105" s="32"/>
      <c r="E105" s="32"/>
      <c r="F105" s="32"/>
      <c r="G105" s="32"/>
      <c r="H105" s="32"/>
    </row>
    <row r="106" customHeight="1" spans="1:8">
      <c r="A106" s="32"/>
      <c r="B106" s="32"/>
      <c r="C106" s="32"/>
      <c r="E106" s="32"/>
      <c r="F106" s="32"/>
      <c r="G106" s="32"/>
      <c r="H106" s="32"/>
    </row>
    <row r="107" customHeight="1" spans="1:8">
      <c r="A107" s="32"/>
      <c r="B107" s="32"/>
      <c r="C107" s="32"/>
      <c r="E107" s="32"/>
      <c r="F107" s="32"/>
      <c r="G107" s="32"/>
      <c r="H107" s="32"/>
    </row>
    <row r="108" customHeight="1" spans="1:8">
      <c r="A108" s="32"/>
      <c r="B108" s="32"/>
      <c r="C108" s="32"/>
      <c r="E108" s="32"/>
      <c r="F108" s="32"/>
      <c r="G108" s="32"/>
      <c r="H108" s="32"/>
    </row>
    <row r="109" customHeight="1" spans="1:8">
      <c r="A109" s="32"/>
      <c r="B109" s="32"/>
      <c r="C109" s="32"/>
      <c r="E109" s="32"/>
      <c r="F109" s="32"/>
      <c r="G109" s="32"/>
      <c r="H109" s="32"/>
    </row>
    <row r="110" customHeight="1" spans="1:8">
      <c r="A110" s="32"/>
      <c r="B110" s="32"/>
      <c r="C110" s="32"/>
      <c r="E110" s="32"/>
      <c r="F110" s="32"/>
      <c r="G110" s="32"/>
      <c r="H110" s="32"/>
    </row>
    <row r="111" customHeight="1" spans="1:8">
      <c r="A111" s="32"/>
      <c r="B111" s="32"/>
      <c r="C111" s="32"/>
      <c r="E111" s="32"/>
      <c r="F111" s="32"/>
      <c r="G111" s="32"/>
      <c r="H111" s="32"/>
    </row>
    <row r="112" customHeight="1" spans="1:8">
      <c r="A112" s="32"/>
      <c r="B112" s="32"/>
      <c r="C112" s="32"/>
      <c r="E112" s="32"/>
      <c r="F112" s="32"/>
      <c r="G112" s="32"/>
      <c r="H112" s="32"/>
    </row>
    <row r="113" customHeight="1" spans="1:8">
      <c r="A113" s="32"/>
      <c r="B113" s="32"/>
      <c r="C113" s="32"/>
      <c r="E113" s="32"/>
      <c r="F113" s="32"/>
      <c r="G113" s="32"/>
      <c r="H113" s="32"/>
    </row>
    <row r="114" customHeight="1" spans="1:8">
      <c r="A114" s="32"/>
      <c r="B114" s="32"/>
      <c r="C114" s="32"/>
      <c r="E114" s="32"/>
      <c r="F114" s="32"/>
      <c r="G114" s="32"/>
      <c r="H114" s="32"/>
    </row>
    <row r="115" customHeight="1" spans="1:8">
      <c r="A115" s="32"/>
      <c r="B115" s="32"/>
      <c r="C115" s="32"/>
      <c r="E115" s="32"/>
      <c r="F115" s="32"/>
      <c r="G115" s="32"/>
      <c r="H115" s="32"/>
    </row>
    <row r="116" customHeight="1" spans="1:8">
      <c r="A116" s="32"/>
      <c r="B116" s="32"/>
      <c r="C116" s="32"/>
      <c r="E116" s="32"/>
      <c r="F116" s="32"/>
      <c r="G116" s="32"/>
      <c r="H116" s="32"/>
    </row>
    <row r="117" customHeight="1" spans="1:8">
      <c r="A117" s="32"/>
      <c r="B117" s="32"/>
      <c r="C117" s="32"/>
      <c r="E117" s="32"/>
      <c r="F117" s="32"/>
      <c r="G117" s="32"/>
      <c r="H117" s="32"/>
    </row>
    <row r="118" customHeight="1" spans="1:8">
      <c r="A118" s="32"/>
      <c r="B118" s="32"/>
      <c r="C118" s="32"/>
      <c r="E118" s="32"/>
      <c r="F118" s="32"/>
      <c r="G118" s="32"/>
      <c r="H118" s="32"/>
    </row>
    <row r="119" customHeight="1" spans="1:8">
      <c r="A119" s="32"/>
      <c r="B119" s="32"/>
      <c r="C119" s="32"/>
      <c r="E119" s="32"/>
      <c r="F119" s="32"/>
      <c r="G119" s="32"/>
      <c r="H119" s="32"/>
    </row>
    <row r="120" customHeight="1" spans="1:8">
      <c r="A120" s="32"/>
      <c r="B120" s="32"/>
      <c r="C120" s="32"/>
      <c r="E120" s="32"/>
      <c r="F120" s="32"/>
      <c r="G120" s="32"/>
      <c r="H120" s="32"/>
    </row>
    <row r="121" customHeight="1" spans="1:8">
      <c r="A121" s="32"/>
      <c r="B121" s="32"/>
      <c r="C121" s="32"/>
      <c r="E121" s="32"/>
      <c r="F121" s="32"/>
      <c r="G121" s="32"/>
      <c r="H121" s="32"/>
    </row>
    <row r="122" customHeight="1" spans="1:8">
      <c r="A122" s="32"/>
      <c r="B122" s="32"/>
      <c r="C122" s="32"/>
      <c r="E122" s="32"/>
      <c r="F122" s="32"/>
      <c r="G122" s="32"/>
      <c r="H122" s="32"/>
    </row>
    <row r="123" customHeight="1" spans="1:8">
      <c r="A123" s="32"/>
      <c r="B123" s="32"/>
      <c r="C123" s="32"/>
      <c r="E123" s="32"/>
      <c r="F123" s="32"/>
      <c r="G123" s="32"/>
      <c r="H123" s="32"/>
    </row>
    <row r="124" customHeight="1" spans="1:8">
      <c r="A124" s="32"/>
      <c r="B124" s="32"/>
      <c r="C124" s="32"/>
      <c r="E124" s="32"/>
      <c r="F124" s="32"/>
      <c r="G124" s="32"/>
      <c r="H124" s="32"/>
    </row>
    <row r="125" customHeight="1" spans="1:8">
      <c r="A125" s="32"/>
      <c r="B125" s="32"/>
      <c r="C125" s="32"/>
      <c r="E125" s="32"/>
      <c r="F125" s="32"/>
      <c r="G125" s="32"/>
      <c r="H125" s="32"/>
    </row>
    <row r="126" customHeight="1" spans="1:8">
      <c r="A126" s="32"/>
      <c r="B126" s="32"/>
      <c r="C126" s="32"/>
      <c r="E126" s="32"/>
      <c r="F126" s="32"/>
      <c r="G126" s="32"/>
      <c r="H126" s="32"/>
    </row>
    <row r="127" customHeight="1" spans="1:8">
      <c r="A127" s="32"/>
      <c r="B127" s="32"/>
      <c r="C127" s="32"/>
      <c r="E127" s="32"/>
      <c r="F127" s="32"/>
      <c r="G127" s="32"/>
      <c r="H127" s="32"/>
    </row>
    <row r="128" customHeight="1" spans="1:8">
      <c r="A128" s="32"/>
      <c r="B128" s="32"/>
      <c r="C128" s="32"/>
      <c r="E128" s="32"/>
      <c r="F128" s="32"/>
      <c r="G128" s="32"/>
      <c r="H128" s="32"/>
    </row>
    <row r="129" customHeight="1" spans="1:8">
      <c r="A129" s="32"/>
      <c r="B129" s="32"/>
      <c r="C129" s="32"/>
      <c r="E129" s="32"/>
      <c r="F129" s="32"/>
      <c r="G129" s="32"/>
      <c r="H129" s="32"/>
    </row>
    <row r="130" customHeight="1" spans="1:8">
      <c r="A130" s="32"/>
      <c r="B130" s="32"/>
      <c r="C130" s="32"/>
      <c r="E130" s="32"/>
      <c r="F130" s="32"/>
      <c r="G130" s="32"/>
      <c r="H130" s="32"/>
    </row>
    <row r="131" customHeight="1" spans="1:8">
      <c r="A131" s="32"/>
      <c r="B131" s="32"/>
      <c r="C131" s="32"/>
      <c r="E131" s="32"/>
      <c r="F131" s="32"/>
      <c r="G131" s="32"/>
      <c r="H131" s="32"/>
    </row>
    <row r="132" customHeight="1" spans="1:8">
      <c r="A132" s="32"/>
      <c r="B132" s="32"/>
      <c r="C132" s="32"/>
      <c r="E132" s="32"/>
      <c r="F132" s="32"/>
      <c r="G132" s="32"/>
      <c r="H132" s="32"/>
    </row>
    <row r="133" customHeight="1" spans="1:8">
      <c r="A133" s="32"/>
      <c r="B133" s="32"/>
      <c r="C133" s="32"/>
      <c r="E133" s="32"/>
      <c r="F133" s="32"/>
      <c r="G133" s="32"/>
      <c r="H133" s="32"/>
    </row>
    <row r="134" customHeight="1" spans="1:8">
      <c r="A134" s="32"/>
      <c r="B134" s="32"/>
      <c r="C134" s="32"/>
      <c r="E134" s="32"/>
      <c r="F134" s="32"/>
      <c r="G134" s="32"/>
      <c r="H134" s="32"/>
    </row>
    <row r="135" customHeight="1" spans="1:8">
      <c r="A135" s="32"/>
      <c r="B135" s="32"/>
      <c r="C135" s="32"/>
      <c r="E135" s="32"/>
      <c r="F135" s="32"/>
      <c r="G135" s="32"/>
      <c r="H135" s="32"/>
    </row>
    <row r="136" customHeight="1" spans="1:8">
      <c r="A136" s="32"/>
      <c r="B136" s="32"/>
      <c r="C136" s="32"/>
      <c r="E136" s="32"/>
      <c r="F136" s="32"/>
      <c r="G136" s="32"/>
      <c r="H136" s="32"/>
    </row>
    <row r="137" customHeight="1" spans="1:8">
      <c r="A137" s="32"/>
      <c r="B137" s="32"/>
      <c r="C137" s="32"/>
      <c r="E137" s="32"/>
      <c r="F137" s="32"/>
      <c r="G137" s="32"/>
      <c r="H137" s="32"/>
    </row>
    <row r="138" customHeight="1" spans="1:8">
      <c r="A138" s="32"/>
      <c r="B138" s="32"/>
      <c r="C138" s="32"/>
      <c r="E138" s="32"/>
      <c r="F138" s="32"/>
      <c r="G138" s="32"/>
      <c r="H138" s="32"/>
    </row>
    <row r="139" customHeight="1" spans="1:8">
      <c r="A139" s="32"/>
      <c r="B139" s="32"/>
      <c r="C139" s="32"/>
      <c r="E139" s="32"/>
      <c r="F139" s="32"/>
      <c r="G139" s="32"/>
      <c r="H139" s="32"/>
    </row>
    <row r="140" customHeight="1" spans="1:8">
      <c r="A140" s="32"/>
      <c r="B140" s="32"/>
      <c r="C140" s="32"/>
      <c r="E140" s="32"/>
      <c r="F140" s="32"/>
      <c r="G140" s="32"/>
      <c r="H140" s="32"/>
    </row>
    <row r="141" customHeight="1" spans="1:8">
      <c r="A141" s="32"/>
      <c r="B141" s="32"/>
      <c r="C141" s="32"/>
      <c r="E141" s="32"/>
      <c r="F141" s="32"/>
      <c r="G141" s="32"/>
      <c r="H141" s="32"/>
    </row>
    <row r="142" customHeight="1" spans="1:8">
      <c r="A142" s="32"/>
      <c r="B142" s="32"/>
      <c r="C142" s="32"/>
      <c r="E142" s="32"/>
      <c r="F142" s="32"/>
      <c r="G142" s="32"/>
      <c r="H142" s="32"/>
    </row>
    <row r="143" customHeight="1" spans="1:8">
      <c r="A143" s="32"/>
      <c r="B143" s="32"/>
      <c r="C143" s="32"/>
      <c r="E143" s="32"/>
      <c r="F143" s="32"/>
      <c r="G143" s="32"/>
      <c r="H143" s="32"/>
    </row>
    <row r="144" customHeight="1" spans="1:8">
      <c r="A144" s="32"/>
      <c r="B144" s="32"/>
      <c r="C144" s="32"/>
      <c r="E144" s="32"/>
      <c r="F144" s="32"/>
      <c r="G144" s="32"/>
      <c r="H144" s="32"/>
    </row>
    <row r="145" customHeight="1" spans="1:8">
      <c r="A145" s="32"/>
      <c r="B145" s="32"/>
      <c r="C145" s="32"/>
      <c r="E145" s="32"/>
      <c r="F145" s="32"/>
      <c r="G145" s="32"/>
      <c r="H145" s="32"/>
    </row>
    <row r="146" customHeight="1" spans="1:8">
      <c r="A146" s="32"/>
      <c r="B146" s="32"/>
      <c r="C146" s="32"/>
      <c r="E146" s="32"/>
      <c r="F146" s="32"/>
      <c r="G146" s="32"/>
      <c r="H146" s="32"/>
    </row>
    <row r="147" customHeight="1" spans="1:8">
      <c r="A147" s="32"/>
      <c r="B147" s="32"/>
      <c r="C147" s="32"/>
      <c r="E147" s="32"/>
      <c r="F147" s="32"/>
      <c r="G147" s="32"/>
      <c r="H147" s="32"/>
    </row>
    <row r="148" customHeight="1" spans="1:8">
      <c r="A148" s="32"/>
      <c r="B148" s="32"/>
      <c r="C148" s="32"/>
      <c r="E148" s="32"/>
      <c r="F148" s="32"/>
      <c r="G148" s="32"/>
      <c r="H148" s="32"/>
    </row>
    <row r="149" customHeight="1" spans="1:8">
      <c r="A149" s="32"/>
      <c r="B149" s="32"/>
      <c r="C149" s="32"/>
      <c r="E149" s="32"/>
      <c r="F149" s="32"/>
      <c r="G149" s="32"/>
      <c r="H149" s="32"/>
    </row>
    <row r="150" customHeight="1" spans="1:8">
      <c r="A150" s="32"/>
      <c r="B150" s="32"/>
      <c r="C150" s="32"/>
      <c r="E150" s="32"/>
      <c r="F150" s="32"/>
      <c r="G150" s="32"/>
      <c r="H150" s="32"/>
    </row>
    <row r="151" customHeight="1" spans="1:8">
      <c r="A151" s="32"/>
      <c r="B151" s="32"/>
      <c r="C151" s="32"/>
      <c r="E151" s="32"/>
      <c r="F151" s="32"/>
      <c r="G151" s="32"/>
      <c r="H151" s="32"/>
    </row>
    <row r="152" customHeight="1" spans="1:8">
      <c r="A152" s="32"/>
      <c r="B152" s="32"/>
      <c r="C152" s="32"/>
      <c r="E152" s="32"/>
      <c r="F152" s="32"/>
      <c r="G152" s="32"/>
      <c r="H152" s="32"/>
    </row>
    <row r="153" customHeight="1" spans="1:8">
      <c r="A153" s="32"/>
      <c r="B153" s="32"/>
      <c r="C153" s="32"/>
      <c r="E153" s="32"/>
      <c r="F153" s="32"/>
      <c r="G153" s="32"/>
      <c r="H153" s="32"/>
    </row>
    <row r="154" customHeight="1" spans="1:8">
      <c r="A154" s="32"/>
      <c r="B154" s="32"/>
      <c r="C154" s="32"/>
      <c r="E154" s="32"/>
      <c r="F154" s="32"/>
      <c r="G154" s="32"/>
      <c r="H154" s="32"/>
    </row>
    <row r="155" customHeight="1" spans="1:8">
      <c r="A155" s="32"/>
      <c r="B155" s="32"/>
      <c r="C155" s="32"/>
      <c r="E155" s="32"/>
      <c r="F155" s="32"/>
      <c r="G155" s="32"/>
      <c r="H155" s="32"/>
    </row>
    <row r="156" customHeight="1" spans="1:8">
      <c r="A156" s="32"/>
      <c r="B156" s="32"/>
      <c r="C156" s="32"/>
      <c r="E156" s="32"/>
      <c r="F156" s="32"/>
      <c r="G156" s="32"/>
      <c r="H156" s="32"/>
    </row>
    <row r="157" customHeight="1" spans="1:8">
      <c r="A157" s="32"/>
      <c r="B157" s="32"/>
      <c r="C157" s="32"/>
      <c r="E157" s="32"/>
      <c r="F157" s="32"/>
      <c r="G157" s="32"/>
      <c r="H157" s="32"/>
    </row>
    <row r="158" customHeight="1" spans="1:8">
      <c r="A158" s="32"/>
      <c r="B158" s="32"/>
      <c r="C158" s="32"/>
      <c r="E158" s="32"/>
      <c r="F158" s="32"/>
      <c r="G158" s="32"/>
      <c r="H158" s="32"/>
    </row>
    <row r="159" customHeight="1" spans="1:8">
      <c r="A159" s="32"/>
      <c r="B159" s="32"/>
      <c r="C159" s="32"/>
      <c r="E159" s="32"/>
      <c r="F159" s="32"/>
      <c r="G159" s="32"/>
      <c r="H159" s="32"/>
    </row>
    <row r="160" customHeight="1" spans="1:8">
      <c r="A160" s="32"/>
      <c r="B160" s="32"/>
      <c r="C160" s="32"/>
      <c r="E160" s="32"/>
      <c r="F160" s="32"/>
      <c r="G160" s="32"/>
      <c r="H160" s="32"/>
    </row>
    <row r="161" customHeight="1" spans="1:8">
      <c r="A161" s="32"/>
      <c r="B161" s="32"/>
      <c r="C161" s="32"/>
      <c r="E161" s="32"/>
      <c r="F161" s="32"/>
      <c r="G161" s="32"/>
      <c r="H161" s="32"/>
    </row>
    <row r="162" customHeight="1" spans="1:8">
      <c r="A162" s="32"/>
      <c r="B162" s="32"/>
      <c r="C162" s="32"/>
      <c r="E162" s="32"/>
      <c r="F162" s="32"/>
      <c r="G162" s="32"/>
      <c r="H162" s="32"/>
    </row>
    <row r="163" customHeight="1" spans="1:8">
      <c r="A163" s="32"/>
      <c r="B163" s="32"/>
      <c r="C163" s="32"/>
      <c r="E163" s="32"/>
      <c r="F163" s="32"/>
      <c r="G163" s="32"/>
      <c r="H163" s="32"/>
    </row>
    <row r="164" customHeight="1" spans="1:8">
      <c r="A164" s="32"/>
      <c r="B164" s="32"/>
      <c r="C164" s="32"/>
      <c r="E164" s="32"/>
      <c r="F164" s="32"/>
      <c r="G164" s="32"/>
      <c r="H164" s="32"/>
    </row>
    <row r="165" customHeight="1" spans="1:8">
      <c r="A165" s="32"/>
      <c r="B165" s="32"/>
      <c r="C165" s="32"/>
      <c r="E165" s="32"/>
      <c r="F165" s="32"/>
      <c r="G165" s="32"/>
      <c r="H165" s="32"/>
    </row>
    <row r="166" customHeight="1" spans="1:8">
      <c r="A166" s="32"/>
      <c r="B166" s="32"/>
      <c r="C166" s="32"/>
      <c r="E166" s="32"/>
      <c r="F166" s="32"/>
      <c r="G166" s="32"/>
      <c r="H166" s="32"/>
    </row>
    <row r="167" customHeight="1" spans="1:8">
      <c r="A167" s="32"/>
      <c r="B167" s="32"/>
      <c r="C167" s="32"/>
      <c r="E167" s="32"/>
      <c r="F167" s="32"/>
      <c r="G167" s="32"/>
      <c r="H167" s="32"/>
    </row>
    <row r="168" customHeight="1" spans="1:8">
      <c r="A168" s="32"/>
      <c r="B168" s="32"/>
      <c r="C168" s="32"/>
      <c r="E168" s="32"/>
      <c r="F168" s="32"/>
      <c r="G168" s="32"/>
      <c r="H168" s="32"/>
    </row>
    <row r="169" customHeight="1" spans="1:8">
      <c r="A169" s="32"/>
      <c r="B169" s="32"/>
      <c r="C169" s="32"/>
      <c r="E169" s="32"/>
      <c r="F169" s="32"/>
      <c r="G169" s="32"/>
      <c r="H169" s="32"/>
    </row>
    <row r="170" customHeight="1" spans="1:8">
      <c r="A170" s="32"/>
      <c r="B170" s="32"/>
      <c r="C170" s="32"/>
      <c r="E170" s="32"/>
      <c r="F170" s="32"/>
      <c r="G170" s="32"/>
      <c r="H170" s="32"/>
    </row>
    <row r="171" customHeight="1" spans="1:8">
      <c r="A171" s="32"/>
      <c r="B171" s="32"/>
      <c r="C171" s="32"/>
      <c r="E171" s="32"/>
      <c r="F171" s="32"/>
      <c r="G171" s="32"/>
      <c r="H171" s="32"/>
    </row>
    <row r="172" customHeight="1" spans="1:8">
      <c r="A172" s="32"/>
      <c r="B172" s="32"/>
      <c r="C172" s="32"/>
      <c r="E172" s="32"/>
      <c r="F172" s="32"/>
      <c r="G172" s="32"/>
      <c r="H172" s="32"/>
    </row>
    <row r="173" customHeight="1" spans="1:8">
      <c r="A173" s="32"/>
      <c r="B173" s="32"/>
      <c r="C173" s="32"/>
      <c r="E173" s="32"/>
      <c r="F173" s="32"/>
      <c r="G173" s="32"/>
      <c r="H173" s="32"/>
    </row>
    <row r="174" customHeight="1" spans="1:8">
      <c r="A174" s="32"/>
      <c r="B174" s="32"/>
      <c r="C174" s="32"/>
      <c r="E174" s="32"/>
      <c r="F174" s="32"/>
      <c r="G174" s="32"/>
      <c r="H174" s="32"/>
    </row>
    <row r="175" customHeight="1" spans="1:8">
      <c r="A175" s="32"/>
      <c r="B175" s="32"/>
      <c r="C175" s="32"/>
      <c r="E175" s="32"/>
      <c r="F175" s="32"/>
      <c r="G175" s="32"/>
      <c r="H175" s="32"/>
    </row>
    <row r="176" customHeight="1" spans="1:8">
      <c r="A176" s="32"/>
      <c r="B176" s="32"/>
      <c r="C176" s="32"/>
      <c r="E176" s="32"/>
      <c r="F176" s="32"/>
      <c r="G176" s="32"/>
      <c r="H176" s="32"/>
    </row>
    <row r="177" customHeight="1" spans="1:8">
      <c r="A177" s="32"/>
      <c r="B177" s="32"/>
      <c r="C177" s="32"/>
      <c r="E177" s="32"/>
      <c r="F177" s="32"/>
      <c r="G177" s="32"/>
      <c r="H177" s="32"/>
    </row>
    <row r="178" customHeight="1" spans="1:8">
      <c r="A178" s="32"/>
      <c r="B178" s="32"/>
      <c r="C178" s="32"/>
      <c r="E178" s="32"/>
      <c r="F178" s="32"/>
      <c r="G178" s="32"/>
      <c r="H178" s="32"/>
    </row>
    <row r="179" customHeight="1" spans="1:8">
      <c r="A179" s="32"/>
      <c r="B179" s="32"/>
      <c r="C179" s="32"/>
      <c r="E179" s="32"/>
      <c r="F179" s="32"/>
      <c r="G179" s="32"/>
      <c r="H179" s="32"/>
    </row>
    <row r="180" customHeight="1" spans="1:8">
      <c r="A180" s="32"/>
      <c r="B180" s="32"/>
      <c r="C180" s="32"/>
      <c r="E180" s="32"/>
      <c r="F180" s="32"/>
      <c r="G180" s="32"/>
      <c r="H180" s="32"/>
    </row>
    <row r="181" customHeight="1" spans="1:8">
      <c r="A181" s="32"/>
      <c r="B181" s="32"/>
      <c r="C181" s="32"/>
      <c r="E181" s="32"/>
      <c r="F181" s="32"/>
      <c r="G181" s="32"/>
      <c r="H181" s="32"/>
    </row>
    <row r="182" customHeight="1" spans="1:8">
      <c r="A182" s="32"/>
      <c r="B182" s="32"/>
      <c r="C182" s="32"/>
      <c r="E182" s="32"/>
      <c r="F182" s="32"/>
      <c r="G182" s="32"/>
      <c r="H182" s="32"/>
    </row>
    <row r="183" customHeight="1" spans="1:8">
      <c r="A183" s="32"/>
      <c r="B183" s="32"/>
      <c r="C183" s="32"/>
      <c r="E183" s="32"/>
      <c r="F183" s="32"/>
      <c r="G183" s="32"/>
      <c r="H183" s="32"/>
    </row>
    <row r="184" customHeight="1" spans="1:8">
      <c r="A184" s="32"/>
      <c r="B184" s="32"/>
      <c r="C184" s="32"/>
      <c r="E184" s="32"/>
      <c r="F184" s="32"/>
      <c r="G184" s="32"/>
      <c r="H184" s="32"/>
    </row>
    <row r="185" customHeight="1" spans="1:8">
      <c r="A185" s="32"/>
      <c r="B185" s="32"/>
      <c r="C185" s="32"/>
      <c r="E185" s="32"/>
      <c r="F185" s="32"/>
      <c r="G185" s="32"/>
      <c r="H185" s="32"/>
    </row>
    <row r="186" customHeight="1" spans="1:8">
      <c r="A186" s="32"/>
      <c r="B186" s="32"/>
      <c r="C186" s="32"/>
      <c r="E186" s="32"/>
      <c r="F186" s="32"/>
      <c r="G186" s="32"/>
      <c r="H186" s="32"/>
    </row>
    <row r="187" customHeight="1" spans="1:8">
      <c r="A187" s="32"/>
      <c r="B187" s="32"/>
      <c r="C187" s="32"/>
      <c r="E187" s="32"/>
      <c r="F187" s="32"/>
      <c r="G187" s="32"/>
      <c r="H187" s="32"/>
    </row>
    <row r="188" customHeight="1" spans="1:8">
      <c r="A188" s="32"/>
      <c r="B188" s="32"/>
      <c r="C188" s="32"/>
      <c r="E188" s="32"/>
      <c r="F188" s="32"/>
      <c r="G188" s="32"/>
      <c r="H188" s="32"/>
    </row>
    <row r="189" customHeight="1" spans="1:8">
      <c r="A189" s="32"/>
      <c r="B189" s="32"/>
      <c r="C189" s="32"/>
      <c r="E189" s="32"/>
      <c r="F189" s="32"/>
      <c r="G189" s="32"/>
      <c r="H189" s="32"/>
    </row>
    <row r="190" customHeight="1" spans="1:8">
      <c r="A190" s="32"/>
      <c r="B190" s="32"/>
      <c r="C190" s="32"/>
      <c r="E190" s="32"/>
      <c r="F190" s="32"/>
      <c r="G190" s="32"/>
      <c r="H190" s="32"/>
    </row>
    <row r="191" customHeight="1" spans="1:8">
      <c r="A191" s="32"/>
      <c r="B191" s="32"/>
      <c r="C191" s="32"/>
      <c r="E191" s="32"/>
      <c r="F191" s="32"/>
      <c r="G191" s="32"/>
      <c r="H191" s="32"/>
    </row>
    <row r="192" customHeight="1" spans="1:8">
      <c r="A192" s="32"/>
      <c r="B192" s="32"/>
      <c r="C192" s="32"/>
      <c r="E192" s="32"/>
      <c r="F192" s="32"/>
      <c r="G192" s="32"/>
      <c r="H192" s="32"/>
    </row>
    <row r="193" customHeight="1" spans="1:8">
      <c r="A193" s="32"/>
      <c r="B193" s="32"/>
      <c r="C193" s="32"/>
      <c r="E193" s="32"/>
      <c r="F193" s="32"/>
      <c r="G193" s="32"/>
      <c r="H193" s="32"/>
    </row>
    <row r="194" customHeight="1" spans="1:8">
      <c r="A194" s="32"/>
      <c r="B194" s="32"/>
      <c r="C194" s="32"/>
      <c r="E194" s="32"/>
      <c r="F194" s="32"/>
      <c r="G194" s="32"/>
      <c r="H194" s="32"/>
    </row>
    <row r="195" customHeight="1" spans="1:8">
      <c r="A195" s="32"/>
      <c r="B195" s="32"/>
      <c r="C195" s="32"/>
      <c r="E195" s="32"/>
      <c r="F195" s="32"/>
      <c r="G195" s="32"/>
      <c r="H195" s="32"/>
    </row>
    <row r="196" customHeight="1" spans="1:8">
      <c r="A196" s="32"/>
      <c r="B196" s="32"/>
      <c r="C196" s="32"/>
      <c r="E196" s="32"/>
      <c r="F196" s="32"/>
      <c r="G196" s="32"/>
      <c r="H196" s="32"/>
    </row>
    <row r="197" customHeight="1" spans="1:8">
      <c r="A197" s="32"/>
      <c r="B197" s="32"/>
      <c r="C197" s="32"/>
      <c r="E197" s="32"/>
      <c r="F197" s="32"/>
      <c r="G197" s="32"/>
      <c r="H197" s="32"/>
    </row>
    <row r="198" customHeight="1" spans="1:8">
      <c r="A198" s="32"/>
      <c r="B198" s="32"/>
      <c r="C198" s="32"/>
      <c r="E198" s="32"/>
      <c r="F198" s="32"/>
      <c r="G198" s="32"/>
      <c r="H198" s="32"/>
    </row>
    <row r="199" customHeight="1" spans="1:8">
      <c r="A199" s="32"/>
      <c r="B199" s="32"/>
      <c r="C199" s="32"/>
      <c r="E199" s="32"/>
      <c r="F199" s="32"/>
      <c r="G199" s="32"/>
      <c r="H199" s="32"/>
    </row>
    <row r="200" customHeight="1" spans="1:8">
      <c r="A200" s="32"/>
      <c r="B200" s="32"/>
      <c r="C200" s="32"/>
      <c r="E200" s="32"/>
      <c r="F200" s="32"/>
      <c r="G200" s="32"/>
      <c r="H200" s="32"/>
    </row>
    <row r="201" customHeight="1" spans="1:8">
      <c r="A201" s="32"/>
      <c r="B201" s="32"/>
      <c r="C201" s="32"/>
      <c r="E201" s="32"/>
      <c r="F201" s="32"/>
      <c r="G201" s="32"/>
      <c r="H201" s="32"/>
    </row>
    <row r="202" customHeight="1" spans="1:8">
      <c r="A202" s="32"/>
      <c r="B202" s="32"/>
      <c r="C202" s="32"/>
      <c r="E202" s="32"/>
      <c r="F202" s="32"/>
      <c r="G202" s="32"/>
      <c r="H202" s="32"/>
    </row>
    <row r="203" customHeight="1" spans="1:8">
      <c r="A203" s="32"/>
      <c r="B203" s="32"/>
      <c r="C203" s="32"/>
      <c r="E203" s="32"/>
      <c r="F203" s="32"/>
      <c r="G203" s="32"/>
      <c r="H203" s="32"/>
    </row>
    <row r="204" customHeight="1" spans="1:8">
      <c r="A204" s="32"/>
      <c r="B204" s="32"/>
      <c r="C204" s="32"/>
      <c r="E204" s="32"/>
      <c r="F204" s="32"/>
      <c r="G204" s="32"/>
      <c r="H204" s="32"/>
    </row>
    <row r="205" customHeight="1" spans="1:8">
      <c r="A205" s="32"/>
      <c r="B205" s="32"/>
      <c r="C205" s="32"/>
      <c r="E205" s="32"/>
      <c r="F205" s="32"/>
      <c r="G205" s="32"/>
      <c r="H205" s="32"/>
    </row>
    <row r="206" customHeight="1" spans="1:8">
      <c r="A206" s="32"/>
      <c r="B206" s="32"/>
      <c r="C206" s="32"/>
      <c r="E206" s="32"/>
      <c r="F206" s="32"/>
      <c r="G206" s="32"/>
      <c r="H206" s="32"/>
    </row>
    <row r="207" customHeight="1" spans="1:8">
      <c r="A207" s="32"/>
      <c r="B207" s="32"/>
      <c r="C207" s="32"/>
      <c r="E207" s="32"/>
      <c r="F207" s="32"/>
      <c r="G207" s="32"/>
      <c r="H207" s="32"/>
    </row>
    <row r="208" customHeight="1" spans="1:8">
      <c r="A208" s="32"/>
      <c r="B208" s="32"/>
      <c r="C208" s="32"/>
      <c r="E208" s="32"/>
      <c r="F208" s="32"/>
      <c r="G208" s="32"/>
      <c r="H208" s="32"/>
    </row>
    <row r="209" customHeight="1" spans="1:8">
      <c r="A209" s="32"/>
      <c r="B209" s="32"/>
      <c r="C209" s="32"/>
      <c r="E209" s="32"/>
      <c r="F209" s="32"/>
      <c r="G209" s="32"/>
      <c r="H209" s="32"/>
    </row>
    <row r="210" customHeight="1" spans="1:8">
      <c r="A210" s="32"/>
      <c r="B210" s="32"/>
      <c r="C210" s="32"/>
      <c r="E210" s="32"/>
      <c r="F210" s="32"/>
      <c r="G210" s="32"/>
      <c r="H210" s="32"/>
    </row>
    <row r="211" customHeight="1" spans="1:8">
      <c r="A211" s="32"/>
      <c r="B211" s="32"/>
      <c r="C211" s="32"/>
      <c r="E211" s="32"/>
      <c r="F211" s="32"/>
      <c r="G211" s="32"/>
      <c r="H211" s="32"/>
    </row>
    <row r="212" customHeight="1" spans="1:8">
      <c r="A212" s="32"/>
      <c r="B212" s="32"/>
      <c r="C212" s="32"/>
      <c r="E212" s="32"/>
      <c r="F212" s="32"/>
      <c r="G212" s="32"/>
      <c r="H212" s="32"/>
    </row>
    <row r="213" customHeight="1" spans="1:8">
      <c r="A213" s="32"/>
      <c r="B213" s="32"/>
      <c r="C213" s="32"/>
      <c r="E213" s="32"/>
      <c r="F213" s="32"/>
      <c r="G213" s="32"/>
      <c r="H213" s="32"/>
    </row>
    <row r="214" customHeight="1" spans="1:8">
      <c r="A214" s="32"/>
      <c r="B214" s="32"/>
      <c r="C214" s="32"/>
      <c r="E214" s="32"/>
      <c r="F214" s="32"/>
      <c r="G214" s="32"/>
      <c r="H214" s="32"/>
    </row>
    <row r="215" customHeight="1" spans="1:8">
      <c r="A215" s="32"/>
      <c r="B215" s="32"/>
      <c r="C215" s="32"/>
      <c r="E215" s="32"/>
      <c r="F215" s="32"/>
      <c r="G215" s="32"/>
      <c r="H215" s="32"/>
    </row>
    <row r="216" customHeight="1" spans="1:8">
      <c r="A216" s="32"/>
      <c r="B216" s="32"/>
      <c r="C216" s="32"/>
      <c r="E216" s="32"/>
      <c r="F216" s="32"/>
      <c r="G216" s="32"/>
      <c r="H216" s="32"/>
    </row>
    <row r="217" customHeight="1" spans="1:8">
      <c r="A217" s="32"/>
      <c r="B217" s="32"/>
      <c r="C217" s="32"/>
      <c r="E217" s="32"/>
      <c r="F217" s="32"/>
      <c r="G217" s="32"/>
      <c r="H217" s="32"/>
    </row>
    <row r="218" customHeight="1" spans="1:8">
      <c r="A218" s="32"/>
      <c r="B218" s="32"/>
      <c r="C218" s="32"/>
      <c r="E218" s="32"/>
      <c r="F218" s="32"/>
      <c r="G218" s="32"/>
      <c r="H218" s="32"/>
    </row>
    <row r="219" customHeight="1" spans="1:8">
      <c r="A219" s="32"/>
      <c r="B219" s="32"/>
      <c r="C219" s="32"/>
      <c r="E219" s="32"/>
      <c r="F219" s="32"/>
      <c r="G219" s="32"/>
      <c r="H219" s="32"/>
    </row>
    <row r="220" customHeight="1" spans="1:8">
      <c r="A220" s="32"/>
      <c r="B220" s="32"/>
      <c r="C220" s="32"/>
      <c r="E220" s="32"/>
      <c r="F220" s="32"/>
      <c r="G220" s="32"/>
      <c r="H220" s="32"/>
    </row>
    <row r="221" customHeight="1" spans="1:8">
      <c r="A221" s="32"/>
      <c r="B221" s="32"/>
      <c r="C221" s="32"/>
      <c r="E221" s="32"/>
      <c r="F221" s="32"/>
      <c r="G221" s="32"/>
      <c r="H221" s="32"/>
    </row>
    <row r="222" customHeight="1" spans="1:8">
      <c r="A222" s="32"/>
      <c r="B222" s="32"/>
      <c r="C222" s="32"/>
      <c r="E222" s="32"/>
      <c r="F222" s="32"/>
      <c r="G222" s="32"/>
      <c r="H222" s="32"/>
    </row>
    <row r="223" customHeight="1" spans="1:8">
      <c r="A223" s="32"/>
      <c r="B223" s="32"/>
      <c r="C223" s="32"/>
      <c r="E223" s="32"/>
      <c r="F223" s="32"/>
      <c r="G223" s="32"/>
      <c r="H223" s="32"/>
    </row>
    <row r="224" customHeight="1" spans="1:8">
      <c r="A224" s="32"/>
      <c r="B224" s="32"/>
      <c r="C224" s="32"/>
      <c r="E224" s="32"/>
      <c r="F224" s="32"/>
      <c r="G224" s="32"/>
      <c r="H224" s="32"/>
    </row>
    <row r="225" customHeight="1" spans="1:8">
      <c r="A225" s="32"/>
      <c r="B225" s="32"/>
      <c r="C225" s="32"/>
      <c r="E225" s="32"/>
      <c r="F225" s="32"/>
      <c r="G225" s="32"/>
      <c r="H225" s="32"/>
    </row>
    <row r="226" customHeight="1" spans="1:8">
      <c r="A226" s="32"/>
      <c r="B226" s="32"/>
      <c r="C226" s="32"/>
      <c r="E226" s="32"/>
      <c r="F226" s="32"/>
      <c r="G226" s="32"/>
      <c r="H226" s="32"/>
    </row>
    <row r="227" customHeight="1" spans="1:8">
      <c r="A227" s="32"/>
      <c r="B227" s="32"/>
      <c r="C227" s="32"/>
      <c r="E227" s="32"/>
      <c r="F227" s="32"/>
      <c r="G227" s="32"/>
      <c r="H227" s="32"/>
    </row>
    <row r="228" customHeight="1" spans="1:8">
      <c r="A228" s="32"/>
      <c r="B228" s="32"/>
      <c r="C228" s="32"/>
      <c r="E228" s="32"/>
      <c r="F228" s="32"/>
      <c r="G228" s="32"/>
      <c r="H228" s="32"/>
    </row>
    <row r="229" customHeight="1" spans="1:8">
      <c r="A229" s="32"/>
      <c r="B229" s="32"/>
      <c r="C229" s="32"/>
      <c r="E229" s="32"/>
      <c r="F229" s="32"/>
      <c r="G229" s="32"/>
      <c r="H229" s="32"/>
    </row>
    <row r="230" customHeight="1" spans="1:8">
      <c r="A230" s="32"/>
      <c r="B230" s="32"/>
      <c r="C230" s="32"/>
      <c r="E230" s="32"/>
      <c r="F230" s="32"/>
      <c r="G230" s="32"/>
      <c r="H230" s="32"/>
    </row>
    <row r="231" customHeight="1" spans="1:8">
      <c r="A231" s="32"/>
      <c r="B231" s="32"/>
      <c r="C231" s="32"/>
      <c r="E231" s="32"/>
      <c r="F231" s="32"/>
      <c r="G231" s="32"/>
      <c r="H231" s="32"/>
    </row>
    <row r="232" customHeight="1" spans="1:8">
      <c r="A232" s="32"/>
      <c r="B232" s="32"/>
      <c r="C232" s="32"/>
      <c r="E232" s="32"/>
      <c r="F232" s="32"/>
      <c r="G232" s="32"/>
      <c r="H232" s="32"/>
    </row>
    <row r="233" customHeight="1" spans="1:8">
      <c r="A233" s="32"/>
      <c r="B233" s="32"/>
      <c r="C233" s="32"/>
      <c r="E233" s="32"/>
      <c r="F233" s="32"/>
      <c r="G233" s="32"/>
      <c r="H233" s="32"/>
    </row>
    <row r="234" customHeight="1" spans="1:8">
      <c r="A234" s="32"/>
      <c r="B234" s="32"/>
      <c r="C234" s="32"/>
      <c r="E234" s="32"/>
      <c r="F234" s="32"/>
      <c r="G234" s="32"/>
      <c r="H234" s="32"/>
    </row>
    <row r="235" customHeight="1" spans="1:8">
      <c r="A235" s="32"/>
      <c r="B235" s="32"/>
      <c r="C235" s="32"/>
      <c r="E235" s="32"/>
      <c r="F235" s="32"/>
      <c r="G235" s="32"/>
      <c r="H235" s="32"/>
    </row>
    <row r="236" customHeight="1" spans="1:8">
      <c r="A236" s="32"/>
      <c r="B236" s="32"/>
      <c r="C236" s="32"/>
      <c r="E236" s="32"/>
      <c r="F236" s="32"/>
      <c r="G236" s="32"/>
      <c r="H236" s="32"/>
    </row>
    <row r="237" customHeight="1" spans="1:8">
      <c r="A237" s="32"/>
      <c r="B237" s="32"/>
      <c r="C237" s="32"/>
      <c r="E237" s="32"/>
      <c r="F237" s="32"/>
      <c r="G237" s="32"/>
      <c r="H237" s="32"/>
    </row>
    <row r="238" customHeight="1" spans="1:8">
      <c r="A238" s="32"/>
      <c r="B238" s="32"/>
      <c r="C238" s="32"/>
      <c r="E238" s="32"/>
      <c r="F238" s="32"/>
      <c r="G238" s="32"/>
      <c r="H238" s="32"/>
    </row>
    <row r="239" customHeight="1" spans="1:8">
      <c r="A239" s="32"/>
      <c r="B239" s="32"/>
      <c r="C239" s="32"/>
      <c r="E239" s="32"/>
      <c r="F239" s="32"/>
      <c r="G239" s="32"/>
      <c r="H239" s="32"/>
    </row>
    <row r="240" customHeight="1" spans="1:8">
      <c r="A240" s="32"/>
      <c r="B240" s="32"/>
      <c r="C240" s="32"/>
      <c r="E240" s="32"/>
      <c r="F240" s="32"/>
      <c r="G240" s="32"/>
      <c r="H240" s="32"/>
    </row>
    <row r="241" customHeight="1" spans="1:8">
      <c r="A241" s="32"/>
      <c r="B241" s="32"/>
      <c r="C241" s="32"/>
      <c r="E241" s="32"/>
      <c r="F241" s="32"/>
      <c r="G241" s="32"/>
      <c r="H241" s="32"/>
    </row>
    <row r="242" customHeight="1" spans="1:8">
      <c r="A242" s="32"/>
      <c r="B242" s="32"/>
      <c r="C242" s="32"/>
      <c r="E242" s="32"/>
      <c r="F242" s="32"/>
      <c r="G242" s="32"/>
      <c r="H242" s="32"/>
    </row>
    <row r="243" customHeight="1" spans="1:8">
      <c r="A243" s="32"/>
      <c r="B243" s="32"/>
      <c r="C243" s="32"/>
      <c r="E243" s="32"/>
      <c r="F243" s="32"/>
      <c r="G243" s="32"/>
      <c r="H243" s="32"/>
    </row>
    <row r="244" customHeight="1" spans="1:8">
      <c r="A244" s="32"/>
      <c r="B244" s="32"/>
      <c r="C244" s="32"/>
      <c r="E244" s="32"/>
      <c r="F244" s="32"/>
      <c r="G244" s="32"/>
      <c r="H244" s="32"/>
    </row>
    <row r="245" customHeight="1" spans="1:8">
      <c r="A245" s="32"/>
      <c r="B245" s="32"/>
      <c r="C245" s="32"/>
      <c r="E245" s="32"/>
      <c r="F245" s="32"/>
      <c r="G245" s="32"/>
      <c r="H245" s="32"/>
    </row>
    <row r="246" customHeight="1" spans="1:8">
      <c r="A246" s="32"/>
      <c r="B246" s="32"/>
      <c r="C246" s="32"/>
      <c r="E246" s="32"/>
      <c r="F246" s="32"/>
      <c r="G246" s="32"/>
      <c r="H246" s="32"/>
    </row>
    <row r="247" customHeight="1" spans="1:8">
      <c r="A247" s="32"/>
      <c r="B247" s="32"/>
      <c r="C247" s="32"/>
      <c r="E247" s="32"/>
      <c r="F247" s="32"/>
      <c r="G247" s="32"/>
      <c r="H247" s="32"/>
    </row>
    <row r="248" customHeight="1" spans="1:8">
      <c r="A248" s="32"/>
      <c r="B248" s="32"/>
      <c r="C248" s="32"/>
      <c r="E248" s="32"/>
      <c r="F248" s="32"/>
      <c r="G248" s="32"/>
      <c r="H248" s="32"/>
    </row>
    <row r="249" customHeight="1" spans="1:8">
      <c r="A249" s="32"/>
      <c r="B249" s="32"/>
      <c r="C249" s="32"/>
      <c r="E249" s="32"/>
      <c r="F249" s="32"/>
      <c r="G249" s="32"/>
      <c r="H249" s="32"/>
    </row>
    <row r="250" customHeight="1" spans="1:8">
      <c r="A250" s="32"/>
      <c r="B250" s="32"/>
      <c r="C250" s="32"/>
      <c r="E250" s="32"/>
      <c r="F250" s="32"/>
      <c r="G250" s="32"/>
      <c r="H250" s="32"/>
    </row>
    <row r="251" customHeight="1" spans="1:8">
      <c r="A251" s="32"/>
      <c r="B251" s="32"/>
      <c r="C251" s="32"/>
      <c r="E251" s="32"/>
      <c r="F251" s="32"/>
      <c r="G251" s="32"/>
      <c r="H251" s="32"/>
    </row>
    <row r="252" customHeight="1" spans="1:8">
      <c r="A252" s="32"/>
      <c r="B252" s="32"/>
      <c r="C252" s="32"/>
      <c r="E252" s="32"/>
      <c r="F252" s="32"/>
      <c r="G252" s="32"/>
      <c r="H252" s="32"/>
    </row>
    <row r="253" customHeight="1" spans="1:8">
      <c r="A253" s="32"/>
      <c r="B253" s="32"/>
      <c r="C253" s="32"/>
      <c r="E253" s="32"/>
      <c r="F253" s="32"/>
      <c r="G253" s="32"/>
      <c r="H253" s="32"/>
    </row>
    <row r="254" customHeight="1" spans="1:8">
      <c r="A254" s="32"/>
      <c r="B254" s="32"/>
      <c r="C254" s="32"/>
      <c r="E254" s="32"/>
      <c r="F254" s="32"/>
      <c r="G254" s="32"/>
      <c r="H254" s="32"/>
    </row>
    <row r="255" customHeight="1" spans="1:8">
      <c r="A255" s="32"/>
      <c r="B255" s="32"/>
      <c r="C255" s="32"/>
      <c r="E255" s="32"/>
      <c r="F255" s="32"/>
      <c r="G255" s="32"/>
      <c r="H255" s="32"/>
    </row>
    <row r="256" customHeight="1" spans="1:8">
      <c r="A256" s="32"/>
      <c r="B256" s="32"/>
      <c r="C256" s="32"/>
      <c r="E256" s="32"/>
      <c r="F256" s="32"/>
      <c r="G256" s="32"/>
      <c r="H256" s="32"/>
    </row>
    <row r="257" customHeight="1" spans="1:8">
      <c r="A257" s="32"/>
      <c r="B257" s="32"/>
      <c r="C257" s="32"/>
      <c r="E257" s="32"/>
      <c r="F257" s="32"/>
      <c r="G257" s="32"/>
      <c r="H257" s="32"/>
    </row>
    <row r="258" customHeight="1" spans="1:8">
      <c r="A258" s="32"/>
      <c r="B258" s="32"/>
      <c r="C258" s="32"/>
      <c r="E258" s="32"/>
      <c r="F258" s="32"/>
      <c r="G258" s="32"/>
      <c r="H258" s="32"/>
    </row>
    <row r="259" customHeight="1" spans="1:8">
      <c r="A259" s="32"/>
      <c r="B259" s="32"/>
      <c r="C259" s="32"/>
      <c r="E259" s="32"/>
      <c r="F259" s="32"/>
      <c r="G259" s="32"/>
      <c r="H259" s="32"/>
    </row>
    <row r="260" customHeight="1" spans="1:8">
      <c r="A260" s="32"/>
      <c r="B260" s="32"/>
      <c r="C260" s="32"/>
      <c r="E260" s="32"/>
      <c r="F260" s="32"/>
      <c r="G260" s="32"/>
      <c r="H260" s="32"/>
    </row>
    <row r="261" customHeight="1" spans="1:8">
      <c r="A261" s="32"/>
      <c r="B261" s="32"/>
      <c r="C261" s="32"/>
      <c r="E261" s="32"/>
      <c r="F261" s="32"/>
      <c r="G261" s="32"/>
      <c r="H261" s="32"/>
    </row>
    <row r="262" customHeight="1" spans="1:8">
      <c r="A262" s="32"/>
      <c r="B262" s="32"/>
      <c r="C262" s="32"/>
      <c r="E262" s="32"/>
      <c r="F262" s="32"/>
      <c r="G262" s="32"/>
      <c r="H262" s="32"/>
    </row>
    <row r="263" customHeight="1" spans="1:8">
      <c r="A263" s="32"/>
      <c r="B263" s="32"/>
      <c r="C263" s="32"/>
      <c r="E263" s="32"/>
      <c r="F263" s="32"/>
      <c r="G263" s="32"/>
      <c r="H263" s="32"/>
    </row>
    <row r="264" customHeight="1" spans="1:8">
      <c r="A264" s="32"/>
      <c r="B264" s="32"/>
      <c r="C264" s="32"/>
      <c r="E264" s="32"/>
      <c r="F264" s="32"/>
      <c r="G264" s="32"/>
      <c r="H264" s="32"/>
    </row>
    <row r="265" customHeight="1" spans="1:8">
      <c r="A265" s="32"/>
      <c r="B265" s="32"/>
      <c r="C265" s="32"/>
      <c r="E265" s="32"/>
      <c r="F265" s="32"/>
      <c r="G265" s="32"/>
      <c r="H265" s="32"/>
    </row>
    <row r="266" customHeight="1" spans="1:8">
      <c r="A266" s="32"/>
      <c r="B266" s="32"/>
      <c r="C266" s="32"/>
      <c r="E266" s="32"/>
      <c r="F266" s="32"/>
      <c r="G266" s="32"/>
      <c r="H266" s="32"/>
    </row>
    <row r="267" customHeight="1" spans="1:8">
      <c r="A267" s="32"/>
      <c r="B267" s="32"/>
      <c r="C267" s="32"/>
      <c r="E267" s="32"/>
      <c r="F267" s="32"/>
      <c r="G267" s="32"/>
      <c r="H267" s="32"/>
    </row>
    <row r="268" customHeight="1" spans="1:8">
      <c r="A268" s="32"/>
      <c r="B268" s="32"/>
      <c r="C268" s="32"/>
      <c r="E268" s="32"/>
      <c r="F268" s="32"/>
      <c r="G268" s="32"/>
      <c r="H268" s="32"/>
    </row>
    <row r="269" customHeight="1" spans="1:8">
      <c r="A269" s="32"/>
      <c r="B269" s="32"/>
      <c r="C269" s="32"/>
      <c r="E269" s="32"/>
      <c r="F269" s="32"/>
      <c r="G269" s="32"/>
      <c r="H269" s="32"/>
    </row>
    <row r="270" customHeight="1" spans="1:8">
      <c r="A270" s="32"/>
      <c r="B270" s="32"/>
      <c r="C270" s="32"/>
      <c r="E270" s="32"/>
      <c r="F270" s="32"/>
      <c r="G270" s="32"/>
      <c r="H270" s="32"/>
    </row>
    <row r="271" customHeight="1" spans="1:8">
      <c r="A271" s="32"/>
      <c r="B271" s="32"/>
      <c r="C271" s="32"/>
      <c r="E271" s="32"/>
      <c r="F271" s="32"/>
      <c r="G271" s="32"/>
      <c r="H271" s="32"/>
    </row>
    <row r="272" customHeight="1" spans="1:8">
      <c r="A272" s="32"/>
      <c r="B272" s="32"/>
      <c r="C272" s="32"/>
      <c r="E272" s="32"/>
      <c r="F272" s="32"/>
      <c r="G272" s="32"/>
      <c r="H272" s="32"/>
    </row>
    <row r="273" customHeight="1" spans="1:8">
      <c r="A273" s="32"/>
      <c r="B273" s="32"/>
      <c r="C273" s="32"/>
      <c r="E273" s="32"/>
      <c r="F273" s="32"/>
      <c r="G273" s="32"/>
      <c r="H273" s="32"/>
    </row>
    <row r="274" customHeight="1" spans="1:8">
      <c r="A274" s="32"/>
      <c r="B274" s="32"/>
      <c r="C274" s="32"/>
      <c r="E274" s="32"/>
      <c r="F274" s="32"/>
      <c r="G274" s="32"/>
      <c r="H274" s="32"/>
    </row>
    <row r="275" customHeight="1" spans="1:8">
      <c r="A275" s="32"/>
      <c r="B275" s="32"/>
      <c r="C275" s="32"/>
      <c r="E275" s="32"/>
      <c r="F275" s="32"/>
      <c r="G275" s="32"/>
      <c r="H275" s="32"/>
    </row>
    <row r="276" customHeight="1" spans="1:8">
      <c r="A276" s="32"/>
      <c r="B276" s="32"/>
      <c r="C276" s="32"/>
      <c r="E276" s="32"/>
      <c r="F276" s="32"/>
      <c r="G276" s="32"/>
      <c r="H276" s="32"/>
    </row>
    <row r="277" customHeight="1" spans="1:8">
      <c r="A277" s="32"/>
      <c r="B277" s="32"/>
      <c r="C277" s="32"/>
      <c r="E277" s="32"/>
      <c r="F277" s="32"/>
      <c r="G277" s="32"/>
      <c r="H277" s="32"/>
    </row>
    <row r="278" customHeight="1" spans="1:8">
      <c r="A278" s="32"/>
      <c r="B278" s="32"/>
      <c r="C278" s="32"/>
      <c r="E278" s="32"/>
      <c r="F278" s="32"/>
      <c r="G278" s="32"/>
      <c r="H278" s="32"/>
    </row>
    <row r="279" customHeight="1" spans="1:8">
      <c r="A279" s="32"/>
      <c r="B279" s="32"/>
      <c r="C279" s="32"/>
      <c r="E279" s="32"/>
      <c r="F279" s="32"/>
      <c r="G279" s="32"/>
      <c r="H279" s="32"/>
    </row>
    <row r="280" customHeight="1" spans="1:8">
      <c r="A280" s="32"/>
      <c r="B280" s="32"/>
      <c r="C280" s="32"/>
      <c r="E280" s="32"/>
      <c r="F280" s="32"/>
      <c r="G280" s="32"/>
      <c r="H280" s="32"/>
    </row>
    <row r="281" customHeight="1" spans="1:8">
      <c r="A281" s="32"/>
      <c r="B281" s="32"/>
      <c r="C281" s="32"/>
      <c r="E281" s="32"/>
      <c r="F281" s="32"/>
      <c r="G281" s="32"/>
      <c r="H281" s="32"/>
    </row>
    <row r="282" customHeight="1" spans="1:8">
      <c r="A282" s="32"/>
      <c r="B282" s="32"/>
      <c r="C282" s="32"/>
      <c r="E282" s="32"/>
      <c r="F282" s="32"/>
      <c r="G282" s="32"/>
      <c r="H282" s="32"/>
    </row>
    <row r="283" customHeight="1" spans="1:8">
      <c r="A283" s="32"/>
      <c r="B283" s="32"/>
      <c r="C283" s="32"/>
      <c r="E283" s="32"/>
      <c r="F283" s="32"/>
      <c r="G283" s="32"/>
      <c r="H283" s="32"/>
    </row>
    <row r="284" customHeight="1" spans="1:8">
      <c r="A284" s="32"/>
      <c r="B284" s="32"/>
      <c r="C284" s="32"/>
      <c r="E284" s="32"/>
      <c r="F284" s="32"/>
      <c r="G284" s="32"/>
      <c r="H284" s="32"/>
    </row>
    <row r="285" customHeight="1" spans="1:8">
      <c r="A285" s="32"/>
      <c r="B285" s="32"/>
      <c r="C285" s="32"/>
      <c r="E285" s="32"/>
      <c r="F285" s="32"/>
      <c r="G285" s="32"/>
      <c r="H285" s="32"/>
    </row>
    <row r="286" customHeight="1" spans="1:8">
      <c r="A286" s="32"/>
      <c r="B286" s="32"/>
      <c r="C286" s="32"/>
      <c r="E286" s="32"/>
      <c r="F286" s="32"/>
      <c r="G286" s="32"/>
      <c r="H286" s="32"/>
    </row>
    <row r="287" customHeight="1" spans="1:8">
      <c r="A287" s="32"/>
      <c r="B287" s="32"/>
      <c r="C287" s="32"/>
      <c r="E287" s="32"/>
      <c r="F287" s="32"/>
      <c r="G287" s="32"/>
      <c r="H287" s="32"/>
    </row>
    <row r="288" customHeight="1" spans="1:8">
      <c r="A288" s="32"/>
      <c r="B288" s="32"/>
      <c r="C288" s="32"/>
      <c r="E288" s="32"/>
      <c r="F288" s="32"/>
      <c r="G288" s="32"/>
      <c r="H288" s="32"/>
    </row>
    <row r="289" customHeight="1" spans="1:8">
      <c r="A289" s="32"/>
      <c r="B289" s="32"/>
      <c r="C289" s="32"/>
      <c r="E289" s="32"/>
      <c r="F289" s="32"/>
      <c r="G289" s="32"/>
      <c r="H289" s="32"/>
    </row>
    <row r="290" customHeight="1" spans="1:8">
      <c r="A290" s="32"/>
      <c r="B290" s="32"/>
      <c r="C290" s="32"/>
      <c r="E290" s="32"/>
      <c r="F290" s="32"/>
      <c r="G290" s="32"/>
      <c r="H290" s="32"/>
    </row>
    <row r="291" customHeight="1" spans="1:8">
      <c r="A291" s="32"/>
      <c r="B291" s="32"/>
      <c r="C291" s="32"/>
      <c r="E291" s="32"/>
      <c r="F291" s="32"/>
      <c r="G291" s="32"/>
      <c r="H291" s="32"/>
    </row>
    <row r="292" customHeight="1" spans="1:8">
      <c r="A292" s="32"/>
      <c r="B292" s="32"/>
      <c r="C292" s="32"/>
      <c r="E292" s="32"/>
      <c r="F292" s="32"/>
      <c r="G292" s="32"/>
      <c r="H292" s="32"/>
    </row>
    <row r="293" customHeight="1" spans="1:8">
      <c r="A293" s="32"/>
      <c r="B293" s="32"/>
      <c r="C293" s="32"/>
      <c r="E293" s="32"/>
      <c r="F293" s="32"/>
      <c r="G293" s="32"/>
      <c r="H293" s="32"/>
    </row>
    <row r="294" customHeight="1" spans="1:8">
      <c r="A294" s="32"/>
      <c r="B294" s="32"/>
      <c r="C294" s="32"/>
      <c r="E294" s="32"/>
      <c r="F294" s="32"/>
      <c r="G294" s="32"/>
      <c r="H294" s="32"/>
    </row>
    <row r="295" customHeight="1" spans="1:8">
      <c r="A295" s="32"/>
      <c r="B295" s="32"/>
      <c r="C295" s="32"/>
      <c r="E295" s="32"/>
      <c r="F295" s="32"/>
      <c r="G295" s="32"/>
      <c r="H295" s="32"/>
    </row>
    <row r="296" customHeight="1" spans="1:8">
      <c r="A296" s="32"/>
      <c r="B296" s="32"/>
      <c r="C296" s="32"/>
      <c r="E296" s="32"/>
      <c r="F296" s="32"/>
      <c r="G296" s="32"/>
      <c r="H296" s="32"/>
    </row>
    <row r="297" customHeight="1" spans="1:8">
      <c r="A297" s="32"/>
      <c r="B297" s="32"/>
      <c r="C297" s="32"/>
      <c r="E297" s="32"/>
      <c r="F297" s="32"/>
      <c r="G297" s="32"/>
      <c r="H297" s="32"/>
    </row>
    <row r="298" customHeight="1" spans="1:8">
      <c r="A298" s="32"/>
      <c r="B298" s="32"/>
      <c r="C298" s="32"/>
      <c r="E298" s="32"/>
      <c r="F298" s="32"/>
      <c r="G298" s="32"/>
      <c r="H298" s="32"/>
    </row>
    <row r="299" customHeight="1" spans="1:8">
      <c r="A299" s="32"/>
      <c r="B299" s="32"/>
      <c r="C299" s="32"/>
      <c r="E299" s="32"/>
      <c r="F299" s="32"/>
      <c r="G299" s="32"/>
      <c r="H299" s="32"/>
    </row>
    <row r="300" customHeight="1" spans="1:8">
      <c r="A300" s="32"/>
      <c r="B300" s="32"/>
      <c r="C300" s="32"/>
      <c r="E300" s="32"/>
      <c r="F300" s="32"/>
      <c r="G300" s="32"/>
      <c r="H300" s="32"/>
    </row>
    <row r="301" customHeight="1" spans="1:8">
      <c r="A301" s="32"/>
      <c r="B301" s="32"/>
      <c r="C301" s="32"/>
      <c r="E301" s="32"/>
      <c r="F301" s="32"/>
      <c r="G301" s="32"/>
      <c r="H301" s="32"/>
    </row>
    <row r="302" customHeight="1" spans="1:8">
      <c r="A302" s="32"/>
      <c r="B302" s="32"/>
      <c r="C302" s="32"/>
      <c r="E302" s="32"/>
      <c r="F302" s="32"/>
      <c r="G302" s="32"/>
      <c r="H302" s="32"/>
    </row>
    <row r="303" customHeight="1" spans="1:8">
      <c r="A303" s="32"/>
      <c r="B303" s="32"/>
      <c r="C303" s="32"/>
      <c r="E303" s="32"/>
      <c r="F303" s="32"/>
      <c r="G303" s="32"/>
      <c r="H303" s="32"/>
    </row>
    <row r="304" customHeight="1" spans="1:8">
      <c r="A304" s="32"/>
      <c r="B304" s="32"/>
      <c r="C304" s="32"/>
      <c r="E304" s="32"/>
      <c r="F304" s="32"/>
      <c r="G304" s="32"/>
      <c r="H304" s="32"/>
    </row>
    <row r="305" customHeight="1" spans="1:8">
      <c r="A305" s="32"/>
      <c r="B305" s="32"/>
      <c r="C305" s="32"/>
      <c r="E305" s="32"/>
      <c r="F305" s="32"/>
      <c r="G305" s="32"/>
      <c r="H305" s="32"/>
    </row>
    <row r="306" customHeight="1" spans="1:8">
      <c r="A306" s="32"/>
      <c r="B306" s="32"/>
      <c r="C306" s="32"/>
      <c r="E306" s="32"/>
      <c r="F306" s="32"/>
      <c r="G306" s="32"/>
      <c r="H306" s="32"/>
    </row>
    <row r="307" customHeight="1" spans="1:8">
      <c r="A307" s="32"/>
      <c r="B307" s="32"/>
      <c r="C307" s="32"/>
      <c r="E307" s="32"/>
      <c r="F307" s="32"/>
      <c r="G307" s="32"/>
      <c r="H307" s="32"/>
    </row>
    <row r="308" customHeight="1" spans="1:8">
      <c r="A308" s="32"/>
      <c r="B308" s="32"/>
      <c r="C308" s="32"/>
      <c r="E308" s="32"/>
      <c r="F308" s="32"/>
      <c r="G308" s="32"/>
      <c r="H308" s="32"/>
    </row>
    <row r="309" customHeight="1" spans="1:8">
      <c r="A309" s="32"/>
      <c r="B309" s="32"/>
      <c r="C309" s="32"/>
      <c r="E309" s="32"/>
      <c r="F309" s="32"/>
      <c r="G309" s="32"/>
      <c r="H309" s="32"/>
    </row>
    <row r="310" customHeight="1" spans="1:8">
      <c r="A310" s="32"/>
      <c r="B310" s="32"/>
      <c r="C310" s="32"/>
      <c r="E310" s="32"/>
      <c r="F310" s="32"/>
      <c r="G310" s="32"/>
      <c r="H310" s="32"/>
    </row>
    <row r="311" customHeight="1" spans="1:8">
      <c r="A311" s="32"/>
      <c r="B311" s="32"/>
      <c r="C311" s="32"/>
      <c r="E311" s="32"/>
      <c r="F311" s="32"/>
      <c r="G311" s="32"/>
      <c r="H311" s="32"/>
    </row>
    <row r="312" customHeight="1" spans="1:8">
      <c r="A312" s="32"/>
      <c r="B312" s="32"/>
      <c r="C312" s="32"/>
      <c r="E312" s="32"/>
      <c r="F312" s="32"/>
      <c r="G312" s="32"/>
      <c r="H312" s="32"/>
    </row>
    <row r="313" customHeight="1" spans="1:8">
      <c r="A313" s="32"/>
      <c r="B313" s="32"/>
      <c r="C313" s="32"/>
      <c r="E313" s="32"/>
      <c r="F313" s="32"/>
      <c r="G313" s="32"/>
      <c r="H313" s="32"/>
    </row>
    <row r="314" customHeight="1" spans="1:8">
      <c r="A314" s="32"/>
      <c r="B314" s="32"/>
      <c r="C314" s="32"/>
      <c r="E314" s="32"/>
      <c r="F314" s="32"/>
      <c r="G314" s="32"/>
      <c r="H314" s="32"/>
    </row>
    <row r="315" customHeight="1" spans="1:8">
      <c r="A315" s="32"/>
      <c r="B315" s="32"/>
      <c r="C315" s="32"/>
      <c r="E315" s="32"/>
      <c r="F315" s="32"/>
      <c r="G315" s="32"/>
      <c r="H315" s="32"/>
    </row>
    <row r="316" customHeight="1" spans="1:8">
      <c r="A316" s="32"/>
      <c r="B316" s="32"/>
      <c r="C316" s="32"/>
      <c r="E316" s="32"/>
      <c r="F316" s="32"/>
      <c r="G316" s="32"/>
      <c r="H316" s="32"/>
    </row>
    <row r="317" customHeight="1" spans="1:8">
      <c r="A317" s="32"/>
      <c r="B317" s="32"/>
      <c r="C317" s="32"/>
      <c r="E317" s="32"/>
      <c r="F317" s="32"/>
      <c r="G317" s="32"/>
      <c r="H317" s="32"/>
    </row>
    <row r="318" customHeight="1" spans="1:8">
      <c r="A318" s="32"/>
      <c r="B318" s="32"/>
      <c r="C318" s="32"/>
      <c r="E318" s="32"/>
      <c r="F318" s="32"/>
      <c r="G318" s="32"/>
      <c r="H318" s="32"/>
    </row>
    <row r="319" customHeight="1" spans="1:8">
      <c r="A319" s="32"/>
      <c r="B319" s="32"/>
      <c r="C319" s="32"/>
      <c r="E319" s="32"/>
      <c r="F319" s="32"/>
      <c r="G319" s="32"/>
      <c r="H319" s="32"/>
    </row>
    <row r="320" customHeight="1" spans="1:8">
      <c r="A320" s="32"/>
      <c r="B320" s="32"/>
      <c r="C320" s="32"/>
      <c r="E320" s="32"/>
      <c r="F320" s="32"/>
      <c r="G320" s="32"/>
      <c r="H320" s="32"/>
    </row>
    <row r="321" customHeight="1" spans="1:8">
      <c r="A321" s="32"/>
      <c r="B321" s="32"/>
      <c r="C321" s="32"/>
      <c r="E321" s="32"/>
      <c r="F321" s="32"/>
      <c r="G321" s="32"/>
      <c r="H321" s="32"/>
    </row>
    <row r="322" customHeight="1" spans="1:8">
      <c r="A322" s="32"/>
      <c r="B322" s="32"/>
      <c r="C322" s="32"/>
      <c r="E322" s="32"/>
      <c r="F322" s="32"/>
      <c r="G322" s="32"/>
      <c r="H322" s="32"/>
    </row>
    <row r="323" customHeight="1" spans="1:8">
      <c r="A323" s="32"/>
      <c r="B323" s="32"/>
      <c r="C323" s="32"/>
      <c r="E323" s="32"/>
      <c r="F323" s="32"/>
      <c r="G323" s="32"/>
      <c r="H323" s="32"/>
    </row>
    <row r="324" customHeight="1" spans="1:8">
      <c r="A324" s="32"/>
      <c r="B324" s="32"/>
      <c r="C324" s="32"/>
      <c r="E324" s="32"/>
      <c r="F324" s="32"/>
      <c r="G324" s="32"/>
      <c r="H324" s="32"/>
    </row>
    <row r="325" customHeight="1" spans="1:8">
      <c r="A325" s="32"/>
      <c r="B325" s="32"/>
      <c r="C325" s="32"/>
      <c r="E325" s="32"/>
      <c r="F325" s="32"/>
      <c r="G325" s="32"/>
      <c r="H325" s="32"/>
    </row>
    <row r="326" customHeight="1" spans="1:8">
      <c r="A326" s="32"/>
      <c r="B326" s="32"/>
      <c r="C326" s="32"/>
      <c r="E326" s="32"/>
      <c r="F326" s="32"/>
      <c r="G326" s="32"/>
      <c r="H326" s="32"/>
    </row>
    <row r="327" customHeight="1" spans="1:8">
      <c r="A327" s="32"/>
      <c r="B327" s="32"/>
      <c r="C327" s="32"/>
      <c r="E327" s="32"/>
      <c r="F327" s="32"/>
      <c r="G327" s="32"/>
      <c r="H327" s="32"/>
    </row>
    <row r="328" customHeight="1" spans="1:8">
      <c r="A328" s="32"/>
      <c r="B328" s="32"/>
      <c r="C328" s="32"/>
      <c r="E328" s="32"/>
      <c r="F328" s="32"/>
      <c r="G328" s="32"/>
      <c r="H328" s="32"/>
    </row>
    <row r="329" customHeight="1" spans="1:8">
      <c r="A329" s="32"/>
      <c r="B329" s="32"/>
      <c r="C329" s="32"/>
      <c r="E329" s="32"/>
      <c r="F329" s="32"/>
      <c r="G329" s="32"/>
      <c r="H329" s="32"/>
    </row>
    <row r="330" customHeight="1" spans="1:8">
      <c r="A330" s="32"/>
      <c r="B330" s="32"/>
      <c r="C330" s="32"/>
      <c r="E330" s="32"/>
      <c r="F330" s="32"/>
      <c r="G330" s="32"/>
      <c r="H330" s="32"/>
    </row>
    <row r="331" customHeight="1" spans="1:8">
      <c r="A331" s="32"/>
      <c r="B331" s="32"/>
      <c r="C331" s="32"/>
      <c r="E331" s="32"/>
      <c r="F331" s="32"/>
      <c r="G331" s="32"/>
      <c r="H331" s="32"/>
    </row>
    <row r="332" customHeight="1" spans="1:8">
      <c r="A332" s="32"/>
      <c r="B332" s="32"/>
      <c r="C332" s="32"/>
      <c r="E332" s="32"/>
      <c r="F332" s="32"/>
      <c r="G332" s="32"/>
      <c r="H332" s="32"/>
    </row>
    <row r="333" customHeight="1" spans="1:8">
      <c r="A333" s="32"/>
      <c r="B333" s="32"/>
      <c r="C333" s="32"/>
      <c r="E333" s="32"/>
      <c r="F333" s="32"/>
      <c r="G333" s="32"/>
      <c r="H333" s="32"/>
    </row>
    <row r="334" customHeight="1" spans="1:8">
      <c r="A334" s="32"/>
      <c r="B334" s="32"/>
      <c r="C334" s="32"/>
      <c r="E334" s="32"/>
      <c r="F334" s="32"/>
      <c r="G334" s="32"/>
      <c r="H334" s="32"/>
    </row>
    <row r="335" customHeight="1" spans="1:8">
      <c r="A335" s="32"/>
      <c r="B335" s="32"/>
      <c r="C335" s="32"/>
      <c r="E335" s="32"/>
      <c r="F335" s="32"/>
      <c r="G335" s="32"/>
      <c r="H335" s="32"/>
    </row>
    <row r="336" customHeight="1" spans="1:8">
      <c r="A336" s="32"/>
      <c r="B336" s="32"/>
      <c r="C336" s="32"/>
      <c r="E336" s="32"/>
      <c r="F336" s="32"/>
      <c r="G336" s="32"/>
      <c r="H336" s="32"/>
    </row>
    <row r="337" customHeight="1" spans="1:8">
      <c r="A337" s="32"/>
      <c r="B337" s="32"/>
      <c r="C337" s="32"/>
      <c r="E337" s="32"/>
      <c r="F337" s="32"/>
      <c r="G337" s="32"/>
      <c r="H337" s="32"/>
    </row>
    <row r="338" customHeight="1" spans="1:8">
      <c r="A338" s="32"/>
      <c r="B338" s="32"/>
      <c r="C338" s="32"/>
      <c r="E338" s="32"/>
      <c r="F338" s="32"/>
      <c r="G338" s="32"/>
      <c r="H338" s="32"/>
    </row>
    <row r="339" customHeight="1" spans="1:8">
      <c r="A339" s="32"/>
      <c r="B339" s="32"/>
      <c r="C339" s="32"/>
      <c r="E339" s="32"/>
      <c r="F339" s="32"/>
      <c r="G339" s="32"/>
      <c r="H339" s="32"/>
    </row>
    <row r="340" customHeight="1" spans="1:8">
      <c r="A340" s="32"/>
      <c r="B340" s="32"/>
      <c r="C340" s="32"/>
      <c r="E340" s="32"/>
      <c r="F340" s="32"/>
      <c r="G340" s="32"/>
      <c r="H340" s="32"/>
    </row>
    <row r="341" customHeight="1" spans="1:8">
      <c r="A341" s="32"/>
      <c r="B341" s="32"/>
      <c r="C341" s="32"/>
      <c r="E341" s="32"/>
      <c r="F341" s="32"/>
      <c r="G341" s="32"/>
      <c r="H341" s="32"/>
    </row>
    <row r="342" customHeight="1" spans="1:8">
      <c r="A342" s="32"/>
      <c r="B342" s="32"/>
      <c r="C342" s="32"/>
      <c r="E342" s="32"/>
      <c r="F342" s="32"/>
      <c r="G342" s="32"/>
      <c r="H342" s="32"/>
    </row>
    <row r="343" customHeight="1" spans="1:8">
      <c r="A343" s="32"/>
      <c r="B343" s="32"/>
      <c r="C343" s="32"/>
      <c r="E343" s="32"/>
      <c r="F343" s="32"/>
      <c r="G343" s="32"/>
      <c r="H343" s="32"/>
    </row>
    <row r="344" customHeight="1" spans="1:8">
      <c r="A344" s="32"/>
      <c r="B344" s="32"/>
      <c r="C344" s="32"/>
      <c r="E344" s="32"/>
      <c r="F344" s="32"/>
      <c r="G344" s="32"/>
      <c r="H344" s="32"/>
    </row>
    <row r="345" customHeight="1" spans="1:8">
      <c r="A345" s="32"/>
      <c r="B345" s="32"/>
      <c r="C345" s="32"/>
      <c r="E345" s="32"/>
      <c r="F345" s="32"/>
      <c r="G345" s="32"/>
      <c r="H345" s="32"/>
    </row>
    <row r="346" customHeight="1" spans="1:8">
      <c r="A346" s="32"/>
      <c r="B346" s="32"/>
      <c r="C346" s="32"/>
      <c r="E346" s="32"/>
      <c r="F346" s="32"/>
      <c r="G346" s="32"/>
      <c r="H346" s="32"/>
    </row>
    <row r="347" customHeight="1" spans="1:8">
      <c r="A347" s="32"/>
      <c r="B347" s="32"/>
      <c r="C347" s="32"/>
      <c r="E347" s="32"/>
      <c r="F347" s="32"/>
      <c r="G347" s="32"/>
      <c r="H347" s="32"/>
    </row>
    <row r="348" customHeight="1" spans="1:8">
      <c r="A348" s="32"/>
      <c r="B348" s="32"/>
      <c r="C348" s="32"/>
      <c r="E348" s="32"/>
      <c r="F348" s="32"/>
      <c r="G348" s="32"/>
      <c r="H348" s="32"/>
    </row>
    <row r="349" customHeight="1" spans="1:8">
      <c r="A349" s="32"/>
      <c r="B349" s="32"/>
      <c r="C349" s="32"/>
      <c r="E349" s="32"/>
      <c r="F349" s="32"/>
      <c r="G349" s="32"/>
      <c r="H349" s="32"/>
    </row>
    <row r="350" customHeight="1" spans="1:8">
      <c r="A350" s="32"/>
      <c r="B350" s="32"/>
      <c r="C350" s="32"/>
      <c r="E350" s="32"/>
      <c r="F350" s="32"/>
      <c r="G350" s="32"/>
      <c r="H350" s="32"/>
    </row>
    <row r="351" customHeight="1" spans="1:8">
      <c r="A351" s="32"/>
      <c r="B351" s="32"/>
      <c r="C351" s="32"/>
      <c r="E351" s="32"/>
      <c r="F351" s="32"/>
      <c r="G351" s="32"/>
      <c r="H351" s="32"/>
    </row>
    <row r="352" customHeight="1" spans="1:8">
      <c r="A352" s="32"/>
      <c r="B352" s="32"/>
      <c r="C352" s="32"/>
      <c r="E352" s="32"/>
      <c r="F352" s="32"/>
      <c r="G352" s="32"/>
      <c r="H352" s="32"/>
    </row>
    <row r="353" customHeight="1" spans="1:8">
      <c r="A353" s="32"/>
      <c r="B353" s="32"/>
      <c r="C353" s="32"/>
      <c r="E353" s="32"/>
      <c r="F353" s="32"/>
      <c r="G353" s="32"/>
      <c r="H353" s="32"/>
    </row>
    <row r="354" customHeight="1" spans="1:8">
      <c r="A354" s="32"/>
      <c r="B354" s="32"/>
      <c r="C354" s="32"/>
      <c r="E354" s="32"/>
      <c r="F354" s="32"/>
      <c r="G354" s="32"/>
      <c r="H354" s="32"/>
    </row>
    <row r="355" customHeight="1" spans="1:8">
      <c r="A355" s="32"/>
      <c r="B355" s="32"/>
      <c r="C355" s="32"/>
      <c r="E355" s="32"/>
      <c r="F355" s="32"/>
      <c r="G355" s="32"/>
      <c r="H355" s="32"/>
    </row>
    <row r="356" customHeight="1" spans="1:8">
      <c r="A356" s="32"/>
      <c r="B356" s="32"/>
      <c r="C356" s="32"/>
      <c r="E356" s="32"/>
      <c r="F356" s="32"/>
      <c r="G356" s="32"/>
      <c r="H356" s="32"/>
    </row>
    <row r="357" customHeight="1" spans="1:8">
      <c r="A357" s="32"/>
      <c r="B357" s="32"/>
      <c r="C357" s="32"/>
      <c r="E357" s="32"/>
      <c r="F357" s="32"/>
      <c r="G357" s="32"/>
      <c r="H357" s="32"/>
    </row>
    <row r="358" customHeight="1" spans="1:8">
      <c r="A358" s="32"/>
      <c r="B358" s="32"/>
      <c r="C358" s="32"/>
      <c r="E358" s="32"/>
      <c r="F358" s="32"/>
      <c r="G358" s="32"/>
      <c r="H358" s="32"/>
    </row>
    <row r="359" customHeight="1" spans="1:8">
      <c r="A359" s="32"/>
      <c r="B359" s="32"/>
      <c r="C359" s="32"/>
      <c r="E359" s="32"/>
      <c r="F359" s="32"/>
      <c r="G359" s="32"/>
      <c r="H359" s="32"/>
    </row>
    <row r="360" customHeight="1" spans="1:8">
      <c r="A360" s="32"/>
      <c r="B360" s="32"/>
      <c r="C360" s="32"/>
      <c r="E360" s="32"/>
      <c r="F360" s="32"/>
      <c r="G360" s="32"/>
      <c r="H360" s="32"/>
    </row>
    <row r="361" customHeight="1" spans="1:8">
      <c r="A361" s="32"/>
      <c r="B361" s="32"/>
      <c r="C361" s="32"/>
      <c r="E361" s="32"/>
      <c r="F361" s="32"/>
      <c r="G361" s="32"/>
      <c r="H361" s="32"/>
    </row>
    <row r="362" customHeight="1" spans="1:8">
      <c r="A362" s="32"/>
      <c r="B362" s="32"/>
      <c r="C362" s="32"/>
      <c r="E362" s="32"/>
      <c r="F362" s="32"/>
      <c r="G362" s="32"/>
      <c r="H362" s="32"/>
    </row>
    <row r="363" customHeight="1" spans="1:8">
      <c r="A363" s="32"/>
      <c r="B363" s="32"/>
      <c r="C363" s="32"/>
      <c r="E363" s="32"/>
      <c r="F363" s="32"/>
      <c r="G363" s="32"/>
      <c r="H363" s="32"/>
    </row>
    <row r="364" customHeight="1" spans="1:8">
      <c r="A364" s="32"/>
      <c r="B364" s="32"/>
      <c r="C364" s="32"/>
      <c r="E364" s="32"/>
      <c r="F364" s="32"/>
      <c r="G364" s="32"/>
      <c r="H364" s="32"/>
    </row>
    <row r="365" customHeight="1" spans="1:8">
      <c r="A365" s="32"/>
      <c r="B365" s="32"/>
      <c r="C365" s="32"/>
      <c r="E365" s="32"/>
      <c r="F365" s="32"/>
      <c r="G365" s="32"/>
      <c r="H365" s="32"/>
    </row>
    <row r="366" customHeight="1" spans="1:8">
      <c r="A366" s="32"/>
      <c r="B366" s="32"/>
      <c r="C366" s="32"/>
      <c r="E366" s="32"/>
      <c r="F366" s="32"/>
      <c r="G366" s="32"/>
      <c r="H366" s="32"/>
    </row>
    <row r="367" customHeight="1" spans="1:8">
      <c r="A367" s="32"/>
      <c r="B367" s="32"/>
      <c r="C367" s="32"/>
      <c r="E367" s="32"/>
      <c r="F367" s="32"/>
      <c r="G367" s="32"/>
      <c r="H367" s="32"/>
    </row>
    <row r="368" customHeight="1" spans="1:8">
      <c r="A368" s="32"/>
      <c r="B368" s="32"/>
      <c r="C368" s="32"/>
      <c r="E368" s="32"/>
      <c r="F368" s="32"/>
      <c r="G368" s="32"/>
      <c r="H368" s="32"/>
    </row>
    <row r="369" customHeight="1" spans="1:8">
      <c r="A369" s="32"/>
      <c r="B369" s="32"/>
      <c r="C369" s="32"/>
      <c r="E369" s="32"/>
      <c r="F369" s="32"/>
      <c r="G369" s="32"/>
      <c r="H369" s="32"/>
    </row>
    <row r="370" customHeight="1" spans="1:8">
      <c r="A370" s="32"/>
      <c r="B370" s="32"/>
      <c r="C370" s="32"/>
      <c r="E370" s="32"/>
      <c r="F370" s="32"/>
      <c r="G370" s="32"/>
      <c r="H370" s="32"/>
    </row>
    <row r="371" customHeight="1" spans="1:8">
      <c r="A371" s="32"/>
      <c r="B371" s="32"/>
      <c r="C371" s="32"/>
      <c r="E371" s="32"/>
      <c r="F371" s="32"/>
      <c r="G371" s="32"/>
      <c r="H371" s="32"/>
    </row>
    <row r="372" customHeight="1" spans="1:8">
      <c r="A372" s="32"/>
      <c r="B372" s="32"/>
      <c r="C372" s="32"/>
      <c r="E372" s="32"/>
      <c r="F372" s="32"/>
      <c r="G372" s="32"/>
      <c r="H372" s="32"/>
    </row>
    <row r="373" customHeight="1" spans="1:8">
      <c r="A373" s="32"/>
      <c r="B373" s="32"/>
      <c r="C373" s="32"/>
      <c r="E373" s="32"/>
      <c r="F373" s="32"/>
      <c r="G373" s="32"/>
      <c r="H373" s="32"/>
    </row>
    <row r="374" customHeight="1" spans="1:8">
      <c r="A374" s="32"/>
      <c r="B374" s="32"/>
      <c r="C374" s="32"/>
      <c r="E374" s="32"/>
      <c r="F374" s="32"/>
      <c r="G374" s="32"/>
      <c r="H374" s="32"/>
    </row>
    <row r="375" customHeight="1" spans="1:8">
      <c r="A375" s="32"/>
      <c r="B375" s="32"/>
      <c r="C375" s="32"/>
      <c r="E375" s="32"/>
      <c r="F375" s="32"/>
      <c r="G375" s="32"/>
      <c r="H375" s="32"/>
    </row>
    <row r="376" customHeight="1" spans="1:8">
      <c r="A376" s="32"/>
      <c r="B376" s="32"/>
      <c r="C376" s="32"/>
      <c r="E376" s="32"/>
      <c r="F376" s="32"/>
      <c r="G376" s="32"/>
      <c r="H376" s="32"/>
    </row>
    <row r="377" customHeight="1" spans="1:8">
      <c r="A377" s="32"/>
      <c r="B377" s="32"/>
      <c r="C377" s="32"/>
      <c r="E377" s="32"/>
      <c r="F377" s="32"/>
      <c r="G377" s="32"/>
      <c r="H377" s="32"/>
    </row>
    <row r="378" customHeight="1" spans="1:8">
      <c r="A378" s="32"/>
      <c r="B378" s="32"/>
      <c r="C378" s="32"/>
      <c r="E378" s="32"/>
      <c r="F378" s="32"/>
      <c r="G378" s="32"/>
      <c r="H378" s="32"/>
    </row>
    <row r="379" customHeight="1" spans="1:8">
      <c r="A379" s="32"/>
      <c r="B379" s="32"/>
      <c r="C379" s="32"/>
      <c r="E379" s="32"/>
      <c r="F379" s="32"/>
      <c r="G379" s="32"/>
      <c r="H379" s="32"/>
    </row>
    <row r="380" customHeight="1" spans="1:8">
      <c r="A380" s="32"/>
      <c r="B380" s="32"/>
      <c r="C380" s="32"/>
      <c r="E380" s="32"/>
      <c r="F380" s="32"/>
      <c r="G380" s="32"/>
      <c r="H380" s="32"/>
    </row>
    <row r="381" customHeight="1" spans="1:8">
      <c r="A381" s="32"/>
      <c r="B381" s="32"/>
      <c r="C381" s="32"/>
      <c r="E381" s="32"/>
      <c r="F381" s="32"/>
      <c r="G381" s="32"/>
      <c r="H381" s="32"/>
    </row>
    <row r="382" customHeight="1" spans="1:8">
      <c r="A382" s="32"/>
      <c r="B382" s="32"/>
      <c r="C382" s="32"/>
      <c r="E382" s="32"/>
      <c r="F382" s="32"/>
      <c r="G382" s="32"/>
      <c r="H382" s="32"/>
    </row>
    <row r="383" customHeight="1" spans="1:8">
      <c r="A383" s="32"/>
      <c r="B383" s="32"/>
      <c r="C383" s="32"/>
      <c r="E383" s="32"/>
      <c r="F383" s="32"/>
      <c r="G383" s="32"/>
      <c r="H383" s="32"/>
    </row>
    <row r="384" customHeight="1" spans="1:8">
      <c r="A384" s="32"/>
      <c r="B384" s="32"/>
      <c r="C384" s="32"/>
      <c r="E384" s="32"/>
      <c r="F384" s="32"/>
      <c r="G384" s="32"/>
      <c r="H384" s="32"/>
    </row>
    <row r="385" customHeight="1" spans="1:8">
      <c r="A385" s="32"/>
      <c r="B385" s="32"/>
      <c r="C385" s="32"/>
      <c r="E385" s="32"/>
      <c r="F385" s="32"/>
      <c r="G385" s="32"/>
      <c r="H385" s="32"/>
    </row>
    <row r="386" customHeight="1" spans="1:8">
      <c r="A386" s="32"/>
      <c r="B386" s="32"/>
      <c r="C386" s="32"/>
      <c r="E386" s="32"/>
      <c r="F386" s="32"/>
      <c r="G386" s="32"/>
      <c r="H386" s="32"/>
    </row>
    <row r="387" customHeight="1" spans="1:8">
      <c r="A387" s="32"/>
      <c r="B387" s="32"/>
      <c r="C387" s="32"/>
      <c r="E387" s="32"/>
      <c r="F387" s="32"/>
      <c r="G387" s="32"/>
      <c r="H387" s="32"/>
    </row>
    <row r="388" customHeight="1" spans="1:8">
      <c r="A388" s="32"/>
      <c r="B388" s="32"/>
      <c r="C388" s="32"/>
      <c r="E388" s="32"/>
      <c r="F388" s="32"/>
      <c r="G388" s="32"/>
      <c r="H388" s="32"/>
    </row>
    <row r="389" customHeight="1" spans="1:8">
      <c r="A389" s="32"/>
      <c r="B389" s="32"/>
      <c r="C389" s="32"/>
      <c r="E389" s="32"/>
      <c r="F389" s="32"/>
      <c r="G389" s="32"/>
      <c r="H389" s="32"/>
    </row>
    <row r="390" customHeight="1" spans="1:8">
      <c r="A390" s="32"/>
      <c r="B390" s="32"/>
      <c r="C390" s="32"/>
      <c r="E390" s="32"/>
      <c r="F390" s="32"/>
      <c r="G390" s="32"/>
      <c r="H390" s="32"/>
    </row>
    <row r="391" customHeight="1" spans="1:8">
      <c r="A391" s="32"/>
      <c r="B391" s="32"/>
      <c r="C391" s="32"/>
      <c r="E391" s="32"/>
      <c r="F391" s="32"/>
      <c r="G391" s="32"/>
      <c r="H391" s="32"/>
    </row>
    <row r="392" customHeight="1" spans="1:8">
      <c r="A392" s="32"/>
      <c r="B392" s="32"/>
      <c r="C392" s="32"/>
      <c r="E392" s="32"/>
      <c r="F392" s="32"/>
      <c r="G392" s="32"/>
      <c r="H392" s="32"/>
    </row>
    <row r="393" customHeight="1" spans="1:8">
      <c r="A393" s="32"/>
      <c r="B393" s="32"/>
      <c r="C393" s="32"/>
      <c r="E393" s="32"/>
      <c r="F393" s="32"/>
      <c r="G393" s="32"/>
      <c r="H393" s="32"/>
    </row>
    <row r="394" customHeight="1" spans="1:8">
      <c r="A394" s="32"/>
      <c r="B394" s="32"/>
      <c r="C394" s="32"/>
      <c r="E394" s="32"/>
      <c r="F394" s="32"/>
      <c r="G394" s="32"/>
      <c r="H394" s="32"/>
    </row>
    <row r="395" customHeight="1" spans="1:8">
      <c r="A395" s="32"/>
      <c r="B395" s="32"/>
      <c r="C395" s="32"/>
      <c r="E395" s="32"/>
      <c r="F395" s="32"/>
      <c r="G395" s="32"/>
      <c r="H395" s="32"/>
    </row>
    <row r="396" customHeight="1" spans="1:8">
      <c r="A396" s="32"/>
      <c r="B396" s="32"/>
      <c r="C396" s="32"/>
      <c r="E396" s="32"/>
      <c r="F396" s="32"/>
      <c r="G396" s="32"/>
      <c r="H396" s="32"/>
    </row>
    <row r="397" customHeight="1" spans="1:8">
      <c r="A397" s="32"/>
      <c r="B397" s="32"/>
      <c r="C397" s="32"/>
      <c r="E397" s="32"/>
      <c r="F397" s="32"/>
      <c r="G397" s="32"/>
      <c r="H397" s="32"/>
    </row>
    <row r="398" customHeight="1" spans="1:8">
      <c r="A398" s="32"/>
      <c r="B398" s="32"/>
      <c r="C398" s="32"/>
      <c r="E398" s="32"/>
      <c r="F398" s="32"/>
      <c r="G398" s="32"/>
      <c r="H398" s="32"/>
    </row>
    <row r="399" customHeight="1" spans="1:8">
      <c r="A399" s="32"/>
      <c r="B399" s="32"/>
      <c r="C399" s="32"/>
      <c r="E399" s="32"/>
      <c r="F399" s="32"/>
      <c r="G399" s="32"/>
      <c r="H399" s="32"/>
    </row>
    <row r="400" customHeight="1" spans="1:8">
      <c r="A400" s="32"/>
      <c r="B400" s="32"/>
      <c r="C400" s="32"/>
      <c r="E400" s="32"/>
      <c r="F400" s="32"/>
      <c r="G400" s="32"/>
      <c r="H400" s="32"/>
    </row>
    <row r="401" customHeight="1" spans="1:8">
      <c r="A401" s="32"/>
      <c r="B401" s="32"/>
      <c r="C401" s="32"/>
      <c r="E401" s="32"/>
      <c r="F401" s="32"/>
      <c r="G401" s="32"/>
      <c r="H401" s="32"/>
    </row>
    <row r="402" customHeight="1" spans="1:8">
      <c r="A402" s="32"/>
      <c r="B402" s="32"/>
      <c r="C402" s="32"/>
      <c r="E402" s="32"/>
      <c r="F402" s="32"/>
      <c r="G402" s="32"/>
      <c r="H402" s="32"/>
    </row>
    <row r="403" customHeight="1" spans="1:8">
      <c r="A403" s="32"/>
      <c r="B403" s="32"/>
      <c r="C403" s="32"/>
      <c r="E403" s="32"/>
      <c r="F403" s="32"/>
      <c r="G403" s="32"/>
      <c r="H403" s="32"/>
    </row>
    <row r="404" customHeight="1" spans="1:8">
      <c r="A404" s="32"/>
      <c r="B404" s="32"/>
      <c r="C404" s="32"/>
      <c r="E404" s="32"/>
      <c r="F404" s="32"/>
      <c r="G404" s="32"/>
      <c r="H404" s="32"/>
    </row>
    <row r="405" customHeight="1" spans="1:8">
      <c r="A405" s="32"/>
      <c r="B405" s="32"/>
      <c r="C405" s="32"/>
      <c r="E405" s="32"/>
      <c r="F405" s="32"/>
      <c r="G405" s="32"/>
      <c r="H405" s="32"/>
    </row>
    <row r="406" customHeight="1" spans="1:8">
      <c r="A406" s="32"/>
      <c r="B406" s="32"/>
      <c r="C406" s="32"/>
      <c r="E406" s="32"/>
      <c r="F406" s="32"/>
      <c r="G406" s="32"/>
      <c r="H406" s="32"/>
    </row>
    <row r="407" customHeight="1" spans="1:8">
      <c r="A407" s="32"/>
      <c r="B407" s="32"/>
      <c r="C407" s="32"/>
      <c r="E407" s="32"/>
      <c r="F407" s="32"/>
      <c r="G407" s="32"/>
      <c r="H407" s="32"/>
    </row>
    <row r="408" customHeight="1" spans="1:8">
      <c r="A408" s="32"/>
      <c r="B408" s="32"/>
      <c r="C408" s="32"/>
      <c r="E408" s="32"/>
      <c r="F408" s="32"/>
      <c r="G408" s="32"/>
      <c r="H408" s="32"/>
    </row>
    <row r="409" customHeight="1" spans="1:8">
      <c r="A409" s="32"/>
      <c r="B409" s="32"/>
      <c r="C409" s="32"/>
      <c r="E409" s="32"/>
      <c r="F409" s="32"/>
      <c r="G409" s="32"/>
      <c r="H409" s="32"/>
    </row>
    <row r="410" customHeight="1" spans="1:8">
      <c r="A410" s="32"/>
      <c r="B410" s="32"/>
      <c r="C410" s="32"/>
      <c r="E410" s="32"/>
      <c r="F410" s="32"/>
      <c r="G410" s="32"/>
      <c r="H410" s="32"/>
    </row>
    <row r="411" customHeight="1" spans="1:8">
      <c r="A411" s="32"/>
      <c r="B411" s="32"/>
      <c r="C411" s="32"/>
      <c r="E411" s="32"/>
      <c r="F411" s="32"/>
      <c r="G411" s="32"/>
      <c r="H411" s="32"/>
    </row>
    <row r="412" customHeight="1" spans="1:8">
      <c r="A412" s="32"/>
      <c r="B412" s="32"/>
      <c r="C412" s="32"/>
      <c r="E412" s="32"/>
      <c r="F412" s="32"/>
      <c r="G412" s="32"/>
      <c r="H412" s="32"/>
    </row>
    <row r="413" customHeight="1" spans="1:8">
      <c r="A413" s="32"/>
      <c r="B413" s="32"/>
      <c r="C413" s="32"/>
      <c r="E413" s="32"/>
      <c r="F413" s="32"/>
      <c r="G413" s="32"/>
      <c r="H413" s="32"/>
    </row>
    <row r="414" customHeight="1" spans="1:8">
      <c r="A414" s="32"/>
      <c r="B414" s="32"/>
      <c r="C414" s="32"/>
      <c r="E414" s="32"/>
      <c r="F414" s="32"/>
      <c r="G414" s="32"/>
      <c r="H414" s="32"/>
    </row>
    <row r="415" customHeight="1" spans="1:8">
      <c r="A415" s="32"/>
      <c r="B415" s="32"/>
      <c r="C415" s="32"/>
      <c r="E415" s="32"/>
      <c r="F415" s="32"/>
      <c r="G415" s="32"/>
      <c r="H415" s="32"/>
    </row>
    <row r="416" customHeight="1" spans="1:8">
      <c r="A416" s="32"/>
      <c r="B416" s="32"/>
      <c r="C416" s="32"/>
      <c r="E416" s="32"/>
      <c r="F416" s="32"/>
      <c r="G416" s="32"/>
      <c r="H416" s="32"/>
    </row>
    <row r="417" customHeight="1" spans="1:8">
      <c r="A417" s="32"/>
      <c r="B417" s="32"/>
      <c r="C417" s="32"/>
      <c r="E417" s="32"/>
      <c r="F417" s="32"/>
      <c r="G417" s="32"/>
      <c r="H417" s="32"/>
    </row>
    <row r="418" customHeight="1" spans="1:8">
      <c r="A418" s="32"/>
      <c r="B418" s="32"/>
      <c r="C418" s="32"/>
      <c r="E418" s="32"/>
      <c r="F418" s="32"/>
      <c r="G418" s="32"/>
      <c r="H418" s="32"/>
    </row>
    <row r="419" customHeight="1" spans="1:8">
      <c r="A419" s="32"/>
      <c r="B419" s="32"/>
      <c r="C419" s="32"/>
      <c r="E419" s="32"/>
      <c r="F419" s="32"/>
      <c r="G419" s="32"/>
      <c r="H419" s="32"/>
    </row>
    <row r="420" customHeight="1" spans="1:8">
      <c r="A420" s="32"/>
      <c r="B420" s="32"/>
      <c r="C420" s="32"/>
      <c r="E420" s="32"/>
      <c r="F420" s="32"/>
      <c r="G420" s="32"/>
      <c r="H420" s="32"/>
    </row>
    <row r="421" customHeight="1" spans="1:8">
      <c r="A421" s="32"/>
      <c r="B421" s="32"/>
      <c r="C421" s="32"/>
      <c r="E421" s="32"/>
      <c r="F421" s="32"/>
      <c r="G421" s="32"/>
      <c r="H421" s="32"/>
    </row>
    <row r="422" customHeight="1" spans="1:8">
      <c r="A422" s="32"/>
      <c r="B422" s="32"/>
      <c r="C422" s="32"/>
      <c r="E422" s="32"/>
      <c r="F422" s="32"/>
      <c r="G422" s="32"/>
      <c r="H422" s="32"/>
    </row>
    <row r="423" customHeight="1" spans="1:8">
      <c r="A423" s="32"/>
      <c r="B423" s="32"/>
      <c r="C423" s="32"/>
      <c r="E423" s="32"/>
      <c r="F423" s="32"/>
      <c r="G423" s="32"/>
      <c r="H423" s="32"/>
    </row>
    <row r="424" customHeight="1" spans="1:8">
      <c r="A424" s="32"/>
      <c r="B424" s="32"/>
      <c r="C424" s="32"/>
      <c r="E424" s="32"/>
      <c r="F424" s="32"/>
      <c r="G424" s="32"/>
      <c r="H424" s="32"/>
    </row>
    <row r="425" customHeight="1" spans="1:8">
      <c r="A425" s="32"/>
      <c r="B425" s="32"/>
      <c r="C425" s="32"/>
      <c r="E425" s="32"/>
      <c r="F425" s="32"/>
      <c r="G425" s="32"/>
      <c r="H425" s="32"/>
    </row>
    <row r="426" customHeight="1" spans="1:8">
      <c r="A426" s="32"/>
      <c r="B426" s="32"/>
      <c r="C426" s="32"/>
      <c r="E426" s="32"/>
      <c r="F426" s="32"/>
      <c r="G426" s="32"/>
      <c r="H426" s="32"/>
    </row>
    <row r="427" customHeight="1" spans="1:8">
      <c r="A427" s="32"/>
      <c r="B427" s="32"/>
      <c r="C427" s="32"/>
      <c r="E427" s="32"/>
      <c r="F427" s="32"/>
      <c r="G427" s="32"/>
      <c r="H427" s="32"/>
    </row>
    <row r="428" customHeight="1" spans="1:8">
      <c r="A428" s="32"/>
      <c r="B428" s="32"/>
      <c r="C428" s="32"/>
      <c r="E428" s="32"/>
      <c r="F428" s="32"/>
      <c r="G428" s="32"/>
      <c r="H428" s="32"/>
    </row>
    <row r="429" customHeight="1" spans="1:8">
      <c r="A429" s="32"/>
      <c r="B429" s="32"/>
      <c r="C429" s="32"/>
      <c r="E429" s="32"/>
      <c r="F429" s="32"/>
      <c r="G429" s="32"/>
      <c r="H429" s="32"/>
    </row>
    <row r="430" customHeight="1" spans="1:8">
      <c r="A430" s="32"/>
      <c r="B430" s="32"/>
      <c r="C430" s="32"/>
      <c r="E430" s="32"/>
      <c r="F430" s="32"/>
      <c r="G430" s="32"/>
      <c r="H430" s="32"/>
    </row>
    <row r="431" customHeight="1" spans="1:8">
      <c r="A431" s="32"/>
      <c r="B431" s="32"/>
      <c r="C431" s="32"/>
      <c r="E431" s="32"/>
      <c r="F431" s="32"/>
      <c r="G431" s="32"/>
      <c r="H431" s="32"/>
    </row>
    <row r="432" customHeight="1" spans="1:8">
      <c r="A432" s="32"/>
      <c r="B432" s="32"/>
      <c r="C432" s="32"/>
      <c r="E432" s="32"/>
      <c r="F432" s="32"/>
      <c r="G432" s="32"/>
      <c r="H432" s="32"/>
    </row>
    <row r="433" customHeight="1" spans="1:8">
      <c r="A433" s="32"/>
      <c r="B433" s="32"/>
      <c r="C433" s="32"/>
      <c r="E433" s="32"/>
      <c r="F433" s="32"/>
      <c r="G433" s="32"/>
      <c r="H433" s="32"/>
    </row>
    <row r="434" customHeight="1" spans="1:8">
      <c r="A434" s="32"/>
      <c r="B434" s="32"/>
      <c r="C434" s="32"/>
      <c r="E434" s="32"/>
      <c r="F434" s="32"/>
      <c r="G434" s="32"/>
      <c r="H434" s="32"/>
    </row>
    <row r="435" customHeight="1" spans="1:8">
      <c r="A435" s="32"/>
      <c r="B435" s="32"/>
      <c r="C435" s="32"/>
      <c r="E435" s="32"/>
      <c r="F435" s="32"/>
      <c r="G435" s="32"/>
      <c r="H435" s="32"/>
    </row>
    <row r="436" customHeight="1" spans="1:8">
      <c r="A436" s="32"/>
      <c r="B436" s="32"/>
      <c r="C436" s="32"/>
      <c r="E436" s="32"/>
      <c r="F436" s="32"/>
      <c r="G436" s="32"/>
      <c r="H436" s="32"/>
    </row>
    <row r="437" customHeight="1" spans="1:8">
      <c r="A437" s="32"/>
      <c r="B437" s="32"/>
      <c r="C437" s="32"/>
      <c r="E437" s="32"/>
      <c r="F437" s="32"/>
      <c r="G437" s="32"/>
      <c r="H437" s="32"/>
    </row>
    <row r="438" customHeight="1" spans="1:8">
      <c r="A438" s="32"/>
      <c r="B438" s="32"/>
      <c r="C438" s="32"/>
      <c r="E438" s="32"/>
      <c r="F438" s="32"/>
      <c r="G438" s="32"/>
      <c r="H438" s="32"/>
    </row>
    <row r="439" customHeight="1" spans="1:8">
      <c r="A439" s="32"/>
      <c r="B439" s="32"/>
      <c r="C439" s="32"/>
      <c r="E439" s="32"/>
      <c r="F439" s="32"/>
      <c r="G439" s="32"/>
      <c r="H439" s="32"/>
    </row>
    <row r="440" customHeight="1" spans="1:8">
      <c r="A440" s="32"/>
      <c r="B440" s="32"/>
      <c r="C440" s="32"/>
      <c r="E440" s="32"/>
      <c r="F440" s="32"/>
      <c r="G440" s="32"/>
      <c r="H440" s="32"/>
    </row>
    <row r="441" customHeight="1" spans="1:8">
      <c r="A441" s="32"/>
      <c r="B441" s="32"/>
      <c r="C441" s="32"/>
      <c r="E441" s="32"/>
      <c r="F441" s="32"/>
      <c r="G441" s="32"/>
      <c r="H441" s="32"/>
    </row>
    <row r="442" customHeight="1" spans="1:8">
      <c r="A442" s="32"/>
      <c r="B442" s="32"/>
      <c r="C442" s="32"/>
      <c r="E442" s="32"/>
      <c r="F442" s="32"/>
      <c r="G442" s="32"/>
      <c r="H442" s="32"/>
    </row>
    <row r="443" customHeight="1" spans="1:8">
      <c r="A443" s="32"/>
      <c r="B443" s="32"/>
      <c r="C443" s="32"/>
      <c r="E443" s="32"/>
      <c r="F443" s="32"/>
      <c r="G443" s="32"/>
      <c r="H443" s="32"/>
    </row>
    <row r="444" customHeight="1" spans="1:8">
      <c r="A444" s="32"/>
      <c r="B444" s="32"/>
      <c r="C444" s="32"/>
      <c r="E444" s="32"/>
      <c r="F444" s="32"/>
      <c r="G444" s="32"/>
      <c r="H444" s="32"/>
    </row>
    <row r="445" customHeight="1" spans="1:8">
      <c r="A445" s="32"/>
      <c r="B445" s="32"/>
      <c r="C445" s="32"/>
      <c r="E445" s="32"/>
      <c r="F445" s="32"/>
      <c r="G445" s="32"/>
      <c r="H445" s="32"/>
    </row>
    <row r="446" customHeight="1" spans="1:8">
      <c r="A446" s="32"/>
      <c r="B446" s="32"/>
      <c r="C446" s="32"/>
      <c r="E446" s="32"/>
      <c r="F446" s="32"/>
      <c r="G446" s="32"/>
      <c r="H446" s="32"/>
    </row>
    <row r="447" customHeight="1" spans="1:8">
      <c r="A447" s="32"/>
      <c r="B447" s="32"/>
      <c r="C447" s="32"/>
      <c r="E447" s="32"/>
      <c r="F447" s="32"/>
      <c r="G447" s="32"/>
      <c r="H447" s="32"/>
    </row>
    <row r="448" customHeight="1" spans="1:8">
      <c r="A448" s="32"/>
      <c r="B448" s="32"/>
      <c r="C448" s="32"/>
      <c r="E448" s="32"/>
      <c r="F448" s="32"/>
      <c r="G448" s="32"/>
      <c r="H448" s="32"/>
    </row>
    <row r="449" customHeight="1" spans="1:8">
      <c r="A449" s="32"/>
      <c r="B449" s="32"/>
      <c r="C449" s="32"/>
      <c r="E449" s="32"/>
      <c r="F449" s="32"/>
      <c r="G449" s="32"/>
      <c r="H449" s="32"/>
    </row>
    <row r="450" customHeight="1" spans="1:8">
      <c r="A450" s="32"/>
      <c r="B450" s="32"/>
      <c r="C450" s="32"/>
      <c r="E450" s="32"/>
      <c r="F450" s="32"/>
      <c r="G450" s="32"/>
      <c r="H450" s="32"/>
    </row>
    <row r="451" customHeight="1" spans="1:8">
      <c r="A451" s="32"/>
      <c r="B451" s="32"/>
      <c r="C451" s="32"/>
      <c r="E451" s="32"/>
      <c r="F451" s="32"/>
      <c r="G451" s="32"/>
      <c r="H451" s="32"/>
    </row>
    <row r="452" customHeight="1" spans="1:8">
      <c r="A452" s="32"/>
      <c r="B452" s="32"/>
      <c r="C452" s="32"/>
      <c r="E452" s="32"/>
      <c r="F452" s="32"/>
      <c r="G452" s="32"/>
      <c r="H452" s="32"/>
    </row>
    <row r="453" customHeight="1" spans="1:8">
      <c r="A453" s="32"/>
      <c r="B453" s="32"/>
      <c r="C453" s="32"/>
      <c r="E453" s="32"/>
      <c r="F453" s="32"/>
      <c r="G453" s="32"/>
      <c r="H453" s="32"/>
    </row>
    <row r="454" customHeight="1" spans="1:8">
      <c r="A454" s="32"/>
      <c r="B454" s="32"/>
      <c r="C454" s="32"/>
      <c r="E454" s="32"/>
      <c r="F454" s="32"/>
      <c r="G454" s="32"/>
      <c r="H454" s="32"/>
    </row>
    <row r="455" customHeight="1" spans="1:8">
      <c r="A455" s="32"/>
      <c r="B455" s="32"/>
      <c r="C455" s="32"/>
      <c r="E455" s="32"/>
      <c r="F455" s="32"/>
      <c r="G455" s="32"/>
      <c r="H455" s="32"/>
    </row>
    <row r="456" customHeight="1" spans="1:8">
      <c r="A456" s="32"/>
      <c r="B456" s="32"/>
      <c r="C456" s="32"/>
      <c r="E456" s="32"/>
      <c r="F456" s="32"/>
      <c r="G456" s="32"/>
      <c r="H456" s="32"/>
    </row>
    <row r="457" customHeight="1" spans="1:8">
      <c r="A457" s="32"/>
      <c r="B457" s="32"/>
      <c r="C457" s="32"/>
      <c r="E457" s="32"/>
      <c r="F457" s="32"/>
      <c r="G457" s="32"/>
      <c r="H457" s="32"/>
    </row>
    <row r="458" customHeight="1" spans="1:8">
      <c r="A458" s="32"/>
      <c r="B458" s="32"/>
      <c r="C458" s="32"/>
      <c r="E458" s="32"/>
      <c r="F458" s="32"/>
      <c r="G458" s="32"/>
      <c r="H458" s="32"/>
    </row>
    <row r="459" customHeight="1" spans="1:8">
      <c r="A459" s="32"/>
      <c r="B459" s="32"/>
      <c r="C459" s="32"/>
      <c r="E459" s="32"/>
      <c r="F459" s="32"/>
      <c r="G459" s="32"/>
      <c r="H459" s="32"/>
    </row>
    <row r="460" customHeight="1" spans="1:8">
      <c r="A460" s="32"/>
      <c r="B460" s="32"/>
      <c r="C460" s="32"/>
      <c r="E460" s="32"/>
      <c r="F460" s="32"/>
      <c r="G460" s="32"/>
      <c r="H460" s="32"/>
    </row>
    <row r="461" customHeight="1" spans="1:8">
      <c r="A461" s="32"/>
      <c r="B461" s="32"/>
      <c r="C461" s="32"/>
      <c r="E461" s="32"/>
      <c r="F461" s="32"/>
      <c r="G461" s="32"/>
      <c r="H461" s="32"/>
    </row>
    <row r="462" customHeight="1" spans="1:8">
      <c r="A462" s="32"/>
      <c r="B462" s="32"/>
      <c r="C462" s="32"/>
      <c r="E462" s="32"/>
      <c r="F462" s="32"/>
      <c r="G462" s="32"/>
      <c r="H462" s="32"/>
    </row>
    <row r="463" customHeight="1" spans="1:8">
      <c r="A463" s="32"/>
      <c r="B463" s="32"/>
      <c r="C463" s="32"/>
      <c r="E463" s="32"/>
      <c r="F463" s="32"/>
      <c r="G463" s="32"/>
      <c r="H463" s="32"/>
    </row>
    <row r="464" customHeight="1" spans="1:8">
      <c r="A464" s="32"/>
      <c r="B464" s="32"/>
      <c r="C464" s="32"/>
      <c r="E464" s="32"/>
      <c r="F464" s="32"/>
      <c r="G464" s="32"/>
      <c r="H464" s="32"/>
    </row>
    <row r="465" customHeight="1" spans="1:8">
      <c r="A465" s="32"/>
      <c r="B465" s="32"/>
      <c r="C465" s="32"/>
      <c r="E465" s="32"/>
      <c r="F465" s="32"/>
      <c r="G465" s="32"/>
      <c r="H465" s="32"/>
    </row>
    <row r="466" customHeight="1" spans="1:8">
      <c r="A466" s="32"/>
      <c r="B466" s="32"/>
      <c r="C466" s="32"/>
      <c r="E466" s="32"/>
      <c r="F466" s="32"/>
      <c r="G466" s="32"/>
      <c r="H466" s="32"/>
    </row>
    <row r="467" customHeight="1" spans="1:8">
      <c r="A467" s="32"/>
      <c r="B467" s="32"/>
      <c r="C467" s="32"/>
      <c r="E467" s="32"/>
      <c r="F467" s="32"/>
      <c r="G467" s="32"/>
      <c r="H467" s="32"/>
    </row>
    <row r="468" customHeight="1" spans="1:8">
      <c r="A468" s="32"/>
      <c r="B468" s="32"/>
      <c r="C468" s="32"/>
      <c r="E468" s="32"/>
      <c r="F468" s="32"/>
      <c r="G468" s="32"/>
      <c r="H468" s="32"/>
    </row>
    <row r="469" customHeight="1" spans="1:8">
      <c r="A469" s="32"/>
      <c r="B469" s="32"/>
      <c r="C469" s="32"/>
      <c r="E469" s="32"/>
      <c r="F469" s="32"/>
      <c r="G469" s="32"/>
      <c r="H469" s="32"/>
    </row>
    <row r="470" customHeight="1" spans="1:8">
      <c r="A470" s="32"/>
      <c r="B470" s="32"/>
      <c r="C470" s="32"/>
      <c r="E470" s="32"/>
      <c r="F470" s="32"/>
      <c r="G470" s="32"/>
      <c r="H470" s="32"/>
    </row>
    <row r="471" customHeight="1" spans="1:8">
      <c r="A471" s="32"/>
      <c r="B471" s="32"/>
      <c r="C471" s="32"/>
      <c r="E471" s="32"/>
      <c r="F471" s="32"/>
      <c r="G471" s="32"/>
      <c r="H471" s="32"/>
    </row>
    <row r="472" customHeight="1" spans="1:8">
      <c r="A472" s="32"/>
      <c r="B472" s="32"/>
      <c r="C472" s="32"/>
      <c r="E472" s="32"/>
      <c r="F472" s="32"/>
      <c r="G472" s="32"/>
      <c r="H472" s="32"/>
    </row>
    <row r="473" customHeight="1" spans="1:8">
      <c r="A473" s="32"/>
      <c r="B473" s="32"/>
      <c r="C473" s="32"/>
      <c r="E473" s="32"/>
      <c r="F473" s="32"/>
      <c r="G473" s="32"/>
      <c r="H473" s="32"/>
    </row>
    <row r="474" customHeight="1" spans="1:8">
      <c r="A474" s="32"/>
      <c r="B474" s="32"/>
      <c r="C474" s="32"/>
      <c r="E474" s="32"/>
      <c r="F474" s="32"/>
      <c r="G474" s="32"/>
      <c r="H474" s="32"/>
    </row>
    <row r="475" customHeight="1" spans="1:8">
      <c r="A475" s="32"/>
      <c r="B475" s="32"/>
      <c r="C475" s="32"/>
      <c r="E475" s="32"/>
      <c r="F475" s="32"/>
      <c r="G475" s="32"/>
      <c r="H475" s="32"/>
    </row>
    <row r="476" customHeight="1" spans="1:8">
      <c r="A476" s="32"/>
      <c r="B476" s="32"/>
      <c r="C476" s="32"/>
      <c r="E476" s="32"/>
      <c r="F476" s="32"/>
      <c r="G476" s="32"/>
      <c r="H476" s="32"/>
    </row>
    <row r="477" customHeight="1" spans="1:8">
      <c r="A477" s="32"/>
      <c r="B477" s="32"/>
      <c r="C477" s="32"/>
      <c r="E477" s="32"/>
      <c r="F477" s="32"/>
      <c r="G477" s="32"/>
      <c r="H477" s="32"/>
    </row>
    <row r="478" customHeight="1" spans="1:8">
      <c r="A478" s="32"/>
      <c r="B478" s="32"/>
      <c r="C478" s="32"/>
      <c r="E478" s="32"/>
      <c r="F478" s="32"/>
      <c r="G478" s="32"/>
      <c r="H478" s="32"/>
    </row>
    <row r="479" customHeight="1" spans="1:8">
      <c r="A479" s="32"/>
      <c r="B479" s="32"/>
      <c r="C479" s="32"/>
      <c r="E479" s="32"/>
      <c r="F479" s="32"/>
      <c r="G479" s="32"/>
      <c r="H479" s="32"/>
    </row>
    <row r="480" customHeight="1" spans="1:8">
      <c r="A480" s="32"/>
      <c r="B480" s="32"/>
      <c r="C480" s="32"/>
      <c r="E480" s="32"/>
      <c r="F480" s="32"/>
      <c r="G480" s="32"/>
      <c r="H480" s="32"/>
    </row>
    <row r="481" customHeight="1" spans="1:8">
      <c r="A481" s="32"/>
      <c r="B481" s="32"/>
      <c r="C481" s="32"/>
      <c r="E481" s="32"/>
      <c r="F481" s="32"/>
      <c r="G481" s="32"/>
      <c r="H481" s="32"/>
    </row>
    <row r="482" customHeight="1" spans="1:8">
      <c r="A482" s="32"/>
      <c r="B482" s="32"/>
      <c r="C482" s="32"/>
      <c r="E482" s="32"/>
      <c r="F482" s="32"/>
      <c r="G482" s="32"/>
      <c r="H482" s="32"/>
    </row>
    <row r="483" customHeight="1" spans="1:8">
      <c r="A483" s="32"/>
      <c r="B483" s="32"/>
      <c r="C483" s="32"/>
      <c r="E483" s="32"/>
      <c r="F483" s="32"/>
      <c r="G483" s="32"/>
      <c r="H483" s="32"/>
    </row>
    <row r="484" customHeight="1" spans="1:8">
      <c r="A484" s="32"/>
      <c r="B484" s="32"/>
      <c r="C484" s="32"/>
      <c r="E484" s="32"/>
      <c r="F484" s="32"/>
      <c r="G484" s="32"/>
      <c r="H484" s="32"/>
    </row>
    <row r="485" customHeight="1" spans="1:8">
      <c r="A485" s="32"/>
      <c r="B485" s="32"/>
      <c r="C485" s="32"/>
      <c r="E485" s="32"/>
      <c r="F485" s="32"/>
      <c r="G485" s="32"/>
      <c r="H485" s="32"/>
    </row>
    <row r="486" customHeight="1" spans="1:8">
      <c r="A486" s="32"/>
      <c r="B486" s="32"/>
      <c r="C486" s="32"/>
      <c r="E486" s="32"/>
      <c r="F486" s="32"/>
      <c r="G486" s="32"/>
      <c r="H486" s="32"/>
    </row>
    <row r="487" customHeight="1" spans="1:8">
      <c r="A487" s="32"/>
      <c r="B487" s="32"/>
      <c r="C487" s="32"/>
      <c r="E487" s="32"/>
      <c r="F487" s="32"/>
      <c r="G487" s="32"/>
      <c r="H487" s="32"/>
    </row>
    <row r="488" customHeight="1" spans="1:8">
      <c r="A488" s="32"/>
      <c r="B488" s="32"/>
      <c r="C488" s="32"/>
      <c r="E488" s="32"/>
      <c r="F488" s="32"/>
      <c r="G488" s="32"/>
      <c r="H488" s="32"/>
    </row>
    <row r="489" customHeight="1" spans="1:8">
      <c r="A489" s="32"/>
      <c r="B489" s="32"/>
      <c r="C489" s="32"/>
      <c r="E489" s="32"/>
      <c r="F489" s="32"/>
      <c r="G489" s="32"/>
      <c r="H489" s="32"/>
    </row>
    <row r="490" customHeight="1" spans="1:8">
      <c r="A490" s="32"/>
      <c r="B490" s="32"/>
      <c r="C490" s="32"/>
      <c r="E490" s="32"/>
      <c r="F490" s="32"/>
      <c r="G490" s="32"/>
      <c r="H490" s="32"/>
    </row>
    <row r="491" customHeight="1" spans="1:8">
      <c r="A491" s="32"/>
      <c r="B491" s="32"/>
      <c r="C491" s="32"/>
      <c r="E491" s="32"/>
      <c r="F491" s="32"/>
      <c r="G491" s="32"/>
      <c r="H491" s="32"/>
    </row>
    <row r="492" customHeight="1" spans="1:8">
      <c r="A492" s="32"/>
      <c r="B492" s="32"/>
      <c r="C492" s="32"/>
      <c r="E492" s="32"/>
      <c r="F492" s="32"/>
      <c r="G492" s="32"/>
      <c r="H492" s="32"/>
    </row>
    <row r="493" customHeight="1" spans="1:8">
      <c r="A493" s="32"/>
      <c r="B493" s="32"/>
      <c r="C493" s="32"/>
      <c r="E493" s="32"/>
      <c r="F493" s="32"/>
      <c r="G493" s="32"/>
      <c r="H493" s="32"/>
    </row>
    <row r="494" customHeight="1" spans="1:8">
      <c r="A494" s="32"/>
      <c r="B494" s="32"/>
      <c r="C494" s="32"/>
      <c r="E494" s="32"/>
      <c r="F494" s="32"/>
      <c r="G494" s="32"/>
      <c r="H494" s="32"/>
    </row>
    <row r="495" customHeight="1" spans="1:8">
      <c r="A495" s="32"/>
      <c r="B495" s="32"/>
      <c r="C495" s="32"/>
      <c r="E495" s="32"/>
      <c r="F495" s="32"/>
      <c r="G495" s="32"/>
      <c r="H495" s="32"/>
    </row>
    <row r="496" customHeight="1" spans="1:8">
      <c r="A496" s="32"/>
      <c r="B496" s="32"/>
      <c r="C496" s="32"/>
      <c r="E496" s="32"/>
      <c r="F496" s="32"/>
      <c r="G496" s="32"/>
      <c r="H496" s="32"/>
    </row>
    <row r="497" customHeight="1" spans="1:8">
      <c r="A497" s="32"/>
      <c r="B497" s="32"/>
      <c r="C497" s="32"/>
      <c r="E497" s="32"/>
      <c r="F497" s="32"/>
      <c r="G497" s="32"/>
      <c r="H497" s="32"/>
    </row>
    <row r="498" customHeight="1" spans="1:8">
      <c r="A498" s="32"/>
      <c r="B498" s="32"/>
      <c r="C498" s="32"/>
      <c r="E498" s="32"/>
      <c r="F498" s="32"/>
      <c r="G498" s="32"/>
      <c r="H498" s="32"/>
    </row>
    <row r="499" customHeight="1" spans="1:8">
      <c r="A499" s="32"/>
      <c r="B499" s="32"/>
      <c r="C499" s="32"/>
      <c r="E499" s="32"/>
      <c r="F499" s="32"/>
      <c r="G499" s="32"/>
      <c r="H499" s="32"/>
    </row>
    <row r="500" customHeight="1" spans="1:8">
      <c r="A500" s="32"/>
      <c r="B500" s="32"/>
      <c r="C500" s="32"/>
      <c r="E500" s="32"/>
      <c r="F500" s="32"/>
      <c r="G500" s="32"/>
      <c r="H500" s="32"/>
    </row>
    <row r="501" customHeight="1" spans="1:8">
      <c r="A501" s="32"/>
      <c r="B501" s="32"/>
      <c r="C501" s="32"/>
      <c r="E501" s="32"/>
      <c r="F501" s="32"/>
      <c r="G501" s="32"/>
      <c r="H501" s="32"/>
    </row>
    <row r="502" customHeight="1" spans="1:8">
      <c r="A502" s="32"/>
      <c r="B502" s="32"/>
      <c r="C502" s="32"/>
      <c r="E502" s="32"/>
      <c r="F502" s="32"/>
      <c r="G502" s="32"/>
      <c r="H502" s="32"/>
    </row>
    <row r="503" customHeight="1" spans="1:8">
      <c r="A503" s="32"/>
      <c r="B503" s="32"/>
      <c r="C503" s="32"/>
      <c r="E503" s="32"/>
      <c r="F503" s="32"/>
      <c r="G503" s="32"/>
      <c r="H503" s="32"/>
    </row>
    <row r="504" customHeight="1" spans="1:8">
      <c r="A504" s="32"/>
      <c r="B504" s="32"/>
      <c r="C504" s="32"/>
      <c r="E504" s="32"/>
      <c r="F504" s="32"/>
      <c r="G504" s="32"/>
      <c r="H504" s="32"/>
    </row>
    <row r="505" customHeight="1" spans="1:8">
      <c r="A505" s="32"/>
      <c r="B505" s="32"/>
      <c r="C505" s="32"/>
      <c r="E505" s="32"/>
      <c r="F505" s="32"/>
      <c r="G505" s="32"/>
      <c r="H505" s="32"/>
    </row>
    <row r="506" customHeight="1" spans="1:8">
      <c r="A506" s="32"/>
      <c r="B506" s="32"/>
      <c r="C506" s="32"/>
      <c r="E506" s="32"/>
      <c r="F506" s="32"/>
      <c r="G506" s="32"/>
      <c r="H506" s="32"/>
    </row>
    <row r="507" customHeight="1" spans="1:8">
      <c r="A507" s="32"/>
      <c r="B507" s="32"/>
      <c r="C507" s="32"/>
      <c r="E507" s="32"/>
      <c r="F507" s="32"/>
      <c r="G507" s="32"/>
      <c r="H507" s="32"/>
    </row>
    <row r="508" customHeight="1" spans="1:8">
      <c r="A508" s="32"/>
      <c r="B508" s="32"/>
      <c r="C508" s="32"/>
      <c r="E508" s="32"/>
      <c r="F508" s="32"/>
      <c r="G508" s="32"/>
      <c r="H508" s="32"/>
    </row>
    <row r="509" customHeight="1" spans="1:8">
      <c r="A509" s="32"/>
      <c r="B509" s="32"/>
      <c r="C509" s="32"/>
      <c r="E509" s="32"/>
      <c r="F509" s="32"/>
      <c r="G509" s="32"/>
      <c r="H509" s="32"/>
    </row>
    <row r="510" customHeight="1" spans="1:8">
      <c r="A510" s="32"/>
      <c r="B510" s="32"/>
      <c r="C510" s="32"/>
      <c r="E510" s="32"/>
      <c r="F510" s="32"/>
      <c r="G510" s="32"/>
      <c r="H510" s="32"/>
    </row>
    <row r="511" customHeight="1" spans="1:8">
      <c r="A511" s="32"/>
      <c r="B511" s="32"/>
      <c r="C511" s="32"/>
      <c r="E511" s="32"/>
      <c r="F511" s="32"/>
      <c r="G511" s="32"/>
      <c r="H511" s="32"/>
    </row>
    <row r="512" customHeight="1" spans="1:8">
      <c r="A512" s="32"/>
      <c r="B512" s="32"/>
      <c r="C512" s="32"/>
      <c r="E512" s="32"/>
      <c r="F512" s="32"/>
      <c r="G512" s="32"/>
      <c r="H512" s="32"/>
    </row>
    <row r="513" customHeight="1" spans="1:8">
      <c r="A513" s="32"/>
      <c r="B513" s="32"/>
      <c r="C513" s="32"/>
      <c r="E513" s="32"/>
      <c r="F513" s="32"/>
      <c r="G513" s="32"/>
      <c r="H513" s="32"/>
    </row>
    <row r="514" customHeight="1" spans="1:8">
      <c r="A514" s="32"/>
      <c r="B514" s="32"/>
      <c r="C514" s="32"/>
      <c r="E514" s="32"/>
      <c r="F514" s="32"/>
      <c r="G514" s="32"/>
      <c r="H514" s="32"/>
    </row>
    <row r="515" customHeight="1" spans="1:8">
      <c r="A515" s="32"/>
      <c r="B515" s="32"/>
      <c r="C515" s="32"/>
      <c r="E515" s="32"/>
      <c r="F515" s="32"/>
      <c r="G515" s="32"/>
      <c r="H515" s="32"/>
    </row>
    <row r="516" customHeight="1" spans="1:8">
      <c r="A516" s="32"/>
      <c r="B516" s="32"/>
      <c r="C516" s="32"/>
      <c r="E516" s="32"/>
      <c r="F516" s="32"/>
      <c r="G516" s="32"/>
      <c r="H516" s="32"/>
    </row>
    <row r="517" customHeight="1" spans="1:8">
      <c r="A517" s="32"/>
      <c r="B517" s="32"/>
      <c r="C517" s="32"/>
      <c r="E517" s="32"/>
      <c r="F517" s="32"/>
      <c r="G517" s="32"/>
      <c r="H517" s="32"/>
    </row>
    <row r="518" customHeight="1" spans="1:8">
      <c r="A518" s="32"/>
      <c r="B518" s="32"/>
      <c r="C518" s="32"/>
      <c r="E518" s="32"/>
      <c r="F518" s="32"/>
      <c r="G518" s="32"/>
      <c r="H518" s="32"/>
    </row>
    <row r="519" customHeight="1" spans="1:8">
      <c r="A519" s="32"/>
      <c r="B519" s="32"/>
      <c r="C519" s="32"/>
      <c r="E519" s="32"/>
      <c r="F519" s="32"/>
      <c r="G519" s="32"/>
      <c r="H519" s="32"/>
    </row>
    <row r="520" customHeight="1" spans="1:8">
      <c r="A520" s="32"/>
      <c r="B520" s="32"/>
      <c r="C520" s="32"/>
      <c r="E520" s="32"/>
      <c r="F520" s="32"/>
      <c r="G520" s="32"/>
      <c r="H520" s="32"/>
    </row>
    <row r="521" customHeight="1" spans="1:8">
      <c r="A521" s="32"/>
      <c r="B521" s="32"/>
      <c r="C521" s="32"/>
      <c r="E521" s="32"/>
      <c r="F521" s="32"/>
      <c r="G521" s="32"/>
      <c r="H521" s="32"/>
    </row>
    <row r="522" customHeight="1" spans="1:8">
      <c r="A522" s="32"/>
      <c r="B522" s="32"/>
      <c r="C522" s="32"/>
      <c r="E522" s="32"/>
      <c r="F522" s="32"/>
      <c r="G522" s="32"/>
      <c r="H522" s="32"/>
    </row>
    <row r="523" customHeight="1" spans="1:8">
      <c r="A523" s="32"/>
      <c r="B523" s="32"/>
      <c r="C523" s="32"/>
      <c r="E523" s="32"/>
      <c r="F523" s="32"/>
      <c r="G523" s="32"/>
      <c r="H523" s="32"/>
    </row>
    <row r="524" customHeight="1" spans="1:8">
      <c r="A524" s="32"/>
      <c r="B524" s="32"/>
      <c r="C524" s="32"/>
      <c r="E524" s="32"/>
      <c r="F524" s="32"/>
      <c r="G524" s="32"/>
      <c r="H524" s="32"/>
    </row>
    <row r="525" customHeight="1" spans="1:8">
      <c r="A525" s="32"/>
      <c r="B525" s="32"/>
      <c r="C525" s="32"/>
      <c r="E525" s="32"/>
      <c r="F525" s="32"/>
      <c r="G525" s="32"/>
      <c r="H525" s="32"/>
    </row>
    <row r="526" customHeight="1" spans="1:8">
      <c r="A526" s="32"/>
      <c r="B526" s="32"/>
      <c r="C526" s="32"/>
      <c r="E526" s="32"/>
      <c r="F526" s="32"/>
      <c r="G526" s="32"/>
      <c r="H526" s="32"/>
    </row>
    <row r="527" customHeight="1" spans="1:8">
      <c r="A527" s="32"/>
      <c r="B527" s="32"/>
      <c r="C527" s="32"/>
      <c r="E527" s="32"/>
      <c r="F527" s="32"/>
      <c r="G527" s="32"/>
      <c r="H527" s="32"/>
    </row>
    <row r="528" customHeight="1" spans="1:8">
      <c r="A528" s="32"/>
      <c r="B528" s="32"/>
      <c r="C528" s="32"/>
      <c r="E528" s="32"/>
      <c r="F528" s="32"/>
      <c r="G528" s="32"/>
      <c r="H528" s="32"/>
    </row>
    <row r="529" customHeight="1" spans="1:8">
      <c r="A529" s="32"/>
      <c r="B529" s="32"/>
      <c r="C529" s="32"/>
      <c r="E529" s="32"/>
      <c r="F529" s="32"/>
      <c r="G529" s="32"/>
      <c r="H529" s="32"/>
    </row>
    <row r="530" customHeight="1" spans="1:8">
      <c r="A530" s="32"/>
      <c r="B530" s="32"/>
      <c r="C530" s="32"/>
      <c r="E530" s="32"/>
      <c r="F530" s="32"/>
      <c r="G530" s="32"/>
      <c r="H530" s="32"/>
    </row>
    <row r="531" customHeight="1" spans="1:8">
      <c r="A531" s="32"/>
      <c r="B531" s="32"/>
      <c r="C531" s="32"/>
      <c r="E531" s="32"/>
      <c r="F531" s="32"/>
      <c r="G531" s="32"/>
      <c r="H531" s="32"/>
    </row>
    <row r="532" customHeight="1" spans="1:8">
      <c r="A532" s="32"/>
      <c r="B532" s="32"/>
      <c r="C532" s="32"/>
      <c r="E532" s="32"/>
      <c r="F532" s="32"/>
      <c r="G532" s="32"/>
      <c r="H532" s="32"/>
    </row>
    <row r="533" customHeight="1" spans="1:8">
      <c r="A533" s="32"/>
      <c r="B533" s="32"/>
      <c r="C533" s="32"/>
      <c r="E533" s="32"/>
      <c r="F533" s="32"/>
      <c r="G533" s="32"/>
      <c r="H533" s="32"/>
    </row>
    <row r="534" customHeight="1" spans="1:8">
      <c r="A534" s="32"/>
      <c r="B534" s="32"/>
      <c r="C534" s="32"/>
      <c r="E534" s="32"/>
      <c r="F534" s="32"/>
      <c r="G534" s="32"/>
      <c r="H534" s="32"/>
    </row>
    <row r="535" customHeight="1" spans="1:8">
      <c r="A535" s="32"/>
      <c r="B535" s="32"/>
      <c r="C535" s="32"/>
      <c r="E535" s="32"/>
      <c r="F535" s="32"/>
      <c r="G535" s="32"/>
      <c r="H535" s="32"/>
    </row>
    <row r="536" customHeight="1" spans="1:8">
      <c r="A536" s="32"/>
      <c r="B536" s="32"/>
      <c r="C536" s="32"/>
      <c r="E536" s="32"/>
      <c r="F536" s="32"/>
      <c r="G536" s="32"/>
      <c r="H536" s="32"/>
    </row>
    <row r="537" customHeight="1" spans="1:8">
      <c r="A537" s="32"/>
      <c r="B537" s="32"/>
      <c r="C537" s="32"/>
      <c r="E537" s="32"/>
      <c r="F537" s="32"/>
      <c r="G537" s="32"/>
      <c r="H537" s="32"/>
    </row>
    <row r="538" customHeight="1" spans="1:8">
      <c r="A538" s="32"/>
      <c r="B538" s="32"/>
      <c r="C538" s="32"/>
      <c r="E538" s="32"/>
      <c r="F538" s="32"/>
      <c r="G538" s="32"/>
      <c r="H538" s="32"/>
    </row>
    <row r="539" customHeight="1" spans="1:8">
      <c r="A539" s="32"/>
      <c r="B539" s="32"/>
      <c r="C539" s="32"/>
      <c r="E539" s="32"/>
      <c r="F539" s="32"/>
      <c r="G539" s="32"/>
      <c r="H539" s="32"/>
    </row>
    <row r="540" customHeight="1" spans="1:8">
      <c r="A540" s="32"/>
      <c r="B540" s="32"/>
      <c r="C540" s="32"/>
      <c r="E540" s="32"/>
      <c r="F540" s="32"/>
      <c r="G540" s="32"/>
      <c r="H540" s="32"/>
    </row>
    <row r="541" customHeight="1" spans="1:8">
      <c r="A541" s="32"/>
      <c r="B541" s="32"/>
      <c r="C541" s="32"/>
      <c r="E541" s="32"/>
      <c r="F541" s="32"/>
      <c r="G541" s="32"/>
      <c r="H541" s="32"/>
    </row>
    <row r="542" customHeight="1" spans="1:8">
      <c r="A542" s="32"/>
      <c r="B542" s="32"/>
      <c r="C542" s="32"/>
      <c r="E542" s="32"/>
      <c r="F542" s="32"/>
      <c r="G542" s="32"/>
      <c r="H542" s="32"/>
    </row>
    <row r="543" customHeight="1" spans="1:8">
      <c r="A543" s="32"/>
      <c r="B543" s="32"/>
      <c r="C543" s="32"/>
      <c r="E543" s="32"/>
      <c r="F543" s="32"/>
      <c r="G543" s="32"/>
      <c r="H543" s="32"/>
    </row>
    <row r="544" customHeight="1" spans="1:8">
      <c r="A544" s="32"/>
      <c r="B544" s="32"/>
      <c r="C544" s="32"/>
      <c r="E544" s="32"/>
      <c r="F544" s="32"/>
      <c r="G544" s="32"/>
      <c r="H544" s="32"/>
    </row>
    <row r="545" customHeight="1" spans="1:8">
      <c r="A545" s="32"/>
      <c r="B545" s="32"/>
      <c r="C545" s="32"/>
      <c r="E545" s="32"/>
      <c r="F545" s="32"/>
      <c r="G545" s="32"/>
      <c r="H545" s="32"/>
    </row>
    <row r="546" customHeight="1" spans="1:8">
      <c r="A546" s="32"/>
      <c r="B546" s="32"/>
      <c r="C546" s="32"/>
      <c r="E546" s="32"/>
      <c r="F546" s="32"/>
      <c r="G546" s="32"/>
      <c r="H546" s="32"/>
    </row>
    <row r="547" customHeight="1" spans="1:8">
      <c r="A547" s="32"/>
      <c r="B547" s="32"/>
      <c r="C547" s="32"/>
      <c r="E547" s="32"/>
      <c r="F547" s="32"/>
      <c r="G547" s="32"/>
      <c r="H547" s="32"/>
    </row>
    <row r="548" customHeight="1" spans="1:8">
      <c r="A548" s="32"/>
      <c r="B548" s="32"/>
      <c r="C548" s="32"/>
      <c r="E548" s="32"/>
      <c r="F548" s="32"/>
      <c r="G548" s="32"/>
      <c r="H548" s="32"/>
    </row>
    <row r="549" customHeight="1" spans="1:8">
      <c r="A549" s="32"/>
      <c r="B549" s="32"/>
      <c r="C549" s="32"/>
      <c r="E549" s="32"/>
      <c r="F549" s="32"/>
      <c r="G549" s="32"/>
      <c r="H549" s="32"/>
    </row>
    <row r="550" customHeight="1" spans="1:8">
      <c r="A550" s="32"/>
      <c r="B550" s="32"/>
      <c r="C550" s="32"/>
      <c r="E550" s="32"/>
      <c r="F550" s="32"/>
      <c r="G550" s="32"/>
      <c r="H550" s="32"/>
    </row>
    <row r="551" customHeight="1" spans="1:8">
      <c r="A551" s="32"/>
      <c r="B551" s="32"/>
      <c r="C551" s="32"/>
      <c r="E551" s="32"/>
      <c r="F551" s="32"/>
      <c r="G551" s="32"/>
      <c r="H551" s="32"/>
    </row>
    <row r="552" customHeight="1" spans="1:8">
      <c r="A552" s="32"/>
      <c r="B552" s="32"/>
      <c r="C552" s="32"/>
      <c r="E552" s="32"/>
      <c r="F552" s="32"/>
      <c r="G552" s="32"/>
      <c r="H552" s="32"/>
    </row>
    <row r="553" customHeight="1" spans="1:8">
      <c r="A553" s="32"/>
      <c r="B553" s="32"/>
      <c r="C553" s="32"/>
      <c r="E553" s="32"/>
      <c r="F553" s="32"/>
      <c r="G553" s="32"/>
      <c r="H553" s="32"/>
    </row>
    <row r="554" customHeight="1" spans="1:8">
      <c r="A554" s="32"/>
      <c r="B554" s="32"/>
      <c r="C554" s="32"/>
      <c r="E554" s="32"/>
      <c r="F554" s="32"/>
      <c r="G554" s="32"/>
      <c r="H554" s="32"/>
    </row>
    <row r="555" customHeight="1" spans="1:8">
      <c r="A555" s="32"/>
      <c r="B555" s="32"/>
      <c r="C555" s="32"/>
      <c r="E555" s="32"/>
      <c r="F555" s="32"/>
      <c r="G555" s="32"/>
      <c r="H555" s="32"/>
    </row>
    <row r="556" customHeight="1" spans="1:8">
      <c r="A556" s="32"/>
      <c r="B556" s="32"/>
      <c r="C556" s="32"/>
      <c r="E556" s="32"/>
      <c r="F556" s="32"/>
      <c r="G556" s="32"/>
      <c r="H556" s="32"/>
    </row>
    <row r="557" customHeight="1" spans="1:8">
      <c r="A557" s="32"/>
      <c r="B557" s="32"/>
      <c r="C557" s="32"/>
      <c r="E557" s="32"/>
      <c r="F557" s="32"/>
      <c r="G557" s="32"/>
      <c r="H557" s="32"/>
    </row>
    <row r="558" customHeight="1" spans="1:8">
      <c r="A558" s="32"/>
      <c r="B558" s="32"/>
      <c r="C558" s="32"/>
      <c r="E558" s="32"/>
      <c r="F558" s="32"/>
      <c r="G558" s="32"/>
      <c r="H558" s="32"/>
    </row>
    <row r="559" customHeight="1" spans="1:8">
      <c r="A559" s="32"/>
      <c r="B559" s="32"/>
      <c r="C559" s="32"/>
      <c r="E559" s="32"/>
      <c r="F559" s="32"/>
      <c r="G559" s="32"/>
      <c r="H559" s="32"/>
    </row>
    <row r="560" customHeight="1" spans="1:8">
      <c r="A560" s="32"/>
      <c r="B560" s="32"/>
      <c r="C560" s="32"/>
      <c r="E560" s="32"/>
      <c r="F560" s="32"/>
      <c r="G560" s="32"/>
      <c r="H560" s="32"/>
    </row>
    <row r="561" customHeight="1" spans="1:8">
      <c r="A561" s="32"/>
      <c r="B561" s="32"/>
      <c r="C561" s="32"/>
      <c r="E561" s="32"/>
      <c r="F561" s="32"/>
      <c r="G561" s="32"/>
      <c r="H561" s="32"/>
    </row>
    <row r="562" customHeight="1" spans="1:8">
      <c r="A562" s="32"/>
      <c r="B562" s="32"/>
      <c r="C562" s="32"/>
      <c r="E562" s="32"/>
      <c r="F562" s="32"/>
      <c r="G562" s="32"/>
      <c r="H562" s="32"/>
    </row>
    <row r="563" customHeight="1" spans="1:8">
      <c r="A563" s="32"/>
      <c r="B563" s="32"/>
      <c r="C563" s="32"/>
      <c r="E563" s="32"/>
      <c r="F563" s="32"/>
      <c r="G563" s="32"/>
      <c r="H563" s="32"/>
    </row>
    <row r="564" customHeight="1" spans="1:8">
      <c r="A564" s="32"/>
      <c r="B564" s="32"/>
      <c r="C564" s="32"/>
      <c r="E564" s="32"/>
      <c r="F564" s="32"/>
      <c r="G564" s="32"/>
      <c r="H564" s="32"/>
    </row>
    <row r="565" customHeight="1" spans="1:8">
      <c r="A565" s="32"/>
      <c r="B565" s="32"/>
      <c r="C565" s="32"/>
      <c r="E565" s="32"/>
      <c r="F565" s="32"/>
      <c r="G565" s="32"/>
      <c r="H565" s="32"/>
    </row>
    <row r="566" customHeight="1" spans="1:8">
      <c r="A566" s="32"/>
      <c r="B566" s="32"/>
      <c r="C566" s="32"/>
      <c r="E566" s="32"/>
      <c r="F566" s="32"/>
      <c r="G566" s="32"/>
      <c r="H566" s="32"/>
    </row>
    <row r="567" customHeight="1" spans="1:8">
      <c r="A567" s="32"/>
      <c r="B567" s="32"/>
      <c r="C567" s="32"/>
      <c r="E567" s="32"/>
      <c r="F567" s="32"/>
      <c r="G567" s="32"/>
      <c r="H567" s="32"/>
    </row>
    <row r="568" customHeight="1" spans="1:8">
      <c r="A568" s="32"/>
      <c r="B568" s="32"/>
      <c r="C568" s="32"/>
      <c r="E568" s="32"/>
      <c r="F568" s="32"/>
      <c r="G568" s="32"/>
      <c r="H568" s="32"/>
    </row>
    <row r="569" customHeight="1" spans="1:8">
      <c r="A569" s="32"/>
      <c r="B569" s="32"/>
      <c r="C569" s="32"/>
      <c r="E569" s="32"/>
      <c r="F569" s="32"/>
      <c r="G569" s="32"/>
      <c r="H569" s="32"/>
    </row>
    <row r="570" customHeight="1" spans="1:8">
      <c r="A570" s="32"/>
      <c r="B570" s="32"/>
      <c r="C570" s="32"/>
      <c r="E570" s="32"/>
      <c r="F570" s="32"/>
      <c r="G570" s="32"/>
      <c r="H570" s="32"/>
    </row>
    <row r="571" customHeight="1" spans="1:8">
      <c r="A571" s="32"/>
      <c r="B571" s="32"/>
      <c r="C571" s="32"/>
      <c r="E571" s="32"/>
      <c r="F571" s="32"/>
      <c r="G571" s="32"/>
      <c r="H571" s="32"/>
    </row>
    <row r="572" customHeight="1" spans="1:8">
      <c r="A572" s="32"/>
      <c r="B572" s="32"/>
      <c r="C572" s="32"/>
      <c r="E572" s="32"/>
      <c r="F572" s="32"/>
      <c r="G572" s="32"/>
      <c r="H572" s="32"/>
    </row>
    <row r="573" customHeight="1" spans="1:8">
      <c r="A573" s="32"/>
      <c r="B573" s="32"/>
      <c r="C573" s="32"/>
      <c r="E573" s="32"/>
      <c r="F573" s="32"/>
      <c r="G573" s="32"/>
      <c r="H573" s="32"/>
    </row>
    <row r="574" customHeight="1" spans="1:8">
      <c r="A574" s="32"/>
      <c r="B574" s="32"/>
      <c r="C574" s="32"/>
      <c r="E574" s="32"/>
      <c r="F574" s="32"/>
      <c r="G574" s="32"/>
      <c r="H574" s="32"/>
    </row>
    <row r="575" customHeight="1" spans="1:8">
      <c r="A575" s="32"/>
      <c r="B575" s="32"/>
      <c r="C575" s="32"/>
      <c r="E575" s="32"/>
      <c r="F575" s="32"/>
      <c r="G575" s="32"/>
      <c r="H575" s="32"/>
    </row>
    <row r="576" customHeight="1" spans="1:8">
      <c r="A576" s="32"/>
      <c r="B576" s="32"/>
      <c r="C576" s="32"/>
      <c r="E576" s="32"/>
      <c r="F576" s="32"/>
      <c r="G576" s="32"/>
      <c r="H576" s="32"/>
    </row>
    <row r="577" customHeight="1" spans="1:8">
      <c r="A577" s="32"/>
      <c r="B577" s="32"/>
      <c r="C577" s="32"/>
      <c r="E577" s="32"/>
      <c r="F577" s="32"/>
      <c r="G577" s="32"/>
      <c r="H577" s="32"/>
    </row>
    <row r="578" customHeight="1" spans="1:8">
      <c r="A578" s="32"/>
      <c r="B578" s="32"/>
      <c r="C578" s="32"/>
      <c r="E578" s="32"/>
      <c r="F578" s="32"/>
      <c r="G578" s="32"/>
      <c r="H578" s="32"/>
    </row>
    <row r="579" customHeight="1" spans="1:8">
      <c r="A579" s="32"/>
      <c r="B579" s="32"/>
      <c r="C579" s="32"/>
      <c r="E579" s="32"/>
      <c r="F579" s="32"/>
      <c r="G579" s="32"/>
      <c r="H579" s="32"/>
    </row>
    <row r="580" customHeight="1" spans="1:8">
      <c r="A580" s="32"/>
      <c r="B580" s="32"/>
      <c r="C580" s="32"/>
      <c r="E580" s="32"/>
      <c r="F580" s="32"/>
      <c r="G580" s="32"/>
      <c r="H580" s="32"/>
    </row>
    <row r="581" customHeight="1" spans="1:8">
      <c r="A581" s="32"/>
      <c r="B581" s="32"/>
      <c r="C581" s="32"/>
      <c r="E581" s="32"/>
      <c r="F581" s="32"/>
      <c r="G581" s="32"/>
      <c r="H581" s="32"/>
    </row>
    <row r="582" customHeight="1" spans="1:8">
      <c r="A582" s="32"/>
      <c r="B582" s="32"/>
      <c r="C582" s="32"/>
      <c r="E582" s="32"/>
      <c r="F582" s="32"/>
      <c r="G582" s="32"/>
      <c r="H582" s="32"/>
    </row>
    <row r="583" customHeight="1" spans="1:8">
      <c r="A583" s="32"/>
      <c r="B583" s="32"/>
      <c r="C583" s="32"/>
      <c r="E583" s="32"/>
      <c r="F583" s="32"/>
      <c r="G583" s="32"/>
      <c r="H583" s="32"/>
    </row>
    <row r="584" customHeight="1" spans="1:8">
      <c r="A584" s="32"/>
      <c r="B584" s="32"/>
      <c r="C584" s="32"/>
      <c r="E584" s="32"/>
      <c r="F584" s="32"/>
      <c r="G584" s="32"/>
      <c r="H584" s="32"/>
    </row>
    <row r="585" customHeight="1" spans="1:8">
      <c r="A585" s="32"/>
      <c r="B585" s="32"/>
      <c r="C585" s="32"/>
      <c r="E585" s="32"/>
      <c r="F585" s="32"/>
      <c r="G585" s="32"/>
      <c r="H585" s="32"/>
    </row>
    <row r="586" customHeight="1" spans="1:8">
      <c r="A586" s="32"/>
      <c r="B586" s="32"/>
      <c r="C586" s="32"/>
      <c r="E586" s="32"/>
      <c r="F586" s="32"/>
      <c r="G586" s="32"/>
      <c r="H586" s="32"/>
    </row>
    <row r="587" customHeight="1" spans="1:8">
      <c r="A587" s="32"/>
      <c r="B587" s="32"/>
      <c r="C587" s="32"/>
      <c r="E587" s="32"/>
      <c r="F587" s="32"/>
      <c r="G587" s="32"/>
      <c r="H587" s="32"/>
    </row>
    <row r="588" customHeight="1" spans="1:8">
      <c r="A588" s="32"/>
      <c r="B588" s="32"/>
      <c r="C588" s="32"/>
      <c r="E588" s="32"/>
      <c r="F588" s="32"/>
      <c r="G588" s="32"/>
      <c r="H588" s="32"/>
    </row>
    <row r="589" customHeight="1" spans="1:8">
      <c r="A589" s="32"/>
      <c r="B589" s="32"/>
      <c r="C589" s="32"/>
      <c r="E589" s="32"/>
      <c r="F589" s="32"/>
      <c r="G589" s="32"/>
      <c r="H589" s="32"/>
    </row>
    <row r="590" customHeight="1" spans="1:8">
      <c r="A590" s="32"/>
      <c r="B590" s="32"/>
      <c r="C590" s="32"/>
      <c r="E590" s="32"/>
      <c r="F590" s="32"/>
      <c r="G590" s="32"/>
      <c r="H590" s="32"/>
    </row>
    <row r="591" customHeight="1" spans="1:8">
      <c r="A591" s="32"/>
      <c r="B591" s="32"/>
      <c r="C591" s="32"/>
      <c r="E591" s="32"/>
      <c r="F591" s="32"/>
      <c r="G591" s="32"/>
      <c r="H591" s="32"/>
    </row>
    <row r="592" customHeight="1" spans="1:8">
      <c r="A592" s="32"/>
      <c r="B592" s="32"/>
      <c r="C592" s="32"/>
      <c r="E592" s="32"/>
      <c r="F592" s="32"/>
      <c r="G592" s="32"/>
      <c r="H592" s="32"/>
    </row>
    <row r="593" customHeight="1" spans="1:8">
      <c r="A593" s="32"/>
      <c r="B593" s="32"/>
      <c r="C593" s="32"/>
      <c r="E593" s="32"/>
      <c r="F593" s="32"/>
      <c r="G593" s="32"/>
      <c r="H593" s="32"/>
    </row>
    <row r="594" customHeight="1" spans="1:8">
      <c r="A594" s="32"/>
      <c r="B594" s="32"/>
      <c r="C594" s="32"/>
      <c r="E594" s="32"/>
      <c r="F594" s="32"/>
      <c r="G594" s="32"/>
      <c r="H594" s="32"/>
    </row>
    <row r="595" customHeight="1" spans="1:8">
      <c r="A595" s="32"/>
      <c r="B595" s="32"/>
      <c r="C595" s="32"/>
      <c r="E595" s="32"/>
      <c r="F595" s="32"/>
      <c r="G595" s="32"/>
      <c r="H595" s="32"/>
    </row>
    <row r="596" customHeight="1" spans="1:8">
      <c r="A596" s="32"/>
      <c r="B596" s="32"/>
      <c r="C596" s="32"/>
      <c r="E596" s="32"/>
      <c r="F596" s="32"/>
      <c r="G596" s="32"/>
      <c r="H596" s="32"/>
    </row>
    <row r="597" customHeight="1" spans="1:8">
      <c r="A597" s="32"/>
      <c r="B597" s="32"/>
      <c r="C597" s="32"/>
      <c r="E597" s="32"/>
      <c r="F597" s="32"/>
      <c r="G597" s="32"/>
      <c r="H597" s="32"/>
    </row>
    <row r="598" customHeight="1" spans="1:8">
      <c r="A598" s="32"/>
      <c r="B598" s="32"/>
      <c r="C598" s="32"/>
      <c r="E598" s="32"/>
      <c r="F598" s="32"/>
      <c r="G598" s="32"/>
      <c r="H598" s="32"/>
    </row>
    <row r="599" customHeight="1" spans="1:8">
      <c r="A599" s="32"/>
      <c r="B599" s="32"/>
      <c r="C599" s="32"/>
      <c r="E599" s="32"/>
      <c r="F599" s="32"/>
      <c r="G599" s="32"/>
      <c r="H599" s="32"/>
    </row>
    <row r="600" customHeight="1" spans="1:8">
      <c r="A600" s="32"/>
      <c r="B600" s="32"/>
      <c r="C600" s="32"/>
      <c r="E600" s="32"/>
      <c r="F600" s="32"/>
      <c r="G600" s="32"/>
      <c r="H600" s="32"/>
    </row>
    <row r="601" customHeight="1" spans="1:8">
      <c r="A601" s="32"/>
      <c r="B601" s="32"/>
      <c r="C601" s="32"/>
      <c r="E601" s="32"/>
      <c r="F601" s="32"/>
      <c r="G601" s="32"/>
      <c r="H601" s="32"/>
    </row>
    <row r="602" customHeight="1" spans="1:8">
      <c r="A602" s="32"/>
      <c r="B602" s="32"/>
      <c r="C602" s="32"/>
      <c r="E602" s="32"/>
      <c r="F602" s="32"/>
      <c r="G602" s="32"/>
      <c r="H602" s="32"/>
    </row>
    <row r="603" customHeight="1" spans="1:8">
      <c r="A603" s="32"/>
      <c r="B603" s="32"/>
      <c r="C603" s="32"/>
      <c r="E603" s="32"/>
      <c r="F603" s="32"/>
      <c r="G603" s="32"/>
      <c r="H603" s="32"/>
    </row>
    <row r="604" customHeight="1" spans="1:8">
      <c r="A604" s="32"/>
      <c r="B604" s="32"/>
      <c r="C604" s="32"/>
      <c r="E604" s="32"/>
      <c r="F604" s="32"/>
      <c r="G604" s="32"/>
      <c r="H604" s="32"/>
    </row>
    <row r="605" customHeight="1" spans="1:8">
      <c r="A605" s="32"/>
      <c r="B605" s="32"/>
      <c r="C605" s="32"/>
      <c r="E605" s="32"/>
      <c r="F605" s="32"/>
      <c r="G605" s="32"/>
      <c r="H605" s="32"/>
    </row>
    <row r="606" customHeight="1" spans="1:8">
      <c r="A606" s="32"/>
      <c r="B606" s="32"/>
      <c r="C606" s="32"/>
      <c r="E606" s="32"/>
      <c r="F606" s="32"/>
      <c r="G606" s="32"/>
      <c r="H606" s="32"/>
    </row>
    <row r="607" customHeight="1" spans="1:8">
      <c r="A607" s="32"/>
      <c r="B607" s="32"/>
      <c r="C607" s="32"/>
      <c r="E607" s="32"/>
      <c r="F607" s="32"/>
      <c r="G607" s="32"/>
      <c r="H607" s="32"/>
    </row>
    <row r="608" customHeight="1" spans="1:8">
      <c r="A608" s="32"/>
      <c r="B608" s="32"/>
      <c r="C608" s="32"/>
      <c r="E608" s="32"/>
      <c r="F608" s="32"/>
      <c r="G608" s="32"/>
      <c r="H608" s="32"/>
    </row>
    <row r="609" customHeight="1" spans="1:8">
      <c r="A609" s="32"/>
      <c r="B609" s="32"/>
      <c r="C609" s="32"/>
      <c r="E609" s="32"/>
      <c r="F609" s="32"/>
      <c r="G609" s="32"/>
      <c r="H609" s="32"/>
    </row>
    <row r="610" customHeight="1" spans="1:8">
      <c r="A610" s="32"/>
      <c r="B610" s="32"/>
      <c r="C610" s="32"/>
      <c r="E610" s="32"/>
      <c r="F610" s="32"/>
      <c r="G610" s="32"/>
      <c r="H610" s="32"/>
    </row>
    <row r="611" customHeight="1" spans="1:8">
      <c r="A611" s="32"/>
      <c r="B611" s="32"/>
      <c r="C611" s="32"/>
      <c r="E611" s="32"/>
      <c r="F611" s="32"/>
      <c r="G611" s="32"/>
      <c r="H611" s="32"/>
    </row>
    <row r="612" customHeight="1" spans="1:8">
      <c r="A612" s="32"/>
      <c r="B612" s="32"/>
      <c r="C612" s="32"/>
      <c r="E612" s="32"/>
      <c r="F612" s="32"/>
      <c r="G612" s="32"/>
      <c r="H612" s="32"/>
    </row>
    <row r="613" customHeight="1" spans="1:8">
      <c r="A613" s="32"/>
      <c r="B613" s="32"/>
      <c r="C613" s="32"/>
      <c r="E613" s="32"/>
      <c r="F613" s="32"/>
      <c r="G613" s="32"/>
      <c r="H613" s="32"/>
    </row>
    <row r="614" customHeight="1" spans="1:8">
      <c r="A614" s="32"/>
      <c r="B614" s="32"/>
      <c r="C614" s="32"/>
      <c r="E614" s="32"/>
      <c r="F614" s="32"/>
      <c r="G614" s="32"/>
      <c r="H614" s="32"/>
    </row>
    <row r="615" customHeight="1" spans="1:8">
      <c r="A615" s="32"/>
      <c r="B615" s="32"/>
      <c r="C615" s="32"/>
      <c r="E615" s="32"/>
      <c r="F615" s="32"/>
      <c r="G615" s="32"/>
      <c r="H615" s="32"/>
    </row>
    <row r="616" customHeight="1" spans="1:8">
      <c r="A616" s="32"/>
      <c r="B616" s="32"/>
      <c r="C616" s="32"/>
      <c r="E616" s="32"/>
      <c r="F616" s="32"/>
      <c r="G616" s="32"/>
      <c r="H616" s="32"/>
    </row>
    <row r="617" customHeight="1" spans="1:8">
      <c r="A617" s="32"/>
      <c r="B617" s="32"/>
      <c r="C617" s="32"/>
      <c r="E617" s="32"/>
      <c r="F617" s="32"/>
      <c r="G617" s="32"/>
      <c r="H617" s="32"/>
    </row>
    <row r="618" customHeight="1" spans="1:8">
      <c r="A618" s="32"/>
      <c r="B618" s="32"/>
      <c r="C618" s="32"/>
      <c r="E618" s="32"/>
      <c r="F618" s="32"/>
      <c r="G618" s="32"/>
      <c r="H618" s="32"/>
    </row>
    <row r="619" customHeight="1" spans="1:8">
      <c r="A619" s="32"/>
      <c r="B619" s="32"/>
      <c r="C619" s="32"/>
      <c r="E619" s="32"/>
      <c r="F619" s="32"/>
      <c r="G619" s="32"/>
      <c r="H619" s="32"/>
    </row>
    <row r="620" customHeight="1" spans="1:8">
      <c r="A620" s="32"/>
      <c r="B620" s="32"/>
      <c r="C620" s="32"/>
      <c r="E620" s="32"/>
      <c r="F620" s="32"/>
      <c r="G620" s="32"/>
      <c r="H620" s="32"/>
    </row>
    <row r="621" customHeight="1" spans="1:8">
      <c r="A621" s="32"/>
      <c r="B621" s="32"/>
      <c r="C621" s="32"/>
      <c r="E621" s="32"/>
      <c r="F621" s="32"/>
      <c r="G621" s="32"/>
      <c r="H621" s="32"/>
    </row>
    <row r="622" customHeight="1" spans="1:8">
      <c r="A622" s="32"/>
      <c r="B622" s="32"/>
      <c r="C622" s="32"/>
      <c r="E622" s="32"/>
      <c r="F622" s="32"/>
      <c r="G622" s="32"/>
      <c r="H622" s="32"/>
    </row>
    <row r="623" customHeight="1" spans="1:8">
      <c r="A623" s="32"/>
      <c r="B623" s="32"/>
      <c r="C623" s="32"/>
      <c r="E623" s="32"/>
      <c r="F623" s="32"/>
      <c r="G623" s="32"/>
      <c r="H623" s="32"/>
    </row>
    <row r="624" customHeight="1" spans="1:8">
      <c r="A624" s="32"/>
      <c r="B624" s="32"/>
      <c r="C624" s="32"/>
      <c r="E624" s="32"/>
      <c r="F624" s="32"/>
      <c r="G624" s="32"/>
      <c r="H624" s="32"/>
    </row>
    <row r="625" customHeight="1" spans="1:8">
      <c r="A625" s="32"/>
      <c r="B625" s="32"/>
      <c r="C625" s="32"/>
      <c r="E625" s="32"/>
      <c r="F625" s="32"/>
      <c r="G625" s="32"/>
      <c r="H625" s="32"/>
    </row>
    <row r="626" customHeight="1" spans="1:8">
      <c r="A626" s="32"/>
      <c r="B626" s="32"/>
      <c r="C626" s="32"/>
      <c r="E626" s="32"/>
      <c r="F626" s="32"/>
      <c r="G626" s="32"/>
      <c r="H626" s="32"/>
    </row>
    <row r="627" customHeight="1" spans="1:8">
      <c r="A627" s="32"/>
      <c r="B627" s="32"/>
      <c r="C627" s="32"/>
      <c r="E627" s="32"/>
      <c r="F627" s="32"/>
      <c r="G627" s="32"/>
      <c r="H627" s="32"/>
    </row>
    <row r="628" customHeight="1" spans="1:8">
      <c r="A628" s="32"/>
      <c r="B628" s="32"/>
      <c r="C628" s="32"/>
      <c r="E628" s="32"/>
      <c r="F628" s="32"/>
      <c r="G628" s="32"/>
      <c r="H628" s="32"/>
    </row>
    <row r="629" customHeight="1" spans="1:8">
      <c r="A629" s="32"/>
      <c r="B629" s="32"/>
      <c r="C629" s="32"/>
      <c r="E629" s="32"/>
      <c r="F629" s="32"/>
      <c r="G629" s="32"/>
      <c r="H629" s="32"/>
    </row>
    <row r="630" customHeight="1" spans="1:8">
      <c r="A630" s="32"/>
      <c r="B630" s="32"/>
      <c r="C630" s="32"/>
      <c r="E630" s="32"/>
      <c r="F630" s="32"/>
      <c r="G630" s="32"/>
      <c r="H630" s="32"/>
    </row>
    <row r="631" customHeight="1" spans="1:8">
      <c r="A631" s="32"/>
      <c r="B631" s="32"/>
      <c r="C631" s="32"/>
      <c r="E631" s="32"/>
      <c r="F631" s="32"/>
      <c r="G631" s="32"/>
      <c r="H631" s="32"/>
    </row>
    <row r="632" customHeight="1" spans="1:8">
      <c r="A632" s="32"/>
      <c r="B632" s="32"/>
      <c r="C632" s="32"/>
      <c r="E632" s="32"/>
      <c r="F632" s="32"/>
      <c r="G632" s="32"/>
      <c r="H632" s="32"/>
    </row>
    <row r="633" customHeight="1" spans="1:8">
      <c r="A633" s="32"/>
      <c r="B633" s="32"/>
      <c r="C633" s="32"/>
      <c r="E633" s="32"/>
      <c r="F633" s="32"/>
      <c r="G633" s="32"/>
      <c r="H633" s="32"/>
    </row>
    <row r="634" customHeight="1" spans="1:8">
      <c r="A634" s="32"/>
      <c r="B634" s="32"/>
      <c r="C634" s="32"/>
      <c r="E634" s="32"/>
      <c r="F634" s="32"/>
      <c r="G634" s="32"/>
      <c r="H634" s="32"/>
    </row>
    <row r="635" customHeight="1" spans="1:8">
      <c r="A635" s="32"/>
      <c r="B635" s="32"/>
      <c r="C635" s="32"/>
      <c r="E635" s="32"/>
      <c r="F635" s="32"/>
      <c r="G635" s="32"/>
      <c r="H635" s="32"/>
    </row>
    <row r="636" customHeight="1" spans="1:8">
      <c r="A636" s="32"/>
      <c r="B636" s="32"/>
      <c r="C636" s="32"/>
      <c r="E636" s="32"/>
      <c r="F636" s="32"/>
      <c r="G636" s="32"/>
      <c r="H636" s="32"/>
    </row>
    <row r="637" customHeight="1" spans="1:8">
      <c r="A637" s="32"/>
      <c r="B637" s="32"/>
      <c r="C637" s="32"/>
      <c r="E637" s="32"/>
      <c r="F637" s="32"/>
      <c r="G637" s="32"/>
      <c r="H637" s="32"/>
    </row>
    <row r="638" customHeight="1" spans="1:8">
      <c r="A638" s="32"/>
      <c r="B638" s="32"/>
      <c r="C638" s="32"/>
      <c r="E638" s="32"/>
      <c r="F638" s="32"/>
      <c r="G638" s="32"/>
      <c r="H638" s="32"/>
    </row>
    <row r="639" customHeight="1" spans="1:8">
      <c r="A639" s="32"/>
      <c r="B639" s="32"/>
      <c r="C639" s="32"/>
      <c r="E639" s="32"/>
      <c r="F639" s="32"/>
      <c r="G639" s="32"/>
      <c r="H639" s="32"/>
    </row>
    <row r="640" customHeight="1" spans="1:8">
      <c r="A640" s="32"/>
      <c r="B640" s="32"/>
      <c r="C640" s="32"/>
      <c r="E640" s="32"/>
      <c r="F640" s="32"/>
      <c r="G640" s="32"/>
      <c r="H640" s="32"/>
    </row>
    <row r="641" customHeight="1" spans="1:8">
      <c r="A641" s="32"/>
      <c r="B641" s="32"/>
      <c r="C641" s="32"/>
      <c r="E641" s="32"/>
      <c r="F641" s="32"/>
      <c r="G641" s="32"/>
      <c r="H641" s="32"/>
    </row>
    <row r="642" customHeight="1" spans="1:8">
      <c r="A642" s="32"/>
      <c r="B642" s="32"/>
      <c r="C642" s="32"/>
      <c r="E642" s="32"/>
      <c r="F642" s="32"/>
      <c r="G642" s="32"/>
      <c r="H642" s="32"/>
    </row>
    <row r="643" customHeight="1" spans="1:8">
      <c r="A643" s="32"/>
      <c r="B643" s="32"/>
      <c r="C643" s="32"/>
      <c r="E643" s="32"/>
      <c r="F643" s="32"/>
      <c r="G643" s="32"/>
      <c r="H643" s="32"/>
    </row>
    <row r="644" customHeight="1" spans="1:8">
      <c r="A644" s="32"/>
      <c r="B644" s="32"/>
      <c r="C644" s="32"/>
      <c r="E644" s="32"/>
      <c r="F644" s="32"/>
      <c r="G644" s="32"/>
      <c r="H644" s="32"/>
    </row>
    <row r="645" customHeight="1" spans="1:8">
      <c r="A645" s="32"/>
      <c r="B645" s="32"/>
      <c r="C645" s="32"/>
      <c r="E645" s="32"/>
      <c r="F645" s="32"/>
      <c r="G645" s="32"/>
      <c r="H645" s="32"/>
    </row>
    <row r="646" customHeight="1" spans="1:8">
      <c r="A646" s="32"/>
      <c r="B646" s="32"/>
      <c r="C646" s="32"/>
      <c r="E646" s="32"/>
      <c r="F646" s="32"/>
      <c r="G646" s="32"/>
      <c r="H646" s="32"/>
    </row>
    <row r="647" customHeight="1" spans="1:8">
      <c r="A647" s="32"/>
      <c r="B647" s="32"/>
      <c r="C647" s="32"/>
      <c r="E647" s="32"/>
      <c r="F647" s="32"/>
      <c r="G647" s="32"/>
      <c r="H647" s="32"/>
    </row>
    <row r="648" customHeight="1" spans="1:8">
      <c r="A648" s="32"/>
      <c r="B648" s="32"/>
      <c r="C648" s="32"/>
      <c r="E648" s="32"/>
      <c r="F648" s="32"/>
      <c r="G648" s="32"/>
      <c r="H648" s="32"/>
    </row>
    <row r="649" customHeight="1" spans="1:8">
      <c r="A649" s="32"/>
      <c r="B649" s="32"/>
      <c r="C649" s="32"/>
      <c r="E649" s="32"/>
      <c r="F649" s="32"/>
      <c r="G649" s="32"/>
      <c r="H649" s="32"/>
    </row>
    <row r="650" customHeight="1" spans="1:8">
      <c r="A650" s="32"/>
      <c r="B650" s="32"/>
      <c r="C650" s="32"/>
      <c r="E650" s="32"/>
      <c r="F650" s="32"/>
      <c r="G650" s="32"/>
      <c r="H650" s="32"/>
    </row>
    <row r="651" customHeight="1" spans="1:8">
      <c r="A651" s="32"/>
      <c r="B651" s="32"/>
      <c r="C651" s="32"/>
      <c r="E651" s="32"/>
      <c r="F651" s="32"/>
      <c r="G651" s="32"/>
      <c r="H651" s="32"/>
    </row>
    <row r="652" customHeight="1" spans="1:8">
      <c r="A652" s="32"/>
      <c r="B652" s="32"/>
      <c r="C652" s="32"/>
      <c r="E652" s="32"/>
      <c r="F652" s="32"/>
      <c r="G652" s="32"/>
      <c r="H652" s="32"/>
    </row>
    <row r="653" customHeight="1" spans="1:8">
      <c r="A653" s="32"/>
      <c r="B653" s="32"/>
      <c r="C653" s="32"/>
      <c r="E653" s="32"/>
      <c r="F653" s="32"/>
      <c r="G653" s="32"/>
      <c r="H653" s="32"/>
    </row>
    <row r="654" customHeight="1" spans="1:8">
      <c r="A654" s="32"/>
      <c r="B654" s="32"/>
      <c r="C654" s="32"/>
      <c r="E654" s="32"/>
      <c r="F654" s="32"/>
      <c r="G654" s="32"/>
      <c r="H654" s="32"/>
    </row>
    <row r="655" customHeight="1" spans="1:8">
      <c r="A655" s="32"/>
      <c r="B655" s="32"/>
      <c r="C655" s="32"/>
      <c r="E655" s="32"/>
      <c r="F655" s="32"/>
      <c r="G655" s="32"/>
      <c r="H655" s="32"/>
    </row>
    <row r="656" customHeight="1" spans="1:8">
      <c r="A656" s="32"/>
      <c r="B656" s="32"/>
      <c r="C656" s="32"/>
      <c r="E656" s="32"/>
      <c r="F656" s="32"/>
      <c r="G656" s="32"/>
      <c r="H656" s="32"/>
    </row>
    <row r="657" customHeight="1" spans="1:8">
      <c r="A657" s="32"/>
      <c r="B657" s="32"/>
      <c r="C657" s="32"/>
      <c r="E657" s="32"/>
      <c r="F657" s="32"/>
      <c r="G657" s="32"/>
      <c r="H657" s="32"/>
    </row>
    <row r="658" customHeight="1" spans="1:8">
      <c r="A658" s="32"/>
      <c r="B658" s="32"/>
      <c r="C658" s="32"/>
      <c r="E658" s="32"/>
      <c r="F658" s="32"/>
      <c r="G658" s="32"/>
      <c r="H658" s="32"/>
    </row>
    <row r="659" customHeight="1" spans="1:8">
      <c r="A659" s="32"/>
      <c r="B659" s="32"/>
      <c r="C659" s="32"/>
      <c r="E659" s="32"/>
      <c r="F659" s="32"/>
      <c r="G659" s="32"/>
      <c r="H659" s="32"/>
    </row>
    <row r="660" customHeight="1" spans="1:8">
      <c r="A660" s="32"/>
      <c r="B660" s="32"/>
      <c r="C660" s="32"/>
      <c r="E660" s="32"/>
      <c r="F660" s="32"/>
      <c r="G660" s="32"/>
      <c r="H660" s="32"/>
    </row>
    <row r="661" customHeight="1" spans="1:8">
      <c r="A661" s="32"/>
      <c r="B661" s="32"/>
      <c r="C661" s="32"/>
      <c r="E661" s="32"/>
      <c r="F661" s="32"/>
      <c r="G661" s="32"/>
      <c r="H661" s="32"/>
    </row>
    <row r="662" customHeight="1" spans="1:8">
      <c r="A662" s="32"/>
      <c r="B662" s="32"/>
      <c r="C662" s="32"/>
      <c r="E662" s="32"/>
      <c r="F662" s="32"/>
      <c r="G662" s="32"/>
      <c r="H662" s="32"/>
    </row>
    <row r="663" customHeight="1" spans="1:8">
      <c r="A663" s="32"/>
      <c r="B663" s="32"/>
      <c r="C663" s="32"/>
      <c r="E663" s="32"/>
      <c r="F663" s="32"/>
      <c r="G663" s="32"/>
      <c r="H663" s="32"/>
    </row>
    <row r="664" customHeight="1" spans="1:8">
      <c r="A664" s="32"/>
      <c r="B664" s="32"/>
      <c r="C664" s="32"/>
      <c r="E664" s="32"/>
      <c r="F664" s="32"/>
      <c r="G664" s="32"/>
      <c r="H664" s="32"/>
    </row>
    <row r="665" customHeight="1" spans="1:8">
      <c r="A665" s="32"/>
      <c r="B665" s="32"/>
      <c r="C665" s="32"/>
      <c r="E665" s="32"/>
      <c r="F665" s="32"/>
      <c r="G665" s="32"/>
      <c r="H665" s="32"/>
    </row>
    <row r="666" customHeight="1" spans="1:8">
      <c r="A666" s="32"/>
      <c r="B666" s="32"/>
      <c r="C666" s="32"/>
      <c r="E666" s="32"/>
      <c r="F666" s="32"/>
      <c r="G666" s="32"/>
      <c r="H666" s="32"/>
    </row>
    <row r="667" customHeight="1" spans="1:8">
      <c r="A667" s="32"/>
      <c r="B667" s="32"/>
      <c r="C667" s="32"/>
      <c r="E667" s="32"/>
      <c r="F667" s="32"/>
      <c r="G667" s="32"/>
      <c r="H667" s="32"/>
    </row>
    <row r="668" customHeight="1" spans="1:8">
      <c r="A668" s="32"/>
      <c r="B668" s="32"/>
      <c r="C668" s="32"/>
      <c r="E668" s="32"/>
      <c r="F668" s="32"/>
      <c r="G668" s="32"/>
      <c r="H668" s="32"/>
    </row>
    <row r="669" customHeight="1" spans="1:8">
      <c r="A669" s="32"/>
      <c r="B669" s="32"/>
      <c r="C669" s="32"/>
      <c r="E669" s="32"/>
      <c r="F669" s="32"/>
      <c r="G669" s="32"/>
      <c r="H669" s="32"/>
    </row>
    <row r="670" customHeight="1" spans="1:8">
      <c r="A670" s="32"/>
      <c r="B670" s="32"/>
      <c r="C670" s="32"/>
      <c r="E670" s="32"/>
      <c r="F670" s="32"/>
      <c r="G670" s="32"/>
      <c r="H670" s="32"/>
    </row>
    <row r="671" customHeight="1" spans="1:8">
      <c r="A671" s="32"/>
      <c r="B671" s="32"/>
      <c r="C671" s="32"/>
      <c r="E671" s="32"/>
      <c r="F671" s="32"/>
      <c r="G671" s="32"/>
      <c r="H671" s="32"/>
    </row>
    <row r="672" customHeight="1" spans="1:8">
      <c r="A672" s="32"/>
      <c r="B672" s="32"/>
      <c r="C672" s="32"/>
      <c r="E672" s="32"/>
      <c r="F672" s="32"/>
      <c r="G672" s="32"/>
      <c r="H672" s="32"/>
    </row>
    <row r="673" customHeight="1" spans="1:8">
      <c r="A673" s="32"/>
      <c r="B673" s="32"/>
      <c r="C673" s="32"/>
      <c r="E673" s="32"/>
      <c r="F673" s="32"/>
      <c r="G673" s="32"/>
      <c r="H673" s="32"/>
    </row>
    <row r="674" customHeight="1" spans="1:8">
      <c r="A674" s="32"/>
      <c r="B674" s="32"/>
      <c r="C674" s="32"/>
      <c r="E674" s="32"/>
      <c r="F674" s="32"/>
      <c r="G674" s="32"/>
      <c r="H674" s="32"/>
    </row>
    <row r="675" customHeight="1" spans="1:8">
      <c r="A675" s="32"/>
      <c r="B675" s="32"/>
      <c r="C675" s="32"/>
      <c r="E675" s="32"/>
      <c r="F675" s="32"/>
      <c r="G675" s="32"/>
      <c r="H675" s="32"/>
    </row>
    <row r="676" customHeight="1" spans="1:8">
      <c r="A676" s="32"/>
      <c r="B676" s="32"/>
      <c r="C676" s="32"/>
      <c r="E676" s="32"/>
      <c r="F676" s="32"/>
      <c r="G676" s="32"/>
      <c r="H676" s="32"/>
    </row>
    <row r="677" customHeight="1" spans="1:8">
      <c r="A677" s="32"/>
      <c r="B677" s="32"/>
      <c r="C677" s="32"/>
      <c r="E677" s="32"/>
      <c r="F677" s="32"/>
      <c r="G677" s="32"/>
      <c r="H677" s="32"/>
    </row>
    <row r="678" customHeight="1" spans="1:8">
      <c r="A678" s="32"/>
      <c r="B678" s="32"/>
      <c r="C678" s="32"/>
      <c r="E678" s="32"/>
      <c r="F678" s="32"/>
      <c r="G678" s="32"/>
      <c r="H678" s="32"/>
    </row>
    <row r="679" customHeight="1" spans="1:8">
      <c r="A679" s="32"/>
      <c r="B679" s="32"/>
      <c r="C679" s="32"/>
      <c r="E679" s="32"/>
      <c r="F679" s="32"/>
      <c r="G679" s="32"/>
      <c r="H679" s="32"/>
    </row>
    <row r="680" customHeight="1" spans="1:8">
      <c r="A680" s="32"/>
      <c r="B680" s="32"/>
      <c r="C680" s="32"/>
      <c r="E680" s="32"/>
      <c r="F680" s="32"/>
      <c r="G680" s="32"/>
      <c r="H680" s="32"/>
    </row>
    <row r="681" customHeight="1" spans="1:8">
      <c r="A681" s="32"/>
      <c r="B681" s="32"/>
      <c r="C681" s="32"/>
      <c r="E681" s="32"/>
      <c r="F681" s="32"/>
      <c r="G681" s="32"/>
      <c r="H681" s="32"/>
    </row>
    <row r="682" customHeight="1" spans="1:8">
      <c r="A682" s="32"/>
      <c r="B682" s="32"/>
      <c r="C682" s="32"/>
      <c r="E682" s="32"/>
      <c r="F682" s="32"/>
      <c r="G682" s="32"/>
      <c r="H682" s="32"/>
    </row>
    <row r="683" customHeight="1" spans="1:8">
      <c r="A683" s="32"/>
      <c r="B683" s="32"/>
      <c r="C683" s="32"/>
      <c r="E683" s="32"/>
      <c r="F683" s="32"/>
      <c r="G683" s="32"/>
      <c r="H683" s="32"/>
    </row>
    <row r="684" customHeight="1" spans="1:8">
      <c r="A684" s="32"/>
      <c r="B684" s="32"/>
      <c r="C684" s="32"/>
      <c r="E684" s="32"/>
      <c r="F684" s="32"/>
      <c r="G684" s="32"/>
      <c r="H684" s="32"/>
    </row>
    <row r="685" customHeight="1" spans="1:8">
      <c r="A685" s="32"/>
      <c r="B685" s="32"/>
      <c r="C685" s="32"/>
      <c r="E685" s="32"/>
      <c r="F685" s="32"/>
      <c r="G685" s="32"/>
      <c r="H685" s="32"/>
    </row>
    <row r="686" customHeight="1" spans="1:8">
      <c r="A686" s="32"/>
      <c r="B686" s="32"/>
      <c r="C686" s="32"/>
      <c r="E686" s="32"/>
      <c r="F686" s="32"/>
      <c r="G686" s="32"/>
      <c r="H686" s="32"/>
    </row>
    <row r="687" customHeight="1" spans="1:8">
      <c r="A687" s="32"/>
      <c r="B687" s="32"/>
      <c r="C687" s="32"/>
      <c r="E687" s="32"/>
      <c r="F687" s="32"/>
      <c r="G687" s="32"/>
      <c r="H687" s="32"/>
    </row>
    <row r="688" customHeight="1" spans="1:8">
      <c r="A688" s="32"/>
      <c r="B688" s="32"/>
      <c r="C688" s="32"/>
      <c r="E688" s="32"/>
      <c r="F688" s="32"/>
      <c r="G688" s="32"/>
      <c r="H688" s="32"/>
    </row>
    <row r="689" customHeight="1" spans="1:8">
      <c r="A689" s="32"/>
      <c r="B689" s="32"/>
      <c r="C689" s="32"/>
      <c r="E689" s="32"/>
      <c r="F689" s="32"/>
      <c r="G689" s="32"/>
      <c r="H689" s="32"/>
    </row>
    <row r="690" customHeight="1" spans="1:8">
      <c r="A690" s="32"/>
      <c r="B690" s="32"/>
      <c r="C690" s="32"/>
      <c r="E690" s="32"/>
      <c r="F690" s="32"/>
      <c r="G690" s="32"/>
      <c r="H690" s="32"/>
    </row>
    <row r="691" customHeight="1" spans="1:8">
      <c r="A691" s="32"/>
      <c r="B691" s="32"/>
      <c r="C691" s="32"/>
      <c r="E691" s="32"/>
      <c r="F691" s="32"/>
      <c r="G691" s="32"/>
      <c r="H691" s="32"/>
    </row>
    <row r="692" customHeight="1" spans="1:8">
      <c r="A692" s="32"/>
      <c r="B692" s="32"/>
      <c r="C692" s="32"/>
      <c r="E692" s="32"/>
      <c r="F692" s="32"/>
      <c r="G692" s="32"/>
      <c r="H692" s="32"/>
    </row>
    <row r="693" customHeight="1" spans="1:8">
      <c r="A693" s="32"/>
      <c r="B693" s="32"/>
      <c r="C693" s="32"/>
      <c r="E693" s="32"/>
      <c r="F693" s="32"/>
      <c r="G693" s="32"/>
      <c r="H693" s="32"/>
    </row>
    <row r="694" customHeight="1" spans="1:8">
      <c r="A694" s="32"/>
      <c r="B694" s="32"/>
      <c r="C694" s="32"/>
      <c r="E694" s="32"/>
      <c r="F694" s="32"/>
      <c r="G694" s="32"/>
      <c r="H694" s="32"/>
    </row>
    <row r="695" customHeight="1" spans="1:8">
      <c r="A695" s="32"/>
      <c r="B695" s="32"/>
      <c r="C695" s="32"/>
      <c r="E695" s="32"/>
      <c r="F695" s="32"/>
      <c r="G695" s="32"/>
      <c r="H695" s="32"/>
    </row>
    <row r="696" customHeight="1" spans="1:8">
      <c r="A696" s="32"/>
      <c r="B696" s="32"/>
      <c r="C696" s="32"/>
      <c r="E696" s="32"/>
      <c r="F696" s="32"/>
      <c r="G696" s="32"/>
      <c r="H696" s="32"/>
    </row>
    <row r="697" customHeight="1" spans="1:8">
      <c r="A697" s="32"/>
      <c r="B697" s="32"/>
      <c r="C697" s="32"/>
      <c r="E697" s="32"/>
      <c r="F697" s="32"/>
      <c r="G697" s="32"/>
      <c r="H697" s="32"/>
    </row>
    <row r="698" customHeight="1" spans="1:8">
      <c r="A698" s="32"/>
      <c r="B698" s="32"/>
      <c r="C698" s="32"/>
      <c r="E698" s="32"/>
      <c r="F698" s="32"/>
      <c r="G698" s="32"/>
      <c r="H698" s="32"/>
    </row>
    <row r="699" customHeight="1" spans="1:8">
      <c r="A699" s="32"/>
      <c r="B699" s="32"/>
      <c r="C699" s="32"/>
      <c r="E699" s="32"/>
      <c r="F699" s="32"/>
      <c r="G699" s="32"/>
      <c r="H699" s="32"/>
    </row>
    <row r="700" customHeight="1" spans="1:8">
      <c r="A700" s="32"/>
      <c r="B700" s="32"/>
      <c r="C700" s="32"/>
      <c r="E700" s="32"/>
      <c r="F700" s="32"/>
      <c r="G700" s="32"/>
      <c r="H700" s="32"/>
    </row>
    <row r="701" customHeight="1" spans="1:8">
      <c r="A701" s="32"/>
      <c r="B701" s="32"/>
      <c r="C701" s="32"/>
      <c r="E701" s="32"/>
      <c r="F701" s="32"/>
      <c r="G701" s="32"/>
      <c r="H701" s="32"/>
    </row>
    <row r="702" customHeight="1" spans="1:8">
      <c r="A702" s="32"/>
      <c r="B702" s="32"/>
      <c r="C702" s="32"/>
      <c r="E702" s="32"/>
      <c r="F702" s="32"/>
      <c r="G702" s="32"/>
      <c r="H702" s="32"/>
    </row>
    <row r="703" customHeight="1" spans="1:8">
      <c r="A703" s="32"/>
      <c r="B703" s="32"/>
      <c r="C703" s="32"/>
      <c r="E703" s="32"/>
      <c r="F703" s="32"/>
      <c r="G703" s="32"/>
      <c r="H703" s="32"/>
    </row>
    <row r="704" customHeight="1" spans="1:8">
      <c r="A704" s="32"/>
      <c r="B704" s="32"/>
      <c r="C704" s="32"/>
      <c r="E704" s="32"/>
      <c r="F704" s="32"/>
      <c r="G704" s="32"/>
      <c r="H704" s="32"/>
    </row>
    <row r="705" customHeight="1" spans="1:8">
      <c r="A705" s="32"/>
      <c r="B705" s="32"/>
      <c r="C705" s="32"/>
      <c r="E705" s="32"/>
      <c r="F705" s="32"/>
      <c r="G705" s="32"/>
      <c r="H705" s="32"/>
    </row>
    <row r="706" customHeight="1" spans="1:8">
      <c r="A706" s="32"/>
      <c r="B706" s="32"/>
      <c r="C706" s="32"/>
      <c r="E706" s="32"/>
      <c r="F706" s="32"/>
      <c r="G706" s="32"/>
      <c r="H706" s="32"/>
    </row>
    <row r="707" customHeight="1" spans="1:8">
      <c r="A707" s="32"/>
      <c r="B707" s="32"/>
      <c r="C707" s="32"/>
      <c r="E707" s="32"/>
      <c r="F707" s="32"/>
      <c r="G707" s="32"/>
      <c r="H707" s="32"/>
    </row>
    <row r="708" customHeight="1" spans="1:8">
      <c r="A708" s="32"/>
      <c r="B708" s="32"/>
      <c r="C708" s="32"/>
      <c r="E708" s="32"/>
      <c r="F708" s="32"/>
      <c r="G708" s="32"/>
      <c r="H708" s="32"/>
    </row>
    <row r="709" customHeight="1" spans="1:8">
      <c r="A709" s="32"/>
      <c r="B709" s="32"/>
      <c r="C709" s="32"/>
      <c r="E709" s="32"/>
      <c r="F709" s="32"/>
      <c r="G709" s="32"/>
      <c r="H709" s="32"/>
    </row>
    <row r="710" customHeight="1" spans="1:8">
      <c r="A710" s="32"/>
      <c r="B710" s="32"/>
      <c r="C710" s="32"/>
      <c r="E710" s="32"/>
      <c r="F710" s="32"/>
      <c r="G710" s="32"/>
      <c r="H710" s="32"/>
    </row>
    <row r="711" customHeight="1" spans="1:8">
      <c r="A711" s="32"/>
      <c r="B711" s="32"/>
      <c r="C711" s="32"/>
      <c r="E711" s="32"/>
      <c r="F711" s="32"/>
      <c r="G711" s="32"/>
      <c r="H711" s="32"/>
    </row>
    <row r="712" customHeight="1" spans="1:8">
      <c r="A712" s="32"/>
      <c r="B712" s="32"/>
      <c r="C712" s="32"/>
      <c r="E712" s="32"/>
      <c r="F712" s="32"/>
      <c r="G712" s="32"/>
      <c r="H712" s="32"/>
    </row>
    <row r="713" customHeight="1" spans="1:8">
      <c r="A713" s="32"/>
      <c r="B713" s="32"/>
      <c r="C713" s="32"/>
      <c r="E713" s="32"/>
      <c r="F713" s="32"/>
      <c r="G713" s="32"/>
      <c r="H713" s="32"/>
    </row>
    <row r="714" customHeight="1" spans="1:8">
      <c r="A714" s="32"/>
      <c r="B714" s="32"/>
      <c r="C714" s="32"/>
      <c r="E714" s="32"/>
      <c r="F714" s="32"/>
      <c r="G714" s="32"/>
      <c r="H714" s="32"/>
    </row>
    <row r="715" customHeight="1" spans="1:8">
      <c r="A715" s="32"/>
      <c r="B715" s="32"/>
      <c r="C715" s="32"/>
      <c r="E715" s="32"/>
      <c r="F715" s="32"/>
      <c r="G715" s="32"/>
      <c r="H715" s="32"/>
    </row>
    <row r="716" customHeight="1" spans="1:8">
      <c r="A716" s="32"/>
      <c r="B716" s="32"/>
      <c r="C716" s="32"/>
      <c r="E716" s="32"/>
      <c r="F716" s="32"/>
      <c r="G716" s="32"/>
      <c r="H716" s="32"/>
    </row>
    <row r="717" customHeight="1" spans="1:8">
      <c r="A717" s="32"/>
      <c r="B717" s="32"/>
      <c r="C717" s="32"/>
      <c r="E717" s="32"/>
      <c r="F717" s="32"/>
      <c r="G717" s="32"/>
      <c r="H717" s="32"/>
    </row>
    <row r="718" customHeight="1" spans="1:8">
      <c r="A718" s="32"/>
      <c r="B718" s="32"/>
      <c r="C718" s="32"/>
      <c r="E718" s="32"/>
      <c r="F718" s="32"/>
      <c r="G718" s="32"/>
      <c r="H718" s="32"/>
    </row>
    <row r="719" customHeight="1" spans="1:8">
      <c r="A719" s="32"/>
      <c r="B719" s="32"/>
      <c r="C719" s="32"/>
      <c r="E719" s="32"/>
      <c r="F719" s="32"/>
      <c r="G719" s="32"/>
      <c r="H719" s="32"/>
    </row>
    <row r="720" customHeight="1" spans="1:8">
      <c r="A720" s="32"/>
      <c r="B720" s="32"/>
      <c r="C720" s="32"/>
      <c r="E720" s="32"/>
      <c r="F720" s="32"/>
      <c r="G720" s="32"/>
      <c r="H720" s="32"/>
    </row>
    <row r="721" customHeight="1" spans="1:8">
      <c r="A721" s="32"/>
      <c r="B721" s="32"/>
      <c r="C721" s="32"/>
      <c r="E721" s="32"/>
      <c r="F721" s="32"/>
      <c r="G721" s="32"/>
      <c r="H721" s="32"/>
    </row>
    <row r="722" customHeight="1" spans="1:8">
      <c r="A722" s="32"/>
      <c r="B722" s="32"/>
      <c r="C722" s="32"/>
      <c r="E722" s="32"/>
      <c r="F722" s="32"/>
      <c r="G722" s="32"/>
      <c r="H722" s="32"/>
    </row>
    <row r="723" customHeight="1" spans="1:8">
      <c r="A723" s="32"/>
      <c r="B723" s="32"/>
      <c r="C723" s="32"/>
      <c r="E723" s="32"/>
      <c r="F723" s="32"/>
      <c r="G723" s="32"/>
      <c r="H723" s="32"/>
    </row>
    <row r="724" customHeight="1" spans="1:8">
      <c r="A724" s="32"/>
      <c r="B724" s="32"/>
      <c r="C724" s="32"/>
      <c r="E724" s="32"/>
      <c r="F724" s="32"/>
      <c r="G724" s="32"/>
      <c r="H724" s="32"/>
    </row>
    <row r="725" customHeight="1" spans="1:8">
      <c r="A725" s="32"/>
      <c r="B725" s="32"/>
      <c r="C725" s="32"/>
      <c r="E725" s="32"/>
      <c r="F725" s="32"/>
      <c r="G725" s="32"/>
      <c r="H725" s="32"/>
    </row>
    <row r="726" customHeight="1" spans="1:8">
      <c r="A726" s="32"/>
      <c r="B726" s="32"/>
      <c r="C726" s="32"/>
      <c r="E726" s="32"/>
      <c r="F726" s="32"/>
      <c r="G726" s="32"/>
      <c r="H726" s="32"/>
    </row>
    <row r="727" customHeight="1" spans="1:8">
      <c r="A727" s="32"/>
      <c r="B727" s="32"/>
      <c r="C727" s="32"/>
      <c r="E727" s="32"/>
      <c r="F727" s="32"/>
      <c r="G727" s="32"/>
      <c r="H727" s="32"/>
    </row>
    <row r="728" customHeight="1" spans="1:8">
      <c r="A728" s="32"/>
      <c r="B728" s="32"/>
      <c r="C728" s="32"/>
      <c r="E728" s="32"/>
      <c r="F728" s="32"/>
      <c r="G728" s="32"/>
      <c r="H728" s="32"/>
    </row>
    <row r="729" customHeight="1" spans="1:8">
      <c r="A729" s="32"/>
      <c r="B729" s="32"/>
      <c r="C729" s="32"/>
      <c r="E729" s="32"/>
      <c r="F729" s="32"/>
      <c r="G729" s="32"/>
      <c r="H729" s="32"/>
    </row>
    <row r="730" customHeight="1" spans="1:8">
      <c r="A730" s="32"/>
      <c r="B730" s="32"/>
      <c r="C730" s="32"/>
      <c r="E730" s="32"/>
      <c r="F730" s="32"/>
      <c r="G730" s="32"/>
      <c r="H730" s="32"/>
    </row>
    <row r="731" customHeight="1" spans="1:8">
      <c r="A731" s="32"/>
      <c r="B731" s="32"/>
      <c r="C731" s="32"/>
      <c r="E731" s="32"/>
      <c r="F731" s="32"/>
      <c r="G731" s="32"/>
      <c r="H731" s="32"/>
    </row>
    <row r="732" customHeight="1" spans="1:8">
      <c r="A732" s="32"/>
      <c r="B732" s="32"/>
      <c r="C732" s="32"/>
      <c r="E732" s="32"/>
      <c r="F732" s="32"/>
      <c r="G732" s="32"/>
      <c r="H732" s="32"/>
    </row>
    <row r="733" customHeight="1" spans="1:8">
      <c r="A733" s="32"/>
      <c r="B733" s="32"/>
      <c r="C733" s="32"/>
      <c r="E733" s="32"/>
      <c r="F733" s="32"/>
      <c r="G733" s="32"/>
      <c r="H733" s="32"/>
    </row>
    <row r="734" customHeight="1" spans="1:8">
      <c r="A734" s="32"/>
      <c r="B734" s="32"/>
      <c r="C734" s="32"/>
      <c r="E734" s="32"/>
      <c r="F734" s="32"/>
      <c r="G734" s="32"/>
      <c r="H734" s="32"/>
    </row>
    <row r="735" customHeight="1" spans="1:8">
      <c r="A735" s="32"/>
      <c r="B735" s="32"/>
      <c r="C735" s="32"/>
      <c r="E735" s="32"/>
      <c r="F735" s="32"/>
      <c r="G735" s="32"/>
      <c r="H735" s="32"/>
    </row>
    <row r="736" customHeight="1" spans="1:8">
      <c r="A736" s="32"/>
      <c r="B736" s="32"/>
      <c r="C736" s="32"/>
      <c r="E736" s="32"/>
      <c r="F736" s="32"/>
      <c r="G736" s="32"/>
      <c r="H736" s="32"/>
    </row>
    <row r="737" customHeight="1" spans="1:8">
      <c r="A737" s="32"/>
      <c r="B737" s="32"/>
      <c r="C737" s="32"/>
      <c r="E737" s="32"/>
      <c r="F737" s="32"/>
      <c r="G737" s="32"/>
      <c r="H737" s="32"/>
    </row>
    <row r="738" customHeight="1" spans="1:8">
      <c r="A738" s="32"/>
      <c r="B738" s="32"/>
      <c r="C738" s="32"/>
      <c r="E738" s="32"/>
      <c r="F738" s="32"/>
      <c r="G738" s="32"/>
      <c r="H738" s="32"/>
    </row>
    <row r="739" customHeight="1" spans="1:8">
      <c r="A739" s="32"/>
      <c r="B739" s="32"/>
      <c r="C739" s="32"/>
      <c r="E739" s="32"/>
      <c r="F739" s="32"/>
      <c r="G739" s="32"/>
      <c r="H739" s="32"/>
    </row>
    <row r="740" customHeight="1" spans="1:8">
      <c r="A740" s="32"/>
      <c r="B740" s="32"/>
      <c r="C740" s="32"/>
      <c r="E740" s="32"/>
      <c r="F740" s="32"/>
      <c r="G740" s="32"/>
      <c r="H740" s="32"/>
    </row>
    <row r="741" customHeight="1" spans="1:8">
      <c r="A741" s="32"/>
      <c r="B741" s="32"/>
      <c r="C741" s="32"/>
      <c r="E741" s="32"/>
      <c r="F741" s="32"/>
      <c r="G741" s="32"/>
      <c r="H741" s="32"/>
    </row>
    <row r="742" customHeight="1" spans="1:8">
      <c r="A742" s="32"/>
      <c r="B742" s="32"/>
      <c r="C742" s="32"/>
      <c r="E742" s="32"/>
      <c r="F742" s="32"/>
      <c r="G742" s="32"/>
      <c r="H742" s="32"/>
    </row>
    <row r="743" customHeight="1" spans="1:8">
      <c r="A743" s="32"/>
      <c r="B743" s="32"/>
      <c r="C743" s="32"/>
      <c r="E743" s="32"/>
      <c r="F743" s="32"/>
      <c r="G743" s="32"/>
      <c r="H743" s="32"/>
    </row>
    <row r="744" customHeight="1" spans="1:8">
      <c r="A744" s="32"/>
      <c r="B744" s="32"/>
      <c r="C744" s="32"/>
      <c r="E744" s="32"/>
      <c r="F744" s="32"/>
      <c r="G744" s="32"/>
      <c r="H744" s="32"/>
    </row>
    <row r="745" customHeight="1" spans="1:8">
      <c r="A745" s="32"/>
      <c r="B745" s="32"/>
      <c r="C745" s="32"/>
      <c r="E745" s="32"/>
      <c r="F745" s="32"/>
      <c r="G745" s="32"/>
      <c r="H745" s="32"/>
    </row>
    <row r="746" customHeight="1" spans="1:8">
      <c r="A746" s="32"/>
      <c r="B746" s="32"/>
      <c r="C746" s="32"/>
      <c r="E746" s="32"/>
      <c r="F746" s="32"/>
      <c r="G746" s="32"/>
      <c r="H746" s="32"/>
    </row>
    <row r="747" customHeight="1" spans="1:8">
      <c r="A747" s="32"/>
      <c r="B747" s="32"/>
      <c r="C747" s="32"/>
      <c r="E747" s="32"/>
      <c r="F747" s="32"/>
      <c r="G747" s="32"/>
      <c r="H747" s="32"/>
    </row>
    <row r="748" customHeight="1" spans="1:8">
      <c r="A748" s="32"/>
      <c r="B748" s="32"/>
      <c r="C748" s="32"/>
      <c r="E748" s="32"/>
      <c r="F748" s="32"/>
      <c r="G748" s="32"/>
      <c r="H748" s="32"/>
    </row>
    <row r="749" customHeight="1" spans="1:8">
      <c r="A749" s="32"/>
      <c r="B749" s="32"/>
      <c r="C749" s="32"/>
      <c r="E749" s="32"/>
      <c r="F749" s="32"/>
      <c r="G749" s="32"/>
      <c r="H749" s="32"/>
    </row>
    <row r="750" customHeight="1" spans="1:8">
      <c r="A750" s="32"/>
      <c r="B750" s="32"/>
      <c r="C750" s="32"/>
      <c r="E750" s="32"/>
      <c r="F750" s="32"/>
      <c r="G750" s="32"/>
      <c r="H750" s="32"/>
    </row>
    <row r="751" customHeight="1" spans="1:8">
      <c r="A751" s="32"/>
      <c r="B751" s="32"/>
      <c r="C751" s="32"/>
      <c r="E751" s="32"/>
      <c r="F751" s="32"/>
      <c r="G751" s="32"/>
      <c r="H751" s="32"/>
    </row>
    <row r="752" customHeight="1" spans="1:8">
      <c r="A752" s="32"/>
      <c r="B752" s="32"/>
      <c r="C752" s="32"/>
      <c r="E752" s="32"/>
      <c r="F752" s="32"/>
      <c r="G752" s="32"/>
      <c r="H752" s="32"/>
    </row>
    <row r="753" customHeight="1" spans="1:8">
      <c r="A753" s="32"/>
      <c r="B753" s="32"/>
      <c r="C753" s="32"/>
      <c r="E753" s="32"/>
      <c r="F753" s="32"/>
      <c r="G753" s="32"/>
      <c r="H753" s="32"/>
    </row>
    <row r="754" customHeight="1" spans="1:8">
      <c r="A754" s="32"/>
      <c r="B754" s="32"/>
      <c r="C754" s="32"/>
      <c r="E754" s="32"/>
      <c r="F754" s="32"/>
      <c r="G754" s="32"/>
      <c r="H754" s="32"/>
    </row>
    <row r="755" customHeight="1" spans="1:8">
      <c r="A755" s="32"/>
      <c r="B755" s="32"/>
      <c r="C755" s="32"/>
      <c r="E755" s="32"/>
      <c r="F755" s="32"/>
      <c r="G755" s="32"/>
      <c r="H755" s="32"/>
    </row>
    <row r="756" customHeight="1" spans="1:8">
      <c r="A756" s="32"/>
      <c r="B756" s="32"/>
      <c r="C756" s="32"/>
      <c r="E756" s="32"/>
      <c r="F756" s="32"/>
      <c r="G756" s="32"/>
      <c r="H756" s="32"/>
    </row>
    <row r="757" customHeight="1" spans="1:8">
      <c r="A757" s="32"/>
      <c r="B757" s="32"/>
      <c r="C757" s="32"/>
      <c r="E757" s="32"/>
      <c r="F757" s="32"/>
      <c r="G757" s="32"/>
      <c r="H757" s="32"/>
    </row>
    <row r="758" customHeight="1" spans="1:8">
      <c r="A758" s="32"/>
      <c r="B758" s="32"/>
      <c r="C758" s="32"/>
      <c r="E758" s="32"/>
      <c r="F758" s="32"/>
      <c r="G758" s="32"/>
      <c r="H758" s="32"/>
    </row>
    <row r="759" customHeight="1" spans="1:8">
      <c r="A759" s="32"/>
      <c r="B759" s="32"/>
      <c r="C759" s="32"/>
      <c r="E759" s="32"/>
      <c r="F759" s="32"/>
      <c r="G759" s="32"/>
      <c r="H759" s="32"/>
    </row>
    <row r="760" customHeight="1" spans="1:8">
      <c r="A760" s="32"/>
      <c r="B760" s="32"/>
      <c r="C760" s="32"/>
      <c r="E760" s="32"/>
      <c r="F760" s="32"/>
      <c r="G760" s="32"/>
      <c r="H760" s="32"/>
    </row>
    <row r="761" customHeight="1" spans="1:8">
      <c r="A761" s="32"/>
      <c r="B761" s="32"/>
      <c r="C761" s="32"/>
      <c r="E761" s="32"/>
      <c r="F761" s="32"/>
      <c r="G761" s="32"/>
      <c r="H761" s="32"/>
    </row>
    <row r="762" customHeight="1" spans="1:8">
      <c r="A762" s="32"/>
      <c r="B762" s="32"/>
      <c r="C762" s="32"/>
      <c r="E762" s="32"/>
      <c r="F762" s="32"/>
      <c r="G762" s="32"/>
      <c r="H762" s="32"/>
    </row>
    <row r="763" customHeight="1" spans="1:8">
      <c r="A763" s="32"/>
      <c r="B763" s="32"/>
      <c r="C763" s="32"/>
      <c r="E763" s="32"/>
      <c r="F763" s="32"/>
      <c r="G763" s="32"/>
      <c r="H763" s="32"/>
    </row>
    <row r="764" customHeight="1" spans="1:8">
      <c r="A764" s="32"/>
      <c r="B764" s="32"/>
      <c r="C764" s="32"/>
      <c r="E764" s="32"/>
      <c r="F764" s="32"/>
      <c r="G764" s="32"/>
      <c r="H764" s="32"/>
    </row>
    <row r="765" customHeight="1" spans="1:8">
      <c r="A765" s="32"/>
      <c r="B765" s="32"/>
      <c r="C765" s="32"/>
      <c r="E765" s="32"/>
      <c r="F765" s="32"/>
      <c r="G765" s="32"/>
      <c r="H765" s="32"/>
    </row>
    <row r="766" customHeight="1" spans="1:8">
      <c r="A766" s="32"/>
      <c r="B766" s="32"/>
      <c r="C766" s="32"/>
      <c r="E766" s="32"/>
      <c r="F766" s="32"/>
      <c r="G766" s="32"/>
      <c r="H766" s="32"/>
    </row>
    <row r="767" customHeight="1" spans="1:8">
      <c r="A767" s="32"/>
      <c r="B767" s="32"/>
      <c r="C767" s="32"/>
      <c r="E767" s="32"/>
      <c r="F767" s="32"/>
      <c r="G767" s="32"/>
      <c r="H767" s="32"/>
    </row>
    <row r="768" customHeight="1" spans="1:8">
      <c r="A768" s="32"/>
      <c r="B768" s="32"/>
      <c r="C768" s="32"/>
      <c r="E768" s="32"/>
      <c r="F768" s="32"/>
      <c r="G768" s="32"/>
      <c r="H768" s="32"/>
    </row>
    <row r="769" customHeight="1" spans="1:8">
      <c r="A769" s="32"/>
      <c r="B769" s="32"/>
      <c r="C769" s="32"/>
      <c r="E769" s="32"/>
      <c r="F769" s="32"/>
      <c r="G769" s="32"/>
      <c r="H769" s="32"/>
    </row>
    <row r="770" customHeight="1" spans="1:8">
      <c r="A770" s="32"/>
      <c r="B770" s="32"/>
      <c r="C770" s="32"/>
      <c r="E770" s="32"/>
      <c r="F770" s="32"/>
      <c r="G770" s="32"/>
      <c r="H770" s="32"/>
    </row>
    <row r="771" customHeight="1" spans="1:8">
      <c r="A771" s="32"/>
      <c r="B771" s="32"/>
      <c r="C771" s="32"/>
      <c r="E771" s="32"/>
      <c r="F771" s="32"/>
      <c r="G771" s="32"/>
      <c r="H771" s="32"/>
    </row>
    <row r="772" customHeight="1" spans="1:8">
      <c r="A772" s="32"/>
      <c r="B772" s="32"/>
      <c r="C772" s="32"/>
      <c r="E772" s="32"/>
      <c r="F772" s="32"/>
      <c r="G772" s="32"/>
      <c r="H772" s="32"/>
    </row>
    <row r="773" customHeight="1" spans="1:8">
      <c r="A773" s="32"/>
      <c r="B773" s="32"/>
      <c r="C773" s="32"/>
      <c r="E773" s="32"/>
      <c r="F773" s="32"/>
      <c r="G773" s="32"/>
      <c r="H773" s="32"/>
    </row>
    <row r="774" customHeight="1" spans="1:8">
      <c r="A774" s="32"/>
      <c r="B774" s="32"/>
      <c r="C774" s="32"/>
      <c r="E774" s="32"/>
      <c r="F774" s="32"/>
      <c r="G774" s="32"/>
      <c r="H774" s="32"/>
    </row>
    <row r="775" customHeight="1" spans="1:8">
      <c r="A775" s="32"/>
      <c r="B775" s="32"/>
      <c r="C775" s="32"/>
      <c r="E775" s="32"/>
      <c r="F775" s="32"/>
      <c r="G775" s="32"/>
      <c r="H775" s="32"/>
    </row>
    <row r="776" customHeight="1" spans="1:8">
      <c r="A776" s="32"/>
      <c r="B776" s="32"/>
      <c r="C776" s="32"/>
      <c r="E776" s="32"/>
      <c r="F776" s="32"/>
      <c r="G776" s="32"/>
      <c r="H776" s="32"/>
    </row>
    <row r="777" customHeight="1" spans="1:8">
      <c r="A777" s="32"/>
      <c r="B777" s="32"/>
      <c r="C777" s="32"/>
      <c r="E777" s="32"/>
      <c r="F777" s="32"/>
      <c r="G777" s="32"/>
      <c r="H777" s="32"/>
    </row>
    <row r="778" customHeight="1" spans="1:8">
      <c r="A778" s="32"/>
      <c r="B778" s="32"/>
      <c r="C778" s="32"/>
      <c r="E778" s="32"/>
      <c r="F778" s="32"/>
      <c r="G778" s="32"/>
      <c r="H778" s="32"/>
    </row>
    <row r="779" customHeight="1" spans="1:8">
      <c r="A779" s="32"/>
      <c r="B779" s="32"/>
      <c r="C779" s="32"/>
      <c r="E779" s="32"/>
      <c r="F779" s="32"/>
      <c r="G779" s="32"/>
      <c r="H779" s="32"/>
    </row>
    <row r="780" customHeight="1" spans="1:8">
      <c r="A780" s="32"/>
      <c r="B780" s="32"/>
      <c r="C780" s="32"/>
      <c r="E780" s="32"/>
      <c r="F780" s="32"/>
      <c r="G780" s="32"/>
      <c r="H780" s="32"/>
    </row>
    <row r="781" customHeight="1" spans="1:8">
      <c r="A781" s="32"/>
      <c r="B781" s="32"/>
      <c r="C781" s="32"/>
      <c r="E781" s="32"/>
      <c r="F781" s="32"/>
      <c r="G781" s="32"/>
      <c r="H781" s="32"/>
    </row>
    <row r="782" customHeight="1" spans="1:8">
      <c r="A782" s="32"/>
      <c r="B782" s="32"/>
      <c r="C782" s="32"/>
      <c r="E782" s="32"/>
      <c r="F782" s="32"/>
      <c r="G782" s="32"/>
      <c r="H782" s="32"/>
    </row>
    <row r="783" customHeight="1" spans="1:8">
      <c r="A783" s="32"/>
      <c r="B783" s="32"/>
      <c r="C783" s="32"/>
      <c r="E783" s="32"/>
      <c r="F783" s="32"/>
      <c r="G783" s="32"/>
      <c r="H783" s="32"/>
    </row>
    <row r="784" customHeight="1" spans="1:8">
      <c r="A784" s="32"/>
      <c r="B784" s="32"/>
      <c r="C784" s="32"/>
      <c r="E784" s="32"/>
      <c r="F784" s="32"/>
      <c r="G784" s="32"/>
      <c r="H784" s="32"/>
    </row>
    <row r="785" customHeight="1" spans="1:8">
      <c r="A785" s="32"/>
      <c r="B785" s="32"/>
      <c r="C785" s="32"/>
      <c r="E785" s="32"/>
      <c r="F785" s="32"/>
      <c r="G785" s="32"/>
      <c r="H785" s="32"/>
    </row>
    <row r="786" customHeight="1" spans="1:8">
      <c r="A786" s="32"/>
      <c r="B786" s="32"/>
      <c r="C786" s="32"/>
      <c r="E786" s="32"/>
      <c r="F786" s="32"/>
      <c r="G786" s="32"/>
      <c r="H786" s="32"/>
    </row>
    <row r="787" customHeight="1" spans="1:8">
      <c r="A787" s="32"/>
      <c r="B787" s="32"/>
      <c r="C787" s="32"/>
      <c r="E787" s="32"/>
      <c r="F787" s="32"/>
      <c r="G787" s="32"/>
      <c r="H787" s="32"/>
    </row>
    <row r="788" customHeight="1" spans="1:8">
      <c r="A788" s="32"/>
      <c r="B788" s="32"/>
      <c r="C788" s="32"/>
      <c r="E788" s="32"/>
      <c r="F788" s="32"/>
      <c r="G788" s="32"/>
      <c r="H788" s="32"/>
    </row>
    <row r="789" customHeight="1" spans="1:8">
      <c r="A789" s="32"/>
      <c r="B789" s="32"/>
      <c r="C789" s="32"/>
      <c r="E789" s="32"/>
      <c r="F789" s="32"/>
      <c r="G789" s="32"/>
      <c r="H789" s="32"/>
    </row>
    <row r="790" customHeight="1" spans="1:8">
      <c r="A790" s="32"/>
      <c r="B790" s="32"/>
      <c r="C790" s="32"/>
      <c r="E790" s="32"/>
      <c r="F790" s="32"/>
      <c r="G790" s="32"/>
      <c r="H790" s="32"/>
    </row>
    <row r="791" customHeight="1" spans="1:8">
      <c r="A791" s="32"/>
      <c r="B791" s="32"/>
      <c r="C791" s="32"/>
      <c r="E791" s="32"/>
      <c r="F791" s="32"/>
      <c r="G791" s="32"/>
      <c r="H791" s="32"/>
    </row>
    <row r="792" customHeight="1" spans="1:8">
      <c r="A792" s="32"/>
      <c r="B792" s="32"/>
      <c r="C792" s="32"/>
      <c r="E792" s="32"/>
      <c r="F792" s="32"/>
      <c r="G792" s="32"/>
      <c r="H792" s="32"/>
    </row>
    <row r="793" customHeight="1" spans="1:8">
      <c r="A793" s="32"/>
      <c r="B793" s="32"/>
      <c r="C793" s="32"/>
      <c r="E793" s="32"/>
      <c r="F793" s="32"/>
      <c r="G793" s="32"/>
      <c r="H793" s="32"/>
    </row>
    <row r="794" customHeight="1" spans="1:8">
      <c r="A794" s="32"/>
      <c r="B794" s="32"/>
      <c r="C794" s="32"/>
      <c r="E794" s="32"/>
      <c r="F794" s="32"/>
      <c r="G794" s="32"/>
      <c r="H794" s="32"/>
    </row>
    <row r="795" customHeight="1" spans="1:8">
      <c r="A795" s="32"/>
      <c r="B795" s="32"/>
      <c r="C795" s="32"/>
      <c r="E795" s="32"/>
      <c r="F795" s="32"/>
      <c r="G795" s="32"/>
      <c r="H795" s="32"/>
    </row>
    <row r="796" customHeight="1" spans="1:8">
      <c r="A796" s="32"/>
      <c r="B796" s="32"/>
      <c r="C796" s="32"/>
      <c r="E796" s="32"/>
      <c r="F796" s="32"/>
      <c r="G796" s="32"/>
      <c r="H796" s="32"/>
    </row>
    <row r="797" customHeight="1" spans="1:8">
      <c r="A797" s="32"/>
      <c r="B797" s="32"/>
      <c r="C797" s="32"/>
      <c r="E797" s="32"/>
      <c r="F797" s="32"/>
      <c r="G797" s="32"/>
      <c r="H797" s="32"/>
    </row>
    <row r="798" customHeight="1" spans="1:8">
      <c r="A798" s="32"/>
      <c r="B798" s="32"/>
      <c r="C798" s="32"/>
      <c r="E798" s="32"/>
      <c r="F798" s="32"/>
      <c r="G798" s="32"/>
      <c r="H798" s="32"/>
    </row>
    <row r="799" customHeight="1" spans="1:8">
      <c r="A799" s="32"/>
      <c r="B799" s="32"/>
      <c r="C799" s="32"/>
      <c r="E799" s="32"/>
      <c r="F799" s="32"/>
      <c r="G799" s="32"/>
      <c r="H799" s="32"/>
    </row>
    <row r="800" customHeight="1" spans="1:8">
      <c r="A800" s="32"/>
      <c r="B800" s="32"/>
      <c r="C800" s="32"/>
      <c r="E800" s="32"/>
      <c r="F800" s="32"/>
      <c r="G800" s="32"/>
      <c r="H800" s="32"/>
    </row>
    <row r="801" customHeight="1" spans="1:8">
      <c r="A801" s="32"/>
      <c r="B801" s="32"/>
      <c r="C801" s="32"/>
      <c r="E801" s="32"/>
      <c r="F801" s="32"/>
      <c r="G801" s="32"/>
      <c r="H801" s="32"/>
    </row>
    <row r="802" customHeight="1" spans="1:8">
      <c r="A802" s="32"/>
      <c r="B802" s="32"/>
      <c r="C802" s="32"/>
      <c r="E802" s="32"/>
      <c r="F802" s="32"/>
      <c r="G802" s="32"/>
      <c r="H802" s="32"/>
    </row>
    <row r="803" customHeight="1" spans="1:8">
      <c r="A803" s="32"/>
      <c r="B803" s="32"/>
      <c r="C803" s="32"/>
      <c r="E803" s="32"/>
      <c r="F803" s="32"/>
      <c r="G803" s="32"/>
      <c r="H803" s="32"/>
    </row>
    <row r="804" customHeight="1" spans="1:8">
      <c r="A804" s="32"/>
      <c r="B804" s="32"/>
      <c r="C804" s="32"/>
      <c r="E804" s="32"/>
      <c r="F804" s="32"/>
      <c r="G804" s="32"/>
      <c r="H804" s="32"/>
    </row>
    <row r="805" customHeight="1" spans="1:8">
      <c r="A805" s="32"/>
      <c r="B805" s="32"/>
      <c r="C805" s="32"/>
      <c r="E805" s="32"/>
      <c r="F805" s="32"/>
      <c r="G805" s="32"/>
      <c r="H805" s="32"/>
    </row>
    <row r="806" customHeight="1" spans="1:8">
      <c r="A806" s="32"/>
      <c r="B806" s="32"/>
      <c r="C806" s="32"/>
      <c r="E806" s="32"/>
      <c r="F806" s="32"/>
      <c r="G806" s="32"/>
      <c r="H806" s="32"/>
    </row>
    <row r="807" customHeight="1" spans="1:8">
      <c r="A807" s="32"/>
      <c r="B807" s="32"/>
      <c r="C807" s="32"/>
      <c r="E807" s="32"/>
      <c r="F807" s="32"/>
      <c r="G807" s="32"/>
      <c r="H807" s="32"/>
    </row>
    <row r="808" customHeight="1" spans="1:8">
      <c r="A808" s="32"/>
      <c r="B808" s="32"/>
      <c r="C808" s="32"/>
      <c r="E808" s="32"/>
      <c r="F808" s="32"/>
      <c r="G808" s="32"/>
      <c r="H808" s="32"/>
    </row>
    <row r="809" customHeight="1" spans="1:8">
      <c r="A809" s="32"/>
      <c r="B809" s="32"/>
      <c r="C809" s="32"/>
      <c r="E809" s="32"/>
      <c r="F809" s="32"/>
      <c r="G809" s="32"/>
      <c r="H809" s="32"/>
    </row>
    <row r="810" customHeight="1" spans="1:8">
      <c r="A810" s="32"/>
      <c r="B810" s="32"/>
      <c r="C810" s="32"/>
      <c r="E810" s="32"/>
      <c r="F810" s="32"/>
      <c r="G810" s="32"/>
      <c r="H810" s="32"/>
    </row>
    <row r="811" customHeight="1" spans="1:8">
      <c r="A811" s="32"/>
      <c r="B811" s="32"/>
      <c r="C811" s="32"/>
      <c r="E811" s="32"/>
      <c r="F811" s="32"/>
      <c r="G811" s="32"/>
      <c r="H811" s="32"/>
    </row>
    <row r="812" customHeight="1" spans="1:8">
      <c r="A812" s="32"/>
      <c r="B812" s="32"/>
      <c r="C812" s="32"/>
      <c r="E812" s="32"/>
      <c r="F812" s="32"/>
      <c r="G812" s="32"/>
      <c r="H812" s="32"/>
    </row>
    <row r="813" customHeight="1" spans="1:8">
      <c r="A813" s="32"/>
      <c r="B813" s="32"/>
      <c r="C813" s="32"/>
      <c r="E813" s="32"/>
      <c r="F813" s="32"/>
      <c r="G813" s="32"/>
      <c r="H813" s="32"/>
    </row>
    <row r="814" customHeight="1" spans="1:8">
      <c r="A814" s="32"/>
      <c r="B814" s="32"/>
      <c r="C814" s="32"/>
      <c r="E814" s="32"/>
      <c r="F814" s="32"/>
      <c r="G814" s="32"/>
      <c r="H814" s="32"/>
    </row>
    <row r="815" customHeight="1" spans="1:8">
      <c r="A815" s="32"/>
      <c r="B815" s="32"/>
      <c r="C815" s="32"/>
      <c r="E815" s="32"/>
      <c r="F815" s="32"/>
      <c r="G815" s="32"/>
      <c r="H815" s="32"/>
    </row>
    <row r="816" customHeight="1" spans="1:8">
      <c r="A816" s="32"/>
      <c r="B816" s="32"/>
      <c r="C816" s="32"/>
      <c r="E816" s="32"/>
      <c r="F816" s="32"/>
      <c r="G816" s="32"/>
      <c r="H816" s="32"/>
    </row>
    <row r="817" customHeight="1" spans="1:8">
      <c r="A817" s="32"/>
      <c r="B817" s="32"/>
      <c r="C817" s="32"/>
      <c r="E817" s="32"/>
      <c r="F817" s="32"/>
      <c r="G817" s="32"/>
      <c r="H817" s="32"/>
    </row>
    <row r="818" customHeight="1" spans="1:8">
      <c r="A818" s="32"/>
      <c r="B818" s="32"/>
      <c r="C818" s="32"/>
      <c r="E818" s="32"/>
      <c r="F818" s="32"/>
      <c r="G818" s="32"/>
      <c r="H818" s="32"/>
    </row>
    <row r="819" customHeight="1" spans="1:8">
      <c r="A819" s="32"/>
      <c r="B819" s="32"/>
      <c r="C819" s="32"/>
      <c r="E819" s="32"/>
      <c r="F819" s="32"/>
      <c r="G819" s="32"/>
      <c r="H819" s="32"/>
    </row>
    <row r="820" customHeight="1" spans="1:8">
      <c r="A820" s="32"/>
      <c r="B820" s="32"/>
      <c r="C820" s="32"/>
      <c r="E820" s="32"/>
      <c r="F820" s="32"/>
      <c r="G820" s="32"/>
      <c r="H820" s="32"/>
    </row>
    <row r="821" customHeight="1" spans="1:8">
      <c r="A821" s="32"/>
      <c r="B821" s="32"/>
      <c r="C821" s="32"/>
      <c r="E821" s="32"/>
      <c r="F821" s="32"/>
      <c r="G821" s="32"/>
      <c r="H821" s="32"/>
    </row>
    <row r="822" customHeight="1" spans="1:8">
      <c r="A822" s="32"/>
      <c r="B822" s="32"/>
      <c r="C822" s="32"/>
      <c r="E822" s="32"/>
      <c r="F822" s="32"/>
      <c r="G822" s="32"/>
      <c r="H822" s="32"/>
    </row>
    <row r="823" customHeight="1" spans="1:8">
      <c r="A823" s="32"/>
      <c r="B823" s="32"/>
      <c r="C823" s="32"/>
      <c r="E823" s="32"/>
      <c r="F823" s="32"/>
      <c r="G823" s="32"/>
      <c r="H823" s="32"/>
    </row>
    <row r="824" customHeight="1" spans="1:8">
      <c r="A824" s="32"/>
      <c r="B824" s="32"/>
      <c r="C824" s="32"/>
      <c r="E824" s="32"/>
      <c r="F824" s="32"/>
      <c r="G824" s="32"/>
      <c r="H824" s="32"/>
    </row>
    <row r="825" customHeight="1" spans="1:8">
      <c r="A825" s="32"/>
      <c r="B825" s="32"/>
      <c r="C825" s="32"/>
      <c r="E825" s="32"/>
      <c r="F825" s="32"/>
      <c r="G825" s="32"/>
      <c r="H825" s="32"/>
    </row>
    <row r="826" customHeight="1" spans="1:8">
      <c r="A826" s="32"/>
      <c r="B826" s="32"/>
      <c r="C826" s="32"/>
      <c r="E826" s="32"/>
      <c r="F826" s="32"/>
      <c r="G826" s="32"/>
      <c r="H826" s="32"/>
    </row>
    <row r="827" customHeight="1" spans="1:8">
      <c r="A827" s="32"/>
      <c r="B827" s="32"/>
      <c r="C827" s="32"/>
      <c r="E827" s="32"/>
      <c r="F827" s="32"/>
      <c r="G827" s="32"/>
      <c r="H827" s="32"/>
    </row>
    <row r="828" customHeight="1" spans="1:8">
      <c r="A828" s="32"/>
      <c r="B828" s="32"/>
      <c r="C828" s="32"/>
      <c r="E828" s="32"/>
      <c r="F828" s="32"/>
      <c r="G828" s="32"/>
      <c r="H828" s="32"/>
    </row>
    <row r="829" customHeight="1" spans="1:8">
      <c r="A829" s="32"/>
      <c r="B829" s="32"/>
      <c r="C829" s="32"/>
      <c r="E829" s="32"/>
      <c r="F829" s="32"/>
      <c r="G829" s="32"/>
      <c r="H829" s="32"/>
    </row>
    <row r="830" customHeight="1" spans="1:8">
      <c r="A830" s="32"/>
      <c r="B830" s="32"/>
      <c r="C830" s="32"/>
      <c r="E830" s="32"/>
      <c r="F830" s="32"/>
      <c r="G830" s="32"/>
      <c r="H830" s="32"/>
    </row>
    <row r="831" customHeight="1" spans="1:8">
      <c r="A831" s="32"/>
      <c r="B831" s="32"/>
      <c r="C831" s="32"/>
      <c r="E831" s="32"/>
      <c r="F831" s="32"/>
      <c r="G831" s="32"/>
      <c r="H831" s="32"/>
    </row>
    <row r="832" customHeight="1" spans="1:8">
      <c r="A832" s="32"/>
      <c r="B832" s="32"/>
      <c r="C832" s="32"/>
      <c r="E832" s="32"/>
      <c r="F832" s="32"/>
      <c r="G832" s="32"/>
      <c r="H832" s="32"/>
    </row>
    <row r="833" customHeight="1" spans="1:8">
      <c r="A833" s="32"/>
      <c r="B833" s="32"/>
      <c r="C833" s="32"/>
      <c r="E833" s="32"/>
      <c r="F833" s="32"/>
      <c r="G833" s="32"/>
      <c r="H833" s="32"/>
    </row>
    <row r="834" customHeight="1" spans="1:8">
      <c r="A834" s="32"/>
      <c r="B834" s="32"/>
      <c r="C834" s="32"/>
      <c r="E834" s="32"/>
      <c r="F834" s="32"/>
      <c r="G834" s="32"/>
      <c r="H834" s="32"/>
    </row>
    <row r="835" customHeight="1" spans="1:8">
      <c r="A835" s="32"/>
      <c r="B835" s="32"/>
      <c r="C835" s="32"/>
      <c r="E835" s="32"/>
      <c r="F835" s="32"/>
      <c r="G835" s="32"/>
      <c r="H835" s="32"/>
    </row>
    <row r="836" customHeight="1" spans="1:8">
      <c r="A836" s="32"/>
      <c r="B836" s="32"/>
      <c r="C836" s="32"/>
      <c r="E836" s="32"/>
      <c r="F836" s="32"/>
      <c r="G836" s="32"/>
      <c r="H836" s="32"/>
    </row>
    <row r="837" customHeight="1" spans="1:8">
      <c r="A837" s="32"/>
      <c r="B837" s="32"/>
      <c r="C837" s="32"/>
      <c r="E837" s="32"/>
      <c r="F837" s="32"/>
      <c r="G837" s="32"/>
      <c r="H837" s="32"/>
    </row>
    <row r="838" customHeight="1" spans="1:8">
      <c r="A838" s="32"/>
      <c r="B838" s="32"/>
      <c r="C838" s="32"/>
      <c r="E838" s="32"/>
      <c r="F838" s="32"/>
      <c r="G838" s="32"/>
      <c r="H838" s="32"/>
    </row>
    <row r="839" customHeight="1" spans="1:8">
      <c r="A839" s="32"/>
      <c r="B839" s="32"/>
      <c r="C839" s="32"/>
      <c r="E839" s="32"/>
      <c r="F839" s="32"/>
      <c r="G839" s="32"/>
      <c r="H839" s="32"/>
    </row>
    <row r="840" customHeight="1" spans="1:8">
      <c r="A840" s="32"/>
      <c r="B840" s="32"/>
      <c r="C840" s="32"/>
      <c r="E840" s="32"/>
      <c r="F840" s="32"/>
      <c r="G840" s="32"/>
      <c r="H840" s="32"/>
    </row>
    <row r="841" customHeight="1" spans="1:8">
      <c r="A841" s="32"/>
      <c r="B841" s="32"/>
      <c r="C841" s="32"/>
      <c r="E841" s="32"/>
      <c r="F841" s="32"/>
      <c r="G841" s="32"/>
      <c r="H841" s="32"/>
    </row>
    <row r="842" customHeight="1" spans="1:8">
      <c r="A842" s="32"/>
      <c r="B842" s="32"/>
      <c r="C842" s="32"/>
      <c r="E842" s="32"/>
      <c r="F842" s="32"/>
      <c r="G842" s="32"/>
      <c r="H842" s="32"/>
    </row>
    <row r="843" customHeight="1" spans="1:8">
      <c r="A843" s="32"/>
      <c r="B843" s="32"/>
      <c r="C843" s="32"/>
      <c r="E843" s="32"/>
      <c r="F843" s="32"/>
      <c r="G843" s="32"/>
      <c r="H843" s="32"/>
    </row>
    <row r="844" customHeight="1" spans="1:8">
      <c r="A844" s="32"/>
      <c r="B844" s="32"/>
      <c r="C844" s="32"/>
      <c r="E844" s="32"/>
      <c r="F844" s="32"/>
      <c r="G844" s="32"/>
      <c r="H844" s="32"/>
    </row>
    <row r="845" customHeight="1" spans="1:8">
      <c r="A845" s="32"/>
      <c r="B845" s="32"/>
      <c r="C845" s="32"/>
      <c r="E845" s="32"/>
      <c r="F845" s="32"/>
      <c r="G845" s="32"/>
      <c r="H845" s="32"/>
    </row>
    <row r="846" customHeight="1" spans="1:8">
      <c r="A846" s="32"/>
      <c r="B846" s="32"/>
      <c r="C846" s="32"/>
      <c r="E846" s="32"/>
      <c r="F846" s="32"/>
      <c r="G846" s="32"/>
      <c r="H846" s="32"/>
    </row>
    <row r="847" customHeight="1" spans="1:8">
      <c r="A847" s="32"/>
      <c r="B847" s="32"/>
      <c r="C847" s="32"/>
      <c r="E847" s="32"/>
      <c r="F847" s="32"/>
      <c r="G847" s="32"/>
      <c r="H847" s="32"/>
    </row>
    <row r="848" customHeight="1" spans="1:8">
      <c r="A848" s="32"/>
      <c r="B848" s="32"/>
      <c r="C848" s="32"/>
      <c r="E848" s="32"/>
      <c r="F848" s="32"/>
      <c r="G848" s="32"/>
      <c r="H848" s="32"/>
    </row>
    <row r="849" customHeight="1" spans="1:8">
      <c r="A849" s="32"/>
      <c r="B849" s="32"/>
      <c r="C849" s="32"/>
      <c r="E849" s="32"/>
      <c r="F849" s="32"/>
      <c r="G849" s="32"/>
      <c r="H849" s="32"/>
    </row>
    <row r="850" customHeight="1" spans="1:8">
      <c r="A850" s="32"/>
      <c r="B850" s="32"/>
      <c r="C850" s="32"/>
      <c r="E850" s="32"/>
      <c r="F850" s="32"/>
      <c r="G850" s="32"/>
      <c r="H850" s="32"/>
    </row>
    <row r="851" customHeight="1" spans="1:8">
      <c r="A851" s="32"/>
      <c r="B851" s="32"/>
      <c r="C851" s="32"/>
      <c r="E851" s="32"/>
      <c r="F851" s="32"/>
      <c r="G851" s="32"/>
      <c r="H851" s="32"/>
    </row>
    <row r="852" customHeight="1" spans="1:8">
      <c r="A852" s="32"/>
      <c r="B852" s="32"/>
      <c r="C852" s="32"/>
      <c r="E852" s="32"/>
      <c r="F852" s="32"/>
      <c r="G852" s="32"/>
      <c r="H852" s="32"/>
    </row>
    <row r="853" customHeight="1" spans="1:8">
      <c r="A853" s="32"/>
      <c r="B853" s="32"/>
      <c r="C853" s="32"/>
      <c r="E853" s="32"/>
      <c r="F853" s="32"/>
      <c r="G853" s="32"/>
      <c r="H853" s="32"/>
    </row>
    <row r="854" customHeight="1" spans="1:8">
      <c r="A854" s="32"/>
      <c r="B854" s="32"/>
      <c r="C854" s="32"/>
      <c r="E854" s="32"/>
      <c r="F854" s="32"/>
      <c r="G854" s="32"/>
      <c r="H854" s="32"/>
    </row>
    <row r="855" customHeight="1" spans="1:8">
      <c r="A855" s="32"/>
      <c r="B855" s="32"/>
      <c r="C855" s="32"/>
      <c r="E855" s="32"/>
      <c r="F855" s="32"/>
      <c r="G855" s="32"/>
      <c r="H855" s="32"/>
    </row>
    <row r="856" customHeight="1" spans="1:8">
      <c r="A856" s="32"/>
      <c r="B856" s="32"/>
      <c r="C856" s="32"/>
      <c r="E856" s="32"/>
      <c r="F856" s="32"/>
      <c r="G856" s="32"/>
      <c r="H856" s="32"/>
    </row>
    <row r="857" customHeight="1" spans="1:8">
      <c r="A857" s="32"/>
      <c r="B857" s="32"/>
      <c r="C857" s="32"/>
      <c r="E857" s="32"/>
      <c r="F857" s="32"/>
      <c r="G857" s="32"/>
      <c r="H857" s="32"/>
    </row>
    <row r="858" customHeight="1" spans="1:8">
      <c r="A858" s="32"/>
      <c r="B858" s="32"/>
      <c r="C858" s="32"/>
      <c r="E858" s="32"/>
      <c r="F858" s="32"/>
      <c r="G858" s="32"/>
      <c r="H858" s="32"/>
    </row>
    <row r="859" customHeight="1" spans="1:8">
      <c r="A859" s="32"/>
      <c r="B859" s="32"/>
      <c r="C859" s="32"/>
      <c r="E859" s="32"/>
      <c r="F859" s="32"/>
      <c r="G859" s="32"/>
      <c r="H859" s="32"/>
    </row>
    <row r="860" customHeight="1" spans="1:8">
      <c r="A860" s="32"/>
      <c r="B860" s="32"/>
      <c r="C860" s="32"/>
      <c r="E860" s="32"/>
      <c r="F860" s="32"/>
      <c r="G860" s="32"/>
      <c r="H860" s="32"/>
    </row>
    <row r="861" customHeight="1" spans="1:8">
      <c r="A861" s="32"/>
      <c r="B861" s="32"/>
      <c r="C861" s="32"/>
      <c r="E861" s="32"/>
      <c r="F861" s="32"/>
      <c r="G861" s="32"/>
      <c r="H861" s="32"/>
    </row>
    <row r="862" customHeight="1" spans="1:8">
      <c r="A862" s="32"/>
      <c r="B862" s="32"/>
      <c r="C862" s="32"/>
      <c r="E862" s="32"/>
      <c r="F862" s="32"/>
      <c r="G862" s="32"/>
      <c r="H862" s="32"/>
    </row>
    <row r="863" customHeight="1" spans="1:8">
      <c r="A863" s="32"/>
      <c r="B863" s="32"/>
      <c r="C863" s="32"/>
      <c r="E863" s="32"/>
      <c r="F863" s="32"/>
      <c r="G863" s="32"/>
      <c r="H863" s="32"/>
    </row>
    <row r="864" customHeight="1" spans="1:8">
      <c r="A864" s="32"/>
      <c r="B864" s="32"/>
      <c r="C864" s="32"/>
      <c r="E864" s="32"/>
      <c r="F864" s="32"/>
      <c r="G864" s="32"/>
      <c r="H864" s="32"/>
    </row>
    <row r="865" customHeight="1" spans="1:8">
      <c r="A865" s="32"/>
      <c r="B865" s="32"/>
      <c r="C865" s="32"/>
      <c r="E865" s="32"/>
      <c r="F865" s="32"/>
      <c r="G865" s="32"/>
      <c r="H865" s="32"/>
    </row>
    <row r="866" customHeight="1" spans="1:8">
      <c r="A866" s="32"/>
      <c r="B866" s="32"/>
      <c r="C866" s="32"/>
      <c r="E866" s="32"/>
      <c r="F866" s="32"/>
      <c r="G866" s="32"/>
      <c r="H866" s="32"/>
    </row>
    <row r="867" customHeight="1" spans="1:8">
      <c r="A867" s="32"/>
      <c r="B867" s="32"/>
      <c r="C867" s="32"/>
      <c r="E867" s="32"/>
      <c r="F867" s="32"/>
      <c r="G867" s="32"/>
      <c r="H867" s="32"/>
    </row>
    <row r="868" customHeight="1" spans="1:8">
      <c r="A868" s="32"/>
      <c r="B868" s="32"/>
      <c r="C868" s="32"/>
      <c r="E868" s="32"/>
      <c r="F868" s="32"/>
      <c r="G868" s="32"/>
      <c r="H868" s="32"/>
    </row>
    <row r="869" customHeight="1" spans="1:8">
      <c r="A869" s="32"/>
      <c r="B869" s="32"/>
      <c r="C869" s="32"/>
      <c r="E869" s="32"/>
      <c r="F869" s="32"/>
      <c r="G869" s="32"/>
      <c r="H869" s="32"/>
    </row>
    <row r="870" customHeight="1" spans="1:8">
      <c r="A870" s="32"/>
      <c r="B870" s="32"/>
      <c r="C870" s="32"/>
      <c r="E870" s="32"/>
      <c r="F870" s="32"/>
      <c r="G870" s="32"/>
      <c r="H870" s="32"/>
    </row>
    <row r="871" customHeight="1" spans="1:8">
      <c r="A871" s="32"/>
      <c r="B871" s="32"/>
      <c r="C871" s="32"/>
      <c r="E871" s="32"/>
      <c r="F871" s="32"/>
      <c r="G871" s="32"/>
      <c r="H871" s="32"/>
    </row>
    <row r="872" customHeight="1" spans="1:8">
      <c r="A872" s="32"/>
      <c r="B872" s="32"/>
      <c r="C872" s="32"/>
      <c r="E872" s="32"/>
      <c r="F872" s="32"/>
      <c r="G872" s="32"/>
      <c r="H872" s="32"/>
    </row>
    <row r="873" customHeight="1" spans="1:8">
      <c r="A873" s="32"/>
      <c r="B873" s="32"/>
      <c r="C873" s="32"/>
      <c r="E873" s="32"/>
      <c r="F873" s="32"/>
      <c r="G873" s="32"/>
      <c r="H873" s="32"/>
    </row>
    <row r="874" customHeight="1" spans="1:8">
      <c r="A874" s="32"/>
      <c r="B874" s="32"/>
      <c r="C874" s="32"/>
      <c r="E874" s="32"/>
      <c r="F874" s="32"/>
      <c r="G874" s="32"/>
      <c r="H874" s="32"/>
    </row>
    <row r="875" customHeight="1" spans="1:8">
      <c r="A875" s="32"/>
      <c r="B875" s="32"/>
      <c r="C875" s="32"/>
      <c r="E875" s="32"/>
      <c r="F875" s="32"/>
      <c r="G875" s="32"/>
      <c r="H875" s="32"/>
    </row>
    <row r="876" customHeight="1" spans="1:8">
      <c r="A876" s="32"/>
      <c r="B876" s="32"/>
      <c r="C876" s="32"/>
      <c r="E876" s="32"/>
      <c r="F876" s="32"/>
      <c r="G876" s="32"/>
      <c r="H876" s="32"/>
    </row>
    <row r="877" customHeight="1" spans="1:8">
      <c r="A877" s="32"/>
      <c r="B877" s="32"/>
      <c r="C877" s="32"/>
      <c r="E877" s="32"/>
      <c r="F877" s="32"/>
      <c r="G877" s="32"/>
      <c r="H877" s="32"/>
    </row>
    <row r="878" customHeight="1" spans="1:8">
      <c r="A878" s="32"/>
      <c r="B878" s="32"/>
      <c r="C878" s="32"/>
      <c r="E878" s="32"/>
      <c r="F878" s="32"/>
      <c r="G878" s="32"/>
      <c r="H878" s="32"/>
    </row>
    <row r="879" customHeight="1" spans="1:8">
      <c r="A879" s="32"/>
      <c r="B879" s="32"/>
      <c r="C879" s="32"/>
      <c r="E879" s="32"/>
      <c r="F879" s="32"/>
      <c r="G879" s="32"/>
      <c r="H879" s="32"/>
    </row>
    <row r="880" customHeight="1" spans="1:8">
      <c r="A880" s="32"/>
      <c r="B880" s="32"/>
      <c r="C880" s="32"/>
      <c r="E880" s="32"/>
      <c r="F880" s="32"/>
      <c r="G880" s="32"/>
      <c r="H880" s="32"/>
    </row>
    <row r="881" customHeight="1" spans="1:8">
      <c r="A881" s="32"/>
      <c r="B881" s="32"/>
      <c r="C881" s="32"/>
      <c r="E881" s="32"/>
      <c r="F881" s="32"/>
      <c r="G881" s="32"/>
      <c r="H881" s="32"/>
    </row>
    <row r="882" customHeight="1" spans="1:8">
      <c r="A882" s="32"/>
      <c r="B882" s="32"/>
      <c r="C882" s="32"/>
      <c r="E882" s="32"/>
      <c r="F882" s="32"/>
      <c r="G882" s="32"/>
      <c r="H882" s="32"/>
    </row>
    <row r="883" customHeight="1" spans="1:8">
      <c r="A883" s="32"/>
      <c r="B883" s="32"/>
      <c r="C883" s="32"/>
      <c r="E883" s="32"/>
      <c r="F883" s="32"/>
      <c r="G883" s="32"/>
      <c r="H883" s="32"/>
    </row>
    <row r="884" customHeight="1" spans="1:8">
      <c r="A884" s="32"/>
      <c r="B884" s="32"/>
      <c r="C884" s="32"/>
      <c r="E884" s="32"/>
      <c r="F884" s="32"/>
      <c r="G884" s="32"/>
      <c r="H884" s="32"/>
    </row>
    <row r="885" customHeight="1" spans="1:8">
      <c r="A885" s="32"/>
      <c r="B885" s="32"/>
      <c r="C885" s="32"/>
      <c r="E885" s="32"/>
      <c r="F885" s="32"/>
      <c r="G885" s="32"/>
      <c r="H885" s="32"/>
    </row>
    <row r="886" customHeight="1" spans="1:8">
      <c r="A886" s="32"/>
      <c r="B886" s="32"/>
      <c r="C886" s="32"/>
      <c r="E886" s="32"/>
      <c r="F886" s="32"/>
      <c r="G886" s="32"/>
      <c r="H886" s="32"/>
    </row>
    <row r="887" customHeight="1" spans="1:8">
      <c r="A887" s="32"/>
      <c r="B887" s="32"/>
      <c r="C887" s="32"/>
      <c r="E887" s="32"/>
      <c r="F887" s="32"/>
      <c r="G887" s="32"/>
      <c r="H887" s="32"/>
    </row>
    <row r="888" customHeight="1" spans="1:8">
      <c r="A888" s="32"/>
      <c r="B888" s="32"/>
      <c r="C888" s="32"/>
      <c r="E888" s="32"/>
      <c r="F888" s="32"/>
      <c r="G888" s="32"/>
      <c r="H888" s="32"/>
    </row>
    <row r="889" customHeight="1" spans="1:8">
      <c r="A889" s="32"/>
      <c r="B889" s="32"/>
      <c r="C889" s="32"/>
      <c r="E889" s="32"/>
      <c r="F889" s="32"/>
      <c r="G889" s="32"/>
      <c r="H889" s="32"/>
    </row>
    <row r="890" customHeight="1" spans="1:8">
      <c r="A890" s="32"/>
      <c r="B890" s="32"/>
      <c r="C890" s="32"/>
      <c r="E890" s="32"/>
      <c r="F890" s="32"/>
      <c r="G890" s="32"/>
      <c r="H890" s="32"/>
    </row>
    <row r="891" customHeight="1" spans="1:8">
      <c r="A891" s="32"/>
      <c r="B891" s="32"/>
      <c r="C891" s="32"/>
      <c r="E891" s="32"/>
      <c r="F891" s="32"/>
      <c r="G891" s="32"/>
      <c r="H891" s="32"/>
    </row>
    <row r="892" customHeight="1" spans="1:8">
      <c r="A892" s="32"/>
      <c r="B892" s="32"/>
      <c r="C892" s="32"/>
      <c r="E892" s="32"/>
      <c r="F892" s="32"/>
      <c r="G892" s="32"/>
      <c r="H892" s="32"/>
    </row>
    <row r="893" customHeight="1" spans="1:8">
      <c r="A893" s="32"/>
      <c r="B893" s="32"/>
      <c r="C893" s="32"/>
      <c r="E893" s="32"/>
      <c r="F893" s="32"/>
      <c r="G893" s="32"/>
      <c r="H893" s="32"/>
    </row>
    <row r="894" customHeight="1" spans="1:8">
      <c r="A894" s="32"/>
      <c r="B894" s="32"/>
      <c r="C894" s="32"/>
      <c r="E894" s="32"/>
      <c r="F894" s="32"/>
      <c r="G894" s="32"/>
      <c r="H894" s="32"/>
    </row>
    <row r="895" customHeight="1" spans="1:8">
      <c r="A895" s="32"/>
      <c r="B895" s="32"/>
      <c r="C895" s="32"/>
      <c r="E895" s="32"/>
      <c r="F895" s="32"/>
      <c r="G895" s="32"/>
      <c r="H895" s="32"/>
    </row>
    <row r="896" customHeight="1" spans="1:8">
      <c r="A896" s="32"/>
      <c r="B896" s="32"/>
      <c r="C896" s="32"/>
      <c r="E896" s="32"/>
      <c r="F896" s="32"/>
      <c r="G896" s="32"/>
      <c r="H896" s="32"/>
    </row>
    <row r="897" customHeight="1" spans="1:8">
      <c r="A897" s="32"/>
      <c r="B897" s="32"/>
      <c r="C897" s="32"/>
      <c r="E897" s="32"/>
      <c r="F897" s="32"/>
      <c r="G897" s="32"/>
      <c r="H897" s="32"/>
    </row>
    <row r="898" customHeight="1" spans="1:8">
      <c r="A898" s="32"/>
      <c r="B898" s="32"/>
      <c r="C898" s="32"/>
      <c r="E898" s="32"/>
      <c r="F898" s="32"/>
      <c r="G898" s="32"/>
      <c r="H898" s="32"/>
    </row>
    <row r="899" customHeight="1" spans="1:8">
      <c r="A899" s="32"/>
      <c r="B899" s="32"/>
      <c r="C899" s="32"/>
      <c r="E899" s="32"/>
      <c r="F899" s="32"/>
      <c r="G899" s="32"/>
      <c r="H899" s="32"/>
    </row>
    <row r="900" customHeight="1" spans="1:8">
      <c r="A900" s="32"/>
      <c r="B900" s="32"/>
      <c r="C900" s="32"/>
      <c r="E900" s="32"/>
      <c r="F900" s="32"/>
      <c r="G900" s="32"/>
      <c r="H900" s="32"/>
    </row>
    <row r="901" customHeight="1" spans="1:8">
      <c r="A901" s="32"/>
      <c r="B901" s="32"/>
      <c r="C901" s="32"/>
      <c r="E901" s="32"/>
      <c r="F901" s="32"/>
      <c r="G901" s="32"/>
      <c r="H901" s="32"/>
    </row>
    <row r="902" customHeight="1" spans="1:8">
      <c r="A902" s="32"/>
      <c r="B902" s="32"/>
      <c r="C902" s="32"/>
      <c r="E902" s="32"/>
      <c r="F902" s="32"/>
      <c r="G902" s="32"/>
      <c r="H902" s="32"/>
    </row>
    <row r="903" customHeight="1" spans="1:8">
      <c r="A903" s="32"/>
      <c r="B903" s="32"/>
      <c r="C903" s="32"/>
      <c r="E903" s="32"/>
      <c r="F903" s="32"/>
      <c r="G903" s="32"/>
      <c r="H903" s="32"/>
    </row>
    <row r="904" customHeight="1" spans="1:8">
      <c r="A904" s="32"/>
      <c r="B904" s="32"/>
      <c r="C904" s="32"/>
      <c r="E904" s="32"/>
      <c r="F904" s="32"/>
      <c r="G904" s="32"/>
      <c r="H904" s="32"/>
    </row>
    <row r="905" customHeight="1" spans="1:8">
      <c r="A905" s="32"/>
      <c r="B905" s="32"/>
      <c r="C905" s="32"/>
      <c r="E905" s="32"/>
      <c r="F905" s="32"/>
      <c r="G905" s="32"/>
      <c r="H905" s="32"/>
    </row>
    <row r="906" customHeight="1" spans="1:8">
      <c r="A906" s="32"/>
      <c r="B906" s="32"/>
      <c r="C906" s="32"/>
      <c r="E906" s="32"/>
      <c r="F906" s="32"/>
      <c r="G906" s="32"/>
      <c r="H906" s="32"/>
    </row>
    <row r="907" customHeight="1" spans="1:8">
      <c r="A907" s="32"/>
      <c r="B907" s="32"/>
      <c r="C907" s="32"/>
      <c r="E907" s="32"/>
      <c r="F907" s="32"/>
      <c r="G907" s="32"/>
      <c r="H907" s="32"/>
    </row>
    <row r="908" customHeight="1" spans="1:8">
      <c r="A908" s="32"/>
      <c r="B908" s="32"/>
      <c r="C908" s="32"/>
      <c r="E908" s="32"/>
      <c r="F908" s="32"/>
      <c r="G908" s="32"/>
      <c r="H908" s="32"/>
    </row>
    <row r="909" customHeight="1" spans="1:8">
      <c r="A909" s="32"/>
      <c r="B909" s="32"/>
      <c r="C909" s="32"/>
      <c r="E909" s="32"/>
      <c r="F909" s="32"/>
      <c r="G909" s="32"/>
      <c r="H909" s="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645</v>
      </c>
      <c r="B1" s="11" t="s">
        <v>127</v>
      </c>
      <c r="C1" s="5" t="s">
        <v>1</v>
      </c>
      <c r="D1" s="12" t="s">
        <v>646</v>
      </c>
      <c r="E1" s="12" t="s">
        <v>647</v>
      </c>
      <c r="F1" s="5" t="s">
        <v>319</v>
      </c>
      <c r="G1" s="12" t="s">
        <v>648</v>
      </c>
      <c r="H1" s="12" t="s">
        <v>16</v>
      </c>
      <c r="I1" s="5" t="s">
        <v>13</v>
      </c>
      <c r="J1" s="5" t="s">
        <v>18</v>
      </c>
      <c r="K1" s="5" t="s">
        <v>649</v>
      </c>
      <c r="L1" s="5" t="s">
        <v>650</v>
      </c>
      <c r="M1" s="5" t="s">
        <v>651</v>
      </c>
      <c r="N1" s="5" t="s">
        <v>652</v>
      </c>
      <c r="O1" s="5" t="s">
        <v>653</v>
      </c>
      <c r="P1" s="5" t="s">
        <v>654</v>
      </c>
      <c r="Q1" s="5" t="s">
        <v>655</v>
      </c>
      <c r="R1" s="5" t="s">
        <v>656</v>
      </c>
      <c r="S1" s="5" t="s">
        <v>657</v>
      </c>
      <c r="T1" s="5" t="s">
        <v>658</v>
      </c>
      <c r="U1" s="5" t="s">
        <v>659</v>
      </c>
      <c r="V1" s="5" t="s">
        <v>20</v>
      </c>
    </row>
    <row r="2" customHeight="1" spans="1:22">
      <c r="A2" s="6" t="s">
        <v>32</v>
      </c>
      <c r="B2" s="13">
        <v>698746777135</v>
      </c>
      <c r="C2" s="6" t="s">
        <v>660</v>
      </c>
      <c r="D2" s="6" t="s">
        <v>661</v>
      </c>
      <c r="E2" s="6" t="s">
        <v>662</v>
      </c>
      <c r="F2" s="6" t="s">
        <v>334</v>
      </c>
      <c r="G2" s="14" t="s">
        <v>663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664</v>
      </c>
    </row>
    <row r="3" customHeight="1" spans="1:22">
      <c r="A3" s="15" t="s">
        <v>41</v>
      </c>
      <c r="B3" s="16">
        <v>850062627680</v>
      </c>
      <c r="C3" s="6" t="s">
        <v>665</v>
      </c>
      <c r="D3" s="6" t="s">
        <v>666</v>
      </c>
      <c r="E3" s="6" t="s">
        <v>667</v>
      </c>
      <c r="F3" s="6" t="s">
        <v>668</v>
      </c>
      <c r="G3" s="14" t="s">
        <v>663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664</v>
      </c>
    </row>
    <row r="4" customHeight="1" spans="1:22">
      <c r="A4" s="6" t="s">
        <v>62</v>
      </c>
      <c r="B4" s="13">
        <v>698746777364</v>
      </c>
      <c r="C4" s="6" t="s">
        <v>669</v>
      </c>
      <c r="D4" s="6" t="s">
        <v>670</v>
      </c>
      <c r="E4" s="6" t="s">
        <v>671</v>
      </c>
      <c r="F4" s="6" t="s">
        <v>334</v>
      </c>
      <c r="G4" s="14" t="s">
        <v>672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673</v>
      </c>
    </row>
    <row r="5" customHeight="1" spans="1:22">
      <c r="A5" s="6" t="s">
        <v>63</v>
      </c>
      <c r="B5" s="16">
        <v>698746777180</v>
      </c>
      <c r="C5" s="6" t="s">
        <v>674</v>
      </c>
      <c r="D5" s="6" t="s">
        <v>675</v>
      </c>
      <c r="E5" s="6" t="s">
        <v>676</v>
      </c>
      <c r="F5" s="6" t="s">
        <v>334</v>
      </c>
      <c r="G5" s="14" t="s">
        <v>672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673</v>
      </c>
    </row>
    <row r="6" customHeight="1" spans="1:22">
      <c r="A6" s="6" t="s">
        <v>45</v>
      </c>
      <c r="B6" s="13">
        <v>698746777418</v>
      </c>
      <c r="C6" s="6" t="s">
        <v>677</v>
      </c>
      <c r="D6" s="6" t="s">
        <v>678</v>
      </c>
      <c r="E6" s="6" t="s">
        <v>679</v>
      </c>
      <c r="F6" s="6" t="s">
        <v>334</v>
      </c>
      <c r="G6" s="14" t="s">
        <v>672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673</v>
      </c>
    </row>
    <row r="7" customHeight="1" spans="1:22">
      <c r="A7" s="15" t="s">
        <v>39</v>
      </c>
      <c r="B7" s="16">
        <v>698746777081</v>
      </c>
      <c r="C7" s="6" t="s">
        <v>680</v>
      </c>
      <c r="D7" s="6" t="s">
        <v>681</v>
      </c>
      <c r="E7" s="6" t="s">
        <v>682</v>
      </c>
      <c r="F7" s="6" t="s">
        <v>683</v>
      </c>
      <c r="G7" s="14" t="s">
        <v>684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685</v>
      </c>
    </row>
    <row r="8" customHeight="1" spans="1:22">
      <c r="A8" s="15" t="s">
        <v>40</v>
      </c>
      <c r="B8" s="16">
        <v>698746777012</v>
      </c>
      <c r="C8" s="6" t="s">
        <v>686</v>
      </c>
      <c r="D8" s="6" t="s">
        <v>687</v>
      </c>
      <c r="E8" s="6" t="s">
        <v>688</v>
      </c>
      <c r="F8" s="6" t="s">
        <v>689</v>
      </c>
      <c r="G8" s="14" t="s">
        <v>684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685</v>
      </c>
    </row>
    <row r="9" customHeight="1" spans="1:22">
      <c r="A9" s="15" t="s">
        <v>48</v>
      </c>
      <c r="B9" s="16">
        <v>698746777074</v>
      </c>
      <c r="C9" s="6" t="s">
        <v>690</v>
      </c>
      <c r="D9" s="6" t="s">
        <v>691</v>
      </c>
      <c r="E9" s="6" t="s">
        <v>692</v>
      </c>
      <c r="F9" s="6" t="s">
        <v>693</v>
      </c>
      <c r="G9" s="14" t="s">
        <v>684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685</v>
      </c>
    </row>
    <row r="10" customHeight="1" spans="1:22">
      <c r="A10" s="15" t="s">
        <v>114</v>
      </c>
      <c r="B10" s="16">
        <v>850062627802</v>
      </c>
      <c r="C10" s="6" t="s">
        <v>694</v>
      </c>
      <c r="D10" s="6" t="s">
        <v>695</v>
      </c>
      <c r="E10" s="6" t="s">
        <v>696</v>
      </c>
      <c r="F10" s="6" t="s">
        <v>697</v>
      </c>
      <c r="G10" s="14" t="s">
        <v>698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89</v>
      </c>
      <c r="B11" s="16">
        <v>850062627406</v>
      </c>
      <c r="C11" s="6" t="s">
        <v>699</v>
      </c>
      <c r="D11" s="6" t="s">
        <v>700</v>
      </c>
      <c r="E11" s="6" t="s">
        <v>701</v>
      </c>
      <c r="F11" s="6" t="s">
        <v>697</v>
      </c>
      <c r="G11" s="14" t="s">
        <v>702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91</v>
      </c>
      <c r="B12" s="16">
        <v>850062627413</v>
      </c>
      <c r="C12" s="6" t="s">
        <v>703</v>
      </c>
      <c r="D12" s="6" t="s">
        <v>704</v>
      </c>
      <c r="E12" s="6" t="s">
        <v>705</v>
      </c>
      <c r="F12" s="6" t="s">
        <v>697</v>
      </c>
      <c r="G12" s="14" t="s">
        <v>702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67</v>
      </c>
      <c r="B13" s="16">
        <v>698746776688</v>
      </c>
      <c r="C13" s="6" t="s">
        <v>706</v>
      </c>
      <c r="D13" s="6" t="s">
        <v>707</v>
      </c>
      <c r="E13" s="6" t="s">
        <v>708</v>
      </c>
      <c r="F13" s="6" t="s">
        <v>709</v>
      </c>
      <c r="G13" s="14" t="s">
        <v>710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673</v>
      </c>
    </row>
    <row r="14" customHeight="1" spans="1:22">
      <c r="A14" s="15" t="s">
        <v>36</v>
      </c>
      <c r="B14" s="16">
        <v>698746777319</v>
      </c>
      <c r="C14" s="6" t="s">
        <v>711</v>
      </c>
      <c r="D14" s="6" t="s">
        <v>712</v>
      </c>
      <c r="E14" s="6" t="s">
        <v>713</v>
      </c>
      <c r="F14" s="6" t="s">
        <v>357</v>
      </c>
      <c r="G14" s="14" t="s">
        <v>714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673</v>
      </c>
    </row>
    <row r="15" customHeight="1" spans="1:22">
      <c r="A15" s="15" t="s">
        <v>70</v>
      </c>
      <c r="B15" s="16">
        <v>850030338174</v>
      </c>
      <c r="C15" s="6" t="s">
        <v>715</v>
      </c>
      <c r="D15" s="6" t="s">
        <v>716</v>
      </c>
      <c r="E15" s="6" t="s">
        <v>717</v>
      </c>
      <c r="F15" s="6" t="s">
        <v>709</v>
      </c>
      <c r="G15" s="14" t="s">
        <v>698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685</v>
      </c>
    </row>
    <row r="16" customHeight="1" spans="1:22">
      <c r="A16" s="15" t="s">
        <v>112</v>
      </c>
      <c r="B16" s="16">
        <v>850030338181</v>
      </c>
      <c r="C16" s="6" t="s">
        <v>718</v>
      </c>
      <c r="D16" s="6" t="s">
        <v>719</v>
      </c>
      <c r="E16" s="6" t="s">
        <v>720</v>
      </c>
      <c r="F16" s="6" t="s">
        <v>697</v>
      </c>
      <c r="G16" s="14" t="s">
        <v>698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118</v>
      </c>
      <c r="B17" s="16">
        <v>850030338099</v>
      </c>
      <c r="C17" s="6" t="s">
        <v>721</v>
      </c>
      <c r="D17" s="6" t="s">
        <v>722</v>
      </c>
      <c r="E17" s="6" t="s">
        <v>723</v>
      </c>
      <c r="F17" s="6" t="s">
        <v>724</v>
      </c>
      <c r="G17" s="14" t="s">
        <v>698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119</v>
      </c>
      <c r="B18" s="16">
        <v>698746776589</v>
      </c>
      <c r="C18" s="6" t="s">
        <v>725</v>
      </c>
      <c r="D18" s="6" t="s">
        <v>726</v>
      </c>
      <c r="E18" s="6" t="s">
        <v>727</v>
      </c>
      <c r="F18" s="6" t="s">
        <v>724</v>
      </c>
      <c r="G18" s="14" t="s">
        <v>728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33</v>
      </c>
      <c r="B19" s="13">
        <v>760762457008</v>
      </c>
      <c r="C19" s="6" t="s">
        <v>729</v>
      </c>
      <c r="D19" s="6" t="s">
        <v>730</v>
      </c>
      <c r="E19" s="6" t="s">
        <v>731</v>
      </c>
      <c r="F19" s="6" t="s">
        <v>334</v>
      </c>
      <c r="G19" s="14" t="s">
        <v>732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664</v>
      </c>
    </row>
    <row r="20" customHeight="1" spans="1:22">
      <c r="A20" s="18" t="s">
        <v>64</v>
      </c>
      <c r="B20" s="13">
        <v>760762456995</v>
      </c>
      <c r="C20" s="18" t="s">
        <v>733</v>
      </c>
      <c r="D20" s="6" t="s">
        <v>734</v>
      </c>
      <c r="E20" s="6" t="s">
        <v>735</v>
      </c>
      <c r="F20" s="6" t="s">
        <v>334</v>
      </c>
      <c r="G20" s="14" t="s">
        <v>732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673</v>
      </c>
    </row>
    <row r="21" customHeight="1" spans="1:22">
      <c r="A21" s="6" t="s">
        <v>79</v>
      </c>
      <c r="B21" s="13">
        <v>760762457022</v>
      </c>
      <c r="C21" s="6" t="s">
        <v>736</v>
      </c>
      <c r="D21" s="6" t="s">
        <v>737</v>
      </c>
      <c r="E21" s="6" t="s">
        <v>738</v>
      </c>
      <c r="F21" s="6" t="s">
        <v>334</v>
      </c>
      <c r="G21" s="14" t="s">
        <v>732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664</v>
      </c>
    </row>
    <row r="22" customHeight="1" spans="1:22">
      <c r="A22" s="18" t="s">
        <v>68</v>
      </c>
      <c r="B22" s="13">
        <v>760762457039</v>
      </c>
      <c r="C22" s="18" t="s">
        <v>739</v>
      </c>
      <c r="D22" s="6" t="s">
        <v>740</v>
      </c>
      <c r="E22" s="6" t="s">
        <v>741</v>
      </c>
      <c r="F22" s="6" t="s">
        <v>334</v>
      </c>
      <c r="G22" s="14" t="s">
        <v>732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742</v>
      </c>
    </row>
    <row r="23" customHeight="1" spans="1:22">
      <c r="A23" s="6" t="s">
        <v>73</v>
      </c>
      <c r="B23" s="13">
        <v>760762457015</v>
      </c>
      <c r="C23" s="6" t="s">
        <v>743</v>
      </c>
      <c r="D23" s="6" t="s">
        <v>744</v>
      </c>
      <c r="E23" s="6" t="s">
        <v>745</v>
      </c>
      <c r="F23" s="6" t="s">
        <v>334</v>
      </c>
      <c r="G23" s="14" t="s">
        <v>732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664</v>
      </c>
    </row>
    <row r="24" customHeight="1" spans="1:22">
      <c r="A24" s="15" t="s">
        <v>24</v>
      </c>
      <c r="B24" s="16">
        <v>698746776756</v>
      </c>
      <c r="C24" s="6" t="s">
        <v>746</v>
      </c>
      <c r="D24" s="6" t="s">
        <v>747</v>
      </c>
      <c r="E24" s="6" t="s">
        <v>748</v>
      </c>
      <c r="F24" s="6" t="s">
        <v>357</v>
      </c>
      <c r="G24" s="14" t="s">
        <v>732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673</v>
      </c>
    </row>
    <row r="25" customHeight="1" spans="1:22">
      <c r="A25" s="15" t="s">
        <v>23</v>
      </c>
      <c r="B25" s="16">
        <v>698746777326</v>
      </c>
      <c r="C25" s="6" t="s">
        <v>749</v>
      </c>
      <c r="D25" s="6" t="s">
        <v>750</v>
      </c>
      <c r="E25" s="6" t="s">
        <v>751</v>
      </c>
      <c r="F25" s="6" t="s">
        <v>357</v>
      </c>
      <c r="G25" s="14" t="s">
        <v>752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685</v>
      </c>
    </row>
    <row r="26" customHeight="1" spans="1:22">
      <c r="A26" s="15" t="s">
        <v>55</v>
      </c>
      <c r="B26" s="16">
        <v>698746777029</v>
      </c>
      <c r="C26" s="6" t="s">
        <v>753</v>
      </c>
      <c r="D26" s="6" t="s">
        <v>754</v>
      </c>
      <c r="E26" s="6" t="s">
        <v>755</v>
      </c>
      <c r="F26" s="6" t="s">
        <v>756</v>
      </c>
      <c r="G26" s="14" t="s">
        <v>732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685</v>
      </c>
    </row>
    <row r="27" customHeight="1" spans="1:22">
      <c r="A27" s="15" t="s">
        <v>26</v>
      </c>
      <c r="B27" s="16">
        <v>698746777333</v>
      </c>
      <c r="C27" s="6" t="s">
        <v>757</v>
      </c>
      <c r="D27" s="6" t="s">
        <v>758</v>
      </c>
      <c r="E27" s="6" t="s">
        <v>759</v>
      </c>
      <c r="F27" s="6" t="s">
        <v>357</v>
      </c>
      <c r="G27" s="14" t="s">
        <v>752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685</v>
      </c>
    </row>
    <row r="28" customHeight="1" spans="1:22">
      <c r="A28" s="15" t="s">
        <v>78</v>
      </c>
      <c r="B28" s="16">
        <v>698746777036</v>
      </c>
      <c r="C28" s="6" t="s">
        <v>760</v>
      </c>
      <c r="D28" s="6" t="s">
        <v>761</v>
      </c>
      <c r="E28" s="6" t="s">
        <v>762</v>
      </c>
      <c r="F28" s="6" t="s">
        <v>353</v>
      </c>
      <c r="G28" s="14" t="s">
        <v>732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685</v>
      </c>
    </row>
    <row r="29" customHeight="1" spans="1:22">
      <c r="A29" s="18" t="s">
        <v>75</v>
      </c>
      <c r="B29" s="13">
        <v>850030338051</v>
      </c>
      <c r="C29" s="18" t="s">
        <v>763</v>
      </c>
      <c r="D29" s="6" t="s">
        <v>764</v>
      </c>
      <c r="E29" s="6" t="s">
        <v>765</v>
      </c>
      <c r="F29" s="6" t="s">
        <v>334</v>
      </c>
      <c r="G29" s="14" t="s">
        <v>766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767</v>
      </c>
    </row>
    <row r="30" customHeight="1" spans="1:22">
      <c r="A30" s="15" t="s">
        <v>99</v>
      </c>
      <c r="B30" s="16">
        <v>850030338358</v>
      </c>
      <c r="C30" s="6" t="s">
        <v>768</v>
      </c>
      <c r="D30" s="6" t="s">
        <v>769</v>
      </c>
      <c r="E30" s="6" t="s">
        <v>770</v>
      </c>
      <c r="F30" s="6" t="s">
        <v>697</v>
      </c>
      <c r="G30" s="14" t="s">
        <v>771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27</v>
      </c>
      <c r="B31" s="16">
        <v>850030338761</v>
      </c>
      <c r="C31" s="6" t="s">
        <v>196</v>
      </c>
      <c r="D31" s="6" t="s">
        <v>772</v>
      </c>
      <c r="E31" s="6" t="s">
        <v>773</v>
      </c>
      <c r="F31" s="6" t="s">
        <v>774</v>
      </c>
      <c r="G31" s="14" t="s">
        <v>771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74</v>
      </c>
      <c r="B32" s="16">
        <v>760762457053</v>
      </c>
      <c r="C32" s="6" t="s">
        <v>775</v>
      </c>
      <c r="D32" s="6" t="s">
        <v>776</v>
      </c>
      <c r="E32" s="6" t="s">
        <v>777</v>
      </c>
      <c r="F32" s="6" t="s">
        <v>334</v>
      </c>
      <c r="G32" s="14" t="s">
        <v>778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779</v>
      </c>
    </row>
    <row r="33" customHeight="1" spans="1:22">
      <c r="A33" s="6" t="s">
        <v>29</v>
      </c>
      <c r="B33" s="13">
        <v>850062627567</v>
      </c>
      <c r="C33" s="6" t="s">
        <v>780</v>
      </c>
      <c r="D33" s="6" t="s">
        <v>781</v>
      </c>
      <c r="E33" s="6" t="s">
        <v>782</v>
      </c>
      <c r="F33" s="6" t="s">
        <v>783</v>
      </c>
      <c r="G33" s="14" t="s">
        <v>784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664</v>
      </c>
    </row>
    <row r="34" customHeight="1" spans="1:22">
      <c r="A34" s="15" t="s">
        <v>28</v>
      </c>
      <c r="B34" s="16">
        <v>850030338211</v>
      </c>
      <c r="C34" s="6" t="s">
        <v>785</v>
      </c>
      <c r="D34" s="6" t="s">
        <v>786</v>
      </c>
      <c r="E34" s="6" t="s">
        <v>787</v>
      </c>
      <c r="F34" s="6" t="s">
        <v>788</v>
      </c>
      <c r="G34" s="14" t="s">
        <v>732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664</v>
      </c>
    </row>
    <row r="35" customHeight="1" spans="1:22">
      <c r="A35" s="15" t="s">
        <v>81</v>
      </c>
      <c r="B35" s="16">
        <v>850030338235</v>
      </c>
      <c r="C35" s="6" t="s">
        <v>789</v>
      </c>
      <c r="D35" s="6" t="s">
        <v>790</v>
      </c>
      <c r="E35" s="6" t="s">
        <v>791</v>
      </c>
      <c r="F35" s="6" t="s">
        <v>792</v>
      </c>
      <c r="G35" s="14" t="s">
        <v>732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685</v>
      </c>
    </row>
    <row r="36" customHeight="1" spans="1:22">
      <c r="A36" s="6" t="s">
        <v>59</v>
      </c>
      <c r="B36" s="16">
        <v>850030338341</v>
      </c>
      <c r="C36" s="6" t="s">
        <v>793</v>
      </c>
      <c r="D36" s="6" t="s">
        <v>794</v>
      </c>
      <c r="E36" s="6" t="s">
        <v>795</v>
      </c>
      <c r="F36" s="6" t="s">
        <v>796</v>
      </c>
      <c r="G36" s="14" t="s">
        <v>732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664</v>
      </c>
    </row>
    <row r="37" customHeight="1" spans="1:22">
      <c r="A37" s="6" t="s">
        <v>71</v>
      </c>
      <c r="B37" s="16">
        <v>850030338303</v>
      </c>
      <c r="C37" s="6" t="s">
        <v>797</v>
      </c>
      <c r="D37" s="6" t="s">
        <v>798</v>
      </c>
      <c r="E37" s="6" t="s">
        <v>799</v>
      </c>
      <c r="F37" s="6" t="s">
        <v>796</v>
      </c>
      <c r="G37" s="14" t="s">
        <v>732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673</v>
      </c>
    </row>
    <row r="38" customHeight="1" spans="1:22">
      <c r="A38" s="15" t="s">
        <v>66</v>
      </c>
      <c r="B38" s="16">
        <v>850030338280</v>
      </c>
      <c r="C38" s="6" t="s">
        <v>800</v>
      </c>
      <c r="D38" s="6" t="s">
        <v>801</v>
      </c>
      <c r="E38" s="6" t="s">
        <v>802</v>
      </c>
      <c r="F38" s="6" t="s">
        <v>803</v>
      </c>
      <c r="G38" s="14" t="s">
        <v>732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664</v>
      </c>
    </row>
    <row r="39" customHeight="1" spans="1:22">
      <c r="A39" s="6" t="s">
        <v>53</v>
      </c>
      <c r="B39" s="16">
        <v>850030338297</v>
      </c>
      <c r="C39" s="6" t="s">
        <v>804</v>
      </c>
      <c r="D39" s="6" t="s">
        <v>805</v>
      </c>
      <c r="E39" s="6" t="s">
        <v>806</v>
      </c>
      <c r="F39" s="6" t="s">
        <v>796</v>
      </c>
      <c r="G39" s="14" t="s">
        <v>732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664</v>
      </c>
    </row>
    <row r="40" customHeight="1" spans="1:22">
      <c r="A40" s="15" t="s">
        <v>65</v>
      </c>
      <c r="B40" s="16">
        <v>850030338273</v>
      </c>
      <c r="C40" s="6" t="s">
        <v>807</v>
      </c>
      <c r="D40" s="6" t="s">
        <v>808</v>
      </c>
      <c r="E40" s="6" t="s">
        <v>809</v>
      </c>
      <c r="F40" s="6" t="s">
        <v>810</v>
      </c>
      <c r="G40" s="14" t="s">
        <v>732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664</v>
      </c>
    </row>
    <row r="41" customHeight="1" spans="1:22">
      <c r="A41" s="6" t="s">
        <v>76</v>
      </c>
      <c r="B41" s="16">
        <v>850030338433</v>
      </c>
      <c r="C41" s="6" t="s">
        <v>811</v>
      </c>
      <c r="D41" s="6" t="s">
        <v>812</v>
      </c>
      <c r="E41" s="6" t="s">
        <v>813</v>
      </c>
      <c r="F41" s="6" t="s">
        <v>693</v>
      </c>
      <c r="G41" s="14" t="s">
        <v>732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664</v>
      </c>
    </row>
    <row r="42" customHeight="1" spans="1:22">
      <c r="A42" s="6" t="s">
        <v>82</v>
      </c>
      <c r="B42" s="16">
        <v>850030338440</v>
      </c>
      <c r="C42" s="6" t="s">
        <v>814</v>
      </c>
      <c r="D42" s="6" t="s">
        <v>815</v>
      </c>
      <c r="E42" s="6" t="s">
        <v>816</v>
      </c>
      <c r="F42" s="6" t="s">
        <v>817</v>
      </c>
      <c r="G42" s="14" t="s">
        <v>732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664</v>
      </c>
    </row>
    <row r="43" customHeight="1" spans="1:22">
      <c r="A43" s="6" t="s">
        <v>34</v>
      </c>
      <c r="B43" s="13">
        <v>850030338150</v>
      </c>
      <c r="C43" s="6" t="s">
        <v>818</v>
      </c>
      <c r="D43" s="6" t="s">
        <v>819</v>
      </c>
      <c r="E43" s="6" t="s">
        <v>820</v>
      </c>
      <c r="F43" s="6" t="s">
        <v>821</v>
      </c>
      <c r="G43" s="6" t="s">
        <v>822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742</v>
      </c>
    </row>
    <row r="44" customHeight="1" spans="1:22">
      <c r="A44" s="15" t="s">
        <v>120</v>
      </c>
      <c r="B44" s="16">
        <v>698746776565</v>
      </c>
      <c r="C44" s="6" t="s">
        <v>823</v>
      </c>
      <c r="D44" s="6" t="s">
        <v>824</v>
      </c>
      <c r="E44" s="6" t="s">
        <v>825</v>
      </c>
      <c r="F44" s="6" t="s">
        <v>724</v>
      </c>
      <c r="G44" s="14" t="s">
        <v>826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86</v>
      </c>
      <c r="B45" s="16">
        <v>850062627390</v>
      </c>
      <c r="C45" s="6" t="s">
        <v>827</v>
      </c>
      <c r="D45" s="6" t="s">
        <v>828</v>
      </c>
      <c r="E45" s="6" t="s">
        <v>829</v>
      </c>
      <c r="F45" s="6" t="s">
        <v>697</v>
      </c>
      <c r="G45" s="14" t="s">
        <v>826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830</v>
      </c>
      <c r="D46" s="6" t="s">
        <v>831</v>
      </c>
      <c r="E46" s="6" t="s">
        <v>832</v>
      </c>
      <c r="F46" s="6" t="s">
        <v>724</v>
      </c>
      <c r="G46" s="6" t="s">
        <v>702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88</v>
      </c>
      <c r="B47" s="16">
        <v>850062627383</v>
      </c>
      <c r="C47" s="6" t="s">
        <v>833</v>
      </c>
      <c r="D47" s="6" t="s">
        <v>834</v>
      </c>
      <c r="E47" s="6" t="s">
        <v>835</v>
      </c>
      <c r="F47" s="6" t="s">
        <v>697</v>
      </c>
      <c r="G47" s="14" t="s">
        <v>836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121</v>
      </c>
      <c r="B48" s="16">
        <v>698746776510</v>
      </c>
      <c r="C48" s="6" t="s">
        <v>833</v>
      </c>
      <c r="D48" s="6" t="s">
        <v>837</v>
      </c>
      <c r="E48" s="6" t="s">
        <v>838</v>
      </c>
      <c r="F48" s="6" t="s">
        <v>724</v>
      </c>
      <c r="G48" s="6" t="s">
        <v>702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839</v>
      </c>
      <c r="D49" s="6" t="s">
        <v>840</v>
      </c>
      <c r="E49" s="6" t="s">
        <v>841</v>
      </c>
      <c r="F49" s="6" t="s">
        <v>724</v>
      </c>
      <c r="G49" s="14" t="s">
        <v>826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52</v>
      </c>
      <c r="B50" s="16">
        <v>698746777579</v>
      </c>
      <c r="C50" s="6" t="s">
        <v>842</v>
      </c>
      <c r="D50" s="6" t="s">
        <v>843</v>
      </c>
      <c r="E50" s="6" t="s">
        <v>844</v>
      </c>
      <c r="F50" s="6" t="s">
        <v>803</v>
      </c>
      <c r="G50" s="14" t="s">
        <v>845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673</v>
      </c>
    </row>
    <row r="51" customHeight="1" spans="1:22">
      <c r="A51" s="19" t="s">
        <v>93</v>
      </c>
      <c r="B51" s="16">
        <v>698746777111</v>
      </c>
      <c r="C51" s="16" t="s">
        <v>842</v>
      </c>
      <c r="D51" s="6" t="s">
        <v>846</v>
      </c>
      <c r="E51" s="6" t="s">
        <v>847</v>
      </c>
      <c r="F51" s="6" t="s">
        <v>724</v>
      </c>
      <c r="G51" s="14" t="s">
        <v>702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842</v>
      </c>
      <c r="D52" s="6" t="s">
        <v>848</v>
      </c>
      <c r="E52" s="6" t="s">
        <v>849</v>
      </c>
      <c r="F52" s="6" t="s">
        <v>724</v>
      </c>
      <c r="G52" s="14" t="s">
        <v>702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101</v>
      </c>
      <c r="B53" s="16">
        <v>760762457060</v>
      </c>
      <c r="C53" s="6" t="s">
        <v>850</v>
      </c>
      <c r="D53" s="6" t="s">
        <v>851</v>
      </c>
      <c r="E53" s="6" t="s">
        <v>852</v>
      </c>
      <c r="F53" s="6" t="s">
        <v>724</v>
      </c>
      <c r="G53" s="14" t="s">
        <v>853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122</v>
      </c>
      <c r="B54" s="16">
        <v>698746776657</v>
      </c>
      <c r="C54" s="6" t="s">
        <v>850</v>
      </c>
      <c r="D54" s="6" t="s">
        <v>854</v>
      </c>
      <c r="E54" s="6" t="s">
        <v>855</v>
      </c>
      <c r="F54" s="6" t="s">
        <v>724</v>
      </c>
      <c r="G54" s="14" t="s">
        <v>853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850</v>
      </c>
      <c r="D55" s="6" t="s">
        <v>856</v>
      </c>
      <c r="E55" s="6" t="s">
        <v>857</v>
      </c>
      <c r="F55" s="6" t="s">
        <v>724</v>
      </c>
      <c r="G55" s="14" t="s">
        <v>853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96</v>
      </c>
      <c r="B56" s="16">
        <v>698746776671</v>
      </c>
      <c r="C56" s="6" t="s">
        <v>850</v>
      </c>
      <c r="D56" s="6" t="s">
        <v>858</v>
      </c>
      <c r="E56" s="6" t="s">
        <v>859</v>
      </c>
      <c r="F56" s="6" t="s">
        <v>724</v>
      </c>
      <c r="G56" s="14" t="s">
        <v>853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84</v>
      </c>
      <c r="B57" s="16">
        <v>698746776534</v>
      </c>
      <c r="C57" s="6" t="s">
        <v>860</v>
      </c>
      <c r="D57" s="6" t="s">
        <v>861</v>
      </c>
      <c r="E57" s="6" t="s">
        <v>862</v>
      </c>
      <c r="F57" s="6" t="s">
        <v>724</v>
      </c>
      <c r="G57" s="14" t="s">
        <v>784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85</v>
      </c>
      <c r="B58" s="16">
        <v>698746776541</v>
      </c>
      <c r="C58" s="6" t="s">
        <v>863</v>
      </c>
      <c r="D58" s="6" t="s">
        <v>864</v>
      </c>
      <c r="E58" s="6" t="s">
        <v>865</v>
      </c>
      <c r="F58" s="6" t="s">
        <v>724</v>
      </c>
      <c r="G58" s="14" t="s">
        <v>784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87</v>
      </c>
      <c r="B59" s="16">
        <v>698746776558</v>
      </c>
      <c r="C59" s="6" t="s">
        <v>866</v>
      </c>
      <c r="D59" s="6" t="s">
        <v>867</v>
      </c>
      <c r="E59" s="6" t="s">
        <v>868</v>
      </c>
      <c r="F59" s="6" t="s">
        <v>724</v>
      </c>
      <c r="G59" s="14" t="s">
        <v>784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57</v>
      </c>
      <c r="B60" s="13">
        <v>850030338730</v>
      </c>
      <c r="C60" s="6" t="s">
        <v>869</v>
      </c>
      <c r="D60" s="6" t="s">
        <v>870</v>
      </c>
      <c r="E60" s="6" t="s">
        <v>871</v>
      </c>
      <c r="F60" s="6" t="s">
        <v>872</v>
      </c>
      <c r="G60" s="14" t="s">
        <v>873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874</v>
      </c>
    </row>
    <row r="61" customHeight="1" spans="1:22">
      <c r="A61" s="6" t="s">
        <v>123</v>
      </c>
      <c r="B61" s="16">
        <v>760762457046</v>
      </c>
      <c r="C61" s="6" t="s">
        <v>875</v>
      </c>
      <c r="D61" s="6" t="s">
        <v>876</v>
      </c>
      <c r="E61" s="6" t="s">
        <v>877</v>
      </c>
      <c r="F61" s="6" t="s">
        <v>334</v>
      </c>
      <c r="G61" s="14" t="s">
        <v>878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664</v>
      </c>
    </row>
    <row r="62" customHeight="1" spans="1:22">
      <c r="A62" s="15" t="s">
        <v>80</v>
      </c>
      <c r="B62" s="16">
        <v>634413994429</v>
      </c>
      <c r="C62" s="6" t="s">
        <v>879</v>
      </c>
      <c r="D62" s="6" t="s">
        <v>880</v>
      </c>
      <c r="E62" s="6" t="s">
        <v>881</v>
      </c>
      <c r="F62" s="6" t="s">
        <v>882</v>
      </c>
      <c r="G62" s="14" t="s">
        <v>883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685</v>
      </c>
    </row>
    <row r="63" customHeight="1" spans="1:22">
      <c r="A63" s="6" t="s">
        <v>38</v>
      </c>
      <c r="B63" s="16">
        <v>760762456971</v>
      </c>
      <c r="C63" s="6" t="s">
        <v>884</v>
      </c>
      <c r="D63" s="6" t="s">
        <v>885</v>
      </c>
      <c r="E63" s="6" t="s">
        <v>886</v>
      </c>
      <c r="F63" s="6" t="s">
        <v>887</v>
      </c>
      <c r="G63" s="14" t="s">
        <v>883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664</v>
      </c>
    </row>
    <row r="64" customHeight="1" spans="1:22">
      <c r="A64" s="6" t="s">
        <v>44</v>
      </c>
      <c r="B64" s="16">
        <v>850030338075</v>
      </c>
      <c r="C64" s="6" t="s">
        <v>888</v>
      </c>
      <c r="D64" s="6" t="s">
        <v>889</v>
      </c>
      <c r="E64" s="6" t="s">
        <v>890</v>
      </c>
      <c r="F64" s="6" t="s">
        <v>683</v>
      </c>
      <c r="G64" s="14" t="s">
        <v>672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673</v>
      </c>
    </row>
    <row r="65" customHeight="1" spans="1:22">
      <c r="A65" s="6" t="s">
        <v>51</v>
      </c>
      <c r="B65" s="13">
        <v>698746777210</v>
      </c>
      <c r="C65" s="6" t="s">
        <v>891</v>
      </c>
      <c r="D65" s="6" t="s">
        <v>892</v>
      </c>
      <c r="E65" s="6" t="s">
        <v>893</v>
      </c>
      <c r="F65" s="6" t="s">
        <v>334</v>
      </c>
      <c r="G65" s="14" t="s">
        <v>672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673</v>
      </c>
    </row>
    <row r="66" customHeight="1" spans="1:22">
      <c r="A66" s="15" t="s">
        <v>54</v>
      </c>
      <c r="B66" s="16">
        <v>698746777050</v>
      </c>
      <c r="C66" s="6" t="s">
        <v>894</v>
      </c>
      <c r="D66" s="6" t="s">
        <v>895</v>
      </c>
      <c r="E66" s="6" t="s">
        <v>896</v>
      </c>
      <c r="F66" s="6" t="s">
        <v>897</v>
      </c>
      <c r="G66" s="14" t="s">
        <v>672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673</v>
      </c>
    </row>
    <row r="67" customHeight="1" spans="1:22">
      <c r="A67" s="6" t="s">
        <v>60</v>
      </c>
      <c r="B67" s="16">
        <v>850081655015</v>
      </c>
      <c r="C67" s="6" t="s">
        <v>898</v>
      </c>
      <c r="D67" s="6" t="s">
        <v>899</v>
      </c>
      <c r="E67" s="6" t="s">
        <v>900</v>
      </c>
      <c r="F67" s="6" t="s">
        <v>334</v>
      </c>
      <c r="G67" s="14" t="s">
        <v>672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673</v>
      </c>
    </row>
    <row r="68" customHeight="1" spans="1:22">
      <c r="A68" s="15" t="s">
        <v>72</v>
      </c>
      <c r="B68" s="16">
        <v>698746777005</v>
      </c>
      <c r="C68" s="6" t="s">
        <v>901</v>
      </c>
      <c r="D68" s="6" t="s">
        <v>902</v>
      </c>
      <c r="E68" s="6" t="s">
        <v>903</v>
      </c>
      <c r="F68" s="6" t="s">
        <v>756</v>
      </c>
      <c r="G68" s="14" t="s">
        <v>684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685</v>
      </c>
    </row>
    <row r="69" customHeight="1" spans="1:22">
      <c r="A69" s="6" t="s">
        <v>25</v>
      </c>
      <c r="B69" s="13">
        <v>850030338082</v>
      </c>
      <c r="C69" s="6" t="s">
        <v>904</v>
      </c>
      <c r="D69" s="6" t="s">
        <v>905</v>
      </c>
      <c r="E69" s="6" t="s">
        <v>906</v>
      </c>
      <c r="F69" s="6" t="s">
        <v>907</v>
      </c>
      <c r="G69" s="14" t="s">
        <v>908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685</v>
      </c>
    </row>
    <row r="70" customHeight="1" spans="1:22">
      <c r="A70" s="15" t="s">
        <v>58</v>
      </c>
      <c r="B70" s="16">
        <v>850030338921</v>
      </c>
      <c r="C70" s="6" t="s">
        <v>909</v>
      </c>
      <c r="D70" s="6" t="s">
        <v>910</v>
      </c>
      <c r="E70" s="6" t="s">
        <v>911</v>
      </c>
      <c r="F70" s="6" t="s">
        <v>803</v>
      </c>
      <c r="G70" s="14" t="s">
        <v>912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664</v>
      </c>
    </row>
    <row r="71" customHeight="1" spans="1:22">
      <c r="A71" s="6" t="s">
        <v>100</v>
      </c>
      <c r="B71" s="16">
        <v>850081655367</v>
      </c>
      <c r="C71" s="6" t="s">
        <v>913</v>
      </c>
      <c r="D71" s="6" t="s">
        <v>914</v>
      </c>
      <c r="E71" s="6" t="s">
        <v>915</v>
      </c>
      <c r="F71" s="6" t="s">
        <v>724</v>
      </c>
      <c r="G71" s="14" t="s">
        <v>912</v>
      </c>
      <c r="H71" s="14">
        <v>1000</v>
      </c>
      <c r="I71" s="14">
        <v>10</v>
      </c>
      <c r="J71" s="6">
        <v>18</v>
      </c>
      <c r="K71" s="6">
        <v>2.15</v>
      </c>
      <c r="L71" s="6" t="s">
        <v>916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664</v>
      </c>
    </row>
    <row r="72" customHeight="1" spans="1:22">
      <c r="A72" s="19" t="s">
        <v>90</v>
      </c>
      <c r="B72" s="16">
        <v>850081655008</v>
      </c>
      <c r="C72" s="16" t="s">
        <v>909</v>
      </c>
      <c r="D72" s="6" t="s">
        <v>917</v>
      </c>
      <c r="E72" s="6" t="s">
        <v>918</v>
      </c>
      <c r="F72" s="6" t="s">
        <v>724</v>
      </c>
      <c r="G72" s="14" t="s">
        <v>732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56</v>
      </c>
      <c r="B73" s="16">
        <v>850030338464</v>
      </c>
      <c r="C73" s="6" t="s">
        <v>919</v>
      </c>
      <c r="D73" s="6" t="s">
        <v>920</v>
      </c>
      <c r="E73" s="6" t="s">
        <v>921</v>
      </c>
      <c r="F73" s="6" t="s">
        <v>922</v>
      </c>
      <c r="G73" s="14" t="s">
        <v>923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664</v>
      </c>
    </row>
    <row r="74" customHeight="1" spans="1:22">
      <c r="A74" s="6" t="s">
        <v>31</v>
      </c>
      <c r="B74" s="13">
        <v>850030338518</v>
      </c>
      <c r="C74" s="6" t="s">
        <v>924</v>
      </c>
      <c r="D74" s="6" t="s">
        <v>925</v>
      </c>
      <c r="E74" s="6" t="s">
        <v>926</v>
      </c>
      <c r="F74" s="6" t="s">
        <v>796</v>
      </c>
      <c r="G74" s="14" t="s">
        <v>923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664</v>
      </c>
    </row>
    <row r="75" customHeight="1" spans="1:22">
      <c r="A75" s="15" t="s">
        <v>98</v>
      </c>
      <c r="B75" s="16">
        <v>850030338501</v>
      </c>
      <c r="C75" s="6" t="s">
        <v>919</v>
      </c>
      <c r="D75" s="6" t="s">
        <v>927</v>
      </c>
      <c r="E75" s="6" t="s">
        <v>928</v>
      </c>
      <c r="F75" s="6" t="s">
        <v>697</v>
      </c>
      <c r="G75" s="6" t="s">
        <v>702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37</v>
      </c>
      <c r="B76" s="16">
        <v>850030338112</v>
      </c>
      <c r="C76" s="6" t="s">
        <v>929</v>
      </c>
      <c r="D76" s="6" t="s">
        <v>930</v>
      </c>
      <c r="E76" s="6" t="s">
        <v>931</v>
      </c>
      <c r="F76" s="6" t="s">
        <v>932</v>
      </c>
      <c r="G76" s="6" t="s">
        <v>702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673</v>
      </c>
    </row>
    <row r="77" customHeight="1" spans="1:22">
      <c r="A77" s="15" t="s">
        <v>124</v>
      </c>
      <c r="B77" s="16">
        <v>698746776497</v>
      </c>
      <c r="C77" s="6" t="s">
        <v>933</v>
      </c>
      <c r="D77" s="6" t="s">
        <v>934</v>
      </c>
      <c r="E77" s="6" t="s">
        <v>935</v>
      </c>
      <c r="F77" s="6" t="s">
        <v>724</v>
      </c>
      <c r="G77" s="14" t="s">
        <v>698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83</v>
      </c>
      <c r="B78" s="13">
        <v>850030338969</v>
      </c>
      <c r="C78" s="6" t="s">
        <v>936</v>
      </c>
      <c r="D78" s="6" t="s">
        <v>937</v>
      </c>
      <c r="E78" s="6" t="s">
        <v>938</v>
      </c>
      <c r="F78" s="6" t="s">
        <v>939</v>
      </c>
      <c r="G78" s="14" t="s">
        <v>698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685</v>
      </c>
    </row>
    <row r="79" customHeight="1" spans="1:22">
      <c r="A79" s="18" t="s">
        <v>30</v>
      </c>
      <c r="B79" s="13">
        <v>760762457077</v>
      </c>
      <c r="C79" s="18" t="s">
        <v>940</v>
      </c>
      <c r="D79" s="6" t="s">
        <v>941</v>
      </c>
      <c r="E79" s="6" t="s">
        <v>942</v>
      </c>
      <c r="F79" s="6" t="s">
        <v>334</v>
      </c>
      <c r="G79" s="14" t="s">
        <v>912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664</v>
      </c>
    </row>
    <row r="80" customHeight="1" spans="1:22">
      <c r="A80" s="20" t="s">
        <v>106</v>
      </c>
      <c r="B80" s="16">
        <v>850030338570</v>
      </c>
      <c r="C80" s="6" t="s">
        <v>943</v>
      </c>
      <c r="D80" s="6" t="s">
        <v>944</v>
      </c>
      <c r="E80" s="6" t="s">
        <v>945</v>
      </c>
      <c r="F80" s="6" t="s">
        <v>697</v>
      </c>
      <c r="G80" s="6" t="s">
        <v>702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47</v>
      </c>
      <c r="B81" s="13">
        <v>698746777562</v>
      </c>
      <c r="C81" s="6" t="s">
        <v>946</v>
      </c>
      <c r="D81" s="6" t="s">
        <v>947</v>
      </c>
      <c r="E81" s="6" t="s">
        <v>948</v>
      </c>
      <c r="F81" s="6" t="s">
        <v>334</v>
      </c>
      <c r="G81" s="14" t="s">
        <v>672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685</v>
      </c>
    </row>
    <row r="82" customHeight="1" spans="1:22">
      <c r="A82" s="6" t="s">
        <v>42</v>
      </c>
      <c r="B82" s="16">
        <v>850067049258</v>
      </c>
      <c r="C82" s="6" t="s">
        <v>949</v>
      </c>
      <c r="D82" s="6" t="s">
        <v>950</v>
      </c>
      <c r="E82" s="6" t="s">
        <v>951</v>
      </c>
      <c r="F82" s="6" t="s">
        <v>952</v>
      </c>
      <c r="G82" s="14" t="s">
        <v>672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685</v>
      </c>
    </row>
    <row r="83" customHeight="1" spans="1:22">
      <c r="A83" s="6" t="s">
        <v>69</v>
      </c>
      <c r="B83" s="16">
        <v>698746777500</v>
      </c>
      <c r="C83" s="6" t="s">
        <v>674</v>
      </c>
      <c r="D83" s="6" t="s">
        <v>953</v>
      </c>
      <c r="E83" s="6" t="s">
        <v>954</v>
      </c>
      <c r="F83" s="6" t="s">
        <v>334</v>
      </c>
      <c r="G83" s="14" t="s">
        <v>672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685</v>
      </c>
    </row>
    <row r="84" customHeight="1" spans="1:22">
      <c r="A84" s="15" t="s">
        <v>77</v>
      </c>
      <c r="B84" s="16">
        <v>860006392840</v>
      </c>
      <c r="C84" s="6" t="s">
        <v>955</v>
      </c>
      <c r="D84" s="6" t="s">
        <v>956</v>
      </c>
      <c r="E84" s="6" t="s">
        <v>957</v>
      </c>
      <c r="F84" s="6" t="s">
        <v>353</v>
      </c>
      <c r="G84" s="14" t="s">
        <v>672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664</v>
      </c>
    </row>
    <row r="85" customHeight="1" spans="1:22">
      <c r="A85" s="6" t="s">
        <v>43</v>
      </c>
      <c r="B85" s="16">
        <v>850030338198</v>
      </c>
      <c r="C85" s="6" t="s">
        <v>958</v>
      </c>
      <c r="D85" s="6" t="s">
        <v>959</v>
      </c>
      <c r="E85" s="6" t="s">
        <v>960</v>
      </c>
      <c r="F85" s="6" t="s">
        <v>693</v>
      </c>
      <c r="G85" s="6" t="s">
        <v>961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673</v>
      </c>
    </row>
    <row r="86" customHeight="1" spans="1:22">
      <c r="A86" s="15" t="s">
        <v>50</v>
      </c>
      <c r="B86" s="16">
        <v>698746777067</v>
      </c>
      <c r="C86" s="6" t="s">
        <v>962</v>
      </c>
      <c r="D86" s="6" t="s">
        <v>963</v>
      </c>
      <c r="E86" s="6" t="s">
        <v>964</v>
      </c>
      <c r="F86" s="6" t="s">
        <v>965</v>
      </c>
      <c r="G86" s="14" t="s">
        <v>672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673</v>
      </c>
    </row>
    <row r="87" customHeight="1" spans="1:22">
      <c r="A87" s="6" t="s">
        <v>49</v>
      </c>
      <c r="B87" s="13">
        <v>698746777531</v>
      </c>
      <c r="C87" s="6" t="s">
        <v>966</v>
      </c>
      <c r="D87" s="6" t="s">
        <v>967</v>
      </c>
      <c r="E87" s="6" t="s">
        <v>968</v>
      </c>
      <c r="F87" s="6" t="s">
        <v>334</v>
      </c>
      <c r="G87" s="14" t="s">
        <v>672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673</v>
      </c>
    </row>
    <row r="88" customHeight="1" spans="1:22">
      <c r="A88" s="6" t="s">
        <v>46</v>
      </c>
      <c r="B88" s="13">
        <v>698746777463</v>
      </c>
      <c r="C88" s="6" t="s">
        <v>969</v>
      </c>
      <c r="D88" s="6" t="s">
        <v>970</v>
      </c>
      <c r="E88" s="6" t="s">
        <v>971</v>
      </c>
      <c r="F88" s="6" t="s">
        <v>334</v>
      </c>
      <c r="G88" s="14" t="s">
        <v>672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664</v>
      </c>
    </row>
    <row r="89" customHeight="1" spans="1:22">
      <c r="A89" s="6" t="s">
        <v>61</v>
      </c>
      <c r="B89" s="13">
        <v>698746777203</v>
      </c>
      <c r="C89" s="6" t="s">
        <v>972</v>
      </c>
      <c r="D89" s="6" t="s">
        <v>973</v>
      </c>
      <c r="E89" s="6" t="s">
        <v>974</v>
      </c>
      <c r="F89" s="6" t="s">
        <v>334</v>
      </c>
      <c r="G89" s="14" t="s">
        <v>672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664</v>
      </c>
    </row>
    <row r="90" customHeight="1" spans="1:22">
      <c r="A90" s="6" t="s">
        <v>108</v>
      </c>
      <c r="B90" s="13">
        <v>850030338914</v>
      </c>
      <c r="C90" s="6" t="s">
        <v>975</v>
      </c>
      <c r="D90" s="6" t="s">
        <v>976</v>
      </c>
      <c r="E90" s="6" t="s">
        <v>977</v>
      </c>
      <c r="F90" s="6" t="s">
        <v>415</v>
      </c>
      <c r="G90" s="14" t="s">
        <v>771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117</v>
      </c>
      <c r="B91" s="13">
        <v>850062627673</v>
      </c>
      <c r="C91" s="6" t="s">
        <v>978</v>
      </c>
      <c r="D91" s="6" t="s">
        <v>979</v>
      </c>
      <c r="E91" s="6" t="s">
        <v>980</v>
      </c>
      <c r="F91" s="6" t="s">
        <v>415</v>
      </c>
      <c r="G91" s="14" t="s">
        <v>663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664</v>
      </c>
    </row>
    <row r="92" customHeight="1" spans="1:22">
      <c r="A92" s="6" t="s">
        <v>104</v>
      </c>
      <c r="B92" s="13">
        <v>850062627710</v>
      </c>
      <c r="C92" s="6" t="s">
        <v>981</v>
      </c>
      <c r="D92" s="6" t="s">
        <v>982</v>
      </c>
      <c r="E92" s="6" t="s">
        <v>983</v>
      </c>
      <c r="F92" s="6" t="s">
        <v>415</v>
      </c>
      <c r="G92" s="14" t="s">
        <v>663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664</v>
      </c>
    </row>
    <row r="93" customHeight="1" spans="1:22">
      <c r="A93" s="6" t="s">
        <v>115</v>
      </c>
      <c r="B93" s="13">
        <v>850030338495</v>
      </c>
      <c r="C93" s="6" t="s">
        <v>984</v>
      </c>
      <c r="D93" s="6" t="s">
        <v>985</v>
      </c>
      <c r="E93" s="6" t="s">
        <v>986</v>
      </c>
      <c r="F93" s="6" t="s">
        <v>415</v>
      </c>
      <c r="G93" s="14" t="s">
        <v>923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664</v>
      </c>
    </row>
    <row r="94" customHeight="1" spans="1:22">
      <c r="A94" s="6" t="s">
        <v>116</v>
      </c>
      <c r="B94" s="13">
        <v>850030338044</v>
      </c>
      <c r="C94" s="22" t="s">
        <v>987</v>
      </c>
      <c r="D94" s="6" t="s">
        <v>988</v>
      </c>
      <c r="E94" s="6" t="s">
        <v>989</v>
      </c>
      <c r="F94" s="6" t="s">
        <v>415</v>
      </c>
      <c r="G94" s="14" t="s">
        <v>732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103</v>
      </c>
      <c r="B95" s="13">
        <v>850030338136</v>
      </c>
      <c r="C95" s="6" t="s">
        <v>990</v>
      </c>
      <c r="D95" s="6" t="s">
        <v>991</v>
      </c>
      <c r="E95" s="6" t="s">
        <v>992</v>
      </c>
      <c r="F95" s="6" t="s">
        <v>415</v>
      </c>
      <c r="G95" s="14" t="s">
        <v>732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113</v>
      </c>
      <c r="B96" s="13">
        <v>850030338587</v>
      </c>
      <c r="C96" s="6" t="s">
        <v>993</v>
      </c>
      <c r="D96" s="6" t="s">
        <v>994</v>
      </c>
      <c r="E96" s="6" t="s">
        <v>995</v>
      </c>
      <c r="F96" s="6" t="s">
        <v>415</v>
      </c>
      <c r="G96" s="14" t="s">
        <v>996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111</v>
      </c>
      <c r="B97" s="13">
        <v>850030338266</v>
      </c>
      <c r="C97" s="6" t="s">
        <v>997</v>
      </c>
      <c r="D97" s="6" t="s">
        <v>998</v>
      </c>
      <c r="E97" s="6" t="s">
        <v>999</v>
      </c>
      <c r="F97" s="6" t="s">
        <v>415</v>
      </c>
      <c r="G97" s="14" t="s">
        <v>732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102</v>
      </c>
      <c r="B98" s="13">
        <v>850030338372</v>
      </c>
      <c r="C98" s="6" t="s">
        <v>1000</v>
      </c>
      <c r="D98" s="6" t="s">
        <v>1001</v>
      </c>
      <c r="E98" s="6" t="s">
        <v>1002</v>
      </c>
      <c r="F98" s="6" t="s">
        <v>415</v>
      </c>
      <c r="G98" s="14" t="s">
        <v>732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109</v>
      </c>
      <c r="B99" s="13">
        <v>850062627635</v>
      </c>
      <c r="C99" s="6" t="s">
        <v>1003</v>
      </c>
      <c r="D99" s="6" t="s">
        <v>1004</v>
      </c>
      <c r="E99" s="6" t="s">
        <v>1005</v>
      </c>
      <c r="F99" s="6" t="s">
        <v>415</v>
      </c>
      <c r="G99" s="14" t="s">
        <v>663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110</v>
      </c>
      <c r="B100" s="13">
        <v>850062627628</v>
      </c>
      <c r="C100" s="6" t="s">
        <v>1006</v>
      </c>
      <c r="D100" s="6" t="s">
        <v>1007</v>
      </c>
      <c r="E100" s="6" t="s">
        <v>1008</v>
      </c>
      <c r="F100" s="6" t="s">
        <v>415</v>
      </c>
      <c r="G100" s="14" t="s">
        <v>663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107</v>
      </c>
      <c r="B101" s="13">
        <v>850030338389</v>
      </c>
      <c r="C101" s="6" t="s">
        <v>1009</v>
      </c>
      <c r="D101" s="6" t="s">
        <v>1010</v>
      </c>
      <c r="E101" s="6" t="s">
        <v>1011</v>
      </c>
      <c r="F101" s="6" t="s">
        <v>415</v>
      </c>
      <c r="G101" s="14" t="s">
        <v>732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105</v>
      </c>
      <c r="B102" s="13">
        <v>850030338242</v>
      </c>
      <c r="C102" s="6" t="s">
        <v>1012</v>
      </c>
      <c r="D102" s="6" t="s">
        <v>1013</v>
      </c>
      <c r="E102" s="6" t="s">
        <v>1014</v>
      </c>
      <c r="F102" s="6" t="s">
        <v>415</v>
      </c>
      <c r="G102" s="14" t="s">
        <v>732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1015</v>
      </c>
      <c r="C1" s="2"/>
      <c r="D1" s="2"/>
      <c r="E1" s="3" t="s">
        <v>1016</v>
      </c>
      <c r="F1" s="4"/>
      <c r="G1" s="4"/>
    </row>
    <row r="2" spans="1:12">
      <c r="A2" s="5" t="s">
        <v>20</v>
      </c>
      <c r="B2" s="5" t="s">
        <v>657</v>
      </c>
      <c r="C2" s="5" t="s">
        <v>658</v>
      </c>
      <c r="D2" s="5" t="s">
        <v>659</v>
      </c>
      <c r="E2" s="5" t="s">
        <v>657</v>
      </c>
      <c r="F2" s="5" t="s">
        <v>658</v>
      </c>
      <c r="G2" s="5" t="s">
        <v>659</v>
      </c>
      <c r="H2" s="5" t="s">
        <v>22</v>
      </c>
      <c r="I2" s="5" t="s">
        <v>1017</v>
      </c>
      <c r="J2" s="5" t="s">
        <v>1018</v>
      </c>
      <c r="K2" s="5" t="s">
        <v>1019</v>
      </c>
      <c r="L2" s="5" t="s">
        <v>1020</v>
      </c>
    </row>
    <row r="3" spans="1:12">
      <c r="A3" s="6" t="s">
        <v>673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685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664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767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742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779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874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</sheetItem>
  <sheetItem sheetStid="4">
    <filterData filterID="545823343">
      <hiddenRange rowFrom="1" rowTo="2"/>
      <hiddenRange rowFrom="4" rowTo="42"/>
      <hiddenRange rowFrom="44" rowTo="65"/>
      <hiddenRange rowFrom="67" rowTo="278"/>
      <hiddenRange rowFrom="280" rowTo="999"/>
    </filterData>
    <autofilterInfo filterID="545823343">
      <autoFilter xmlns="http://schemas.openxmlformats.org/spreadsheetml/2006/main" ref="A1:T1000">
        <filterColumn colId="2">
          <customFilters>
            <customFilter operator="equal" val="R-8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854"/>
      <hiddenRange rowFrom="887" rowTo="901"/>
    </filterData>
    <filterData filterID="545823343">
      <hiddenRange rowFrom="1" rowTo="881"/>
    </filterData>
    <autofilterInfo filterID="545109831">
      <autoFilter xmlns="http://schemas.openxmlformats.org/spreadsheetml/2006/main" ref="A1:S949">
        <filterColumn colId="11">
          <filters blank="1"/>
        </filterColumn>
      </autoFilter>
    </autofilterInfo>
    <autofilterInfo filterID="545823343">
      <autoFilter xmlns="http://schemas.openxmlformats.org/spreadsheetml/2006/main" ref="A1:S949">
        <filterColumn colId="8">
          <filters>
            <filter val="PSP"/>
            <filter val="Petsmart"/>
            <filter val="Petco"/>
          </filters>
        </filterColumn>
        <filterColumn colId="11">
          <filters blank="1"/>
        </filterColumn>
      </autoFilter>
    </autofilterInfo>
  </sheetItem>
  <sheetItem sheetStid="2">
    <filterData filterID="545823343"/>
  </sheetItem>
  <sheetItem sheetStid="3">
    <filterData filterID="545823343"/>
    <filterData filterID="545109831"/>
  </sheetItem>
  <sheetItem sheetStid="6">
    <filterData filterID="545823343"/>
    <filterData filterID="250042139">
      <hiddenRange rowFrom="1" rowTo="41"/>
      <hiddenRange rowFrom="43" rowTo="101"/>
    </filterData>
    <filterData filterID="545109831"/>
    <autofilterInfo filterID="250042139">
      <autoFilter xmlns="http://schemas.openxmlformats.org/spreadsheetml/2006/main" ref="A1:V102">
        <filterColumn colId="0">
          <customFilters>
            <customFilter operator="equal" val="R-8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2026-09-30T00:29:00Z</dcterms:created>
  <dcterms:modified xsi:type="dcterms:W3CDTF">2026-09-30T00:30:00Z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